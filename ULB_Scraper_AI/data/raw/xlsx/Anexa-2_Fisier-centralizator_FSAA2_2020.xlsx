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7" sheetId="8" r:id="rId11"/>
    <sheet state="visible" name="I.8"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definedNames/>
  <calcPr/>
  <extLst>
    <ext uri="GoogleSheetsCustomDataVersion1">
      <go:sheetsCustomData xmlns:go="http://customooxmlschemas.google.com/" r:id="rId25" roundtripDataSignature="AMtx7mi/zrSjBXtHMt27NTMIuAq1KYye2A=="/>
    </ext>
  </extLst>
</workbook>
</file>

<file path=xl/sharedStrings.xml><?xml version="1.0" encoding="utf-8"?>
<sst xmlns="http://schemas.openxmlformats.org/spreadsheetml/2006/main" count="5912" uniqueCount="2667">
  <si>
    <t>Facultate:</t>
  </si>
  <si>
    <t>Științe Agricole, Industrie Alimentară și Protecția Medului</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</si>
  <si>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</si>
  <si>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</si>
  <si>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</si>
  <si>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</si>
  <si>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</si>
  <si>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</si>
  <si>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</si>
  <si>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</si>
  <si>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01.01.2019</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</si>
  <si>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</si>
  <si>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</si>
  <si>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</si>
  <si>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</si>
  <si>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</si>
  <si>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</si>
  <si>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</si>
  <si>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</si>
  <si>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</si>
  <si>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</si>
  <si>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</si>
  <si>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</si>
  <si>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</si>
  <si>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</si>
  <si>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</si>
  <si>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</si>
  <si>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</si>
  <si>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</si>
  <si>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</si>
  <si>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</si>
  <si>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</si>
  <si>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</si>
  <si>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</si>
  <si>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</si>
  <si>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</si>
  <si>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</si>
  <si>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ANTOFIE Maria Mihaela</t>
  </si>
  <si>
    <t>FSAA2</t>
  </si>
  <si>
    <t>Conferenţiar</t>
  </si>
  <si>
    <t>ANTONIE Iuliana</t>
  </si>
  <si>
    <t>Şef lucrări</t>
  </si>
  <si>
    <t>BARBU Constantin Horia</t>
  </si>
  <si>
    <t>Profesor</t>
  </si>
  <si>
    <t>BARBU Ion</t>
  </si>
  <si>
    <t>BLAJ Robert</t>
  </si>
  <si>
    <t>BRATU Iulian Alexandru</t>
  </si>
  <si>
    <t>CĂPĂŢÂNĂ Ciprian</t>
  </si>
  <si>
    <t>Ş.l.</t>
  </si>
  <si>
    <t>CĂRĂTUŞ Mirela Aurora</t>
  </si>
  <si>
    <t>CREŢU Carmen Monica</t>
  </si>
  <si>
    <t>Conf.</t>
  </si>
  <si>
    <t>CRISTEA Ramona</t>
  </si>
  <si>
    <t>Ș.l.</t>
  </si>
  <si>
    <t>DANCIU Cristina Anca</t>
  </si>
  <si>
    <t>DRĂGHICI Olga</t>
  </si>
  <si>
    <t>DUMITRU Mariana Lenuţa</t>
  </si>
  <si>
    <t xml:space="preserve">GASPAR Eniko </t>
  </si>
  <si>
    <t>GEORGESCU Cecilia</t>
  </si>
  <si>
    <t>IAGĂRU Pompilica</t>
  </si>
  <si>
    <t>IAGĂRU Romulus</t>
  </si>
  <si>
    <t>IANCU Maria Lidia</t>
  </si>
  <si>
    <t>KETNEY Otto</t>
  </si>
  <si>
    <t>LENGYEL Ecaterina</t>
  </si>
  <si>
    <t>MIRONESCU Ion Dan</t>
  </si>
  <si>
    <t>MIRONESCU Monica</t>
  </si>
  <si>
    <t>MOISE George</t>
  </si>
  <si>
    <t>MOISE Maria Cristina</t>
  </si>
  <si>
    <t>OANCEA Simona Rodica</t>
  </si>
  <si>
    <t>Prof.</t>
  </si>
  <si>
    <t>OGNEAN Claudia Felicia</t>
  </si>
  <si>
    <t>OGNEAN Mihai</t>
  </si>
  <si>
    <t>PĂCALĂ Mariana Liliana</t>
  </si>
  <si>
    <t xml:space="preserve">PĂŞCĂNUŢ Ioan </t>
  </si>
  <si>
    <t>POP Mihai Radu</t>
  </si>
  <si>
    <t>ŞANDRU Daniela Maria</t>
  </si>
  <si>
    <t>Asist.</t>
  </si>
  <si>
    <t>SAVA Camelia</t>
  </si>
  <si>
    <t>SAVATIE Mircea Benvenuto</t>
  </si>
  <si>
    <t>SIMTION Daniela Maria</t>
  </si>
  <si>
    <t>ŞIPOŞ Anca Sorina</t>
  </si>
  <si>
    <t>SPÂNU Simona Mariana</t>
  </si>
  <si>
    <t>TIŢA Mihaela Adriana</t>
  </si>
  <si>
    <t>TIŢA Ovidiu</t>
  </si>
  <si>
    <t>TULBURE Anca</t>
  </si>
  <si>
    <t>TURTUREANU Adrian</t>
  </si>
  <si>
    <t>VĂDUVA Mihai</t>
  </si>
  <si>
    <t>VECERDEA (PAVEL) Petronela Bianca</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</si>
  <si>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</si>
  <si>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</si>
  <si>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</si>
  <si>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</si>
  <si>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</si>
  <si>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</si>
  <si>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</si>
  <si>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</si>
  <si>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</si>
  <si>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</si>
  <si>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</si>
  <si>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</si>
  <si>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</si>
  <si>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</si>
  <si>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</si>
  <si>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</si>
  <si>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</si>
  <si>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</si>
  <si>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</si>
  <si>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</si>
  <si>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</si>
  <si>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</si>
  <si>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</si>
  <si>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</si>
  <si>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</si>
  <si>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</si>
  <si>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</si>
  <si>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</si>
  <si>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</si>
  <si>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</si>
  <si>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</si>
  <si>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Bilberry (Vaccinium myrtillus L.) Extracts Comparative Analysis Regarding Their Phytonutrient Profiles, Antioxidant Capacity along with the In Vivo Rescue Effects Tested on a Drosophila melanogaster High-Sugar Diet Model</t>
  </si>
  <si>
    <r>
      <rPr>
        <rFont val="arial narrow"/>
        <color theme="1"/>
        <sz val="10.0"/>
      </rPr>
      <t xml:space="preserve">Andreea-Adriana Neamtu-University of Oradea, Rita Szoke-Kovacs, Emoke Mihok, University of Debrecen, </t>
    </r>
    <r>
      <rPr>
        <rFont val="Arial Narrow"/>
        <b/>
        <color rgb="FF000000"/>
        <sz val="10.0"/>
      </rPr>
      <t>Cecilia Georgescu</t>
    </r>
    <r>
      <rPr>
        <rFont val="Arial Narrow"/>
        <color rgb="FF000000"/>
        <sz val="10.0"/>
      </rPr>
      <t>, “Lucian Blaga”
University of Sibiu, Violeta Turcus, Neli Kinga Olah, “Vasile Goldis” Western University of Arad, Adina Frum, Ovidiu Tita, “Lucian Blaga”
University of Sibiu,  Carmen Neamtu, “Vasile Goldis” Western University of Arad,  Zsombor Szoke-Kovacs, University of Debrecen, Zoltan Cziaky, Agricultural and Molecular Research and Service Institute, University of Nyiregyhaza and Endre Mathe, University of Debrecen and  “Vasile Goldis” Western University of Arad</t>
    </r>
  </si>
  <si>
    <t>Antioxidants</t>
  </si>
  <si>
    <t>ISSN: eISSN: 2076-3921</t>
  </si>
  <si>
    <t>Antioxidants | Free Full-Text | Bilberry (Vaccinium myrtillus L.) Extracts Comparative Analysis Regarding Their Phytonutrient Profiles, Antioxidant Capacity along with the In Vivo Rescue Effects Tested on a Drosophila melanogaster High-Sugar Diet Model (mdpi.com)</t>
  </si>
  <si>
    <t>doi:10.3390/antiox9111067</t>
  </si>
  <si>
    <t>WOS:000592780600001</t>
  </si>
  <si>
    <t>1-33</t>
  </si>
  <si>
    <t>Q1</t>
  </si>
  <si>
    <t>Georgescu Cecilia</t>
  </si>
  <si>
    <t>Use of Yoghurt Enhanced with Volatile Plant Oils Encapsulated in Sodium Alginate to Increase the Human Body's Immunity in the Present Fight Against Stress</t>
  </si>
  <si>
    <t xml:space="preserve">Tita Ovidiu, Constantinescu Maria Adelina, Tita Mihaela Adriana, Georgescu Cecilia, “Lucian Blaga”
University of Sibiu </t>
  </si>
  <si>
    <t>INTERNATIONAL JOURNAL OF ENVIRONMENTAL RESEARCH AND PUBLIC HEALTH</t>
  </si>
  <si>
    <t>ISSN: eISSN: 1660-4601</t>
  </si>
  <si>
    <t>https://www.mdpi.com/1660-4601/17/20/7588</t>
  </si>
  <si>
    <t>10.3390/ijerph17207588</t>
  </si>
  <si>
    <t>WOS:000585597700001</t>
  </si>
  <si>
    <t>1-17</t>
  </si>
  <si>
    <t>Sustainable Method Using Filtering Techniques for a Fermentation Process State Estimation</t>
  </si>
  <si>
    <t>Anca Sipos</t>
  </si>
  <si>
    <t>Sustainability</t>
  </si>
  <si>
    <t>2071-1050</t>
  </si>
  <si>
    <t>https://www.mdpi.com/2071-1050/12/17/7105</t>
  </si>
  <si>
    <t>https://doi.org/10.3390/su12177105</t>
  </si>
  <si>
    <t>WOS:000570331900001</t>
  </si>
  <si>
    <t>7105-7119</t>
  </si>
  <si>
    <t>Q2</t>
  </si>
  <si>
    <t>Sipos Anca</t>
  </si>
  <si>
    <t>A Knowledge-Based System as a Sustainable Software Application for the Supervision and Intelligent Control of an Alcoholic Fermentation Process</t>
  </si>
  <si>
    <t>https://www.mdpi.com/2071-1050/12/23/10205</t>
  </si>
  <si>
    <t>https://doi.org/10.3390/su122310205</t>
  </si>
  <si>
    <t>WOS:000597489300001</t>
  </si>
  <si>
    <t>10205-10221</t>
  </si>
  <si>
    <t>7 Decembrie 2020</t>
  </si>
  <si>
    <t>Using Neural Networks to Obtain Indirect Information about the State Variables in an Alcoholic Fermentation Process</t>
  </si>
  <si>
    <t>Anca Sipos, Adrian Florea, Maria Arsin and Ugo Fiore</t>
  </si>
  <si>
    <t>Processes</t>
  </si>
  <si>
    <t>https://www.mdpi.com/2227-9717/9/1/74</t>
  </si>
  <si>
    <t>https://doi.org/10.3390/pr9010074</t>
  </si>
  <si>
    <t>WOS:000610732300001</t>
  </si>
  <si>
    <t>74-92</t>
  </si>
  <si>
    <t>31 Decembrie 2020</t>
  </si>
  <si>
    <t>Use of Yoghurt Enhanced with Volatile Plant Oils Encapsulated in Sodium Alginate to Increase the Human Body’s Immunity in the Present Fight Against Stres</t>
  </si>
  <si>
    <t xml:space="preserve"> Ovidiu Tita, Maria Adelina Constantinescu, Mihaela Adriana Tita, Cecilia Georgescu-ULBS</t>
  </si>
  <si>
    <t>Int. J. Environ. Res. Public Health</t>
  </si>
  <si>
    <t>1660-4601</t>
  </si>
  <si>
    <t xml:space="preserve">doi:10.3390/ijerph17207588, </t>
  </si>
  <si>
    <t xml:space="preserve">WOS:000585597700001 </t>
  </si>
  <si>
    <t>Tita Mihaela</t>
  </si>
  <si>
    <r>
      <rPr>
        <rFont val="Times New Roman"/>
        <color rgb="FF333333"/>
        <sz val="10.0"/>
      </rPr>
      <t>Bilberry (</t>
    </r>
    <r>
      <rPr>
        <rFont val="Times New Roman"/>
        <i/>
        <color rgb="FF333333"/>
        <sz val="10.0"/>
      </rPr>
      <t>Vaccinium myrtillus</t>
    </r>
    <r>
      <rPr>
        <rFont val="Times New Roman"/>
        <color rgb="FF333333"/>
        <sz val="10.0"/>
      </rPr>
      <t> L.) Extracts Comparative Analysis Regarding Their Phytonutrient Profiles, Antioxidant Capacity along with the In Vivo Rescue Effects Tested on a </t>
    </r>
    <r>
      <rPr>
        <rFont val="Times New Roman"/>
        <i/>
        <color rgb="FF333333"/>
        <sz val="10.0"/>
      </rPr>
      <t>Drosophila melanogaster</t>
    </r>
    <r>
      <rPr>
        <rFont val="Times New Roman"/>
        <color rgb="FF333333"/>
        <sz val="10.0"/>
      </rPr>
      <t> High-Sugar Diet Model</t>
    </r>
  </si>
  <si>
    <r>
      <rPr>
        <rFont val="Times New Roman"/>
        <color theme="1"/>
        <sz val="10.0"/>
      </rPr>
      <t>Andreea-Adriana Neamtu -</t>
    </r>
    <r>
      <rPr>
        <rFont val="Times New Roman"/>
        <i/>
        <color theme="1"/>
        <sz val="10.0"/>
      </rPr>
      <t xml:space="preserve">University of Oradea, Romania; </t>
    </r>
    <r>
      <rPr>
        <rFont val="Times New Roman"/>
        <color theme="1"/>
        <sz val="10.0"/>
      </rPr>
      <t>Rita Szoke-Kovacs -</t>
    </r>
    <r>
      <rPr>
        <rFont val="Times New Roman"/>
        <i/>
        <color theme="1"/>
        <sz val="10.0"/>
      </rPr>
      <t xml:space="preserve"> University of Debrecen, Hungary</t>
    </r>
    <r>
      <rPr>
        <rFont val="Times New Roman"/>
        <color theme="1"/>
        <sz val="10.0"/>
      </rPr>
      <t xml:space="preserve">; Emoke Mihok - University of Debrecen, Hungary; Cecilia Georgescu - “Lucian Blaga” University of Sibiu, Romania; Violeta Turcus - “Vasile Goldis” Western University of Arad, Romania; Neli Kinga Olah - Faculty of Pharmacy, “Vasile Goldis” Western University of Arad, Romania; Adina Frum - “Lucian Blaga” University of Sibiu, Romania; </t>
    </r>
    <r>
      <rPr>
        <rFont val="Times New Roman"/>
        <b/>
        <color theme="1"/>
        <sz val="10.0"/>
      </rPr>
      <t>Ovidiu Tita</t>
    </r>
    <r>
      <rPr>
        <rFont val="Times New Roman"/>
        <color theme="1"/>
        <sz val="10.0"/>
      </rPr>
      <t xml:space="preserve"> - “Lucian Blaga” University of Sibiu, Romania; Carmen Neamtu - “Vasile Goldis” Western University of Arad, Romania; Zsombor Szoke-Kovacs - University of Debrecen, Hungary; Zoltan Cziaky - University of Nyiregyhaza, Hungary; Endre Mathe -University of Debrecen, Hungary </t>
    </r>
  </si>
  <si>
    <t>(ISSN 2076-3921</t>
  </si>
  <si>
    <t>https://www.mdpi.com/2076-3921/9/11/1067</t>
  </si>
  <si>
    <t>https://doi.org/10.3390/antiox9111067</t>
  </si>
  <si>
    <t>Tita Ovidiu</t>
  </si>
  <si>
    <t>Use of Yoghurt Enhanced with Volatile Plant Oils Encapsulated in Sodium Alginate to Increase the Human Body’s Immunity in the Present Fight Against Stress</t>
  </si>
  <si>
    <r>
      <rPr>
        <rFont val="Times New Roman"/>
        <b/>
        <color rgb="FF333333"/>
        <sz val="10.0"/>
      </rPr>
      <t>Ovidiu Tița-</t>
    </r>
    <r>
      <rPr>
        <rFont val="Times New Roman"/>
        <b val="0"/>
        <color rgb="FF333333"/>
        <sz val="10.0"/>
      </rPr>
      <t xml:space="preserve"> “Lucian Blaga” University of Sibiu, 550012 Sibiu, Romania</t>
    </r>
    <r>
      <rPr>
        <rFont val="Times New Roman"/>
        <b/>
        <color rgb="FF333333"/>
        <sz val="10.0"/>
      </rPr>
      <t>;</t>
    </r>
    <r>
      <rPr>
        <rFont val="Times New Roman"/>
        <b val="0"/>
        <color rgb="FF333333"/>
        <sz val="10.0"/>
      </rPr>
      <t xml:space="preserve"> Maria Adelina Constantinescu - “Lucian Blaga” University of Sibiu, 550012 Sibiu, Romania; Mihaela Adriana Tița - “Lucian Blaga” University of Sibiu, 550012 Sibiu, Romania;Cecilia Georgescu - “Lucian Blaga” University of Sibiu, 550012 Sibiu, Romania;</t>
    </r>
  </si>
  <si>
    <t>International Journal of Environmental Research and Public Health</t>
  </si>
  <si>
    <t>https://doi.org/10.3390/ijerph17207588</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</si>
  <si>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</si>
  <si>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</si>
  <si>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</si>
  <si>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</si>
  <si>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</si>
  <si>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</si>
  <si>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</si>
  <si>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Lovastatin effects on indirect somatic embryogenesis of petunia</t>
  </si>
  <si>
    <t>Antofie MM (ULBS) Mitoi ME (IBB)</t>
  </si>
  <si>
    <t>ROMANIAN BIOTECHNOLOGICAL LETTERS</t>
  </si>
  <si>
    <t>1224-5984</t>
  </si>
  <si>
    <t>https://www.e-repository.org/rbl/vol.25/iss.5/4.pdf</t>
  </si>
  <si>
    <t>10.25083/rbl/25.5/1886.1891</t>
  </si>
  <si>
    <t> WOS:000571493000004</t>
  </si>
  <si>
    <t>1886-1891</t>
  </si>
  <si>
    <t>Q4</t>
  </si>
  <si>
    <t>Antofie Mihaela</t>
  </si>
  <si>
    <t xml:space="preserve">AN ENZYME-ENHANCED EXTRACTION OF ANTHOCYANINS FROM RED CABBAGE AND THEIR THERMAL DEGRADATION KINETICS </t>
  </si>
  <si>
    <t>Tecucianu A-C, Drăghici O., Oancea S.</t>
  </si>
  <si>
    <t>Acta Alimentaria</t>
  </si>
  <si>
    <t xml:space="preserve">0139-3006 </t>
  </si>
  <si>
    <t>https://akjournals.com/view/journals/066/49/2/article-p204.xml</t>
  </si>
  <si>
    <t>doi.org/10.1556/066.2020.49.2.10</t>
  </si>
  <si>
    <t>WOS:000590169700010</t>
  </si>
  <si>
    <t>204–213</t>
  </si>
  <si>
    <t>Draghici Olga</t>
  </si>
  <si>
    <t>Effects of roselle extract on the oxidative stability of hempseed oil</t>
  </si>
  <si>
    <t>Simona oancea – olga Drăghici – mirabela Perju – FranciSc V. DulF</t>
  </si>
  <si>
    <t>Journal of Food and Nutrition Research</t>
  </si>
  <si>
    <t>1336-8672</t>
  </si>
  <si>
    <t>http://www.vup.sk/en/download.php?bulID=2058</t>
  </si>
  <si>
    <t>WOS:000541970600002</t>
  </si>
  <si>
    <t>98-107</t>
  </si>
  <si>
    <t>0.756</t>
  </si>
  <si>
    <t xml:space="preserve">Sustainable resource management, the source of production integration, biodiversity conservation and socio-cultural values in grasway ecosystems. </t>
  </si>
  <si>
    <t xml:space="preserve"> Iagăru, P. (ULB), Mărcuță, L. (USAMV),                Iagăru, R. (ULB), &amp; Mărcuță, A. (USAMV)</t>
  </si>
  <si>
    <t xml:space="preserve">ROMANIAN BIOTECHNOLOGICAL LETTERS, </t>
  </si>
  <si>
    <t xml:space="preserve">(5), </t>
  </si>
  <si>
    <t>1984-1991.</t>
  </si>
  <si>
    <t>https://www.rombio.org/vol.25/iss.5/publications.html</t>
  </si>
  <si>
    <t>10.25083/rbl/25.5/1984.1991</t>
  </si>
  <si>
    <t>1984-1991</t>
  </si>
  <si>
    <t xml:space="preserve"> (2020). </t>
  </si>
  <si>
    <t>Q3</t>
  </si>
  <si>
    <t>Iagaru Pompilica</t>
  </si>
  <si>
    <t>Iagaru Romulus</t>
  </si>
  <si>
    <t>Development of ultrasonic extracts with strong antioxidant properties from red onion wastes</t>
  </si>
  <si>
    <t>Oancea Simona, Radu M., Olosutean H.</t>
  </si>
  <si>
    <t xml:space="preserve">Rom. Biotech. Lett. </t>
  </si>
  <si>
    <t>https://www.e-repository.org/rbl/vol.25/iss.2/2.pdf</t>
  </si>
  <si>
    <t xml:space="preserve">10.25083/rbl/25.2/1320.1327 </t>
  </si>
  <si>
    <t>1320-1327</t>
  </si>
  <si>
    <t>Oancea Simona</t>
  </si>
  <si>
    <t>Influence of enzyme-aided extraction and ultrasonication on phenolics content and antioxidant activity of Paeonia officinalis L. petals</t>
  </si>
  <si>
    <t>Oancea Simona, Perju M., Olosutean H.</t>
  </si>
  <si>
    <t>J. Serb. Chem. Soc.</t>
  </si>
  <si>
    <t>ISSN 0352-5139 (Print), ISSN 1820-7421 (Online)</t>
  </si>
  <si>
    <t xml:space="preserve">https://www.shd-pub.org.rs/index.php/JSCS/article/view/8545/950 </t>
  </si>
  <si>
    <t>10.2298/JSC190807120O</t>
  </si>
  <si>
    <t>845-856</t>
  </si>
  <si>
    <t>Oancea Simona, Drăghici O., Perju M., Dulf F.V.</t>
  </si>
  <si>
    <t>J. Food Nutr. Res.</t>
  </si>
  <si>
    <t xml:space="preserve">1336-8672. </t>
  </si>
  <si>
    <t>https://www.vup.sk/en/index.php?mainID=2&amp;navID=34&amp;version=2&amp;volume=59&amp;article=2180</t>
  </si>
  <si>
    <t>An enzyme-enhanced extraction of anthocyanins from red cabbage and their thermal degradation kinetics</t>
  </si>
  <si>
    <t>Tecucianu A.C., Drăghici O., Oancea Simona</t>
  </si>
  <si>
    <t xml:space="preserve">Acta Alimentaria </t>
  </si>
  <si>
    <t>0139-3006</t>
  </si>
  <si>
    <t xml:space="preserve">10.1556/066.2020.49.2.10 </t>
  </si>
  <si>
    <t>204-213</t>
  </si>
  <si>
    <t>The impact of anthropogenic activities to the level of some POPs residues in bovine milk from several farms in Romania</t>
  </si>
  <si>
    <t>Stegarus D.I., Ionete R.E., Oancea Simona, Lengyel E., Frum A.</t>
  </si>
  <si>
    <t>Studia Universitatis Babes-Bolyai Chemia</t>
  </si>
  <si>
    <t>1224-7154</t>
  </si>
  <si>
    <t xml:space="preserve">http://chem.ubbcluj.ro/~studiachemia/issues/chemia2020_4/13Stegarus_159_176.pdf  </t>
  </si>
  <si>
    <t xml:space="preserve">10.24193/subbchem.2020.4.13 </t>
  </si>
  <si>
    <t>159-176</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</si>
  <si>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</si>
  <si>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</si>
  <si>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</si>
  <si>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</si>
  <si>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</si>
  <si>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</si>
  <si>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DEFINING INDICATORS FOR INVESTIGATING TRADITIONAL HOME-GARDENS IN ROMANIA</t>
  </si>
  <si>
    <t>Antofie MM (ULBS)</t>
  </si>
  <si>
    <t>SCIENTIFIC PAPERS-SERIES MANAGEMENT ECONOMIC ENGINEERING IN AGRICULTURE AND RURAL DEVELOPMENT</t>
  </si>
  <si>
    <t>2284-7995</t>
  </si>
  <si>
    <t>http://www.managementjournal.usamv.ro/pdf/vol.20_4/Art4.pdf</t>
  </si>
  <si>
    <t>WOS:000598213900004</t>
  </si>
  <si>
    <t>31-37</t>
  </si>
  <si>
    <t>INDICATORS FOR INVESTIGATING TRADITIONAL HOME-GARDENS IN ROMANIA - CROPS DIVERSITY IN MOSNA COMMUNE, SIBIU COUNTY</t>
  </si>
  <si>
    <t>Antofie MM, Sava C (ULBS)</t>
  </si>
  <si>
    <t>http://managementjournal.usamv.ro/pdf/vol.20_4/Art5.pdf</t>
  </si>
  <si>
    <t> WOS:000598213900005</t>
  </si>
  <si>
    <t>39-47</t>
  </si>
  <si>
    <t>INDICATORS FOR INVESTIGATING TRADITIONAL HOME-GARDENS IN ROMANIA-VINEYRADS, FRUIT TREES AND CULTIVATED SHRUBS DIVERSITY IN MOȘNA COMMUNE, SIBIU COUNTY</t>
  </si>
  <si>
    <t>http://managementjournal.usamv.ro/pdf/vol.20_4/Art6.pdf</t>
  </si>
  <si>
    <t>WOS:000598213900006</t>
  </si>
  <si>
    <t>49-56</t>
  </si>
  <si>
    <t>THE IMPORTANCE OF THE MELLIFEROUS FLORA FOR THE BEEKEEPING IN GURA RÂULUI COUNTRYSIDE AREA (SIBIU COUNTY), ROMANIA</t>
  </si>
  <si>
    <t>Antonie Iuliana</t>
  </si>
  <si>
    <t>http://managementjournal.usamv.ro/pdf/vol.20_4/Art7.pdf</t>
  </si>
  <si>
    <t>WOS:000598213900007</t>
  </si>
  <si>
    <t>57-63</t>
  </si>
  <si>
    <t>Integrated control of damages and diseases within the forest ecosystem “miercurea sibiului” (Sibiu, romania) in the conditions of the year 2019</t>
  </si>
  <si>
    <t xml:space="preserve">Stanca-Moise Cristina, Blaj R. </t>
  </si>
  <si>
    <t>FSAA</t>
  </si>
  <si>
    <t>Studia Universitatis Vasile Goldis Arad, Seria Stiintele Vietii</t>
  </si>
  <si>
    <t>ISSN: 15842363</t>
  </si>
  <si>
    <t>https://www.scopus.com/record/display.uri?eid=2-s2.0-85097296954&amp;origin=resultslist&amp;sort=plf-f&amp;src=s&amp;st1=Stanc%c4%83+Moise&amp;st2=Cristina&amp;nlo=1&amp;nlr=20&amp;nls=count-f&amp;sid=f45579bd40d782c3d8046c814a427337&amp;sot=anl&amp;sdt=aut&amp;sl=43&amp;s=AU-ID%28%22Stanc%c4%83-Moise%2c+Cristina%22+57191645933%29&amp;relpos=0&amp;citeCnt=0&amp;searchTerm=</t>
  </si>
  <si>
    <t>Scopus</t>
  </si>
  <si>
    <t>149-155</t>
  </si>
  <si>
    <t>Blaj Robert</t>
  </si>
  <si>
    <t>NEW RESEARCH ON THE EVOLUTION OF Lymantria monacha L. (LEPIDOPTERA, LYMANTRIIDAE) IN THE CONDITIONS OF THE YEAR 2019 AND THE CONTROL OF THE PEST POPULATION WITHIN THE MIERCUREA SIBIULUI FOREST RANGE (ROMANIA)</t>
  </si>
  <si>
    <t>Cristina STANCĂ-MOISE, Robert BLAJ</t>
  </si>
  <si>
    <t>Muzeul Olteniei Craiova. Oltenia. Studii şi comunicări. Ştiinţele Naturii</t>
  </si>
  <si>
    <t>ISSN 1454-6914</t>
  </si>
  <si>
    <t>http://olteniastudiisicomunicaristiintelenaturii.ro/v36_2.html</t>
  </si>
  <si>
    <t>http://olteniastudiisicomunicaristiintelenaturii.ro/cont/36_2/III.%20ANIMAL%20BIOLOGY%20III.a.%20INVERTEBRATES%20VARIOUS/12Moise.pdf</t>
  </si>
  <si>
    <t>ZOOR</t>
  </si>
  <si>
    <t>84-90</t>
  </si>
  <si>
    <t>CONTROL OF THE Hylobius abietis L. (COLEOPTERA: CURCULIONIDAE) PEST DURING 2010-2019, WITHIN THE MIERCUREA SIBIULUI FOREST DISTRICT</t>
  </si>
  <si>
    <t>http://olteniastudiisicomunicaristiintelenaturii.ro/cont/36_1/III.%20ANIMAL%20BIOLOGY%20III.a.%20INVERTEBRATES%20VARIOUS/9StancaMoise.pdf</t>
  </si>
  <si>
    <t>73-77</t>
  </si>
  <si>
    <t>THE MAIN CHARACTERISTICS OF AGRICULTURE AND RURAL DEVELOPMENT IN THE CENTRAL REGION OF ROMANIA</t>
  </si>
  <si>
    <t>Cărătuș Stanciu Mirela</t>
  </si>
  <si>
    <t>Scientific Papers-Series Management Economic Engineering in Agriculture and Rural Development</t>
  </si>
  <si>
    <t>http://managementjournal.usamv.ro/pdf/vol.20_4/Art17.pdf</t>
  </si>
  <si>
    <t>131-138</t>
  </si>
  <si>
    <t>Caratus Mirela</t>
  </si>
  <si>
    <t>RESEARCH REGARDING YOUNGER CONSUMERS ATTITUDE, IN RELATION WITH SHEEP MEAT CONSUMPTION</t>
  </si>
  <si>
    <t>http://managementjournal.usamv.ro/pdf/vol.20_4/Art16.pdf</t>
  </si>
  <si>
    <t>125-130</t>
  </si>
  <si>
    <t>TRENDS AND CHANGES IN TOURIST FLOW IN ROMANIA IN THE PERIOD 2009-2018</t>
  </si>
  <si>
    <t>Popescu Agatha, Hontuș Adelaida Cristina, Cărătuș Stanciu Mirela</t>
  </si>
  <si>
    <t>http://managementjournal.usamv.ro/pdf/vol.20_1/Art56.pdf</t>
  </si>
  <si>
    <t>425-436</t>
  </si>
  <si>
    <t>RESEARCH REGARDING CONSUMERS ATTITUDE, IN RELATION
WITH POULTRY MEAT PURCHASE AND CONSUMPTION. CASE
STUDY SIBIU, ROMANIA</t>
  </si>
  <si>
    <t>http://managementjournal.usamv.ro/pdf/vol.20_1/Art17.pdf</t>
  </si>
  <si>
    <t>RESEARCH ON GROWTH INDICATORS IN ABERDEEN
ANGUS YOUTH CATTLE, ACCORDING TO DIFFERENT
INFLUENCING FACTORS</t>
  </si>
  <si>
    <t>I. T.GOCIMAN, G.E.MĂRGINEAN, S. BĂRĂITĂREANU, Mirela Aurora CĂRĂTUȘ, Livia VIDU</t>
  </si>
  <si>
    <t>Scientific Papers. Series D. Animal Science</t>
  </si>
  <si>
    <t xml:space="preserve"> 2285-5750</t>
  </si>
  <si>
    <t>http://animalsciencejournal.usamv.ro/pdf/2020/issue_1/Art46.pdf</t>
  </si>
  <si>
    <t>319-324</t>
  </si>
  <si>
    <t xml:space="preserve">STUDY ON A BETTER MANAGEMENT IN A MODERN FARM USING DIFFERENT FUELS FOR TRACTOR ENGINES  </t>
  </si>
  <si>
    <t>Dumitru Mariana</t>
  </si>
  <si>
    <t>Lucrări Ştiinţifice Management AGRICOL</t>
  </si>
  <si>
    <t xml:space="preserve">Scientific Papers  Series  Management, Economic Engineering in Agriculture  and Rural Development </t>
  </si>
  <si>
    <t xml:space="preserve"> Vol. 20, Issue  4</t>
  </si>
  <si>
    <t>PRINT  ISSN  2284-7995,   E-ISSN 2285-3952</t>
  </si>
  <si>
    <t>http://managementjournal.usamv.ro/pdf/vol.20_4/Art.21.pdf</t>
  </si>
  <si>
    <t>-</t>
  </si>
  <si>
    <t>161-164</t>
  </si>
  <si>
    <t>DEVELOPMENT AND ANALYSIS OF FRUIT BEVERAGES WITH ANTIOXIDANT PROPERTIES</t>
  </si>
  <si>
    <r>
      <rPr>
        <rFont val="arial narrow"/>
        <color rgb="FF000000"/>
        <sz val="10.0"/>
      </rPr>
      <t>Solomatina E.A., Solomatin N.M., Michurinsk State Agr Univ Russia,  Sorokopudov V.N., Sorokopudova O.A., Russian State Agr Univ, Hort &amp; Landscape Engn, Russia Myachikova N.I., Frum A., Belogorode State University, Russia, G</t>
    </r>
    <r>
      <rPr>
        <rFont val="Arial Narrow"/>
        <b/>
        <color rgb="FF000000"/>
        <sz val="10.0"/>
      </rPr>
      <t xml:space="preserve">eorgescu C. </t>
    </r>
    <r>
      <rPr>
        <rFont val="Arial Narrow"/>
        <color rgb="FF000000"/>
        <sz val="10.0"/>
      </rPr>
      <t xml:space="preserve">Lucian Blaga University of Sibiu </t>
    </r>
  </si>
  <si>
    <t xml:space="preserve">Scientific Study &amp; Research Chemistry &amp; Chemical Engineering, Biotechnology, Food Industry </t>
  </si>
  <si>
    <t xml:space="preserve">ISSN 1582-540X </t>
  </si>
  <si>
    <t>http://pubs.ub.ro/?pg=revues&amp;rev=cscc6&amp;num=202004&amp;vol=4&amp;aid=5195</t>
  </si>
  <si>
    <t>CSCC6202004V04S01A0010</t>
  </si>
  <si>
    <t>WOS:000596118000010</t>
  </si>
  <si>
    <t>555-561</t>
  </si>
  <si>
    <t xml:space="preserve"> THE RELATIONSHIP BETWEEN DEMOGRAPHY AND THE DEVELOPMENT OF SMART CITY. CASE STUDY-BUCHAREST. </t>
  </si>
  <si>
    <t>MARCUTA, L. (USAMV),                  MARCUTA, A. (USAMV), IAGARU, P.(ULB), IAGARU, R.(ULB), &amp; DIMEN, L. (UAB)</t>
  </si>
  <si>
    <t>Scientific Papers: Management, Economic Engineering in Agriculture &amp; Rural Development</t>
  </si>
  <si>
    <t>2284-7995  / 2285-3952</t>
  </si>
  <si>
    <t>http://managementjournal.usamv.ro/index.php/scientific-papers/85-vol-20-issue-1?start=60</t>
  </si>
  <si>
    <t>235-239</t>
  </si>
  <si>
    <t>(2020).</t>
  </si>
  <si>
    <t xml:space="preserve">Differences Of The Physicochemical Indicators Of Beverages Wild Elderflower (Sambucus Nigra) From Teleajen Valley, Romania,  
According To The Used Technology
</t>
  </si>
  <si>
    <t>Iancu Maria Lidia</t>
  </si>
  <si>
    <t>CARPATHIAN JOURNAL OF FOOD SCIENCE AND TECHNOLOGY</t>
  </si>
  <si>
    <t xml:space="preserve">Print: ISSN 2066-6845     Online   ISSN-L 2344-5459  ISSN-L 2066-6845       </t>
  </si>
  <si>
    <t>http://chimie-biologie.ubm.ro/carpathian_journal/Vol_12(3)_2020.pdf</t>
  </si>
  <si>
    <t>https://doi.org/10.34302/crpjfst/2020.12.3.16</t>
  </si>
  <si>
    <t>WOS:000579506300016</t>
  </si>
  <si>
    <t>192-200</t>
  </si>
  <si>
    <t>Iancu Maria</t>
  </si>
  <si>
    <t>Advanced identification and quantification of pesticide  residues in vegetables by GC-ToFMS technique</t>
  </si>
  <si>
    <t xml:space="preserve">Diana Ionela Stegarus, Roxana Elena Ionete, Ecaterina Lengyel, Marius Gheorghe Miricioiu, </t>
  </si>
  <si>
    <t>Rev. Chimie</t>
  </si>
  <si>
    <t>2668-8212</t>
  </si>
  <si>
    <t>https://revistadechimie.ro/pdf/23%20STEGARUS%204%2020.pdf</t>
  </si>
  <si>
    <t>https://doi.org/10.37358/RC.20.4.8060,</t>
  </si>
  <si>
    <t>https://www.scopus.com/authid/detail.uri?authorId=14043732700</t>
  </si>
  <si>
    <t>220-229</t>
  </si>
  <si>
    <t>Lengyel Ecaterina</t>
  </si>
  <si>
    <t>USE OF THE CROP CIRCLE ACS-430 DEVICE FOR IDENTIFYING THE NDVI GREEN INDEX IN A CORN CULTURE IN SIBIU COUNTY, ROMANIA</t>
  </si>
  <si>
    <t>Moise George</t>
  </si>
  <si>
    <t>57-62</t>
  </si>
  <si>
    <t>MONITORING AND CONTROL OF THE DEFOLIATOR POPULATION Lymantria monacha (L., 1758) WITHIN THE FORESTRY FIELD RASINARI (SIBIU, ROMANIA).</t>
  </si>
  <si>
    <t>Stanca-Moise Cristina, BRERETON Tom </t>
  </si>
  <si>
    <r>
      <rPr>
        <rFont val="calibri"/>
        <color theme="1"/>
        <sz val="10.0"/>
      </rPr>
      <t>Analele Universitatii din Oradea Fascicula Biologie</t>
    </r>
    <r>
      <rPr>
        <rFont val="Source Sans Pro"/>
        <color theme="1"/>
        <sz val="10.0"/>
      </rPr>
      <t> </t>
    </r>
  </si>
  <si>
    <t>ISSN:1224-5119</t>
  </si>
  <si>
    <t>https://www.bioresearch.ro/2020-1/027-031-AUOFB.27.1.2020-STANCA-MOISE.C.-Monitoring.and.control.pdf</t>
  </si>
  <si>
    <t>https://apps.webofknowledge.com/full_record.do?product=UA&amp;search_mode=GeneralSearch&amp;qid=1&amp;SID=C6kumWLc1BlEpwHfUok&amp;page=1&amp;doc=1</t>
  </si>
  <si>
    <t>ZOOR15611077348</t>
  </si>
  <si>
    <t>27-31</t>
  </si>
  <si>
    <t>Moise Cristina</t>
  </si>
  <si>
    <t>YIELD POTENTIAL AND STABILITY OF SOME SPRING BARLEY VARIETIES AND LINES</t>
  </si>
  <si>
    <r>
      <rPr>
        <rFont val="source sans pro"/>
        <color theme="1"/>
        <sz val="10.0"/>
      </rPr>
      <t>Russu, FM; Porumb, I; Urda, CA</t>
    </r>
    <r>
      <rPr>
        <rFont val="Inherit"/>
        <color theme="1"/>
        <sz val="10.0"/>
        <vertAlign val="superscript"/>
      </rPr>
      <t> </t>
    </r>
    <r>
      <rPr>
        <rFont val="Source Sans Pro"/>
        <color theme="1"/>
        <sz val="10.0"/>
      </rPr>
      <t>; Filip, E; </t>
    </r>
    <r>
      <rPr>
        <rFont val="Inherit"/>
        <color theme="1"/>
        <sz val="10.0"/>
      </rPr>
      <t>Stanca-Moise, C</t>
    </r>
    <r>
      <rPr>
        <rFont val="Source Sans Pro"/>
        <color theme="1"/>
        <sz val="10.0"/>
      </rPr>
      <t>; Varadi, A; Vasilescu, L; Petcu, E.</t>
    </r>
  </si>
  <si>
    <r>
      <rPr>
        <rFont val="source sans pro"/>
        <color rgb="FF333333"/>
        <sz val="10.0"/>
      </rPr>
      <t>ISSN: </t>
    </r>
    <r>
      <rPr>
        <rFont val="Calibri"/>
        <color rgb="FF000000"/>
        <sz val="10.0"/>
      </rPr>
      <t>2284-7995</t>
    </r>
  </si>
  <si>
    <t>http://managementjournal.usamv.ro/pdf/vol.20_1/Art65.pdf</t>
  </si>
  <si>
    <t>https://apps.webofknowledge.com/full_record.do?product=UA&amp;search_mode=GeneralSearch&amp;qid=1&amp;SID=C6kumWLc1BlEpwHfUok&amp;page=1&amp;doc=2</t>
  </si>
  <si>
    <t>WOS:000521743100065</t>
  </si>
  <si>
    <t>533-538</t>
  </si>
  <si>
    <t>FOREST AND AGRICULTURAL ECOSYSTEMS PESTS (LEPIDOPTERA), PRESERVED IN THE ENTOMOLOGICAL COLLECTIONS OF THE NATURAL HISTORY MUSEUM IN SIBIU (ROMANIA)</t>
  </si>
  <si>
    <t>Cristina STANCĂ-MOISE</t>
  </si>
  <si>
    <r>
      <rPr>
        <rFont val="calibri"/>
        <color theme="1"/>
        <sz val="10.0"/>
      </rPr>
      <t>Analele Universitatii din Oradea Fascicula Biologie</t>
    </r>
    <r>
      <rPr>
        <rFont val="Source Sans Pro"/>
        <color theme="1"/>
        <sz val="10.0"/>
      </rPr>
      <t> </t>
    </r>
  </si>
  <si>
    <t>ISSN: 1224-5119</t>
  </si>
  <si>
    <t>https://www.bioresearch.ro/2020-2.html</t>
  </si>
  <si>
    <t>https://www.bioresearch.ro/2020-2/224-232-AUOFB.27.2.2020-STANCA-MOISE.C-Forest.and.agricultural.pdf</t>
  </si>
  <si>
    <t>224-232</t>
  </si>
  <si>
    <t>Immunostimulatory potential of natural compounds and extracts: a review</t>
  </si>
  <si>
    <t>Stroe A.C., Oancea Simona</t>
  </si>
  <si>
    <t xml:space="preserve">Current Nutrition &amp; Food Science </t>
  </si>
  <si>
    <t>ISSN: 2212-3881 (Online); ISSN: 1573-4013 (Print).</t>
  </si>
  <si>
    <t xml:space="preserve">https://www.eurekaselect.com/170390/article </t>
  </si>
  <si>
    <t>10.2174/1573401315666190301154200</t>
  </si>
  <si>
    <t>WOS:000550991000003</t>
  </si>
  <si>
    <t>444-454</t>
  </si>
  <si>
    <t>Thermochemical decomposition of sewage sludge - An eco-friendly solution for a sustainable energy future by using wastes</t>
  </si>
  <si>
    <t>Zaharioiu A., Bucura F., Ionete E.I., Ionete R.E., Ebrasu D., Sandru C., Marin F., Oancea Simona, Niculescu V., Miricioiu M.G., Constantinescu M.</t>
  </si>
  <si>
    <t>Rev. Chim.</t>
  </si>
  <si>
    <t>0034-7752</t>
  </si>
  <si>
    <t>https://revistadechimie.ro/pdf/17%20ZAHAROIU%2010%2020.pdf</t>
  </si>
  <si>
    <t>10.37358/RC.20.10.8361</t>
  </si>
  <si>
    <t>https://www.scopus.com/authid/detail.uri?authorId=6603658504</t>
  </si>
  <si>
    <t>171–181</t>
  </si>
  <si>
    <t>A historical perspective of food and medicinal uses of antioxidants from natural sources</t>
  </si>
  <si>
    <t>Tecucianu A.C., Oancea Simona</t>
  </si>
  <si>
    <t>Acta Musei Brukenthal</t>
  </si>
  <si>
    <t>1842-2691</t>
  </si>
  <si>
    <t>http://www.brukenthalmuseum.ro/pdf/BAM/BAM%20XV3.pdf</t>
  </si>
  <si>
    <t>https://www.scopus.com/sources.uri</t>
  </si>
  <si>
    <t>http://www.brukenthalmuseum.ro/publicatii_en/01.htm</t>
  </si>
  <si>
    <t>511-524</t>
  </si>
  <si>
    <t>An overview on edible mushrooms with health benefits and applications in the food industry</t>
  </si>
  <si>
    <t>Popa-Vecerdea F.M., Oancea Simona</t>
  </si>
  <si>
    <t>525-536</t>
  </si>
  <si>
    <t>Influence of enzymatic and ultrasonic extraction on phenolics content and antioxidant activity of Hibiscus sabdariffa L. flowers</t>
  </si>
  <si>
    <t>Oancea Simona, Perju M.</t>
  </si>
  <si>
    <t>Bulgarian Chemical Communications</t>
  </si>
  <si>
    <t>D</t>
  </si>
  <si>
    <t xml:space="preserve">0324-1130 </t>
  </si>
  <si>
    <t>http://www.bcc.bas.bg/</t>
  </si>
  <si>
    <t>25-29</t>
  </si>
  <si>
    <t>Sava Camelia</t>
  </si>
  <si>
    <t>How To Use Production Functions Characteristics Of Economic Processes In Agriculture. Physical (Technical) Functions,</t>
  </si>
  <si>
    <t>Simtion Daniela</t>
  </si>
  <si>
    <t xml:space="preserve"> Scientific Papers Series Management, Economic Engineering in Agriculture and Rural Development, </t>
  </si>
  <si>
    <t>Vol. 20,</t>
  </si>
  <si>
    <t xml:space="preserve"> Issue 4, </t>
  </si>
  <si>
    <t xml:space="preserve">ISSN 2284-7995, 2020, </t>
  </si>
  <si>
    <t xml:space="preserve">http://managementjournal.usamv.ro/pdf/vol.20_4/Art56.pdf, </t>
  </si>
  <si>
    <t>000598213900056</t>
  </si>
  <si>
    <t>487-490</t>
  </si>
  <si>
    <t xml:space="preserve">Legal Tax Evasion Through Stock Exchange Games, </t>
  </si>
  <si>
    <t xml:space="preserve"> http://managementjournal.usamv.ro/pdf/vol.20_4/Art57.pdf</t>
  </si>
  <si>
    <t>000598213900057</t>
  </si>
  <si>
    <t xml:space="preserve">491-494 </t>
  </si>
  <si>
    <t>Biological active compounds from native food sources for fermented dairy products</t>
  </si>
  <si>
    <r>
      <rPr>
        <rFont val="Times New Roman"/>
        <color theme="1"/>
        <sz val="12.0"/>
      </rPr>
      <t>Mihaela TIŢA (ULBS)</t>
    </r>
    <r>
      <rPr>
        <rFont val="Times New Roman"/>
        <i/>
        <color rgb="FF000000"/>
        <sz val="12.0"/>
      </rPr>
      <t>,Cristina POPOVICI(Technical</t>
    </r>
    <r>
      <rPr>
        <rFont val="Times New Roman"/>
        <color rgb="FF000000"/>
        <sz val="12.0"/>
      </rPr>
      <t xml:space="preserve"> University of Moldova, Republica Moldova, Loreta TAMOŠAITIENE( Klaipeda State University of Applied Sciences, Lithuania), Vijole Bradauskiene          ( Klaipeda State University of Applied Sciences, Lithuania)</t>
    </r>
  </si>
  <si>
    <t>Ukrainian Food Journal</t>
  </si>
  <si>
    <t>2304-974X</t>
  </si>
  <si>
    <t>http://ufj.ho.ua/Archiv/UKRAINIAN%20FOOD%20JOURNAL%202020%20V.9%20Is.1.pdf</t>
  </si>
  <si>
    <t>DOI:10.24263/2304-974X-2020-9-1-4</t>
  </si>
  <si>
    <t>WOS:000528264700002</t>
  </si>
  <si>
    <t>p.36-46.</t>
  </si>
  <si>
    <t>Effect of chufa flour addition on characteristics of yoghurt quality</t>
  </si>
  <si>
    <t xml:space="preserve">Ovidiu Tița, Cristina Popovici, Loreta Tamošaitienė, Vijole Bradauskiene, Mihaela Adriana Tita, </t>
  </si>
  <si>
    <t>http://www.ufj.ho.ua/Archiv/UKRAINIAN%20FOOD%20JOURNAL%202020%20V.9%20Is.3.pdf#page=128</t>
  </si>
  <si>
    <t>DOI:10.24263/2304-974X-2020-9-3-11</t>
  </si>
  <si>
    <r>
      <rPr>
        <rFont val="Times New Roman"/>
        <color theme="1"/>
        <sz val="12.0"/>
      </rPr>
      <t>WOS:</t>
    </r>
    <r>
      <rPr>
        <rFont val="Calibri"/>
        <color rgb="FF000000"/>
        <sz val="11.0"/>
      </rPr>
      <t>000590975900009</t>
    </r>
  </si>
  <si>
    <t>624-635</t>
  </si>
  <si>
    <r>
      <rPr>
        <rFont val="Times New Roman"/>
        <b/>
        <color theme="1"/>
        <sz val="10.0"/>
      </rPr>
      <t>Ovidiu Tița</t>
    </r>
    <r>
      <rPr>
        <rFont val="Times New Roman"/>
        <b val="0"/>
        <color rgb="FF000000"/>
        <sz val="10.0"/>
      </rPr>
      <t>- Lucian Blaga University of Sibiu, Sibiu, Romania;  Cristina Popovici- Technical University of Moldova, Chisinau, Moldova; Loreta Tamošaitienė - Klaipeda State University of Applied Sciences, Klaipeda, Lithuania;  Vijole Bradauskiene- Kaunas University of Technologie, Food Institute, Kaunas, Lithuania;  Mihaela Adriana Tița - Lucian Blaga University of Sibiu, Sibiu, Romania</t>
    </r>
  </si>
  <si>
    <t>ISSN 2313–5891 (Online) ISSN 2304–974X (Print)</t>
  </si>
  <si>
    <t>DOI: 10.24263/2304- 974X-2020-9-3-11</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</si>
  <si>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</si>
  <si>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</si>
  <si>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</si>
  <si>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</si>
  <si>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</si>
  <si>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</si>
  <si>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</si>
  <si>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</si>
  <si>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</si>
  <si>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PUBLIC OPINION AND PUBLIC FOREST MANAGEMENT POLICIES IN THE CONTEXT OF COVID-19</t>
  </si>
  <si>
    <t>Articol</t>
  </si>
  <si>
    <t>Bratu I.A. (Univ."Lucian Blaga"), Dincă L. (INCDS)</t>
  </si>
  <si>
    <t>Review of Management and Economic Engineering</t>
  </si>
  <si>
    <t>http://conference.rmee.org/</t>
  </si>
  <si>
    <t>Bratu Alexandru</t>
  </si>
  <si>
    <t>Overcoming the barriers of consignment stock policy implementation in a manufacturing company</t>
  </si>
  <si>
    <t>articol</t>
  </si>
  <si>
    <t>M. Faur, A. Sipos, C. Bungau and C.I. Gherghea</t>
  </si>
  <si>
    <t>Annual Session of Scientific Papers - IMT Oradea 2020,  IOP Conf. Series: Materials Science and Engineering</t>
  </si>
  <si>
    <t>10.1088/1757-899X/898/1/012026</t>
  </si>
  <si>
    <t>https://imt.uoradea.ro/conference/Proceedings_2020.pdf, https://iopscience.iop.org/issue/1757-899X/898/1</t>
  </si>
  <si>
    <t xml:space="preserve">Balneary Tourism, a Chance for Sustainable Regional Development </t>
  </si>
  <si>
    <t>ULBS</t>
  </si>
  <si>
    <t>Nicula V. (ULBS), Spânu Simona (ULBS)</t>
  </si>
  <si>
    <t>Organizations and Performance in a Complex World</t>
  </si>
  <si>
    <t>ISBN 978-3-030-50676-6</t>
  </si>
  <si>
    <t>205-216</t>
  </si>
  <si>
    <t>https://www.springer.com/gp/book/9783030506759</t>
  </si>
  <si>
    <t>www.iecs</t>
  </si>
  <si>
    <t>Spanu Simona</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</si>
  <si>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</si>
  <si>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</si>
  <si>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</si>
  <si>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</si>
  <si>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</si>
  <si>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</si>
  <si>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</si>
  <si>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</si>
  <si>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</si>
  <si>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Assessment of the Distribution and Characteristics of the Oldest Forest Stand from the Romanian's Western Plain.</t>
  </si>
  <si>
    <t>Dincă L. (INCDS), Bratu I.A. (Univ."Lucian Blaga")</t>
  </si>
  <si>
    <t>Bulletin of the University of Agricultural Sciences &amp; Veterinary Medicine Cluj-Napoca. Animal Science &amp; Biotechnologies</t>
  </si>
  <si>
    <t>1843-5246</t>
  </si>
  <si>
    <t>9-14</t>
  </si>
  <si>
    <t>EBSCO, CABI</t>
  </si>
  <si>
    <t>http://journals.usamvcluj.ro/index.php/agriculture/article/view/13917</t>
  </si>
  <si>
    <t>Contributions to the Characterization of Forest Soils from Calarasi County</t>
  </si>
  <si>
    <t>JOURNAL of Horticulture, Forestry and Biotechnology</t>
  </si>
  <si>
    <t>2066-1797</t>
  </si>
  <si>
    <t>46-49</t>
  </si>
  <si>
    <t>IndexCopernicus, CABI</t>
  </si>
  <si>
    <t>https://drive.google.com/file/d/11xMACfg7Qp4rueZkbcwL70dtmC0hQIwR/view?usp=sharing</t>
  </si>
  <si>
    <t>Study of awareness of food labeling among consumers in North-West Russia</t>
  </si>
  <si>
    <r>
      <rPr>
        <rFont val="arial narrow"/>
        <color theme="1"/>
        <sz val="10.0"/>
      </rPr>
      <t>Mark Shamtsyan</t>
    </r>
    <r>
      <rPr>
        <rFont val="Arial Narrow"/>
        <color rgb="FF000000"/>
        <sz val="10.0"/>
      </rPr>
      <t>, Boris Kolesnikov, Mikhail Pushkarev - SIT-Russia, Liviu Gaceu, Oana Bianca Oprea Universitatea Transilvania din Brasov, Iulia Iatco rep Moldova, Dumitru Mnerie, Gabriela Mnerie Timisoara, Ovidiu Tita, Mihaela Tita, </t>
    </r>
    <r>
      <rPr>
        <rFont val="Arial Narrow"/>
        <b/>
        <color rgb="FF000000"/>
        <sz val="10.0"/>
      </rPr>
      <t>Cecilia Georgescu</t>
    </r>
    <r>
      <rPr>
        <rFont val="Arial Narrow"/>
        <color rgb="FF000000"/>
        <sz val="10.0"/>
      </rPr>
      <t>, Monica Mironescu, -ULBS, Stefan Stefanov and Stanka Damianova, Bulgaria</t>
    </r>
  </si>
  <si>
    <t xml:space="preserve"> E3S Web of Conf.
International Scientific Conference on Biotechnology and Food Technology (BFT-2020)</t>
  </si>
  <si>
    <t>eISSN: 2267-1242</t>
  </si>
  <si>
    <t>1-8</t>
  </si>
  <si>
    <t xml:space="preserve"> - Google Scholar
- EDP Sciences database</t>
  </si>
  <si>
    <t xml:space="preserve">10.1051/e3sconf/202021501002 </t>
  </si>
  <si>
    <t>STRATEGIC MANAGEMENT OF SUSTAINABLE VALORIZATION OF ENDOGENIC RESOURCES IN GUȘOENI COMMUNE, VÂLCEA COUNTY.</t>
  </si>
  <si>
    <t>Nicolae, Concioiu (UCV); Romulus, Iagăru (ULB)</t>
  </si>
  <si>
    <t>Annals of the University of Craiova, Economic Sciences Series</t>
  </si>
  <si>
    <t>1223-365X</t>
  </si>
  <si>
    <t>63-70</t>
  </si>
  <si>
    <t>RePEC, EBSCO, DOAJ and CEEOL</t>
  </si>
  <si>
    <t>http://feaa.ucv.ro/annals/v1_2020/006.pdf</t>
  </si>
  <si>
    <t>Identification and quantification of total polyphenols in musts and aromatic and semiaromatic wines</t>
  </si>
  <si>
    <t>Ioana Rebenciuc, Ecaterina Lengyel, Diana Ionela Stegăruș, Petru Alexe, Anamaria Călugăr</t>
  </si>
  <si>
    <t>AAB BIOFLUX</t>
  </si>
  <si>
    <t>2067-6352</t>
  </si>
  <si>
    <t>106-111</t>
  </si>
  <si>
    <t>CABI, PROQUEST</t>
  </si>
  <si>
    <t>http://www.aab.bioflux.com.ro/docs/2020.106-111.pdf</t>
  </si>
  <si>
    <r>
      <rPr>
        <rFont val="arial narrow"/>
        <color theme="1"/>
        <sz val="10.0"/>
      </rPr>
      <t>Mark Shamtsyan</t>
    </r>
    <r>
      <rPr>
        <rFont val="Arial Narrow"/>
        <color rgb="FF000000"/>
        <sz val="10.0"/>
      </rPr>
      <t>, Boris Kolesnikov, Mikhail Pushkarev - SIT-Russia, Liviu Gaceu, Oana Bianca Oprea Universitatea Transilvania din Brasov, Iulia Iatco rep Moldova, Dumitru Mnerie, Gabriela Mnerie Timisoara, Ovidiu Tita, Mihaela Tita, </t>
    </r>
    <r>
      <rPr>
        <rFont val="Arial Narrow"/>
        <color rgb="FF000000"/>
        <sz val="10.0"/>
      </rPr>
      <t>Cecilia Georgescu,</t>
    </r>
    <r>
      <rPr>
        <rFont val="Arial Narrow"/>
        <color rgb="FF000000"/>
        <sz val="10.0"/>
      </rPr>
      <t> </t>
    </r>
    <r>
      <rPr>
        <rFont val="Arial Narrow"/>
        <b/>
        <color rgb="FF000000"/>
        <sz val="10.0"/>
      </rPr>
      <t>Monica Mironescu</t>
    </r>
    <r>
      <rPr>
        <rFont val="Arial Narrow"/>
        <color rgb="FF000000"/>
        <sz val="10.0"/>
      </rPr>
      <t>, -ULBS, Stefan Stefanov and Stanka Damianova, Bulgaria</t>
    </r>
  </si>
  <si>
    <t>FSSA2</t>
  </si>
  <si>
    <t xml:space="preserve"> E3S Web of Conf. Volume 215, 2020 International Scientific Conference on Biotechnology and Food Technology (BFT-2020)</t>
  </si>
  <si>
    <t>Mironescu Monica</t>
  </si>
  <si>
    <t>MANAGEMENT OF URINARY TRACT INFECTIONS</t>
  </si>
  <si>
    <t xml:space="preserve">Magda PANAITESCU , Daniela Maria ȘANDRU Universidad ”Latina” de Panama, Rep. de Panama,  “Lucian Blaga” University of Sibiu, Romania, </t>
  </si>
  <si>
    <t xml:space="preserve">FSAA2 </t>
  </si>
  <si>
    <t xml:space="preserve">Management of Sustainable Development Sibiu, Romania, </t>
  </si>
  <si>
    <t>2247 – 0220</t>
  </si>
  <si>
    <t>Iunie 2020</t>
  </si>
  <si>
    <t>33-35</t>
  </si>
  <si>
    <t>BDI</t>
  </si>
  <si>
    <t>https://msdjournal.org/wp-content/uploads/vol12issue1-5.pdf</t>
  </si>
  <si>
    <t>Sandru Daniela</t>
  </si>
  <si>
    <t>THE ANTIBACTERIAL POTENTIAL OF ESSENTIAL OILS ON PROPIONIBACTERIUM GRANULOSUM STRAINS</t>
  </si>
  <si>
    <t xml:space="preserve">Șandru, Daniela Maria and Panaitescu, Magda “Lucian Blaga” University of Sibiu, Romania,   Universidad ”Latina” de Panama, Rep. de Panama, </t>
  </si>
  <si>
    <t>Decembrie 2020</t>
  </si>
  <si>
    <t>21-24</t>
  </si>
  <si>
    <t>https://msdjournal.org/wp-content/uploads/vol12issue2-3.pdf</t>
  </si>
  <si>
    <t>Research on the evolution of sensory and physico-chemical characteristics of butter with the addition of mint and peppermint</t>
  </si>
  <si>
    <t>Mihaela Adriana Tiţa (ULBS), Butoi Laurenţiu(Liceul Tehnologic de Industrie Alimentara Sibiu)</t>
  </si>
  <si>
    <t>Management of Sustainable Development</t>
  </si>
  <si>
    <t>Volume 12</t>
  </si>
  <si>
    <t>No. 1</t>
  </si>
  <si>
    <t>2247-0220</t>
  </si>
  <si>
    <t>19-20</t>
  </si>
  <si>
    <t>EBSCO, Google Scholar,  Index Copernicus ,  J-Gate, ResearchGate,</t>
  </si>
  <si>
    <t>http://rosita.ro/jeat/archive/1_2019.pdf</t>
  </si>
  <si>
    <t>MARKETING ASPECTS OF YOGHURT ENHANCEDWITH TAPIOCA</t>
  </si>
  <si>
    <t>4. Moga, Valentina Mădălina (High Schoolof Food Industry), Tița, Mihaela Adriana (ULBS)</t>
  </si>
  <si>
    <t>Vol.12</t>
  </si>
  <si>
    <t>No.2</t>
  </si>
  <si>
    <t>12-20</t>
  </si>
  <si>
    <t>Studies on the implementation of an innovative "fatty" dairy product with bioactive components</t>
  </si>
  <si>
    <t>M. Păunoiu (SC.Boromir SA), M. Tiţa (ULBS),</t>
  </si>
  <si>
    <t>Journal of  EcoAgriTourism</t>
  </si>
  <si>
    <t>Vol. 16</t>
  </si>
  <si>
    <t>1844-8577</t>
  </si>
  <si>
    <t>56-63</t>
  </si>
  <si>
    <t>CNCSIS cod 910 , CAB Abstracts , Global Health, Jeat.</t>
  </si>
  <si>
    <t>1.      http://rosita.ro/jeat/archive/2_2020.pdf</t>
  </si>
  <si>
    <t>M. Tiţa, O.Popa</t>
  </si>
  <si>
    <t>M. Tiţa (ULBS), O.Popa (ULBS)</t>
  </si>
  <si>
    <t>64-71</t>
  </si>
  <si>
    <t>Biochemical  approaches  for goat milk yogurt production</t>
  </si>
  <si>
    <t xml:space="preserve"> Cristina POPOVICI(TechnicalUniversityofMoldova, Chisinau), Mihaela Adriana TIȚA (ULBS), Anatolii CARTASEV (ScientificandPracticalInstituteofHorticultureandFoodTechnology, Chisinau), Vladislav RESITCA (ScientificandPracticalInstituteofHorticultureandFoodTechnology, Chisinau), Nina BOGDAN (ScientificandPracticalInstituteofHorticultureandFoodTechnology, Chisinau), Olga MIGALATIEV(ScientificandPracticalInstituteofHorticultureandFoodTechnology, Chisinau)</t>
  </si>
  <si>
    <t>Scientific Bulletin. Series F. Biotechnologies</t>
  </si>
  <si>
    <t>Vol. XXIV</t>
  </si>
  <si>
    <t>ISSN 2285-1364</t>
  </si>
  <si>
    <t>49-50</t>
  </si>
  <si>
    <r>
      <rPr>
        <rFont val="calibri"/>
        <color theme="1"/>
        <sz val="12.0"/>
      </rPr>
      <t>INDEX COPERNICUS,</t>
    </r>
    <r>
      <rPr>
        <rFont val="Times New Roman"/>
        <color rgb="FF000000"/>
        <sz val="12.0"/>
      </rPr>
      <t xml:space="preserve"> CABI, DOAJ, GOOGLE SCHOLAR, SCIPIO</t>
    </r>
  </si>
  <si>
    <t xml:space="preserve"> http://biotechnologyjournal.usamv.ro/pdf/2020/issue_2/Art6.pdf</t>
  </si>
  <si>
    <t>Ensuring sustainability in dairy processing for a circular economy</t>
  </si>
  <si>
    <t>Journal of EcoAgriTourism</t>
  </si>
  <si>
    <t xml:space="preserve">ISNB:1844-8577 </t>
  </si>
  <si>
    <t>72-76</t>
  </si>
  <si>
    <t>CAB Abstracts, Global Health</t>
  </si>
  <si>
    <t xml:space="preserve">http://rosita.ro/jeat/archive/2_2020.pdf  </t>
  </si>
  <si>
    <t>Study of the chemical composition and antioxidant activity of some varieties of young red wines from different vineyards in southern Romania</t>
  </si>
  <si>
    <r>
      <rPr>
        <rFont val="Times New Roman"/>
        <color theme="1"/>
        <sz val="10.0"/>
      </rPr>
      <t xml:space="preserve">Onache Petronela Anca – INCDBH Stefanesti, Arges; Sumedrea Dorin Ioan - INCDBH Stefanesti, Arges; </t>
    </r>
    <r>
      <rPr>
        <rFont val="Times New Roman"/>
        <b/>
        <color rgb="FF000000"/>
        <sz val="10.0"/>
      </rPr>
      <t>Tita Ovidiu</t>
    </r>
    <r>
      <rPr>
        <rFont val="Times New Roman"/>
        <color rgb="FF000000"/>
        <sz val="10.0"/>
      </rPr>
      <t xml:space="preserve"> – Universitatea “Lucian Blaga” Sibiu; Nicolescu Eugen – VITIS SA Babadag</t>
    </r>
  </si>
  <si>
    <t>Scientific Papers. Series B, Horticulture.</t>
  </si>
  <si>
    <t>LXIV</t>
  </si>
  <si>
    <t>Print ISSN 2285-5653, CD-ROM ISSN 2285-5661, Online ISSN 2286-1580, ISSN-L 2285-5653</t>
  </si>
  <si>
    <t>307-315</t>
  </si>
  <si>
    <t>Web of Science Core Collection (Emerging Sources Citation Index - THOMSON REUTERS), CABI, INDEX COPERNICUS, CNCSIS B+ , Ulrich's Periodicals Directory, Google Scholar, PBN (Polish Scholarly Bibliography), Scipio, Scientific Indexing Service, OCLC (WorldCat), Research bible</t>
  </si>
  <si>
    <t>http://horticulturejournal.usamv.ro/pdf/2020/issue_1/Art46.pdf</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</si>
  <si>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</si>
  <si>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</si>
  <si>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 http://cercetare.ulbsibiu.ro/siepas.html.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</si>
  <si>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</si>
  <si>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</si>
  <si>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</si>
  <si>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</si>
  <si>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</si>
  <si>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</si>
  <si>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</si>
  <si>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</si>
  <si>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</si>
  <si>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</si>
  <si>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GENETICALLY MODIFIED AND IRRADIATED FOOD: CONTROVERSIAL ISSUES: FACTS VERSUS PERCEPTIONS</t>
  </si>
  <si>
    <t>Mathe E. (HU, Debretin Univ.), Antofie MM</t>
  </si>
  <si>
    <t>ACADEMIC PRESS LTD-ELSEVIER SCIENCE LTD, 125 LONDON WALL, LONDON EC2Y 5AS, ENGLAND</t>
  </si>
  <si>
    <t>978-0-12-817241-4; 978-0-12-817240-7</t>
  </si>
  <si>
    <t>ian.</t>
  </si>
  <si>
    <t>Capitol "Improving the Training Methods for Designers of Flexible Production Cells in Factories of the Future" in: Boosting Collaborative Networks 4.0</t>
  </si>
  <si>
    <t>Mironescu I., Crăciunean DC., Florea A., Bondrea I.</t>
  </si>
  <si>
    <t>SpringerLink</t>
  </si>
  <si>
    <t>978-3-030-62412-5</t>
  </si>
  <si>
    <t>Nov</t>
  </si>
  <si>
    <t>Mironescu Ion</t>
  </si>
  <si>
    <t>IMPROVING THE CONSISTENCY OF COW'S MILK YOGURT By adding tapioca powder</t>
  </si>
  <si>
    <t xml:space="preserve"> Moga Valentina Madalina, Mihaela-Adriana Tita, </t>
  </si>
  <si>
    <t xml:space="preserve"> https://www.lap-publishing.com/catalog/details/store/tr/book/978-620-3-19796-9/improving-the-consistency-of-cow-s-milk-yogurt?search=tita%20miahela</t>
  </si>
  <si>
    <t>ISBN 978-620-3-19796-9</t>
  </si>
  <si>
    <t>decembrie</t>
  </si>
  <si>
    <t>Destination Management and Marketing: Breakthroughs in Research and Practice, Cap. 68 - Ways to Promoting Rural, Cultural and Gastronomical Tourism in Mărginimea Sibiului (pages 1206-1214)</t>
  </si>
  <si>
    <t>Nicula V., Spânu Simona</t>
  </si>
  <si>
    <t>IGI-Global https://www.igi-global.com/chapter/ways-to-promoting-rural-cultural-and-gastronomical-tourism-in-mrginimea-sibiului/251105</t>
  </si>
  <si>
    <t>DOI: 10.4018/978-1-7998-2469-5.ch068</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</si>
  <si>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</si>
  <si>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</si>
  <si>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</si>
  <si>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</si>
  <si>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</si>
  <si>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</si>
  <si>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</si>
  <si>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</si>
  <si>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TRATAT DE BIOTEHNOLOGIE GENERALĂ, VOUMUL I: SECOLUL XXI - SECOLUL BIOTEHNOLOGIEI</t>
  </si>
  <si>
    <t>Antofie MM</t>
  </si>
  <si>
    <t>978-606-12-1817-2</t>
  </si>
  <si>
    <t>Dec</t>
  </si>
  <si>
    <t>Managementul ecosistemelor forestiere cu plop tremurător și mesteacăn. Oportunități de valorizare.</t>
  </si>
  <si>
    <t>Bratu Iulian Alexandru</t>
  </si>
  <si>
    <t>Editura Universitară, București</t>
  </si>
  <si>
    <t>978-606-28-1204-1</t>
  </si>
  <si>
    <t>Operații unitare în industria alimentară, Volumul 1. Fenomene de transfer</t>
  </si>
  <si>
    <t>Ciprian Capatana, Mihai Văduva</t>
  </si>
  <si>
    <t>Editura ULBS</t>
  </si>
  <si>
    <t>978-606-12-1810-3</t>
  </si>
  <si>
    <t>Capatana Ciprian</t>
  </si>
  <si>
    <t>Protecția anticorozivă a metalelor și aliajelor</t>
  </si>
  <si>
    <t>Crețu C.M.</t>
  </si>
  <si>
    <t>Editura Universității Lucian Blaga din Sibiu</t>
  </si>
  <si>
    <t>978-606-12-1746-5</t>
  </si>
  <si>
    <t>mai</t>
  </si>
  <si>
    <t>Cretu Monica</t>
  </si>
  <si>
    <t>Elemente de Didactica disciplinelor de Inginerie alimentară</t>
  </si>
  <si>
    <t>Danciu Cristina-Anca</t>
  </si>
  <si>
    <t>978-606-12-1776-2</t>
  </si>
  <si>
    <t>Danciu Cristina</t>
  </si>
  <si>
    <t>Organoleptica</t>
  </si>
  <si>
    <t>Editura Performantica (acreditată CNCSIS), Iași</t>
  </si>
  <si>
    <t xml:space="preserve"> ISBN: 978-606-685-723-9</t>
  </si>
  <si>
    <t>septembrie</t>
  </si>
  <si>
    <t>Procese suport ale sistemului de management al
calității și siguranței alimentului în industria
fermentativă</t>
  </si>
  <si>
    <t>Mariana Liliana PĂCALĂ, Lucica BRUDIU</t>
  </si>
  <si>
    <t>Editura Universităţii „Lucian Blaga“ din Sibiu</t>
  </si>
  <si>
    <t>978-606-12-1821-9</t>
  </si>
  <si>
    <t xml:space="preserve">decembrie </t>
  </si>
  <si>
    <t>Pacala Mariana</t>
  </si>
  <si>
    <t>Cachita CD, Sava C</t>
  </si>
  <si>
    <t xml:space="preserve">Matlab-Simulink : Interfeţe grafice - exemple și aplicaţii 
Exemple și aplicaţii în ingineria produselor alimentare
</t>
  </si>
  <si>
    <t>Şipoş Anca</t>
  </si>
  <si>
    <t>Editura Universităţii "Lucian Blaga" din Sibiu</t>
  </si>
  <si>
    <t>978-606-12-1804-2</t>
  </si>
  <si>
    <t>Abordări și studii de caz relevante privind managementul organizațiilor din România, în contextul pandemiei COVID-19 / Cap. Strategii de marketing pentru produsele apicole ecologice valorificate în cadrul parteneriatului ”Apii-delicii hunedorene”, pag. 213-221</t>
  </si>
  <si>
    <t>ProUniversitaria</t>
  </si>
  <si>
    <t>978-606-26-1244-3</t>
  </si>
  <si>
    <t>dec.</t>
  </si>
  <si>
    <t>Tehnologia fabricării turtei dulci</t>
  </si>
  <si>
    <t>Tulbure Anca</t>
  </si>
  <si>
    <t>978-606-12-1775-5</t>
  </si>
  <si>
    <t>Operații unitare în industraia alimentară, Vol.1, Fenomene de Transfer</t>
  </si>
  <si>
    <t>Ciprian Căpățână Mihai Văduva</t>
  </si>
  <si>
    <t>Editura Universităţii  „Lucian Blaga” din Sibiu</t>
  </si>
  <si>
    <t xml:space="preserve">978-606-12-1810-3
  978-606-12-1811-0
</t>
  </si>
  <si>
    <t>Vaduva Mihai</t>
  </si>
  <si>
    <t>ECHIPAMENTE PENTRU MĂRIREA CAPACITĂȚII DE PRODUCȚIE ÎN
INDUSTRIA CĂRNII</t>
  </si>
  <si>
    <t>Drăghici Olga</t>
  </si>
  <si>
    <t>Ed. Univ. ”L.Blaga” din Sibiu</t>
  </si>
  <si>
    <t>dec</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</si>
  <si>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</si>
  <si>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</si>
  <si>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</si>
  <si>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</si>
  <si>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</si>
  <si>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http://cercetare.ulbsibiu.ro):</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</si>
  <si>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</si>
  <si>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</si>
  <si>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</si>
  <si>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</si>
  <si>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</si>
  <si>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</si>
  <si>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</si>
  <si>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</si>
  <si>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</si>
  <si>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</si>
  <si>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</si>
  <si>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</si>
  <si>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</si>
  <si>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</si>
  <si>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Current political commitments’ challenges for ex situ conservation of plant genetic resources for food and agriculture</t>
  </si>
  <si>
    <t>AKINBOBOYE, T., ADETOLA, B., &amp; AGBELUSI, E. (2020). DIVERSITY AND STATUS OF FAUNA SPECIES IN THE ZOOS OF SOUTHWEST NIGERIA. Ethiopian Journal of Environmental Studies &amp; Management, 13(4), 476-485.</t>
  </si>
  <si>
    <t>https://ejesm.org/wp-content/uploads/2020/08/ejesm.v13i4.8.pdf</t>
  </si>
  <si>
    <t>Google academic</t>
  </si>
  <si>
    <t>Antofie MM, Mitoi ME</t>
  </si>
  <si>
    <t>Tang, L. P., Zhang, X. S., &amp; Su, Y. H. (2020). Regulation of cell reprogramming by auxin during somatic embryogenesis. aBIOTECH, 1-9.</t>
  </si>
  <si>
    <t>https://link.springer.com/article/10.1007/s42994-020-00029-8</t>
  </si>
  <si>
    <t>Google academic, Mendeley</t>
  </si>
  <si>
    <t>Antofie MM, Pop M, Sand C, Ciotea G, Iagrăru P</t>
  </si>
  <si>
    <t>Data sheet model for developing a red list regarding crop landraces in Romania</t>
  </si>
  <si>
    <t>Mir, R. A., Sharma, A., &amp; Mahajan, R. (2020). 13 Crop Landraces: Present Threats and Opportunities for Conservation. Rediscovery of Genetic and Genomic Resources for Future Food Security, 335.</t>
  </si>
  <si>
    <t>https://link.springer.com/chapter/10.1007/978-981-15-0156-2_13</t>
  </si>
  <si>
    <t xml:space="preserve">Antofie MM, Barbu I, Sand CS, Blaj R </t>
  </si>
  <si>
    <t>Traditional orchards in Romania: case study Fântânele, Sibiu County.</t>
  </si>
  <si>
    <t>Žarnovičan, H., Kanka, R., Kollár, J., Vyskupová, M., Sivecká, A., Tichá, A., ... &amp; Kršiaková, D. (2020). Traditional orchard Management in the Western Carpathians (Slovakia): evolution between 1955 and 2015. Biologia, 1-12.</t>
  </si>
  <si>
    <t>https://link.springer.com/article/10.2478/s11756-020-00434-w</t>
  </si>
  <si>
    <t>WoS</t>
  </si>
  <si>
    <t>R. Khaliq, O. Tita, M.M. Antofie, C. Sava</t>
  </si>
  <si>
    <t>Industrial application of psyllium: An overview</t>
  </si>
  <si>
    <t>Franco, E. A. N., Sanches-Silva, A., Ribeiro-Santos, R., &amp; de Melo, N. R. (2020). Psyllium (Plantago ovata Forsk): From evidence of health benefits to its food application. Trends in Food Science &amp; Technology, 96, 166-175.</t>
  </si>
  <si>
    <t>https://www.sciencedirect.com/science/article/pii/S092422441830791X?casa_token=QKG3kYzfnqkAAAAA:0jYS8SDK4dzsgUT5BTJYw96E2lKWRTfVXkFb-urvHTaN9kMCe7MkgU9kcui-Phu84WCCflvU0A</t>
  </si>
  <si>
    <t>James M. Cowley*, Lina Herliana, Natalie S. Betts, and Rachel A. Burton, 2020, Cellular debris, not mucilage polysaccharides, dominate extracts of Plantago ovata and Plantago lanceolata calli grown in vitro, BioRixv doi: https://doi.org/10.1101/2020.06.15.153395</t>
  </si>
  <si>
    <t>https://www.biorxiv.org/content/10.1101/2020.06.15.153395v2.full.pdf</t>
  </si>
  <si>
    <t>Googlescholar</t>
  </si>
  <si>
    <t>Shah, A. R., Sharma, P., Longvah, T., Gour, V. S., Kothari, S. L., Shah, Y. R., &amp; Ganie, S. A. (2020). Nutritional Composition and Health Benefits of Psyllium (Plantago ovata) Husk and Seed. Nutrition Today, 55(6), 313-321.</t>
  </si>
  <si>
    <t>https://journals.lww.com/nutritiontodayonline/Abstract/2020/11000/Nutritional_Composition_and_Health_Benefits_of.11.aspx</t>
  </si>
  <si>
    <t>Sabzehzari, M., Hoveidamanesh, S., Modarresi, M., &amp; Mohammadi, V. (2020). Morphological, anatomical, physiological, and cytological studies in diploid and tetraploid plants of Ispaghul (Plantago ovata Forsk.). Genetic Resources and Crop Evolution, 67(1), 129-137.</t>
  </si>
  <si>
    <t>https://link.springer.com/article/10.1007/s10722-019-00846-x</t>
  </si>
  <si>
    <t>Wos</t>
  </si>
  <si>
    <t>Sava Sand, C., Antofie, M.-M.</t>
  </si>
  <si>
    <t>The conservation of plant genetic resources for food and agriculture: consumers' perspectives analysis in Sibiu Agri-Food markets</t>
  </si>
  <si>
    <t>Stanciu Cărătuș, M, THE MAIN CHARACTERISTICS OF AGRICULTURE AND RURAL DEVELOPMENT IN THE CENTRAL REGION OF ROMANIA, 2020, Scientific Papers Series Management, Economic Engineering in Agriculture and Rural Development
Vol. 20, Issue 4, 131-138</t>
  </si>
  <si>
    <t>The conservation of plant genetic resources for food and agriculture: the conservation of plant genetic resources for food and agriculture: sellers' perspectives analysis from Sibiu's agri-food markets</t>
  </si>
  <si>
    <t xml:space="preserve">
THE CONSERVATION OF PLANT GENETIC RESOURCES FOR FOOD AND AGRICULTURE: CONSUMERS' PERSPECTIVES ANALYSIS IN SIBIU AGRI-FOOD MARKETS</t>
  </si>
  <si>
    <t xml:space="preserve">Stanciu Cărătuș Mirela, RESEARCH REGARDING YOUNGER CONSUMERS ATTITUDE, IN RELATION WITH SHEEP MEAT CONSUMPTION, SCIENTIFIC PAPERS-SERIES MANAGEMENT ECONOMIC ENGINEERING IN AGRICULTURE AND RURAL DEVELOPMENT, 
Volume: 20 Issue: 4 P.125-130, 2020 </t>
  </si>
  <si>
    <t>WOS</t>
  </si>
  <si>
    <t>Maria Mihaela ANTOFIE, Camelia SAVA SAND</t>
  </si>
  <si>
    <t>STANDARD CHARACTERIZATION OF RED ONION LANDRACES ‘DE
BUZĂU’ AND ‘DE TURDA’ , Scientific Papers Series Management, Economic Engineering in Agriculture and Rural Development
Vol. 17, Issue 4, 2017</t>
  </si>
  <si>
    <t>Madoșă E.1
, Velicevici Giancarla1*, Ciulca S.1
, Avădanei C.1
, Ciulca Adriana1
, Sărac I.1
, Sasu
Lavinia,Studies on the variability of some morphological characters in
the "de Vinga" onions landrace,JOURNAL of Horticulture, Forestry and Biotechnology, Volume 24(1), 1 - 5, 2020</t>
  </si>
  <si>
    <t>https://journal-hfb.usab-tm.ro/2020/JHFB%202020%20Vol%20I/01Madosa%20E%20et%20al%20publihing.pdf</t>
  </si>
  <si>
    <t>scopus, google scholar</t>
  </si>
  <si>
    <r>
      <rPr>
        <rFont val="arial narrow"/>
        <color theme="1"/>
        <sz val="10.0"/>
      </rPr>
      <t xml:space="preserve">Pop M.R, Sand C, </t>
    </r>
    <r>
      <rPr>
        <rFont val="Arial Narrow"/>
        <color theme="1"/>
        <sz val="10.0"/>
        <u/>
      </rPr>
      <t>Bobiț D</t>
    </r>
    <r>
      <rPr>
        <rFont val="Arial Narrow"/>
        <color theme="1"/>
        <sz val="10.0"/>
      </rPr>
      <t>, Antofie M.M, Barbu H, Pavel P.B, Muntean L, Savatti M.</t>
    </r>
  </si>
  <si>
    <t xml:space="preserve"> 2010 Studies concerning the production of volatile oil, rhizomes and roots, to different genotypes of Valeriana officinalis L.</t>
  </si>
  <si>
    <t>Diyanat, M., &amp; Baziar, S. (2020). The effect of weed control on growth, yield and physicochemical properties of valerian (Valeriana officinalis L.). Journal of Research in Weed Science, 3(4), 420-435.</t>
  </si>
  <si>
    <t>http://www.jrweedsci.com/article_103976.html</t>
  </si>
  <si>
    <t>ȘAIPA</t>
  </si>
  <si>
    <t>The biodiversity of the melliferous plants in the surroundings of the town
sebes (alba county) and their economical importance Scientific Papers Series Management,
Economic Engineering in Agriculture and Rural Development 14(4), 13-18.</t>
  </si>
  <si>
    <t>İlginç KIZILPINAR TEMİZER, Aytaç GÜDER, Birol BAŞER, DETERMINATION OF SEVERAL BITLIS HONEYS BASED ON THEIR BOTANIC AND BIOCHEMICAL PROFILES,  J. Fac. Pharm. Ankara / Ankara Ecz. Fak. Derg., 44(3): 494-505, 2020</t>
  </si>
  <si>
    <t>http://journal.pharmacy.ankara.edu.tr/wp-content/uploads/sites/246/2020/11/44_3_2020.pdf</t>
  </si>
  <si>
    <t>Doi: 10.33483/jfpau.767197</t>
  </si>
  <si>
    <r>
      <rPr>
        <rFont val="arial narrow"/>
        <color theme="1"/>
        <sz val="10.0"/>
      </rPr>
      <t xml:space="preserve">Stanciu, M., Ciortea, G., Sand, C., Vlad, I., </t>
    </r>
    <r>
      <rPr>
        <rFont val="Arial Narrow"/>
        <b/>
        <color theme="1"/>
        <sz val="10.0"/>
      </rPr>
      <t>Antonie, I</t>
    </r>
    <r>
      <rPr>
        <rFont val="Arial Narrow"/>
        <color theme="1"/>
        <sz val="10.0"/>
      </rPr>
      <t>., Tanase, M., Blaj, R.</t>
    </r>
  </si>
  <si>
    <t>Assessments regarding sustainable development on ecoeconomic and bioeconomic principles, of the local communities in the sheep breeding villages from “Drumul Regelui” (King's Road), Scientific Papers Series Management, Economic Engineering in Agriculture and Rural Development Vol.12(3), 167-174</t>
  </si>
  <si>
    <t xml:space="preserve">
Alina MARCUTA, Liviu MARCUTA, Agatha POPESCU, Cristina TINDECHE,
Valentina TUDOR, Dragos SMEDESCU, POSSIBILITIES OF DEVELOPMENT OF THE SLOW TOURISM
CONCEPT IN ROMANIA, Scientific Papers Series Management, Economic Engineering in Agriculture and Rural Development
Vol. 20, Issue 4, 331-338, 2020</t>
  </si>
  <si>
    <t>http://managementjournal.usamv.ro/pdf/vol.20_4/Art40.pdf</t>
  </si>
  <si>
    <r>
      <rPr>
        <rFont val="Arial Narrow"/>
        <b/>
        <color rgb="FF000000"/>
        <sz val="10.0"/>
      </rPr>
      <t>Antonie Iuliana</t>
    </r>
    <r>
      <rPr>
        <rFont val="Arial Narrow"/>
        <color rgb="FF000000"/>
        <sz val="10.0"/>
      </rPr>
      <t>, Manole Traian, Stanciu Mirela, Sand Camelia</t>
    </r>
  </si>
  <si>
    <t xml:space="preserve"> The Impact of the Agricultural Technology
upon the Biodiversity of the Arthropods Present in the
Corn Culture in Sibiu County. JOURNAL of
Horticulture, Forestry and Biotechnology, 16(3), pp.
7-12, 2012</t>
  </si>
  <si>
    <t>Dincă Lucian, CHARACTERISTICS OF FOREST SOILS FROM SIBIU COUNTY, Scientific Study &amp; Research - Biology, Volume 29, No. 1, 27-30,  (2020)</t>
  </si>
  <si>
    <t>http://pubs.ub.ro/?pg=revues&amp;rev=scsb&amp;num=202001&amp;vol=29</t>
  </si>
  <si>
    <t>Zoological Record- Master Journal List ISI Thomson Reuters (http://scientific.thomsonreuters.com/cgi-bin/jrnlst/jlresults.cgi?PC=MASTER&amp;ISSN=1224-919X)</t>
  </si>
  <si>
    <r>
      <rPr>
        <rFont val="Arial Narrow"/>
        <b/>
        <color theme="1"/>
        <sz val="10.0"/>
      </rPr>
      <t>Antonie Iuliana</t>
    </r>
    <r>
      <rPr>
        <rFont val="Arial Narrow"/>
        <color theme="1"/>
        <sz val="10.0"/>
      </rPr>
      <t>, Pavel Petronela</t>
    </r>
  </si>
  <si>
    <t>The analysis of the
heavy metals in the corn agricultural ecosystem in the
Axente Sever-Copsa Mica area (Sibiu
County). Revista Economica, 65(1), 2013</t>
  </si>
  <si>
    <r>
      <rPr>
        <rFont val="arial narrow"/>
        <color theme="1"/>
        <sz val="10.0"/>
      </rPr>
      <t xml:space="preserve">Mărculescu, A., Vlase, L., Hanganu, D., Drăgulescu, C., </t>
    </r>
    <r>
      <rPr>
        <rFont val="Arial Narrow"/>
        <b/>
        <color theme="1"/>
        <sz val="10.0"/>
      </rPr>
      <t>Antonie, I</t>
    </r>
    <r>
      <rPr>
        <rFont val="Arial Narrow"/>
        <color theme="1"/>
        <sz val="10.0"/>
      </rPr>
      <t>., Neli-Kinga</t>
    </r>
  </si>
  <si>
    <t>Polyphenols analysis from Thymus species. Proc Rom Acad Ser B. 2007;3:117-121.</t>
  </si>
  <si>
    <t>R HARIKRISHNAN, C BALASUNDARAM, Potential of herbar extracts and bioactive compounds for human healthcare, in: The Role of Phytoconstitutents in Health Care, Apple Academic Press, 3-158, 2020</t>
  </si>
  <si>
    <t>file:///C:/Users/40722/Downloads/TheRoleofPhytoconstitutentsinHealthCare_authorcopy%20(5).pdf</t>
  </si>
  <si>
    <t>Carte</t>
  </si>
  <si>
    <t>Vlad-Antonie Iuliana, Ciobanu Rodica</t>
  </si>
  <si>
    <t>Der Arzt Viktor Weindel als Insektenkundler (1887-1966), Siebenbürgisch Sächsische Naturwissenschaftler. Lucian Blaga University of Sibiu Press, pp. 139-143.</t>
  </si>
  <si>
    <r>
      <rPr>
        <rFont val="arial narrow"/>
        <color theme="1"/>
        <sz val="10.0"/>
      </rPr>
      <t xml:space="preserve">Stancă Moise Cristina, FOREST AND AGRICULTURAL ECOSYSTEMS PESTS (LEPIDOPTERA), PRESERVED IN THE ENTOMOLOGICAL COLLECTIONS OF THE NATURAL, </t>
    </r>
    <r>
      <rPr>
        <rFont val="Arial Narrow"/>
        <color theme="1"/>
        <sz val="12.0"/>
      </rPr>
      <t>Analele Universităţii din Oradea, Fascicula Biologie  HISTORY MUSEUM IN SIBIU, Tom. XXVII, Issue: 2, 2020, pp. 224-232</t>
    </r>
  </si>
  <si>
    <t>ZOOR, http://olteniastudiisicomunicaristiintelenaturii.ro/cont/36_2/III.%20ANIMAL%20BIOLOGY%20III.a.%20INVERTEBRATES%20VARIOUS/12Moise.pdf</t>
  </si>
  <si>
    <t>Stanciu, M., Tanase, M., Vlad, I., Antonie, I.,Gaureanu, M., </t>
  </si>
  <si>
    <t>Organic dairy sheep farms in Sibiu
county, Romania: typologies according to livestock
management.</t>
  </si>
  <si>
    <t>SCIENTIFIC BASICS AND PROSPECTS OF DEVELOPMENT OF PRODUCTION OF ORGANIC ANIMAL PRODUCTS IN RUSSIA
By: Chernyaev, Anatoliy Alekseevich; Serdobintsev, Dmitriy Valerevich; Kudryashova, Ekaterina Vladimirovna
SCIENTIFIC PAPERS-SERIES MANAGEMENT ECONOMIC ENGINEERING IN AGRICULTURE AND RURAL DEVELOPMENT   Volume: ‏ 20   Issue: ‏ 2   Pages: ‏ 117-125   Published: ‏2020</t>
  </si>
  <si>
    <t>http://managementjournal.usamv.ro/pdf/vol.20_2/Art15.pdf</t>
  </si>
  <si>
    <t>wos</t>
  </si>
  <si>
    <t>Petronela-Bianca Pavel (ULBS) Ellena Diacu (Politehnica, București) Constantin Horia Barbu (ULBS), MarkusPuschenreiter (BOKU, Viena) Walter W.Wenzel (BOKU, Viena)</t>
  </si>
  <si>
    <t>Aided phytostabilization using Miscanthus sinensis x giganteus on heavy metal-contaminated soils. Science of the Total Environment, 479, 2014,  125–131.</t>
  </si>
  <si>
    <t>Liuwei Wang,Deyi Hou,Zhengtao Shen,Jin Zhu,Xiyue Jia,Yong Sik Ok,Filip M. G. Tack &amp;Jörg Rinklebe, Field trials of phytomining and phytoremediation: A critical review of influencing factors and effects of additives, Critical Reviews in Environmental Science and Technology Volume 50, 2020, Pages 2724-2774 DA</t>
  </si>
  <si>
    <t>https://www.tandfonline.com/doi/full/10.1080/10643389.2019.1705724</t>
  </si>
  <si>
    <t>WOS:000503930200001</t>
  </si>
  <si>
    <t>Barbu Horia</t>
  </si>
  <si>
    <t>Zhong, X; Chen, ZW; Li, YY, Ding, KB; Liu, WS, Qiu, RL, Factors influencing heavy metal availability and risk assessment of soils at typical metal mines in Eastern China, Journal of Hazardous Materials Volume 400, 5 December 2020, 123289 DA</t>
  </si>
  <si>
    <t>https://www.sciencedirect.com/science/article/abs/pii/S0304389420312784?via%3Dihub</t>
  </si>
  <si>
    <t>WOS:000572111400004</t>
  </si>
  <si>
    <t>Manhattan Lebrun,Reinhart Van Poucke, Florie Miard, Gabriella Scippa, Sylvain Bourgerie, Domenico Morabito, F. Tack
Effects of carbon-based materials and redmuds on metal(loid) immobilization and growth of Salix dasyclados Wimm. on a former mine Technosol contaminated by arsenic and lead
July 2020Land Degradation and Development 32(1)</t>
  </si>
  <si>
    <t>https://onlinelibrary.wiley.com/doi/10.1002/ldr.3726  DOI: 10.1002/ldr.3726</t>
  </si>
  <si>
    <t>WOS:000566814400001</t>
  </si>
  <si>
    <t>Kharytonov M. M., Martynova N. V., Babenko M. G., Rula I. V, ENVIRONMENTALLY COMPATIBLE UTILIZATION OF RECLAIMED MINELANDS FOR SUSTAINABLE PRODUCTION FOOD AND BIOENERGY FEEDSTOCK, 43-Chapter</t>
  </si>
  <si>
    <t>DOI https://doi.org/10.30525/978-9934-588-45-7.30  http://baltijapublishing.lv/omp/index.php/bp/catalog/download/43/824/1645-1</t>
  </si>
  <si>
    <t>Google Scholar</t>
  </si>
  <si>
    <t>Sameena P.P. &amp;Jos T. Puthur, Heavy Metal Phytoremediation by Bioenergy Plants and Associated Tolerance Mechanisms, Soil and Sediment Contamination: An International Journal, December 2020</t>
  </si>
  <si>
    <t>https://www.tandfonline.com/doi/full/10.1080/15320383.2020.1849017</t>
  </si>
  <si>
    <t>WOS:000600737400001</t>
  </si>
  <si>
    <t xml:space="preserve">Author links open overlay panelHuangYuaXiafeiZhengaWanlinWengaXizheYanaPuboChenaXingyuLiuaTaoPenga Synergistic effects of antimony and arsenic contaminations on bacterial, archaeal and fungal communities in the rhizosphere of Miscanthus sinensis: Insights for nitrification and carbon mineralization, Journal of Hazardous Materials, Volume 411, 5 June 2020, 125094
</t>
  </si>
  <si>
    <t>https://doi.org/10.1016/j.jhazmat.2021.125094</t>
  </si>
  <si>
    <t>WoS TR</t>
  </si>
  <si>
    <t>Ben Fradj, N; Rozakis, S; Borzecka, M; Matyka, M, Miscanthus in the European bio-economy: A network analysis, INDUSTRIAL CROPS AND PRODUCTS, Volume: 148, Article Number: 112281, Published: JUN 2020</t>
  </si>
  <si>
    <t>https://reader.elsevier.com/reader/sd/pii/S0926669020301977?token=F780A1E73AE57B3F9CF32DBAB3800705ABBB57295DEF2576327F566C7EE5FD8291D8B7730F2A338E1A1636F0F410035F</t>
  </si>
  <si>
    <t>WOS:000527912200024</t>
  </si>
  <si>
    <t xml:space="preserve">Marie Hechelski,Brice Louvel,Pierrick Dufrénoy,Alina Ghinet and Christophe Waterlot, Toward a New Way for the Valorization of Miscanthus Biomass Produced on Metal-Contaminated Soils Part 1: Mesocosm and Field Experiments, Sustainability 2020, 12(22), 9370; </t>
  </si>
  <si>
    <t>DOI: 10.1016/j.indcrop.2020.112281,  https://www.mdpi.com/2071-1050/12/22/9370/htm</t>
  </si>
  <si>
    <t>WOS:000594611300001 https://doi.org/10.3390/su12229370</t>
  </si>
  <si>
    <t>Zeljka Zgorelec, Nikola Bilandzija, Kristina Knez, MarijaGalic &amp; Silva Zuzul, Cadmium and Mercury phytostabilization from soil using Miscanthus × giganteus, Scientific Reports (Nature Publisher Group); SCIENTIFIC REPORTS, Volume: 10 Issue: 1 Article Number: 6685, APR 21 2020</t>
  </si>
  <si>
    <t>DOI: 10.1038/s41598-020-63488-5  https://search.proquest.com/openview/3b595cb51ae5d03316efba9590cdbd40/1?pq-origsite=gscholar&amp;cbl=2041939</t>
  </si>
  <si>
    <t xml:space="preserve">WOS:000559762800009 , </t>
  </si>
  <si>
    <t xml:space="preserve">Grzegorska, A; Rybarczyk, P, Rogala, A; Zabrocki, D, Phytoremediation—From Environment Cleaning to Energy Generation—Current Status and Future Perspectives, Energies 2020, 13(11), 2905; </t>
  </si>
  <si>
    <t>https://www.mdpi.com/1996-1073/13/11/2905/htm</t>
  </si>
  <si>
    <t>WOS:000545401100232</t>
  </si>
  <si>
    <t>Pavel, Petronela-Bianca (ULBS); Diacu, E (Politehnica, București; Barbu, CH (ULBS)</t>
  </si>
  <si>
    <t>Long-term Effects on the Fractionation and Mobility of Heavy Metals in a Polluted Soil Treated with Bauxite Residues</t>
  </si>
  <si>
    <t>Al Shamari, YMG; Alwarthan, AA; Wabaidur, SM; Khan, MA; Alqadami, AA; Siddiqui, MR, New Ultra Performance liquid chromatography-mass spectrometric method for the determination of allura red in soft drinks using corncob as solid phase extraction sorbent: Analysis and food waste management approach, JOURNAL OF KING SAUD UNIVERSITY SCIENCE
Volume: 32 Issue: 1 Pages: 1135-1141 Published: JAN 2020</t>
  </si>
  <si>
    <t>DOI: 10.1016/j.jksus.2019.10.011  https://www.researchgate.net/publication/337140655</t>
  </si>
  <si>
    <t>WOS:000506167000163</t>
  </si>
  <si>
    <t>Blaj R, Stanciu M, Sand C, Barbu H, Ciortea G</t>
  </si>
  <si>
    <t xml:space="preserve"> (2013). Pollution effects on forest vegetation and ecological reconstruction in Copsa Mica, Romania. International Multidisciplinary Scientific GeoConference: SGEM 1:735</t>
  </si>
  <si>
    <t xml:space="preserve">ADEA, S. L., IONETE, R. E., COSTINEL, D., NECHITA, C., BOTU, M., &amp; BOTORAN, O. R. (2020). Changes of carbon-isotope ratios in soil organic matter relative to parent vegetation and site specificity. Notulae Botanicae Horti Agrobotanici Cluj-Napoca, 48(4), 2085-2094. </t>
  </si>
  <si>
    <t>https://doi.org/10.15835/nbha48412138</t>
  </si>
  <si>
    <t>CH Barbu, BP Pavel, C Sand, B Grama, MR Pop</t>
  </si>
  <si>
    <t>Miscanthus sinensis x giganteus cultivated on soils polluted with heavy metals–a valuable replacement for coal</t>
  </si>
  <si>
    <t>Violina ANGELOVA, Phytoremediation Potential Of Miscanthus X Giganteus In Soil Contaminated With Heavy Metals, Scientific Papers. Series E. Land Reclamation, Earth Observation &amp; Surveying, Environmental Engineering. Vol. IX, 2020
Print ISSN 2285-6064, CD-ROM ISSN 2285-6072, Online ISSN 2393-5138, ISSN-L 2285-606</t>
  </si>
  <si>
    <t>http://landreclamationjournal.usamv.ro/pdf/2020/Art4.pdf</t>
  </si>
  <si>
    <t>WOS:000574608100004</t>
  </si>
  <si>
    <t>Barbu, C.H., Pavel, B.P., Sand, C., Pop, M.R</t>
  </si>
  <si>
    <t xml:space="preserve">Miscanthus sinensis gigantheus’ behaviour on
soils polluted with heavy metals. </t>
  </si>
  <si>
    <t>CH Barbu, Bianca Petronela Pavel, C Sand, MR Pop</t>
  </si>
  <si>
    <t>Miscanthus sinensis giganteus behavour on soil polluted with heavy metals: Metal Elements in Environment, Medicine and Biology</t>
  </si>
  <si>
    <t>Zeljka Zgorelec, Nikola Bilandzija, Kristina Knez, MarijaGalic &amp; Silva Zuzul, Cadmium and Mercury
phytostabilization from soil using Miscanthus × giganteus, Scientific Reports (Nature Publisher Group); SCIENTIFIC REPORTS, 
Volume: 10 Issue: 1, Article Number: 6685,  
Published: APR 21 2020</t>
  </si>
  <si>
    <t>WOS:000559762800009</t>
  </si>
  <si>
    <t>Marculescu, A., C. Sand, C. Barbu, H.D. Babit and D. Hanganu</t>
  </si>
  <si>
    <t>Possibilities of influencing the biosynthesis and accumulation of the active principals in Chrysanthemum balsamita L. specie Roum. Biotech. Lett., 7 (1): 2002</t>
  </si>
  <si>
    <t xml:space="preserve">Nutrient Management Options For Improving Growth, Yield And Quality Of Snap Bean (Phaseolus Vulgaris L.) In Embu County DN Kondo – 2019 teza de doctorat. 
</t>
  </si>
  <si>
    <t>http://erepository.uonbi.ac.ke/bitstream/handle/11295/108450/Kondo_Nutrient%20Management%20Options%20For%20Improving%20Growth%2C%20Yield%20And%20Quality%20Of%20Snap%20Bean%20%28Phaseolus%20Vulgaris%20L.%29%20In%20Embu%20County.pdf?sequence=1&amp;isAllowed=y</t>
  </si>
  <si>
    <t xml:space="preserve">Hoda I. Ahmed, Improving Snap Bean Yield and Quality Through Organic Fertilizer additives and Citric Acid Spraying under Newly Reclaimed Land Conditions
Journal of Plant Production, Volume 11, Issue 2, February 2020, Page 113-118
</t>
  </si>
  <si>
    <t>DOI: 10.21608/jpp.2020.79104</t>
  </si>
  <si>
    <t>Ruth N Hull (Canada), Constantin-Horia Barbu, Nadezhda Goncharova (Belarus)</t>
  </si>
  <si>
    <t>Strategies to Enhance Environmental Security in Transition Countries, 2007</t>
  </si>
  <si>
    <t xml:space="preserve">Xiuge Zhao, Zhenglei Li, Yan Tao, Danlu Wang, Ju Huang, Feiyang Qiao, Limin Lei, Qian Xing, Distribution characteristics, source appointment, and health risk assessment of Cd exposure via household dust in six cities of China, Building and Environment, Volume 172, 2020, ISSN 0360-1323, </t>
  </si>
  <si>
    <t>https://doi.org/10.1016/j.buildenv.2020.106728.
(https://www.sciencedirect.com/science/article/pii/S036013232030086X)</t>
  </si>
  <si>
    <t>WoSTR</t>
  </si>
  <si>
    <t>T. Vintila, A. Negrea, H. Barbu, R. Sumalan, and K. Kovacs (Univ. Szeged - HU) </t>
  </si>
  <si>
    <t> Metal distribution in the process of lignocellulosic ethanol production from heavy metal contaminated sorghum biomass. J Chem Technol Biotechnol., 2016</t>
  </si>
  <si>
    <t>Xiang, C., Tian, D., Wang, W. et al. Fates of Heavy Metals in Anaerobically Digesting the Stover of Grain Sorghum Harvested from Heavy Metal-Contaminated Farmland. Waste Biomass Valorization 11, 1239–1250 (2020).</t>
  </si>
  <si>
    <t xml:space="preserve"> https://doi.org/10.1007/s12649-018-0455-y</t>
  </si>
  <si>
    <t>Shili Shen, Jinquan Chen, Junjun Chang &amp; Beicheng Xia (2020) Using bioenergy crop cassava (Manihot esculenta) for reclamation of heavily metal-contaminated land, International Journal of Phytoremediation, 22:12, 1313-1320, </t>
  </si>
  <si>
    <t>DOI: 10.1080/15226514.2020.1768512</t>
  </si>
  <si>
    <t>V. Garcia-Montoto. Speciation analysis in renewable feedstocks and petroleum heavy oil fractions. Analytical chemistry. Université de Pau et des Pays de l'Adour, 2020.</t>
  </si>
  <si>
    <t>https://tel.archives-ouvertes.fr/tel-03007872/</t>
  </si>
  <si>
    <t>Mihai Radu POP, Camelia Sand, Dana BOBIŢ, Maria Mihaela ANTOFIE, C Horea BARBU, Bianca-Petronela PAVEL, Leon MUNTEAN, Mircea SAVATTI</t>
  </si>
  <si>
    <t>Studies Concerning The Production Of Volatile Oil, Rhizomes And Roots, To Different Genotypes Of Valeriana Officinalis</t>
  </si>
  <si>
    <t>Marjan Diyanat    Sara Baziar , The effect of weed control on growth, yield and physicochemical properties of valerian (Valeriana officinalis L.), Journal of Research in Weed Science Volume 3 Issue 4 (2020), pp 420-435</t>
  </si>
  <si>
    <t>http://www.jrweedsci.com/article_103976_d8ed1bd9b1a9e7cff6844198d97c0ad4.pdf</t>
  </si>
  <si>
    <t>MR POP* , C. SAND* , H. BARBU* , M. BALAN**, A. GRUSEA*** , H. BOERIU**, A. POPA*</t>
  </si>
  <si>
    <t>Correlations between productivity elements in Lolium perenne L. species for new varieties resistant to drought , Analele Univ. Oradea, 2010</t>
  </si>
  <si>
    <t xml:space="preserve">Vigor inicial de cuatro variedades de trigo (Triticum aestivum L.) y su incidencia en la habilidad competitiva de ryegrass perenne (Lolium perenne L.) resistente a glifosato
M Sánchez - 2020 - sedici.unlp.edu.ar
</t>
  </si>
  <si>
    <t>https://doi.org/10.35537/10915/101503</t>
  </si>
  <si>
    <t>GALUSSI, Alberto Aníbal et al. Atributos de la inflorescencia y disemínulos de Chascolytrum subaristatum (Lam.) Desv. Pastos y Forrajes [online]. 2020, vol.43, n.2 [citado  2021-02-13], pp.129-135. &gt;. ISSN 0864-0394.</t>
  </si>
  <si>
    <t>&lt;http://scielo.sld.cu/scielo.php?script=sci_arttext&amp;pid=S0864-03942020000200129&amp;lng=es&amp;nrm=iso</t>
  </si>
  <si>
    <t>[1] IVANČÍK, R., BARIČIČOVÁ, Ľ. 2020 Gnozeologické pramene skúmania
bezpečnosti v 21. storočí. APZ Bratislava: Policajná teoria a prax 2/2020. ISBN 1335-1370. EAN. 1335-1370</t>
  </si>
  <si>
    <t>https://www.akademiapz.sk/sites/default/files/PTP/2-2020/003%20%20IVAN%C4%8C%C3%8DK%2C%20BARI%C4%8CI%C4%8COV%C3%81%20%20Gnozeologick%C3%A9%20pramene%20sk%C3%BAmania%20bezpe%C4%8Dnosti%20v%2021.%20storo%C4%8D%C3%AD_EDITED_2.pdf</t>
  </si>
  <si>
    <t>Possibilities of influencing the biosynthesis and accumulation of the active principals in Chrysanthemum balsamita L. specie Roum. Biotech. Lett., 7 (1): 577-548, 2002</t>
  </si>
  <si>
    <t xml:space="preserve">Portnyagina N.V., Punegov V.V., Echishvili E.E., et al. Morphological features of the plant Pyrethrum majus (Desf.) Tzvel. and variability of the component composition of essential oil during introduction in the North-East of the European part of Russia // Samara Journal of Science. - 2020. - Vol. 9. - N. 4. - P. 142-148. </t>
  </si>
  <si>
    <t>doi: 10.17816/snv202094121</t>
  </si>
  <si>
    <t>MM Antofie, I Barbu, CS Sand, R Blaj</t>
  </si>
  <si>
    <t>Traditional orchards in Romania: case study Fântânele, Sibiu County</t>
  </si>
  <si>
    <t>H Žarnovičan, J Kollár, V Falťan, F Petrovič, M Gábo</t>
  </si>
  <si>
    <t>https://scholar.google.com/scholar?as_ylo=2020&amp;hl=ro&amp;as_sdt=2005&amp;sciodt=0,5&amp;cites=3228349483860251177&amp;scipsc=</t>
  </si>
  <si>
    <t>WWW.GOOGLEACADEMIC.COM</t>
  </si>
  <si>
    <t>Barbu Ion</t>
  </si>
  <si>
    <t>Pollution effects on forest vegetation and ecological reconstruction in Copsa Mica, Romania.</t>
  </si>
  <si>
    <t>Changes of carbon-isotope ratios in soil organic matter relative to parent vegetation and site specificity
By: Badea, Silviu L.; Ionete, Roxana E.; Costinel, Diana; et al.
NOTULAE BOTANICAE HORTI AGROBOTANICI CLUJ-NAPOCA   Volume: ‏ 48   Issue: ‏ 4   Pages: ‏ 2085-2094   Published: ‏ OCT-DEC 2020</t>
  </si>
  <si>
    <t>https://www.notulaebotanicae.ro/index.php/nbha/article/view/12138</t>
  </si>
  <si>
    <t>WoS/SCOPUS</t>
  </si>
  <si>
    <t>Ecotourism and nature tourism–components of a sustainable management of forests, Journal     ofHorticulture,   Forestry,   and   Biotechnology18(4), 51-54.</t>
  </si>
  <si>
    <t>Rita Parmawati, Edriana Pangestuti, Wike Wike, Rizha Hardyansah, Development and Sustainable Tourism Strategies in Red Islands Beach, Banyuwangi Regency,  Vol 8, No 3 (2020), doi: 10.21776/ub.jitode.2020.008.03.07E-ISSN : 2338-1647http://jitode.ub.ac.idJournal of Indonesian Tourism and Development Studie</t>
  </si>
  <si>
    <t>https://jitode.ub.ac.id/index.php/jitode/article/view/400/315</t>
  </si>
  <si>
    <t>Proquest, DOAJ,CABI, EBSCO, INDEX COPERNICUS</t>
  </si>
  <si>
    <t>Niranjan Ojha, POTENTIAL OF ECOTOURISM IN NEPAL, Interdisciplinary Journal of Management and Social Sciences, p.104-112</t>
  </si>
  <si>
    <t>file:///C:/Users/cnick_hpylj2x/Downloads/34614-Article%20Text-100994-1-10-20210129.pdf</t>
  </si>
  <si>
    <t>google academic</t>
  </si>
  <si>
    <t>ESTHER MGOI MWAMBURI, ASSESSMENT OF INDIGENOUS FORESTS AS A TOOL FOR
PRODUCT DIVERSIFICATION IN SUSTAINABLE TOURISM
DEVELOPMENT IN TAITA-TAVETA COUNTY, KENYA, 149 p.</t>
  </si>
  <si>
    <t>https://ir-library.ku.ac.ke/bitstream/handle/123456789/21210/Assessment%20of%20indigenous%20forests....pdf?sequence=1</t>
  </si>
  <si>
    <t>International journal of scientific and research publications, International Journal of Scientific and Research Publications, Volume 10, Issue 1, January 2020, DOI: 10.29322/IJSRP.10.01.2020.p9762, p. 394-398</t>
  </si>
  <si>
    <t>http://www.ijsrp.org/research-paper-0120/ijsrp-p9762.pdf</t>
  </si>
  <si>
    <t>Maria Mihaela Antofie, Ion Barbu, Camelia Sava Sand, Robert Blaj</t>
  </si>
  <si>
    <t>Traditional orchards in Romania: case study Fântânele, Sibiu County, 2016/8, Jurnal
Genetic resources and crop evolution
Volumul
63, Numărul 6, Pagini
1035-1048, Editor
Springer Netherlands</t>
  </si>
  <si>
    <t>Hubert Žarnovičan1 &amp; Róbert Kanka2 &amp; Jozef Kollár2 &amp; Monika Vyskupová1 &amp; Anna Sivecká1 &amp; Anna Tichá1 &amp;
Simona Fašungová1 &amp; Dorota Kršiaková, Traditional orchard Management in the Western Carpathians
(Slovakia): evolution between 1955 and 2015, Biologia (2020) 75:535–546
https://doi.org/10.2478/s11756-020-00434-w</t>
  </si>
  <si>
    <t>file:///C:/Users/cnick_hpylj2x/Downloads/%C5%BDarnovi%C4%8Dan2020_Article_TraditionalOrchardManagementIn.pdf</t>
  </si>
  <si>
    <t xml:space="preserve">Cristina STANCĂ-MOISE, Robert Blaj, Silviu Sbircea
</t>
  </si>
  <si>
    <t>The forestry ecosystems management in the Forest District Sibiu, against the defoliator species Lymantria monacha L., 1758 (Lepidoptera: Lymantriidae) during the period 2013-2017, 2018/1/1, 
Jurnal FORESTRY, Volumul 18, Numărul
1</t>
  </si>
  <si>
    <t>Riku Elfving, Havununnan (Lymantria monacha) levinneisyyshistoria
ja seuranta Suomessa, Pro gradu -tutkielma
 Oulun yliopisto
 Biologian tutkinto-ohjelma
 Toukokuu 2020</t>
  </si>
  <si>
    <t>https://core.ac.uk/download/pdf/344911259.pdf</t>
  </si>
  <si>
    <t>Cristina Stancă-Moise, Tom Brereton (Butterfly Conservation, Manor Yard, East Lulworth, Wareham, Dorset, BH20 5QP, UK), Robert Blaj</t>
  </si>
  <si>
    <t>The control of the defoliator Lymantra monacha L. populations (Lepidoptera: Lymantriidae) by making use of pheromone traps in the Forest Range Miercurea Sibiului (Romania) in …</t>
  </si>
  <si>
    <t>Stanciu, M., Ciortea, G., Sand, C., Vlad, I., Antonie,
I., Tanase, M., Blaj, R.,</t>
  </si>
  <si>
    <t>2012, Assessments regarding
sustainable development on ecoeconomic and
bioeconomic principles, of the local communities in the
sheep breeding villages from “Drumul Regelui” (King's
Road), Scientific Papers Series Management,
Economic Engineering in Agriculture and Rural
Development Vol.12(3), 167-174.
[8]Taylor, S., 2015, Slow advent</t>
  </si>
  <si>
    <t>Alina MARCUTA, Liviu MARCUTA, Agatha POPESCU, Cristina TINDECHE,
Valentina TUDOR, Dragos SMEDESCU, POSSIBILITIES OF DEVELOPMENT OF THE SLOW TOURISM
CONCEPT IN ROMANIA, Scientific Papers Series Management, Economic Engineering in Agriculture and Rural Development
Vol. 20, Issue 4, 2020</t>
  </si>
  <si>
    <t>http://www.managementjournal.usamv.ro/pdf/vol.20_4/Art40.pdf</t>
  </si>
  <si>
    <t>2013, Green economy - the economy of the
future. Scientific Papers Series Management, Economic
Engineering in Agriculture and Rural Development, 13
(4):63-68.</t>
  </si>
  <si>
    <t>Elena DELIAN, STOMATA-A KEY FACTOR WITH MULTIPLE FUNCTIONS IN THE
CONDITIONS OF GLOBAL CLIMATE CHANGE: A BRIEF OVERVIEW, Scientific Papers Series Management, Economic Engineering in Agriculture and Rural Development
Vol. 20, Issue 1, 2020, 151-160</t>
  </si>
  <si>
    <t>http://managementjournal.usamv.ro/pdf/vol.20_1/Art21.pdf</t>
  </si>
  <si>
    <t>E VECHIU(INCDS), L DINCĂ (INCDS), I BRATU (Univ. "Lucian Blaga")</t>
  </si>
  <si>
    <t>The characteristics of Polygonum plants present in the Alexandru Beldie Herbarium.</t>
  </si>
  <si>
    <t>CURIOSITIES ABOUT THE ARTEMISIA COLLECTIONS FROM “ALEXANDRU BELDIE” HERBARIUM. ILIE-COSMIN CÂNTAR, MARIA DINCĂ, Annals of the University of Craiova - Agriculture, Montanology, Cadastre Series</t>
  </si>
  <si>
    <t>http://anale.agro-craiova.ro/index.php/aamc/article/view/921</t>
  </si>
  <si>
    <t>EBSCO, IndexCopernicus</t>
  </si>
  <si>
    <t>HERBORIZED PLANTS FROM ARCTIUM GENUS, RALUCA ENESCU, MARIA DINCA, Annals of the University of Craiova - Agriculture, Montanology, Cadastre Series, 2020</t>
  </si>
  <si>
    <t>http://anale.agro-craiova.ro/index.php/aamc/article/view/924</t>
  </si>
  <si>
    <t>I Blada, Ş Tănasie, C Dinu, I Bratu</t>
  </si>
  <si>
    <t>Plantaţia experimentală cu Pinus cembra şi P. mugo de pe Halda Dumitrelul din Munţii Călimani, 2013
Jurnal
Revista de Silvicultură şi Cinegetică, Anul XVIII
Numărul 32, P.110-116</t>
  </si>
  <si>
    <t>CERTAN CORINA
PARTICULARITĂȚILE RESTABILIRII ECOSISTEMULUI PETROFIT
(PE EXEMPLUL CARIEREI DE CALCAR „LAFARGE CIMENT”
(MOLDOVA) S.A.)</t>
  </si>
  <si>
    <t>http://www.cnaa.md/files/theses/2020/56410/corina_certan_thesis.pdf</t>
  </si>
  <si>
    <t>VECHIU E., DINCĂ L., BRATU I.,</t>
  </si>
  <si>
    <t>ASTER Genus in “ALEXANDRU BELDIE” Herbarium from
“MARIN DRĂCEA” National Institute for Research and
Development in Forestry
Ciontu C. I.1
*, DINCĂ Maria, JOURNAL of Horticulture, Forestry and Biotechnology, Volume 24(4), 2020</t>
  </si>
  <si>
    <t>https://journal-hfb.usab-tm.ro/2020/JHFB%202020%20Vol%20IV/03Ciontu%20C.I.%20Maria%20Dinca%20publishing.pdf</t>
  </si>
  <si>
    <t>Copernicus, Google Scholar</t>
  </si>
  <si>
    <t>THE PRESENCE OF ASPLENIUM GENUS IN “ALEXANDRU BELDIE” HERBARIUM FROM “MARIN DRĂCEA” NATIONAL INSTITUTE FOR RESEARCH AND DEVELOPMENT IN FORESTRY, Ciontu CI, Dinca M., Research Journal of Agricultural Science, 2020</t>
  </si>
  <si>
    <t>https://www.rjas.ro/paper_detail/3161</t>
  </si>
  <si>
    <t>Bratu Iulian (Univ. Lucian Blaga)</t>
  </si>
  <si>
    <t>Open source solutions to improve the quality of sustainable forest management</t>
  </si>
  <si>
    <t>THE MAIN CHARACTERISTICS OF AGRICULTURE AND RURAL DEVELOPMENT IN THE CENTRAL REGION OF ROMANIA, M.caratus, Scientific Papers Series Management, Economic Engineering in Agriculture and Rural Development, 2020
Scientific Papers: Management, Economic Engineering in Agriculture &amp; Rural Development</t>
  </si>
  <si>
    <t>https://apps.webofknowledge.com/full_record.do?product=WOS&amp;search_mode=GeneralSearch&amp;qid=16&amp;SID=D3F1TwXx17lJ8tMpHaE&amp;page=1&amp;doc=1</t>
  </si>
  <si>
    <t xml:space="preserve">Antonie I., Stanciu M., Sand C., Blaj R., </t>
  </si>
  <si>
    <t>2012 - The
researches regarding the biodiversity of the
entomologic of the corn cultures in the Sibiu
county. Scientific Papers, Series Management,
Economy. Engineering. in Agriculture and Rural
Development, 12 (1):5-10</t>
  </si>
  <si>
    <t>RESULTS CONCERNING TANYMECUS DILATICOLLIS CONTROL IN A
COMMERCIAL FARM FROM THE SOUTH-EAST OF ROMANIA, IN THE
CONDITIONS OF THE YEAR 2020
Emil GEORGESCU1
, Alina CRETU2
, Cristina RADU2
, Lidia CANA, Lucrări Ştiinţifice – vol. 63(2)/2020, seria Agronomie</t>
  </si>
  <si>
    <t>https://repository.uaiasi.ro/xmlui/bitstream/handle/20.500.12811/1102/LSA_v.63_nr.2_Results....pdf?sequence=1</t>
  </si>
  <si>
    <t xml:space="preserve">Vidu L., Băcilă V., Udroiu A., Popa R., Popa
D., Stanciu M., Tudorache M., Custură I.,  </t>
  </si>
  <si>
    <t>2014:
Study regarding the production performance of
Montbeliarde dairy cows in the southern area of
Romania, Scientific Papers. Series D. Animal
Science, LVII, 216-220.</t>
  </si>
  <si>
    <t>QUALITY OF RAW MILK OBTAINED FROM BROWN
BREED EXPLOITED IN VRANCEA COUNTY
P. Avram1
, C.E. Nistor2*, B.V. Avarvarei2
, A., Usturoi2
, I. Gîlcă2, Scientific Papers-Animal Science Series: Lucrări Ştiinţifice - Seria Zootehnie, vol. 73</t>
  </si>
  <si>
    <t>https://repository.uaiasi.ro/xmlui/bitstream/handle/20.500.12811/1125/LSZ_v.73_Quality%20of.pdf?sequence=1</t>
  </si>
  <si>
    <t>GOOGLE ACADEMIC</t>
  </si>
  <si>
    <t>ASPECTS OF SUSTAINABLE RURAL TOURISM - FARMERS' MARKETS AND FARM VISITS</t>
  </si>
  <si>
    <t>Kinga Xenia HAVADI-NAGY, FOOD IN TOURISM. RELEVANT RESEARCH ANGLES AND TOPICS, TERRITORIAL IDENTITY AND DEVELOPMENT, Volume 5 / No. 1, Spring 2020, p. 21-36</t>
  </si>
  <si>
    <t>http://territorial-identity.ro/wp-content/uploads/2020/09/2_Havadi-Nagy_TID_1_2020.pdf</t>
  </si>
  <si>
    <t>gogle academic</t>
  </si>
  <si>
    <t xml:space="preserve">
Farmers' markets and tourism: Identifying tensions that arise from balancing dual roles as community events and tourist attractions
By: Thompson, Michelle
JOURNAL OF HOSPITALITY AND TOURISM MANAGEMENT   Volume: ‏ 45   Pages: ‏ 1-9   Published: ‏ DEC 2020</t>
  </si>
  <si>
    <t>https://www.sciencedirect.com/science/article/abs/pii/S1447677020301698</t>
  </si>
  <si>
    <t xml:space="preserve">Stanciu, M., Tanase, M., Vlad, I., Antonie, I.,Gaureanu, M., </t>
  </si>
  <si>
    <t>Găureanu M.E., Cărătuş Stanciu M., Cocîrcă D.I.,
Vidu L., Vlad I.,</t>
  </si>
  <si>
    <t>Technical aspects regarding the classification of pig carcasses in Romania.
Scientific Papers Series Management, Economic
Engineering in Agriculture and Rural Development,
17(3):139-146</t>
  </si>
  <si>
    <t xml:space="preserve">
THE INFLUENCE OF TREATMENTS WITH SYNTHETIC HORMONES ON THE REPRODUCTIVE PERFORMANCE OF YOUNG SOWS EXPLOITED FOR THE PRODUCTION OF BACON
By: Arsinte, Paul Rares; Hoha, Gabriel Vasile; Nistor, Catalin Emilian; et al.
SCIENTIFIC PAPERS-SERIES D-ANIMAL SCIENCE   Volume: ‏ 63   Issue: ‏ 1   Pages: ‏ 297-300   Published: ‏ 2020</t>
  </si>
  <si>
    <t>http://animalsciencejournal.usamv.ro/pdf/2020/issue_1/Art42.pdf</t>
  </si>
  <si>
    <t xml:space="preserve">
CURRENT PERSPECTIVES FOR MANGALICA AND BAZNA PIGS BREEDING FOR EFFICIENT BIODIVERSITY MANAGEMENT, GENETIC CONSERVATION AND ANIMAL IMPROVEMENT IN ROMANIA
By: Sonea, C. G.; Socol, Claudia Terezia; Criste, Florin-Leontin
REVISTA ROMANA DE MEDICINA VETERINARA   Volume: ‏ 30   Issue: ‏ 1   Pages: ‏ 29-33   Published: ‏ 2020</t>
  </si>
  <si>
    <t>https://agmv.ro/wp-content/uploads/2020/03/29_33_Sonea_5_compressed.pdf</t>
  </si>
  <si>
    <t xml:space="preserve">Cărătuș Stanciu Mirela, Găureanu Monica, Burtea Carmen, Vidu Livia, Vlad I., Cărătuș N. </t>
  </si>
  <si>
    <t>THE DYNAMICS OF PIG CARCASSES CLASSIFICATION IN ROMANIA BETWEEN 2009-2015, BY MANUAL METHOD THE ZWEI PUNKTE, SCIENTIFIC PAPERS-SERIES MANAGEMENT ECONOMIC ENGINEERING IN AGRICULTURE AND RURAL DEVELOPMENt, 
Volume: 17 Issue: 4 Pages: 85-89
Published: 2017</t>
  </si>
  <si>
    <t xml:space="preserve">Analysis of the behavior and
motivation of consumers towards short food supply
chains. Scientific Papers Series Management,
Economic Engineering in Agriculture and Rural
Development, 18(4): 73-77. </t>
  </si>
  <si>
    <t xml:space="preserve">
CONSUMERS' PREFERENCES FOR PLACES TO PURCHASE LOCAL DAIRY PRODUCTS
By: Kusz, Bozena; Kilar, Janusz
AGROLIFE SCIENTIFIC JOURNAL   Volume: ‏ 9   Issue: ‏ 1   Pages: ‏ 198-204   Published: ‏ JUN 2020</t>
  </si>
  <si>
    <t>http://agrolifejournal.usamv.ro/pdf/vol.IX_1/Art26.pdf</t>
  </si>
  <si>
    <t xml:space="preserve">Mihai, R., Mihalascu, C., Mărginean, G.E., Marin, M.P.,
Cărătuș, M.A., Vidu, L. </t>
  </si>
  <si>
    <t>The dynamics of milk production in Montbeliarde breed on a farm in
southern Romania. Scientific Papers. Series D.
Animal Science, LXII (2), 165-169.</t>
  </si>
  <si>
    <t xml:space="preserve">
RESEARCH ON PERCENTAGE VARIATION CONCERNING COW'S MILK PROTEIN, LACTOSE AND FAT, DEPENDING ON THE SEASON
By: Oprea, Oana Diana; Raduta, Adrian; Calin (nicolae), Simona; et al.
SCIENTIFIC PAPERS-SERIES D-ANIMAL SCIENCE   Volume: ‏ 63   Issue: ‏ 1   Pages: ‏ 182-186   Published: ‏ 2020</t>
  </si>
  <si>
    <t>http://animalsciencejournal.usamv.ro/pdf/2020/issue_1/Art25.pdf</t>
  </si>
  <si>
    <t>Agrotourism and gastronomic tourism, parts of sustainable tourism,Journal of Horticulture, Forestry and Biotechnology 20 (3), 106-109</t>
  </si>
  <si>
    <t>Marketing Mixmelalui Community Basedpada Agro-tourismdi Gianyar Bali
Ni Made Sudarmini1, Ni Made Rai Sukmawati2, NiWayanSukartini3, Ni Putu Somawati4, Nyoman Indah Kusuma Dewi5
JBKJurnal Bisnis &amp; KewirausahaanVolume 16,Issue 2, 2020ISSN (print): 0216-9843ISSN (online) : 2580-5614</t>
  </si>
  <si>
    <t>http://ojs.pnb.ac.id/index.php/JBK/article/view/1994</t>
  </si>
  <si>
    <t>google academic,Doaj</t>
  </si>
  <si>
    <t xml:space="preserve">Cărătuș Stanciu M., Popp Nan S., 2018  </t>
  </si>
  <si>
    <t>Observations regarding the management of sows with high prolificacy from commercial farms in Romania, Scientific Papers Series Management, Economic Engineering in Agriculture and Rural Development Vol. 18, Issue 4, print ISSN 2284-7995, E-ISSN 2285-3952;</t>
  </si>
  <si>
    <t>Research regarding reproductive performance recorded for landrace x yorkshire crossbreed sows used for bacon production.
R.P. Arsinte, Al.-A. Casapu, C.E. Nistor, Gh. Nacu, G.V. Hoha, B. Păsărin
Scientific Papers-Animal Science Series: Lucrări Ştiinţifice - Seria Zootehnie, vol. 73, p. 18-22
University of Agricultural Sciences and Veterinary Medicine Iasi
http://www.uaiasi.ro/zootehnie/Pdf/Pdf_Vol_73/R_Arsinte.pdf</t>
  </si>
  <si>
    <t>https://www.cabdirect.org/cabdirect/abstract/20203243334</t>
  </si>
  <si>
    <t>I. Vlad P. Nistoreanu, Marinela Ghereș, Gh. Săvoiu, Mariana Bănuță, Raluca Ciornea, V. Crăciuneanu, Victoria Firescu, Alexandra Grozan, R. Hornoiu, F.L. Isac, I. Plăiaș, Iuliana Pop, S. Rusu, Mirela Stanciu, M. Țaicu, M.O. Tănase, D. Ungureanu</t>
  </si>
  <si>
    <t>Turism rural. Tratat. Editura C.H. Beck, București, 2010.</t>
  </si>
  <si>
    <t>PERSPECTIVES OF THE DEVELOPMENT
OF ECOTURISM IN ROMANIA
Claudia Olimpia MOISĂ, , 
Bianca-Elena ANDRONACHE,  Annales Universitatis Apulensis Series Oeconomica, 22(2), 2020, 97-111</t>
  </si>
  <si>
    <t>http://oeconomica.uab.ro/upload/lucrari/2220202/09.pdf</t>
  </si>
  <si>
    <t>Petelca, Oleg; Garbuz, Veronica, Social and economic effects of rural tourism on the development of rural areas, CES Working Papers; Volume XII, Issue 2,  p. 123-143, Iasi, 2020.
https://search.proquest.com/docview/2452330348/fulltextPDF/EFB91AD342644B3PQ/1?accountid=8083</t>
  </si>
  <si>
    <t>https://search.proquest.com/docview/2452330348/fulltextPDF/E3BF27DA72C04344PQ/1?accountid=8083</t>
  </si>
  <si>
    <t>Research regarding consumers attitude, in relation with poultry meat purchase and consumption. Case study Sibiu, Romania
Scientific Papers SeriesManagement, Economic Engineering in Agriculture and Rural Development Vol. 20, Issue 1, 2020, p. 125-130</t>
  </si>
  <si>
    <t>1035.[Анализ потребительского поведения покупателей мяса птицы в жудеце Сибиу, Румыния]. Stanciu M. Research regarding consumers attitude, in …
АН Дунаев - Пищевая и перерабатывающая промышленность …, 2020 - elibrary.ru
Дунаев А.Н.//Пищевая и перерабатывающая
промышленность. Реферативный журнал, 2020.</t>
  </si>
  <si>
    <t xml:space="preserve">766.[Анализ потребительского поведения покупателей мяса птицы в жудеце Сибиу, Румыния]. Stanciu M. Research regarding consumers attitude, in …
АН Дунаев - Экономика сельского хозяйства. Реферативный …, 2020 - elibrary.ru
Дунаев А.Н.//Экономика сельского хозяйства. Реферативный журнал, 2020. </t>
  </si>
  <si>
    <t xml:space="preserve">Stanciu, M., Ciortea, G., Sand, C., Vlad, I., Antonie,
I., Tanase, M., Blaj, R., </t>
  </si>
  <si>
    <t>Assessments regarding
sustainable development on ecoeconomic and
bioeconomic principles, of the local communities in the
sheep breeding villages from “Drumul Regelui” (King's
Road), Scientific Papers Series Management,
Economic Engineering in Agriculture and Rural
Development Vol.12(3), 167-174., 2012</t>
  </si>
  <si>
    <t>POSSIBILITIES OF DEVELOPMENT OF THE SLOW TOURISM
CONCEPT IN ROMANIA
Alina MARCUTA, Liviu MARCUTA, Agatha POPESCU, Cristina TINDECHE,
Valentina TUDOR, Dragos SMEDESCU, Scientific Papers Series Management, Economic Engineering in Agriculture and Rural Development
Vol. 20, Issue 4, 2020</t>
  </si>
  <si>
    <t>Mirela STANCIU</t>
  </si>
  <si>
    <t>Analysis of touristic development potential of some Natura 2000 sites.
Data publicării
2014/1/1
Jurnal
Scientific Papers: Management, Economic Engineering in Agriculture &amp; Rural Development
Volumul 14, 
Numărul 1</t>
  </si>
  <si>
    <t>Tourism development in Natura 2000 areas: lessons for Turkey.
Gök, Ayhan
Dalarna University, School of Technology and Business Studies, Tourism Studies.
2020 (English)</t>
  </si>
  <si>
    <t>https://www.diva-portal.org/smash/record.jsf?pid=diva2%3A1507896&amp;dswid=-8959</t>
  </si>
  <si>
    <t>Răducuţă, I., Marmandiu, A., Stanciu, M., Cristian, C.</t>
  </si>
  <si>
    <t xml:space="preserve">
(2007). The evolution of livestock, milk and goat
cheese production in the European countries. Acta
Universitatis Cibiniensis, Agricultural Sciences, 1
(7), 127‒134.</t>
  </si>
  <si>
    <t>DYNAMIC OF BODY WEIGHT EVOLUTION OF CARPATHIAN KIDS
GOAT AND KIDS BREED GOAT (♂SAANEN X ♀CARPATHIAN) FROM
BIRTH TO WEANING
Alexandra MARINA,  Stelian DĂRĂBAN, Radu CONSTANTINESCU, Daniel COCAN,
Camelia RĂDUCU, Călin LAŢIU, Paul UIUIU, Cătălin AVRAM, Vioara MIREŞAN, Scientific Papers. Series D. Animal Science. Vol. LXIII, No. 1, 2020</t>
  </si>
  <si>
    <t>http://animalsciencejournal.usamv.ro/pdf/2020/issue_1/Art44.pdf</t>
  </si>
  <si>
    <t>Antonie Iuliana, T Manole, Stanciu Mirela, Sand Camelia</t>
  </si>
  <si>
    <t>The Impact of the Agricultural Technology upon the Biodiversity of the Arthropods Present in the Corn Culture in Sibiu County, JOURNAL of Horticulture, Forestry and Biotechnology, Volumul
16, Numărul
3, 
7-12, 2012</t>
  </si>
  <si>
    <t xml:space="preserve">CHARACTERISTICS OF FOREST SOILS FROM SIBIU COUNTY
Lucian Dincă, Studii şi Cercetări Martie 2020 Biologie 29/1 27-30 Universitatea”Vasile Alecsandri” din Bacău, </t>
  </si>
  <si>
    <t>file:///C:/Users/cnick_hpylj2x/Downloads/SCSB202001V29S01A0004.pdf</t>
  </si>
  <si>
    <t>Chicea D., Indrea E., Crețu C.M.</t>
  </si>
  <si>
    <t xml:space="preserve">Assesing Fe3O4 nanoparticle size by DLS, XRD and AFM, Journal of Optoelectronics and Advanced Materials, 14(5-6), 2012, 460-466 </t>
  </si>
  <si>
    <t>Garces Guamba N.B., Morillo Morales B.A.,Estudio de la adsorcion de cinc mediante el uso del composito magnetita/oxido de grafeno para su remocion en aguas sinteticas, bib digital.epn.edu.ec, 2020</t>
  </si>
  <si>
    <t>https://bibdigital.epn.edu.ec/handle/15000/20660</t>
  </si>
  <si>
    <t>http://scholar.google.ro</t>
  </si>
  <si>
    <t>Nayak B., Misra P.K., Exploration of the structural and dielectric characteristics of a potent hydroxyapatite coated gallium bioceramics for the forthcoming biomedical and orthopedic applications, Materials Chemistry and Physics, 239, 2020.</t>
  </si>
  <si>
    <t>https://apps-webofknowledge-com.am.e-nformation.ro/full_record.do?product=WOS&amp;search_mode=CitingArticles&amp;qid=12&amp;SID=C5P49fKGb4NolmiCD2Z&amp;page=1&amp;doc=2</t>
  </si>
  <si>
    <t>https://webofknowledge.com</t>
  </si>
  <si>
    <t xml:space="preserve">Chicea D., Goncea (Cretu) C.M. </t>
  </si>
  <si>
    <t>On aqueous Fe3O4 nanofluid in room temperature synthesis and physical properties, Optoelectronics and Advanced Materials, 3(3), 2009, 185-189</t>
  </si>
  <si>
    <t>Abbaspour N., Haghshenasfard M., Talaei M.R., Amini H., Experimental investigation of using nanofluids in the gas absorption in a venturi scrubber equipped with a magnetic field, Journal of Molecular Liquids, 303, 2020.</t>
  </si>
  <si>
    <t>https://apps-webofknowledge-com.am.e-nformation.ro/full_record.do?product=WOS&amp;search_mode=CitingArticles&amp;qid=3&amp;SID=C5P49fKGb4NolmiCD2Z&amp;page=1&amp;doc=1</t>
  </si>
  <si>
    <t xml:space="preserve">Letiţia Oprean, Ecaterina Lengyel and Ramona Iancu </t>
  </si>
  <si>
    <t>Monitoring and Evaluation of Timiş River (Banat, Romania) Water Quality Based on Physicochemical and Microbiological Analysis</t>
  </si>
  <si>
    <t>Ana-Maria Pană, Valentin Ordodi, Gerlinde Rusu, Vasile Gherman, Geza Bandur, Lucian-Mircea Rusnac andGabriela-Alina Dumitrel, Biodegradation Pattern of Glycopolymer Based on D-Mannose Oligomer and Hydroxypropyl Acrylate, Polymers 2020, 12(3), 704; https://doi.org/10.3390/polym12030704</t>
  </si>
  <si>
    <t>https://www.mdpi.com/2073-4360/12/3/704</t>
  </si>
  <si>
    <t>Cristea Ramona</t>
  </si>
  <si>
    <t>Ramona IANCU, Letitia OPREAN, Viorela CODOI</t>
  </si>
  <si>
    <t>ORGANIC BEEKEEPING AND BEE PRODUCTS</t>
  </si>
  <si>
    <t>Ademe Mihiretu, Agazhe Tsegaye, Pedro González-Redondo, Efficiency of some common treatments on infestation level with wax moths, colony strength and honey yield in Northeast Ethiopia: Participatory and comparative analysis, Cogent Food &amp; Agriculture 
Volume 6, 2020 - Issue 1,  https://doi.org/10.1080/23311932.2020.1783172</t>
  </si>
  <si>
    <t>https://www.tandfonline.com/doi/full/10.1080/23311932.2020.1783172</t>
  </si>
  <si>
    <t>RM Iancu</t>
  </si>
  <si>
    <t>The influence of microbiological quality of water resources in dairy goat farms</t>
  </si>
  <si>
    <t>Aileen Niroumand, Seyed Alireza Taghavi Razavizadeh, Abdollah Jamshidi, Jafar Attarbashi Moghadam, A Survey on Drinking Water Contamination to Indicator Bacteria in Dairy Farms of Mashhad Suburb, Volume 14, Issue 3, Summer 2020, Pages 251-259, DOI  10.22059/IJVM.2020.292106.1005041</t>
  </si>
  <si>
    <t>https://ijvm.ut.ac.ir/article_78512.html</t>
  </si>
  <si>
    <t>BDI Index</t>
  </si>
  <si>
    <r>
      <rPr>
        <rFont val="arial narrow"/>
        <color theme="1"/>
        <sz val="10.0"/>
      </rPr>
      <t>Oancea, S. (ULBS),</t>
    </r>
    <r>
      <rPr>
        <rFont val="Arial Narrow"/>
        <color rgb="FFC0C0C0"/>
        <sz val="10.0"/>
      </rPr>
      <t xml:space="preserve"> </t>
    </r>
    <r>
      <rPr>
        <rFont val="Arial Narrow"/>
        <color rgb="FF000000"/>
        <sz val="10.0"/>
      </rPr>
      <t>Drǎghici, O.(ULBS)</t>
    </r>
  </si>
  <si>
    <t>PH and thermal stability of anthocyanin-based optimised extracts of romanian red onion cultivars</t>
  </si>
  <si>
    <r>
      <rPr>
        <rFont val="arial narrow"/>
        <color theme="1"/>
        <sz val="10.0"/>
      </rPr>
      <t>Mohamed Z. M. Salem, Ibrahim H. M. Ibrahim, Hayssam M. Ali Hany M. Helmy;</t>
    </r>
    <r>
      <rPr>
        <rFont val="Arial Narrow"/>
        <color rgb="FFDD0806"/>
        <sz val="10.0"/>
      </rPr>
      <t xml:space="preserve"> Assessment of the Use of Natural Extracted Dyes and Pancreatin Enzyme for Dyeing of Four Natural Textiles: HPLC Analysis of Phytochemical</t>
    </r>
    <r>
      <rPr>
        <rFont val="Arial Narrow"/>
        <color theme="1"/>
        <sz val="10.0"/>
      </rPr>
      <t>s; Processes; 8, 1</t>
    </r>
  </si>
  <si>
    <t>https://www.mdpi.com/2227-9717/8/1/59/htm</t>
  </si>
  <si>
    <t>WOS:000516825300012</t>
  </si>
  <si>
    <t>S. Oancea, O. Draghici, O. Ketney</t>
  </si>
  <si>
    <t>Changes in total anthocyanin content and antioxidant activity in sweet cherries during frozen storage, and air-oven and infrared drying</t>
  </si>
  <si>
    <r>
      <rPr>
        <rFont val="arial narrow"/>
        <color theme="1"/>
        <sz val="10.0"/>
      </rPr>
      <t xml:space="preserve">Faienza MF, Corbo F, Carocci A, Catalano A, Clodoveo ML, Grano M, Wang D Q-H, D'Amato G, Muraglia M, Franchini C, Brunetti G, Portincasa P; </t>
    </r>
    <r>
      <rPr>
        <rFont val="Arial Narrow"/>
        <color rgb="FFDD0806"/>
        <sz val="10.0"/>
      </rPr>
      <t>Novel insights in health-promoting properties of sweet cherries</t>
    </r>
    <r>
      <rPr>
        <rFont val="Arial Narrow"/>
        <color theme="1"/>
        <sz val="10.0"/>
      </rPr>
      <t>; Journal of Functional Foods 69 (2020)</t>
    </r>
  </si>
  <si>
    <t>https://www.sciencedirect.com/science/article/pii/S1756464620301699?via%3Dihub</t>
  </si>
  <si>
    <r>
      <rPr>
        <rFont val="arial narrow"/>
        <color theme="1"/>
        <sz val="10.0"/>
      </rPr>
      <t>Oancea, S. (ULBS),</t>
    </r>
    <r>
      <rPr>
        <rFont val="Arial Narrow"/>
        <color rgb="FFC0C0C0"/>
        <sz val="10.0"/>
      </rPr>
      <t xml:space="preserve"> </t>
    </r>
    <r>
      <rPr>
        <rFont val="Arial Narrow"/>
        <color rgb="FF000000"/>
        <sz val="10.0"/>
      </rPr>
      <t>Drǎghici, O.(ULBS)</t>
    </r>
  </si>
  <si>
    <r>
      <rPr>
        <rFont val="arial narrow"/>
        <color theme="1"/>
        <sz val="10.0"/>
      </rPr>
      <t xml:space="preserve">Jakkapon Phanthuwongpakdeeab, Sandhya Babela, Kritapas Laohhasurayotinc, Suchinda Sattayapornd, Tatsuo Kanekob; </t>
    </r>
    <r>
      <rPr>
        <rFont val="Arial Narrow"/>
        <color rgb="FFDD0806"/>
        <sz val="10.0"/>
      </rPr>
      <t>Anthocyanin based agricultural wastes as bio-adsorbents for scavenging radioactive iodide from aqueous environment</t>
    </r>
    <r>
      <rPr>
        <rFont val="Arial Narrow"/>
        <color theme="1"/>
        <sz val="10.0"/>
      </rPr>
      <t>; Journal of Environmental Chemical Engineering
Volume 8, Issue 5, October 2020, 104147</t>
    </r>
  </si>
  <si>
    <t>https://www.sciencedirect.com/science/article/abs/pii/S2213343720304954</t>
  </si>
  <si>
    <r>
      <rPr>
        <rFont val="arial narrow"/>
        <color theme="1"/>
        <sz val="10.0"/>
      </rPr>
      <t>Oancea, S. (ULBS),</t>
    </r>
    <r>
      <rPr>
        <rFont val="Arial Narrow"/>
        <color rgb="FFC0C0C0"/>
        <sz val="10.0"/>
      </rPr>
      <t xml:space="preserve"> </t>
    </r>
    <r>
      <rPr>
        <rFont val="Arial Narrow"/>
        <color rgb="FF000000"/>
        <sz val="10.0"/>
      </rPr>
      <t>Drǎghici, O.(ULBS)</t>
    </r>
  </si>
  <si>
    <r>
      <rPr>
        <rFont val="arial narrow"/>
        <color theme="1"/>
        <sz val="10.0"/>
      </rPr>
      <t xml:space="preserve">A Omar, MS Ali, N Abd Rahim, </t>
    </r>
    <r>
      <rPr>
        <rFont val="Arial Narrow"/>
        <color rgb="FFDD0806"/>
        <sz val="10.0"/>
      </rPr>
      <t>Electron transport properties analysis of titanium dioxide dye-sensitized solar cells (TiO2-DSSCs) based natural dyes using electrochemical impedance spectroscopy concept: A review</t>
    </r>
    <r>
      <rPr>
        <rFont val="Arial Narrow"/>
        <color theme="1"/>
        <sz val="10.0"/>
      </rPr>
      <t>,Solar Energy 207 (2020) 1088–1121</t>
    </r>
  </si>
  <si>
    <t>https://www.sciencedirect.com/science/article/abs/pii/S0038092X2030760X</t>
  </si>
  <si>
    <r>
      <rPr>
        <rFont val="arial narrow"/>
        <i/>
        <color theme="1"/>
        <sz val="10.0"/>
      </rPr>
      <t>Oancea, S. (ULBS),</t>
    </r>
    <r>
      <rPr>
        <rFont val="Arial Narrow"/>
        <i/>
        <color rgb="FFC0C0C0"/>
        <sz val="10.0"/>
      </rPr>
      <t xml:space="preserve"> </t>
    </r>
    <r>
      <rPr>
        <rFont val="Arial Narrow"/>
        <i/>
        <color rgb="FF000000"/>
        <sz val="10.0"/>
      </rPr>
      <t>Drǎghici, O.(ULBS)</t>
    </r>
  </si>
  <si>
    <r>
      <rPr>
        <rFont val="arial narrow"/>
        <i/>
        <color theme="1"/>
        <sz val="10.0"/>
      </rPr>
      <t xml:space="preserve">Punyachareonnon Ph.; Deerattrakul V.; Luepong K. </t>
    </r>
    <r>
      <rPr>
        <rFont val="Arial Narrow"/>
        <i/>
        <color rgb="FFDD0806"/>
        <sz val="10.0"/>
      </rPr>
      <t xml:space="preserve">The Influence of pH, Temperature and Time on Dyeing of Silk Fabric by Black Bean Anthocyanin-rich Extract as Colorant </t>
    </r>
    <r>
      <rPr>
        <rFont val="Arial Narrow"/>
        <i/>
        <color theme="1"/>
        <sz val="10.0"/>
      </rPr>
      <t xml:space="preserve">The Progress in Color, Colorants and Coatings 14(3), </t>
    </r>
    <r>
      <rPr>
        <rFont val="Arial Narrow"/>
        <i/>
        <color theme="1"/>
        <sz val="10.0"/>
      </rPr>
      <t xml:space="preserve">Page 179-187
	</t>
    </r>
  </si>
  <si>
    <t>http://pccc.icrc.ac.ir/article_81715_4135cea1bfd66786884d91a7083c4e73.pdf</t>
  </si>
  <si>
    <t>Василишина О.В., ОЦІНКА ЯКОСТІ ХАРЧОВИХ ПРОДУКТІВ ЗА АНТИОКСИДАНТНОЮ АКТИВНІСТЮ МЕТОДОМ FRAP, УНУС, 7.04.2020, pg.45</t>
  </si>
  <si>
    <t>https://tzppo.udau.edu.ua/assets/files/1/zbirnik-konf.-7.04.2020-unus-thp.pdf#page=44</t>
  </si>
  <si>
    <t>O Drăghici, ML Păcală, S Oancea</t>
  </si>
  <si>
    <t>Kinetic studies on the oxidative stabilization effect of red onion skins anthocyanins extract on parsley (Petroselinum crispum) seed oil</t>
  </si>
  <si>
    <r>
      <rPr>
        <rFont val="arial narrow"/>
        <color theme="1"/>
        <sz val="10.0"/>
      </rPr>
      <t xml:space="preserve">Jie Cai, Fansen Zeng, Shiyu Zheng, Xiaoxue Huang, Jingyi Zhang, Ping Zhang, and Peng Fei, </t>
    </r>
    <r>
      <rPr>
        <rFont val="Arial Narrow"/>
        <color rgb="FFDD0806"/>
        <sz val="10.0"/>
      </rPr>
      <t>Preparation of Lipid-Soluble Bilberry Anthocyanins through Acylation with Cinnamic Acids and their Antioxidation Activities,</t>
    </r>
    <r>
      <rPr>
        <rFont val="Arial Narrow"/>
        <color theme="1"/>
        <sz val="10.0"/>
      </rPr>
      <t xml:space="preserve"> J. Agric. Food Chem. 2020, 68, 28, 7467–7473</t>
    </r>
  </si>
  <si>
    <t>https://www.scopus.com/results/citedbyresults.uri?sort=plf-f&amp;cite=2-s2.0-85047560295&amp;src=s&amp;imp=t&amp;sid=04869d0b0af40a00999345354642936c&amp;sot=cite&amp;sdt=a&amp;sl=0&amp;origin=inward&amp;editSaveSearch=&amp;txGid=faf5775260723163b0af2f21361683e5</t>
  </si>
  <si>
    <t>S. Oancea, O. Draghici</t>
  </si>
  <si>
    <t>Assessment of primary and secondary oxidation products during storage and heating of linseed oil enriched with natural extract
Oxid. Commun., 40 (2017), pp. 138-148</t>
  </si>
  <si>
    <r>
      <rPr>
        <rFont val="arial narrow"/>
        <color theme="1"/>
        <sz val="10.0"/>
      </rPr>
      <t xml:space="preserve">Nupur Nagavekar, Rekha S.Singhal, </t>
    </r>
    <r>
      <rPr>
        <rFont val="Arial Narrow"/>
        <color rgb="FFDD0806"/>
        <sz val="10.0"/>
      </rPr>
      <t>Simultaneous extraction of flaxseed spice blend using supercritical carbon dioxide: Process optimization, bioactivity profile, and application as a functional seasoning, Separation and Purification Technology</t>
    </r>
    <r>
      <rPr>
        <rFont val="Arial Narrow"/>
        <color theme="1"/>
        <sz val="10.0"/>
      </rPr>
      <t xml:space="preserve"> 248 (2020) 117030</t>
    </r>
  </si>
  <si>
    <t>https://www-sciencedirect-com.am.e-nformation.ro/science/article/pii/S1383586620315045?via%3Dihub</t>
  </si>
  <si>
    <t>WOS:000538827600041</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</si>
  <si>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</si>
  <si>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An overview of natural antimicrobials role in food</t>
  </si>
  <si>
    <t>INTERNATIONAL JOURNAL OF FOOD MICROBIOLOGY, Vol. 335, By:Yang, S; Li, J; Aweya, JJ; Yuan, ZJ; Weng, WY; Zhang, YL; Liu, GM; Antimicrobial mechanism of Larimichthys crocea whey acidic protein-derived peptide (LCWAP) against Staphylococcus aureus and its application in milk</t>
  </si>
  <si>
    <t>https://www.sciencedirect.com/science/article/abs/pii/S0168160520303858</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</si>
  <si>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</si>
  <si>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Fractionation and Hydrolyzation of Avocado Peel Extract: Improvement of Antibacterial Activity, December 2020, Antibiotics 10(1):23, Igor A. Trujillo-Mayol,Nidia Casas Forero, Edgar Pastene</t>
  </si>
  <si>
    <t>https://www.researchgate.net/publication/348089719_Fractionation_and_Hydrolyzation_of_</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</si>
  <si>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</si>
  <si>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Pyroligneous acid from Mimosa tenuiflora and Eucalyptus urograndis as an antimicrobial in dairy goats, December 2020Journal of Applied Microbiology, W.N.C. Soares, G.P.O. Lira, C.S. Santos, G.N. Dias, A.S. Pimenta, A.F. Pereira, L.D.M. Ben ıcio,G.S.O. Rodrigues, S.S.A. Amora, N.D. Alvesand F.M.C. Feij 
</t>
  </si>
  <si>
    <t>https://www.researchgate.net/publication/347776206_Pyroligneous_acid_from_Mimosa_tenuiflora_and_Eucalyptus_urograndis_as_an_antimicrobial_in_dairy_goats [accessed Mar 05 2021].</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</si>
  <si>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</si>
  <si>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CRITICAL REVIEWS IN FOOD SCIENCE AND NUTRITION, By:Ahmed, S; Sameen, DE; Lu, R; Li, R; Dai, JW; Qin, W; Liu, YW; Research progress on antimicrobial materials for food packaging</t>
  </si>
  <si>
    <t>https://www.tandfonline.com/doi/abs/10.1080/10408398.2020.1863327</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</si>
  <si>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</si>
  <si>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CRITICAL REVIEWS IN FOOD SCIENCE AND NUTRITION, By:Bensid, A; El Abed, N; Houicher, A; Regenstein, JM; Ozogul, F Antioxidant and antimicrobial preservatives: Properties, mechanism of action and applications in food - a review</t>
  </si>
  <si>
    <t>https://www.tandfonline.com/doi/abs/10.1080/10408398.2020.1862046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</si>
  <si>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</si>
  <si>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FOOD CONTROL, V 118, By:Bancalari, E ; Martelli, F; Bernini, V; Neviani, E; Gatti, M; Bacteriostatic or bactericidal? Impedometric measurements to test the antimicrobial activity of Arthrospira platensis extract</t>
  </si>
  <si>
    <t>https://www.sciencedirect.com/science/article/abs/pii/S0956713520302966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</si>
  <si>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</si>
  <si>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INTERNATIONAL JOURNAL OF BIOLOGICAL MACROMOLECULES, V 164, p. 845-854, By:Qiao, Z; Sun, HM; Zhou, QQ; Yi, LH; Wang, X; Shan, YY; Yi, YL; Liu, BF; Zhou, Y; Lu, X; Characterization and antibacterial action mode of bacteriocin BMP32r and its application as antimicrobial agent for the therapy of multidrug-resistant bacterial infection</t>
  </si>
  <si>
    <t>https://www.sciencedirect.com/science/article/abs/pii/S0141813020339489</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</si>
  <si>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</si>
  <si>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FOOD RESEARCH INTERNATIONAL, V. 137, By:Chauhan, R; Singh, N; Pal, GK; Goel, G; Trending biocontrol strategies against Cronobacter sakazakii: A recent updated review</t>
  </si>
  <si>
    <t>https://www.sciencedirect.com/science/article/pii/S0963996920304105?casa_token=V6Sw208NvasAAAAA:ku-tAXhPW6yWpGuKc_GAZ-Zm3eTxfjFyFve_fAVEtqmtBY4voDB4H_yjeeY0Y3c46y6tKbtfM3Q</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</si>
  <si>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</si>
  <si>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PLANTS-BASEL, Vol. 9(11), By: Radulescu, C; Buruleanu, LC; Nicolescu, CM; Olteanu, RL; Bumbac, M; Holban, GC; Simal-Gandara, J; Phytochemical Profiles, Antioxidant and Antibacterial Activities of Grape (Vitis vinifera L.) Seeds and Skin from Organic and Conventional Vineyards</t>
  </si>
  <si>
    <t>https://www.mdpi.com/2223-7747/9/11/1470</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</si>
  <si>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</si>
  <si>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ENVIRONMENTAL TOXICOLOGY AND PHARMACOLOGY, Vol. 80, By: Verdu, S; Ruiz-Rico, M; Perez, AJ; Barat, JM; Talens, P; Grau, R; Toxicological implications of amplifying the antibacterial activity of gallic acid by immobilisation on silica particles: A study on C. elegans</t>
  </si>
  <si>
    <t>https://www.sciencedirect.com/science/article/pii/S138266892030168X</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</si>
  <si>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</si>
  <si>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INDUSTRIAL CROPS AND PRODUCTS, Vol.154, By:Leal, C; Gouvinhas, I; Santos, RA; Rosa, E; Silva, AM; Saavedra, MJ; Barros, AIRNA; Potential application of grape (Vitis vinifera L.) stem extracts in the cosmetic and pharmaceutical industries: Valorization of a by-product</t>
  </si>
  <si>
    <t>https://www.sciencedirect.com/science/article/abs/pii/S0926669020305914</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</si>
  <si>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</si>
  <si>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PROBIOTICS AND ANTIMICROBIAL PROTEINS, By:Molham, F; Khairalla, AS; Azmy, AF; El-Gebaly, E; El-Gendy, AO; AbdelGhani, S; Anti-Proliferative and Anti-Biofilm Potentials of Bacteriocins Produced by Non-PathogenicEnterococcussp.</t>
  </si>
  <si>
    <t>https://link.springer.com/article/10.1007/s12602-020-09711-1</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</si>
  <si>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</si>
  <si>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ANTIBIOTICS-BASEL, vol. 9(10), By:Silva, A; Silva, SA; Lourenco-Lopes, C; Jimenez-Lopez, C; Carpena, M; Gullon, P; Fraga-Corral, M; Domingues, VF; Barroso, MF; Simal-Gandara, J ] ...More;Antibacterial Use of Macroalgae Compounds against Foodborne Pathogens</t>
  </si>
  <si>
    <t>https://www.mdpi.com/2079-6382/9/10/712</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</si>
  <si>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</si>
  <si>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BIOMEDICINE vol.8(11); By:Alvarez-Martinez, FJ;  Barrajon-Catalan, E; Micol, V; Tackling Antibiotic Resistance with Compounds of Natural Origin: A Comprehensive Review</t>
  </si>
  <si>
    <t>https://www.mdpi.com/2227-9059/8/10/405</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</si>
  <si>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</si>
  <si>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MICROBIAL PATHOGENESIS, vol. 147; By:Yang, S; Dong, YT; Aweya, JJ; Xie, TY; Zeng, BB; Zhang, YL; Liu, GM; Antimicrobial activity and acting mechanism of Tegillarca granosa hemoglobin-derived peptide (TGH1) against Vibrio parahaemolyticus </t>
  </si>
  <si>
    <t>https://www.sciencedirect.com/science/article/abs/pii/S0882401020306689</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</si>
  <si>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</si>
  <si>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JOURNAL OF FOOD SCIENCE AND TECHNOLOGY-MYSORE, By:Timbe, PPR; da Motta, AD; Stincone, P; Pinilla, CMB; Brandelli, A; Antimicrobial activity of Baccharis dracunculifoliaDC and its synergistic interaction with nisin against food-related bacteria </t>
  </si>
  <si>
    <t>https://link.springer.com/article/10.1007/s13197-020-04804-9</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</si>
  <si>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</si>
  <si>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JORNAL OF FOOD SAFETY, Vol 40(6); By:Madrazo, AL; Campos, MRS; Review of antimicrobial peptides as promoters of food safety: Limitations and possibilities within the food industry
</t>
  </si>
  <si>
    <t>https://onlinelibrary.wiley.com/doi/abs/10.1111/jfs.12854</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</si>
  <si>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</si>
  <si>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HELION vol.6(9); By:Abdelhamid, AG; El-Dougdoug, NK; Controlling foodborne pathogens with natural antimicrobials by biological control and antivirulence strategies</t>
  </si>
  <si>
    <t>https://www.sciencedirect.com/science/article/pii/S2405844020318636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</si>
  <si>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</si>
  <si>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LWT-FOOD SCIENCE AND TECHNOLOGY, vol 131; By:Yang, S; Dong, YT; Aweya, JJ; Li, J; Chen, X; Zhang, YL; Liu, GM;A hemoglobin-derived antimicrobial peptide, LCH4, from the large yellow croaker (Larimichthys crocea) with potential use as a food preservative
</t>
  </si>
  <si>
    <t>https://www.sciencedirect.com/science/article/abs/pii/S0023643820306459</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</si>
  <si>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</si>
  <si>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JOURNAL OF FOOD ENGINEERING, col 280 By:Verdu, S; Ruiz-Rico, M; Perez, AJ; Barat, JM; Grau, R; Application of laser backscattering imaging for the physico-chemical characterisation of antimicrobial silica particles functionalised with plant essential oils</t>
  </si>
  <si>
    <t>https://www.sciencedirect.com/science/article/abs/pii/S0260877420300881</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</si>
  <si>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</si>
  <si>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Colletotrichum gloesporioides inhibition using chitosan-Ruta graveolens L essential oil coatings: Studies in vitro and in situ on Carica papaya fruit
By:Peralta-Ruiz, Y; Tovar, CG; Sinning-Mangonez, A; Bermont, D; Cordero, AP; Paparella, A; Chaves-Lopez, C; 
INTERNATIONAL JOURNAL OF FOOD MICROBIOLOGY, Vol.326</t>
  </si>
  <si>
    <t>https://www.sciencedirect.com/science/article/abs/pii/S0168160520301434</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</si>
  <si>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</si>
  <si>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Inactivation ofListeria monocytogenes,Escherichia coliO157:H7, and Pre-existing Bacteria on Spinach by Combined Treatment ofCudrania tricuspidataLeaf Extract Washing and Ultraviolet-C Irradiation
By:Woo, HJ; Kang, JH; Lee, CH; Song, KB; FOOD AND BIOPROCESS TECHNOLOGY, Volume: 13 Issue: 7 Pages: 1229-1239</t>
  </si>
  <si>
    <t>https://link.springer.com/article/10.1007/s11947-020-02476-z</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</si>
  <si>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</si>
  <si>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Natural Phenolic Compounds for the Control of Oxidation, Bacterial Spoilage, and Foodborne Pathogens in Meat
By:Kalogianni, AI; Lazou, T; Bossis, I; Gelasakis, AI;
Volume: 9 Issue: 6
</t>
  </si>
  <si>
    <t>https://www.mdpi.com/2304-8158/9/6/794</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</si>
  <si>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</si>
  <si>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Lactic Acid Bacteria as Antibacterial Agents to Extend the Shelf Life of Fresh and Minimally Processed Fruits and Vegetables: Quality and Safety Aspects
By:Agriopoulou, S; Stamatelopoulou, E; Sachadyn-Krol, M; Varzakas, T; 
MICROORGANISMS
Volume: 8 Issue: 6</t>
  </si>
  <si>
    <t>https://www.ncbi.nlm.nih.gov/pmc/articles/PMC7356186/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</si>
  <si>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</si>
  <si>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Natamycin-loaded electrospun poly(epsilon-caprolactone) nanofibers as an innovative platform for antifungal applications
By:Veras, FF; Ritter, AC; Roggia, I; Pranke, P; Pereira, CN; Brandelli, A;
SN APPLIED SCIENCES; Volume: 2 Issue: 6</t>
  </si>
  <si>
    <t>https://link.springer.com/article/10.1007/s42452-020-2912-z</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</si>
  <si>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</si>
  <si>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Developing Nano-Delivery Systems for Agriculture and Food Applications with Nature-Derived Polymers
By:Sampathkumar, K; Tan, KX; Loo, SCJ; ISCIENCE
Volume: 23 Issue: 5</t>
  </si>
  <si>
    <t>https://www.sciencedirect.com/science/article/pii/S2589004220302406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</si>
  <si>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</si>
  <si>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Inhibition and molecular mechanism of diosmetin against xanthine oxidase by multiple spectroscopies and molecular docking
By:Liu, YJ; Chen, H; Xiang, HL; Lei, H; Zhang, D; Qin, YS; Xu, LY; NEW  JOURNAL OF CHEMISTRY, Volume: 44 Issue: 17 Pages: 6799-6809</t>
  </si>
  <si>
    <t>https://pubs.rsc.org/en/content/articlelanding/2020/nj/d0nj00679c#!divAbstract</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</si>
  <si>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</si>
  <si>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In Silico Analysis Highlights the Diversity and Novelty of Circular Bacteriocins in Sequenced Microbial Genomes
By:Xin, BY; Liu, HL; Zheng, JS; Xie, CS; Gao, Y ; Dai, DD; Peng, DH; Ruan, LF ; Chen, HC; Sun, M; MSYSTEMS, Volume: 5 Issue: 3</t>
  </si>
  <si>
    <t>https://msystems.asm.org/content/5/3/e00047-20</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</si>
  <si>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</si>
  <si>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Antimicrobial production by strictly anaerobic Clostridium spp.
By:Pahalagedara, ASNW; Flint, S; Palmer, J ; Brightwell, G; Gupta, TB;
INTERNATIONAL JOURNAL OF ANTIMICROBIAL AGENTS
Volume: 55 Issue: 5</t>
  </si>
  <si>
    <t>https://www.sciencedirect.com/science/article/abs/pii/S0924857920300492</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</si>
  <si>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</si>
  <si>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Polyvalent Phage CoNShP-3 as a Natural Antimicrobial Agent Showing Lytic and Antibiofilm Activities against Antibiotic-Resistant Coagulase-Negative Staphylococci Strains
By:Sofy, AR; Abd El Haliem, NF; Refaey, EE; Hmed, AA; FOODS; Volume: 9 Issue: 5</t>
  </si>
  <si>
    <t>https://www.mdpi.com/2304-8158/9/5/673</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</si>
  <si>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</si>
  <si>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Micro/nanoencapsulation strategy to improve the efficiency of natural antimicrobials against Listeria monocytogenes in food products
By:Darvish, HB; Bahrami, A; Jafari, SM; Williams, L ;
CRITICAL REVIEWS IN FOOD SCIENCE AND NUTRITION</t>
  </si>
  <si>
    <t>https://www.tandfonline.com/doi/abs/10.1080/10408398.2020.1755950?journalCode=bfsn20</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</si>
  <si>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</si>
  <si>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Antimicrobial-loaded nanocarriers for food packaging applications
By:Bahrami, A; Delshadi, R; Assadpour, E; Jafari, SM; Williams, L; ADVANCES IN COLLOID AND INTERFACE SCIENCE; 
Volume: 278</t>
  </si>
  <si>
    <t>https://www.sciencedirect.com/science/article/abs/pii/S0001868620300671</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</si>
  <si>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</si>
  <si>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Plants: A natural solution to enhance raw milk cheese preservation?
By:Dupas, C; Metoyer, B; El Hatmi, H; Adt, I; Mahgoub, SA; Dumas, E;
FOOD RESEARCH INTERNATIONAL; 
Volume: 130</t>
  </si>
  <si>
    <t>https://www.sciencedirect.com/science/article/abs/pii/S0963996919307690</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</si>
  <si>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</si>
  <si>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Antimicrobial mechanism of strictinin isomers extracted from the root of Rosa roxburghii Tratt (Ci Li Gen)
By:Ma, YC; Wang, Y; Zhang, H; Sun, WD; Li, ZZ ; Zhang, FYC; Zhang, HB; Chen, FX; Zhang, H; An, J  ...More; JOURNAL OF ETHNOPHARMACOLOGY; Volume: 250</t>
  </si>
  <si>
    <t>https://pubmed.ncbi.nlm.nih.gov/31877366/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</si>
  <si>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</si>
  <si>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Application of phytobiotics in animal prevention
By:Kupczynski, R; Szumny, A; PRZEMYSL CHEMICZNY; Volume: 99 Issue: 3 Pages: 367-372</t>
  </si>
  <si>
    <t>https://www.sigma-not.pl/zeszyt-6148-przemysl-chemiczny-2020-3.html</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</si>
  <si>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</si>
  <si>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Chitosan based nanocomposite films and coatings: Emerging antimicrobial food packaging alternatives
By:Kumar, S; Mukherjee, A; Dutta, J;
TRENDS IN FOOD SCIENCE &amp; TECHNOLOGY; Volume: 97 Pages: 196-209</t>
  </si>
  <si>
    <t>https://www.sciencedirect.com/science/article/pii/S0924224419306491</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</si>
  <si>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</si>
  <si>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Effect of thymoquinone on the resistance of Cronobacter sakazakii to environmental stresses and antibiotics
By:Chen, YF; Wen, QW; Chen, S; Guo, D; Xu, YF; Liang, S; Xia, XD; Yang, BW; Shi, C; FOOD CONTROL; Volume: 109</t>
  </si>
  <si>
    <t>https://www.sciencedirect.com/science/article/abs/pii/S095671351930533X</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</si>
  <si>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</si>
  <si>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Plant Phytochemicals in Food Preservation: Antifungal Bioactivity: A Review
By:Redondo-Blanco, S; Fernandez, J; Lopez-Ibanez, S; Miguelez, EM; Villar, CJ; Lombo, F; JOURNAL OF FOOD PROTECTION; 
Volume: 83 Issue: 1 Pages: 163-171</t>
  </si>
  <si>
    <t>https://pubmed.ncbi.nlm.nih.gov/31860394/</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</si>
  <si>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</si>
  <si>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Conservation of chicken breasts with mexican oregano essential oil
By:Herrera-Balandrano, DD; Martinez-Rojas, D; Luna-Maldonado, AI; Gutierrez-Soto, G; Hernandez-Martinez, CA; Silva-Vazquez, R; Flores-Giron, E; Quintero-Ramos, A; Mendez-Zamora, G;
BIOTECNIA; Volume: 22 Issue: 2 Pages: 119-127</t>
  </si>
  <si>
    <t>http://www.scielo.org.mx/scielo.php?script=sci_abstract&amp;pid=S1665-14562020000200119&amp;lng=es&amp;nrm=iso&amp;tlng=en</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</si>
  <si>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</si>
  <si>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Efficacy of pulsed electric fields and antimicrobial compounds used alone and in combination for the inactivation of Campylobacter jejuni in liquids and raw chicken
By:Clemente, I; Condon-Abanto, S; Pedros-Garrido, S; Whyte, P; Lyng, JG,
FOOD CONTROL; 
Volume: 107</t>
  </si>
  <si>
    <t>https://www.sciencedirect.com/science/article/abs/pii/S0956713519300246</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</si>
  <si>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</si>
  <si>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Descontaminação superficial em carne bovina maturada por aspersão com agentes de fonte natural: estudo da eficiência e comparação entre método tradicional e rápido, January 2020, Brazilian Journal of Development 6(2):7275-7289
Patrícia Aparecida Testa, Krishna Rodrigues Rosa, Geiziquele Lima, Euziclei Gonzaga Almeida</t>
  </si>
  <si>
    <t>https://www.researchgate.net/</t>
  </si>
  <si>
    <t>research gate</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</si>
  <si>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</si>
  <si>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Biodegradable packaging antimicrobial activity
January 2020, 
In book: Processing and Development of Polysaccharide-Based Biopolymers for Packaging Applications
D.R. Tapia-Blácido, Marcia Eliana da Silva Ferreira, Guilherme Aguilar, Denis Jansen Lemos Costa</t>
  </si>
  <si>
    <t>https://www.sciencedirect.com/science/article/pii/B9780128187951000095?via%3Dihub</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</si>
  <si>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</si>
  <si>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Agrobiología: Una visión general y sus aplicaciones
January 2020,
Luis G Ramírez-Mérida
</t>
  </si>
  <si>
    <t>https://www.researchgate.net/publication/342293464_Agrobiologia_Una_vision_general_y_sus_aplicaciones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</si>
  <si>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</si>
  <si>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Principales bacterias transmitidas por alimentos, preservación y control.
January 2020In book: Agrobiología
Luis Daniel Martínez Angulo</t>
  </si>
  <si>
    <t>https://www.researchgate.net/publication/342296598_Principales_bacterias_transmitidas_por_alimentos_preservacion_y_contro</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</si>
  <si>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</si>
  <si>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Food Preservative Potential of Lemongrass (Cymbopogon citratus) Essential Oil
January 2020
In book: Prime Archives in Agricultural Research Marta O Soares, Ana Vinha, Carla Sousa, Pedro Catarino, </t>
  </si>
  <si>
    <t>https://www.researchgate.net/publication/342894439_Food_Preservative_Potential_of_Lemongrass_Cymbopogon_citratus_</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</si>
  <si>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</si>
  <si>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SALT AND CRUDE PLANT EXTRACTS AS PRESERVATIVES IN A MEAT MODEL SYSTEM (GROUND PORK SHOULDER)
April 2020, Revista Caatinga 33(2):562-570
ALINE ANIELE VENCATO, Vinicius Sasso Nickel, Magnolia Silva, CÉSAR AUGUSTO MARCHIONATTI AVANCINI
</t>
  </si>
  <si>
    <t>researchgate.net/publication/342385398_SALT_AND_CRUDE_PLANT_EXTRACTS_AS_PRESERVATIVES_IN_A_MEAT_MODEL_SYSTEM_GRO</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</si>
  <si>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</si>
  <si>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Encapsulated Limonene: A Pleasant Lemon-Like Aroma with Promising Application in the Agri-Food Industry. A Review
June 2020, Molecules 25(11)
María Dolores Ibáñez, Noelia M. Sanchez-Ballester, María Amparo Blázquez
</t>
  </si>
  <si>
    <t>https://www.researchgate.net/publication/341960529_Encapsulated_Limonene_A_Pleasant_Lemon-Like_Aroma_with_Promising_Application_in_th</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</si>
  <si>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</si>
  <si>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Lactic Acid Bacteria as Antibacterial Agents to Extend the Shelf Life of Fresh and Minimally Processed Fruits and Vegetables: Quality and Safety Aspects
June 2020, Microorganisms 8(6):952
Sofia Agriopoulou , Eygenia Stamatelopoulou, Monika Sachadyn-Król, Theo H Varzakas.
</t>
  </si>
  <si>
    <t>https://www.mdpi.com/2076-2607/8/6/952</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</si>
  <si>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</si>
  <si>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Inactivation of Listeria monocytogenes, Escherichia coli O157:H7, and Pre-existing Bacteria on Spinach by Combined Treatment of Cudrania tricuspidata Leaf Extract Washing and Ultraviolet-C Irradiation
Springer, 
July 2020,Food and Bioprocess Technology 13(6):1-11
Hyuk-Je Woo Ji Hoon Kang Chae-Hun Lee Kyung Bin Song
</t>
  </si>
  <si>
    <t>https://www.researchgate.net/publication/342310441_Inactivation_of_Listeria_monocytogenes_Escherichia_coli_O157H7_and_Pre-existing_Bacteria_on_Spinach_by</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</si>
  <si>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</si>
  <si>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ANÁLISE DA SÉRIE TEMPORAL DA PRODUÇÃO DE LEITE CRU NOS ESTADOS DA REGIÃO NORDESTE DO BRASIL, July 2020
In book: Ciências Agrárias: Conhecimentos Científicos e Técnicos e Difusão de Tecnologias 2
Daniele Coutinho da Silva, Luis André de Aguiar Alves, Elvira Catiana de Oliveira SantosShow all 8 authors Aloisio Machado
</t>
  </si>
  <si>
    <t>https://www.researchgate.net/publication/343088132_ANALISE_DA_SERIE_TEMPORAL_DA_PRODUCAO_DE_LEITE_CRU_NOS_ESTADOS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</si>
  <si>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</si>
  <si>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COOPERATIVISMO E O DESENVOLVIMENTO SOCIOECONÔMICO DA AGRICULTURA FAMILIAR NO BAIXO TOCANTINS, AMAZÔNIA BRASILEIRA
July 2020, 
In book: Ciências Agrárias: Conhecimentos Científicos e Técnicos e Difusão de Tecnologias 2
Raquel Lopes NascimentoRenan Yoshio Pantoja KikuchiWagner Luiz Nascimento do NascimentoShow all 12 </t>
  </si>
  <si>
    <t>https://www.researchgate.net/publication/343088943_COOPERATIVISMO_E_O_DESENVOLVIMENTO_SOCIOECONOMICO_DA_AGRICULTURA_FAMILIAR_N</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</si>
  <si>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</si>
  <si>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An Overview on Lichen's Morphology, Chemistry of Derived Products, and Current Scenario
August 2020
In book: Lichen‐Derived Products
Mohd Yusuf</t>
  </si>
  <si>
    <t>https://www.researchgate.net/publication/346202864_An_Overview_on_Lichen's_Morphology_Chemistry_of_Derived_Products_and_Current_S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</si>
  <si>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</si>
  <si>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Outline of Animals and Plants-Based antimicrobial agents (NAA) in Antimicrobial food packaging (AFP): A new paradigm in food industry
August 2020
Ali Raza Ishaq,Fatima Noor,Ayesha Noor,l Muhammad Ilyas</t>
  </si>
  <si>
    <t>https://www.researchgate.net/publication/343670729_Outline_of_Animals_and_Plants-Based_antimicrobial_a</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</si>
  <si>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</si>
  <si>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Biodegradable Eco-Friendly Packaging and Coatings Incorporated of Natural Active Compounds
August 2020
In book: Food Packaging
Lab: Mariana Egea's Lab
Josemar Gonçalves de Oliveira Filho Ailton Lemes Ailton LemesAnna Rafaela Cavalcante Braga Anna Rafaela Cavalcante Braga Mariana Egea 
</t>
  </si>
  <si>
    <t>https://www.researchgate.net/publication/343670729_Outline_of_Animals_and_Plants-Based_antimicrobial_agents_NAA_in_Antimicrobial_food_packaging_AFP</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</si>
  <si>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</si>
  <si>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Natural antimicrobials for preservation of salty fern
September 2020, IOP Conference Series Earth and Environmental Science 548:082007, Sergey Khizhnyak, G A Demidenko,N N Tipsina, E Ya Muchkina
</t>
  </si>
  <si>
    <t>https://www.researchgate.net/publication/344090394_Natural_antimicrobials_for_preservation_of_salty_fern</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</si>
  <si>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</si>
  <si>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Identificación de bacterias productoras de bacteriocinas en muestras de leche de vacas con mastitis y evaluación de la actividad antimicrobiana sobre Staphylococcus aureus, Streptococcus agalactiae y Bacterias ácido-lácticas (BAL).
September 2020
Conference: X Encuentro Regional de semilleros de investigación 
Isabella Cañaveral Sánchez, Julia Chalarca, Duverney Gaviria</t>
  </si>
  <si>
    <t>https://www.researchgate.net/publication/348437628_Identificacion_de_bacterias_productoras_de_bacteriocinas_en_muestras_de_leche_de_vacas_con_mastitis_y_evaluacion_de_la_actividad_antimicrobiana_sobre_</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</si>
  <si>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</si>
  <si>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Halal antimicrobials in food: A review on prospects and challenges of antimicrobials from animal sources
September 2020,JOURNAL OF HALAL INDUSTRY &amp; SERVICES 3(1):1-14
Mohammad Aizat Jamaludin, Nurhidayu Al-saari, Azman Azid, Muhamad Shirwan Abdullah Sani</t>
  </si>
  <si>
    <t>https://www.researchgate.net/publication/344414549_Halal_antimicrobials_in_food_A_review_on_prospects_and_challenges_of_antimicrobials_from_animal_sources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</si>
  <si>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</si>
  <si>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Extraction of bioactive compounds and essential oils from herbs using green technologies
September 2020
In book: Aromatic herbs in food Chapter: 7, Publisher: Elsevier
Branimir Pavlic, Branislav Šojić, Nemanja Teslić, Danijela Bursać Kovačević</t>
  </si>
  <si>
    <t>Extraction of bioactive compounds and essential oils from herbs using green technologies September 2020 DOI: 10.1016/B978-0-12-822716-9.00007-X In book</t>
  </si>
  <si>
    <t>Elsevier</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</si>
  <si>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</si>
  <si>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Identification and characterization of a novel circular bacteriocin, bacicyclicin XIN-1, from Bacillus sp. Xin1
October 2020, Food Control 121(10):107696
Bingyue Xin, Haitao Xu, Hualin Liu, Guangli Wang</t>
  </si>
  <si>
    <t>https://www.researchgate.net/publication/346226795_Identification_and_characterization_of_a_novel_circular_bacteriocin_bacicyclicin_XIN-1_fro</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</si>
  <si>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</si>
  <si>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Active Packaging Films Based on Polyolefins Modified by Organic and Inorganic Nanoparticles
October 2020
In book: Reactive and Functional Polymers Volume Three, Advanced materials
Yanela N. Alonso, Ana L. Grafia, Luciana A. Castillo, Silvia E. Barbosa
</t>
  </si>
  <si>
    <t>https://www.researchgate.net/publication/346383164_Active_Packaging_Films_Based_on_Polyolefins_Modified_by_Organic_and_Inorganic_Nanoparticles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</si>
  <si>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</si>
  <si>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Food Packaging: Advanced Materials, Technologies, and Innovations, October 2020
Sanjay M R, Jyotishkumar Parameswaranpillai, Senthil Muthu Kumar Thiagamani, Suchart Siengchin.</t>
  </si>
  <si>
    <t>https://www.researchgate.net/publication/343400203_Food_Packaging_Advanced_Materials_Technologies_and_Innovations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</si>
  <si>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</si>
  <si>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Composition and Functionality of Nigella sativa Fixed Oil
November 2020
In book: Black cumin (Nigella sativa) seeds: Chemistry, Technology, Functionality, and Applications
Mustafa Kiralan, Sündüz Sezer Kiralan, Gulcan Ozkan, Mohamed Fawzy Ramadan Hassanien</t>
  </si>
  <si>
    <t>https://www.researchgate.net/publication/347263143_Composition_and_Functionality_of_Nigella_sativa_Fixed_Oil</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</si>
  <si>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</si>
  <si>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Effect of plant part, extraction method, and harvest time over antioxidant yield of rubus coreanus, January 2020, Pharmacognosy Magazine 16(5):455, 
MinJu LeeJu, Hee Nam, JeongHo Jeong, IlRae Rho
</t>
  </si>
  <si>
    <t>https://www.researchgate.net/publication/347241706_Effect_of_plant_part_extraction_method_and_harvest_time_over_antioxidant_yield_of_rubus_coreanus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</si>
  <si>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</si>
  <si>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Determination of a Mixture of Plantago lanceolata L. and Salvia officinalis L. by High-Performance Liquid Chromatography with Ultraviolet Detection (HPLC-UV), January 2020, Analytical Letters 53(9):1-16, 
Felicia Gligor, Adina Frum, Laura GRATIELA Vicas, Carmen Maximiliana Dobre a</t>
  </si>
  <si>
    <t>https://www.researchgate.net/publication/338438559_Determination_of_a_Mixture_of_Plantago_lanceolata_L_and_Salvia_officinalis_L_by_High-Performance_Liquid_Chromatography_with_Ultraviolet_Detection_HPLC-UV</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</si>
  <si>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</si>
  <si>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Folia Horticulturae Antioxidant properties and phenolic profile of the most widely appreciated cultivated berry species: A comparative study
April 2020, Folia Horticulturae 32(1)
Volkan Okatan</t>
  </si>
  <si>
    <t>https://www.researchgate.net/publication/341000242_Folia_Horticulturae_Antioxidant_properties_and_phenolic_profile_of_the_most_widely_appreciated_cultivated_berry_species_A_comparative_study</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</si>
  <si>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</si>
  <si>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Role of Maturity Stages on Phenolic Compounds and Organic Acids Contents in Red Currant Fruits
June 2020, International Journal of Fruit Science 20(2):1-18
Selma Kuru Berk, Muttalip Gundogdu, Selma Tuna, Akgul Tas</t>
  </si>
  <si>
    <t>https://www.researchgate.net/publication/341806558_Role_of_Maturity_Stages_on_Phenolic_Compounds_and_Organic_Acids_Contents_in_Red_Currant_Fruits</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</si>
  <si>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</si>
  <si>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 xml:space="preserve">Analysis of efficiency of production of sausage products using non-traditional vegetable raw materials
September 2020, IOP Conference Series Earth and Environmental Science 
I F Gorlov, S E Bozhkova, Y D Danilov, J V Starodubova
</t>
  </si>
  <si>
    <t>https://www.researchgate.net/publication/344090380_Analysis_of_efficiency_of_production_of_sausage_p</t>
  </si>
  <si>
    <r>
      <rPr>
        <rFont val="arial narrow"/>
        <color theme="1"/>
        <sz val="10.0"/>
      </rPr>
      <t xml:space="preserve">Aurelia Magdalena Pisoschi, Aneta POP, Universitate de Stiinte Agricole si medicina Veterninara, Bucuresti, </t>
    </r>
    <r>
      <rPr>
        <rFont val="Arial Narrow"/>
        <b/>
        <color theme="1"/>
        <sz val="10.0"/>
      </rPr>
      <t xml:space="preserve">Cecilia Georgescu, ULBS, </t>
    </r>
    <r>
      <rPr>
        <rFont val="Arial Narrow"/>
        <color theme="1"/>
        <sz val="10.0"/>
      </rPr>
      <t>Violeta Turcus, Neli Kinga Olah,Universitatea de Vest Vasile Goldis, Endre Mathe, Universitatea din Debrecen</t>
    </r>
  </si>
  <si>
    <t>Effects of nanoemulsion-based active coatings with composite mixture of star anise essential oil, polylysine, and nisin on the quality and shelf life of ready-to-eat Yao meat products
By:Liu, Q; Zhang, M; Bhandari, B; Xu, JC; Yang, CH; FOOD CONTROL;
Volume: 107</t>
  </si>
  <si>
    <t>https://www.sciencedirect.com/science/article/abs/pii/S0956713519303603</t>
  </si>
  <si>
    <t>Bratu I., Georgescu C</t>
  </si>
  <si>
    <t>Chemical contamination of bee honey -Identifying sensor of the environment pollution</t>
  </si>
  <si>
    <t>Heavy Metal Content in PolyfloralHoney and Potential Health Risk. A Case Study of Copsa Mic, Romania
By:Bartha, S; Taut, I; Goji, G; Vlad, IA ; Dinulica, F;
INTERNATIONAL JOURNAL OF ENVIRONMENTAL RESEARCH AND PUBLIC HEALTH; 
Volume: 17 Issue: 5
Article Number: 1507</t>
  </si>
  <si>
    <t>https://www.mdpi.com/1660-4601/17/5/1507</t>
  </si>
  <si>
    <t>Chemosphere, V261, 2020, Comet assay protocol for Bombus atratus fat body and pericardial cells (Hymenoptera, bombini) at a safe concentration of mercury, By: Letícia Ceschi-Bertoli, Felipe Augusto, Pinto Vidala, Paulo José Balsamo Fábio Camargo Abdalla</t>
  </si>
  <si>
    <t>Comet assay protocol for Bombus atratus fat body and pericardial cells (Hymenoptera, bombini) at a safe concentration of mercury - ScienceDirect</t>
  </si>
  <si>
    <t xml:space="preserve">Journal of Applied Sciences and Environmental Management,  Vol. 24 No. 9 (2020), Determination and Comparative Evaluation of Mineral Content of Honey obtain from Rivers State University, Forestry Arboretum and Port Harcourt Local Market, By: P.C. Nnadi
</t>
  </si>
  <si>
    <t>https://www.ajol.info/index.php/jasem/article/view/200629</t>
  </si>
  <si>
    <t>Science of the Total Environment, V 736, 2020, Honey as an indicator of long-term environmental changes: MP-AES analysis coupled with 14C-based age determination of Hungarian honey samples, Tamás Varga, Zsófi Sajtos, Zita Gajdos, A.J. Timothy Jull, Mihály Molnár, Edina Baranyai.</t>
  </si>
  <si>
    <t>https://www.sciencedirect.com/science/article/pii/S004896972033206X</t>
  </si>
  <si>
    <t>The comparative study of heavy metals contamination of honey and flowers coming from a chemically polluted area</t>
  </si>
  <si>
    <t>Pollutants and Their Interaction with Diseases of Social Hymenoptera
By: Feldhaar, Heike; Otti, Oliver
INSECTS  Volume: 11   Issue: 3     Article Number: 153   Published: MAR 2020</t>
  </si>
  <si>
    <t>https://www.mdpi.com/2075-4450/11/3/153</t>
  </si>
  <si>
    <t>Cecilia Georgescu, Monica Mironescu</t>
  </si>
  <si>
    <t>Obtaining, characterisation and screening of the antifungalactivity of the volatile oil extracted from thymus serpyllum</t>
  </si>
  <si>
    <t>RESEARCH OF THE BACTERICIDAL PROPERTIES AND TOXICITY OF COMPOSITIONS FOR STONE FRUIT PRESERVATION
By:Dubinina, A; Letuta, T; Novikova, V; JOURNAL OF FOOD SCIENCE AND TECHNOLOGY-UKRAINE; Volume: 14 Issue: 2 Pages: 50-57</t>
  </si>
  <si>
    <t>https://journals.onaft.edu.ua/index.php/foodtech/article/view/1721</t>
  </si>
  <si>
    <t>Determination of antifungal activities of essential oils incorporated-pomegranate peel fibers reinforced-polyvinyl alcohol biocomposite film against mango postharvest pathogens, Materials Today: Proceedings, 2020, G.Nandhavathy, V. Dharini, P. Anand Babu, Reshma B. Nambiar, S. Periyar Selvam, Emmanuel Rotimi Sadiku, M. Mahesh Kuma</t>
  </si>
  <si>
    <t>https://www.sciencedirect.com/science/article/pii/S2214785320339638?casa_token=PUVa8v-DDG4AAAAA:dKp0aviJi4Pw9R37d6iCLkPdPe4B4qQa3iqVqpSpWPO2PWKenprVPKyQMvi-OR73LxG6bx15qWM#!</t>
  </si>
  <si>
    <t>Scient Direct</t>
  </si>
  <si>
    <t>Adina Frum, Cecilia Georgescu, Felicia G. Gligor, Ecaterina Lengyel, Diana I. Stegarus, Carmen M. Dobrea, Ovidiu Tita</t>
  </si>
  <si>
    <t>IDENTIFICATION AND QUANTIFICATION OF PHENOLIC COMPOUNDS FROM RED GRAPE POMACE</t>
  </si>
  <si>
    <t xml:space="preserve">Effects of Supplementing Grape Pomace to Broilers Fed Polyunsaturated Fatty Acids Enriched Diets on Meat Quality
By:Turcu, RP; Panaite, TD; Untea, AE; Soica, C; Iuga, M; Mironeasa, S;
ANIMALS; Volume: 10 Issue: 6
</t>
  </si>
  <si>
    <t>https://www.ncbi.nlm.nih.gov/pmc/articles/PMC7341520/</t>
  </si>
  <si>
    <t>TOTAL PHENOLIC CONTENT AND ANTIOXIDANT ACTIVITY OF YOGHURT WITH GOJI BERRIES (LYCIUM BARBARUM), I Taneva, Z Zlatev - Scientific Study &amp; Research. Chemistry &amp; Chemical …,21(4), 2020</t>
  </si>
  <si>
    <t>http://pubs.ub.ro/?pg=revues&amp;rev=cscc6&amp;num=202001&amp;vol=1&amp;aid=5099</t>
  </si>
  <si>
    <t>Mironescu, M., Georgescu C., Oprean L.</t>
  </si>
  <si>
    <t>Comparative sporicidal efects of volatile oils</t>
  </si>
  <si>
    <t>Determination of antifungal activities of essential oils incorporated-pomegranate peel fibers reinforced-polyvinyl alcohol biocomposite film against mango postharvest pathogens, Materials Today: Proceedings, 2020, G.Nandhavathy, V. Dharini, P. Anand Babu, Reshma B. Nambiar, S. Periyar Selvam, Emmanuel Rotimi Sadiku, M. Mahesh Kumar</t>
  </si>
  <si>
    <t>Mironescu, M., Georgescu C.</t>
  </si>
  <si>
    <t xml:space="preserve">Activity of some essential oils against common spoilage fungi of buildings </t>
  </si>
  <si>
    <t>Chemistry &amp; Biochemistry, 17(3), 2020, New Tricks for Old Guys: Recent Developments in the Chemistry, Biochemistry, Applications and Exploitation of Selected Species from the Lamiaceae Family, By: Edoardo Napoli, Laura Siracusa, Giuseppe Ruberto</t>
  </si>
  <si>
    <t>https://onlinelibrary.wiley.com/doi/abs/10.1002/cbdv.201900677</t>
  </si>
  <si>
    <t>Wiley</t>
  </si>
  <si>
    <t xml:space="preserve">Coatings, 10(3), 2020, Phytochemical Compounds as Cleaning Agents on Granite Colonized by Phototrophic Subaerial Biofilms, Chiara Genova, Elsa Fuentes, Patricia Sanmartin, Gabriela Favero, Beatriz, Prieto </t>
  </si>
  <si>
    <t>https://www.mdpi.com/2079-6412/10/3/295</t>
  </si>
  <si>
    <t>Microchemical Journal, 156, 2020, An integrated approach to the recovery of travertine biodegradation by combining phyto-cleaning with genomic characterization, By: Chiara Genova, Alessandro Grottoli, Emma Zoppis, Claudia Cencetti, Pietro Matricardi, Gabriele Favero</t>
  </si>
  <si>
    <t>https://www.sciencedirect.com/science/article/pii/S0026265X19325354?casa_token=iIOYqb_xHDsAAAAA:EwlzY1tP6kOUd1nfUuZVnA2-cVjFIG-kJcdj</t>
  </si>
  <si>
    <t>Moza, Maria Iasmina; Mironescu, Monica; Georgescu, Cecilia; Florea, A.; Bucşa, Livia</t>
  </si>
  <si>
    <t>ISOLATION AND CHARACTERIZATION OF MOULDS DEGRADING MURAL PAINTINGS.</t>
  </si>
  <si>
    <t xml:space="preserve">Decay mechanisms and control methods for conservation of art works in museum conditions and surrounding postbyzantin church, April 2020, International Journal of Engineering and Technology 12(2):183-188
Holta Cota, Leonidha Peri, Laura Shumka, Entela Lato, 
</t>
  </si>
  <si>
    <t>https://www.researchgate.net/publication/342173864_Decay_mechanisms_and_control_methods_for_conservation_of_art_works_in_museum_conditions_and_surrounding_postbyzantin_church</t>
  </si>
  <si>
    <t xml:space="preserve">Journal of Environmental Management &amp; Tourism; Craiova Vol. 11, Iss. 3(43),  (Summer 2020): 601-605, The Needs for Determining Degradation Risks from Temperature and Relative Humidity of Post-Byzantine Church Indoor Environment, By: Shumka, Laura; Peri, Leonidha; Lato, Entela.  </t>
  </si>
  <si>
    <t>https://search.proquest.com/docview/2438619692/fulltextPDF/EAF41B73E092465FPQ/1?accountid=8083</t>
  </si>
  <si>
    <t>ProQuest</t>
  </si>
  <si>
    <t>Mironescu M., Georgescu C.</t>
  </si>
  <si>
    <t>Preliminary researches on the effect of essential oils on moulds isolated from surfaces</t>
  </si>
  <si>
    <t>Elena Traistaru, Adrian Rivis, Raul Ciprian Moldovan, Antigoni Menelaou, Cecilia Georgescu</t>
  </si>
  <si>
    <t>Modelling migration from plastic packaging materials used in food industry</t>
  </si>
  <si>
    <t xml:space="preserve">Modeling the Migration of 2,6-di-tert-butyl-p-cresol from Plastic Bags into attiéké (Cassava Couscous) from Physico-Chemical and Morphometric Parameters, American Journal an Environmental Protection, V.9(1), 2020, Mananga Olivier Simon Kombo, Mamadou Guy-Richard Kone, Yapo Habib Kpidi, Agnes Essoh Jean Eudes Yves Gnagne, Tiama Guy Nicaise Ballet, Ossey Bernard Yapo, </t>
  </si>
  <si>
    <t>ciencepublishinggroup.com/journal/paperinfo?journalid=163&amp;doi=10.11648/j.ajep.20200901</t>
  </si>
  <si>
    <r>
      <rPr>
        <rFont val="arial narrow"/>
        <color theme="1"/>
        <sz val="10.0"/>
      </rPr>
      <t xml:space="preserve">Elena Traistaru, Adrian Rivis, Raul Ciprian Moldovan, Antigoni Menelaou, </t>
    </r>
    <r>
      <rPr>
        <rFont val="Arial Narrow"/>
        <b/>
        <color theme="1"/>
        <sz val="10.0"/>
      </rPr>
      <t>Cecilia Georgescu</t>
    </r>
  </si>
  <si>
    <t>Food Packiging and Shelf Life, V.24, 2020, Enhancing the functional properties of acetylated hemicellulose films for active food packaging using acetylated nanocellulose reinforcement and polycaprolactone coating,By: R.Mugwagwa,  Annie F.A.Chimphango</t>
  </si>
  <si>
    <t>https://www.sciencedirect.com/science/article/pii/S221428941930496X?casa_token=2rZNwTaQEhcAAAAA:otZx8YMwMzx_DaRp9BelPC4ez6VqRafzOZsqYED3yLoxFEVsmC0</t>
  </si>
  <si>
    <r>
      <rPr>
        <rFont val="Arial Narrow"/>
        <b/>
        <color rgb="FF333333"/>
        <sz val="10.0"/>
      </rPr>
      <t>Cecilia Georgescu</t>
    </r>
    <r>
      <rPr>
        <rFont val="Arial Narrow"/>
        <color rgb="FF333333"/>
        <sz val="10.0"/>
      </rPr>
      <t>, Adriana Birca, Monica Mironescu, AM Tita, Mark Shamtsyan, DI Mironescu, Ovidiu Tita</t>
    </r>
  </si>
  <si>
    <t>CONSUMER PERCEPTIONS OF NUTRITION AND HEALTH CLAIMS FROM FOOD LABELS IN ROMANIA</t>
  </si>
  <si>
    <t>Consumers attitude towards food label information
M Saxena - 2020 - shodhgangotri.inflibnet.ac.in</t>
  </si>
  <si>
    <t>https://scholar.google.ro/scholar?oi=bibs&amp;hl=ro&amp;cites=3881363681462646960</t>
  </si>
  <si>
    <r>
      <rPr>
        <rFont val="Arial Narrow"/>
        <b val="0"/>
        <color rgb="FF000000"/>
        <sz val="10.0"/>
      </rPr>
      <t xml:space="preserve">Mironescu I.D., Mironescu M., </t>
    </r>
    <r>
      <rPr>
        <rFont val="Arial Narrow"/>
        <b/>
        <color rgb="FF000000"/>
        <sz val="10.0"/>
      </rPr>
      <t>Georgescu C.</t>
    </r>
    <r>
      <rPr>
        <rFont val="Arial Narrow"/>
        <b val="0"/>
        <color rgb="FF000000"/>
        <sz val="10.0"/>
      </rPr>
      <t>, Ranga I.N., Iancu M.L., Oprean L.</t>
    </r>
  </si>
  <si>
    <t>Analysis of the extracellular polysaccharide-based structures produced by a halophylic archaeon</t>
  </si>
  <si>
    <t>Production and characterization of a bioactive extracellular homopolysaccharide produced by Haloferax sp. BKW301, J Biswas, P Saha, J Ganguly… - Journal of Basic Microbiology, 2020 - Wiley Online Library</t>
  </si>
  <si>
    <t xml:space="preserve"> homopolysaccharide produced by Haloferax sp. BKW301, J Biswas, P Saha, J Ganguly… - Journal of Basic Microbiology, 2020 - Wiley Online Library Production and characterization of a bioactive extracellular homopolysaccharide produced by Haloferax sp. BKW302</t>
  </si>
  <si>
    <t>Maria Lucia Muresan-ULB Sibiu, Ilioara Oniga-UMF Cluj Napoca, Cecilia Georgescu, Ramona Paltinean-UMF Cluj Napoca, Felicia Gligor-ULBS, Mihai Tudor Craciunas-ULBS, Radu Oprean-UMF Cluj Napoca</t>
  </si>
  <si>
    <t>BOTANICAL AND PHYTOCHEMICAL STUDIES ON TANACETUM VULGARE L. FROM TRANSYLVANIA TANACETUM VULGARE L. FROM TRANSYLVANIA</t>
  </si>
  <si>
    <t xml:space="preserve">Tanacetum vulgare L. -A Systematic Review
June 2020, Journal of Agronomy, Technology and Engineering Management. 3(3), Milica Acimovic, Nikola Puvača
</t>
  </si>
  <si>
    <t>https://www.researchgate.net/publication/345764619_Tanacetum_vulgare_L_-A_Systematic_Review</t>
  </si>
  <si>
    <t xml:space="preserve">Fluorescence of Living Plant Cells for Phytomedicine Preparations, May 2020
Victoria Vladimirovna Roshchina
</t>
  </si>
  <si>
    <t>https://www.researchgate.net/publication/341698228_Fluorescence_of_Living_Plant_Cells_for_Phytomedicine_Preparations</t>
  </si>
  <si>
    <r>
      <rPr>
        <rFont val="arial narrow"/>
        <color theme="1"/>
        <sz val="10.0"/>
      </rPr>
      <t xml:space="preserve">Kokina, M; Shamtsyan, M (Shamtsyan, Russia ; </t>
    </r>
    <r>
      <rPr>
        <rFont val="Arial Narrow"/>
        <b/>
        <color theme="1"/>
        <sz val="10.0"/>
      </rPr>
      <t>Georgescu, C</t>
    </r>
    <r>
      <rPr>
        <rFont val="Arial Narrow"/>
        <color theme="1"/>
        <sz val="10.0"/>
      </rPr>
      <t>; Mironescu, M; Nedovic, V Serbia</t>
    </r>
  </si>
  <si>
    <t>Essential oil/alginate microcapsules; obtaining and applying</t>
  </si>
  <si>
    <t>Long-Acting Formulations: A Promising Approach for the Treatment of Chronic Diseases, SR Kumar, CH Mehta, UY Nayak - Current Pharmaceutical …, 2020 - ingentaconnect.com</t>
  </si>
  <si>
    <t>Long-Acting Formulations: A Promi...he Treatment of Chronic Diseases: Ingenta Connect Fast Track Article</t>
  </si>
  <si>
    <t>ingentaconnect</t>
  </si>
  <si>
    <r>
      <rPr>
        <rFont val="arial narrow"/>
        <color theme="1"/>
        <sz val="10.0"/>
      </rPr>
      <t xml:space="preserve">Kokina, M; Shamtsyan, M (Shamtsyan, Russia ; </t>
    </r>
    <r>
      <rPr>
        <rFont val="Arial Narrow"/>
        <b/>
        <color theme="1"/>
        <sz val="10.0"/>
      </rPr>
      <t>Georgescu, C</t>
    </r>
    <r>
      <rPr>
        <rFont val="Arial Narrow"/>
        <color theme="1"/>
        <sz val="10.0"/>
      </rPr>
      <t>; Mironescu, M; Nedovic, V Serbia</t>
    </r>
  </si>
  <si>
    <t>Alginate: From Food Industry to Biomedical Applications and Management of Metabolic Disorders
By: Gheorghita Puscaselu, Roxana; Lobiuc, Andrei; Dimian, Mihai; et al.
POLYMERS  Volume: 12   Issue: 10     Article Number: 2417   Published: OCT 2020</t>
  </si>
  <si>
    <t>http://immunopathol.com/Article/ipp-152</t>
  </si>
  <si>
    <t>Iagaru, R. (ULB); Florescu, N. (ANAF); Iagaru, P. (ULB)</t>
  </si>
  <si>
    <t>Strategic management of sustainable development in the countryside of
sibiu depression—Basic of environmental protection</t>
  </si>
  <si>
    <t>Gunnarsson S, Segerkvist KA, Wallgren T, Hjelmstedt P, Sonesson U, Hansson H. Systematic Mapping of Research on Farm-Level Sustainability in Finfish Aquaculture. Sustainability. 2020; 12(23):9985. https://doi.org/10.3390/su12239985</t>
  </si>
  <si>
    <t>https://www.mdpi.com/2071-1050/12/23/9985#cite</t>
  </si>
  <si>
    <t>Sustainability 2020, 12(23), 9985; https://doi.org/10.3390/su12239985</t>
  </si>
  <si>
    <t>Iagaru, R. (ULB), Iagaru, P. (ULB),</t>
  </si>
  <si>
    <t xml:space="preserve"> The impact of the
current situation on the development of nonagricultural activities in rural areas situated at the
border of Sibiu</t>
  </si>
  <si>
    <t>MARCUTA, L., PURDOIU, L., PURDOIU, S., TUDOR, V., &amp; MARCUTA, A. (2020). Use of sensory analysis to appreciate the quality of apple juice. Scientific Papers: Management, Economic Engineering in Agriculture &amp; Rural Development, 20(1).</t>
  </si>
  <si>
    <t>http://managementjournal.usamv.ro/pdf/vol.20_1/Art43.pdf</t>
  </si>
  <si>
    <t xml:space="preserve">Iagaru, P,  Pavel, P,  Iagaru, R </t>
  </si>
  <si>
    <t xml:space="preserve">IMPLEMENTATION OF THE CONCEPT AGRICULTURE OF PRECISION A WAY TO IMPROVE THE MANAGEMENT OF AGRICULTURAL ENTERPRISES
</t>
  </si>
  <si>
    <t>REMOTE SENSING IN THE ANALYSIS AND CHARACTERIZATION OF SPATIAL VARIABILITY OF THE TERRITORY. A STUDY CASE IN TIMIS COUNTY, ROMANIA
By:Popescu, CA  Herbei, MV; Sala, F, SCIENTIFIC PAPERS-SERIES MANAGEMENT ECONOMIC ENGINEERING IN AGRICULTURE AND RURAL DEVELOPMENT, 
Volume: 20 Issue: 1 Pages: 505-514
Published: 2020</t>
  </si>
  <si>
    <t>Maria Mihaela ANTOFIE (ULB), Mihai Radu POP (ULB), Camelia Sand (ULB), Gligor CIORTEA (ULB), Pompilica IAGĂRU (ULB)</t>
  </si>
  <si>
    <t>Mir, R. A., Sharma, A., &amp; Mahajan, R. (2020). Crop Landraces: Present Threats and Opportunities for Conservation. In Rediscovery of Genetic and Genomic Resources for Future Food Security (pp. 335-349). Springer, Singapore.</t>
  </si>
  <si>
    <t>Iagaru, R., Iagaru, P.,</t>
  </si>
  <si>
    <r>
      <rPr>
        <rFont val="Arial Narrow"/>
        <color rgb="FF000000"/>
        <sz val="10.0"/>
      </rPr>
      <t>Iancu Maria Lidia</t>
    </r>
    <r>
      <rPr>
        <rFont val="Arial Narrow"/>
        <color rgb="FF008080"/>
        <sz val="10.0"/>
      </rPr>
      <t xml:space="preserve">
</t>
    </r>
  </si>
  <si>
    <t>Effect of potato (Solanum tuberosum) addition on dough properties, sensory qualities and resistant starch content of bread</t>
  </si>
  <si>
    <t xml:space="preserve">Yanfei Cao
Min Zhang
Shuang Dong
Peng Guo
Hongjun Li ,Impact of potato pulp on the processing characteristics and gluten structures of wheat flour dough, Journal of Food Processing and Preservation,Volume44, Issue6,June 2020, e14473
</t>
  </si>
  <si>
    <t>https://ifst.onlinelibrary.wiley.com/doi/abs/10.1111/jfpp.14473</t>
  </si>
  <si>
    <t>https://ifst.onlinelibrary.wiley.com/hub/journal/17454549/homepage/productinformation.html</t>
  </si>
  <si>
    <t>Maria Lidia Iancu, Luiza Mike, Günter Haubelt</t>
  </si>
  <si>
    <t>Research on the rheometric elements of the potato dough and the influence of measured variables upon bread quality</t>
  </si>
  <si>
    <t>Kristin Whitney
Senay Simsek, Potato flour as a functional ingredient in bread: evaluation of bread quality and starch characteristics,International Journal of Food Science &amp; +Technoloy,07 July 2020
https://doi.org/10.1111/ijfs.14698</t>
  </si>
  <si>
    <t>https://ifst.onlinelibrary.wiley.com/doi/10.1111/ijfs.14698</t>
  </si>
  <si>
    <t>https://ifst.onlinelibrary.wiley.com/hub/journal/13652621/homepage/productinformation.html</t>
  </si>
  <si>
    <t xml:space="preserve">Iancu Maria Lidia
</t>
  </si>
  <si>
    <t>FFAA2</t>
  </si>
  <si>
    <t>https://www.jstage.jst.go.jp/browse/fstr/-char/en</t>
  </si>
  <si>
    <t xml:space="preserve">Lidia Iancu, Luiza Mike, Günter Haubelt
</t>
  </si>
  <si>
    <t xml:space="preserve">Aidin Pahlavan, Mohammad Hassan Ka, Rapid quality assessment of bread using developed multivariate models: A simple predictive modeling approach, Progress in Agricultural Engineering Sciences , DOI: 
https://doi.org/10.1556/446.2020.00001 
Publication Date: 
01 Sep 2020 
Online Publication Date: 
01 Sep 2020 
</t>
  </si>
  <si>
    <t>https://akjournals.com/view/journals/446/aop/article-10.1556-446.2020.00001/article-10.1556-446.2020.00001.xml</t>
  </si>
  <si>
    <t>https://akjournals.com/view/journals/446/446-overview.xml</t>
  </si>
  <si>
    <t>Ion D. MIRONESCU, Monica MIRONESCU, Cecilia GEORGESCU, Ioan N. RANGA, Maria L. IANCU, Letiția OPREAN</t>
  </si>
  <si>
    <t xml:space="preserve">Analysis of the Extracellular Polysaccharide-based Structures Produced by a Halophylic Archaeon </t>
  </si>
  <si>
    <t xml:space="preserve">Jhuma Biswas 
Pradipta Saha 
Jhuma Ganguly 
Amal K. Paul,Production and characterization of a bioactive extracellular homopolysaccharide produced by Haloferax sp. BKW301,Journal of Basic Microbiology, Environment-Health-Technique,2020,Vol.60,Issue-10,Octombrie 2020 
</t>
  </si>
  <si>
    <t>https://onlinelibrary.wiley.com/journal/15214028?tabActivePane=</t>
  </si>
  <si>
    <t>https://onlinelibrary.wiley.com/page/journal/15214028/homepage/productinformation.html</t>
  </si>
  <si>
    <t>Effect of germinated brown rice flour on volatile compounds, and sensory evaluation of germinated brown rice steamed bread
Ying Sun 
Rongxin Miao 
Lina Guan 
First published: 22 October 2020
https://doi.org/10.1111/jfpp.14994
Journal of Food Processing and Preservation</t>
  </si>
  <si>
    <t>https://ifst.onlinelibrary.wiley.com/doi/10.1111/jfpp.14994</t>
  </si>
  <si>
    <t>https://ifst.onlinelibrary.wiley.com/journal/17454549?tabActivePane=</t>
  </si>
  <si>
    <t xml:space="preserve">Effects of Potato Powder and Starch on the Pasting, Rheological, and Thermal Properties of Dough 
C Tao, K Wang, X Liu, W Shi, Y Liu… - Food Science andTechnologies Researches, 2020 , Volume 26 Issue 5 Pages 579-587  jstage.jst.go.jp https://doi.org/10.3136/fstr.26.579
</t>
  </si>
  <si>
    <t>https://www.jstage.jst.go.jp/article/fstr/26/5/26_579/_article</t>
  </si>
  <si>
    <t>https://www.jstage.jst.go.jp/browse/fstr/_pubinfo/-char/en</t>
  </si>
  <si>
    <t>Lidia Iancu, Luiza Mike, Günter Haubelt</t>
  </si>
  <si>
    <t>H ELHAMIRAD, Z SHEIKHOLESLAMI, M ARMINRapid quality assessment of bread using developed multivariate models: A simple predictive modeling approach,    April 2020Progress in Agricultural Engineering Sciences 
    DOI: 10.1556/446.2020.00001</t>
  </si>
  <si>
    <t>https://www.researchgate.net/publication/342832976_Rapid_quality_assessment_of_bread_using_developed_multivariate_models_A_simple_predictive_modeling_approach</t>
  </si>
  <si>
    <t>https://www.resurchify.com/all_ranking_details_2.php?id=17842</t>
  </si>
  <si>
    <t>O Ketney (ULBS), A Santini (University of Napoli Federico ), S Oancea (ULBS)</t>
  </si>
  <si>
    <t>Recent aflatoxin survey data in milk and milk products: A review</t>
  </si>
  <si>
    <t>Min, L., Li, D., Tong, X., Sun, H., Chen, W., Wang, G., ... &amp; Wang, J. (2020). The challenges of global occurrence of aflatoxin M1 contamination and the reduction of aflatoxin M1 in milk over the past decade. Food Control, 107352.</t>
  </si>
  <si>
    <t>https://www.sciencedirect.com/science/article/abs/pii/S0956713520302681</t>
  </si>
  <si>
    <t>https://apps.webofknowledge.com/full_record.do?product=WOS&amp;search_mode=CitingArticles&amp;qid=7&amp;SID=C1PPq1tIqsjRiGQhNdX&amp;page=1&amp;doc=3&amp;cacheurlFromRightClick=no</t>
  </si>
  <si>
    <t>Ketney Otto</t>
  </si>
  <si>
    <t>Vaz, A., Cabral Silva, A. C., Rodrigues, P., &amp; Venâncio, A. (2020). Detection methods for aflatoxin M1 in dairy products. Microorganisms, 8(2), 246.</t>
  </si>
  <si>
    <t>https://www.mdpi.com/2076-2607/8/2/246</t>
  </si>
  <si>
    <t>https://apps.webofknowledge.com/full_record.do?product=WOS&amp;search_mode=CitingArticles&amp;qid=7&amp;SID=C1PPq1tIqsjRiGQhNdX&amp;page=2&amp;doc=12&amp;cacheurlFromRightClick=no</t>
  </si>
  <si>
    <t>Xiong, J., Peng, L., Zhou, H., Lin, B., Yan, P., Wu, W., ... &amp; Qiu, Y. (2020). Prevalence of aflatoxin M1 in raw milk and three types of liquid milk products in central-south China. Food control, 108, 106840.</t>
  </si>
  <si>
    <t>https://www.sciencedirect.com/science/article/abs/pii/S0956713519304293</t>
  </si>
  <si>
    <t>https://apps.webofknowledge.com/full_record.do?product=WOS&amp;search_mode=CitingArticles&amp;qid=7&amp;SID=C1PPq1tIqsjRiGQhNdX&amp;page=2&amp;doc=11&amp;cacheurlFromRightClick=no</t>
  </si>
  <si>
    <t>Mahdjoubi, C. K., Arroyo-Manzanares, N., Hamini-Hadar, N., García-Campaña, A. M., Mebrouk, K., &amp; Gámiz-Gracia, L. (2020). Multi-mycotoxin occurrence and exposure assessment approach in foodstuffs from Algeria. Toxins, 12(3), 194.</t>
  </si>
  <si>
    <t>https://www.mdpi.com/2072-6651/12/3/194</t>
  </si>
  <si>
    <t>https://www.scopus.com/record/display.uri?eid=2-s2.0-85082287203&amp;origin=resultslist&amp;sort=plf-f&amp;src=s&amp;st1=&amp;st2=&amp;sid=2b1a4321720e2fec0cce3c7c6c086372&amp;sot=b&amp;sdt=b&amp;sl=102&amp;s=TITLE-ABS-KEY+%28Multi-mycotoxin+occurrence+and+exposure+assessment+approach+in+foodstuffs+from+Algeria%29&amp;relpos=0&amp;citeCnt=4&amp;searchTerm=</t>
  </si>
  <si>
    <t>Sulyok, M., Krska, R., &amp; Senyuva, H. (2020). Profiles of fungal metabolites including regulated mycotoxins in individual dried Turkish figs by LC-MS/MS. Mycotoxin Research, 36(4), 381-387.</t>
  </si>
  <si>
    <t>https://link.springer.com/article/10.1007/s12550-020-00398-5</t>
  </si>
  <si>
    <t>https://apps.webofknowledge.com/full_record.do?product=WOS&amp;search_mode=CitingArticles&amp;qid=7&amp;SID=C1PPq1tIqsjRiGQhNdX&amp;page=1&amp;doc=8&amp;cacheurlFromRightClick=no</t>
  </si>
  <si>
    <t>Hooshfar, S., Khosrokhavar, R., Yazdanpanah, H., Eslamizad, S., Kobarfard, F., Nazari, F., ... &amp; Tsatsakis, A. (2020). Health risk assessment of aflatoxin M1 in infant formula milk in IR Iran. Food and Chemical Toxicology, 142, 111455.</t>
  </si>
  <si>
    <t>https://www.sciencedirect.com/science/article/abs/pii/S0278691520303458</t>
  </si>
  <si>
    <t>https://www.scopus.com/record/display.uri?eid=2-s2.0-85086881278&amp;origin=resultslist&amp;sort=plf-f&amp;src=s&amp;st1=&amp;st2=&amp;sid=0aa62937afd9e2d82997c0d454e77be9&amp;sot=b&amp;sdt=b&amp;sl=88&amp;s=TITLE-ABS-KEY+%28Health+risk+assessment+of+aflatoxin+M1+in+infant+formula+milk+in+IR+Iran%29&amp;relpos=0&amp;citeCnt=2&amp;searchTerm=</t>
  </si>
  <si>
    <t>Nazhand, A., Durazzo, A., Lucarini, M., Souto, E. B., &amp; Santini, A. (2020). Characteristics, occurrence, detection and detoxification of aflatoxins in foods and feeds. Foods, 9(5), 644.</t>
  </si>
  <si>
    <t>https://www.mdpi.com/2304-8158/9/5/644</t>
  </si>
  <si>
    <t>https://apps.webofknowledge.com/full_record.do?product=WOS&amp;search_mode=CitingArticles&amp;qid=7&amp;SID=C1PPq1tIqsjRiGQhNdX&amp;page=1&amp;doc=10&amp;cacheurlFromRightClick=no</t>
  </si>
  <si>
    <t>Teter, A., Barłowska, J., Król, J., Brodziak, A., Rutkowska, J., &amp; Litwińczuk, Z. (2020). Volatile compounds and amino acid profile of short-ripened farmhouse cheese manufactured from the milk of the White-Backed native cow breed. LWT, 129, 109602.</t>
  </si>
  <si>
    <t>https://www.sciencedirect.com/science/article/abs/pii/S0023643820305910</t>
  </si>
  <si>
    <t>https://apps.webofknowledge.com/full_record.do?product=WOS&amp;search_mode=CitingArticles&amp;qid=7&amp;SID=C1PPq1tIqsjRiGQhNdX&amp;page=1&amp;doc=9&amp;cacheurlFromRightClick=no</t>
  </si>
  <si>
    <t>Miklós, G., Angeli, C., Ambrus, Á., Nagy, A., Kardos, V., Zentai, A., ... &amp; Bartók, T. (2020). Detection of Aflatoxins in Different Matrices and Food-Chain Positions. Frontiers in microbiology, 11, 1916.</t>
  </si>
  <si>
    <t>https://www.frontiersin.org/articles/10.3389/fmicb.2020.01916/full</t>
  </si>
  <si>
    <t>https://apps.webofknowledge.com/full_record.do?product=WOS&amp;search_mode=CitingArticles&amp;qid=7&amp;SID=C1PPq1tIqsjRiGQhNdX&amp;page=1&amp;doc=5&amp;cacheurlFromRightClick=no</t>
  </si>
  <si>
    <t>Pimpitak, U., Rengpipat, S., Phutong, S., Buakeaw, A., &amp; Komolpis, K. (2020). Development and validation of a lateral flow immunoassay for the detection of aflatoxin M1 in raw and commercialised milks. International Journal of Dairy Technology, 73(4), 695-705.</t>
  </si>
  <si>
    <t>https://onlinelibrary.wiley.com/doi/abs/10.1111/1471-0307.12728</t>
  </si>
  <si>
    <t>https://apps.webofknowledge.com/full_record.do?product=WOS&amp;search_mode=CitingArticles&amp;qid=7&amp;SID=C1PPq1tIqsjRiGQhNdX&amp;page=1&amp;doc=6&amp;cacheurlFromRightClick=no</t>
  </si>
  <si>
    <t>Min, L., Fink-Gremmels, J., Li, D., Tong, X., Tang, J., Nan, X., ... &amp; Wang, G. (2021). An overview of aflatoxin B1 biotransformation and aflatoxin M1 secretion in lactating dairy cows. Animal Nutrition.</t>
  </si>
  <si>
    <t>https://www.sciencedirect.com/science/article/pii/S2405654520301281#bib41</t>
  </si>
  <si>
    <t>https://scholar.google.ro/scholar?hl=ro&amp;as_sdt=0%2C5&amp;q=n+overview+of+aflatoxin+B1+biotransformation+and+aflatoxin+M1+secretion+in+lactating+dairy+cows&amp;btnG=</t>
  </si>
  <si>
    <t>Peles, F., Sipos, P., Kovács, S., Győri, Z., Pócsi, I., &amp; Pusztahelyi, T. (2021). Biological Control and Mitigation of Aflatoxin Contamination in Commodities. Toxins, 13(2), 104.</t>
  </si>
  <si>
    <t>https://www.mdpi.com/2072-6651/13/2/104/htm</t>
  </si>
  <si>
    <t>https://scholar.google.ro/scholar?hl=ro&amp;as_sdt=0%2C5&amp;q=Biological+Control+and+Mitigation+of+Aflatoxin+Contamination+in+Commodities&amp;btnG=</t>
  </si>
  <si>
    <t>Liu, Y., Zhang, W., Zhang, L., Hettinga, K., &amp; Zhou, P. (2020). Characterizing the changes of bovine milk serum proteins after simulated industrial processing. LWT, 133, 110101.</t>
  </si>
  <si>
    <t>https://www.sciencedirect.com/science/article/abs/pii/S0023643820310902</t>
  </si>
  <si>
    <t>https://apps.webofknowledge.com/full_record.do?product=WOS&amp;search_mode=CitingArticles&amp;qid=7&amp;SID=C1PPq1tIqsjRiGQhNdX&amp;page=1&amp;doc=2&amp;cacheurlFromRightClick=no</t>
  </si>
  <si>
    <t>Noroozi, R., Sadeghi, E., Rouhi, M., Safajoo, S., Razmjoo, F., Paimard, G., &amp; Moradi, L. (2020). Fates of aflatoxin B1 from wheat flour to Iranian traditional cookies: Managing procedures to aflatoxin B1 reduction during traditional processing. Food Science &amp; Nutrition, 8(11), 6014-6022.</t>
  </si>
  <si>
    <t>https://onlinelibrary.wiley.com/doi/full/10.1002/fsn3.1888</t>
  </si>
  <si>
    <t>https://apps.webofknowledge.com/full_record.do?product=WOS&amp;search_mode=CitingArticles&amp;qid=7&amp;SID=C1PPq1tIqsjRiGQhNdX&amp;page=1&amp;doc=4&amp;cacheurlFromRightClick=no</t>
  </si>
  <si>
    <t>Batrinou, A., Houhoula, D., &amp; Papageorgiou, E. (2020). Rapid detection of mycotoxins on foods and beverages with enzyme linked immunosorbent assay. Quality Assurance and Safety of Crops &amp; Foods, 12(1), 40-49.</t>
  </si>
  <si>
    <t>https://www.qascf.com/index.php/qas/article/view/654</t>
  </si>
  <si>
    <t>Rapid detection of mycotoxins on foods and beverages with enzyme-linked immunosorbent assay</t>
  </si>
  <si>
    <t>Mehta, R., Shetty, S. A., Young, M. F., Ryan, P. B., &amp; Rangiah, K. (2021). Quantification of aflatoxin and ochratoxin contamination in animal milk using UHPLC-MS/SRM method: a small-scale study. Journal of Food Science and Technology, 1-12.</t>
  </si>
  <si>
    <t>https://link.springer.com/article/10.1007/s13197-021-04986-w</t>
  </si>
  <si>
    <t>https://www.scopus.com/record/display.uri?eid=2-s2.0-85099954554&amp;origin=resultslist&amp;sort=plf-f&amp;src=s&amp;st1=&amp;st2=&amp;sid=43deeda3ee14130fac0522cf0247b94c&amp;sot=b&amp;sdt=b&amp;sl=134&amp;s=TITLE-ABS-KEY+%28Quantification+of+aflatoxin+and+ochratoxin+contamination+in+animal+milk+using+UHPLC-MS%2fSRM+method%3a+a+small-scale+study%29&amp;relpos=0&amp;citeCnt=0&amp;searchTerm=</t>
  </si>
  <si>
    <t>Tajik, H., &amp; Sayadi, M. (2020). Effects of probiotic bacteria of Lactobacillus acidophilus and Lactobacillus casei on aflatoxin B1 detoxification within a simulated gastrointestinal tract model. Toxin Reviews, 1-8.</t>
  </si>
  <si>
    <t>https://www.tandfonline.com/doi/abs/10.1080/15569543.2020.1843180</t>
  </si>
  <si>
    <t>https://apps.webofknowledge.com/full_record.do?product=WOS&amp;search_mode=CitingArticles&amp;qid=7&amp;SID=C1PPq1tIqsjRiGQhNdX&amp;page=1&amp;doc=1&amp;cacheurlFromRightClick=no</t>
  </si>
  <si>
    <t>Zribi, S. (2020). Optimization and internal validation of a method for extraction and detection of ochratoxin A in cheese (Doctoral dissertation).</t>
  </si>
  <si>
    <t>https://bibliotecadigital.ipb.pt/bitstream/10198/22747/1/pauta-relatorio%286%29.pdf</t>
  </si>
  <si>
    <t>https://scholar.google.ro/scholar?hl=ro&amp;as_sdt=0%2C5&amp;q=Optimization+and+internal+validation+of+a+method+for+extraction+and+detection+of+ochratoxin+A+in+cheese&amp;btnG=</t>
  </si>
  <si>
    <t>Oancea, S., Grosu, C., Ketney, O., &amp; Stoia, M.</t>
  </si>
  <si>
    <t>Conventional and ultrasound-assisted extraction of anthocyanins from blackberry and sweet cherry cultivars. Acta Chimica Slovenica, 60(2), 383-389.</t>
  </si>
  <si>
    <t>Xue, H., Tan, J., Li, Q., Tang, J., &amp; Cai, X. (2020). Optimization ultrasound-assisted deep eutectic solvent extraction of anthocyanins from raspberry using response surface methodology coupled with genetic algorithm. Foods, 9(10), 1409.</t>
  </si>
  <si>
    <t>https://www.mdpi.com/2304-8158/9/10/1409</t>
  </si>
  <si>
    <t>https://apps.webofknowledge.com/full_record.do?product=WOS&amp;search_mode=CitingArticles&amp;qid=17&amp;SID=C1PPq1tIqsjRiGQhNdX&amp;page=1&amp;doc=2&amp;cacheurlFromRightClick=no</t>
  </si>
  <si>
    <t>Vakula, A., Tepić Horecki, A., Pavlić, B., Jokanović, M., Ognjanov, V., Milović, M., ... &amp; Šumić, Z. (2020). Application of different techniques on stone fruit (Prunus spp.) drying and assessment of physical, chemical and biological properties: Characterization of dried fruit properties. Journal of Food Processing and Preservation, e15158.</t>
  </si>
  <si>
    <t>https://ifst.onlinelibrary.wiley.com/doi/abs/10.1111/jfpp.15158</t>
  </si>
  <si>
    <t>https://apps.webofknowledge.com/full_record.do?product=WOS&amp;search_mode=CitingArticles&amp;qid=17&amp;SID=C1PPq1tIqsjRiGQhNdX&amp;page=1&amp;doc=1&amp;cacheurlFromRightClick=no</t>
  </si>
  <si>
    <t>Farooq, S., Shah, M. A., Siddiqui, M. W., Dar, B. N., Mir, S. A., &amp; Ali, A. (2020). Recent trends in extraction techniques of anthocyanins from plant materials. Journal of Food Measurement and Characterization, 1-12.</t>
  </si>
  <si>
    <t>https://link.springer.com/article/10.1007/s11694-020-00598-8</t>
  </si>
  <si>
    <t>https://apps.webofknowledge.com/full_record.do?product=WOS&amp;search_mode=CitingArticles&amp;qid=17&amp;SID=C1PPq1tIqsjRiGQhNdX&amp;page=1&amp;doc=3&amp;cacheurlFromRightClick=no</t>
  </si>
  <si>
    <t xml:space="preserve">Mihaela, T., Otto, K., Ovidiu, Tita., &amp; Muhammad, R. </t>
  </si>
  <si>
    <t>The influence of the degree of cheese maturation used as raw materials in the manufacture of processed traditional cheese on emulsifying salts consumption. Romanian Biotechnological Letters, 18(4), 8521.</t>
  </si>
  <si>
    <t>Mohamed, A. G., Ibrahim, O. A. E. H., Gafour, W. A., &amp; Farahat, E. S. (2020). Comparative study of Processed Cheese produced from Sheep and Cow milk. Journal of Food Processing and Preservation, e15003.</t>
  </si>
  <si>
    <t>https://ifst.onlinelibrary.wiley.com/doi/abs/10.1111/jfpp.15003</t>
  </si>
  <si>
    <t>https://apps.webofknowledge.com/full_record.do?product=WOS&amp;search_mode=GeneralSearch&amp;qid=21&amp;SID=C1PPq1tIqsjRiGQhNdX&amp;page=1&amp;doc=1&amp;cacheurlFromRightClick=no</t>
  </si>
  <si>
    <t>Oancea, S., Mila, L., &amp; Ketney, O.</t>
  </si>
  <si>
    <t xml:space="preserve"> Content of Phenolics, in vitro Antioxidant Activity and Cytoprotective Effects against Induced Haemolysis of Red Cabbage Extracts. Biotech. Lett, 24, 1-9.</t>
  </si>
  <si>
    <t>Tecucianu, A. C., Drăghici, O., &amp; Oancea, S. (2020). AN ENZYME-ENHANCED EXTRACTION OF ANTHOCYANINS FROM RED CABBAGE AND THEIR THERMAL DEGRADATION KINETICS. Acta Alimentaria, 49(2), 204-213.</t>
  </si>
  <si>
    <t>https://apps.webofknowledge.com/full_record.do?product=WOS&amp;search_mode=GeneralSearch&amp;qid=22&amp;SID=C1PPq1tIqsjRiGQhNdX&amp;page=1&amp;doc=1&amp;cacheurlFromRightClick=no</t>
  </si>
  <si>
    <t>Tifrea, A., Tiţa, O., Máthé, E., &amp; Ketney, O.</t>
  </si>
  <si>
    <t>Physicochemical parameters of probiotic yoghurt with bioactive natural products from sea buckthorn. Acta Universitatis Cibiniensis. Series E: Food Technology, 17(1), 27-38.</t>
  </si>
  <si>
    <t>Brodziak, A., Król, J., Matwijczuk, A., Czernecki, T., Glibowski, P., Wlazło, Ł., &amp; Litwińczuk, A. (2021). Effect of Sea Buckthorn (Hippophae rhamnoides L.) Mousse on Properties of Probiotic Yoghurt. Applied Sciences, 11(2), 545.</t>
  </si>
  <si>
    <t>https://www.mdpi.com/2076-3417/11/2/545</t>
  </si>
  <si>
    <t>https://scholar.google.ro/scholar?hl=ro&amp;as_sdt=0%2C5&amp;q=Effect+of+Sea+Buckthorn+%28Hippophae+rhamnoides+L.%29+Mousse+on+Properties+of+Probiotic+Yoghurt&amp;btnG=</t>
  </si>
  <si>
    <t>Oancea, S., Ghincevici, D., &amp; Ketney, O.</t>
  </si>
  <si>
    <t>The effect of ultrasonic pretreatment and sample preparation on the extraction yield of antioxidant compounds and activity of black currant fruits. Acta Chimica Slovenica, 62(1), 242-248.</t>
  </si>
  <si>
    <t>Różyło, R. (2020). Recent trends in methods used to obtain natural food colorants by freeze-drying. Trends in Food Science &amp; Technology.</t>
  </si>
  <si>
    <t>https://www.sciencedirect.com/science/article/abs/pii/S0924224420305069</t>
  </si>
  <si>
    <t>https://apps.webofknowledge.com/full_record.do?product=WOS&amp;search_mode=GeneralSearch&amp;qid=24&amp;SID=C1PPq1tIqsjRiGQhNdX&amp;page=1&amp;doc=1&amp;cacheurlFromRightClick=no</t>
  </si>
  <si>
    <t>Aguirre-Becerra, H., Vazquez-Hernandez, M. C., Alvarado-Mariana, A., Guevara-Gonzalez, R. G., Garcia-Trejo, J. F., &amp; Feregrino-Perez, A. A. (2021). Role of Stress and Defense in Plant Secondary Metabolites Production. In Bioactive Natural Products for Pharmaceutical Applications (pp. 151-195). Springer, Cham.</t>
  </si>
  <si>
    <t>https://link.springer.com/chapter/10.1007/978-3-030-54027-2_5</t>
  </si>
  <si>
    <t>https://www.scopus.com/record/display.uri?eid=2-s2.0-85097894024&amp;origin=resultslist&amp;sort=plf-f&amp;src=s&amp;st1=&amp;st2=&amp;sid=28c0a70e8579226b9d59cd29b04cd6f0&amp;sot=b&amp;sdt=b&amp;sl=84&amp;s=TITLE-ABS-KEY+%28Role+of+Stress+and+Defense+in+Plant+Secondary+Metabolites+Production%29&amp;relpos=0&amp;citeCnt=0&amp;searchTerm=</t>
  </si>
  <si>
    <t>Oancea, S., Draghici, O., &amp; Ketney, O.</t>
  </si>
  <si>
    <t>Changes in total anthocyanin content and antioxidant activity in sweet cherries during frozen storage, and air-oven and infrared drying. Fruits, 71(5), 281-288.</t>
  </si>
  <si>
    <t>Faienza, M. F., Corbo, F., Carocci, A., Catalano, A., Clodoveo, M. L., Grano, M., ... &amp; Portincasa, P. (2020). Novel insights in health-promoting properties of sweet cherries. Journal of Functional Foods, 69, 103945.</t>
  </si>
  <si>
    <t>https://www.sciencedirect.com/science/article/pii/S1756464620301699</t>
  </si>
  <si>
    <t>https://apps.webofknowledge.com/full_record.do?product=WOS&amp;search_mode=GeneralSearch&amp;qid=26&amp;SID=C1PPq1tIqsjRiGQhNdX&amp;page=1&amp;doc=1&amp;cacheurlFromRightClick=no</t>
  </si>
  <si>
    <t xml:space="preserve">Ketney, O., Ovidiu, T., &amp; Mihaela, T. </t>
  </si>
  <si>
    <t>Variation of aflatoxin M1 in milk at different doses of ultraviolet radiation. Integrated systems for agri-food production (SIPA 11).</t>
  </si>
  <si>
    <t>He, J., Evans, N. M., Liu, H., Zhu, Y., Zhou, T., &amp; Shao, S. (2021). UV treatment for degradation of chemical contaminants in food: A review. Comprehensive Reviews in Food Science and Food Safety.</t>
  </si>
  <si>
    <t>https://onlinelibrary.wiley.com/doi/full/10.1111/1541-4337.12698</t>
  </si>
  <si>
    <t>https://apps.webofknowledge.com/full_record.do?product=WOS&amp;search_mode=GeneralSearch&amp;qid=27&amp;SID=C1PPq1tIqsjRiGQhNdX&amp;page=1&amp;doc=1&amp;cacheurlFromRightClick=no</t>
  </si>
  <si>
    <t>Ketney, O.</t>
  </si>
  <si>
    <t>Food safety legislation regarding of aflatoxins contamination. Acta Universitatis Cibiniensis. Technical Series, 67(1), 149-154.</t>
  </si>
  <si>
    <t>Zhang, F., Geng, L., Deng, J., Huang, L., Zhong, H., Xin, S., ... &amp; Wang, S. (2020). The MAP kinase AflSlt2 modulates aflatoxin biosynthesis and peanut infection in the fungus Aspergillus flavus. International journal of food microbiology, 322, 108576.</t>
  </si>
  <si>
    <t>https://www.sciencedirect.com/science/article/abs/pii/S0168160520300702</t>
  </si>
  <si>
    <t>https://apps.webofknowledge.com/full_record.do?product=WOS&amp;search_mode=GeneralSearch&amp;qid=29&amp;SID=C1PPq1tIqsjRiGQhNdX&amp;page=1&amp;doc=1&amp;cacheurlFromRightClick=no</t>
  </si>
  <si>
    <t>Fang, Z., Gai, K., Zhu, L., &amp; Xu, L. (2020, October). LNBFSM: A Food Safety Management System Using Blockchain and Lightning Network. In International Conference on Algorithms and Architectures for Parallel Processing (pp. 19-34). Springer, Cham.</t>
  </si>
  <si>
    <t>https://link.springer.com/chapter/10.1007/978-3-030-60248-2_2</t>
  </si>
  <si>
    <t>https://www.scopus.com/record/display.uri?eid=2-s2.0-85092747409&amp;origin=resultslist&amp;sort=plf-f&amp;src=s&amp;st1=&amp;st2=&amp;sid=90678deeab72c2f6bc9548cc21b8e482&amp;sot=b&amp;sdt=b&amp;sl=86&amp;s=TITLE-ABS-KEY+%28A+Food+Safety+Management+System+Using+Blockchain+and+Lightning+Network%29&amp;relpos=0&amp;citeCnt=0&amp;searchTerm=</t>
  </si>
  <si>
    <t>Primary aromatic character of wines</t>
  </si>
  <si>
    <t>Nadezhda Blagoeva, Ivayla Bazhlekova, Hristo Spasov and George Kostov, Influence of enzyme maceration and alcoholic fermentation temperature on the terpenes concentration in Muscat wine distillates, Bulgarian Journal of Agricultural Science, 26 (No 5) 2020, 1069–1075</t>
  </si>
  <si>
    <t>https://www.researchgate.net/profile/Nadejda_Blagoeva/publication/348001388_Influence_of_enzyme_maceration_and_alcoholic_fermentation_temperature_on_the_terpenes_concentration_in_Muscat_wine_distillates/links/5fec6d6292851c13fed40e80/Influence-of-enzyme-maceration-and-alcoholic-fermentation-temperature-on-the-terpenes-concentration-in-Muscat-wine-distillates.pdf</t>
  </si>
  <si>
    <t>Marinov Luka, Učinak fermentacije kvascima Lachancea thermotelerans i Torulaspora delbrueckii na kemijski sastav vina ´Malvazija istarska´, Zagreb: Sveučilište u Zagrebu, Agronomski fakultet, 2020. urn:nbn:hr:204:352790</t>
  </si>
  <si>
    <t>https://zir.nsk.hr/islandora/object/agr:1774</t>
  </si>
  <si>
    <t>Lucrare de diplomă Croația</t>
  </si>
  <si>
    <t xml:space="preserve">Dimitar Dimitrov, Albena Parjanova, Snezhana Ivanova, Vanyo Haygarov,Determination of the volatile composition of distillates with added extracts of Hipericum Perforatym L, The Journal of Microbiology, Biotechnology and Food Sciences , 2020, 9 (6), 1068-1072
</t>
  </si>
  <si>
    <t>https://www.jmbfs.org/issue/june-july-2020-vol-9-no-6/jmbfs_2155_dimitrov/?issue_id=7366&amp;article_id=5</t>
  </si>
  <si>
    <t>Identification and quantification of phenolic compounds from red grape pomace</t>
  </si>
  <si>
    <r>
      <rPr>
        <rFont val="Times New Roman"/>
        <color rgb="FF333333"/>
        <sz val="10.0"/>
      </rPr>
      <t>Turcu, R.P.; Panaite, T.D.; Untea, A.E.; Șoica, C.; Iuga, M.; Mironeasa, S. Effects of Supplementing Grape Pomace to Broilers Fed Polyunsaturated Fatty Acids Enriched Diets on Meat Quality. </t>
    </r>
    <r>
      <rPr>
        <rFont val="Times New Roman"/>
        <i/>
        <color rgb="FF333333"/>
        <sz val="10.0"/>
      </rPr>
      <t>Animals</t>
    </r>
    <r>
      <rPr>
        <rFont val="Times New Roman"/>
        <color rgb="FF333333"/>
        <sz val="10.0"/>
      </rPr>
      <t> </t>
    </r>
    <r>
      <rPr>
        <rFont val="Times New Roman"/>
        <b/>
        <color rgb="FF333333"/>
        <sz val="10.0"/>
      </rPr>
      <t>2020</t>
    </r>
    <r>
      <rPr>
        <rFont val="Times New Roman"/>
        <color rgb="FF333333"/>
        <sz val="10.0"/>
      </rPr>
      <t>, </t>
    </r>
    <r>
      <rPr>
        <rFont val="Times New Roman"/>
        <i/>
        <color rgb="FF333333"/>
        <sz val="10.0"/>
      </rPr>
      <t>10</t>
    </r>
    <r>
      <rPr>
        <rFont val="Times New Roman"/>
        <color rgb="FF333333"/>
        <sz val="10.0"/>
      </rPr>
      <t>, 947. https://doi.org/10.3390/ani10060947</t>
    </r>
  </si>
  <si>
    <t>https://www.mdpi.com/2076-2615/10/6/947#cite</t>
  </si>
  <si>
    <t xml:space="preserve">Ira Taneva, Zlatin Zlatev, Total phenolic content and antioxidant activity of yoghurt with goji berries (lycium barbarum) , SCSCC6, Volume XXI, No. 1, 125-131, 2020 </t>
  </si>
  <si>
    <t>Panaitescu Magda, (University Latina of Panama)Lengyel Ecaterina</t>
  </si>
  <si>
    <t>Monitoring the antibacterial activity of Hibiscus sabdariffa extracts</t>
  </si>
  <si>
    <r>
      <rPr>
        <rFont val="Times New Roman"/>
        <color rgb="FF333333"/>
        <sz val="10.0"/>
      </rPr>
      <t>Dwivedi, M., Muralidhar, S. &amp; Saluja, D. </t>
    </r>
    <r>
      <rPr>
        <rFont val="Times New Roman"/>
        <i/>
        <color rgb="FF333333"/>
        <sz val="10.0"/>
      </rPr>
      <t>Hibiscus sabdariffa</t>
    </r>
    <r>
      <rPr>
        <rFont val="Times New Roman"/>
        <color rgb="FF333333"/>
        <sz val="10.0"/>
      </rPr>
      <t> Extract Inhibits Adhesion, Biofilm Initiation and Formation in </t>
    </r>
    <r>
      <rPr>
        <rFont val="Times New Roman"/>
        <i/>
        <color rgb="FF333333"/>
        <sz val="10.0"/>
      </rPr>
      <t>Candida albicans</t>
    </r>
    <r>
      <rPr>
        <rFont val="Times New Roman"/>
        <color rgb="FF333333"/>
        <sz val="10.0"/>
      </rPr>
      <t>. </t>
    </r>
    <r>
      <rPr>
        <rFont val="Times New Roman"/>
        <i/>
        <color rgb="FF333333"/>
        <sz val="10.0"/>
      </rPr>
      <t>Indian J Microbiol</t>
    </r>
    <r>
      <rPr>
        <rFont val="Times New Roman"/>
        <color rgb="FF333333"/>
        <sz val="10.0"/>
      </rPr>
      <t> </t>
    </r>
    <r>
      <rPr>
        <rFont val="Times New Roman"/>
        <b/>
        <color rgb="FF333333"/>
        <sz val="10.0"/>
      </rPr>
      <t>60, </t>
    </r>
    <r>
      <rPr>
        <rFont val="Times New Roman"/>
        <color rgb="FF333333"/>
        <sz val="10.0"/>
      </rPr>
      <t>96–106 (2020). https://doi.org/10.1007/s12088-019-00835-9</t>
    </r>
  </si>
  <si>
    <t>https://link.springer.com/article/10.1007/s12088-019-00835-9</t>
  </si>
  <si>
    <t>Letiţia Oprean, Ecaterina Lengyel, Ramona Iancu</t>
  </si>
  <si>
    <t xml:space="preserve">Monitoring and evaluation of Timis river water quality based of physico chemical and microbiological analysis, </t>
  </si>
  <si>
    <r>
      <rPr>
        <rFont val="Arial"/>
        <color rgb="FF333333"/>
        <sz val="9.0"/>
      </rPr>
      <t>Pană, A.-M.; Ordodi, V.; Rusu, G.; Gherman, V.; Bandur, G.; Rusnac, L.-M.; Dumitrel, G.-A. Biodegradation Pattern of Glycopolymer Based on D-Mannose Oligomer and Hydroxypropyl Acrylate. </t>
    </r>
    <r>
      <rPr>
        <rFont val="Arial"/>
        <i/>
        <color rgb="FF333333"/>
        <sz val="9.0"/>
      </rPr>
      <t>Polymers</t>
    </r>
    <r>
      <rPr>
        <rFont val="Arial"/>
        <color rgb="FF333333"/>
        <sz val="9.0"/>
      </rPr>
      <t> </t>
    </r>
    <r>
      <rPr>
        <rFont val="Arial"/>
        <b/>
        <color rgb="FF333333"/>
        <sz val="9.0"/>
      </rPr>
      <t>2020</t>
    </r>
    <r>
      <rPr>
        <rFont val="Arial"/>
        <color rgb="FF333333"/>
        <sz val="9.0"/>
      </rPr>
      <t>, </t>
    </r>
    <r>
      <rPr>
        <rFont val="Arial"/>
        <i/>
        <color rgb="FF333333"/>
        <sz val="9.0"/>
      </rPr>
      <t>12</t>
    </r>
    <r>
      <rPr>
        <rFont val="Arial"/>
        <color rgb="FF333333"/>
        <sz val="9.0"/>
      </rPr>
      <t>, 704. https://doi.org/10.3390/polym12030704</t>
    </r>
  </si>
  <si>
    <t xml:space="preserve"> Marioara Costea, Lengyel Ecaterina, Diana Stegăruș, Nicolae Rusan Inst.de meteorologie, Ioan Tăușan</t>
  </si>
  <si>
    <t>Assessment of climatic conditions as driving factors of wine aromatic compounds: a case study from Central Romania</t>
  </si>
  <si>
    <t>Vera Potopová, Miroslav Trnka, Pavel Hamouz, Josef Soukup, Tudor Castraveț, Statistical modelling of drought-related yield losses using soil moisture-vegetation remote sensing and multiscalar indices in the south-eastern Europe, Agricultural Water Management,Volume 236,2020,106168,ISSN 0378-3774,https://doi.org/10.1016/j.agwat.2020.106168.</t>
  </si>
  <si>
    <t>https://www.sciencedirect.com/science/article/abs/pii/S0378377420303656</t>
  </si>
  <si>
    <t>Lengyel Ecaterina, Magda Panaitescu (University of Panama)</t>
  </si>
  <si>
    <t>The management of selected yeast strains in quantifying terpene flavours in wine</t>
  </si>
  <si>
    <r>
      <rPr>
        <rFont val="Quattrocento Sans"/>
        <color theme="1"/>
        <sz val="9.0"/>
      </rPr>
      <t>Cehula, M., Kumsta, M., Sotolar, R., Sochorova, L., Jurikova, T., Mlcek, J., Baron, M. ., &amp; Sochor, J. (2020). Determination of selected terpenic substances in grapes and wine of the cultivar Pálava. </t>
    </r>
    <r>
      <rPr>
        <rFont val="Segoe UI"/>
        <i/>
        <color rgb="FF000000"/>
        <sz val="9.0"/>
      </rPr>
      <t>Potravinarstvo Slovak Journal of Food Sciences</t>
    </r>
    <r>
      <rPr>
        <rFont val="Segoe UI"/>
        <color rgb="FF000000"/>
        <sz val="9.0"/>
      </rPr>
      <t>, </t>
    </r>
    <r>
      <rPr>
        <rFont val="Segoe UI"/>
        <i/>
        <color rgb="FF000000"/>
        <sz val="9.0"/>
      </rPr>
      <t>14</t>
    </r>
    <r>
      <rPr>
        <rFont val="Segoe UI"/>
        <color rgb="FF000000"/>
        <sz val="9.0"/>
      </rPr>
      <t>, 1137–1142. https://doi.org/10.5219/1396</t>
    </r>
  </si>
  <si>
    <t>https://www.potravinarstvo.com/journal1/index.php/potravinarstvo/article/view/1396</t>
  </si>
  <si>
    <t>SCOPUS</t>
  </si>
  <si>
    <t>Ecaterina Lengyel, László Sikolya (University of Nyiregyhaza, Hungary)</t>
  </si>
  <si>
    <t>The influence of aroma compounds on sensorial traits of wines from the Apold Depression</t>
  </si>
  <si>
    <t>Ana Sofia Oliveira, Isabel Furtado, Maria de Lourdes Bastos, Paula Guedes de Pinho, Joana Pinto,The influence of different closures on volatile composition of a white wine,Food Packaging and Shelf Life,Volume 23,2020,100465,ISSN 2214-2894,https://doi.org/10.1016/j.fpsl.2020.100465.</t>
  </si>
  <si>
    <t>(https://www.sciencedirect.com/science/article/pii/S2214289419305861</t>
  </si>
  <si>
    <t>Ecaterina Lengyel</t>
  </si>
  <si>
    <t>Aroma vinurilor bănățene</t>
  </si>
  <si>
    <t xml:space="preserve">Ioana Rebenciuc, Vinurile moldovenești -aromă și savoare-2020, EDITURA UNIVERSITĂȚII ”LUCIAN BLAGA” din SIBIU, ISBN 978-606-12-1760-1
</t>
  </si>
  <si>
    <t>p 120</t>
  </si>
  <si>
    <t>carte</t>
  </si>
  <si>
    <t>Cercetări privind optimizarea proceselor fermentative în vederea păstrării și consolidării tipicității și autenticității vinurilor românești</t>
  </si>
  <si>
    <t>P 43, 52, 119</t>
  </si>
  <si>
    <t>P 52</t>
  </si>
  <si>
    <t>Lengyel E., Oprean L., Stegăruș D., Iancu R., Geană I., Mutu D., Tița O.,</t>
  </si>
  <si>
    <t>The chromatographic detection of the rutin in the aromatic and semi aromatic autochthonous musts variety,</t>
  </si>
  <si>
    <t>P 37</t>
  </si>
  <si>
    <t>Lengyel E., Stegăruș D.I., Ciucure C.T., Tița O</t>
  </si>
  <si>
    <t xml:space="preserve">Assessment of anthropogenic ecological systems in the Apold depression to a sustainable management, </t>
  </si>
  <si>
    <t xml:space="preserve">Stegăruș D., Lengyel E., </t>
  </si>
  <si>
    <t>Influence of enzymatic preparations on the aromatic character of the Pinot noir wine,</t>
  </si>
  <si>
    <t>P 54</t>
  </si>
  <si>
    <t>Stegăruș D., Niculescu V., Georgescu C., Iancu R., Lengyel E., Tița O</t>
  </si>
  <si>
    <t>Techniques for extraction and enhancing flavour substances in Chardonnay and Sauvignon blanc grapes by enzyme substrate</t>
  </si>
  <si>
    <t>P 98</t>
  </si>
  <si>
    <t>Tiţa O., Lengyel E., Iancu R., Păcală M., Georgescu C., Mutu D., Bătușaru C., Tita M</t>
  </si>
  <si>
    <t xml:space="preserve">The determination of the chromatic intensity of Cabernet Sauvignon, Merlot, and Pinot noir red wine, through rapid methods,  </t>
  </si>
  <si>
    <t>Tița O., Oprean L., Tusa C., Radulescu A., Gaspar E., Lengyel E., Tița M., Tița C</t>
  </si>
  <si>
    <t>Influence of tehnological operations on enzymatic activity in white vinification</t>
  </si>
  <si>
    <t>P 10</t>
  </si>
  <si>
    <t>Costea M., Lengyel E., Stegăruș D., Rusan N. Inst meteor., Tăușan I</t>
  </si>
  <si>
    <t>P 41</t>
  </si>
  <si>
    <t>The antimicrobial effect of essential oils, upon certain nosocomial bacteria, Conference proceeding,</t>
  </si>
  <si>
    <t>Șandru, Daniela Maria and Panaitescu, Magda, THE ANTIBACTERIAL POTENTIAL OF ESSENTIAL OILS ON PROPIONIBACTERIUM GRANULOSUM STRAINS Management of Sustainable Development Sibiu, Romania, Volume 12, No. 2, December 2020 21-24</t>
  </si>
  <si>
    <t>Lengyel E</t>
  </si>
  <si>
    <t>‪PRIMARY AROMATIC CHARACTER OF WINES</t>
  </si>
  <si>
    <t>B Darıcı, D Dimitrov, T Yoncheva, HK Yıldırım - Natural alternatives of Sulphur dioxide used in wine and their effects on aromatic compounds</t>
  </si>
  <si>
    <t>http://ufj.ho.ua/Archiv/UKRAINIAN%20FOOD%20JOURNAL%202020%20V.9%20Is.4.pdf#page=123</t>
  </si>
  <si>
    <r>
      <rPr>
        <rFont val="Arial Narrow"/>
        <b val="0"/>
        <color theme="1"/>
        <sz val="10.0"/>
      </rPr>
      <t>Mironescu M.</t>
    </r>
    <r>
      <rPr>
        <rFont val="Arial Narrow"/>
        <b/>
        <color theme="1"/>
        <sz val="10.0"/>
      </rPr>
      <t>, Mironescu I.D.</t>
    </r>
  </si>
  <si>
    <t>Rheological behaviour of a novel microbial polysaccharide</t>
  </si>
  <si>
    <t>Effect of different nitrogen sources on the viscosity and rheological properties of welan gum produced by Sphingomonas sp. ATCC 31555, X Xu, Z Nie, Z Zheng, L Zhu, X Zhan - Journal of texture studies, 2020 - Wiley Online Library</t>
  </si>
  <si>
    <t>Effect of different nitrogen sources on the viscosity and rheological properties of welan gum produced by Sphingomonas sp. ATCC 31555</t>
  </si>
  <si>
    <r>
      <rPr>
        <rFont val="Arial Narrow"/>
        <b val="0"/>
        <color theme="1"/>
        <sz val="10.0"/>
      </rPr>
      <t>Mironescu M.</t>
    </r>
    <r>
      <rPr>
        <rFont val="Arial Narrow"/>
        <b/>
        <color theme="1"/>
        <sz val="10.0"/>
      </rPr>
      <t>, Mironescu I.D.</t>
    </r>
    <r>
      <rPr>
        <rFont val="Arial Narrow"/>
        <b val="0"/>
        <color theme="1"/>
        <sz val="10.0"/>
      </rPr>
      <t>, Jascanu V., Posten C. (Germany)</t>
    </r>
  </si>
  <si>
    <t>Influence of cultivation media on halobacteria I. Growth and biomass formation</t>
  </si>
  <si>
    <t>Bioprospecting Studies of Halophilic Bacteria-Streptomyces sp MA05 and Halobacterium sp MA06, AV Samrot, R Divya, G Narendrakumar, S Abirami… - 2020 - nanobioletters.com</t>
  </si>
  <si>
    <t>Bioprospecting Studies of Halophilic Bacteria-Streptomyces sp MA05 and Halobacterium sp MA07</t>
  </si>
  <si>
    <r>
      <rPr>
        <rFont val="Arial Narrow"/>
        <b val="0"/>
        <color theme="1"/>
        <sz val="10.0"/>
      </rPr>
      <t>Mironescu M.</t>
    </r>
    <r>
      <rPr>
        <rFont val="Arial Narrow"/>
        <b/>
        <color theme="1"/>
        <sz val="10.0"/>
      </rPr>
      <t xml:space="preserve">, </t>
    </r>
    <r>
      <rPr>
        <rFont val="Arial Narrow"/>
        <b val="0"/>
        <color theme="1"/>
        <sz val="10.0"/>
      </rPr>
      <t xml:space="preserve">Fratila L., Hupert A. (Solina, industrie), </t>
    </r>
    <r>
      <rPr>
        <rFont val="Arial Narrow"/>
        <b/>
        <color theme="1"/>
        <sz val="10.0"/>
      </rPr>
      <t>Mironescu I.D.</t>
    </r>
  </si>
  <si>
    <t>Obtaining and Characterisation of Starch-Based Edible Films Incorporating Honey, Propolis and Bee Bread</t>
  </si>
  <si>
    <t>Gıdaların Raf Ömürleri İçin Yeni Bir Yaklaşım: Arı Ürünleri İle Yenilebilir Kaplamalar, E MESCİ, E Nevzat - Türk Doğa ve Fen Dergisi - dergipark.org.tr</t>
  </si>
  <si>
    <t>Gıdaların Raf Ömürleri İçin Yeni Bir Yaklaşım: Arı Ürünleri İle Yenilebilir Kaplamalar</t>
  </si>
  <si>
    <r>
      <rPr>
        <rFont val="arial narrow"/>
        <color rgb="FF333333"/>
        <sz val="10.0"/>
      </rPr>
      <t xml:space="preserve">Georgescu C., Birca A., Mironescu M., Tita M.A.,  Shamtsyan M. (Russia), </t>
    </r>
    <r>
      <rPr>
        <rFont val="Arial Narrow"/>
        <b/>
        <color rgb="FF333333"/>
        <sz val="10.0"/>
      </rPr>
      <t>Mironescu I.D.</t>
    </r>
    <r>
      <rPr>
        <rFont val="Arial Narrow"/>
        <color rgb="FF333333"/>
        <sz val="10.0"/>
      </rPr>
      <t>, Tita O.</t>
    </r>
  </si>
  <si>
    <r>
      <rPr>
        <rFont val="Calibri"/>
        <b/>
        <color rgb="FF000000"/>
        <sz val="11.0"/>
      </rPr>
      <t>Mironescu I.D.</t>
    </r>
    <r>
      <rPr>
        <rFont val="Calibri"/>
        <color theme="1"/>
        <sz val="11.0"/>
      </rPr>
      <t>, Mironescu M., Georgescu C., Ranga I.N., Iancu M.L., Oprean L.</t>
    </r>
  </si>
  <si>
    <t>Production and characterization of a bioactive extracellular homopolysaccharide produced by Haloferax sp. BKW301, J Biswas, P Saha, J Ganguly… - Journal of Basic Microbiology, 2020 - Wiley Online Library</t>
  </si>
  <si>
    <t>Production and characterization of a bioactive extracellular homopolysaccharide produced by Haloferax sp. BKW302</t>
  </si>
  <si>
    <r>
      <rPr>
        <rFont val="arial narrow"/>
        <color theme="1"/>
        <sz val="10.0"/>
      </rPr>
      <t>Georgescu C.</t>
    </r>
    <r>
      <rPr>
        <rFont val="Arial Narrow"/>
        <b/>
        <color theme="1"/>
        <sz val="10.0"/>
      </rPr>
      <t>, Mironescu M.</t>
    </r>
  </si>
  <si>
    <t>Obtaining, characterisation and screening of the antifungalactivity of the volatile oil extracted from Thymus serpyllum</t>
  </si>
  <si>
    <r>
      <rPr>
        <rFont val="arial narrow"/>
        <color theme="1"/>
        <sz val="10.0"/>
      </rPr>
      <t xml:space="preserve">Georgescu C., </t>
    </r>
    <r>
      <rPr>
        <rFont val="Arial Narrow"/>
        <b/>
        <color theme="1"/>
        <sz val="10.0"/>
      </rPr>
      <t>Mironescu M.</t>
    </r>
  </si>
  <si>
    <r>
      <rPr>
        <rFont val="Arial Narrow"/>
        <b/>
        <color theme="1"/>
        <sz val="10.0"/>
      </rPr>
      <t>Mironescu M</t>
    </r>
    <r>
      <rPr>
        <rFont val="Arial Narrow"/>
        <color theme="1"/>
        <sz val="10.0"/>
      </rPr>
      <t>., Georgescu C.</t>
    </r>
  </si>
  <si>
    <r>
      <rPr>
        <rFont val="Arial Narrow"/>
        <b/>
        <color theme="1"/>
        <sz val="10.0"/>
      </rPr>
      <t>Mironescu, M.</t>
    </r>
    <r>
      <rPr>
        <rFont val="Arial Narrow"/>
        <color theme="1"/>
        <sz val="10.0"/>
      </rPr>
      <t>, Georgescu C.</t>
    </r>
  </si>
  <si>
    <r>
      <rPr>
        <rFont val="Arial Narrow"/>
        <b/>
        <color theme="1"/>
        <sz val="10.0"/>
      </rPr>
      <t>Mironescu, M.</t>
    </r>
    <r>
      <rPr>
        <rFont val="Arial Narrow"/>
        <color theme="1"/>
        <sz val="10.0"/>
      </rPr>
      <t>, Georgescu C.</t>
    </r>
  </si>
  <si>
    <r>
      <rPr>
        <rFont val="arial narrow"/>
        <color theme="1"/>
        <sz val="10.0"/>
      </rPr>
      <t xml:space="preserve">Moza M. I., </t>
    </r>
    <r>
      <rPr>
        <rFont val="Arial Narrow"/>
        <b/>
        <color theme="1"/>
        <sz val="10.0"/>
      </rPr>
      <t>Mironescu M</t>
    </r>
    <r>
      <rPr>
        <rFont val="Arial Narrow"/>
        <color theme="1"/>
        <sz val="10.0"/>
      </rPr>
      <t>., Georgescu C., Florea A., Bucşa L.</t>
    </r>
  </si>
  <si>
    <r>
      <rPr>
        <rFont val="Arial Narrow"/>
        <b/>
        <color theme="1"/>
        <sz val="10.0"/>
      </rPr>
      <t>Mironescu M</t>
    </r>
    <r>
      <rPr>
        <rFont val="Arial Narrow"/>
        <color theme="1"/>
        <sz val="10.0"/>
      </rPr>
      <t>., Georgescu C.</t>
    </r>
  </si>
  <si>
    <r>
      <rPr>
        <rFont val="Arial Narrow"/>
        <b/>
        <color theme="1"/>
        <sz val="10.0"/>
      </rPr>
      <t>Mironescu M.</t>
    </r>
    <r>
      <rPr>
        <rFont val="Arial Narrow"/>
        <color theme="1"/>
        <sz val="10.0"/>
      </rPr>
      <t>, Georgescu C.</t>
    </r>
  </si>
  <si>
    <r>
      <rPr>
        <rFont val="Arial Narrow"/>
        <b/>
        <color theme="1"/>
        <sz val="10.0"/>
      </rPr>
      <t>Mironescu M.</t>
    </r>
    <r>
      <rPr>
        <rFont val="Arial Narrow"/>
        <color theme="1"/>
        <sz val="10.0"/>
      </rPr>
      <t>, Georgescu C.</t>
    </r>
  </si>
  <si>
    <r>
      <rPr>
        <rFont val="Arial Narrow"/>
        <b/>
        <color theme="1"/>
        <sz val="10.0"/>
      </rPr>
      <t>Mironescu M.</t>
    </r>
    <r>
      <rPr>
        <rFont val="Arial Narrow"/>
        <color theme="1"/>
        <sz val="10.0"/>
      </rPr>
      <t>, Georgescu C.</t>
    </r>
  </si>
  <si>
    <r>
      <rPr>
        <rFont val="Arial Narrow"/>
        <b/>
        <color theme="1"/>
        <sz val="10.0"/>
      </rPr>
      <t>Mironescu M.</t>
    </r>
    <r>
      <rPr>
        <rFont val="Arial Narrow"/>
        <color theme="1"/>
        <sz val="10.0"/>
      </rPr>
      <t>, Georgescu C., Oprean L.</t>
    </r>
  </si>
  <si>
    <t>Comparative sporicidal effects of volatile oils</t>
  </si>
  <si>
    <r>
      <rPr>
        <rFont val="arial narrow"/>
        <color rgb="FF333333"/>
        <sz val="10.0"/>
      </rPr>
      <t xml:space="preserve">Georgescu C., Birca A., </t>
    </r>
    <r>
      <rPr>
        <rFont val="Arial Narrow"/>
        <b/>
        <color rgb="FF333333"/>
        <sz val="10.0"/>
      </rPr>
      <t>Mironescu M</t>
    </r>
    <r>
      <rPr>
        <rFont val="Arial Narrow"/>
        <color rgb="FF333333"/>
        <sz val="10.0"/>
      </rPr>
      <t>., Tita M.A.,  Shamtsyan M. (Russia), Mironescu I.D., Tita O.</t>
    </r>
  </si>
  <si>
    <r>
      <rPr>
        <rFont val="arial narrow"/>
        <color theme="1"/>
        <sz val="10.0"/>
      </rPr>
      <t xml:space="preserve">Kokina M. (Russia); Shamtsyan M. (Russia); Georgescu C.; </t>
    </r>
    <r>
      <rPr>
        <rFont val="Arial Narrow"/>
        <b/>
        <color theme="1"/>
        <sz val="10.0"/>
      </rPr>
      <t>Mironescu M.</t>
    </r>
    <r>
      <rPr>
        <rFont val="Arial Narrow"/>
        <color theme="1"/>
        <sz val="10.0"/>
      </rPr>
      <t>; Nedovic V. (Serbia)</t>
    </r>
  </si>
  <si>
    <r>
      <rPr>
        <rFont val="arial narrow"/>
        <color theme="1"/>
        <sz val="10.0"/>
      </rPr>
      <t xml:space="preserve">Kokina M. (Russia); Shamtsyan M. (Russia); Georgescu C.; </t>
    </r>
    <r>
      <rPr>
        <rFont val="Arial Narrow"/>
        <b/>
        <color theme="1"/>
        <sz val="10.0"/>
      </rPr>
      <t>Mironescu M.</t>
    </r>
    <r>
      <rPr>
        <rFont val="Arial Narrow"/>
        <color theme="1"/>
        <sz val="10.0"/>
      </rPr>
      <t>; Nedovic V. (Serbia)</t>
    </r>
  </si>
  <si>
    <t>Mironescu M.</t>
  </si>
  <si>
    <t>Investigations on wastewaters at potato processing and starch recovery and characterisation</t>
  </si>
  <si>
    <t>Emerging Trends in Food Industry Waste Valorization for Bioethanol Production, MK Mann, BS Sooch - Biorefineries: A Step Towards Renewable and Clean Energy, 2020 - Springer</t>
  </si>
  <si>
    <t>Emerging Trends in Food Industry Waste Valorization for Bioethanol Production | SpringerLink</t>
  </si>
  <si>
    <t>Springer</t>
  </si>
  <si>
    <t>Gonçalo Oliveira, Idalina Gonçalves, Ana Barra, Cláudia Nunes, Paula Ferreira, Manuel A. Coimbra, Coffee silverskin and starch-rich potato washing slurries as raw materials for elastic, antioxidant, and UV-protective biobased films, Food Research International, Volume 138, Part A, 2020, https://doi.org/10.1016/j.foodres.2020.109733.</t>
  </si>
  <si>
    <t>https://www.sciencedirect.com/science/article/pii/S0963996920307584?casa_token=DNq5ihwLr7cAAAAA:hpLDLkJKI-UQWVU5rrdZcsDIUOl5FkVwFaxQjKl7xCov3iJtFIRyRYNYFz0wmSC5thKWMjAK</t>
  </si>
  <si>
    <r>
      <rPr>
        <rFont val="arial narrow"/>
        <b/>
        <color theme="1"/>
        <sz val="10.0"/>
      </rPr>
      <t xml:space="preserve">Mironescu M., </t>
    </r>
    <r>
      <rPr>
        <rFont val="Arial Narrow"/>
        <b val="0"/>
        <color theme="1"/>
        <sz val="10.0"/>
      </rPr>
      <t>Mironescu I.D.</t>
    </r>
  </si>
  <si>
    <r>
      <rPr>
        <rFont val="Arial Narrow"/>
        <b val="0"/>
        <color theme="1"/>
        <sz val="10.0"/>
      </rPr>
      <t xml:space="preserve">Naiaretti D., </t>
    </r>
    <r>
      <rPr>
        <rFont val="Arial Narrow"/>
        <b/>
        <color theme="1"/>
        <sz val="10.0"/>
      </rPr>
      <t xml:space="preserve">Mironescu M., </t>
    </r>
    <r>
      <rPr>
        <rFont val="Arial Narrow"/>
        <b val="0"/>
        <color theme="1"/>
        <sz val="10.0"/>
      </rPr>
      <t>Tita O.</t>
    </r>
  </si>
  <si>
    <t>Antimicrobial activity of active biodegradable starch films on pathogenic microorganisms</t>
  </si>
  <si>
    <t>Influence of Tea Tree Essential Oil and Poly (ethylene glycol) on Antibacterial and Physicochemical Properties of Polylactide-Based Films, I Tarach, E Olewnik-Kruszkowska, A Richert… - Materials, 2020 - mdpi.com</t>
  </si>
  <si>
    <t>Influence of Tea Tree Essential Oil and Poly (ethylene glycol) on Antibacterial and Physicochemical Properties of Polylactide-Based Films</t>
  </si>
  <si>
    <r>
      <rPr>
        <rFont val="Arial Narrow"/>
        <b val="0"/>
        <color theme="1"/>
        <sz val="10.0"/>
      </rPr>
      <t xml:space="preserve">Naiaretti D., </t>
    </r>
    <r>
      <rPr>
        <rFont val="Arial Narrow"/>
        <b/>
        <color theme="1"/>
        <sz val="10.0"/>
      </rPr>
      <t xml:space="preserve">Mironescu M., </t>
    </r>
    <r>
      <rPr>
        <rFont val="Arial Narrow"/>
        <b val="0"/>
        <color theme="1"/>
        <sz val="10.0"/>
      </rPr>
      <t>Tita O.</t>
    </r>
  </si>
  <si>
    <t>Synthesis, characterization and swelling behavior of high-performance antimicrobial amphoteric hydrogels from corn starch, NA Abd El-Ghany, ZM Mahmoud - Polymer Bulletin, 2020 - Springer</t>
  </si>
  <si>
    <t>Synthesis, characterization and swelling behavior of high-performance antimicrobial amphoteric hydrogels from corn starch</t>
  </si>
  <si>
    <r>
      <rPr>
        <rFont val="Arial Narrow"/>
        <b val="0"/>
        <color theme="1"/>
        <sz val="10.0"/>
      </rPr>
      <t xml:space="preserve">Naiaretti D., </t>
    </r>
    <r>
      <rPr>
        <rFont val="Arial Narrow"/>
        <b/>
        <color theme="1"/>
        <sz val="10.0"/>
      </rPr>
      <t xml:space="preserve">Mironescu M., </t>
    </r>
    <r>
      <rPr>
        <rFont val="Arial Narrow"/>
        <b val="0"/>
        <color theme="1"/>
        <sz val="10.0"/>
      </rPr>
      <t>Tita O.</t>
    </r>
  </si>
  <si>
    <t>Antimicrobial and Physical–Mechanical Properties of Polyhydroxybutyrate Edible Films Containing Essential Oil Mixtures, CR Rech, KCS Brabes, BEB Silva… - Journal of Polymers and the Environment, 2020 - Springer</t>
  </si>
  <si>
    <t>Antimicrobial and Physical–Mechanical Properties of Polyhydroxybutyrate Edible Films Containing Essential Oil Mixtures</t>
  </si>
  <si>
    <r>
      <rPr>
        <rFont val="Arial Narrow"/>
        <b val="0"/>
        <color theme="1"/>
        <sz val="10.0"/>
      </rPr>
      <t xml:space="preserve">Moza M.I., </t>
    </r>
    <r>
      <rPr>
        <rFont val="Arial Narrow"/>
        <b/>
        <color theme="1"/>
        <sz val="10.0"/>
      </rPr>
      <t xml:space="preserve">Mironescu M., </t>
    </r>
    <r>
      <rPr>
        <rFont val="Arial Narrow"/>
        <b val="0"/>
        <color theme="1"/>
        <sz val="10.0"/>
      </rPr>
      <t>Florea A.</t>
    </r>
  </si>
  <si>
    <t>Influence of physical treatments on the potato starch granules micro-and ultrastructure</t>
  </si>
  <si>
    <t>Prebiotic carbohydrate concentrations of common bean and chickpea change during cooking, cooling, and reheating, N Siva, P Thavarajah, D Thavarajah - Journal of food science, 2020 - Wiley Online Library</t>
  </si>
  <si>
    <t>Prebiotic carbohydrate concentrations of common bean and chickpea change during cooking, cooling, and reheating</t>
  </si>
  <si>
    <r>
      <rPr>
        <rFont val="Arial Narrow"/>
        <b val="0"/>
        <color theme="1"/>
        <sz val="10.0"/>
      </rPr>
      <t xml:space="preserve">Moza M.I., </t>
    </r>
    <r>
      <rPr>
        <rFont val="Arial Narrow"/>
        <b/>
        <color theme="1"/>
        <sz val="10.0"/>
      </rPr>
      <t xml:space="preserve">Mironescu M., </t>
    </r>
    <r>
      <rPr>
        <rFont val="Arial Narrow"/>
        <b val="0"/>
        <color theme="1"/>
        <sz val="10.0"/>
      </rPr>
      <t>Florea A.</t>
    </r>
  </si>
  <si>
    <t>Impact of ultrasounds on physicochemical characteristics of potato tubers, B SAWICKA, P Pszczółkowski - Annales UMCS sectio E Agricultura, 2020 - academia.edu</t>
  </si>
  <si>
    <t>Impact of ultrasounds on physicochemical characteristics of potato tubers</t>
  </si>
  <si>
    <t>academia.edu</t>
  </si>
  <si>
    <r>
      <rPr>
        <rFont val="Arial Narrow"/>
        <b val="0"/>
        <color theme="1"/>
        <sz val="10.0"/>
      </rPr>
      <t xml:space="preserve">Moza M.I., </t>
    </r>
    <r>
      <rPr>
        <rFont val="Arial Narrow"/>
        <b/>
        <color theme="1"/>
        <sz val="10.0"/>
      </rPr>
      <t xml:space="preserve">Mironescu M., </t>
    </r>
    <r>
      <rPr>
        <rFont val="Arial Narrow"/>
        <b val="0"/>
        <color theme="1"/>
        <sz val="10.0"/>
      </rPr>
      <t>Florea A.</t>
    </r>
  </si>
  <si>
    <t>Penerapan Green Quality Function Deployment Produk Keripik Singkong, MFF Mu'tamar, R Faridz, A Nurrahym - Rekayasa, 2020 - journal.trunojoyo.ac.id</t>
  </si>
  <si>
    <t>Penerapan Green Quality Function Deployment Produk Keripik Singkong</t>
  </si>
  <si>
    <r>
      <rPr>
        <rFont val="arial narrow"/>
        <b/>
        <color theme="1"/>
        <sz val="10.0"/>
      </rPr>
      <t xml:space="preserve">Mironescu M., </t>
    </r>
    <r>
      <rPr>
        <rFont val="Arial Narrow"/>
        <b val="0"/>
        <color theme="1"/>
        <sz val="10.0"/>
      </rPr>
      <t>Mironescu I.D., Jascanu V., Posten C. (Germany)</t>
    </r>
  </si>
  <si>
    <r>
      <rPr>
        <rFont val="arial narrow"/>
        <b/>
        <color theme="1"/>
        <sz val="10.0"/>
      </rPr>
      <t xml:space="preserve">Mironescu M., </t>
    </r>
    <r>
      <rPr>
        <rFont val="Arial Narrow"/>
        <b val="0"/>
        <color theme="1"/>
        <sz val="10.0"/>
      </rPr>
      <t>Fratila L., Hupert A. (Solina, industrie), Mironescu I.D.</t>
    </r>
  </si>
  <si>
    <r>
      <rPr>
        <rFont val="calibri"/>
        <color theme="1"/>
        <sz val="11.0"/>
      </rPr>
      <t>Mironescu I.D</t>
    </r>
    <r>
      <rPr>
        <rFont val="Calibri"/>
        <b/>
        <color rgb="FF000000"/>
        <sz val="11.0"/>
      </rPr>
      <t>.</t>
    </r>
    <r>
      <rPr>
        <rFont val="Calibri"/>
        <color theme="1"/>
        <sz val="11.0"/>
      </rPr>
      <t xml:space="preserve">, </t>
    </r>
    <r>
      <rPr>
        <rFont val="Calibri"/>
        <b/>
        <color rgb="FF000000"/>
        <sz val="11.0"/>
      </rPr>
      <t>Mironescu M.</t>
    </r>
    <r>
      <rPr>
        <rFont val="Calibri"/>
        <color theme="1"/>
        <sz val="11.0"/>
      </rPr>
      <t>, Georgescu C., Ranga I.N., Iancu M.L., Oprean L.</t>
    </r>
  </si>
  <si>
    <t>RESEARCH METHODS AND ANALYSIS USED TO DETERMINE FAKES IN FOOD (HONEY)</t>
  </si>
  <si>
    <t>THE IMPORTANCE OF THE MELLIFEROUS FLORA FOR THE BEEKEEPING IN GURA RAULUI COUNTRYSIDE AREA (SIBIU COUNTY), ROMANIA</t>
  </si>
  <si>
    <t>https://apps.webofknowledge.com/full_record.do?product=WOS&amp;search_mode=CitationReport&amp;qid=3&amp;SID=E2BoUC6tCmAqfkOr2I5&amp;page=1&amp;doc=3</t>
  </si>
  <si>
    <t>WOS:000407959800032</t>
  </si>
  <si>
    <t>RESEARCH ON QUALITY ANALYSIS OF AN ASSORTMENT OF FIVE TYPES OF HONEY IN ROMANIA</t>
  </si>
  <si>
    <t>https://apps.webofknowledge.com/full_record.do?product=WOS&amp;search_mode=CitationReport&amp;qid=3&amp;SID=E2BoUC6tCmAqfkOr2I5&amp;page=1&amp;doc=1</t>
  </si>
  <si>
    <t>WOS:000422186300029</t>
  </si>
  <si>
    <t>Research on quality analysis of an assortment of five types of honey in Romania</t>
  </si>
  <si>
    <t>Optimization of a Spectrophotometric Flow Injection: Method for Determination Copper and Manganese in Wines by Design Experiments</t>
  </si>
  <si>
    <t>https://www.igi-global.com/chapter/optimization-of-a-spectrophotometric-flow-injection/245593</t>
  </si>
  <si>
    <t xml:space="preserve">Moisture Reduction of Honey in Dehumidification and Evaporation Processes, </t>
  </si>
  <si>
    <t>http://journal2.um.ac.id/index.php/jmest/article/view/16602</t>
  </si>
  <si>
    <t>oise, G., (2014): Promotion of ecologic product certification as instrument to speed up the ecologic agriculture. Scientific Papers Series-Management, Economic Engineering in Agriculture and Rural Development, 14(1): 241-244.</t>
  </si>
  <si>
    <t>esearchgate.net/publication/347022131_FOREST_AND_AGRICULTURAL_ECOSYSTEMS_PESTS_LEPIDOPTERA_PRESERVED_IN_THE_ENTOMOLOGICAL_COLLECTIONS_OF_THE_NATURAL_HISTORY_MUSEUM_IN_SIBIU_ROMANIA</t>
  </si>
  <si>
    <t>Stanca Moise C.,</t>
  </si>
  <si>
    <t>METHOD OF ANALYSIS FOR POPULATION LIMITATION OF THE LEPIDOPTERA PEST IN FRUITERS (LEPIDOPTERA: TORTRICIDAE) IN SIBIEL VILLAGE, SIBIU CITY IN CONDITIONS OF YEAR 2013</t>
  </si>
  <si>
    <t>https://apps.webofknowledge.com/full_record.do?product=UA&amp;search_mode=GeneralSearch&amp;qid=10&amp;SID=C6kumWLc1BlEpwHfUok&amp;page=1&amp;doc=1</t>
  </si>
  <si>
    <t>BASELINE MONITORING OF MACROLEPIDOPTERA IN HIGH GRASSLANDS AROUND SIBIEL, ROMANIA</t>
  </si>
  <si>
    <t>THE CONTROL OF THE DEFOLIATOR LYMANTRA MONACHA L. POPULATIONS (LEPIDOPTERA: LYMANTRIIDAE) BY MAKING USE OF PHEROMONE TRAPS IN THE FOREST RANGE MIERCUREA SIBIULUI (ROMANIA) IN …</t>
  </si>
  <si>
    <t>Pro gradu -tutkielma Oulun yliopisto Biologian tutkinto-ohjelma Toukokuu 2020</t>
  </si>
  <si>
    <t>THE FORESTRY ECOSYSTEMS MANAGEMENT IN THE FOREST DISTRICT SIBIU, AGAINST THE DEFOLIATOR SPECIES LYMANTRIA MONACHA L., 1758 (LEPIDOPTERA: LYMANTRIIDAE) DURING THE PERIOD 2013-2017</t>
  </si>
  <si>
    <t>STANCĂ-MOISE, C. 2017. The lepidoptera pest species (Insecta, Lepidoptera) on cabbage crops in the village Sibiel (Sibiu county) Romania. Scientific Papers: Management, Economic Engineering in Agriculture &amp; Rural Development, 17</t>
  </si>
  <si>
    <t>PARASITIC HYMENOPTERA AND THEIR INFLUENCE ON THE NUMBER OF LEPIDOPTERA PESTS FOR BRASSICA OLERACAE L. VAR CAPITATA FROM THE EXPERIMENTAL FIELD OF THE VEGETABLE RESEARCH AND DEVELOPMENT STATION BACĂU</t>
  </si>
  <si>
    <t>SCSB202002V29S01A0014.pdf</t>
  </si>
  <si>
    <t>alte baze</t>
  </si>
  <si>
    <t>Oancea, Simona &amp; Grosu, Cristian &amp; Otto, Ketney &amp; Stoia, Mihaela.</t>
  </si>
  <si>
    <t xml:space="preserve">Conventional and Ultrasound-Assisted Extraction of Anthocyanins from Blackberry and Sweet Cherry Cultivars. Acta chimica Slovenica. 60. 383-9  (2013).  </t>
  </si>
  <si>
    <t>Farooq, S., Shah, M.A., Siddiqui, M.W. et al. Recent trends in extraction techniques of anthocyanins from plant materials. Food Measure (2020). https://doi.org/10.1007/s11694-020-00598-8</t>
  </si>
  <si>
    <t>ISI</t>
  </si>
  <si>
    <t xml:space="preserve">Hongkun Xue, Jiaqi Tan, Qian Li, Jintian Tang, Xu Cai, Optimization Ultrasound-Assisted Deep Eutectic Solvent Extraction of Anthocyanins from Raspberry Using Response Surface Methodology Coupled with Genetic Algorithm, Foods 2020, 9, 1409; doi:10.3390/foods9101409
</t>
  </si>
  <si>
    <t>Anita Vakula  Aleksandra Tepić Horecki  Branimir Pavlić  Marija Jokanović  Vladislav Ognjanov  Maja Milović  Nemanja Teslić  Giuseppina Parpinello  Marlies Decleer  Zdravko Šumić, Application of different techniques on stone fruit (Prunus spp.) drying and assessment of physical, chemical and biological properties, Journal of Food Processing and Preservation, 2020  https://doi.org/10.1111/jfpp.15158</t>
  </si>
  <si>
    <t>Oancea S., Stoia M.</t>
  </si>
  <si>
    <t>Antibiotic resistance of bacterial pathogens: The magnitude of the problem from two perspectives - Romanian and worldwide, Romanian Biotechnological Letters 15(5):5519-5529</t>
  </si>
  <si>
    <t xml:space="preserve">AL SHAIKHLI NAWFAL HAITHAM, AL OWAIDI ALI, MARIANA CARMEN CHIFIRIUC, GRIGORE MIHAESCU, RANA MUJAHID ABDULLAH ALSHWAIKH, SAJJAD MOHSIN, HAMZAH BASIL MOHAMMED, GRATIELA GRADISTEANU PIRCALABIORU, IRINA GHEORGHE, Antibiotic resistance determinants of Acinetobacter baumannii strains isolated from nosocomial infections, Romanian Biotechnological Letters 25(3):1658-1665, 2020. DOI: 10.25083/rbl/25.3/1658.1665
</t>
  </si>
  <si>
    <t>https://www.e-repository.org/rbl/vol.25/iss.3/20.pdf</t>
  </si>
  <si>
    <t>Monthon Lertcanawanichakul, Kittisak Chawawisit, Bacteriocin-like protein produced Brevibacillus laterosporus that can inhibit the growth of drug resistant bacteria,  International Journal of Pharmaceutical Sciences and Developmental Research, 2020 DOI: 10.17352/ijpsdr.000028</t>
  </si>
  <si>
    <t>https://www.peertechz.com/articles/IJPSDR-6-128.php</t>
  </si>
  <si>
    <t xml:space="preserve">CORNELIU OVIDIU VRANCIANU, CRISTINA FLORENTINA PELCARU, ALEXANDRU ALISTAR, IRINA GHEORGHE, LUMINITA MARUTESCU, MARCELA POPA, GRATIELA GRADISTEANU, MARIANA CARMEN CHIFIRIUC, Biocides role in the selection and dissemination of resistant Acinetobacter baumannii clones, Rom Biotechnol Lett. 2020; 25(4): 1823-1831. doi: 10.25083/rbl/25.4/1823.1831
</t>
  </si>
  <si>
    <t>https://www.e-repository.org/rbl/vol.25/iss.4/20.pdf</t>
  </si>
  <si>
    <t>Gabriela Roxana Pricop , Irina Gheorghe, Gratiela Gradisteanu Pircalabioru, Violeta Cristea, Marcela Popa, Luminita Marutescu, Mariana Carmen Chifiriuc, Grigore Mihaescu, Eugenia Bezirtzoglou, Resistance and Virulence Features of Bacteroides spp. Isolated from Abdominal Infections in Romanian Patients, Pathogens, 2020, 9, 940; doi:10.3390/pathogens9110940</t>
  </si>
  <si>
    <t>https://www.mdpi.com/2076-0817/9/11/940</t>
  </si>
  <si>
    <t xml:space="preserve">Oancea, S.; Formaggio, F.; Campestrini, S.; Broxterman, Q. B.; Kaptein, B.; Toniolo, C. </t>
  </si>
  <si>
    <t>Distance dependency of exciton coupled circular dichroism using turn and helical peptide spacers. Biopolymers 2003, 72, 105– 115,  DOI: 10.1002/bip.10315</t>
  </si>
  <si>
    <t>Sunit Pal, Shreya Banerjee, Ankur Kumar, and Erode N. Prabhakaran, H-Bond Surrogate-Stabilized Shortest Single-Turn α-Helices: sp2 Constraints and Residue Preferences for the Highest α-Helicities, ACS Omega 2020</t>
  </si>
  <si>
    <t>https://pubs.acs.org/doi/full/10.1021/acsomega.0c01277</t>
  </si>
  <si>
    <t>Oancea S., F. Calin</t>
  </si>
  <si>
    <t>Changes in total phenolics and anthocyanins during blackberry, raspberry and cherry jam processing and storage, Romanian Biotechnological Letters 21(1):11232-11237, 2016</t>
  </si>
  <si>
    <t>Berit Karoline Baardsen Martinsen, Kjersti Aaby, Grete Skrede, Effect of temperature on stability of anthocyanins, ascorbic acid and color in strawberry and raspberry jams, Food Chemistry 316:126297, 2020
DOI: 10.1016/j.foodchem.2020.126297</t>
  </si>
  <si>
    <t>https://www.sciencedirect.com/science/article/pii/S0308814620301461?via%3Dihub</t>
  </si>
  <si>
    <t>Maria Cristina Copello Rotili, Fabíola Villa, Daniel Fernandes da Silva, Solivan Rosanelli, Gilberto Costa Braga, Tatiane Eberling, Nutraceutical fruit characterization, nutritional aspects and sensory analysis of dovyalis jams, Cienc. Rural vol.51 no.1 Santa Maria  2021  Epub Dec 11, 2020</t>
  </si>
  <si>
    <t>https://www.scielo.br/scielo.php?pid=S0103-84782021000100751&amp;script=sci_arttext</t>
  </si>
  <si>
    <t>Arpan Dubey, Amit Kumar, Pavuluri Srinivasa Rao, Development and storage study of reduced calorie aloe vera (Aloe barbadensis Miller) based pineapple fruit jam, Journal of Food Measurement and Characterization (2020). https://doi.org/10.1007/s11694-020-00689-6</t>
  </si>
  <si>
    <t>https://link.springer.com/article/10.1007/s11694-020-00689-6</t>
  </si>
  <si>
    <t>Oancea S.</t>
  </si>
  <si>
    <t>An Overview of Conventional and Alternative Strategies for Developing New Antibacterial Agents, Acta Chim. Slov. 2010, 57, 630–642</t>
  </si>
  <si>
    <t>Dong Zhang, Yuele Lu, Hanchi Chen, Chutian Wu, Hui Zhang, Luyi Chen, Xiaolong Chen, Antifungal peptides produced by actinomycetes and their biological activities against plant diseases, The Journal of Antibiotics, 2020
DOI: 10.1038/s41429-020-0287-4</t>
  </si>
  <si>
    <t>https://www.nature.com/articles/s41429-020-0287-4</t>
  </si>
  <si>
    <t xml:space="preserve">Oancea S, Draghici O. </t>
  </si>
  <si>
    <t>pH and thermal stability of anthocyanin-based optimized extracts of Romanian red onion cultivars. Czech J Food Sci 3:238, 2013</t>
  </si>
  <si>
    <t>Salem Ibrahim, Ali Helmy, Hany M. Helmy, Assessment of the Use of Natural Extracted Dyes and Pancreatin Enzyme for Dyeing of Four Natural Textiles: HPLC Analysis of Phytochemicals, Processes 2020, 8(1), 59</t>
  </si>
  <si>
    <t>https://www.mdpi.com/2227-9717/8/1/59</t>
  </si>
  <si>
    <t>Kritamorn Jitrangsri, Amornrut Chaidedgumjorn, Malai Satiraphan, Effect of ethanol percentage upon various extraction methods of peanut based on antioxidant activity with
trans-resveratrol and total phenolic contents, Pharm Sci Asia 2020; 47 (2), 164-172
DOI:10.29090/psa.2020.02.018.0056</t>
  </si>
  <si>
    <t>https://www.pharmacy.mahidol.ac.th/journal/_files/2020-47-2_164-172.pdf</t>
  </si>
  <si>
    <t>J. Phanthuwongpakdee, S. Babel, K. Laohhasurayotin, S. Sattayaporn, T. Kaneko, Anthocyanin based agricultural wastes as bio-adsorbents for scavenging radioactive iodide from aqueous environment, Journal of Environmental Chemical Engineering, 2020, 104147. https://doi.org/10.1016/j.jece.2020.104147</t>
  </si>
  <si>
    <t>Azimah Omar, Mohd Syukri Ali, Nasrudin Abd Rahim, Electron transport properties analysis of titanium dioxide dye-sensitized solar cells (TiO2-DSSCs) based natural dyes using electrochemical impedance spectroscopy concept: A review, Solar Energy 207 (2020) 1088–1121. https://doi.org/10.1016/j.solener.2020.07.028</t>
  </si>
  <si>
    <t>S. Oancea, M. Stoia, D. Coman</t>
  </si>
  <si>
    <t>Effects of extraction conditions on bioactive anthocyanin content of Vaccinium corymbosum in the perspective of food applications. Procedia Eng., 42, 489–495, (2012)</t>
  </si>
  <si>
    <t>Zevallos, Lady
AU  - Caldas, César
 Flores, Alberto, Obregón, Jesús, Miano, Alberto Claudio, Barraza-Jáuregui, Gabriela, Mixing Design for Optimizing Ultrasound-Assisted Extraction of Phenolic Components and Anthocyanins from Blue Berries and Grape Marc, International Journal of Fruit Science, 2020/07/07, doi: 10.1080/15538362.2020.1785987</t>
  </si>
  <si>
    <t>https://www.tandfonline.com/doi/abs/10.1080/15538362.2020.1785987</t>
  </si>
  <si>
    <t>R Baghya, NishaRita Narayanan, Effect of different solvents on recovery of total monomeric anthocyanin from mangosteen peel (Garcinia mangostana L.), International Journal of Chemical Studies, 8, 9-11, 2020, DOI: 10.22271/chemi.2020.v8.i1a.8297</t>
  </si>
  <si>
    <t>http://www.chemijournal.com/archives/?year=2020&amp;vol=8&amp;issue=1&amp;ArticleId=8297&amp;si=false</t>
  </si>
  <si>
    <t>Cristina Medina-Plaza, Jordan W. Beaver, Konrad V. Miller, Larry Lerno, Nick Dokoozlian, Ravi Ponangi, Tom Blair, David E. Block, Anita Oberholster, Cell Wall–Anthocyanin Interactions during Red Wine Fermentation-Like Conditions, Am J Enol Vitic. April 2020 71: 149-156; DOI: 10.5344/ajev.2019.19063</t>
  </si>
  <si>
    <t>https://www.ajevonline.org/content/71/2/149.abstract</t>
  </si>
  <si>
    <t xml:space="preserve">Kritamorn Jitrangsri, Amornrut Chaidedgumjorn, Malai Satiraphan, Effect of ethanol percentage upon various extraction methods of peanut based on antioxidant activity with trans-resveratrol and total phenolic contents, Pharm Sci Asia 2020; 47 (2), 164-172, DOI:10.29090/psa.2020.02.018.0056
</t>
  </si>
  <si>
    <t>https://www.pharmacy.mahidol.ac.th/journal/journalabstract.php?jvol=47&amp;jpart=2&amp;jconnum=8</t>
  </si>
  <si>
    <t>Wuliang Sun, Yilin Liu, Lu Jia, Marleny D. Aranda Saldaña, Tungalag Dong, Ye Jin, Wen Xiu Sun, A Smart Nanofiber Sensor Based on Anthocyanin/Poly‐L‐Lactic Acid for Mutton Freshness Monitoring, International Journal of Food Science &amp; Technology 2020, DOI: 10.1111/ijfs.14648</t>
  </si>
  <si>
    <t>https://ifst.onlinelibrary.wiley.com/doi/abs/10.1111/ijfs.14648</t>
  </si>
  <si>
    <t>Farooq, S., Shah, M.A., Siddiqui, M.W. et al. Recent trends in extraction techniques of anthocyanins from plant materials. Journal of Food Measurement and Characterization, Food Measure (2020). https://doi.org/10.1007/s11694-020-00598-8</t>
  </si>
  <si>
    <t xml:space="preserve">Shireen Akther, Farhana Sultana, Md. Rahim Badsha, Jakia Sultana Jothi, Md. Abdul Alim, Anthocyanin Stability Profile of Mango Powder: Temperature, pH, Light, Solvent and Sugar Content Effects, Turkish Journal of Agriculture - Food Science and Technology, 8(9): 1871-1877, 2020
DOI: https://doi.org/10.24925/turjaf.v8i9.1871-1877.3487
</t>
  </si>
  <si>
    <t>http://agrifoodscience.com/index.php/TURJAF/article/view/3487</t>
  </si>
  <si>
    <t>M Tzanova, V Atanasov, Z Yaneva, D Ivanova TG Dinev, Selectivity of Current Extraction Techniques for Flavonoids from Plant Materials, Processes 8:1222, 2020. DOI: 10.3390/pr8101222</t>
  </si>
  <si>
    <t>https://www.mdpi.com/2227-9717/8/10/1222</t>
  </si>
  <si>
    <t>Fonmboh, D. J., Abah, E. R., Fokunang, T. E., Herve, B., Teke, G. N., Rose, N. M., Borgia, N. N., Fokunang, L. B., Andrew, B. N., Kaba, N., Bathelemy, N., &amp; Ntungwen, F. C. (2020). An Overview of Methods of Extraction, Isolation and Characterization of Natural Medicinal Plant Products in Improved Traditional Medicine Research. Asian Journal of Research in Medical and Pharmaceutical Sciences, 9(2), 31-57. https://doi.org/10.9734/ajrimps/2020/v9i230152</t>
  </si>
  <si>
    <t>https://www.journalajrimps.com/index.php/AJRIMPS/article/view/30152</t>
  </si>
  <si>
    <t>Bo Sun, Yun-Long Zheng, Sheng-Kuan Yang, Jia-Ru Zhang, Xin-Yue Cheng, Reza Ghiladi, Zhuo Ma, Jun Wang, Wen-Wen Deng,
One-Pot Method Based on Deep Eutectic Solvent for Extraction and Conversion of Polydatin to Resveratrol from Polygonum cuspidatum, Food Chemistry, 2020, 128498, https://doi.org/10.1016/j.foodchem.2020.128498.</t>
  </si>
  <si>
    <t>https://www.sciencedirect.com/science/article/abs/pii/S0308814620323608</t>
  </si>
  <si>
    <t xml:space="preserve">Tariq I. Almundarij, Abdel Kader A. Zaki, Saleh M. Albarrak, Yousef M. Alharbi, Saleh A. Almuzaini, Faten A. M. Abo-Aziza, Evaluation of the Anti-diabetic Activities of Colored Rice Varieties in Streptozotocin-Induced Diabetic Rats, Sys Rev Pharm 2020;11(11):1424-1433 </t>
  </si>
  <si>
    <t>https://www.sysrevpharm.org/?mno=32559</t>
  </si>
  <si>
    <t xml:space="preserve">Barbara Biondi,  Cristina Peggion,  Marta De Zotti, Chiara Pignaffo,  Annalisa Dalzini,  Marco Bortolus,  Simona Oancea,  Geta Hilma,  Annalisa Bortolotti , Lorenzo Stella,  Jens Z. Pedersen,  Victoria N. Syryamina,  Yuri D. Tsvetkov,  Sergei A. Dzuba,  Claudio Toniolo,  Fernando Formaggio </t>
  </si>
  <si>
    <t>Conformational properties, membrane interaction, and antibacterial activity of the peptaibiotic chalciporin A: Multitechnique spectroscopic and biophysical investigations on the natural compound and labeled analogs, Peptide Science, 2017</t>
  </si>
  <si>
    <t xml:space="preserve">Victoria N.Syryamina, Anna G.Matveev, Yan V.Vasiliev, Anton Savitsky, Yuri A.Grishi, Improving B1 field homogeneity in dielectric tube resonators for EPR spectroscopy via controlled shaping of the dielectric insert, Journal of Magnetic Resonance
Volume 311, February 2020, DOI: 10.1002/bip.23083
</t>
  </si>
  <si>
    <t>https://www.sciencedirect.com/science/article/abs/pii/S1090780720300033?via%3Dihub</t>
  </si>
  <si>
    <t>Ketney, O., Santini, A., &amp; Oancea, S.</t>
  </si>
  <si>
    <t xml:space="preserve">Recent aflatoxin survey data in milk and milk products: A review. International Journal of Dairy Technology, 70(3),
320e331, 2017.
</t>
  </si>
  <si>
    <t xml:space="preserve">Miklós Gabriella, Angeli Cserne, Ambrus Árpád, Nagy Attila, Kardos Valéria, Zentai Andrea, Kerekes Kata, Farkas Zsuzsa, Jóźwiak Ákos, Bartók Tibor, Detection of Aflatoxins in Different Matrices and Food-Chain Positions, Frontiers in Microbiology, 11, 1916, 2020 https://www.frontiersin.org/article/10.3389/fmicb.2020.01916     DOI=10.3389/fmicb.2020.01916    </t>
  </si>
  <si>
    <t>Jianglin Xionga, Lijuan Peng, Hualin Zhou, B oLin, Pingyu Yan, Wenxuan Wu, Yulan Liu, Lingying Wu, Yinsheng Qiu, Prevalence of aflatoxin M1 in raw milk and three types of liquid milk products in central-south China, Food Control, Volume 108, February 2020, 106840</t>
  </si>
  <si>
    <t>https://doi.org/10.1016/j.foodcont.2019.106840</t>
  </si>
  <si>
    <t>Shirin Hooshfar, Roya Khosrokhavar, Hassan Yazdanpanah, Samira Eslamizad, Farzad Kobarfard, Firuzeh Nazari, Venetia Kokaraki, Manolis Kokkinakis, Marina Goumenou, Christina Tsitsimpikou, Aristides Tsatsakis, Health Risk Assessment of Aflatoxin M1 in Infant Formula Milk in IR Iran, Food and Chemical Toxicology, 2020, 111455, https://doi.org/10.1016/j.fct.2020.111455.</t>
  </si>
  <si>
    <t>https://www.sciencedirect.com/science/article/pii/S0278691520303458</t>
  </si>
  <si>
    <t>A. Batrinou, D. Houhoula, E. Papageorgiou, Rapid detection of mycotoxins on foods and beverages with enzyme-linked immunosorbent assay , Quality Assurance and Safety of Crops &amp; Foods, 2020; 12 (1): 40–49</t>
  </si>
  <si>
    <t>Choukri Khelifa Mahdjoubi , Natalia Arroyo-Manzanares, Nisserine Hamini-Kadar, Ana M. García-Campaña, Kihel Mebrouk, Laura Gámiz-Gracia, Multi-Mycotoxin Occurrence and Exposure Assessment Approach in Foodstuffs from Algeria, Toxins 2020, 12, 194; doi:10.3390/toxins12030194</t>
  </si>
  <si>
    <t>A. Vaz,  A. Cabral Silva, P. Rodrigues, A.  Venâncio, Detection Methods for Aflatoxin M1 in Dairy Products, Microorganisms, 8, 246, 2020, DOI: 10.3390/microorganisms8020246</t>
  </si>
  <si>
    <t>Anna Teter, Joanna Barłowska, Jolanta Król, Aneta Brodziak, Jaroslawa Rutkowska, Zygmunt Litwińczuk, Volatile compounds and amino acid profile of short-ripened farmhouse cheese manufactured from the milk of the White-Backed native cow breed, LWT - Food Science and Technology, 129 (2020) https://doi.org/10.1016/j.lwt.2020.109602</t>
  </si>
  <si>
    <t>https://www.sciencedirect.com/science/article/pii/S0023643820305910</t>
  </si>
  <si>
    <t>Yaowei Liu, Wenjin Zhang, Lina Zhang, Kasper Hetting, Peng Zhou, Characterizing the changes of bovine milk serum proteins after simulated industrial processing, LWT - Food Science and Technology, 2020 https://doi.org/10.1016/j.lwt.2020.110101</t>
  </si>
  <si>
    <t>https://www.sciencedirect.com/science/article/pii/S0023643820310902</t>
  </si>
  <si>
    <t>Li Min, Dagang Li, Xiong Tong, Hao Sun, Weidong Chen, Gang Wang, Nan Zheng, Jiaqi Wang, The challenges of global occurrence of aflatoxin M1 contamination and the reduction of aflatoxin M1 in milk over the past decade, Food Control, 2020. https://doi.org/10.1016/j.foodcont.2020.107352</t>
  </si>
  <si>
    <t xml:space="preserve">Michael Sulyok, Rudolf Krska, Hamide Senyuva, Profiles of fungal metabolites including regulated mycotoxins in individual dried Turkish figs by LC-MS/MS, July 2020 Mycotoxin Research, DOI: 10.1007/s12550-020-00398-5
</t>
  </si>
  <si>
    <t xml:space="preserve">Umaporn Pimpitak,  Sirirat Rengpipat,  Songchan Phutong,  Anumart Buakeaw,  Kittinan Komolpis,Development and validation of a lateral flow immunoassay for the detection of aflatoxin M1 in raw and commercialised milks,  International Journal of Dairy Technology, 2020https://doi.org/10.1111/1471-0307.12728
</t>
  </si>
  <si>
    <t xml:space="preserve">Moslem Lari Najafi, Evaluation of the effect of influential factors on the Aflatoxin levels of medicinal herbs in different climate regions, J Adv Pharm Edu Res 2020;10(3):30-33. </t>
  </si>
  <si>
    <t>https://japer.in/storage/models/article/rDqcm4PsL8XxWXYjW2dRkAd4qg0YDgATGR8iB2JSwPxd3DLyBgrGoD8xOfV7/evaluation-of-the-effect-of-influential-factors-on-the-aflatoxin-levels-of-medicinal-herbs-in-diff.pdf</t>
  </si>
  <si>
    <t xml:space="preserve">Oancea S, Calin F </t>
  </si>
  <si>
    <t>Changes in total phenolics and anthocyanins during blackberry, raspberry and cherry jam
processing and storage. Rom Biotech Lett 21: 11232-11237, 2016.</t>
  </si>
  <si>
    <t>Berit Karoline Martinsen, Kjersti Aab, yGrete Skrede, Effect of temperature on stability of anthocyanins, ascorbic acid and color in strawberry and raspberry jams, Food Chemistry , 2020 https://doi.org/10.1016/j.foodchem.2020.126297</t>
  </si>
  <si>
    <t>https://www.sciencedirect.com/science/article/pii/S0308814620301461</t>
  </si>
  <si>
    <t>Zielińska, D.; Bilska, B.; Marciniak-Łukasiak, K.; Łepecka, A.; Trząskowska, M.; Neffe-Skocińska, K.; Tomaszewska, M.; Szydłowska, A.; Kołożyn-Krajewska, D. Consumer Understanding of the Date of Minimum Durability of Food in Association with Quality Evaluation of Food Products After Expiration. Int. J. Environ. Res. Public Health 2020, 17, 1632.</t>
  </si>
  <si>
    <t>https://www.mdpi.com/1660-4601/17/5/1632</t>
  </si>
  <si>
    <t xml:space="preserve">Oancea, S.; Oprean, L. </t>
  </si>
  <si>
    <t xml:space="preserve"> Anthocyanins, from biosynthesis in plants to human health benefits–review. Acta
Univ. Cibiniensis Ser. E Food Technol. 2011, 15, 3–16. </t>
  </si>
  <si>
    <t>Madeleine Peavey, Ian Goodwin, Lexie McClymont, Subhash Chandra, Effect of Shading on Red Colour and Fruit Quality
in Blush Pears “ANP-0118” and “ANP-0131”, Plants, 2020, 9, 206; doi:10.3390/plants9020206</t>
  </si>
  <si>
    <t>https://www.mdpi.com/2223-7747/9/2/206</t>
  </si>
  <si>
    <t>Irakoze Evangeline, Nduwayezu Barithazar, Gakuba Emmanuel, Biosynthesis of Anthocyanins and their Applications as Food Additives,  Journal of Academia and Industrial Research, vol 9(1), 10-20, 2020</t>
  </si>
  <si>
    <t>http://www.jairjp.com/</t>
  </si>
  <si>
    <t>Christophe El-Nakhel, Antonio Pannico, Giulia Graziani, Marios Kyriacou, Maria Giordano, Alberto Ritieni, 
Stefania De Pascale, Youssef Rouphael, Variation in Macronutrient Content, Phytochemical Constitution and In Vitro Antioxidant Capacity of Green and Red Butterhead Lettuce Dictated by Different Developmental Stages of Harvest Maturity, Antioxidants, 2020, DOI: 10.3390/antiox9040300</t>
  </si>
  <si>
    <t>https://www.mdpi.com/2076-3921/9/4/300</t>
  </si>
  <si>
    <t>Mazaleyrat JP, Wright K, Gaucher A, Toulemonde N,  Wakselman M, Oancea S, Peggion C,  Formaggio F, Setnicka V., Toniolo C.</t>
  </si>
  <si>
    <t>Induced axial chirality in the biphenyl core of the C-alpha-tetrasubstituted alpha-amino acid residue Bip and subsequent propagation of chirality in (Bip)(n)/Val oligopeptides, JOURNAL OF THE AMERICAN CHEMICAL SOCIETY 126, 40, 12874-12879, 2004</t>
  </si>
  <si>
    <t>Diandra S. Hassan, F. Yushra Thanzeel, Christian Wolf, Stereochemical analysis of chiral amines, diamines, and amino alcohols: Practical chiroptical sensing based on dynamic covalent chemistry, Chirality. 2020 Feb 6. doi: 10.1002/chir.23185.</t>
  </si>
  <si>
    <t>https://www.ncbi.nlm.nih.gov/pubmed/32027416</t>
  </si>
  <si>
    <t>Felix Freire,  Rafael Rodríguez,  Esteban Suárez-Picado,  Emilio Quiñoá,  Ricardo Riguera, Stimuli‐responsive Macromolecular Gear: Interlocking Dynamic Helical Polymers with Foldamers, Angewandte Chemie, 2020,  https://doi.org/10.1002/ange.201915488</t>
  </si>
  <si>
    <t>https://onlinelibrary.wiley.com/doi/abs/10.1002/ange.201915488</t>
  </si>
  <si>
    <t>Xiu-Yuan Qin, Jiang-Tao Zhang, Guo-Ming Li, Mu-Yi Cai, Jun Lu, Rui-Zeng Gu and Wen-Ying Liu, Selenium-chelating corn oligopeptide as a potential antioxidant supplement: investigation of the protein conformational changes and identification of the antioxidant fragment composition, International Journal of Food Engineering, 2020, eISSN 1556-3758, DOI: https://doi.org/10.1515/ijfe-2019-0166.</t>
  </si>
  <si>
    <t>https://www.degruyter.com/view/journals/ijfe/ahead-of-print/article-10.1515-ijfe-2019-0166/article-10.1515-ijfe-2019-0166.xml?tab_body=abstract</t>
  </si>
  <si>
    <t xml:space="preserve">Constantinescu, M.; Oancea, S.; Bucura, F.; Ciucure, C.; Ionete, R.E. </t>
  </si>
  <si>
    <t>Evaluation of the fuel potential of sewage sludge mixtures with beech sawdust and lignite. J. Renew. Sustain. Ener. 2018, 10, 053106.</t>
  </si>
  <si>
    <t xml:space="preserve">A. Soomro, S. Chen, Z. Sun, S. Ma, W. Xiang, Chemometric modelling on element compositions and product distributions of cellulose and lignin, Biomass Conversion and Biorefinery,  2020
</t>
  </si>
  <si>
    <t>https://link.springer.com/article/10.1007/s13399-020-00638-9</t>
  </si>
  <si>
    <t>M. Stoia, S. Oancea</t>
  </si>
  <si>
    <t>Occupational risk assessment in a bakery unit from the district of Sibiu, Acta Universitatis Cibiniensis. Series E: Food Technology XII(2):11-16, 2008</t>
  </si>
  <si>
    <t>W. S. Bonsu, D. Adei, W.A. Duah, Exposure to occupational hazards among bakers and their coping mechanisms in the Kumasi Metropolis of Ghana, Cogent Medicine 7, 1-20, 2020, DOI: 10.21203/rs.2.19817/v1</t>
  </si>
  <si>
    <t>https://www.cogentoa.com/article/10.1080/2331205X.2020.1825172</t>
  </si>
  <si>
    <t xml:space="preserve">S. Oancea, O. Draghici, O. Ketney, </t>
  </si>
  <si>
    <t>Changes in total anthocyanin content and antioxidant activity in sweet cherries during frozen storage, and air-oven and infrared drying
September 2016Fruits 71(5):281-288</t>
  </si>
  <si>
    <t>Maria Felicia Faienza, Filomena Corbo, Alessia Carocci, Alessia Catalano, Maria Lisa Clodoveo, Maria Grano, David Q.-H. Wang, Gabriele D'Amato, Marilena Muraglia, Carlo Franchini, Giacomina Brunetti, Piero Portincasa, Novel insights in health-promoting properties of sweet cherries, Journal of Functional Foods 69:103945, DOI: 10.1016/j.jff.2020.103945</t>
  </si>
  <si>
    <t>Coman D., Oancea S. &amp; Vrinceanu N.,</t>
  </si>
  <si>
    <t xml:space="preserve">Biofunctionalization of textile materials by antimicrobial treatments: A critical overview, Romanian Biotechnological Letters,15, 4913 - 4921, 2010. </t>
  </si>
  <si>
    <t xml:space="preserve">Forida Parvin, Shariful Islam, Zakia Urmy, Shaharia Ahmed, A STUDY ON THE TEXTILE MATERIALS
APPLIED IN HUMAN MEDICAL TREATMENT, European Journal of Physiotherapy and Rehabilitation Studies, 1(1), 56-80, 2020. doi: 10.5281/zenodo.3779236 </t>
  </si>
  <si>
    <t>https://oapub.org/hlt/index.php/EJPRS/article/viewFile/51/50</t>
  </si>
  <si>
    <t xml:space="preserve">Stoia M, Kurtanjek Z, Oancea S. </t>
  </si>
  <si>
    <t>Reliability of a decision-tree
model in predicting occupational lead poisoning in a group of
highly exposed workers. Am J Ind Med 2016;59:575-82.</t>
  </si>
  <si>
    <t xml:space="preserve">J. SONG, Y. WANG, MEIRONG YANG, RUI LIU, The Application of Decision Tree Model in Differential Diagnosis of Myelodysplastic Syndrome and Aplastic Anemia, Indian J Pharm Sci 2020:82(2)Spl issue3;50-58
</t>
  </si>
  <si>
    <t>https://www.ijpsonline.com/articles/the-application-of-decision-tree-model-in-differential-diagnosis-of-myelodysplastic-syndrome-and-aplastic-anemia.pdf</t>
  </si>
  <si>
    <t>A. Amirabadizadeh, S.Nakhaee, O. Mehrpour, Risk assessment of elevated blood lead concentrations in the adult population using a decision tree approach, Drug and Chemical Toxicology 2020, DOI: 10.1080/01480545.2020.1783286</t>
  </si>
  <si>
    <t>https://www.tandfonline.com/doi/abs/10.1080/01480545.2020.1783286?journalCode=idct20</t>
  </si>
  <si>
    <t>Y. Li, X. Wang, H. Lu, Y. Wang, Z. Dai, Q. liu, Lead Acetate on the Growth and Development of Mouse Blastocyst
after Transplantation in Vitro, Revista Científica, FVC-LUZ / Vol. XXX, N° 5, 2654-2662, 2020</t>
  </si>
  <si>
    <t>https://cientificajournal.com/index.php/path/article/view/1145</t>
  </si>
  <si>
    <t xml:space="preserve">Mihaela Negru , Violeta Calotă , Lavinia Călugăreanu,  Dana Mateș, Occupational exposure to inorganic lead and its compounds in Romania, omanian Journal of Occupational Medicine | Volume 71: Issue 1, 2020 DOI: https://doi.org/10.2478/rjom-2020-0004 </t>
  </si>
  <si>
    <t>https://content.sciendo.com/configurable/contentpage/journals$002frjom$002f71$002f1$002farticle-p26.xml</t>
  </si>
  <si>
    <t>Oancea S., Radu M.</t>
  </si>
  <si>
    <t>PHENOLIC COMPOSITION AND ANTIOXIDANT ACTIVITY OF GREEN-SOLVENTS-BASED EXTRACTS OF RED ONION WASTES, Agrofor 3 (2018),  http://dx.doi.org/10.7251/AGRENG1803106O</t>
  </si>
  <si>
    <t>Panzella L, Moccia F, Nasti R, Marzorati S, Verotta L and Napolitano A (2020) Bioactive Phenolic Compounds From Agri-Food Wastes: An Update on Green and Sustainable Extraction Methodologies. Front. Nutr. 7:60. doi: 10.3389/fnut.2020.00060</t>
  </si>
  <si>
    <t>https://www.frontiersin.org/articles/10.3389/fnut.2020.00060/full</t>
  </si>
  <si>
    <t>Zin Mar Linn, Draghici O., S. Oancea</t>
  </si>
  <si>
    <t>Comparative study on nutritional and bioactive composition of Pone-Yee-Gyi, Myanmar traditional food and its raw material, horse gram (Macrotyloma uniflorum L.), Rom. Biotechnol. Lett., 2018 DOI: 10.26327/RBL2018.192</t>
  </si>
  <si>
    <t xml:space="preserve">Zsolt Szekely-Varga, Sara González-Orenga, Maria Cantor, Denisa Jucan, Monica Boscaiu, Oscar Vicente, Effects of Drought and Salinity on Two Commercial Varieties of Lavandula angustifolia Mill, Plants 9(5), 637, 2020. DOI: 10.3390/plants9050637
</t>
  </si>
  <si>
    <t>https://www.mdpi.com/2223-7747/9/5/637</t>
  </si>
  <si>
    <t xml:space="preserve">S. Oancea, F. Moiseenco, P. Traldi, </t>
  </si>
  <si>
    <t>Total phenolics and anthocyanin profiles of Romanian wild and cultivated blueberries by direct infusion ESI-IT-MS/MS, Rom. Biotechnol. Lett. 18(3), 8350-8360, 2013</t>
  </si>
  <si>
    <t>Monika Beszterda, Rafał Frański, Identification of isoflavones in the extract of supplements for menopause symptoms by direct infusion electrospray ionization tandem mass spectrometry, Analytical Science Advances, 1-9, 2020.  https://doi.org/10.1002/ansa.202000013</t>
  </si>
  <si>
    <t>https://onlinelibrary.wiley.com/doi/10.1002/ansa.202000013</t>
  </si>
  <si>
    <t>The effect of ultrasonic pretreatment and sample preparation on the extraction yield of antioxidant compounds and activity of black currant fruits. Acta Chimica Slovenica, 62(1), 242–248.</t>
  </si>
  <si>
    <t>Renata Różyło, Recent trends in methods used to obtain natural food colorants by freeze-drying, Trends in Food Science &amp; Technology (2020), doi: https://doi.org/10.1016/
j.tifs.2020.06.005.</t>
  </si>
  <si>
    <t xml:space="preserve">S OANCEA, F FORMAGGIO </t>
  </si>
  <si>
    <t xml:space="preserve">BIOLOGICAL ROLE OF Da-AMINO ACIDS AND THEIR OCCURENCE IN FOODSTUFFS, Acta Universitatis Cibiniensis Series E: FOOD TECHNOLOGY
Vol. XII (2008), no.1 
</t>
  </si>
  <si>
    <t>Cindy J.Lee, Tian A.Qiu, Jonathan V.Sweedler, d-Alanine: Distribution, origin, physiological relevance, and implications in disease, Biochimica et Biophysica Acta (BBA) - Proteins and Proteomics, 2020, https://doi.org/10.1016/j.bbapap.2020.140482</t>
  </si>
  <si>
    <t>https://www.sciencedirect.com/science/article/abs/pii/S1570963920301291</t>
  </si>
  <si>
    <t>S. Oancea</t>
  </si>
  <si>
    <t>Identification of glycomacropeptide as indicator of milk and dairy drinks adulteration with whey by immunochromatographic assay, Romanian Biotechnological Letters 14(1):4146-4151, 2009</t>
  </si>
  <si>
    <t>Kamal Gandhi, Rajan Sharma, Priyae Brath Gautam, Bimlesh Mann, Quality Assessment of Raw Milk, 33-67, 2020, DOI: 10.1007/978-981-15-4167-4_3, In book: Chemical Quality Assurance of Milk and Milk Products</t>
  </si>
  <si>
    <t>https://link.springer.com/chapter/10.1007%2F978-981-15-4167-4_3</t>
  </si>
  <si>
    <t>carte, Springer</t>
  </si>
  <si>
    <t>Drăghici, O.; Păcală, M. L.; Oancea, S.</t>
  </si>
  <si>
    <t>Kinetic studies on the oxidative stabilization effect of red onion skins anthocyanins extract on parsley ( Petroselinum crispum ) seed oil. Food Chemistry 2018, 265.</t>
  </si>
  <si>
    <t>Jie Cai, Fansen Zeng, Shiyu Zheng, Xiaoxue Huang, Jingyi Zhang, Ping Zhang, and Peng Fei
J. Agric. Food Chem.,  DOI: 10.1021/acs.jafc.0c01912 • Publication Date (Web): 17 Jun 2020</t>
  </si>
  <si>
    <t>https://pubs.acs.org/doi/pdf/10.1021/acs.jafc.0c01912</t>
  </si>
  <si>
    <t>M. Constantinescu, F. Bucura, R. Ionete, V. Niculescu, A. Zaharioiu, S. Oancea, M. Miricioiu</t>
  </si>
  <si>
    <t>Comparative Study on Plastic Materials as a New Source of Energy, 2019, MATERIALE PLASTICE 56(1):41-46
DOI: 10.37358/MP.19.1.5119</t>
  </si>
  <si>
    <t>C. Filote, R.A. Felseghi, S.M. Raboaca, I. Aschilean, Environmental impact assessment of green energy systems for power supply of electric vehicle charging station, 2020, International Journal of Energy Research
DOI: 10.1002/er.5678</t>
  </si>
  <si>
    <t>https://onlinelibrary.wiley.com/doi/abs/10.1002/er.5678</t>
  </si>
  <si>
    <t>M Stoia, S Oancea</t>
  </si>
  <si>
    <t>Workplace health promotion program on using dietary antioxidants (anthocyanins) in chemical exposed workers, Procedia Engineering Volumul 42, 1989-1996, 2012</t>
  </si>
  <si>
    <t>Pourshahidi S, Davari M. Anthocyanins: Promising Natural Compounds for Prevention and Treatment of Oral Squamous Cell Carcinoma, Middle East J Rehabil Health Stud. Online ahead of Print ; 7(4):e105844. doi: 10.5812/mejrh.105844.</t>
  </si>
  <si>
    <t>https://sites.kowsarpub.com/mejrh/articles/105844.html</t>
  </si>
  <si>
    <t>Constantinescu M., Bucura F., E.I. Ionete, D. Ion-Ebrasu, C. Sandru, A. Zaharioiu, F. Marin, M.Gh. Miricioiu, V.C. Niculescu, Oancea Simona, R.E. Ionete</t>
  </si>
  <si>
    <t>“From Plastic to Fuel - New Challenges”
Materiale Plastice, vol. 56(4), 721-729, 2019</t>
  </si>
  <si>
    <t>Lee, S.Y.; Alam, M.T.; Han, G.H.; Choi, D.H.; Park, S.W. Gasification Applicability of Korean Municipal Waste Derived Solid Fuel: A Comparative Study. Processes 2020, 8, 1375. https://doi.org/10.3390/pr8111375</t>
  </si>
  <si>
    <t>https://www.mdpi.com/2227-9717/8/11/1375</t>
  </si>
  <si>
    <t>S. Oancea, M. Stoia</t>
  </si>
  <si>
    <t>Mycotoxins: a review of toxicology, analytical methods and health risks,
Universitatis Cibiensis Series E, 7(1), 2008, 19-36.</t>
  </si>
  <si>
    <t xml:space="preserve">Joong Hee Cho, Ji Hyeung Kim, Hee Jeong Lee, Eun Jeong Choi, Myung Je Heo, Stability Of Aflatoxins In Different Solvent Concentration And Temperature In The Autosampler, International Journal of Scientific and Technical Research in Engineering (IJSTRE)
www.ijstre.com Volume 5 Issue 4 ǁ Sept-Oct 2020.
</t>
  </si>
  <si>
    <t>http://www.ijstre.com/Publish/5402020/754235521.pdf</t>
  </si>
  <si>
    <t>E. Sartori, A. Toffoletti, F. Rastrelli, C. Corvaja, A. Bettio, F. Formaggio, S. Oancea, and C. Toniolo</t>
  </si>
  <si>
    <t>Intramolecular Interaction between Nitroxide Radical and Photoexcited Benzophenone Triplet Linked to Peptide Templates, J. Phys. Chem. A 2003, 107, 36, 6905–6912</t>
  </si>
  <si>
    <t>Matthew W. Dale, Daniel J. Cheney, Claudio Vallotto, Christopher J. Wedge, Viscosity effects on optically generated electron and nuclear spin hyperpolarization, DOI: 10.1039/D0CP04012F (Paper) Phys. Chem. Chem. Phys., 2020</t>
  </si>
  <si>
    <t>https://pubs.rsc.org/en/content/articlehtml/2020/cp/d0cp04012f</t>
  </si>
  <si>
    <t>S. Oancea, C. Grosu</t>
  </si>
  <si>
    <t>Effect of Vaccinium myrtillus anthocyanin extract on lipid oxidation in cod liver oil, Romanian Biotechnological Letters, vol. 18, no. 1, pp. 7897–7903, 2013.</t>
  </si>
  <si>
    <t>Agnieszka M. Hrebień-Filisińska, Artur Bartkowiak, The Use of Sage Oil Macerates (Salvia officinalis L.) for Oxidative Stabilization of Cod Liver Oil in Bulk Oil Systems, Int. J. Food Sci, 2020, https://doi.org/10.1155/2020/4971203</t>
  </si>
  <si>
    <t>https://www.hindawi.com/journals/ijfs/2020/4971203/</t>
  </si>
  <si>
    <t>Oancea S, Ghincevici D, Ketney O</t>
  </si>
  <si>
    <t>The effect of ultrasonic pretreatment and sample preparation on the extraction yield of antioxidant compounds and activity of black currant fruits. Acta Chim Slov 62(1):242–248, 2014</t>
  </si>
  <si>
    <t>Aguirre-Becerra H. et al. (2021) Role of Stress and Defense in Plant Secondary Metabolites Production. In: Pal D., Nayak A.K. (eds) Bioactive Natural Products for Pharmaceutical Applications. Advanced Structured Materials, vol 140. Springer, Cham. https://doi.org/10.1007/978-3-030-54027-2_5</t>
  </si>
  <si>
    <t xml:space="preserve">Răcuciu M, Oancea S </t>
  </si>
  <si>
    <t>Impact of 50 Hz magnetic field on the content of polyphenolic compounds from blackberries. Bulg Chem Commun 50(3):393–397, 2018.</t>
  </si>
  <si>
    <t xml:space="preserve">De Zotti, M.; Biondi, B.; Peggion, C.; De Poli, M.; Fathi, H.; Oancea, S.; Toniolo, C.; Formaggio, F. </t>
  </si>
  <si>
    <t>Partial thioamide scan on
the lipopeptaibiotic trichogin GA IV. Effects on folding and bioactivity. Beilstein J. Org. Chem. 2012, 8, 1161–1171.</t>
  </si>
  <si>
    <t xml:space="preserve">Puszko, A.K.; Sosnowski,
P.; Rignault-Bricard, R.; Hermine, O.;
Hopfgartner, G.; Pułka-Ziach, K.;
Lepelletier, Y.; Misicka, A. UreaPeptide Hybrids as VEGF-A165/NRP1 Complex Inhibitors with Improved
Receptor Affinity and Biological
Properties. Int. J. Mol. Sci. 2021, 22,
72. https://dx.doi.org/10.3390/ijms
22010072
</t>
  </si>
  <si>
    <t>https://www.mdpi.com/1422-0067/22/1/72</t>
  </si>
  <si>
    <t>Andrea Orlandin, Paolo Dolcet, Barbara Biondi, Geta Hilma, Diana Coman, Simona Oancea, Fernando Formaggio, Cristina Peggion</t>
  </si>
  <si>
    <t>Covalent Graft of Lipopeptides and Peptide Dendrimers to Cellulose Fibers, Coatings, 9(10), 606, 2019.</t>
  </si>
  <si>
    <t>Sergej Karel, Jana Starigazdová, Hana Vágnerová, Jaromír Kulhánek, Lucie Horáčková, Martin Flegel, Pavel Drašar, Jiří Brožek, Vladimír Velebný, Hyaluronic Acid Fibres in Solid Phase Peptide Synthesis — Their Properties, Morphology and Stability, Fibers and Polymers, 2020, Volume 21, Number 12, Page 2707</t>
  </si>
  <si>
    <t>http://citations.springer.com/item?doi=10.1007/s12221-020-0075-6</t>
  </si>
  <si>
    <t>Stoia M., Kurtanjek Z., Oancea S.</t>
  </si>
  <si>
    <t>Reliability of a decision-tree model in predicting occupational lead poisoning in a group of highly exposed workers: Predictive Modeling of Lead Poisoning, American Journal of Industrial Medicine 59(7), 2016</t>
  </si>
  <si>
    <t>Mihaela Negru, Violeta Calotă, Lavinia Călugăreanu, Dana Mateș, Occupational exposure to inorganic lead and its compounds in Romania, Romanian Journal of Occupational Medicine 71(1):26-33, 2020
DOI: 10.2478/rjom-2020-0004</t>
  </si>
  <si>
    <t xml:space="preserve">	
Ognean, C. F.; Ognean, M.; Darie, N.</t>
  </si>
  <si>
    <t>The effect of some commercial fibers on dough rheology.</t>
  </si>
  <si>
    <t>CEREAL CHEMISTRY   Volume: ‏ 97   Issue: ‏ 5   Pages: ‏ 904-91, Effects of pumpkin powder addition on the rheological, sensory, and quality attributes of Taftoon bread
By: Davoudi, Zahra; Shahedi, Mohammad; Kadivar, Mehdi</t>
  </si>
  <si>
    <t>https://apps-webofknowledge-com.am.e-nformation.ro/full_record.do?product=WOS&amp;search_mode=CitingArticles&amp;qid=5&amp;SID=D13tRm4ciQwlgDgkObD&amp;page=1&amp;doc=1</t>
  </si>
  <si>
    <t>Ognean Claudia</t>
  </si>
  <si>
    <t>Ognean, C. F.; Darie, N.; Ognean, M.</t>
  </si>
  <si>
    <t xml:space="preserve">Fat replacers - review; Journal of Agroalimentary Processes and Technologies	</t>
  </si>
  <si>
    <t xml:space="preserve">Food Hydrocolloids, Ellinor B. Heggset, Ragnhild Aaen, Trinelise Veslum, Marielle Henriksson, Sébastien Simon, Kristin Syverud,
Cellulose nanofibrils as rheology modifier in mayonnaise – A pilot scale demonstration,
</t>
  </si>
  <si>
    <t>https://www.sciencedirect.com/science/article/abs/pii/S0268005X20305233</t>
  </si>
  <si>
    <t>Chapter 3 - Strategies to reduce lipid consumption, în Agri-Food Industry Strategies for Healthy Diets and Sustainability New Challenges in Nutrition and Public Health 2020, p. 91-102</t>
  </si>
  <si>
    <t>https://books.google.ro/books?id=Zk_UDwAAQBAJ&amp;pg=PA91&amp;lpg=PA91&amp;dq=DOI:+10.1016/B978-0-12-817226-1.00003-5&amp;source=bl&amp;ots=Ai9AfElHqi&amp;sig=ACfU3U0-9wKGJhIsiMeAojbKoAsfH3uFug&amp;hl=ro&amp;sa=X&amp;ved=2ahUKEwjd7e2J8I7vAhV9QxUIHRu6BuQQ6AEwBXoECAUQAw#v=onepage&amp;q=DOI%3A%2010.1016%2FB978-0-12-817226-1.00003-5&amp;f=false</t>
  </si>
  <si>
    <t>LIPIDS AND EDIBLE OILS: PROPERTIES, PROCESSING, AND APPLICATIONS
Edited by:Galanakis, CM
Pages: 289-327
DOI: 10.1016/B978-0-12-817105-9.00008-2
Published: 2020</t>
  </si>
  <si>
    <t>https://apps-webofknowledge-com.am.e-nformation.ro/full_record.do?product=WOS&amp;search_mode=CitingArticles&amp;qid=16&amp;SID=D13tRm4ciQwlgDgkObD&amp;page=1&amp;doc=4&amp;cacheurlFromRightClick=no</t>
  </si>
  <si>
    <t>The influence of oat beta-glucan content on the physicochemical and sensory properties of low-fat beef burgers
By:Szpicer, A (Szpicer, Arkadiusz)[ 1 ] ; Onopiuk, A (Onopiuk, Anna)[ 1 ] ; Poltorak, A (Poltorak, Andrzej)[ 1 ] ; Wierzbicka, A (Wierzbicka, Agnieszka)[ 1 ]
View Web of Science ResearcherID and ORCID
CYTA-JOURNAL OF FOOD
Volume: 18 Issue: 1 Pages: 315-327
DOI: 10.1080/19476337.2020.1750095
Published: JAN 1 2020
Document Type:Article</t>
  </si>
  <si>
    <t>https://apps-webofknowledge-com.am.e-nformation.ro/full_record.do?product=WOS&amp;search_mode=CitingArticles&amp;qid=16&amp;SID=D13tRm4ciQwlgDgkObD&amp;page=1&amp;doc=5&amp;cacheurlFromRightClick=no</t>
  </si>
  <si>
    <t>Physicochemical Properties and Sensory Characteristics of Mustard Sauce Incorporated with Modified Potato Peel Starch
By:Aida, FMNA (Aida, F. M. N. A.)[ 1 ] ; Razi, NNO (Razi, Nur Nafisha Omar)[ 1 ] ; Shahidan, N (Shahidan, Norshazila)[ 2 ]
BIOSCIENCE RESEARCH
Volume: 17 Pages: 1-10 Special Issue: SI
Published: 2020</t>
  </si>
  <si>
    <t>https://apps-webofknowledge-com.am.e-nformation.ro/full_record.do?product=WOS&amp;search_mode=CitingArticles&amp;qid=48&amp;SID=D13tRm4ciQwlgDgkObD&amp;page=1&amp;doc=1&amp;cacheurlFromRightClick=no</t>
  </si>
  <si>
    <t>Journal of Food Science and Engineering 10 (2020) 1-10 ; A Research on the Quality Features of Ice Cream Produced Using Some Fat Substitutes
DOI:10.17265/2159-5828/2020.01.001</t>
  </si>
  <si>
    <t>http://www.davidpublisher.org/Home/Journal/JFSE</t>
  </si>
  <si>
    <t>★ Database of EBSCO, Massachusetts, USA
★ Chemical Abstracts Service (CAS), USA
★ Cambridge Scientific Abstracts (CSA), ProQuest Science Journals, USA
★ Ulrich's Periodicals Directory, USA
★ Summon Serials Solutions, USA
★ Chinese Database of CEPS, American Federal Computer Library Center (OCLC), USA
★ Chinese Scientific Journals Database, VIP Corporation, Chongqing, China
★ Norwegian Social Science Data Services (NSD), Norway
★ Index Copernicus, Poland
★ China National Knowledge Infrastructure (CNKI), China
★ Universe Digital Library Sdn Bhd (UDLSB), Malaysia
★ Google Scholar
★ RoMEO
★ AcademicKeys
★ CiteFactor (USA)
★ getCITED
★ Newjour
★ Scientific Indexing Services
★ INNO SPACE
★ SJournals</t>
  </si>
  <si>
    <t>Ningtyas D.W., Prakash S. (2020) Fat-Reduced Cream Cheeses. In: Truong T., Lopez C., Bhandari B., Prakash S. (eds) Dairy Fat Products and Functionality. Springer, Cham. https://doi.org/10.1007/978-3-030-41661-4_22</t>
  </si>
  <si>
    <t>https://link.springer.com/chapter/10.1007/978-3-030-41661-4_22</t>
  </si>
  <si>
    <t>TurkishJournalofAgriculture-FoodScienceandTechnology,8(6): 1331-1340, 2020DOI:https://doi.org/10.24925/turjaf.v8i6.1331-1340.3346</t>
  </si>
  <si>
    <t>http://www.agrifoodscience.com/index.php/TURJAF/article/view/3346</t>
  </si>
  <si>
    <t>BDI (https://portal.issn.org/resource/issn/2148-127X)</t>
  </si>
  <si>
    <t>Turkish Journal of Agriculture -Food Science and Technology,8(6): 1297-1307, 2020DOI:https://doi.org/10.24925/turjaf.v8i6.1297-1307.3321</t>
  </si>
  <si>
    <t>http://www.agrifoodscience.com/index.php/TURJAF/article/view/3321</t>
  </si>
  <si>
    <t>Essential Fatty Acids: Sources, Processing Effects, and Health Benefits
Sanju Bala DhullSneh PuniaKawaljit Singh Sandhuoct. 2020
CRC Press</t>
  </si>
  <si>
    <t>https://www.taylorfrancis.com/books/essential-fatty-acids-sanju-bala-dhull-sneh-punia-kawaljit-singh-sandhu/e/10.1201/9780429321115</t>
  </si>
  <si>
    <t>Tulbure, A.; Ognean, M.; Ognean, C. F.; Danciu, I.</t>
  </si>
  <si>
    <t xml:space="preserve">Water content and water activity of bakery products; Bulletin of University of Agricultural Sciences and Veterinary Medicine Cluj-Napoca. Animal Science and Biotechnologies	</t>
  </si>
  <si>
    <t>Male date palm flower powder: Effect of incorporation on physico-chemical, textural, and sensory quality of biscuits
By:Karra, S (Karra, Sirine)[ 1 ] ; Sebii, H (Sebii, Haifa)[ 1 ] ; Bouaziz, MA (Bouaziz, Mohamed Ali)[ 1 ] ; Blecker, C (Blecker, Christophe)[ 2 ] ; Attia, H (Attia, Hamadi)[ 1 ] ; Besbes, S (Besbes, Souhail)[ 1,2 ]
JOURNAL OF FOOD PROCESSING AND PRESERVATION
Volume: 44 Issue: 9
Article Number: e14687
DOI: 10.1111/jfpp.14687
Published: SEP 2020
Early Access: JUL 2020
Document Type:Article</t>
  </si>
  <si>
    <t>https://apps-webofknowledge-com.am.e-nformation.ro/full_record.do?product=WOS&amp;search_mode=CitingArticles&amp;qid=42&amp;SID=D13tRm4ciQwlgDgkObD&amp;page=1&amp;doc=1&amp;cacheurlFromRightClick=no</t>
  </si>
  <si>
    <t>Mihai Ognean, Claudia-Felicia Ognean, Neli Darie</t>
  </si>
  <si>
    <t>Rheological effects of some natural fibers used in breadmaking
Autori</t>
  </si>
  <si>
    <t xml:space="preserve">Journal of Food and Dairy Sciences; Utilization of Food by Products in Preparing Low-Calorie Biscuits
</t>
  </si>
  <si>
    <t>https://journals.ekb.eg/article_130429_1775484d89bd9dcae52df5ab0d304877.pdf</t>
  </si>
  <si>
    <t>Ognean Mihai</t>
  </si>
  <si>
    <t>Mihaela Begea, Alexandrina Sirbu, Mariana-Liliana Pacala, Alexandru CIiric, Alexandru Moisac</t>
  </si>
  <si>
    <t>Pilot Technology to Obtain a Bio-based Product from Barley Malt Rootlets http://www.fabe.gr/images/fabe_2017/journal/ifbevol3.pdf, International Journal of Food and Biosystems Engineering</t>
  </si>
  <si>
    <t>Maria Simona Chis , Anamaria Pop, Adriana Paucean , Sonia Ancuta Socaci,
Ersilia Alexa, Simona Maria Man , Monica Bota and Sevastita Muste-Fatty Acids, Volatile and Sensory Profile of Multigrain Biscuits Enriched with Spent Malt Rootles, Molecules 2020, 25(3), 442; https://doi.org/10.3390/molecules25030442</t>
  </si>
  <si>
    <t>https://www.mdpi.com/1420-3049/25/3/442</t>
  </si>
  <si>
    <t>https://doi.org/10.3390/molecules25030442; Web of Science</t>
  </si>
  <si>
    <t>50/5 autori</t>
  </si>
  <si>
    <r>
      <rPr>
        <rFont val="arial narrow"/>
        <color theme="1"/>
        <sz val="10.0"/>
      </rPr>
      <t xml:space="preserve">Draghici, Olga; </t>
    </r>
    <r>
      <rPr>
        <rFont val="Arial Narrow"/>
        <b/>
        <color theme="1"/>
        <sz val="10.0"/>
      </rPr>
      <t>Pacala, Mariana-Liliana</t>
    </r>
    <r>
      <rPr>
        <rFont val="Arial Narrow"/>
        <color theme="1"/>
        <sz val="10.0"/>
      </rPr>
      <t>; Oancea, Simona</t>
    </r>
  </si>
  <si>
    <t>FSAA3</t>
  </si>
  <si>
    <t>Cai, Jie; Zeng, Fansen; Zheng, Shiyu; et al., Preparation of Lipid-Soluble Bilberry Anthocyanins through Acylation with Cinnamic Acids and their Antioxidation Activities,JOURNAL OF AGRICULTURAL AND FOOD CHEMISTRY   Volume: ‏ 68   Issue: ‏ 28   Pages: ‏ 7467-7473</t>
  </si>
  <si>
    <t>http://apps.webofknowledge.com/full_record.do?product=WOS&amp;search_mode=CitingArticles&amp;qid=4&amp;SID=D4DAWCXkJefdGrc3pJr&amp;page=1&amp;doc=1</t>
  </si>
  <si>
    <t>50/3 autori</t>
  </si>
  <si>
    <r>
      <rPr>
        <rFont val="arial narrow"/>
        <color theme="1"/>
        <sz val="10.0"/>
      </rPr>
      <t xml:space="preserve">Favier, L., Harja, M., Simion, A.I. (Vasile Alecsandri Univ. Bacau, Romania), Rusu, L. (Vasile Alecsandri Univ. Bacau, Romania), Kadmi, Y., </t>
    </r>
    <r>
      <rPr>
        <rFont val="Arial Narrow"/>
        <b/>
        <color rgb="FF000000"/>
        <sz val="10.0"/>
      </rPr>
      <t xml:space="preserve">Pacala, M.L. </t>
    </r>
    <r>
      <rPr>
        <rFont val="Arial Narrow"/>
        <color rgb="FF000000"/>
        <sz val="10.0"/>
      </rPr>
      <t>(Lucian Blaga University of Sibiu, Romania), Bouzaza A.</t>
    </r>
  </si>
  <si>
    <t xml:space="preserve">Advanced
Oxidation Process for the Removal of Chlorinated Phenols in Aqueous Suspensions, Journal of
Environmental Protection and Ecology, 2016, 17 (3), 1132-1141, http://apps.webofknowledge.com/full_record.do?product=WOS&amp;search_mode=GeneralSearch&amp;qid=22&amp;SID=D57ZA3XrJzjkBmOwHqD&amp;page=1&amp;doc=1 </t>
  </si>
  <si>
    <t>Shankramma Kalikeri &amp; Vidya Shetty Kodialbail,  Auto-combustion synthesis of narrow band-gap bismuth ferrite nanoparticles for solar photocatalysis to remediate azo dye containing water, Environmental Science and Pollution Research
https://doi.org/10.1007/s11356-020-10879-w</t>
  </si>
  <si>
    <t>https://apps-webofknowledge-com.am.e-nformation.ro/full_record.do?product=WOS&amp;search_mode=GeneralSearch&amp;qid=30&amp;SID=D4lDqDDx7kA9cqfiWks&amp;page=1&amp;doc=1</t>
  </si>
  <si>
    <t>WOS:000574736400002</t>
  </si>
  <si>
    <t>50/4 autori</t>
  </si>
  <si>
    <r>
      <rPr>
        <rFont val="arial narrow"/>
        <color theme="1"/>
        <sz val="10.0"/>
      </rPr>
      <t xml:space="preserve">Favier, L., Harja, M., Simion, A.I. (Vasile Alecsandri Univ. Bacau, Romania), Rusu, L. (Vasile Alecsandri Univ. Bacau, Romania), Kadmi, Y., </t>
    </r>
    <r>
      <rPr>
        <rFont val="Arial Narrow"/>
        <b/>
        <color rgb="FF000000"/>
        <sz val="10.0"/>
      </rPr>
      <t xml:space="preserve">Pacala, M.L. </t>
    </r>
    <r>
      <rPr>
        <rFont val="Arial Narrow"/>
        <color rgb="FF000000"/>
        <sz val="10.0"/>
      </rPr>
      <t>(Lucian Blaga University of Sibiu, Romania), Bouzaza A.</t>
    </r>
  </si>
  <si>
    <t>Ruxandra Vidu, Ecaterina Matei,  Andra Mihaela Predescu, Badriyah Alhalaili, Cristian Pantilimon, Claudia Tarcea, and Cristian Predescu, Removal of Heavy Metals from Wastewaters: A Challenge from Current Treatment Methods to Nanotechnology Applications, Toxics 2020, 8, 101; doi:10.3390/toxics8040101</t>
  </si>
  <si>
    <t>https://apps-webofknowledge-com.am.e-nformation.ro/full_record.do?product=WOS&amp;search_mode=GeneralSearch&amp;qid=34&amp;SID=D4lDqDDx7kA9cqfiWks&amp;page=1&amp;doc=1</t>
  </si>
  <si>
    <t xml:space="preserve"> WOS:000601835900001</t>
  </si>
  <si>
    <t>Pop Mihai</t>
  </si>
  <si>
    <t>D. M. Șandru, V. Niculescu, E. Lengyel, O. Tita</t>
  </si>
  <si>
    <t>Identification and Quantification of Total Polyphenols in Plants with Bioactive Potentially</t>
  </si>
  <si>
    <t>A review of thr effect of plant-derived bioactive substances on the inflamatory response of ruminants (sheep, cattle and goats), Mulumebet Worku, Lily Jaiswal, Hamid Ismail, Bioffin, vol. 3, no. 2, 2020.</t>
  </si>
  <si>
    <t>DOI10.31021/ijvam.20203130</t>
  </si>
  <si>
    <t>woS</t>
  </si>
  <si>
    <t>CT Ciucure, DI Stegăruş, DM Sandru, A Frum, O Tita</t>
  </si>
  <si>
    <t>THE IDENTIFICATION AND QUANTIFICATION OF SOME PHENOLIC COMPONENTS THAT ARE VALUABLE WITHIN BEVERAGES PREPARED FROM INDIGENOUS PLANTS</t>
  </si>
  <si>
    <t xml:space="preserve">Development and analysis of fruit beverages with antioxidant properties, Elena A Solomatina, Nikolay M Solomatin, Valdimir N Sorokopudov, Olga A, Scientific study and research. Chemistry and chemical engineering, biotechnology, food industry, 21 (4), 555-561, 2020. </t>
  </si>
  <si>
    <t>pubs.ub.ro</t>
  </si>
  <si>
    <t xml:space="preserve">Șandru D., 
Panaitescu M.,(University Latina Panama)
</t>
  </si>
  <si>
    <t>Identification and quantification of phenolic compounds in red wines</t>
  </si>
  <si>
    <t>Ioana Rebenciuc, Vinurile moldovenești -aromă și savoare-2020, EDITURA UNIVERSITĂȚII ”LUCIAN BLAGA” din SIBIU, ISBN 978-606-12-1760-1</t>
  </si>
  <si>
    <t xml:space="preserve">CARTE </t>
  </si>
  <si>
    <r>
      <rPr>
        <rFont val="arial narrow"/>
        <color theme="1"/>
        <sz val="10.0"/>
      </rPr>
      <t xml:space="preserve">Pop M.R, Sand C, </t>
    </r>
    <r>
      <rPr>
        <rFont val="Arial Narrow"/>
        <color theme="1"/>
        <sz val="10.0"/>
        <u/>
      </rPr>
      <t>Bobiț D</t>
    </r>
    <r>
      <rPr>
        <rFont val="Arial Narrow"/>
        <color theme="1"/>
        <sz val="10.0"/>
      </rPr>
      <t>, Antofie M.M, Barbu H, Pavel P.B, Muntean L, Savatti M.</t>
    </r>
  </si>
  <si>
    <t>Hanganu, D., Vlase, L., Filip, L., Sand, C., Mirel, S., &amp; Indrei, L. L</t>
  </si>
  <si>
    <t>. (2008). The study of some polyphenolic compounds from Melissa officinalis L.(Lamiaceae). Rev Med Chir Soc Med Nat Iasi, 112(2), 525-529.</t>
  </si>
  <si>
    <t>Issaoui, M., Delgado, A. M., Iommi, C., &amp; Chammem, N. (2020). Dietary Intakes of Polyphenols in Selected Vegetables and Fruits. In Polyphenols and the Mediterranean Diet (pp. 33-54). Springer, Cham.</t>
  </si>
  <si>
    <t>https://link.springer.com/chapter/10.1007/978-3-030-41134-3_3</t>
  </si>
  <si>
    <t>Issaoui, M., Delgado, A. M., Iommi, C., &amp; Chammem, N. (2020). Polyphenols and the Mediterranean Diet. Cham, Switzerland: Springer.</t>
  </si>
  <si>
    <t>https://link.springer.com/chapter/10.1007/978-3-030-16807-0_126</t>
  </si>
  <si>
    <t>Ghiulai, R., Avram, S., Stoian, D., Pavel, I. Z., Coricovac, D., Oprean, C., ... &amp; Sima, L. (2020). Lemon Balm Extracts Prevent Breast Cancer Progression In Vitro and In Ovo on Chorioallantoic Membrane Assay. Evidence-Based Complementary and Alternative Medicine, 2020.</t>
  </si>
  <si>
    <t>https://apps-webofknowledge-com.am.e-nformation.ro/Search.do?product=UA&amp;SID=F4UfUWjXqCoNQ7udzOt&amp;search_mode=GeneralSearch&amp;prID=ad1316f1-5d2b-451b-a7b0-b1f6a3582783</t>
  </si>
  <si>
    <t>STANCIU, M., CIORTEA, G., SAND, C., VLAD, I., ANTONIE, I., TĂNASE, M., &amp; BLAJ, R.</t>
  </si>
  <si>
    <t xml:space="preserve"> (2012). Assessments regarding sustainable developement on ecoeconomic and bioeconomic principles, of the local communities in the sheep breeding villages from “Drumul regelui”(King's road). Economy and Agricultural Policies, Rural Development, Rural Tourism, Rural Legislation, Agricultural Extension, 169.</t>
  </si>
  <si>
    <t>MARCUTA, A., MARCUTA, L., POPESCU, A., TINDECHE, C., TUDOR, V., &amp; SMEDESCU, D. (2020). POSSIBILITIES OF DEVELOPMENT OF THE SLOW TOURISM CONCEPT IN ROMANIA. Scientific Papers: Management, Economic Engineering in Agriculture &amp; Rural Development, 20(4).</t>
  </si>
  <si>
    <t>https://apps-webofknowledge-com.am.e-nformation.ro/Search.do?product=UA&amp;SID=F4UfUWjXqCoNQ7udzOt&amp;search_mode=GeneralSearch&amp;prID=081976a6-4160-4573-bc25-d88aee9dae08</t>
  </si>
  <si>
    <t>Pop, M. R., Sand, C., Barbu, H., Balan, M., Grusea, A., Boeriu, H., &amp; POPA, A.</t>
  </si>
  <si>
    <t xml:space="preserve"> (2010). Correlations between productivity elements in Lolium perenne L. species for new varieties resistant to drought. Analele Universitatii din Oradea–Fascicula Biologie, 17(1), 183-185.</t>
  </si>
  <si>
    <t>Sánchez, M. (2020). Vigor inicial de cuatro variedades de trigo (Triticum aestivum L.) y su incidencia en la habilidad competitiva de ryegrass perenne (Lolium perenne L.) resistente a glifosato (Doctoral dissertation, Facultad de Ciencias Agrarias y Forestales).</t>
  </si>
  <si>
    <t>http://sedici.unlp.edu.ar/handle/10915/101503</t>
  </si>
  <si>
    <t>Galussi, A. A., Moya, M. E., Gillij, Y. G., Prand, M. F., Marchese, F. G., &amp; Hornos, M. N. (2020). Atributos de la inflorescencia y disemínulos de Chascolytrum subaristatum (Lam.) Desv. Pastos y Forrajes, 43(2), 129-135.</t>
  </si>
  <si>
    <t>http://scielo.sld.cu/scielo.php?script=sci_arttext&amp;pid=S0864-03942020000200129</t>
  </si>
  <si>
    <t>Tănase, M., Sand, C., &amp; Ciortea, G</t>
  </si>
  <si>
    <t>. (2012). The economic impact of cuscuta: damages and usages. Revista Economica, (Suppl. 6), 45-49.</t>
  </si>
  <si>
    <t>Başbağ, S., &amp; Ekinci, R. KENEVİR TARIMI. 61-84</t>
  </si>
  <si>
    <t>https://www.researchgate.net/profile/Remzi-Ekinci/publication/347913757_KENEVIR_TARIMI/links/5fe72e23299bf14088456f31/KENEVIR-TARIMI.pdf</t>
  </si>
  <si>
    <t>THE POSITION OF AGRICULTURE, AGRO-FOOD SYSTEM AND NATIONAL ECONOMY, SCIENTIFIC PAPERS-SERIES MANAGEMENT ECONOMIC ENGINEERING IN AGRICULTURE AND RURAL DEVELOPMENT,
Volume: 17 Issue: 1 Pages: 413-417, 2017</t>
  </si>
  <si>
    <t>Salimova, G., Ableeva, A.; Lubova, T.; Zalilova, Z.; Sharafutdinov, A.,The Role of Agriculture in Gross Added Value, MONTENEGRIN JOURNAL OF ECONOMICS, Volume: 16 Issue: 1 Pages: 183-191, DOI: 10.14254/1800-5845/2020.16-1.12,  2020</t>
  </si>
  <si>
    <t>chrome-extension://dagcmkpagjlhakfdhnbomgmjdpkdklff/enhanced-reader.html?openApp&amp;pdf=http%3A%2F%2Fmnje.com%2Fsites%2Fmnje.com%2Ffiles%2F183-_191_-_salimova_et_al._-_rrr.pdf</t>
  </si>
  <si>
    <t>PARTICULARITIES REGARDING THE CALCULATION AND PROFITABILITY ANALYSIS OF FARMS,SCIENTIFIC PAPERS-SERIES MANAGEMENT ECONOMIC ENGINEERING IN AGRICULTURE AND RURAL DEVELOPMENT   Volume: ‏ 15   Issue: 1,  2015</t>
  </si>
  <si>
    <t>Cărătuș Stanciu Mirela, THE MAIN CHARACTERISTICS OF AGRICULTURE AND RURAL DEVELOPMENT IN THE CENTRAL REGION OF ROMANIA, SCIENTIFIC PAPERS-SERIES MANAGEMENT ECONOMIC ENGINEERING IN AGRICULTURE AND RURAL DEVELOPMENT   Volume: ‏ 20   Issue: ‏ 4   Pages: ‏ 131-138   Published: ‏ 2020</t>
  </si>
  <si>
    <t>Analysis of the elements of the production costs. Scientific
Papers: Management, Economic Engineering in Agriculture &amp; Rural
Development, 17(1)</t>
  </si>
  <si>
    <t>Aplicación de herramientas de ingeniería de métodos para
reducir costos de producción en la empresa Stranvid S.A.C.
Lima – Ate 2020, Ramírez Mejía, Daril (ORCID: 0000-0001-5393-7698), 165 p., 2020</t>
  </si>
  <si>
    <t>https://repositorio.ucv.edu.pe/bitstream/handle/20.500.12692/51599/Ram%C3%ADrez_MD-SD.pdf?sequence=1</t>
  </si>
  <si>
    <t>Google Academic</t>
  </si>
  <si>
    <t xml:space="preserve">Green  Prices  –  a  Reflection  of  Environmental  Protection.  Scientific  Papers  Series  Management. Economic Engineering in Agriculture and Rural Development, 14(3). </t>
  </si>
  <si>
    <t>Effendi, Mohamad Irhas; Sugandini, Dyah; Sukarno, Agus; Kundarto, Muhamad., The Antecedent of Environmental Attitude, Journal of Environmental Management &amp; Tourism; Craiova Vol. 11, Iss. 6,  (Fall 2020): 1581-1587. DOI:10.14505/jemt.v11.6(46).28</t>
  </si>
  <si>
    <t>https://search.proquest.com/docview/2473428341/fulltextPDF/FB241037D69B4E1FPQ/1?accountid=8083</t>
  </si>
  <si>
    <t>ProQuest,Google Academic</t>
  </si>
  <si>
    <t>Current State and Perspective in the Models Applicable to Oenology</t>
  </si>
  <si>
    <t>International Journal of Food Science &amp; Technology (  Voahangy Ramanandraibe, Maonja Finaritra Rakotondramanga,Herve Fidele Alson,Jean Vareine Andriamirijatsimanadinosoa,Tovo Mbolatiana Andrianjafy,Estelle Metay and Marc Lemaire, International Journal of Food Science and Technology )</t>
  </si>
  <si>
    <t>https://ifst.onlinelibrary.wiley.com/doi/abs/10.1111/ijfs.14793</t>
  </si>
  <si>
    <t>The alcoholic fermentation process temperature automatic control</t>
  </si>
  <si>
    <t>2018 International Conference on Recent Innovations in Electrical, Electronics &amp; Communication Engineering (ICRIEECE) (L. Franklin Salazar; Carlos Sánchez; Geovanni Brito; Homero J. Velasteguí; Jorge Buele; Angel Soria; Remote Control and Monitoring of an Academic Station Using a Low-Cost Embedded Device; 2018 International Conference on Recent Innovations in Electrical, Electronics &amp; Communication Engineering (ICRIEECE))</t>
  </si>
  <si>
    <t>https://ieeexplore.ieee.org/document/9008417/authors#authors</t>
  </si>
  <si>
    <t xml:space="preserve">Nicula V.(ULBS),, Spânu Simona(ULBS) </t>
  </si>
  <si>
    <t>Rural tourism and agritourism - forms of sustainable development in Mărginimea Sibiului, 2015</t>
  </si>
  <si>
    <t>D Dašić, D Živković, T Vujić - Економика пољопривреде, Rural tourism in development function of rural areas in Serbia</t>
  </si>
  <si>
    <t>https://www.cyberleninka.ru</t>
  </si>
  <si>
    <t>ula V.(ULBS),, Spânu Simona (ULBS), Neagu R.E. (ULBS</t>
  </si>
  <si>
    <t>Regional tourism development in Romania–consistency with policies and strategies developed at EU level</t>
  </si>
  <si>
    <t>Journal of Hospitality, Leisure, Sport &amp; Tourism Education, Sebatian Vaduva, Samuel Echevarria-Cruz, Joseph Takacs, The economic and social impact of a university education upon the development of the Romanian tourism industry, vol. 27, 2020</t>
  </si>
  <si>
    <t>https://www.sciencedirect.com/journal/journal-of-hospitality-leisure-sport-and-tourism-education/vol/27/suppl/C</t>
  </si>
  <si>
    <t>Human Geographies -- Journal of Studies &amp; Research in Human Geography, TF Pîrghie, E Matei, Importance of environment quality in sustainable tourism destinations: the young tourists' perception.</t>
  </si>
  <si>
    <t>Human Geographies -- Journal of Studies &amp; Research in Human Geography . Nov2020, Vol. 14 Issue 2, p289-300. 12p.</t>
  </si>
  <si>
    <t>www.ebscohost.com</t>
  </si>
  <si>
    <t xml:space="preserve">Nicula V.(ULBS),, Spânu Simona (ULBS), Neagu R.E. (ULBS) </t>
  </si>
  <si>
    <t>Proceedings of the XIII International Scientific Conference on Architecture, V Provotorina, L Kazmina, A Petrenko, Development of the Hotel Business as a Component of the Regional Tourism Industry</t>
  </si>
  <si>
    <t>Proceedings of the XIII International Scientific Conference on Architecture and Construction 2020</t>
  </si>
  <si>
    <t>https://link.springer.com/chapter/10.1007/978-981-33-6208-6_3</t>
  </si>
  <si>
    <t>Proceedings of the XIII International Scientific Conference on Architecture, Development of the Hotel Business as a Component of the Regional Tourism Industry</t>
  </si>
  <si>
    <t>https://books.google.ro/books?hl=ro&amp;lr=&amp;id=tckQEAAAQBAJ&amp;oi=fnd&amp;pg=PA20&amp;ots=UusShy_ooz&amp;sig=-ltssfjMSNPzpyU0zrgupz</t>
  </si>
  <si>
    <t>Proceedings of the 3rd Asia Pacific Management Research Conference, R Retnosary, Nor Zafir Bt Md Salle,h Government Responsibility as the Main Stakeholder in Tourism Development With Collaboration Approach: Literature Review on Heritage Tourism</t>
  </si>
  <si>
    <t>https://www.atlantis-press.com/proceedings/apmrc-19/125943240</t>
  </si>
  <si>
    <t>file:///C:/Users/Simona/AppData/Local/Temp/125943240.pdf</t>
  </si>
  <si>
    <t>ula V.(ULBS),, Spânu Simona (ULBS)</t>
  </si>
  <si>
    <t>Ways of promoting cultural ecotourism for local communities in Sibiu area</t>
  </si>
  <si>
    <t>Empowerment Program Design in Edutourism Management Post Pandemic Covid 19AI Sulaiman, C Chusmeru, TN Adi, PIP Jati</t>
  </si>
  <si>
    <t>https://j.ideasspread.org/index.php/jems/article/view/658</t>
  </si>
  <si>
    <t xml:space="preserve"> International Journal of Economics and Finance Studies, P Mnini, T Ramoroka, Challenges Of Ecotourism And Poverty Alleviation In South Africa</t>
  </si>
  <si>
    <t>http://ijefs.org/index.php/ojs/article/view/36</t>
  </si>
  <si>
    <t>Spânu Simona (ULBS), Florea M. (ULBS)</t>
  </si>
  <si>
    <t>Analysis of the aquaculture sector at the level of Giurgiu county</t>
  </si>
  <si>
    <t>Sustainability, 2020, S Gunnarsson, KA Segerkvist, T Wallgren, P Hjelmstedt, Systematic Mapping of Research on Farm-Level Sustainability in Finfish Aquaculture</t>
  </si>
  <si>
    <t>www.mdpi.com</t>
  </si>
  <si>
    <t>Nicula V.(ULBS), Spânu Simona (ULBS), Ciortea Gligor</t>
  </si>
  <si>
    <t>FSEC3</t>
  </si>
  <si>
    <t xml:space="preserve"> Ghidul eco-pensiunii agroturistice</t>
  </si>
  <si>
    <t>Popșa Roxana-Elena , The Impact of roural tourism on the socio-economic development of local communities , Revista Economica 72:4 (2020)</t>
  </si>
  <si>
    <t>http://economice.ulbsibiu.ro/</t>
  </si>
  <si>
    <t xml:space="preserve"> RePeC, Ulrich's Periodicals Directory, Directory for Open Access Journals (DOAJ)</t>
  </si>
  <si>
    <t>The Need to Approach the Management of the Tourist Destination by the Central and Local Public Authorities in Romania</t>
  </si>
  <si>
    <t>Review of Integrative Business and Economics Research,  Vol. 9, Supplementary Issue 3, Joreen T. Rocamora, Hector M. Aguiling, Competencies of Tourism Officers in the Philippines: Toward a Development of Competency Model for Managing Destinations in Public Governance</t>
  </si>
  <si>
    <t>http://buscompress.com/uploads/3/4/9/8/34980536/riber_9-s3_04_h19-111_20-66.pdf</t>
  </si>
  <si>
    <t>Nicula V.(ULBS), Spânu Simona (ULBS)</t>
  </si>
  <si>
    <t>Rural and Gastronomical Tourism in Baltic Countries</t>
  </si>
  <si>
    <t>Ažukaitė, Viktė, Kaimo turizmo apgyvendinimo paslaugų pardavimų skatinimas, Master‘s Thesis, 
Lithuanian, 2020</t>
  </si>
  <si>
    <t>vb.lsu.lt</t>
  </si>
  <si>
    <t>7,50</t>
  </si>
  <si>
    <t>The Role of Partnerships in the Development of the Short Chains of Organic Honey Distribution</t>
  </si>
  <si>
    <t>P Vrabcová, M Hájek, The Economic Value of the Ecosystem Services of Beekeeping in the Czech Republic,  Sustainability, 2020 - mdpi.com</t>
  </si>
  <si>
    <t>Nicula, V.(ULBS),, Spânu Simona (ULBS),  Neagu, R. E. (ULBS),</t>
  </si>
  <si>
    <t>Regional Tourism Development in Romania - Consistency with Policies and Strategies Developed at EU Level .</t>
  </si>
  <si>
    <t xml:space="preserve">Mirea C., Nistoreanu P.,  The Correlation between regional tourism and the  South-Muntenia community, </t>
  </si>
  <si>
    <t>https://www.researchgate.net/publication/344469594</t>
  </si>
  <si>
    <t>Ways to promoting rural, cultural and gastronomical tourism in Mărginimea Sibiului</t>
  </si>
  <si>
    <t xml:space="preserve">Destination Management and Marketing: Breakthroughs in Research and Practice. </t>
  </si>
  <si>
    <t>IGI Global, 2020. 1206-1214.</t>
  </si>
  <si>
    <t>Tufeanu, R. E., Tita, M. A., Tita, O</t>
  </si>
  <si>
    <t xml:space="preserve"> Muffins Obtained with Some Vegetal Powders as Fat Replacers</t>
  </si>
  <si>
    <t xml:space="preserve"> Samokhvalova O., Kucheruk Z., Kasabova K., Oliinyk S., Shmatchenko N., MANUFACTURING APPROACHES TO MAKING MUFFINS OF HIGH NUTRITIONAL VALUE,  Technology audit and production reserves, Nr.6/3 (56), ISSN:2664-9969,p.47-51, DOI: 10.15587/2706-5448.2020.221095, </t>
  </si>
  <si>
    <t>http://journals.uran.ua/tarp/article/view/221095</t>
  </si>
  <si>
    <t>Ebsco,  WorldCat, Doaj, CrossRef, Scholar Article Journal Index (SAJI),</t>
  </si>
  <si>
    <t>6. Mihaela Tiţa, Roxana Tufeanu, Ovidiu Tiţa, Dan Miricescu</t>
  </si>
  <si>
    <t>Quality parameters of dairy wastewater in the mureş county Romania</t>
  </si>
  <si>
    <t>Iuliana Gabriela Breaban, Ana Ioana Breaban, Causes and Effects of Water Pollution in Romania, Water Resources Management in Romania pp 57-ISBN 978-3-030-22319-9131,https://doi.org/10.1007/978-3-030-22320-5_3,</t>
  </si>
  <si>
    <t>https://link.springer.com/chapter/10.1007/978-3-030-22320-5_3</t>
  </si>
  <si>
    <t>GL Mihalca, O Tita, M Tita, Ana Mihalca(Colegiul pt Agricultura si I.A. Tara Barsei Prejmer)</t>
  </si>
  <si>
    <t>Effect of dietary alpha-tocopheryl acetate on alpha-tocopherol content of novel omega-3-enhanced farmed rainbow trout (Oncorhynchus mykiss) fillets</t>
  </si>
  <si>
    <r>
      <rPr>
        <rFont val="Times New Roman"/>
        <color rgb="FF000000"/>
        <sz val="7.0"/>
      </rPr>
      <t xml:space="preserve"> </t>
    </r>
    <r>
      <rPr>
        <rFont val="Times New Roman"/>
        <color rgb="FF000000"/>
        <sz val="12.0"/>
      </rPr>
      <t xml:space="preserve">Albert G.J.Tacon, Daniel Lemos, Marc Metian,Fish for Health: Improved Nutritional Quality of Cultured Fish for Human Consumption, </t>
    </r>
    <r>
      <rPr>
        <rFont val="Times New Roman"/>
        <color rgb="FF000000"/>
        <sz val="14.0"/>
      </rPr>
      <t>Reviews in Fisheries Science &amp; Aquaculture Volume 28, 2020 - Issue 4</t>
    </r>
  </si>
  <si>
    <t>https://www.tandfonline.com/doi/ref/10.1080/23308249.2020.1762163?scroll=top</t>
  </si>
  <si>
    <t>Web of Science</t>
  </si>
  <si>
    <t>Polycyclic aromatic hydrocarbons (PAHs) in smoked fish from three smoke-houses in Braşov County</t>
  </si>
  <si>
    <t>Jelena Babić, Suzana Vidaković, Marija Bošković, Milica Glišić, BrankicaKartalović, Snežana Škaljac, Aleksandra Nikolić, Miroslav Ćirković &amp; VladoTeodorović, Content of Polycyclic Aromatic Hydrocarbonsin Smoked Common Carp (Cyprinus Carpio) in Direct Conditions Using Different Filters vs Indirect Conditions, Polycyclic Aromatic Compounds, Volume 40, 2020, Issue3,  ISSN: 1040-6638</t>
  </si>
  <si>
    <t>https://www.tandfonline.com/doi/ref/10.1080/10406638.2018.1506991?scroll=top</t>
  </si>
  <si>
    <t>Web of Science,Scopus</t>
  </si>
  <si>
    <t>Olusola Adedayo Adesina, Level of Polycyclic Aromatic Hydrocarbon inSmoked Food Materials from Roadside Barbeque Spots in Western Nigeria and Health Implication, Polycyclic Aromatic Compounds, Volume 40, 2020 -Issue 3, ISSN: 1040-6638,</t>
  </si>
  <si>
    <t>https://www.tandfonline.com/doi/ref/10.1080/10406638.2020.1821721?scroll=top</t>
  </si>
  <si>
    <t>Web of Science, Scopus</t>
  </si>
  <si>
    <t>  Lochan Singh, Tripti Agarwal, J.Simal-Gandarab, PAHs, diet and cancer prevention: Cooking process driven-strategies, Trends in Food Science &amp; Technology Volume 99, May 2020, Pages 487-506, ISSN: 0924-2244,</t>
  </si>
  <si>
    <t>https://apps-webofknowledge-com.am.e-nformation.ro/summary.do?product=WOS&amp;parentProduct=WOS&amp;search_mode=CitedRefList&amp;parentQid=5&amp;qid=7&amp;SID=C2wTU8Gt2PQwPpojyid&amp;colName=WOS&amp;&amp;page=3</t>
  </si>
  <si>
    <t xml:space="preserve">TIŢA MIHAELA-ADRIANA, LETIŢIA, OPREAN, ECATERINA, LENGYEL, RAMONA MARIA IANCU, OVIDIU, TIŢA, CORINA SIMIAN (University of Chicago, U.S.A). </t>
  </si>
  <si>
    <t xml:space="preserve">Studies concerning the  hygiene  conditions  from  the  Sadu  farm,  Romania. </t>
  </si>
  <si>
    <r>
      <rPr>
        <rFont val="Times New Roman"/>
        <color theme="1"/>
        <sz val="12.0"/>
      </rPr>
      <t>G</t>
    </r>
    <r>
      <rPr>
        <rFont val="Calibri"/>
        <color theme="1"/>
        <sz val="11.0"/>
      </rPr>
      <t>HEORGHE PUCHIANU, VALENTIN NECULA , DORIN  VALTER ENACHE, MIHAI DANEŞ, MIRABELA LUPU</t>
    </r>
    <r>
      <rPr>
        <rFont val="Arial"/>
        <color rgb="FF000000"/>
        <sz val="9.0"/>
      </rPr>
      <t xml:space="preserve">, </t>
    </r>
    <r>
      <rPr>
        <rFont val="Times New Roman"/>
        <color rgb="FF000000"/>
        <sz val="12.0"/>
      </rPr>
      <t xml:space="preserve">Researches  regarding  the  active  and  passive </t>
    </r>
    <r>
      <rPr>
        <rFont val="Calibri"/>
        <color theme="1"/>
        <sz val="11.0"/>
      </rPr>
      <t>monitoring of aeromicroflora in milling and bread manufacturing, R</t>
    </r>
    <r>
      <rPr>
        <rFont val="Arial"/>
        <color rgb="FF000000"/>
        <sz val="11.0"/>
      </rPr>
      <t>om  Biotechnol Lett. 2020; 25(2): 1465</t>
    </r>
    <r>
      <rPr>
        <rFont val="Calibri"/>
        <color theme="1"/>
        <sz val="11.0"/>
      </rPr>
      <t xml:space="preserve">-1472 </t>
    </r>
  </si>
  <si>
    <t xml:space="preserve"> https://www.e-repository.org/rbl/vol.25/iss.2/20.pdf</t>
  </si>
  <si>
    <t>Tiţa Mihaela , Ketney Otto , Tita Ovidiu , Ramzan Muhammad</t>
  </si>
  <si>
    <t>The influence of the degree of cheese maturation used as raw materials in the manufacture of processed traditional cheese on emulsifying salts consumption</t>
  </si>
  <si>
    <r>
      <rPr>
        <rFont val="Times New Roman"/>
        <color theme="1"/>
        <sz val="12.0"/>
      </rPr>
      <t>Ashraf Gaber Mohamed</t>
    </r>
    <r>
      <rPr>
        <rFont val="Times New Roman"/>
        <color rgb="FF000000"/>
        <sz val="12.0"/>
      </rPr>
      <t xml:space="preserve"> , </t>
    </r>
    <r>
      <rPr>
        <rFont val="Times New Roman"/>
        <color theme="1"/>
        <sz val="12.0"/>
      </rPr>
      <t>Osama Abd El</t>
    </r>
    <r>
      <rPr>
        <rFont val="Cambria Math"/>
        <color theme="1"/>
        <sz val="12.0"/>
      </rPr>
      <t>‐</t>
    </r>
    <r>
      <rPr>
        <rFont val="Times New Roman"/>
        <color theme="1"/>
        <sz val="12.0"/>
      </rPr>
      <t>Hamid Ibrahim</t>
    </r>
    <r>
      <rPr>
        <rFont val="Times New Roman"/>
        <color rgb="FF000000"/>
        <sz val="12.0"/>
      </rPr>
      <t xml:space="preserve"> , </t>
    </r>
    <r>
      <rPr>
        <rFont val="Times New Roman"/>
        <color theme="1"/>
        <sz val="12.0"/>
      </rPr>
      <t>Walid A. M. S. Gafour</t>
    </r>
    <r>
      <rPr>
        <rFont val="Times New Roman"/>
        <color rgb="FF000000"/>
        <sz val="12.0"/>
      </rPr>
      <t xml:space="preserve"> , </t>
    </r>
    <r>
      <rPr>
        <rFont val="Times New Roman"/>
        <color theme="1"/>
        <sz val="12.0"/>
      </rPr>
      <t>Eman S. A. Farahat</t>
    </r>
    <r>
      <rPr>
        <rFont val="Times New Roman"/>
        <b/>
        <color rgb="FF000000"/>
        <sz val="12.0"/>
      </rPr>
      <t xml:space="preserve">, </t>
    </r>
    <r>
      <rPr>
        <rFont val="Times New Roman"/>
        <color rgb="FF000000"/>
        <sz val="12.0"/>
      </rPr>
      <t>Comparative study of processed cheese produced from sheep and cow milk, Journal of Food Processing and preservation, Volume 45, Issue 1</t>
    </r>
    <r>
      <rPr>
        <rFont val="Times New Roman"/>
        <b/>
        <color rgb="FF000000"/>
        <sz val="12.0"/>
      </rPr>
      <t xml:space="preserve">, </t>
    </r>
    <r>
      <rPr>
        <rFont val="Times New Roman"/>
        <color rgb="FF000000"/>
        <sz val="12.0"/>
      </rPr>
      <t>https://doi.org/10.1111/jfpp.15003</t>
    </r>
  </si>
  <si>
    <t>https://apps-webofknowledge-com.am.enformation.ro/full_record.do?product=WOS&amp;search_mode=GeneralSearch&amp;qid=18&amp;SID=C2wTU8Gt2PQwPpojyid&amp;page=1&amp;doc=1</t>
  </si>
  <si>
    <t>Muhammad Ramzan, Huma Nuzhat(University of Agriculture, Faisalabad,Pakistan ), Mihaela Tita, Ovidiu Tita</t>
  </si>
  <si>
    <t>  Evaluation of volatile flavouring compounds in Cheddar cheese, manufactured by using Lactobacillus rhamnosus as an adjunct culture,</t>
  </si>
  <si>
    <t>Flavor-enhancing Lactobacillus rhamnosus, uciana Jimenez , Paris ( FR ) ; Gunnar Oeregaard , Vaerloese ( DK ) ; Jeorgos Trihaas , Oelsted ( DK ) ; Gaelle Lettier Buchhorn , Virum ( DK ) ; Ditte Marie Brandt , Valby ( DK ) ; Ditte Marie Folkenberg , Hilleroed         ( DK ) ; Birgitte Vedel Thage , Graested ( DK), Google Patents, US010653161B2 United States , WO2012136832A1
Patent, May 19 , 2020</t>
  </si>
  <si>
    <t>https://patents.google.com/patent/US10653161B2/en#patentCitations</t>
  </si>
  <si>
    <t>Patent</t>
  </si>
  <si>
    <r>
      <rPr>
        <rFont val="Arial"/>
        <color theme="1"/>
        <sz val="11.0"/>
      </rPr>
      <t>TIŢA MIHAELA-ADRIANA, LETIŢIA, OPREAN, ECATERINA, LENGYEL, RAMONA MARIA IANCU, OVIDIU, TIŢA, CORINA SIMIAN (</t>
    </r>
    <r>
      <rPr>
        <rFont val="Calibri"/>
        <color rgb="FF000000"/>
        <sz val="12.0"/>
      </rPr>
      <t>University of Chicago, U.S.A)</t>
    </r>
    <r>
      <rPr>
        <rFont val="Arial"/>
        <color rgb="FF000000"/>
        <sz val="11.0"/>
      </rPr>
      <t xml:space="preserve">. </t>
    </r>
  </si>
  <si>
    <t>Studies concerning the  hygiene  conditions  from  the  Sadu  farm,  Romania</t>
  </si>
  <si>
    <r>
      <rPr>
        <rFont val="Times New Roman"/>
        <color theme="1"/>
        <sz val="12.0"/>
      </rPr>
      <t>GHEORGHE PUCHIANU, VALENTIN NECULA , DORIN  VALTER ENACHE, MIHAI DANEŞ, MIRABELA LUPU</t>
    </r>
    <r>
      <rPr>
        <rFont val="Arial"/>
        <color rgb="FF000000"/>
        <sz val="9.0"/>
      </rPr>
      <t xml:space="preserve">, </t>
    </r>
    <r>
      <rPr>
        <rFont val="Times New Roman"/>
        <color rgb="FF000000"/>
        <sz val="12.0"/>
      </rPr>
      <t>Researches  regarding  the  active  and  passive monitoring of aeromicroflora in milling and bread manufacturing, R</t>
    </r>
    <r>
      <rPr>
        <rFont val="Arial"/>
        <color rgb="FF000000"/>
        <sz val="11.0"/>
      </rPr>
      <t>om  Biotechnol Lett. 2020; 25(2): 1465-1472</t>
    </r>
  </si>
  <si>
    <t>Bogdan N., Ovidiu T., Mihai N., Mihaela T., Mirela H. Ionela M</t>
  </si>
  <si>
    <t>Identification of probiotic strains from human milk in breasted infants with respiratory infections</t>
  </si>
  <si>
    <t>MANAL SAMI EL SAYED HASSAN, Detection of probiotic microorganisms using rt-pcr, and isolation, identification, probiotic properties of lactobacillusspecies from kefir, A THESIS SUBMITTED TOTHE GRADUATE SCHOOL OF NATURAL AND APPLIED SCIENCESOFMIDDLE EAST TECHNICAL UNIVERSITY</t>
  </si>
  <si>
    <t>https://open.metu.edu.tr/bitstream/handle/11511/69119/12625908.pdf</t>
  </si>
  <si>
    <t xml:space="preserve"> phD Thesis</t>
  </si>
  <si>
    <r>
      <rPr>
        <rFont val="Times New Roman"/>
        <color theme="1"/>
        <sz val="10.0"/>
      </rPr>
      <t>Andreea-Adriana Neamtu -</t>
    </r>
    <r>
      <rPr>
        <rFont val="Times New Roman"/>
        <i/>
        <color theme="1"/>
        <sz val="10.0"/>
      </rPr>
      <t xml:space="preserve">University of Oradea, Romania; </t>
    </r>
    <r>
      <rPr>
        <rFont val="Times New Roman"/>
        <color theme="1"/>
        <sz val="10.0"/>
      </rPr>
      <t>Rita Szoke-Kovacs -</t>
    </r>
    <r>
      <rPr>
        <rFont val="Times New Roman"/>
        <i/>
        <color theme="1"/>
        <sz val="10.0"/>
      </rPr>
      <t xml:space="preserve"> University of Debrecen, Hungary</t>
    </r>
    <r>
      <rPr>
        <rFont val="Times New Roman"/>
        <color theme="1"/>
        <sz val="10.0"/>
      </rPr>
      <t xml:space="preserve">; Emoke Mihok - University of Debrecen, Hungary; Cecilia Georgescu - “Lucian Blaga” University of Sibiu, Romania; Violeta Turcus - “Vasile Goldis” Western University of Arad, Romania; Neli Kinga Olah - Faculty of Pharmacy, “Vasile Goldis” Western University of Arad, Romania; Adina Frum - “Lucian Blaga” University of Sibiu, Romania; </t>
    </r>
    <r>
      <rPr>
        <rFont val="Times New Roman"/>
        <b/>
        <color theme="1"/>
        <sz val="10.0"/>
      </rPr>
      <t>Ovidiu Tita</t>
    </r>
    <r>
      <rPr>
        <rFont val="Times New Roman"/>
        <color theme="1"/>
        <sz val="10.0"/>
      </rPr>
      <t xml:space="preserve"> - “Lucian Blaga” University of Sibiu, Romania; Carmen Neamtu - “Vasile Goldis” Western University of Arad, Romania; Zsombor Szoke-Kovacs - University of Debrecen, Hungary; Zoltan Cziaky - University of Nyiregyhaza, Hungary; Endre Mathe -University of Debrecen, Hungary </t>
    </r>
  </si>
  <si>
    <r>
      <rPr>
        <rFont val="Times New Roman"/>
        <color rgb="FF333333"/>
        <sz val="10.0"/>
      </rPr>
      <t>Bilberry (</t>
    </r>
    <r>
      <rPr>
        <rFont val="Times New Roman"/>
        <i/>
        <color rgb="FF333333"/>
        <sz val="10.0"/>
      </rPr>
      <t>Vaccinium myrtillus</t>
    </r>
    <r>
      <rPr>
        <rFont val="Times New Roman"/>
        <color rgb="FF333333"/>
        <sz val="10.0"/>
      </rPr>
      <t> L.) Extracts Comparative Analysis Regarding Their Phytonutrient Profiles, Antioxidant Capacity along with the In Vivo Rescue Effects Tested on a </t>
    </r>
    <r>
      <rPr>
        <rFont val="Times New Roman"/>
        <i/>
        <color rgb="FF333333"/>
        <sz val="10.0"/>
      </rPr>
      <t>Drosophila melanogaster</t>
    </r>
    <r>
      <rPr>
        <rFont val="Times New Roman"/>
        <color rgb="FF333333"/>
        <sz val="10.0"/>
      </rPr>
      <t> High-Sugar Diet Model</t>
    </r>
  </si>
  <si>
    <t xml:space="preserve">G Lin, M Li, N Xu, X Wu, J Liu, Y Wu, Q Zhang, Anti-Inflammatory Effects of Heritiera littoralis Fruits on Dextran Sulfate Sodium- (DSS-) Induced Ulcerative Colitis in Mice by Regulating Gut Microbiota and Suppressing NF-κB Pathway, Hindawi BioMed Research International </t>
  </si>
  <si>
    <t>https://www.hindawi.com/journals/bmri/2020/8893621/</t>
  </si>
  <si>
    <t>https://www.hindawi.com/journals/bmri/ai/</t>
  </si>
  <si>
    <r>
      <rPr>
        <rFont val="Times New Roman"/>
        <color theme="1"/>
        <sz val="10.0"/>
      </rPr>
      <t xml:space="preserve">Alexandru Bogdan Ciubara, Razvan Cosmin Tudor, Luiza Nechita, </t>
    </r>
    <r>
      <rPr>
        <rFont val="Times New Roman"/>
        <b/>
        <color rgb="FF000000"/>
        <sz val="10.0"/>
      </rPr>
      <t>Ovidiu Tita</t>
    </r>
    <r>
      <rPr>
        <rFont val="Times New Roman"/>
        <color rgb="FF000000"/>
        <sz val="10.0"/>
      </rPr>
      <t>, Anamaria Ciubara, Serban Turliuc, Gheorghe Raftu</t>
    </r>
  </si>
  <si>
    <t>The composition of bioactive compounds in wine and their possible influence on osteoporosis and on bone consolidation</t>
  </si>
  <si>
    <t>Codrina MORARU, Ionuţ-Dragoş RĂDULESCU, Alina-Ioana VOINEA, Mirona-Letiţia DOBRI, Gabriela RUSU-ZOTA, Petronela NECHITABRAIN.,Latent Aggression and Impulsive Manifestations of the Psychiatric Patient. Clinical, Legal and Ethical Aspects,  Broad Research in Artificial Intelligence and Neuroscience</t>
  </si>
  <si>
    <t>https://www.edusoft.ro/brain/index.php/brain/article/view/1047/1214</t>
  </si>
  <si>
    <t>https://lumenpublishing.com/journals/index.php/brain/     , Web of Science ESCI</t>
  </si>
  <si>
    <r>
      <rPr>
        <rFont val="Times New Roman"/>
        <color theme="1"/>
        <sz val="10.0"/>
      </rPr>
      <t xml:space="preserve">Alexandru Bogdan Ciubara, Razvan Cosmin Tudor, Luiza Nechita, </t>
    </r>
    <r>
      <rPr>
        <rFont val="Times New Roman"/>
        <b/>
        <color rgb="FF000000"/>
        <sz val="10.0"/>
      </rPr>
      <t>Ovidiu Tita</t>
    </r>
    <r>
      <rPr>
        <rFont val="Times New Roman"/>
        <color rgb="FF000000"/>
        <sz val="10.0"/>
      </rPr>
      <t>, Anamaria Ciubara, Serban Turliuc, Gheorghe Raftu</t>
    </r>
  </si>
  <si>
    <t>Iuliana Spiridon, Extraction of lignin and therapeutic applications of lignin-derived compounds. A review, Environmental Chemistry Letters , DOI: 10.1007/s10311-020-00981-3</t>
  </si>
  <si>
    <t>https://link.springer.com/article/10.1007/s10311-020-00981-3</t>
  </si>
  <si>
    <t>SCOPUS, Science Citation Index Expanded (SciSearch), https://www.springer.com/journal/10311</t>
  </si>
  <si>
    <r>
      <rPr>
        <rFont val="Times New Roman"/>
        <color theme="1"/>
        <sz val="10.0"/>
      </rPr>
      <t xml:space="preserve">E Tufeanu, Mihaela A TIŢA, </t>
    </r>
    <r>
      <rPr>
        <rFont val="Times New Roman"/>
        <b/>
        <color rgb="FF000000"/>
        <sz val="10.0"/>
      </rPr>
      <t>Ovidiu TIŢA</t>
    </r>
  </si>
  <si>
    <t>Muffins Obtained with Some Vegetal Powders as Fat Replacers.</t>
  </si>
  <si>
    <t>O Samokhvalova, Z Kucheruk, K Kasabova, Manufacturing approaches to making muffins of high nutritional value, CHEMICAL ENGINEERING: REPORTS ON RESEARCH PROJECTS</t>
  </si>
  <si>
    <t>https://doi.org/10.15587/2706-5448.2020.221095</t>
  </si>
  <si>
    <t>http://journals.uran.ua/tarp/indexing</t>
  </si>
  <si>
    <t>Adina Frum, Cecilia Georgescu, Felicia G Gligor, Ecaterina Lengyel, Diana I Stegarus, Carmen M Dobrea, Ovidiu Tita</t>
  </si>
  <si>
    <t>Identification And Quantification Of Phenolic Compounds From Red Grape Pomace</t>
  </si>
  <si>
    <t>Raluca Paula Turcu, Tatiana Dumitra Panaite, Arabela Elena Untea, Cristina Stoica, Mădălina Iuga and Silvia Mironeasa, Effects of Supplementing Grape Pomace to Broilers Fed Polyunsaturated Fatty Acids Enriched Diets on Meat Quality, Animals </t>
  </si>
  <si>
    <t xml:space="preserve">https://doi.org/10.3390/ani10060947, 
https://www.mdpi.com/2076-2615/10/6/947/htm
</t>
  </si>
  <si>
    <t>I Taneva, Z Zlatev, TOTAL PHENOLIC CONTENT AND ANTIOXIDANT ACTIVITY OF YOGHURT WITH GOJI BERRIES (LYCIUM BARBARUM), Scientific Study &amp; Research. Chemistry &amp; Chemical</t>
  </si>
  <si>
    <t>https://scholar.google.ro/scholar?oi=bibs&amp;hl=ro&amp;cites=8501506094426275587&amp;as_sdt=5&amp;as_ylo=2020&amp;as_yhi=2020</t>
  </si>
  <si>
    <t>EA Solomatina, NM Solomatin, DEVELOPMENT AND ANALYSIS OF FRUIT BEVERAGES WITH ANTIOXIDANT PROPERTIES, Scientific Study</t>
  </si>
  <si>
    <t>F Adina, G Cecilia, G Felicia, D Carmen, T Ovidiu</t>
  </si>
  <si>
    <t>Identification and quantification of phenolic compounds from red currant (Ribes rubrum L.) and raspberries (Rubus idaeus L.)</t>
  </si>
  <si>
    <t>Volkan Okatan, Antioxidant properties and phenolic profile of the most widely appreciated cultivated berry species: A comparative study, Folia Horticulturae</t>
  </si>
  <si>
    <t>https://doi.org/10.2478/fhort-2020-0008</t>
  </si>
  <si>
    <t>Elsevier/SCOPUS, https://content.sciendo.com/configurable/contentpage/journals$002ffhort$002ffhort-overview.xml</t>
  </si>
  <si>
    <r>
      <rPr>
        <rFont val="arial narrow"/>
        <color theme="1"/>
        <sz val="10.0"/>
      </rPr>
      <t>Selma Berk</t>
    </r>
    <r>
      <rPr>
        <rFont val="Arial Narrow"/>
        <color rgb="FF000000"/>
        <sz val="10.0"/>
      </rPr>
      <t xml:space="preserve">, Muttalip Gundogdu, </t>
    </r>
    <r>
      <rPr>
        <rFont val="Arial Narrow"/>
        <color theme="1"/>
        <sz val="10.0"/>
      </rPr>
      <t>Selma Tuna</t>
    </r>
    <r>
      <rPr>
        <rFont val="Arial Narrow"/>
        <color rgb="FF000000"/>
        <sz val="10.0"/>
      </rPr>
      <t xml:space="preserve"> &amp; </t>
    </r>
    <r>
      <rPr>
        <rFont val="Arial Narrow"/>
        <color theme="1"/>
        <sz val="10.0"/>
      </rPr>
      <t>Akgul Tas, Role of Maturity Stages on Phenolic Compounds and Organic Acids Contents in Red Currant Fruits, International Journal of Fruit Science</t>
    </r>
  </si>
  <si>
    <t> https://doi.org/10.1080/15538362.2020.1774476</t>
  </si>
  <si>
    <t>https://www.resurchify.com/all_ranking_details_2.php?id=13214</t>
  </si>
  <si>
    <r>
      <rPr>
        <rFont val="arial narrow"/>
        <color theme="1"/>
        <sz val="10.0"/>
      </rPr>
      <t>Min Ju Lee</t>
    </r>
    <r>
      <rPr>
        <rFont val="Arial Narrow"/>
        <b/>
        <color rgb="FF000000"/>
        <sz val="10.0"/>
        <vertAlign val="superscript"/>
      </rPr>
      <t>1</t>
    </r>
    <r>
      <rPr>
        <rFont val="Arial Narrow"/>
        <b/>
        <color rgb="FF000000"/>
        <sz val="10.0"/>
      </rPr>
      <t>, </t>
    </r>
    <r>
      <rPr>
        <rFont val="Arial Narrow"/>
        <color rgb="FF000000"/>
        <sz val="10.0"/>
      </rPr>
      <t>Ju Hee Nam</t>
    </r>
    <r>
      <rPr>
        <rFont val="Arial Narrow"/>
        <b/>
        <color rgb="FF000000"/>
        <sz val="10.0"/>
        <vertAlign val="superscript"/>
      </rPr>
      <t>1</t>
    </r>
    <r>
      <rPr>
        <rFont val="Arial Narrow"/>
        <b/>
        <color rgb="FF000000"/>
        <sz val="10.0"/>
      </rPr>
      <t>, </t>
    </r>
    <r>
      <rPr>
        <rFont val="Arial Narrow"/>
        <color rgb="FF000000"/>
        <sz val="10.0"/>
      </rPr>
      <t>Jeong Ho Jeong</t>
    </r>
    <r>
      <rPr>
        <rFont val="Arial Narrow"/>
        <b/>
        <color rgb="FF000000"/>
        <sz val="10.0"/>
        <vertAlign val="superscript"/>
      </rPr>
      <t>2</t>
    </r>
    <r>
      <rPr>
        <rFont val="Arial Narrow"/>
        <b/>
        <color rgb="FF000000"/>
        <sz val="10.0"/>
      </rPr>
      <t>, </t>
    </r>
    <r>
      <rPr>
        <rFont val="Arial Narrow"/>
        <color rgb="FF000000"/>
        <sz val="10.0"/>
      </rPr>
      <t xml:space="preserve">Il Rae Rho, Effect of plant part, extraction method, and harvest time over antioxidant yield of rubus coreanus, </t>
    </r>
  </si>
  <si>
    <t>https://www.phcog.com/article.asp?issn=0973-1296;year=2020;volume=16;issue=5;spage=455;epage=461;aulast=Lee</t>
  </si>
  <si>
    <t>https://www.phcog.com/aboutus.asp</t>
  </si>
  <si>
    <t>Gülmez Gizem, Ribes rubrum L. Meyvesinin Antidiyabetik Ve Antitrombosit Etkisinin Incelenmesi, Dissertations &amp; Theses - Gülmez, Gizem. Marmara Universitesi (Turkey), ProQuest Dissertations Publishing</t>
  </si>
  <si>
    <t>https://search.proquest.com/openview/e88296bf4e0822f5a83ffed875efcfe1/1?pq-origsite=gscholar&amp;cbl=44156</t>
  </si>
  <si>
    <t>The identification and quantification of some phenolic components that are valuable within beverages prepared from indigenous plants</t>
  </si>
  <si>
    <t>https://scholar.google.ro/scholar?oi=bibs&amp;hl=ro&amp;cites=12693559657415024772&amp;as_sdt=5&amp;as_ylo=2020&amp;as_yhi=2020</t>
  </si>
  <si>
    <t>Roxana Tufeanu, Ovidiu Tiţa</t>
  </si>
  <si>
    <t>Possibilities to develop low-fat products: a review</t>
  </si>
  <si>
    <t xml:space="preserve">Elnaz SHAREFIABADI, Meltem SERDAROĞLU, Pectin: Properties and utilization in meat products, Food and Health </t>
  </si>
  <si>
    <t>http://jfhs.scientificwebjournals.com/en/download/article-file/1298194</t>
  </si>
  <si>
    <t>https://doi.org/10.3153/FH21008, http://jfhs.scientificwebjournals.com/en/</t>
  </si>
  <si>
    <t>D Sandru, V Niculescu, R Ecaterina, O Tita</t>
  </si>
  <si>
    <t xml:space="preserve">Identification and quantification of total polyphenols in plants with bioactive potentially, </t>
  </si>
  <si>
    <r>
      <rPr>
        <rFont val="Times New Roman"/>
        <color theme="1"/>
        <sz val="10.0"/>
      </rPr>
      <t>Mulumebet Worku</t>
    </r>
    <r>
      <rPr>
        <rFont val="Times New Roman"/>
        <color rgb="FF000000"/>
        <sz val="10.0"/>
      </rPr>
      <t xml:space="preserve">, </t>
    </r>
    <r>
      <rPr>
        <rFont val="Times New Roman"/>
        <color theme="1"/>
        <sz val="10.0"/>
      </rPr>
      <t>Hamid Ismail, A Review of the Effect of Plant-derived Bioactive Substances on the Inflammatory Response of Ruminants (Sheep, Cattle, and Goats), International Journal of Veterinary and Animal Medicine</t>
    </r>
  </si>
  <si>
    <t>10.31021/ijvam.20203130, https://www.researchgate.net/publication/344421321_A_Review_of_the_Effect_of_Plant-derived_Bioactive_Substances_on_the_Inflammatory_Response_of_Ruminants_Sheep_Cattle_and_Goats</t>
  </si>
  <si>
    <t>ScienceDirect; https://www.sciencedirect.com/journal/international-journal-of-veterinary-science-and-medicine; https://www.boffinaccess.com/international-journal-veterinary-animal-medicine/indexing</t>
  </si>
  <si>
    <t>Cecilia Georgescu, Adriana Birca, Monica Mironescu, AM Tita, Mark Shamtsyan, DI Mironescu, Ovidiu Tita</t>
  </si>
  <si>
    <t>Consumer perceptions of nutrition and health claims from food labels in Romania</t>
  </si>
  <si>
    <t xml:space="preserve">M Saxena , Consumers attitude towards food label information, </t>
  </si>
  <si>
    <t>https://scholar.google.ro/scholar?oi=bibs&amp;hl=ro&amp;cites=3881363681462646960&amp;as_sdt=5&amp;as_ylo=2020&amp;as_yhi=2020</t>
  </si>
  <si>
    <t>Rehana Khaliq, Ovidiu Tita, Maria Mihaela Antofie, Camelia Sava</t>
  </si>
  <si>
    <t>Industrial Application Of Psyllium: An Overview</t>
  </si>
  <si>
    <r>
      <rPr>
        <rFont val="Times New Roman"/>
        <color theme="1"/>
        <sz val="10.0"/>
      </rPr>
      <t>Elisangela Aparecida Nazario Franco,</t>
    </r>
    <r>
      <rPr>
        <rFont val="Times New Roman"/>
        <color rgb="FF000000"/>
        <sz val="10.0"/>
      </rPr>
      <t xml:space="preserve"> </t>
    </r>
    <r>
      <rPr>
        <rFont val="Times New Roman"/>
        <color theme="1"/>
        <sz val="10.0"/>
      </rPr>
      <t xml:space="preserve">AnaSanches-Silva, </t>
    </r>
    <r>
      <rPr>
        <rFont val="Times New Roman"/>
        <color rgb="FF000000"/>
        <sz val="10.0"/>
      </rPr>
      <t xml:space="preserve"> </t>
    </r>
    <r>
      <rPr>
        <rFont val="Times New Roman"/>
        <color theme="1"/>
        <sz val="10.0"/>
      </rPr>
      <t>Regiane Ribeiro-Santos Nathália Ramosde Melo, Psyllium (Plantago ovata Forsk): From evidence of health benefits to its food application, Trends in Food Science &amp; Technology</t>
    </r>
  </si>
  <si>
    <t>https://doi.org/10.1016/j.tifs.2019.12.006, https://www.sciencedirect.com/science/article/abs/pii/S092422441830791X</t>
  </si>
  <si>
    <t>https://www.sciencedirect.com/science/article/abs/pii/S092422441830791X</t>
  </si>
  <si>
    <t xml:space="preserve">Mohammad Sabzehzari, Sousan Hoveidamanesh, Mohammad Modarresi &amp; Valiallah Mohammadi, Morphological, anatomical, physiological, and cytological studies in diploid and tetraploid plants of Ispaghul (Plantago ovata Forsk.), Genetic Resources and Crop Evolution </t>
  </si>
  <si>
    <t xml:space="preserve">DOI: https://doi.org/10.1007/s10722-019-00846-x, https://link.springer.com/article/10.1007/s10722-019-00846-x </t>
  </si>
  <si>
    <t>James M. Cowley*, Lina Herliana, Natalie S. Betts, and Rachel A. Burton, Cellular debris, not mucilage polysaccharides, dominate extracts of Plantago ovata and Plantago lanceolata calli grown in vitro, BioRxiv the preprint server for biology</t>
  </si>
  <si>
    <t xml:space="preserve">https://doi.org/10.1101/2020.06.15.153395, </t>
  </si>
  <si>
    <t>Shah, Aunjum Reyaz MTech; Sharma, Paras PhD; Longvah, Thingnganing PhD; Gour, Vinod Singh PhD; Kothari, S. L.; Shah, Yasir Reyaz MTech; Ganie, Showkat Ahmad PhD, Nutritional Composition and Health Benefits of Psyllium (Plantago ovata) Husk and Seed, Nutrition Today</t>
  </si>
  <si>
    <t>doi: 10.1097/NT.0000000000000450, https://journals.lww.com/nutritiontodayonline/Abstract/2020/11000/Nutritional_Composition_and_Health_Benefits_of.11.aspx</t>
  </si>
  <si>
    <t>Bogdan Neamtu, Ovidiu Tita, Mihai Neamtu, Mihaela Tita, Mirela Hila, Ionela Maniu</t>
  </si>
  <si>
    <t>Identification of probiotic strains from human milk in breastfed infants with respiratory infections</t>
  </si>
  <si>
    <t xml:space="preserve">BY MANAL SAMI EL SAYED HASSAN, Detection of probiotic microorganisms using RT-PCR, and isolation, identification, probiotic properties of lactobacillus species from kefir, A THESIS SUBMITTED TO THE GRADUATE SCHOOL OF NATURAL AND APPLIED SCIENCES OF MIDDLE EAST TECHNICAL UNIVERSITY </t>
  </si>
  <si>
    <t>https://open.metu.edu.tr/bitstream/handle/11511/69119/12625908.pdf,  https://open.metu.edu.tr/handle/11511/69119</t>
  </si>
  <si>
    <t>https://open.metu.edu.tr/handle/11511/69119</t>
  </si>
  <si>
    <t>D Nairetti, M Mironescu, O Tita</t>
  </si>
  <si>
    <t>I Tarach, E Olewnik-Kruszkowska, A Richert; Influence of Tea Tree Essential Oil and Poly(ethylene glycol) on Antibacterial and Physicochemical Properties of Polylactide-Based Films;    Materials</t>
  </si>
  <si>
    <t>https://doi.org/10.3390/ma13214953; https://www.mdpi.com/1996-1944/13/21/4953</t>
  </si>
  <si>
    <t>https://www.mdpi.com/journal/materials</t>
  </si>
  <si>
    <t>Nahed A. Abd El-Ghany &amp; Zain M. Mahmoud; Synthesis, characterization and swelling behavior of high-performance antimicrobial amphoteric hydrogels from corn starch; Polymer Bulletin</t>
  </si>
  <si>
    <t xml:space="preserve">https://doi.org/10.1007/s00289-020-03417-8; </t>
  </si>
  <si>
    <t>https://www.springer.com/journal/289</t>
  </si>
  <si>
    <t>Chaiane R. Rech, Kelly C. S. Brabes, Bárbara E. B. Silva, Marco A. U. Martines, Tayla F. S. Silveira, Josué Alberton, Carolina A. A. Amadeu, Thiago Caon, Eduardo J. Arruda &amp; Silvia M. Martelli;  Antimicrobial and Physical–Mechanical Properties of Polyhydroxybutyrate Edible Films Containing Essential Oil Mixtures; Journal of Polymers and the Environment</t>
  </si>
  <si>
    <t>https://doi.org/10.1007/s10924-020-01943-0</t>
  </si>
  <si>
    <t>https://www.springer.com/journal/10924</t>
  </si>
  <si>
    <t>Maria Cosmina Marginean, Cristina Maria Tana, Ovidiu Tita</t>
  </si>
  <si>
    <t>Soil Characteristics From Tarnave Vineyard</t>
  </si>
  <si>
    <t>CristinaFieraaWernerUlrichbDanielaPopescuceJacobBuchholzdPascalQuernerdClaudiu-IoanBuneaePeterStraussfThomasBauerfSophieKratschmerdgSilviaWinterghJohann G.Zallerd;  Tillage intensity and herbicide application influence surface-active springtail (Collembola) communities in Romanian vineyards, Agriculture, Ecosystems &amp; Environment</t>
  </si>
  <si>
    <t>https://doi.org/10.1016/j.agee.2020.107006</t>
  </si>
  <si>
    <t>Science Citation Index; Scopus; https://www.sciencedirect.com/journal/agriculture-ecosystems-and-environment/about/abstracting-and-indexing</t>
  </si>
  <si>
    <t>Daniela GABOR, Ovidiu TITA</t>
  </si>
  <si>
    <t>Biopolymers Used In Food Packaging: A Review.</t>
  </si>
  <si>
    <t xml:space="preserve">Sajad Pirsa, Kurush Aghbolagh Sharifi; A review of the applications of bioproteins in the preparation of biodegradable films and polymers;  Journal of Chemistry Letters </t>
  </si>
  <si>
    <t>http://www.jchemlett.com/article_111200.html</t>
  </si>
  <si>
    <t>http://www.jchemlett.com/journal/indexing</t>
  </si>
  <si>
    <t>Lindani Koketso Ncube, Albert Uchenna Ude, Enoch Nifise Ogunmuyiwa, Rozli Zulkifli and Isaac Nongwe Beas ; Environmental Impact of Food Packaging Materials: A Review of Contemporary Development from Conventional Plastics to Polylactic Acid Based Materials ; Materials</t>
  </si>
  <si>
    <t xml:space="preserve">https://doi.org/10.3390/ma13214994; </t>
  </si>
  <si>
    <t>https://www.mdpi.com/journal/materials/indexing
Web of Science</t>
  </si>
  <si>
    <t>Vijay Rayasam, Pooja Chavan, Tarika Kumar;  Polyhydroxyalkanoate synthesis by bacteria isolated from landfill and ETP with pomegranate peels as carbon source;  Archives of Microbiology</t>
  </si>
  <si>
    <t>https://doi.org/10.1007/s00203-020-01995-9</t>
  </si>
  <si>
    <t>https://www.springer.com/journal/203</t>
  </si>
  <si>
    <t>Varsha Wankhade; Biopolymer-Based Formulations; Biomedical and Food Applications</t>
  </si>
  <si>
    <t>https://www.sciencedirect.com/science/article/pii/B9780128168974000060</t>
  </si>
  <si>
    <t>https://www.elsevier.com/;  Scopus</t>
  </si>
  <si>
    <t>Ecaterina LENGYEL, Letitia OPREAN, Ramona IANCU, Otto KETNEY, Ovidiu TITA</t>
  </si>
  <si>
    <t>Anthocyanins And Polyphenols Content In Red Merlot, Cabernet Sauvignon And Pinot Noir Wines From Recas Vineyard.</t>
  </si>
  <si>
    <t xml:space="preserve">Guiomar Melgar-Lalanne, Irving Piña; Alimentaria 2 [ CONTENIDO ]; </t>
  </si>
  <si>
    <t>https://www.researchgate.net/publication/346006209_Alimentaria_2_CONTENIDO#fullTextFileContent</t>
  </si>
  <si>
    <t>GL Mihalca, O Tita, M Tita, Ana Mihalca - Liceul tehnologic Țara Bârsei</t>
  </si>
  <si>
    <t xml:space="preserve">Lochan Singh Tripti Agarwal J.Simal-Gandara; PAHs, diet and cancer prevention: Cooking process driven-strategies; Trends in Food Science &amp; Technology, </t>
  </si>
  <si>
    <t>https://doi.org/10.1016/j.tifs.2020.03.030</t>
  </si>
  <si>
    <t>https://www.sciencedirect.com/science/article/abs/pii/S0924224419310386; Scopus</t>
  </si>
  <si>
    <t xml:space="preserve">Jelena Babić, Suzana Vidaković, Marija Bošković, Milica Glišić, Brankica Kartalović, Snežana Škaljac, Aleksandra Nikolić, Miroslav Ćirković &amp; Vlado Teodorović;  Polycyclic Aromatic Compounds </t>
  </si>
  <si>
    <t>https://doi.org/10.1080/10406638.2018.1506991; https://www.researchgate.net/profile/Brankica_Kartalovic/publication/328010388_Content_of_Polycyclic_Aromatic_Hydrocarbons_in_Smoked_Common_Carp_Cyprinus_Carpio_in_Direct_Conditions_Using_Different_Filters_vs_Indirect_Conditions/links/5bd848a192851c6b2799f5d9/Content-of-Polycyclic-Aromatic-Hydrocarbons-in-Smoked-Common-Carp-Cyprinus-Carpio-in-Direct-Conditions-Using-Different-Filters-vs-Indirect-Conditions.pdf</t>
  </si>
  <si>
    <t>Web of Science;  https://apps-webofknowledge-com.am.e-nformation.ro/Search.do?product=WOS&amp;SID=D1k4euXlDZo4ttq2qBS&amp;search_mode=GeneralSearch&amp;prID=262816a6-3527-4561-8d2a-4b545c3db428</t>
  </si>
  <si>
    <t>Olusola Adedayo Adesina ; Level of Polycyclic Aromatic Hydrocarbon in Smoked Food Materials from Roadside Barbeque Spots in Western Nigeria and Health Implication ; Polycyclic Aromatic Compounds</t>
  </si>
  <si>
    <t>https://doi.org/10.1080/10406638.2020.1821721</t>
  </si>
  <si>
    <t>https://www.tandfonline.com/action/journalInformation?show=journalMetrics&amp;journalCode=gpol20;  Scopus</t>
  </si>
  <si>
    <t>AGJ Tacon, D Lemos, M Metian ;  Fish for health: improved nutritional quality of cultured fish for human consumption; Reviews in Fisheries Science &amp; Aquaculture</t>
  </si>
  <si>
    <t>https://doi.org/10.1080/23308249.2020.1762163</t>
  </si>
  <si>
    <t>https://www.tandfonline.com/action/journalInformation?show=journalMetrics&amp;journalCode=brfs21;  Scopus</t>
  </si>
  <si>
    <t>MUHAMMAD RAMZAN, HUMA NUZHAT, MIHAELA TITA, OVIDIU TITA</t>
  </si>
  <si>
    <t>Relative changes in pH and acidity during ripening of Cheddar cheese, manufactured by using Lactobacillus rhamnosus as an adjunct culture</t>
  </si>
  <si>
    <t>Flavor-enhancing Lactobacillus rhamnosus;  Flavor-enhancing Lactobacillus rhamnosus;  patents</t>
  </si>
  <si>
    <t>https://patentimages.storage.googleapis.com/60/ce/0e/debfccaaaf9abe/US10653161.pdf</t>
  </si>
  <si>
    <t>O Tita, M Bulancea - Univ. Galați, D Pavelescu - MTD SRL, L Martin - CORONA SRL</t>
  </si>
  <si>
    <t>The role of the organic acids in the evolution of the wine</t>
  </si>
  <si>
    <t>Shelud'ko Olga Nikolaevna Dr. Tech. Sci., Docent Head of CS «Wine-making»;  STUDY OF PROTOLITICAL EQUILIBRIUM IN AQUEOUS SOLUTIONS OF MALIC ACID IN ORDER TO ESTIMATE ITS INFLUENCE THE QUALITY OF WINE;  Fruit growing and viticulture of South Russia</t>
  </si>
  <si>
    <t>http://journalkubansad.ru/pdf/20/05/22.pdf;   http://journalkubansad.ru/pdf/16/02/07.pdf</t>
  </si>
  <si>
    <t>http://journalkubansad.ru/en/aut/571/</t>
  </si>
  <si>
    <t xml:space="preserve">SHELUD'KO OLGA NIKOLAEVNA,  STRIZHOV NIKOLAY KONSTANTINOVICH; PHENOMENOLOGICAL MODEL OF MALIC ACID IONIZATION IN THE PRESENCE OF STRONG ELECTROLYTES AND ITS CONNECTION WITH DETERMINATION OF THE AMOUNT OF ORGANIC AND MINERAL ACIDS IN THE GRAPES AND WINE; </t>
  </si>
  <si>
    <t>https://elibrary.ru/item.asp?id=44264066</t>
  </si>
  <si>
    <t xml:space="preserve">https://www.elibrary.ru/item.asp?id=44264066; Russian Science Citation Index; </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</si>
  <si>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</si>
  <si>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Liuwei Wang,Deyi Hou,Zhengtao Shen,Jin Zhu,Xiyue Jia,Yong Sik Ok,Filip M. G. Tack &amp;Jörg Rinklebe, Field trials of phytomining and phytoremediation: A critical review of influencing factors and effects of additives, Critical Reviews in Environmental Science and Technology Volume 50, 2020, Pages 2724-2774</t>
  </si>
  <si>
    <t>Vecerdea Petronela</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</si>
  <si>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</si>
  <si>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Zhong, X (Zhong, Xi)[ 1 ] ; Chen, ZW (Chen, Ziwu)[ 1 ] ; Li, YY (Li, Yaying)[ 1,2,3 ] ; Ding, KB (Ding, Kengbo)[ 1 ] ; Liu, WS (Liu, Wenshen)[ 1 ] ; Liu, Y (Liu, Ye)[ 1 ] ; Yuan, YQ (Yuan, Yongqiang)[ 1,2,3 ] ; Zhang, MY (Zhang, Miaoyue)[ 1,2,3 ] ; Baker, AJM (Baker, Alan J. M.)[ 4,5 ] ; Yang, WJ (Yang, Wenjun)[ 1 ] ; Fei, YH (Fei, Yingheng)[ 6 ] ; Wang, YJ (Wang, Yujie)[ 7 ] ; Chao, YQ (Chao, Yuanqing)[ 1,2,3 ] ; Qiu, RL (Qiu, Rongliang)[ 1,2,3 Factors influencing heavy metal availability and risk assessment of soils at typical metal mines in Eastern China, Journal of Hazardous Materials
Volume 400, 5 December 2020, 123289</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</si>
  <si>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</si>
  <si>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Manhattan Lebrun,Reinhart Van Poucke, Florie Miard, Gabriella Scippa, Sylvain Bourgerie, Domenico Morabito, F. Tack
Effects of carbon-based materials and redmuds on metal(loid) immobilization and growth of Salix dasyclados Wimm. on a former mine Technosol contaminated by arsenic and lead
July 2020Land Degradation and Development 32(1)
DOI: 10.1002/ldr.3726</t>
  </si>
  <si>
    <t>https://onlinelibrary.wiley.com/doi/10.1002/ldr.3726</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</si>
  <si>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</si>
  <si>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Kharytonov M. M., Martynova N. V., Babenko M. G., Rula I. V, ENVIRONMENTALLY COMPATIBLE UTILIZATION
OF RECLAIMED MINELANDS FOR SUSTAINABLE
PRODUCTION FOOD AND BIOENERGY FEEDSTOCK, 43-Chapter Manuscript- DOI https://doi.org/10.30525/978-9934-588-45-7.30</t>
  </si>
  <si>
    <t>http://baltijapublishing.lv/omp/index.php/bp/catalog/download/43/824/1645-1</t>
  </si>
  <si>
    <t>ALTA BAZA DE DATE</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</si>
  <si>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</si>
  <si>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</si>
  <si>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Ben Fradj, N (Ben Fradj, N.)[ 1 ] ; Rozakis, S (Rozakis, S.)[ 2 ] ; Borzecka, M (Borzecka, M.)[ 1 ] ; Matyka, M (Matyka, M.)[ 1 ], Miscanthus in the European bio-economy: A network analysis, INDUSTRIAL CROPS AND PRODUCTS, Volume: 148, Article Number: 112281, DOI: 10.1016/j.indcrop.2020.112281, Published: JUN 2020</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</si>
  <si>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</si>
  <si>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Marie Hechelski 1,2,Brice Louvel 1,2,Pierrick Dufrénoy 3,4,Alina Ghinet 3,5,6OrcID andChristophe Waterlot 3,* Toward a New Way for the Valorization of Miscanthus Biomass Produced on Metal-Contaminated Soils Part 1: Mesocosm and Field Experiments, Sustainability 2020, 12(22), 9370; https://doi.org/10.3390/su12229370</t>
  </si>
  <si>
    <t>https://www.mdpi.com/2071-1050/12/22/9370/htm</t>
  </si>
  <si>
    <t>WOS:000594611300001</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</si>
  <si>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</si>
  <si>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Zeljka Zgorelec 1*, Nikola Bilandzija2*, Kristina Knez1, MarijaGalic1 &amp; Silva Zuzul 3, Cadmium and Mercury
phytostabilization from soil using
Miscanthus × giganteus, Scientific Reports (Nature Publisher Group); SCIENTIFIC REPORTS, Volume: 10 Issue: 1
Article Number: 6685, DOI: 10.1038/s41598-020-63488-5, Published: APR 21 2020</t>
  </si>
  <si>
    <t>https://search.proquest.com/openview/3b595cb51ae5d03316efba9590cdbd40/1?pq-origsite=gscholar&amp;cbl=2041939</t>
  </si>
  <si>
    <r>
      <rPr>
        <rFont val="Arial Narrow"/>
        <b/>
        <color theme="1"/>
        <sz val="10.0"/>
      </rPr>
      <t>Petronela-Bianca Pavel (ULBS)</t>
    </r>
    <r>
      <rPr>
        <rFont val="Arial Narrow"/>
        <color theme="1"/>
        <sz val="10.0"/>
      </rPr>
      <t xml:space="preserve"> Ellena Diacu (Politehnica, București) Constantin Horia Barbu (ULBS), MarkusPuschenreiter (BOKU, Viena) Walter W.Wenzel (BOKU, Viena)</t>
    </r>
  </si>
  <si>
    <t>Grzegorska, A (Grzegorska, Anna)[ 1 ] ; Rybarczyk, P (Rybarczyk, Piotr)[ 1 ] ; Rogala, A (Rogala, Andrzej)[ 1 ] ; Zabrocki, D (Zabrocki, Dawid)[ 2 ]Phytoremediation—From Environment Cleaning to Energy Generation—Current Status and Future Perspectives, Energies 2020, 13(11), 2905; https://doi.org/10.3390/en13112905</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</si>
  <si>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</si>
  <si>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Effects of Biochars and Compost Mixtures and Inorganic Additives on Immobilisation of Heavy Metals in Contaminated Soils, Water, Air, &amp; Soil Pollution volume 226, Article number: 342 (2015)</t>
  </si>
  <si>
    <t>Palansooriya, KN (Palansooriya, Kumuduni Niroshika)[ 1 ] ; Shaheen, SM (Shaheen, Sabry M.)[ 2,3,4 ] ; Chen, SS (Chen, Season S.)[ 5 ] ; Tsang, DCW (Tsang, Daniel C. W.)[ 5 ] ; Hashimoto, Y (Hashimoto, Yohey)[ 6 ] ; Hou, DY (Hou, Deyi)[ 7 ] ; Bolan, NS (Bolan, Nanthi S.)[ 8,9 ] ; Rinklebe, J (Rinklebe, Joerg)[ 2,10 ] ; Ok, YS (Ok, Yong Sik)[ 1 ]Soil amendments for immobilization of potentially toxic elements in contaminated soils: A critical review, ENVIRONMENT INTERNATIONAL
Volume: 134
Article Number: 105046
DOI: 10.1016/j.envint.2019.105046
Published: JAN 2020</t>
  </si>
  <si>
    <t>https://www.sciencedirect.com/science/article/pii/S0160412019311250?via%3Dihub</t>
  </si>
  <si>
    <t>WOS:000501344500077</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</si>
  <si>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</si>
  <si>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Hamid, Y (Hamid, Yasir)[ 1 ] ; Tang, L (Tang, Lin)[ 1 ] ; Hussain, B (Hussain, Bilal)[ 1 ] ; Usman, M (Usman, Muhammad)[ 2 ] ; Lin, Q (Lin, Qiang)[ 1 ] ; Rashid, MS (Rashid, Muhammad Saqib)[ 3 ] ; He, ZL (He, Zhenli)[ 4 ] ; Yang, XE (Yang, Xiaoe)[ 1 ]Organic soil additives for the remediation of cadmium contaminated soils and their impact on the soil-plant system: A review, SCIENCE OF THE TOTAL ENVIRONMENT
Volume: 707
Article Number: 136121
DOI: 10.1016/j.scitotenv.2019.136121
Published: MAR 10 2020</t>
  </si>
  <si>
    <t>https://www.sciencedirect.com/science/article/abs/pii/S0048969719361170?via%3Dihub</t>
  </si>
  <si>
    <t>WOS:000507925700104</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</si>
  <si>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</si>
  <si>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Arooj Bashir Muhammad Rizwana Muhammad Zia ur Rehmanb Muhammad Zubairc Muhammad Riaza Muhammad Farooq Qayyumd Hesham F.AlharbyeAtif A.BamagooseShafaqatAliaf, Application of co-composted farm manure and biochar increased the wheat growth and decreased cadmium accumulation in plants under different water regimes, Chemosphere
Volume 246, May 2020, 125809</t>
  </si>
  <si>
    <t>https://www.sciencedirect.com/science/article/abs/pii/S0045653519330504?via%3Dihub</t>
  </si>
  <si>
    <t>WOS:000544408800048</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</si>
  <si>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</si>
  <si>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Rebeca Manzano Stefania Diquattro Pier PaoloRoggeroabMaria VittoriaPinnaaGiovanniGarauaPaolaCastaldia, Addition of softwood biochar to contaminated soils decreases the mobility, leachability and bioaccesibility of potentially toxic elements, Science of The Total Environment
Volume 739, 15 October 2020, 139946</t>
  </si>
  <si>
    <t>https://www.sciencedirect.com/science/article/abs/pii/S0048969720334665?via%3Dihub</t>
  </si>
  <si>
    <t>WOS:000561796300008</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</si>
  <si>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</si>
  <si>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Agnieszka Medyńska-Juraszek 1,*OrcID,Pierre-Adrien Rivier 2,Daniel Rasse 2OrcID andErik J. Joner 2, Biochar Affects Heavy Metal Uptake in Plants through Interactions in the Rhizosphere, Appl. Sci. 2020, 10(15), 5105; https://doi.org/10.3390/app10155105</t>
  </si>
  <si>
    <t>https://www.mdpi.com/2076-3417/10/15/5105</t>
  </si>
  <si>
    <t>WOS:000567244200001</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</si>
  <si>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</si>
  <si>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Bashir, A (Bashir, Arooj)[ 1 ] ; Rizwan, M (Rizwan, Muhammad)[ 1 ] ; Ali, S (Ali, Shafaqat)[ 1,2 ] ; Adrees, M (Adrees, Muhammad)[ 1 ] ; Rehman, MZU (Rehman, Muhammad Zia ur)[ 3 ] ; Qayyum, MF (Qayyum, Muhammad Farooq)[ 4 ], Effect of composted organic amendments and zinc oxide nanoparticles on growth and cadmium accumulation by wheat; a life cycle study, ENVIRONMENTAL SCIENCE AND POLLUTION RESEARCH
Volume: 27 Issue: 19 Pages: 23926-23936 Special Issue: SI
DOI: 10.1007/s11356-020-08739-8
Published: JUL 2020</t>
  </si>
  <si>
    <t>https://link.springer.com/article/10.1007/s11356-020-08739-8</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</si>
  <si>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</si>
  <si>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 xml:space="preserve">MORTEZA SHIRMO HAMMADI
, ALI REZA HOSSEINPUR1
, HAMID REZA MOTAGHIAN1, The Effect of Sewage Sludge and its Biochars on the Availability and Desorption Characteristics of
Copper in a Contaminated Calcareous Soil, Iranian Journal of Soil and Water Research, DOI10.22059/IJSWR.2020.293568.668418
</t>
  </si>
  <si>
    <t>https://ijswr.ut.ac.ir/article_77227_493961d42a6785c3ffb4d16d55fd5203.pdf?lang=en</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</si>
  <si>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</si>
  <si>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Paloma Camposa Ana Z.Miller Sergio A.Pratsc Heike Knickera Nikolas Hagemannde José M.De la Rosa, Biochar amendment increases bacterial diversity and vegetation cover in trace element-polluted soils: A long-term field experiment, Soil Biology and Biochemistry
Volume 150, November 2020, 108014</t>
  </si>
  <si>
    <t>https://www.sciencedirect.com/science/article/abs/pii/S0038071720303102</t>
  </si>
  <si>
    <t>WOS:000581509300002</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</si>
  <si>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</si>
  <si>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Xianglian Peng  Hongjun Fu  Jinbo Hu  Feijun Luo, Investigation on mercury migration discipline in different paper‐plastic food packaging containers, Food Engineering, Materials Science, &amp; Nanotechnology, 16 March 2020 https://doi.org/10.1111/1750-3841.15060</t>
  </si>
  <si>
    <t>https://onlinelibrary.wiley.com/doi/abs/10.1111/1750-3841.15060</t>
  </si>
  <si>
    <t>WOS:000526811400037</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</si>
  <si>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</si>
  <si>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Kanghee Cho 1,Eunji Myung 2,Hyunsoo Kim 2,Oyunbileg Purev 2,Cheonyoung Park 2 andNagchoul Choi, Removal of Total Petroleum Hydrocarbons from Contaminated Soil through Microwave Irradiation, nt. J. Environ. Res. Public Health 2020, 17(16), 5952; https://doi.org/10.3390/ijerph17165952</t>
  </si>
  <si>
    <t>https://www.mdpi.com/1660-4601/17/16/5952</t>
  </si>
  <si>
    <t>WOS:000565428800001</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</si>
  <si>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</si>
  <si>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MARTINEZ GONZALEZ, HECTOR, Mugica-Alvarez, Violeta, Fitoextracción de elementos tóxicos de suelos de Zacatecas, contaminados con residuos mineros, UNIVERSIDAD AUTÓNOMA
METROPOLITANA</t>
  </si>
  <si>
    <t>http://zaloamati.azc.uam.mx/bitstream/handle/11191/7180/Fitoextraccion_de_elementos_toxicos_Martinez_Gonzalez_H_2020.pdf?sequence=1&amp;isAllowed=y</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</si>
  <si>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</si>
  <si>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Karim, AA (Karim, Adnan Asad)[ 1 ] ; Kumar, M (Kumar, Manish)[ 1 ] ; Singh, E (Singh, Ekta)[ 2 ] ; Kumar, A (Kumar, Aman)[ 2 ] ; Kumar, S (Kumar, Sunil)[ 2 ] ; Ray, A (Ray, Arati)[ 1 ] ; Dhal, NK (Dhal, Nabin Kumar), Enrichment of primary macronutrients in biochar for sustainable agriculture: A review, CRITICAL REVIEWS IN ENVIRONMENTAL SCIENCE AND TECHNOLOGY
DOI: 10.1080/10643389.2020.1859271
Early Access: DEC 2020 (2021)</t>
  </si>
  <si>
    <t>https://www.tandfonline.com/doi/full/10.1080/10643389.2020.1859271?scroll=top&amp;needAccess=true</t>
  </si>
  <si>
    <t>WOS:000605378700001</t>
  </si>
  <si>
    <r>
      <rPr>
        <rFont val="arial narrow"/>
        <color theme="1"/>
        <sz val="10.0"/>
      </rPr>
      <t xml:space="preserve">Jasmin Karer, Anna Wawra, Franz Zehetner, Gerald Dunst, Mario Wagner, </t>
    </r>
    <r>
      <rPr>
        <rFont val="Arial Narrow"/>
        <b/>
        <color theme="1"/>
        <sz val="10.0"/>
      </rPr>
      <t>Petronela-Bianca Pavel (ULBS)</t>
    </r>
    <r>
      <rPr>
        <rFont val="Arial Narrow"/>
        <color theme="1"/>
        <sz val="10.0"/>
      </rPr>
      <t>, Markus Puschenreiter, Wolfgang Friesl-Hanl &amp; Gerhard Soja</t>
    </r>
  </si>
  <si>
    <t>Jiang, P.a,bEmail Author, Liu, L.a, Huang, Y.a, Li, H.a, Wang, J.-L.a, Zhang, X.c, Du, Y.-L.a, Chen, H.-M.a, Deng, X.-H.a, Du, S.-Z.a, Effects of different passivators on growth and physiological characteristics of , Ophiopogon japonicus in cadmium-contaminated soil,Chinese Traditional and Herbal Drugs
Volume 51, Issue 24, 28 December 2020, Pages 6354-6361</t>
  </si>
  <si>
    <t>https://www.scopus.com/record/display.uri?eid=2-s2.0-85098059555&amp;origin=resultslist&amp;sort=plf-f&amp;src=s&amp;citedAuthorId=55619488100&amp;imp=t&amp;sid=819c0032769b5c027c099854aafb45f7&amp;sot=cite&amp;sdt=cite&amp;cluster=scopubyr%2c%222020%22%2ct&amp;sl=0&amp;relpos=0&amp;citeCnt=0&amp;searchTerm=</t>
  </si>
  <si>
    <r>
      <rPr>
        <rFont val="Arial Narrow"/>
        <b/>
        <color theme="1"/>
        <sz val="10.0"/>
      </rPr>
      <t xml:space="preserve">Pavel, Petronela-Bianca (ULBS); </t>
    </r>
    <r>
      <rPr>
        <rFont val="Arial Narrow"/>
        <color theme="1"/>
        <sz val="10.0"/>
      </rPr>
      <t>Diacu, E (Politehnica, București; Barbu, CH (ULBS)</t>
    </r>
  </si>
  <si>
    <t>Al Shamari, YMG (Al Shamari, Yasmeen Mutlaq Ghazi)[ 1 ] ; Alwarthan, AA (Alwarthan, Abdulrahman Abdullah)[ 1 ] ; Wabaidur, SM (Wabaidur, Saikh Mohammad)[ 1 ] ; Khan, MA (Khan, Moonis Ali)[ 1 ] ; Alqadami, AA (Alqadami, Ayoub Abdullah)[ 1 ] ; Siddiqui, MR (Siddiqui, Masoom Raza)[ 1 ] New Ultra Performance liquid chromatography-mass spectrometric method for the determination of allura red in soft drinks using corncob as solid phase extraction sorbent: Analysis and food waste management approach, JOURNAL OF KING SAUD UNIVERSITY SCIENCE
Volume: 32 Issue: 1 Pages: 1135-1141
DOI: 10.1016/j.jksus.2019.10.011
Published: JAN 2020</t>
  </si>
  <si>
    <t>https://www.researchgate.net/publication/337140655_New_Ultra_Performance_Liquid_Chromatography-Mass_Spectrometric_method_for_the_determination_of_allura_red_in_soft_drinks_using_corncob_as_solid_phase_extraction_sorbent_analysis_and_food_waste_managem/link/5e56bdeb4585152ce8f26823/download</t>
  </si>
  <si>
    <r>
      <rPr>
        <rFont val="arial narrow"/>
        <color theme="1"/>
        <sz val="10.0"/>
      </rPr>
      <t xml:space="preserve">ANTONIE Iuliana(ULBS), </t>
    </r>
    <r>
      <rPr>
        <rFont val="Arial Narrow"/>
        <b/>
        <color theme="1"/>
        <sz val="10.0"/>
      </rPr>
      <t>PAVEL Petronela Bianca (ULBS)</t>
    </r>
  </si>
  <si>
    <t>THE ANALYSIS OF THE HEAVY METALS IN THE CORN AGRICULTURAL ECOSYSTEM IN THE AXENTE SEVER-COPŞA MICĂ AREA (SIBIU COUNTY).</t>
  </si>
  <si>
    <t>Lucian Dincă, CHARACTERISTICS OF FOREST SOILS FROM SIBIU COUNTY, Studii şi Cercetări Martie 2020 Biologie 29/1 27-30 Universitatea”Vasile Alecsandri” din Bacău</t>
  </si>
  <si>
    <t>http://pubs.ub.ro/dwnl.php?id=SCSB202001V29S01A0004</t>
  </si>
  <si>
    <r>
      <rPr>
        <rFont val="arial narrow"/>
        <color theme="1"/>
        <sz val="10.0"/>
      </rPr>
      <t xml:space="preserve">Mihai Radu POP, Camelia Sand, Dana BOBIŢ, Maria Mihaela ANTOFIE, C Horea BARBU, </t>
    </r>
    <r>
      <rPr>
        <rFont val="Arial Narrow"/>
        <b/>
        <color theme="1"/>
        <sz val="10.0"/>
      </rPr>
      <t>Bianca-Petronela PAVEL (ULBS),</t>
    </r>
    <r>
      <rPr>
        <rFont val="Arial Narrow"/>
        <color theme="1"/>
        <sz val="10.0"/>
      </rPr>
      <t xml:space="preserve"> Leon MUNTEAN, Mircea SAVATTI</t>
    </r>
  </si>
  <si>
    <r>
      <rPr>
        <rFont val="arial narrow"/>
        <color theme="1"/>
        <sz val="10.0"/>
      </rPr>
      <t xml:space="preserve">CH Barbu, </t>
    </r>
    <r>
      <rPr>
        <rFont val="Arial Narrow"/>
        <b/>
        <color theme="1"/>
        <sz val="10.0"/>
      </rPr>
      <t>BP Pavel (ULBS)</t>
    </r>
    <r>
      <rPr>
        <rFont val="Arial Narrow"/>
        <color theme="1"/>
        <sz val="10.0"/>
      </rPr>
      <t>, C Sand, B Grama, MR Pop</t>
    </r>
  </si>
  <si>
    <t>Violina ANGELOVA, PHYTOREMEDIATION POTENTIAL OF MISCANTHUS X GIGANTEUS IN SOIL CONTAMINATED WITH HEAVY METALS, Scientific Papers. Series E. Land Reclamation, Earth Observation &amp; Surveying, Environmental Engineering. Vol. IX, 2020
Print ISSN 2285-6064, CD-ROM ISSN 2285-6072, Online ISSN 2393-5138, ISSN-L 2285-606</t>
  </si>
  <si>
    <r>
      <rPr>
        <rFont val="arial narrow"/>
        <color theme="1"/>
        <sz val="10.0"/>
      </rPr>
      <t>Barbu, C.H.,</t>
    </r>
    <r>
      <rPr>
        <rFont val="Arial Narrow"/>
        <b/>
        <color theme="1"/>
        <sz val="10.0"/>
      </rPr>
      <t xml:space="preserve"> Pavel, B.P. (ULBS), </t>
    </r>
    <r>
      <rPr>
        <rFont val="Arial Narrow"/>
        <color theme="1"/>
        <sz val="10.0"/>
      </rPr>
      <t>Sand, C., Pop, M.R</t>
    </r>
  </si>
  <si>
    <r>
      <rPr>
        <rFont val="arial narrow"/>
        <color theme="1"/>
        <sz val="10.0"/>
      </rPr>
      <t>CH Barbu</t>
    </r>
    <r>
      <rPr>
        <rFont val="Arial Narrow"/>
        <b/>
        <color theme="1"/>
        <sz val="10.0"/>
      </rPr>
      <t>, Bianca Petronela Pavel (ULBS)</t>
    </r>
    <r>
      <rPr>
        <rFont val="Arial Narrow"/>
        <color theme="1"/>
        <sz val="10.0"/>
      </rPr>
      <t>, C Sand, MR Pop</t>
    </r>
  </si>
  <si>
    <t>Zeljka Zgorelec 1*, Nikola Bilandzija2*, Kristina Knez1, MarijaGalic1 &amp; Silva Zuzul 3, Cadmium and Mercury
phytostabilization from soil using
Miscanthus × giganteus, Scientific Reports (Nature Publisher Group); SCIENTIFIC REPORTS
Volume: 10 Issue: 1
Article Number: 6685
DOI: 10.1038/s41598-020-63488-5
Published: APR 21 2020	https://search.proquest.com/openview/3b595cb51ae5d03316efba9590cdbd40/1?pq-origsite=gscholar&amp;cbl=2041939	WOS:000559762800009</t>
  </si>
  <si>
    <r>
      <rPr>
        <rFont val="arial narrow"/>
        <color theme="1"/>
        <sz val="10.0"/>
      </rPr>
      <t>Barbu, C.H., </t>
    </r>
    <r>
      <rPr>
        <rFont val="Arial Narrow"/>
        <b/>
        <color theme="1"/>
        <sz val="10.0"/>
      </rPr>
      <t>Pavel, P.B. (ULBS)</t>
    </r>
    <r>
      <rPr>
        <rFont val="Arial Narrow"/>
        <color theme="1"/>
        <sz val="10.0"/>
      </rPr>
      <t>, Sand, C., Pop, M.R.</t>
    </r>
  </si>
  <si>
    <t>Reduced uptake of Cd and Pb by Miscanthus sinensis x giganteus cultivated on polluted soil and its use as biofuel</t>
  </si>
  <si>
    <t>Hauptvogl, M., Kotrla, M., Prčík, M., (...), Kováčik, M., Lošák, T.Phytoremediation potential of fast-growing energy plants: Challenges and perspectives – A review, Polish Journal of Environmental Studies, Volume 29, Issue 1, 2020, Pages 505-516
29(1), pp. 505-516</t>
  </si>
  <si>
    <t>http://www.pjoes.com/Phytoremediation-Potential-of-Fast-Growing-nEnergy-Plants-nChallenges-and-Perspectives,101621,0,2.html</t>
  </si>
  <si>
    <r>
      <rPr>
        <rFont val="arial narrow"/>
        <color theme="1"/>
        <sz val="10.0"/>
      </rPr>
      <t xml:space="preserve">
  Zhao, X. , Zhao, P. , Zhang, X.  Effects of </t>
    </r>
    <r>
      <rPr>
        <rFont val="Arial Narrow"/>
        <color rgb="FFDD0806"/>
        <sz val="10.0"/>
      </rPr>
      <t>Repeated Freezing and Thawing on the Phenolics of Wines</t>
    </r>
    <r>
      <rPr>
        <rFont val="Arial Narrow"/>
        <color theme="1"/>
        <sz val="10.0"/>
      </rPr>
      <t xml:space="preserve"> | 反复冻融对葡萄酒中酚类物质的影响    
    Journal of Chinese Institute of Food Science and Technology, Volume 20, Issue 12, 31 December 2020, Pages 191-199
</t>
    </r>
  </si>
  <si>
    <t>https://www-scopus-com.am.e-nformation.ro/record/display.uri?origin=citedby&amp;eid=2-s2.0-85099991296&amp;noHighlight=false&amp;relpos=0</t>
  </si>
  <si>
    <r>
      <rPr>
        <rFont val="arial narrow"/>
        <i/>
        <color theme="1"/>
        <sz val="10.0"/>
      </rPr>
      <t>Oancea, S. (ULBS),</t>
    </r>
    <r>
      <rPr>
        <rFont val="Arial Narrow"/>
        <i/>
        <color rgb="FFC0C0C0"/>
        <sz val="10.0"/>
      </rPr>
      <t xml:space="preserve"> </t>
    </r>
    <r>
      <rPr>
        <rFont val="Arial Narrow"/>
        <i/>
        <color rgb="FF000000"/>
        <sz val="10.0"/>
      </rPr>
      <t>Drǎghici, O.(ULBS)</t>
    </r>
  </si>
  <si>
    <r>
      <rPr>
        <rFont val="calibri"/>
        <color theme="1"/>
        <sz val="11.0"/>
      </rPr>
      <t xml:space="preserve">Laila, U., Rochmadi, R., Pudjiraharti, S., Nurhayati, R., Herawati, E. R. N., Ariani, D., &amp; Khasanah, Y. (2020). </t>
    </r>
    <r>
      <rPr>
        <rFont val="Calibri"/>
        <color rgb="FFDD0806"/>
        <sz val="11.0"/>
      </rPr>
      <t>STABILITY OF CHITOSAN-TRIPOLYPHOSPHATE COMPLEX-ENCAPSULATED ANTHOCYANIN AT HIGH WATER ACTIVITY</t>
    </r>
    <r>
      <rPr>
        <rFont val="Calibri"/>
        <color theme="1"/>
        <sz val="11.0"/>
      </rPr>
      <t xml:space="preserve">. </t>
    </r>
    <r>
      <rPr>
        <rFont val="Calibri"/>
        <i/>
        <color rgb="FF000000"/>
        <sz val="11.0"/>
      </rPr>
      <t>Jurnal Teknologi Dan Industri Pangan</t>
    </r>
    <r>
      <rPr>
        <rFont val="Calibri"/>
        <color theme="1"/>
        <sz val="11.0"/>
      </rPr>
      <t xml:space="preserve">, </t>
    </r>
    <r>
      <rPr>
        <rFont val="Calibri"/>
        <i/>
        <color rgb="FF000000"/>
        <sz val="11.0"/>
      </rPr>
      <t>31</t>
    </r>
    <r>
      <rPr>
        <rFont val="Calibri"/>
        <color theme="1"/>
        <sz val="11.0"/>
      </rPr>
      <t>(2), 171-179. https://doi.org/10.6066/jtip.2020.31.2.171</t>
    </r>
  </si>
  <si>
    <t>http://ithh.journal.ipb.ac.id/index.php/jtip/article/view/30918</t>
  </si>
  <si>
    <t>I10 - Brevete OSIM/ internaţionale/ triadice</t>
  </si>
  <si>
    <t>Se va anexa documentul doveditor (înregistrarea în buletinul oficial aferent) şi înregistrarea la Serviciul CD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</si>
  <si>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</si>
  <si>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</si>
  <si>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</si>
  <si>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</si>
  <si>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Preparing hemp oil enriched with Hibiscus extract, by preparing natural extract from dried petals of Hibiscus by cold maceration, followed by filtration and centrifugation, and adding anthocyanin and soy lecithin to cold-pressed hemp oil</t>
  </si>
  <si>
    <t>OANCEA R S, DRAGHICI O, PERJU M</t>
  </si>
  <si>
    <t>Cerere de brevet OSIM RO133811-A0
 indexata in Thomson Reuters (TR)</t>
  </si>
  <si>
    <t xml:space="preserve">Preparing hemp oil enriched with Hibiscus extract, by preparing natural extract from dried petals of Hibiscus by cold maceration, followed by filtration and centrifugation, and adding anthocyanin and soy lecithin to cold-pressed hemp oil </t>
  </si>
  <si>
    <t>I11 - Modele de utilitate (micul brevet)</t>
  </si>
  <si>
    <t>Se va anexa documentul doveditor pentru modelul de utilitate (înregistrarea în buletinul oficial aferent) şi înregistrarea la Serviciul CD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</si>
  <si>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</si>
  <si>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</si>
  <si>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</si>
  <si>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</si>
  <si>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</si>
  <si>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</si>
  <si>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</si>
  <si>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</si>
  <si>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</si>
  <si>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</si>
  <si>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</si>
  <si>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</si>
  <si>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</si>
  <si>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</si>
  <si>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</si>
  <si>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</si>
  <si>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</si>
  <si>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</si>
  <si>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</si>
  <si>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</si>
  <si>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</si>
  <si>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</si>
  <si>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</si>
  <si>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</si>
  <si>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</si>
  <si>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</si>
  <si>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</si>
  <si>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Analele Universităţii din Oradea, Fascicula Biologie</t>
  </si>
  <si>
    <t>WoS, Scopus</t>
  </si>
  <si>
    <t>https://www.bioresearch.ro/revistaen.html</t>
  </si>
  <si>
    <t>Business and Service Technologies</t>
  </si>
  <si>
    <t>Google, Science Index, WorldCat, etc.</t>
  </si>
  <si>
    <t>http://rrbusiness.ru/en/editorial-board/</t>
  </si>
  <si>
    <t>International Journal of Pharmacology, Phytochemistry and Ethnomedicine</t>
  </si>
  <si>
    <t>Google Scholar, Chemical Abstract Services, Open-J Gate, CAB, etc..</t>
  </si>
  <si>
    <t>https://www.scipress.com/IJPPE/editorial-board</t>
  </si>
  <si>
    <t>Advances in Pharmacology &amp; Clinical Trials (APCT)</t>
  </si>
  <si>
    <t>Google Scholar Citation, Index Copernicus, Publons, Scilit, etc.</t>
  </si>
  <si>
    <t>https://medwinpublishers.com/APCT/editorial-board.php</t>
  </si>
  <si>
    <t>Lucrări Stiintifice. Management Agricol.</t>
  </si>
  <si>
    <r>
      <rPr>
        <rFont val="arial narrow"/>
        <b/>
        <color theme="1"/>
        <sz val="10.0"/>
      </rPr>
      <t>EBSCO</t>
    </r>
    <r>
      <rPr>
        <rFont val="Arial Narrow"/>
        <b val="0"/>
        <color theme="1"/>
        <sz val="10.0"/>
      </rPr>
      <t>, </t>
    </r>
    <r>
      <rPr>
        <rFont val="Arial Narrow"/>
        <b/>
        <color theme="1"/>
        <sz val="10.0"/>
      </rPr>
      <t>CABI Full Text</t>
    </r>
  </si>
  <si>
    <t>http://www.lsma.ro/index.php/lsma/about/editorialTeam</t>
  </si>
  <si>
    <t>Acta Universitatis Cibiniensis. Series E: Food Technology</t>
  </si>
  <si>
    <t>DOAJ, CABI, Publons, EBSCO, CAS, google scholar, …</t>
  </si>
  <si>
    <t>https://content.sciendo.com/view/journals/aucft/aucft-overview.xml?tab_body=editorialContent-68844</t>
  </si>
  <si>
    <t>ACTA UNIVERSITATIS CIBINIENSIS, Series E: Food Technology (Editată international de Editura deGruyter) - revista ULBS</t>
  </si>
  <si>
    <t>BDI (CABI Database, Food Science Central FSTA - Food Science and technology Abstracts, Chemical Abstracts CAS (CODEN AUCSD5), EBSCO (Food Science Source), Reed Elsevier India Pvt. Ltd.)</t>
  </si>
  <si>
    <t>http://www.degruyter.com/view/j/aucft</t>
  </si>
  <si>
    <t>Sava C</t>
  </si>
  <si>
    <t>TIŢA Mihaela</t>
  </si>
  <si>
    <t>SCIREA Journal of Food</t>
  </si>
  <si>
    <t>Gogle scholar, J-Gate,TDNet</t>
  </si>
  <si>
    <t>http://www.scirea.org/journal/EditorialBoard?JournalID=55000</t>
  </si>
  <si>
    <t>Journal of Biochemical and Microbial Toxicology</t>
  </si>
  <si>
    <t xml:space="preserve">Digital Object Identifier (DOI), CrossRef. </t>
  </si>
  <si>
    <t>https://www.omicsonline.org/editorialboard-journal-biochemical-microbial-toxicology</t>
  </si>
  <si>
    <t>International Journal of Food Science and Biotechnology</t>
  </si>
  <si>
    <t>WordCat, Crossref, ResearchBib, ESJI</t>
  </si>
  <si>
    <t>http://www.ijfsb.org/editorialboard</t>
  </si>
  <si>
    <t>TITA Ovidiu, editor șef</t>
  </si>
  <si>
    <t>Acta Universitatis Cibiniensis, seria E, Food Technology</t>
  </si>
  <si>
    <t>AGRICOLA , Baidu Scholar, CABI, Chemical Abstracts Service (CAS) – SciFinder, CNKI Scholar, CNPIEC, DOAJ, EBSCO, EBSCO Discovery Service, Elsevier – Compendex, Elsevier - Engineering Village, FSTA - Food Science &amp; Technology Abstracts, Genamics JournalSeek, Google Scholar, Japan Science and Technology Agency (JST), J-Gate, JournalTOCs, KESLI-NDSL (Korean National Discovery for Science Leaders), Microsoft Academic, Naviga (Softweco), Primo Central (ExLibris), Publons, ReadCube, Sherpa/RoMEO, Summon (Serials Solutions/ProQuest), TDNet, Ulrich's Periodicals Directory/ulrichsweb, WanFang Data, WorldCat (OCLC)</t>
  </si>
  <si>
    <t>http://saiapm.ulbsibiu.ro/ACTA_E/AUCFT.html</t>
  </si>
  <si>
    <t>TITA Ovidiu</t>
  </si>
  <si>
    <t>International Journal of Pharmacognosy and Chinese Medicine (ISSN: 2576-4772).</t>
  </si>
  <si>
    <t>Google Scholar, academic Resource Index, Advanced Sciences Index, Index Copernicus, Publons, Scilit ICMJE - International Comitte Medical Jurnal Editors</t>
  </si>
  <si>
    <t>https://medwinpublishers.com/IPCM/editorial-board.php</t>
  </si>
  <si>
    <t>Editura EUROSTAMPA - Ingineria mecanica si stiinta materialelor.</t>
  </si>
  <si>
    <t>http://www.eurostampa.ro/</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</si>
  <si>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</si>
  <si>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</si>
  <si>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</si>
  <si>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</si>
  <si>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</si>
  <si>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</si>
  <si>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</si>
  <si>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</si>
  <si>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august</t>
  </si>
  <si>
    <t>https://www.rombio.org/</t>
  </si>
  <si>
    <t>Micron, Impact factor/2019=1,726, revista indexată WoS</t>
  </si>
  <si>
    <t>https://www.journals.elsevier.com/micron/editorial-board</t>
  </si>
  <si>
    <t>Journal of Applied Phycology</t>
  </si>
  <si>
    <t>https://www.springer.com/journal/10811</t>
  </si>
  <si>
    <t>African Journal of Pure and Applied Chemistry</t>
  </si>
  <si>
    <t>www.ms.academicjournals.org</t>
  </si>
  <si>
    <t>Food and Nutrition Sciences</t>
  </si>
  <si>
    <t>https://www.scirp.org/journal/FNS/</t>
  </si>
  <si>
    <t>03.04.2020</t>
  </si>
  <si>
    <t>6.06.2020</t>
  </si>
  <si>
    <t>Acta Universitatis Cibiniensis, Seria E: Food Technology</t>
  </si>
  <si>
    <t>https://content.sciendo.com/view/journals/aucft/aucft-overview.xml</t>
  </si>
  <si>
    <t>30.05.2020</t>
  </si>
  <si>
    <t>31.03.2020</t>
  </si>
  <si>
    <t>Scientific Publications - University of Bacau [News] (scientific reviews, abstracts and articles)</t>
  </si>
  <si>
    <t>16.09.2020</t>
  </si>
  <si>
    <t>Zeitschrift für Naturforschung C: A Journal of Biosciences</t>
  </si>
  <si>
    <t>https://publons.com/journal/61744/zeitschrift-fur-naturforschung-c-a-journal-of-bios/</t>
  </si>
  <si>
    <t>5.07.2020</t>
  </si>
  <si>
    <t>Iagăru Pompilica</t>
  </si>
  <si>
    <t>Scientific Papers Agricultural Management</t>
  </si>
  <si>
    <t>http://www.lsma.ro/index.php/lsma</t>
  </si>
  <si>
    <t>24.09.2020                                 1807-5269-1-RV</t>
  </si>
  <si>
    <t>24.09.2020                                 1808-5271-1-RV</t>
  </si>
  <si>
    <t>24.09.2020                                 1809-5289-1-RV</t>
  </si>
  <si>
    <t>Iagăru Romulus</t>
  </si>
  <si>
    <t>24.09.2020                                 1769-5275-1-SP</t>
  </si>
  <si>
    <t>24.09.2020                                 1773-5287-1-SP</t>
  </si>
  <si>
    <t>24.09.2020                                 1786-5212-1-SP</t>
  </si>
  <si>
    <t>24.09.2020                                 1792-5259-1-SP</t>
  </si>
  <si>
    <t>24.09.2020                                 1805-5262-1-RV</t>
  </si>
  <si>
    <t>Acta Universitatis Cibiensis. Serie E: Food Technology</t>
  </si>
  <si>
    <t>Food Control/Aflatoxin M1 in UHT and Powder Milk marketed in the Northern area of Morocco</t>
  </si>
  <si>
    <t>https://ees.elsevier.com/foodcont/</t>
  </si>
  <si>
    <t>Food Control/Title: Mycotoxins in teas and medicinal plants destined to prepare infusions in Portugal</t>
  </si>
  <si>
    <t>Food Research International/Burden of disease associated with dietary exposure to carcinogenic aflatoxins in Portugal: a human
biomonitoring approach</t>
  </si>
  <si>
    <t>https://ees.elsevier.com/foodres/</t>
  </si>
  <si>
    <t>Food Control/A multi-technique approach for fraud detection in milk, cheeses and vegetable drinks</t>
  </si>
  <si>
    <t>Mironescu Ion Dan</t>
  </si>
  <si>
    <t>International Journal Bioautomation</t>
  </si>
  <si>
    <t>http://biomed.bas.bg/bioautomation/</t>
  </si>
  <si>
    <t>25.05.2020</t>
  </si>
  <si>
    <t>Periodica Polytechnica Chemical Engineering</t>
  </si>
  <si>
    <t>https://pp.bme.hu/ch</t>
  </si>
  <si>
    <t>24.04.2020</t>
  </si>
  <si>
    <t>https://www.mdpi.com/journal/processes</t>
  </si>
  <si>
    <t>20.09.2020</t>
  </si>
  <si>
    <t>12.01.2020</t>
  </si>
  <si>
    <t>15.08.2020</t>
  </si>
  <si>
    <t>Applied Sciences</t>
  </si>
  <si>
    <t>https://www.mdpi.com/journal/applsci</t>
  </si>
  <si>
    <t>05.05.2020</t>
  </si>
  <si>
    <t>07.10.2020</t>
  </si>
  <si>
    <t>Molecules</t>
  </si>
  <si>
    <t>https://www.mdpi.com/journal/molecules</t>
  </si>
  <si>
    <t>08.11.2020</t>
  </si>
  <si>
    <t>Claudia Felicia OGNEAN</t>
  </si>
  <si>
    <t xml:space="preserve">Acta Universitatis Cibiniensis. Series E: Food Technology (articol recenzat: NUTRITIONAL PROPERTIES OF SAKADA PRODUCED FROM BLENDS OF CASSAVA AND AFRICAN YAM BEAN FLOURS) </t>
  </si>
  <si>
    <t>https://content.sciendo.com/configurable/contentpage/journals$002faucft$002faucft-overview.xml</t>
  </si>
  <si>
    <t>1.09.2020</t>
  </si>
  <si>
    <t>Mihai OGNEAN</t>
  </si>
  <si>
    <t xml:space="preserve">Acta Universitatis Cibiniensis. Series E: Food Technology (articol recenzat: CHARACTERISTICS OF TECHNOLOGICAL PROPERTIES OF 
GRAIN AND FLOUR FROM ANCIENT VARIETIES OF WHEAT (EINKORN, EMMER AND SPELT) </t>
  </si>
  <si>
    <t>27.10.2020</t>
  </si>
  <si>
    <t xml:space="preserve">Acta Universitatis Cibiniensis. Series E: Food Technology (articol recenzat: BISCUITS FROM FERMENTED ROASTED BUCKWHEAT FLOUR - PHENOLICS PROFILE AND BIOACCESSIBLE ANGIOTENSIN CONVERTING ENZYME INHIBITORY ACTIVITY) </t>
  </si>
  <si>
    <t>05.08.2020</t>
  </si>
  <si>
    <t>PACALA Mariana-Liliana</t>
  </si>
  <si>
    <t>03 aprilie 2020</t>
  </si>
  <si>
    <t>12 octombrie 2020</t>
  </si>
  <si>
    <t>Asian Journal of Research in Crop Science</t>
  </si>
  <si>
    <t>https://www.journalajrcs.com/index.php/AJRCS/abstracting-indexing</t>
  </si>
  <si>
    <t xml:space="preserve"> SN Applied Sciences</t>
  </si>
  <si>
    <t>https://www.springer.com/journal/42452/</t>
  </si>
  <si>
    <t>10 Noiembrie 2020</t>
  </si>
  <si>
    <t>25 Mai 2020</t>
  </si>
  <si>
    <t>Spânu Simona</t>
  </si>
  <si>
    <t xml:space="preserve">Sustainability </t>
  </si>
  <si>
    <t>https://susy.mdpi.com/user/reviewer/status/finished</t>
  </si>
  <si>
    <t>13.04.2020</t>
  </si>
  <si>
    <t>Atmosphere</t>
  </si>
  <si>
    <t>02.07.2020</t>
  </si>
  <si>
    <t>11.08.2020</t>
  </si>
  <si>
    <t xml:space="preserve">Bulletin of the Transilvania University of Braşov , Series II: Forestry • Wood Industry • Agricultural Food Engineering, </t>
  </si>
  <si>
    <t>http://webbut.unitbv.ro/bulletin/Series%20II/Series%20II.html</t>
  </si>
  <si>
    <t xml:space="preserve">Animals </t>
  </si>
  <si>
    <t>https://www.mdpi.com/journal/animals</t>
  </si>
  <si>
    <t>Patogens</t>
  </si>
  <si>
    <t>https://www.mdpi.com/journal/pathogens</t>
  </si>
  <si>
    <t>Dairy</t>
  </si>
  <si>
    <t>https://www.mdpi.com/journal/dairy</t>
  </si>
  <si>
    <t xml:space="preserve">48th Actual Tasks on Agricultural Engineering </t>
  </si>
  <si>
    <t>atae.agr.hr</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</si>
  <si>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</si>
  <si>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</si>
  <si>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</si>
  <si>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</si>
  <si>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</si>
  <si>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</si>
  <si>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</si>
  <si>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</si>
  <si>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</si>
  <si>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Simpozionul național ”Agricultura si implicatia ei in activitatea si santatea omului” - on-line</t>
  </si>
  <si>
    <t>națională</t>
  </si>
  <si>
    <t>http://saiapm.ulbsibiu.ro/index.php/ciaiaso-2020/</t>
  </si>
  <si>
    <t>organizator principal</t>
  </si>
  <si>
    <t>8 octombrie 2020</t>
  </si>
  <si>
    <t>II International Symposium "Innovations in Life Sciences"</t>
  </si>
  <si>
    <t>Internationala</t>
  </si>
  <si>
    <t>II International Symposium "Innovations in Life Sciences" Committees (bsu.edu.ru)</t>
  </si>
  <si>
    <t>membru</t>
  </si>
  <si>
    <t>19-20.05. 2020</t>
  </si>
  <si>
    <t>Agricultura si implicatia ei in activitatea si santatea omului</t>
  </si>
  <si>
    <t>nationala</t>
  </si>
  <si>
    <t>Stanca Moise Cristina</t>
  </si>
  <si>
    <t>membru in comitetul de organizare</t>
  </si>
  <si>
    <t>Simpozionul Național „Agricultura și implicațiile ei în alimentația și sănătatea omului”</t>
  </si>
  <si>
    <t>Națională</t>
  </si>
  <si>
    <t>Organizator principal</t>
  </si>
  <si>
    <t>8 oct. 2020</t>
  </si>
  <si>
    <t>I17 - Proiecte derulate cu terţii în evidenţa financiară a ULBS</t>
  </si>
  <si>
    <r>
      <rPr>
        <rFont val="arial narrow"/>
        <color rgb="FF000000"/>
        <sz val="10.0"/>
      </rPr>
      <t xml:space="preserve">Se iau în calcul doar proiectele pentru care există la Serviciul CD </t>
    </r>
    <r>
      <rPr>
        <rFont val="Arial Narrow"/>
        <color rgb="FF000000"/>
        <sz val="10.0"/>
      </rPr>
      <t>/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</si>
  <si>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</si>
  <si>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</si>
  <si>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</si>
  <si>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</si>
  <si>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</si>
  <si>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</si>
  <si>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</si>
  <si>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</si>
  <si>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</si>
  <si>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</si>
  <si>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</si>
  <si>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</si>
  <si>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</si>
  <si>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Cercetări privind optimizarea producției și asigurarea calității în unitățile de procesare a mierii</t>
  </si>
  <si>
    <t>Asociatia Procesatorilor si Exportatorilor de Miere din Romania APEMAR</t>
  </si>
  <si>
    <t>01.01.2021-31.03.2021</t>
  </si>
  <si>
    <t xml:space="preserve">I18 - Aplicaţii la competiţii de cercetare </t>
  </si>
  <si>
    <t xml:space="preserve">Aplicaţia la proiect trebuie efectuată în numele ULBS şi trebuie notificată la Serviciul CD.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</si>
  <si>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</si>
  <si>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</si>
  <si>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</si>
  <si>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</si>
  <si>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</si>
  <si>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</si>
  <si>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</si>
  <si>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</si>
  <si>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</si>
  <si>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</si>
  <si>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</si>
  <si>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PHoEBUS  - Development of Professional competencies and competencies through Higher Education and BUSiness cooperation</t>
  </si>
  <si>
    <t xml:space="preserve">Erasmus+ KA2 – Cooperation for innovation and the exchange of good practices – Capacity Building in the field of Higher Education </t>
  </si>
  <si>
    <t>Partener</t>
  </si>
  <si>
    <t>https://eacea.ec.europa.eu/erasmus-plus/selection-results/capacity-building-in-field-higher-education-2020_en</t>
  </si>
  <si>
    <t>17.08.2020</t>
  </si>
  <si>
    <t>ECOLOGICAL AND SUSTAINABLE STARCH-BASED ACTIVE FILM TO BE USED AS ADVANCED FOOD PACKAGING</t>
  </si>
  <si>
    <t>PED Competitivitate prin cercetare, dezvoltare şi inovare – Proiect experimental - demonstrativ</t>
  </si>
  <si>
    <t>Beneficiar</t>
  </si>
  <si>
    <t>https://uefiscdi.gov.ro/resource-829447-d4_finale.pdf</t>
  </si>
  <si>
    <t>19.05.2020</t>
  </si>
  <si>
    <t>Entrepreneurship and E-Learning as New Practices for Promoting Tunisian Higher Education Graduates Employability (4EDU-PRO)</t>
  </si>
  <si>
    <t>PN-III-P4-ID-PCE2020-0164, Cercetări privind potențialul bioantioxidanților vegetali și fungici pentru
stabilizarea oxidativă a produselor cu nutrienți termosensibili</t>
  </si>
  <si>
    <t>programul PNIII - PROIECTE DE CERCETARE EXPLORATORIE (PCE 2020)</t>
  </si>
  <si>
    <t>beneficiar</t>
  </si>
  <si>
    <t>https://uefiscdi.gov.ro/resource-825880-pce2020_rezultate-finale_biotehnologii.pdf?&amp;wtok=&amp;wtkps=XU5broIwEN1LvxU7rYUy/LgCY+IKKuVqE146iKBh77aNyb3XrzlzXjkGM3wRSmTkLCsIlUBmQM2STzQ85zFvemN1e53K7pzPPc9SWevLaTutBRlKxzXQ1IIbQhaQuXB9hU4/YOcV45VXlJu/j/c61MDzYlnihNJSoLZahLIMmbV9ezhuZMaFFporHUt99JdZCQAlASTIOEHF1P4rAxzZf6Of9qgCkB41nb3XVdLdzsm9+nFUWpeMrnok5ja4sqtZsbwB&amp;wchk=d33b458a3b53d0da36560abcb6375b9fb0adaad3</t>
  </si>
  <si>
    <t>29.12.2020</t>
  </si>
  <si>
    <t>FROM FUNCTIONAL TO TAILOR-MADE FOODS - E-LEARNING TOOLS TO ASSURE SUSTAINABILITY AND INNOVATION” FROM FUNCTIONAL TO TAILOR-MADE FOODS - E-LEARNING TOOLS TO ASSURE  SUSTAINABILITY AND INNOVATION” ESI-TaimFoods</t>
  </si>
  <si>
    <t>ERASMUS+ KA203 - Strategic Partnerships for higher education</t>
  </si>
  <si>
    <t>partener</t>
  </si>
  <si>
    <t>George Kostov (Bulgaria) Mihai OGNEAN (ULBS)</t>
  </si>
  <si>
    <t>http://hrdc.bg/wp-content/uploads/2020/08/Results_KA2_203_24.03.2020%D0%B3.23.04.2020%D0%B3..xlsx</t>
  </si>
  <si>
    <t>septembrie 2020</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</si>
  <si>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</si>
  <si>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</si>
  <si>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</si>
  <si>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</si>
  <si>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</si>
  <si>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</si>
  <si>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</si>
  <si>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</si>
  <si>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</si>
  <si>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</si>
  <si>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</si>
  <si>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Resursele genetice pentru alimentație și agricultură din zona montană: valori ale patrimoniului cultural</t>
  </si>
  <si>
    <t>Antofie MM, Sava C</t>
  </si>
  <si>
    <t>ZIUA INTERNAȚIONALĂ A MUNTELUI” – 2020</t>
  </si>
  <si>
    <t>http://www.ce-mont.ro/media/attachments/2020/12/09/ziua-internationala-a-muntelui---invitatie-program---11-dec-2020.pdf</t>
  </si>
  <si>
    <t>Aparate, analize și tehnică de cercetare în protecția mediului</t>
  </si>
  <si>
    <t>Noaptea Cercetătorilor</t>
  </si>
  <si>
    <t>http://cercetare.ulbsibiu.ro/NC_program2020.html</t>
  </si>
  <si>
    <t>Preparate culinare locale</t>
  </si>
  <si>
    <r>
      <rPr>
        <rFont val="arial narrow"/>
        <color theme="1"/>
        <sz val="10.0"/>
      </rPr>
      <t xml:space="preserve">Mirela Cărătuș, Robert Blaj, </t>
    </r>
    <r>
      <rPr>
        <rFont val="Arial Narrow"/>
        <b/>
        <color theme="1"/>
        <sz val="10.0"/>
      </rPr>
      <t>Iuliana Antonie</t>
    </r>
    <r>
      <rPr>
        <rFont val="Arial Narrow"/>
        <color theme="1"/>
        <sz val="10.0"/>
      </rPr>
      <t>, Stud. Teodora Conțiu, Stud. Dan Gâdea, Stud. Manuela Mașca, Stud. Adela Maier</t>
    </r>
  </si>
  <si>
    <t>Noaptea Cercetătorilor 2020</t>
  </si>
  <si>
    <t>http://cercetare.ulbsibiu.ro/nc.html</t>
  </si>
  <si>
    <t>27.11.2020</t>
  </si>
  <si>
    <t>NOI DATE PRIVIND „EXPERIMENTUL GUȘTERIȚA” (JUDEȚUL SIBIU) – FAUNA DE COLEOPTERE</t>
  </si>
  <si>
    <t>Simpozionul național ”Agricultura si implicatia ei in activitatea si santatea omului” on-line</t>
  </si>
  <si>
    <t>https://brukenthalnaturale.wordpress.com/2020/10/07/simpozionul-agricultura-si-implicatiile-ei-in-alimentatia-si-sanatatea-omului/</t>
  </si>
  <si>
    <t>08.10.2020</t>
  </si>
  <si>
    <t>Barbu C.H.</t>
  </si>
  <si>
    <t>Noaptea cercetatorilor 2020</t>
  </si>
  <si>
    <t>http://cercetare.ulbsibiu.ro/NoapteaCercetatorilor/NC2019/ProgramNC2019lung.pdf</t>
  </si>
  <si>
    <t>Mirela Cărătuș, Robert Blaj, Iuliana Antonie, Stud. Teodora Conțiu, Stud. Dan Gâdea, Stud. Manuela Mașca, Stud. Adela Maier</t>
  </si>
  <si>
    <t>Noaptea cercetătorilor 2020</t>
  </si>
  <si>
    <t>Grădina digitală</t>
  </si>
  <si>
    <t>Noaptea cercetătorilor</t>
  </si>
  <si>
    <t>Analiza emulsiilor alimentare ulei/apă și apă/ulei</t>
  </si>
  <si>
    <t>Cum să creștem sănătos?</t>
  </si>
  <si>
    <t>NOAPTEA CERCETĂTORILOR</t>
  </si>
  <si>
    <t>27 noiembrie 2020</t>
  </si>
  <si>
    <t>Drojdii de vin</t>
  </si>
  <si>
    <t>27 nov 2020</t>
  </si>
  <si>
    <t>Aparate, analize și tehnica de cercetare în protecția mediului</t>
  </si>
  <si>
    <t>Barbu H., Moise C., Moise G., Gaspar E.</t>
  </si>
  <si>
    <t xml:space="preserve">Universitatea "Lucian Blaga" Noaptea Cercetătorilor </t>
  </si>
  <si>
    <t>Gaspar Eniko</t>
  </si>
  <si>
    <t>A comparative study on the chemical composition and antioxidant activity of two species of herbs Melissa officinalis L. and Melittis melissophyllum L.</t>
  </si>
  <si>
    <r>
      <rPr>
        <rFont val="arial narrow"/>
        <color theme="1"/>
        <sz val="10.0"/>
      </rPr>
      <t xml:space="preserve">Lidia-Ioana, Virchea, Felicia Gabriela, Gligor, Adina, Frum, Monica, Mironescu, </t>
    </r>
    <r>
      <rPr>
        <rFont val="Arial Narrow"/>
        <b/>
        <color theme="1"/>
        <sz val="10.0"/>
      </rPr>
      <t>Cecilia, Georgescu</t>
    </r>
    <r>
      <rPr>
        <rFont val="Arial Narrow"/>
        <color theme="1"/>
        <sz val="10.0"/>
      </rPr>
      <t xml:space="preserve"> </t>
    </r>
  </si>
  <si>
    <t>Biotechnology and Food Biotechnology Conference</t>
  </si>
  <si>
    <t>http://bft-conf.com/scientific-committee/</t>
  </si>
  <si>
    <t>27-29 Octombrie 2020</t>
  </si>
  <si>
    <t xml:space="preserve">Designing novel bioactive hard candy enriched with beta-glucans and essential oils </t>
  </si>
  <si>
    <r>
      <rPr>
        <rFont val="arial narrow"/>
        <color theme="1"/>
        <sz val="10.0"/>
      </rPr>
      <t xml:space="preserve">Mironescu Monica, Danil Terentyev, </t>
    </r>
    <r>
      <rPr>
        <rFont val="Arial Narrow"/>
        <b/>
        <color theme="1"/>
        <sz val="10.0"/>
      </rPr>
      <t xml:space="preserve">Georgescu Cecilia, </t>
    </r>
    <r>
      <rPr>
        <rFont val="Arial Narrow"/>
        <color theme="1"/>
        <sz val="10.0"/>
      </rPr>
      <t>Mark Shamtsyan</t>
    </r>
  </si>
  <si>
    <t>Comparative analysis and antimicrobial action of some essential oils from plants</t>
  </si>
  <si>
    <r>
      <rPr>
        <rFont val="arial narrow"/>
        <color theme="1"/>
        <sz val="10.0"/>
      </rPr>
      <t xml:space="preserve">Monica Mironescu, Nina I. Myachikova and </t>
    </r>
    <r>
      <rPr>
        <rFont val="Arial Narrow"/>
        <b/>
        <color theme="1"/>
        <sz val="10.0"/>
      </rPr>
      <t>Cecilia Georgescu</t>
    </r>
  </si>
  <si>
    <t xml:space="preserve">INNОVATIОNS IN LIFE SСIENСES
</t>
  </si>
  <si>
    <t>http://ils2020.bsu.edu.ru/ils2020/</t>
  </si>
  <si>
    <t>19-20 Mai, 2020</t>
  </si>
  <si>
    <t>Ceaiuri de poveste si dulceta bunicii</t>
  </si>
  <si>
    <t>Iagaru Romulus, Iagaru Pompilica</t>
  </si>
  <si>
    <t>Noaptea cercetatorilor</t>
  </si>
  <si>
    <t>Sistem aerian de monitorizare a culturilor agricole</t>
  </si>
  <si>
    <t>Iagaru Romulus, Iagaru Pompilica, Bratu Iulian, Barbu Ion, Pășcănuț Ioan</t>
  </si>
  <si>
    <t>Rulouri de sfecla roșie</t>
  </si>
  <si>
    <t>DECONTAMINATION REACTOR OF AFLATOXIN M IN MILK</t>
  </si>
  <si>
    <t>Otto KETNEY, Aurel - Mihail TITU</t>
  </si>
  <si>
    <t>FSAAA2</t>
  </si>
  <si>
    <t>EUROINVENT 2020</t>
  </si>
  <si>
    <t>https://www.euroinvent.org/</t>
  </si>
  <si>
    <t>21-23.03.2020</t>
  </si>
  <si>
    <t>One of the major problems facing humanity</t>
  </si>
  <si>
    <t>Doina Roncea, (biolog pensionar) Ecaterina Lengyel</t>
  </si>
  <si>
    <t>”Anthropology of communication”, Proceedings of the 5th International Conference, Sibiu, 147-157,  ISBN 978-606-733-290-2</t>
  </si>
  <si>
    <t>https://lobbyart-anthropology.ro/Anthropology--and--Communication.php</t>
  </si>
  <si>
    <r>
      <rPr>
        <rFont val="arial narrow"/>
        <color theme="1"/>
        <sz val="10.0"/>
      </rPr>
      <t xml:space="preserve">Lidia-Ioana Virchea, Felicia Gabriela Gligor, Adina Frum, </t>
    </r>
    <r>
      <rPr>
        <rFont val="Arial Narrow"/>
        <b/>
        <color theme="1"/>
        <sz val="10.0"/>
      </rPr>
      <t>Monica Mironescu</t>
    </r>
    <r>
      <rPr>
        <rFont val="Arial Narrow"/>
        <color theme="1"/>
        <sz val="10.0"/>
      </rPr>
      <t xml:space="preserve">, Cecilia Georgescu </t>
    </r>
  </si>
  <si>
    <t xml:space="preserve">Comparative analysis of the chemical composition and antioxidant activity of fruits and berries from Romania and Russia </t>
  </si>
  <si>
    <r>
      <rPr>
        <rFont val="arial narrow"/>
        <color theme="1"/>
        <sz val="10.0"/>
      </rPr>
      <t xml:space="preserve">Anastasiia Sumacheva, Adina Frum, Mark Shamtsyan, Endre Mathe, </t>
    </r>
    <r>
      <rPr>
        <rFont val="Arial Narrow"/>
        <b/>
        <color rgb="FF000000"/>
        <sz val="10.0"/>
      </rPr>
      <t>Monica Mironescu</t>
    </r>
    <r>
      <rPr>
        <rFont val="Arial Narrow"/>
        <color rgb="FF000000"/>
        <sz val="10.0"/>
      </rPr>
      <t xml:space="preserve">, </t>
    </r>
    <r>
      <rPr>
        <rFont val="Arial Narrow"/>
        <color rgb="FF000000"/>
        <sz val="10.0"/>
      </rPr>
      <t>Cecilia Georgescu</t>
    </r>
  </si>
  <si>
    <r>
      <rPr>
        <rFont val="Arial Narrow"/>
        <b/>
        <color theme="1"/>
        <sz val="10.0"/>
      </rPr>
      <t>Mironescu Monica</t>
    </r>
    <r>
      <rPr>
        <rFont val="Arial Narrow"/>
        <color theme="1"/>
        <sz val="10.0"/>
      </rPr>
      <t>, Danil Terentyev, Georgescu Cecilia</t>
    </r>
    <r>
      <rPr>
        <rFont val="Arial Narrow"/>
        <b/>
        <color theme="1"/>
        <sz val="10.0"/>
      </rPr>
      <t xml:space="preserve">, </t>
    </r>
    <r>
      <rPr>
        <rFont val="Arial Narrow"/>
        <color theme="1"/>
        <sz val="10.0"/>
      </rPr>
      <t>Mark Shamtsyan</t>
    </r>
  </si>
  <si>
    <r>
      <rPr>
        <rFont val="Arial Narrow"/>
        <b/>
        <color theme="1"/>
        <sz val="10.0"/>
      </rPr>
      <t>Monica Mironescu</t>
    </r>
    <r>
      <rPr>
        <rFont val="Arial Narrow"/>
        <color theme="1"/>
        <sz val="10.0"/>
      </rPr>
      <t>, Nina I. Myachikova and Cecilia Georgescu</t>
    </r>
  </si>
  <si>
    <r>
      <rPr>
        <rFont val="Arial"/>
        <color rgb="FF000000"/>
        <sz val="10.0"/>
      </rPr>
      <t xml:space="preserve">Camelia Sava, Cristina Moise, Horia Barbu, Mihaela Antofie, </t>
    </r>
    <r>
      <rPr>
        <rFont val="Arial"/>
        <b/>
        <color rgb="FF000000"/>
        <sz val="10.0"/>
      </rPr>
      <t>George Mois</t>
    </r>
    <r>
      <rPr>
        <rFont val="Arial"/>
        <color rgb="FF000000"/>
        <sz val="10.0"/>
      </rPr>
      <t>e, Eniko Gaspar, Alexandra Nagy, Petronela Vecerdea, Stud. Ana Maria Marinescu, Stud. Claudia Căta, Stud. Roxana Rusu</t>
    </r>
  </si>
  <si>
    <t>27 Noiembrie 2020</t>
  </si>
  <si>
    <t>SUPRAFAȚA ANTROPICĂ, UN INDICATOR AL DEZECHILIBRULUI CLIMATIC PLANETAR</t>
  </si>
  <si>
    <t xml:space="preserve">PROGRAMUL SIMPOZIONULUI ȘTIINȚIFIC ANUAL – 2020, Simpozionul AGRICULTURA ȘI IMPLICAȚIILE EI ÎN ALIMENTAȚIA ȘI SĂNĂTATEA OMULUI </t>
  </si>
  <si>
    <t>Camelia Sava, Cristina Moise, Horia Barbu, Mihaela Antofie, George Moise, Eniko Gaspar, Alexandra Nagy, Petronela Vecerdea, Stud. Ana Maria Marinescu, Stud. Claudia Căta, Stud. Roxana Rusu</t>
  </si>
  <si>
    <t xml:space="preserve">SOME LEPIDOPTERA SPECIES AS A PEST OF THE FOREST AND AGRICULTURAL ECOSYSTEMS, PRESERVED IN THE ENTOMOLOGICAL COLLECTIONS OF THE NATURAL HISTORY MUSEUM IN SIBIU  </t>
  </si>
  <si>
    <t>Pâinea între tradiție și necesitate</t>
  </si>
  <si>
    <t>Ognean Mihai, Ognean Claudia Felicia</t>
  </si>
  <si>
    <t>SOURDOUGH INITIATION: EFFECTS OF TEMPERATURE AND FLOUR
TYPE</t>
  </si>
  <si>
    <t>International Scientific Conference
“Biotechnology and Food Technology”
BFT – 2020</t>
  </si>
  <si>
    <t>http://bft-conf.com/.</t>
  </si>
  <si>
    <t>27-29 October, 2020
Saint Petersburg, Russi</t>
  </si>
  <si>
    <t>Noaptea Cercetatorilor</t>
  </si>
  <si>
    <t>Pascanut Ioan</t>
  </si>
  <si>
    <t>Bratu Iulian, Pășcănuț Ioan, Pop Mihail, Savatie Mircea</t>
  </si>
  <si>
    <t>28 noiembrie 2020</t>
  </si>
  <si>
    <t>Pop Mihai Radu</t>
  </si>
  <si>
    <t>Analiza emulsiilor alimentare ulei/apă și apă/ ulei</t>
  </si>
  <si>
    <t>Crețu Monica, Șandru Daniela Maria</t>
  </si>
  <si>
    <t>SAR-COV-2 percepții la nivel mondial</t>
  </si>
  <si>
    <t>Lengyel Ecaterina, Cristea Ramona, Ș andru Daniela Maria</t>
  </si>
  <si>
    <t>NOAPTEA  CERCETĂTORILOR</t>
  </si>
  <si>
    <t>Savatie Mircea</t>
  </si>
  <si>
    <t>Anintegrated approach for walnutsindustrial processing</t>
  </si>
  <si>
    <t>Cristina Popovici (Technical University of Moldova, Republic of Moldova ), Mihaela Adriana Tița (ULBS), Alexei Baerle (Technical University of Moldova, Republic of Moldova ),</t>
  </si>
  <si>
    <t>59thScience Conference of Ruse University,Bulgaria, p.486</t>
  </si>
  <si>
    <t>http://conf.uni-ruse.bg/bg/docs/Booklet%20SC%2720.pdf</t>
  </si>
  <si>
    <t>noiembrie</t>
  </si>
  <si>
    <t>Research on the production of cream cheese from buffalo milk with the addition of pumpkin peel</t>
  </si>
  <si>
    <t>Mihaela Adriana Tita (ULBS), Loreta Tamošaitienė( Klaipeda State University of Applied Sciences, Lithuania)), Vijole Bradauskiene ( Klaipeda State University of Applied Sciences, Lithuania), Adelina Constantinescu (ULBS), Mădălina Moga (Liceul tehnologic de Industrie Alimentara Sibiu)</t>
  </si>
  <si>
    <t>International Scientific Conference  “Biotechnology and Food Technology”BFT – 2020, p.107</t>
  </si>
  <si>
    <t>octombrie</t>
  </si>
  <si>
    <t xml:space="preserve">THE ANTIOXIDANT AND PRESERVATIVE POTENTIAL OF FOODS ESSENTIAL OILS. </t>
  </si>
  <si>
    <t xml:space="preserve">Tiberius OPRȚA1, Adelina Constantinescu2, Mădălin Marian AMZA3, Valentina Mădălina MOGA4, Ovidiu TIȚA5
1 Solina Romania SRL (Solina Group), Alba Iulia, Romania;
2 Lucian Blaga University of Sibiu, Romania;
3 Moara Cibin Sibiu, Romania;
4 Technical College of Food Industry "Terezianum" Sibiu, Romania;
5 Lucian Blaga University of Sibiu, Romania
</t>
  </si>
  <si>
    <t>International Scientific Conference “Biotechnology and Food Technology” BFT – 2020</t>
  </si>
  <si>
    <t>https://www.e3s-conferences.org/articles/e3sconf/abs/2020/75/contents/contents.html</t>
  </si>
  <si>
    <t>27-29 October, 2020  Saint Petersburg, Russia</t>
  </si>
  <si>
    <t>PRIORITIES IN ENSURING QUALITY WINES</t>
  </si>
  <si>
    <t>Corina CIUCURE1, Diana RAȚĂ2, Anca ONACHE3, Ovidiu TIȚA4, 1 National Research and Development Institute for Cryogenics and Isotopic Technologies – ICSI Rm. Valcea, Romania, 2 SC ADEFARM Plus SRL, Sibiu, Romania, 3 National Research &amp; Development Institute for Biotechnology in Horticulture Stefanesti - Arges, Romania, 4 Lucian Blaga University of Sibiu, Romania</t>
  </si>
  <si>
    <t>IDENTIFICATION AND QUANTIFICATION OF GRAPE TERPENIC COMPOUNDS, WINE AUTHENTICATION MARKER</t>
  </si>
  <si>
    <t>Adelina CONSTANTINESCU1, Anca ONACHE2, Diana RAȚĂ3, Tiberius OPRȚA4, , Mădălin Marian AMZA5, Valentina Mădălina MOGA6, Ovidiu TIȚA1, 1 Lucian Blaga University of Sibiu, Romania, 2 National Research &amp; Development Institute for Biotechnology in Horticulture Stefanesti - Arges, Romania, 3 SC ADEFARM Plus SRL, Sibiu, Romania, 4 Solina Romania SRL (Solina Group), Alba Iulia, Romania; 5 Moara Cibin Sibiu, Romania; 6 Technical College of Food Industry "Terezianum" Sibiu, Romania;</t>
  </si>
  <si>
    <r>
      <rPr>
        <rFont val="arial narrow"/>
        <color theme="1"/>
        <sz val="10.0"/>
      </rPr>
      <t xml:space="preserve">Camelia Sava, Cristina Moise, Horia Barbu, Mihaela Antofie, George Moise, Eniko Gaspar, Alexandra Nagy, </t>
    </r>
    <r>
      <rPr>
        <rFont val="Arial Narrow"/>
        <b/>
        <color theme="1"/>
        <sz val="10.0"/>
      </rPr>
      <t>Petronela Vecerdea</t>
    </r>
    <r>
      <rPr>
        <rFont val="Arial Narrow"/>
        <color theme="1"/>
        <sz val="10.0"/>
      </rPr>
      <t>, Stud. Ana Maria Marinescu, Stud. Claudia Căta, Stud. Roxana Rusu</t>
    </r>
  </si>
  <si>
    <t xml:space="preserve">Noaptea Cercetătorilor Sibiu </t>
  </si>
  <si>
    <t>Vecerdea petronela</t>
  </si>
  <si>
    <t>O vizita in fabrica viitorului</t>
  </si>
  <si>
    <t>https://noapteacercetatorilor.ro/nc/nc2020/sibiu/                  https://www.youtube.com/watch?v=OS8fnCB_A6c</t>
  </si>
  <si>
    <t>Outdoor tourism in the context of climate changes</t>
  </si>
  <si>
    <t>FSEC 3</t>
  </si>
  <si>
    <t>27th International Economic Conference – IECS 2019</t>
  </si>
  <si>
    <t> https://easychair.org/smart-program/IECS2019/</t>
  </si>
  <si>
    <t>octombrie 2020</t>
  </si>
  <si>
    <t>Diagnostic-strategic analysis of sustainable development of Brăila County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</si>
</sst>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mmmm"/>
    <numFmt numFmtId="166" formatCode="0.00;[Red]0.00"/>
  </numFmts>
  <fonts count="158">
    <font>
      <sz val="11.0"/>
      <color theme="1"/>
      <name val="Calibri"/>
    </font>
    <font>
      <sz val="10.0"/>
      <color rgb="FF000000"/>
      <name val="Arial narrow"/>
    </font>
    <font>
      <b/>
      <sz val="10.0"/>
      <color theme="1"/>
      <name val="Arial narrow"/>
    </font>
    <font>
      <sz val="10.0"/>
      <color theme="1"/>
      <name val="Arial narrow"/>
    </font>
    <font>
      <b/>
      <sz val="11.0"/>
      <color rgb="FF000000"/>
      <name val="Calibri"/>
    </font>
    <font>
      <b/>
      <sz val="12.0"/>
      <color rgb="FF000000"/>
      <name val="Arial narrow"/>
    </font>
    <font/>
    <font>
      <b/>
      <sz val="10.0"/>
      <color rgb="FF000000"/>
      <name val="Arial narrow"/>
    </font>
    <font>
      <b/>
      <sz val="9.0"/>
      <color rgb="FF000000"/>
      <name val="Arial narrow"/>
    </font>
    <font>
      <b/>
      <sz val="9.0"/>
      <color rgb="FF000000"/>
      <name val="Calibri"/>
    </font>
    <font>
      <u/>
      <sz val="10.0"/>
      <color theme="10"/>
      <name val="Arial narrow"/>
    </font>
    <font>
      <sz val="10.0"/>
      <color rgb="FF333333"/>
      <name val="Arial narrow"/>
    </font>
    <font>
      <u/>
      <sz val="11.0"/>
      <color theme="10"/>
      <name val="Calibri"/>
    </font>
    <font>
      <u/>
      <sz val="11.0"/>
      <color theme="10"/>
      <name val="Calibri"/>
    </font>
    <font>
      <u/>
      <sz val="11.0"/>
      <color theme="10"/>
      <name val="Calibri"/>
    </font>
    <font>
      <sz val="10.0"/>
      <color theme="1"/>
      <name val="Arial"/>
    </font>
    <font>
      <sz val="10.0"/>
      <color rgb="FF333333"/>
      <name val="Arial"/>
    </font>
    <font>
      <sz val="12.0"/>
      <color theme="1"/>
      <name val="Times New Roman"/>
    </font>
    <font>
      <sz val="10.0"/>
      <color rgb="FF333333"/>
      <name val="Times New Roman"/>
    </font>
    <font>
      <sz val="10.0"/>
      <color theme="1"/>
      <name val="Times New Roman"/>
    </font>
    <font>
      <i/>
      <sz val="12.0"/>
      <color rgb="FF333333"/>
      <name val="Times New Roman"/>
    </font>
    <font>
      <sz val="9.0"/>
      <color rgb="FF333333"/>
      <name val="Arial"/>
    </font>
    <font>
      <u/>
      <sz val="11.0"/>
      <color theme="10"/>
      <name val="Calibri"/>
    </font>
    <font>
      <b/>
      <sz val="12.0"/>
      <color theme="1"/>
      <name val="Times New Roman"/>
    </font>
    <font>
      <b/>
      <sz val="10.0"/>
      <color rgb="FF333333"/>
      <name val="Times New Roman"/>
    </font>
    <font>
      <b/>
      <sz val="10.0"/>
      <color rgb="FFDD0806"/>
      <name val="Arial narrow"/>
    </font>
    <font>
      <u/>
      <sz val="11.0"/>
      <color theme="10"/>
      <name val="Calibri"/>
    </font>
    <font>
      <u/>
      <sz val="11.0"/>
      <color theme="10"/>
      <name val="Calibri"/>
    </font>
    <font>
      <b/>
      <sz val="10.0"/>
      <color rgb="FF000000"/>
      <name val="Calibri"/>
    </font>
    <font>
      <u/>
      <sz val="10.0"/>
      <color rgb="FF0000FF"/>
      <name val="Calibri"/>
    </font>
    <font>
      <sz val="10.0"/>
      <color rgb="FF003366"/>
      <name val="Arial narrow"/>
    </font>
    <font>
      <u/>
      <sz val="11.0"/>
      <color theme="10"/>
      <name val="Calibri"/>
    </font>
    <font>
      <u/>
      <sz val="11.0"/>
      <color theme="10"/>
      <name val="Calibri"/>
    </font>
    <font>
      <i/>
      <sz val="11.0"/>
      <color theme="1"/>
      <name val="Calibri"/>
    </font>
    <font>
      <sz val="9.0"/>
      <color rgb="FF333399"/>
      <name val="Verdana"/>
    </font>
    <font>
      <u/>
      <sz val="11.0"/>
      <color theme="10"/>
      <name val="Calibri"/>
    </font>
    <font>
      <sz val="10.0"/>
      <color theme="1"/>
      <name val="Source sans pro"/>
    </font>
    <font>
      <sz val="10.0"/>
      <color theme="1"/>
      <name val="Calibri"/>
    </font>
    <font>
      <sz val="10.0"/>
      <color rgb="FF333333"/>
      <name val="Source sans pro"/>
    </font>
    <font>
      <u/>
      <sz val="11.0"/>
      <color theme="10"/>
      <name val="Calibri"/>
    </font>
    <font>
      <u/>
      <sz val="11.0"/>
      <color theme="10"/>
      <name val="Calibri"/>
    </font>
    <font>
      <u/>
      <sz val="11.0"/>
      <color theme="10"/>
      <name val="Calibri"/>
    </font>
    <font>
      <u/>
      <sz val="10.0"/>
      <color theme="10"/>
      <name val="Arial narrow"/>
    </font>
    <font>
      <u/>
      <sz val="10.0"/>
      <color theme="10"/>
      <name val="Arial narrow"/>
    </font>
    <font>
      <u/>
      <sz val="10.0"/>
      <color theme="10"/>
      <name val="Arial narrow"/>
    </font>
    <font>
      <sz val="10.0"/>
      <color rgb="FF000000"/>
      <name val="Times New Roman"/>
    </font>
    <font>
      <sz val="9.0"/>
      <color rgb="FF000000"/>
      <name val="Times New Roman"/>
    </font>
    <font>
      <u/>
      <sz val="11.0"/>
      <color theme="10"/>
      <name val="Times New Roman"/>
    </font>
    <font>
      <u/>
      <sz val="11.0"/>
      <color theme="10"/>
      <name val="Calibri"/>
    </font>
    <font>
      <u/>
      <sz val="10.0"/>
      <color rgb="FF0000FF"/>
      <name val="Times New Roman"/>
    </font>
    <font>
      <b/>
      <sz val="10.0"/>
      <color theme="1"/>
      <name val="Times New Roman"/>
    </font>
    <font>
      <u/>
      <sz val="10.0"/>
      <color theme="10"/>
      <name val="Calibri"/>
    </font>
    <font>
      <sz val="10.0"/>
      <color theme="10"/>
      <name val="Arial narrow"/>
    </font>
    <font>
      <u/>
      <sz val="11.0"/>
      <color theme="10"/>
      <name val="Calibri"/>
    </font>
    <font>
      <u/>
      <sz val="10.0"/>
      <color theme="1"/>
      <name val="Arial narrow"/>
    </font>
    <font>
      <u/>
      <sz val="10.0"/>
      <color theme="10"/>
      <name val="Arial narrow"/>
    </font>
    <font>
      <u/>
      <sz val="10.0"/>
      <color theme="1"/>
      <name val="Arial narrow"/>
    </font>
    <font>
      <sz val="10.0"/>
      <color rgb="FF0000D4"/>
      <name val="Arial narrow"/>
    </font>
    <font>
      <b/>
      <sz val="12.0"/>
      <color theme="1"/>
      <name val="Arial narrow"/>
    </font>
    <font>
      <u/>
      <sz val="11.0"/>
      <color theme="10"/>
      <name val="Calibri"/>
    </font>
    <font>
      <u/>
      <sz val="11.0"/>
      <color theme="10"/>
      <name val="Calibri"/>
    </font>
    <font>
      <b/>
      <sz val="11.0"/>
      <color rgb="FF000000"/>
      <name val="Arial"/>
    </font>
    <font>
      <sz val="12.0"/>
      <color theme="1"/>
      <name val="Calibri"/>
    </font>
    <font>
      <u/>
      <sz val="10.0"/>
      <color theme="10"/>
      <name val="Calibri"/>
    </font>
    <font>
      <u/>
      <sz val="10.0"/>
      <color theme="10"/>
      <name val="Arial narrow"/>
    </font>
    <font>
      <u/>
      <sz val="11.0"/>
      <color theme="10"/>
      <name val="Calibri"/>
    </font>
    <font>
      <sz val="11.0"/>
      <color rgb="FF000000"/>
      <name val="Arial narrow"/>
    </font>
    <font>
      <sz val="8.0"/>
      <color theme="1"/>
      <name val="Calibri"/>
    </font>
    <font>
      <sz val="11.0"/>
      <color rgb="FFDD0806"/>
      <name val="Calibri"/>
    </font>
    <font>
      <u/>
      <sz val="11.0"/>
      <color theme="10"/>
      <name val="Calibri"/>
    </font>
    <font>
      <u/>
      <sz val="10.0"/>
      <color rgb="FF0000FF"/>
      <name val="Arial narrow"/>
    </font>
    <font>
      <u/>
      <sz val="11.0"/>
      <color theme="10"/>
      <name val="Calibri"/>
    </font>
    <font>
      <u/>
      <sz val="10.0"/>
      <color theme="1"/>
      <name val="Arial narrow"/>
    </font>
    <font>
      <u/>
      <sz val="10.0"/>
      <color theme="1"/>
      <name val="Arial narrow"/>
    </font>
    <font>
      <u/>
      <sz val="10.0"/>
      <color rgb="FF0000FF"/>
      <name val="Arial narrow"/>
    </font>
    <font>
      <u/>
      <sz val="10.0"/>
      <color rgb="FF0000FF"/>
      <name val="Arial narrow"/>
    </font>
    <font>
      <u/>
      <sz val="10.0"/>
      <color rgb="FF0000FF"/>
      <name val="Arial narrow"/>
    </font>
    <font>
      <sz val="11.0"/>
      <color rgb="FF000000"/>
      <name val="Calibri"/>
    </font>
    <font>
      <b/>
      <sz val="9.0"/>
      <color rgb="FF333333"/>
      <name val="Calibri"/>
    </font>
    <font>
      <u/>
      <sz val="10.0"/>
      <color theme="1"/>
      <name val="Arial narrow"/>
    </font>
    <font>
      <u/>
      <sz val="10.0"/>
      <color theme="1"/>
      <name val="Arial narrow"/>
    </font>
    <font>
      <i/>
      <sz val="10.0"/>
      <color theme="1"/>
      <name val="Arial narrow"/>
    </font>
    <font>
      <i/>
      <sz val="10.0"/>
      <color rgb="FF000000"/>
      <name val="Arial narrow"/>
    </font>
    <font>
      <i/>
      <u/>
      <sz val="11.0"/>
      <color theme="10"/>
      <name val="Calibri"/>
    </font>
    <font>
      <b/>
      <i/>
      <sz val="10.0"/>
      <color theme="1"/>
      <name val="Arial narrow"/>
    </font>
    <font>
      <u/>
      <sz val="10.0"/>
      <color rgb="FF0000FF"/>
      <name val="Arial narrow"/>
    </font>
    <font>
      <u/>
      <sz val="10.0"/>
      <color theme="1"/>
      <name val="Arial narrow"/>
    </font>
    <font>
      <u/>
      <sz val="10.0"/>
      <color theme="10"/>
      <name val="Arial narrow"/>
    </font>
    <font>
      <u/>
      <sz val="10.0"/>
      <color theme="10"/>
      <name val="Arial narrow"/>
    </font>
    <font>
      <u/>
      <sz val="11.0"/>
      <color theme="10"/>
      <name val="Calibri"/>
    </font>
    <font>
      <sz val="10.0"/>
      <color rgb="FF008080"/>
      <name val="Arial narrow"/>
    </font>
    <font>
      <u/>
      <sz val="10.0"/>
      <color rgb="FF0000FF"/>
      <name val="Arial"/>
    </font>
    <font>
      <b/>
      <sz val="10.0"/>
      <color theme="1"/>
      <name val="Arial"/>
    </font>
    <font>
      <u/>
      <sz val="10.0"/>
      <color rgb="FF0000FF"/>
      <name val="Calibri"/>
    </font>
    <font>
      <u/>
      <sz val="11.0"/>
      <color rgb="FF0000FF"/>
      <name val="Calibri"/>
    </font>
    <font>
      <i/>
      <sz val="12.0"/>
      <color theme="1"/>
      <name val="Times New Roman"/>
    </font>
    <font>
      <sz val="11.0"/>
      <color theme="1"/>
      <name val="Times New Roman"/>
    </font>
    <font>
      <sz val="9.0"/>
      <color theme="1"/>
      <name val="Quattrocento Sans"/>
    </font>
    <font>
      <i/>
      <sz val="10.0"/>
      <color theme="1"/>
      <name val="Times New Roman"/>
    </font>
    <font>
      <sz val="10.0"/>
      <color rgb="FFDD0806"/>
      <name val="Arial narrow"/>
    </font>
    <font>
      <b/>
      <sz val="10.0"/>
      <color theme="1"/>
      <name val="Calibri"/>
    </font>
    <font>
      <u/>
      <sz val="9.0"/>
      <color rgb="FF0000FF"/>
      <name val="Calibri"/>
    </font>
    <font>
      <u/>
      <sz val="10.0"/>
      <color theme="10"/>
      <name val="Arial narrow"/>
    </font>
    <font>
      <u/>
      <sz val="10.0"/>
      <color theme="10"/>
      <name val="Arial narrow"/>
    </font>
    <font>
      <u/>
      <sz val="11.0"/>
      <color rgb="FF0000FF"/>
      <name val="Arial"/>
    </font>
    <font>
      <sz val="11.0"/>
      <color rgb="FF333333"/>
      <name val="Arial"/>
    </font>
    <font>
      <u/>
      <sz val="10.0"/>
      <color rgb="FF0000FF"/>
      <name val="Arial"/>
    </font>
    <font>
      <sz val="12.0"/>
      <color rgb="FF000000"/>
      <name val="Georgia"/>
    </font>
    <font>
      <sz val="10.0"/>
      <color rgb="FF000000"/>
      <name val="Arial"/>
    </font>
    <font>
      <u/>
      <sz val="11.0"/>
      <color theme="10"/>
      <name val="Calibri"/>
    </font>
    <font>
      <u/>
      <sz val="11.0"/>
      <color theme="10"/>
      <name val="Calibri"/>
    </font>
    <font>
      <u/>
      <sz val="11.0"/>
      <color theme="10"/>
      <name val="Calibri"/>
    </font>
    <font>
      <u/>
      <sz val="11.0"/>
      <color theme="10"/>
      <name val="Calibri"/>
    </font>
    <font>
      <sz val="12.0"/>
      <color rgb="FF000000"/>
      <name val="Arial"/>
    </font>
    <font>
      <sz val="12.0"/>
      <color rgb="FF000000"/>
      <name val="Times New Roman"/>
    </font>
    <font>
      <sz val="11.0"/>
      <color rgb="FF808080"/>
      <name val="Arial"/>
    </font>
    <font>
      <u/>
      <sz val="10.0"/>
      <color theme="10"/>
      <name val="Calibri"/>
    </font>
    <font>
      <sz val="8.0"/>
      <color theme="1"/>
      <name val="Times New Roman"/>
    </font>
    <font>
      <sz val="14.0"/>
      <color theme="1"/>
      <name val="Times New Roman"/>
    </font>
    <font>
      <u/>
      <sz val="11.0"/>
      <color rgb="FF0000FF"/>
      <name val="Calibri"/>
    </font>
    <font>
      <u/>
      <sz val="12.0"/>
      <color rgb="FF0000FF"/>
      <name val="Times New Roman"/>
    </font>
    <font>
      <u/>
      <sz val="12.0"/>
      <color rgb="FF0000FF"/>
      <name val="Times New Roman"/>
    </font>
    <font>
      <u/>
      <sz val="11.0"/>
      <color theme="10"/>
      <name val="Calibri"/>
    </font>
    <font>
      <sz val="11.0"/>
      <color theme="1"/>
      <name val="Arial"/>
    </font>
    <font>
      <sz val="14.0"/>
      <color theme="1"/>
      <name val="Arial"/>
    </font>
    <font>
      <u/>
      <sz val="10.0"/>
      <color theme="10"/>
      <name val="Calibri"/>
    </font>
    <font>
      <u/>
      <sz val="10.0"/>
      <color rgb="FF0000FF"/>
      <name val="Times New Roman"/>
    </font>
    <font>
      <u/>
      <sz val="10.0"/>
      <color theme="10"/>
      <name val="Calibri"/>
    </font>
    <font>
      <u/>
      <sz val="10.0"/>
      <color rgb="FF0000FF"/>
      <name val="Arial narrow"/>
    </font>
    <font>
      <u/>
      <sz val="10.0"/>
      <color theme="10"/>
      <name val="Calibri"/>
    </font>
    <font>
      <u/>
      <sz val="10.0"/>
      <color theme="10"/>
      <name val="Arial narrow"/>
    </font>
    <font>
      <u/>
      <sz val="10.0"/>
      <color rgb="FF0000FF"/>
      <name val="Arial narrow"/>
    </font>
    <font>
      <u/>
      <sz val="10.0"/>
      <color theme="10"/>
      <name val="Arial narrow"/>
    </font>
    <font>
      <u/>
      <sz val="10.0"/>
      <color theme="10"/>
      <name val="Arial narrow"/>
    </font>
    <font>
      <u/>
      <sz val="10.0"/>
      <color rgb="FF0000FF"/>
      <name val="Arial narrow"/>
    </font>
    <font>
      <u/>
      <sz val="10.0"/>
      <color theme="10"/>
      <name val="Calibri"/>
    </font>
    <font>
      <u/>
      <sz val="11.0"/>
      <color rgb="FF0000FF"/>
      <name val="Calibri"/>
    </font>
    <font>
      <u/>
      <sz val="11.0"/>
      <color theme="1"/>
      <name val="Calibri"/>
    </font>
    <font>
      <u/>
      <sz val="12.0"/>
      <color rgb="FF0000FF"/>
      <name val="Arial narrow"/>
    </font>
    <font>
      <u/>
      <sz val="10.0"/>
      <color rgb="FF0000FF"/>
      <name val="Arial narrow"/>
    </font>
    <font>
      <u/>
      <sz val="10.0"/>
      <color theme="10"/>
      <name val="Arial narrow"/>
    </font>
    <font>
      <u/>
      <sz val="10.0"/>
      <color theme="10"/>
      <name val="Arial narrow"/>
    </font>
    <font>
      <u/>
      <sz val="10.0"/>
      <color theme="10"/>
      <name val="Calibri"/>
    </font>
    <font>
      <u/>
      <sz val="11.0"/>
      <color theme="10"/>
      <name val="Arial"/>
    </font>
    <font>
      <sz val="12.0"/>
      <color rgb="FF333333"/>
      <name val="Times New Roman"/>
    </font>
    <font>
      <u/>
      <sz val="10.0"/>
      <color theme="10"/>
      <name val="Arial narrow"/>
    </font>
    <font>
      <u/>
      <sz val="11.0"/>
      <color theme="10"/>
      <name val="Arial"/>
    </font>
    <font>
      <u/>
      <sz val="10.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Arial"/>
    </font>
    <font>
      <u/>
      <sz val="10.0"/>
      <color theme="10"/>
      <name val="Calibri"/>
    </font>
    <font>
      <u/>
      <sz val="11.0"/>
      <color theme="10"/>
      <name val="Calibri"/>
    </font>
    <font>
      <sz val="12.0"/>
      <color theme="1"/>
      <name val="Arial narrow"/>
    </font>
    <font>
      <u/>
      <sz val="10.0"/>
      <color theme="10"/>
      <name val="Arial narrow"/>
    </font>
    <font>
      <u/>
      <sz val="10.0"/>
      <color theme="10"/>
      <name val="Arial narrow"/>
    </font>
  </fonts>
  <fills count="10">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
      <patternFill patternType="solid">
        <fgColor theme="0"/>
        <bgColor theme="0"/>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top style="thin">
        <color rgb="FF000000"/>
      </top>
      <bottom style="thin">
        <color rgb="FF000000"/>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57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1" fillId="2" fontId="2" numFmtId="0" xfId="0" applyAlignment="1" applyBorder="1" applyFill="1" applyFont="1">
      <alignment shrinkToFit="0" vertical="bottom" wrapText="0"/>
    </xf>
    <xf borderId="1"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horizontal="center" shrinkToFit="0" vertical="bottom" wrapText="1"/>
    </xf>
    <xf borderId="0" fillId="0" fontId="0" numFmtId="0" xfId="0" applyAlignment="1" applyFont="1">
      <alignment horizontal="center" shrinkToFit="0" textRotation="90" vertical="bottom" wrapText="1"/>
    </xf>
    <xf borderId="0" fillId="0" fontId="0" numFmtId="0" xfId="0" applyAlignment="1" applyFont="1">
      <alignment horizontal="center" shrinkToFit="0" vertical="bottom"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0" fontId="0" numFmtId="0" xfId="0" applyAlignment="1" applyBorder="1" applyFont="1">
      <alignment horizontal="center" shrinkToFit="0" vertical="center" wrapText="1"/>
    </xf>
    <xf borderId="1" fillId="5" fontId="0" numFmtId="0" xfId="0" applyAlignment="1" applyBorder="1" applyFill="1" applyFont="1">
      <alignment horizontal="left" shrinkToFit="0" vertical="center" wrapText="1"/>
    </xf>
    <xf borderId="1" fillId="5" fontId="0" numFmtId="0" xfId="0" applyAlignment="1" applyBorder="1" applyFont="1">
      <alignment horizontal="center" shrinkToFit="0" vertical="center" wrapText="1"/>
    </xf>
    <xf borderId="1" fillId="0" fontId="0" numFmtId="4" xfId="0" applyAlignment="1" applyBorder="1" applyFont="1" applyNumberFormat="1">
      <alignment horizontal="center" shrinkToFit="0" vertical="center" wrapText="1"/>
    </xf>
    <xf borderId="1" fillId="3" fontId="0" numFmtId="4" xfId="0" applyAlignment="1" applyBorder="1" applyFont="1" applyNumberFormat="1">
      <alignment horizontal="center" shrinkToFit="0" vertical="center" wrapText="0"/>
    </xf>
    <xf borderId="1" fillId="0" fontId="0" numFmtId="4" xfId="0" applyAlignment="1" applyBorder="1" applyFont="1" applyNumberFormat="1">
      <alignment horizontal="center" shrinkToFit="0" vertical="center" wrapText="0"/>
    </xf>
    <xf borderId="1" fillId="4" fontId="0" numFmtId="4" xfId="0" applyAlignment="1" applyBorder="1" applyFont="1" applyNumberFormat="1">
      <alignment horizontal="center" shrinkToFit="0" vertical="center" wrapText="0"/>
    </xf>
    <xf borderId="1"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0"/>
    </xf>
    <xf borderId="1" fillId="3" fontId="1" numFmtId="1" xfId="0" applyAlignment="1" applyBorder="1" applyFont="1" applyNumberFormat="1">
      <alignment horizontal="center" shrinkToFit="0" vertical="center" wrapText="0"/>
    </xf>
    <xf borderId="1" fillId="3"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center" wrapText="0"/>
    </xf>
    <xf borderId="1" fillId="4" fontId="1" numFmtId="0" xfId="0" applyAlignment="1" applyBorder="1" applyFont="1">
      <alignment horizontal="center" shrinkToFit="0" vertical="center" wrapText="1"/>
    </xf>
    <xf borderId="1" fillId="4" fontId="1" numFmtId="0" xfId="0" applyAlignment="1" applyBorder="1" applyFont="1">
      <alignment shrinkToFit="0" vertical="bottom" wrapText="0"/>
    </xf>
    <xf borderId="1" fillId="4" fontId="1" numFmtId="4" xfId="0" applyAlignment="1" applyBorder="1" applyFont="1" applyNumberFormat="1">
      <alignment horizontal="center" shrinkToFit="0" vertical="center" wrapText="0"/>
    </xf>
    <xf borderId="1" fillId="4" fontId="1" numFmtId="2" xfId="0" applyAlignment="1" applyBorder="1" applyFont="1" applyNumberFormat="1">
      <alignment horizontal="center" shrinkToFit="0" vertical="center" wrapText="0"/>
    </xf>
    <xf borderId="0" fillId="0" fontId="0" numFmtId="4" xfId="0" applyAlignment="1" applyFont="1" applyNumberFormat="1">
      <alignment horizontal="center" shrinkToFit="0" vertical="bottom" wrapText="1"/>
    </xf>
    <xf borderId="0" fillId="0" fontId="0" numFmtId="4" xfId="0" applyAlignment="1" applyFont="1" applyNumberFormat="1">
      <alignment shrinkToFit="0" vertical="bottom" wrapText="0"/>
    </xf>
    <xf borderId="1" fillId="2" fontId="1" numFmtId="0" xfId="0" applyAlignment="1" applyBorder="1" applyFont="1">
      <alignment horizontal="left" shrinkToFit="0" vertical="center" wrapText="0"/>
    </xf>
    <xf borderId="1" fillId="0" fontId="1" numFmtId="0" xfId="0" applyAlignment="1" applyBorder="1" applyFont="1">
      <alignment horizontal="center" shrinkToFit="0" vertical="center" wrapText="0"/>
    </xf>
    <xf borderId="1" fillId="3" fontId="1" numFmtId="0" xfId="0" applyAlignment="1" applyBorder="1" applyFont="1">
      <alignment horizontal="left" shrinkToFit="0" vertical="center" wrapText="0"/>
    </xf>
    <xf borderId="1" fillId="4" fontId="1" numFmtId="0" xfId="0" applyAlignment="1" applyBorder="1" applyFont="1">
      <alignment horizontal="left" shrinkToFit="0" vertical="center" wrapText="0"/>
    </xf>
    <xf borderId="1" fillId="4" fontId="1" numFmtId="0" xfId="0" applyAlignment="1" applyBorder="1" applyFont="1">
      <alignment horizontal="center" shrinkToFit="0" vertical="center" wrapText="0"/>
    </xf>
    <xf borderId="0" fillId="0" fontId="1" numFmtId="0" xfId="0" applyAlignment="1" applyFont="1">
      <alignment shrinkToFit="0" vertical="bottom" wrapText="1"/>
    </xf>
    <xf borderId="0" fillId="0" fontId="1" numFmtId="0" xfId="0" applyAlignment="1" applyFont="1">
      <alignment shrinkToFit="0" vertical="top" wrapText="1"/>
    </xf>
    <xf borderId="3" fillId="6" fontId="5" numFmtId="0" xfId="0" applyAlignment="1" applyBorder="1" applyFill="1" applyFont="1">
      <alignment horizontal="center" shrinkToFit="0" vertical="bottom" wrapText="1"/>
    </xf>
    <xf borderId="4" fillId="0" fontId="6" numFmtId="0" xfId="0" applyBorder="1" applyFont="1"/>
    <xf borderId="5" fillId="0" fontId="6" numFmtId="0" xfId="0" applyBorder="1" applyFont="1"/>
    <xf borderId="0" fillId="0" fontId="7" numFmtId="0" xfId="0" applyAlignment="1" applyFont="1">
      <alignment shrinkToFit="0" vertical="bottom" wrapText="0"/>
    </xf>
    <xf borderId="0" fillId="0" fontId="4" numFmtId="0" xfId="0" applyAlignment="1" applyFont="1">
      <alignment shrinkToFit="0" vertical="bottom" wrapText="0"/>
    </xf>
    <xf borderId="3" fillId="6" fontId="3" numFmtId="0" xfId="0" applyAlignment="1" applyBorder="1" applyFont="1">
      <alignment horizontal="left" shrinkToFit="0" vertical="bottom" wrapText="1"/>
    </xf>
    <xf borderId="3" fillId="6" fontId="3" numFmtId="0" xfId="0" applyAlignment="1" applyBorder="1" applyFont="1">
      <alignment horizontal="left" shrinkToFit="0" vertical="top" wrapText="1"/>
    </xf>
    <xf borderId="0" fillId="0" fontId="7" numFmtId="0" xfId="0" applyAlignment="1" applyFont="1">
      <alignment horizontal="left" shrinkToFit="0" vertical="bottom" wrapText="1"/>
    </xf>
    <xf borderId="0" fillId="0" fontId="7" numFmtId="0" xfId="0" applyAlignment="1" applyFont="1">
      <alignment shrinkToFit="0" vertical="top" wrapText="1"/>
    </xf>
    <xf borderId="2" fillId="7" fontId="2" numFmtId="0" xfId="0" applyAlignment="1" applyBorder="1" applyFill="1" applyFont="1">
      <alignment horizontal="center" shrinkToFit="0" vertical="center" wrapText="1"/>
    </xf>
    <xf borderId="6" fillId="7" fontId="2" numFmtId="0" xfId="0" applyAlignment="1" applyBorder="1" applyFont="1">
      <alignment horizontal="center" shrinkToFit="0" vertical="center" wrapText="1"/>
    </xf>
    <xf borderId="1" fillId="8" fontId="2" numFmtId="0" xfId="0" applyAlignment="1" applyBorder="1" applyFill="1" applyFont="1">
      <alignment horizontal="center" shrinkToFit="0" vertical="center" wrapText="1"/>
    </xf>
    <xf borderId="0" fillId="0" fontId="8" numFmtId="0" xfId="0" applyAlignment="1" applyFont="1">
      <alignment shrinkToFit="0" vertical="bottom" wrapText="0"/>
    </xf>
    <xf borderId="0" fillId="0" fontId="9" numFmtId="0" xfId="0" applyAlignment="1" applyFont="1">
      <alignment shrinkToFit="0" vertical="bottom" wrapText="0"/>
    </xf>
    <xf borderId="1" fillId="0" fontId="3" numFmtId="0" xfId="0" applyAlignment="1" applyBorder="1" applyFont="1">
      <alignment shrinkToFit="0" vertical="top" wrapText="1"/>
    </xf>
    <xf borderId="1" fillId="5" fontId="3" numFmtId="0" xfId="0" applyAlignment="1" applyBorder="1" applyFont="1">
      <alignment horizontal="center" shrinkToFit="0" vertical="top" wrapText="1"/>
    </xf>
    <xf borderId="1" fillId="5" fontId="3" numFmtId="0" xfId="0" applyAlignment="1" applyBorder="1" applyFont="1">
      <alignment shrinkToFit="0" vertical="top" wrapText="1"/>
    </xf>
    <xf borderId="6" fillId="5" fontId="3" numFmtId="0" xfId="0" applyAlignment="1" applyBorder="1" applyFont="1">
      <alignment horizontal="center" shrinkToFit="0" vertical="top" wrapText="1"/>
    </xf>
    <xf borderId="7" fillId="0" fontId="3" numFmtId="0" xfId="0" applyAlignment="1" applyBorder="1" applyFont="1">
      <alignment horizontal="center" shrinkToFit="0" vertical="top" wrapText="1"/>
    </xf>
    <xf borderId="0" fillId="0" fontId="3" numFmtId="0" xfId="0" applyAlignment="1" applyFont="1">
      <alignment shrinkToFit="0" vertical="top" wrapText="1"/>
    </xf>
    <xf borderId="1" fillId="0" fontId="10" numFmtId="0" xfId="0" applyAlignment="1" applyBorder="1" applyFont="1">
      <alignment shrinkToFit="0" vertical="top" wrapText="1"/>
    </xf>
    <xf borderId="7"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0" fillId="0" fontId="11" numFmtId="0" xfId="0" applyAlignment="1" applyFont="1">
      <alignment shrinkToFit="0" vertical="top" wrapText="1"/>
    </xf>
    <xf borderId="0" fillId="0" fontId="3" numFmtId="0" xfId="0" applyAlignment="1" applyFont="1">
      <alignment horizontal="center" shrinkToFit="0" vertical="top" wrapText="1"/>
    </xf>
    <xf borderId="1" fillId="5" fontId="3" numFmtId="49"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7" fillId="0" fontId="12" numFmtId="0" xfId="0" applyAlignment="1" applyBorder="1" applyFont="1">
      <alignment shrinkToFit="0" vertical="top" wrapText="1"/>
    </xf>
    <xf borderId="7" fillId="0" fontId="3" numFmtId="0" xfId="0" applyAlignment="1" applyBorder="1" applyFont="1">
      <alignment shrinkToFit="0" vertical="top" wrapText="1"/>
    </xf>
    <xf borderId="1" fillId="0" fontId="3" numFmtId="15" xfId="0" applyAlignment="1" applyBorder="1" applyFont="1" applyNumberFormat="1">
      <alignment horizontal="center" shrinkToFit="0" vertical="top" wrapText="1"/>
    </xf>
    <xf borderId="1" fillId="0" fontId="13" numFmtId="0" xfId="0" applyAlignment="1" applyBorder="1" applyFont="1">
      <alignment shrinkToFit="0" vertical="top" wrapText="1"/>
    </xf>
    <xf borderId="1" fillId="5" fontId="14" numFmtId="0" xfId="0" applyAlignment="1" applyBorder="1" applyFont="1">
      <alignment shrinkToFit="0" vertical="top" wrapText="1"/>
    </xf>
    <xf borderId="0" fillId="0" fontId="15" numFmtId="0" xfId="0" applyAlignment="1" applyFont="1">
      <alignment shrinkToFit="0" vertical="bottom" wrapText="1"/>
    </xf>
    <xf borderId="0" fillId="0" fontId="16" numFmtId="0" xfId="0" applyAlignment="1" applyFont="1">
      <alignment shrinkToFit="0" vertical="bottom" wrapText="1"/>
    </xf>
    <xf borderId="1" fillId="0" fontId="3" numFmtId="49" xfId="0" applyAlignment="1" applyBorder="1" applyFont="1" applyNumberFormat="1">
      <alignment horizontal="center" shrinkToFit="0" vertical="top" wrapText="1"/>
    </xf>
    <xf borderId="0" fillId="0" fontId="17" numFmtId="0" xfId="0" applyAlignment="1" applyFont="1">
      <alignment shrinkToFit="0" vertical="top" wrapText="0"/>
    </xf>
    <xf borderId="1" fillId="0" fontId="3" numFmtId="3" xfId="0" applyAlignment="1" applyBorder="1" applyFont="1" applyNumberFormat="1">
      <alignment horizontal="center" shrinkToFit="0" vertical="top" wrapText="1"/>
    </xf>
    <xf borderId="1" fillId="0" fontId="18" numFmtId="0" xfId="0" applyAlignment="1" applyBorder="1" applyFont="1">
      <alignment horizontal="left" shrinkToFit="0" vertical="top" wrapText="0"/>
    </xf>
    <xf borderId="1" fillId="5" fontId="19" numFmtId="0" xfId="0" applyAlignment="1" applyBorder="1" applyFont="1">
      <alignment shrinkToFit="0" vertical="top" wrapText="1"/>
    </xf>
    <xf borderId="1" fillId="0" fontId="20" numFmtId="0" xfId="0" applyAlignment="1" applyBorder="1" applyFont="1">
      <alignment shrinkToFit="0" vertical="top" wrapText="1"/>
    </xf>
    <xf borderId="0" fillId="0" fontId="21" numFmtId="0" xfId="0" applyAlignment="1" applyFont="1">
      <alignment shrinkToFit="0" vertical="top" wrapText="1"/>
    </xf>
    <xf borderId="1" fillId="0" fontId="22" numFmtId="0" xfId="0" applyAlignment="1" applyBorder="1" applyFont="1">
      <alignment horizontal="left" shrinkToFit="0" vertical="top" wrapText="0"/>
    </xf>
    <xf borderId="1" fillId="0" fontId="16" numFmtId="0" xfId="0" applyAlignment="1" applyBorder="1" applyFont="1">
      <alignment shrinkToFit="0" vertical="top" wrapText="1"/>
    </xf>
    <xf borderId="1" fillId="0" fontId="23" numFmtId="0" xfId="0" applyAlignment="1" applyBorder="1" applyFont="1">
      <alignment shrinkToFit="0" vertical="top" wrapText="0"/>
    </xf>
    <xf borderId="0" fillId="0" fontId="24" numFmtId="0" xfId="0" applyAlignment="1" applyFont="1">
      <alignment shrinkToFit="0" vertical="top" wrapText="1"/>
    </xf>
    <xf borderId="0" fillId="0" fontId="18" numFmtId="0" xfId="0" applyAlignment="1" applyFont="1">
      <alignment shrinkToFit="0" vertical="top" wrapText="1"/>
    </xf>
    <xf borderId="0" fillId="0" fontId="23" numFmtId="0" xfId="0" applyAlignment="1" applyFont="1">
      <alignment shrinkToFit="0" vertical="top" wrapText="0"/>
    </xf>
    <xf borderId="7" fillId="0" fontId="1" numFmtId="0" xfId="0" applyAlignment="1" applyBorder="1" applyFont="1">
      <alignment shrinkToFit="0" vertical="top" wrapText="1"/>
    </xf>
    <xf borderId="0" fillId="0" fontId="7" numFmtId="0" xfId="0" applyAlignment="1" applyFont="1">
      <alignment shrinkToFit="0" vertical="bottom" wrapText="1"/>
    </xf>
    <xf borderId="0" fillId="0" fontId="7" numFmtId="4" xfId="0" applyAlignment="1" applyFont="1" applyNumberFormat="1">
      <alignment horizontal="center" shrinkToFit="0" vertical="bottom" wrapText="0"/>
    </xf>
    <xf borderId="8" fillId="6" fontId="25" numFmtId="0" xfId="0" applyAlignment="1" applyBorder="1" applyFont="1">
      <alignment horizontal="center" shrinkToFit="0" vertical="bottom" wrapText="1"/>
    </xf>
    <xf borderId="9" fillId="0" fontId="6" numFmtId="0" xfId="0" applyBorder="1" applyFont="1"/>
    <xf borderId="10" fillId="0" fontId="6" numFmtId="0" xfId="0" applyBorder="1" applyFont="1"/>
    <xf borderId="0" fillId="0" fontId="26" numFmtId="0" xfId="0" applyAlignment="1" applyFont="1">
      <alignment shrinkToFit="0" vertical="bottom" wrapText="1"/>
    </xf>
    <xf borderId="0" fillId="0" fontId="27" numFmtId="0" xfId="0" applyAlignment="1" applyFont="1">
      <alignment shrinkToFit="0" vertical="top" wrapText="1"/>
    </xf>
    <xf borderId="0" fillId="0" fontId="0" numFmtId="0" xfId="0" applyAlignment="1" applyFont="1">
      <alignment shrinkToFit="0" vertical="top" wrapText="1"/>
    </xf>
    <xf borderId="1" fillId="5" fontId="3" numFmtId="0" xfId="0" applyAlignment="1" applyBorder="1" applyFont="1">
      <alignment shrinkToFit="0" vertical="top" wrapText="0"/>
    </xf>
    <xf borderId="1" fillId="9" fontId="3" numFmtId="0" xfId="0" applyAlignment="1" applyBorder="1" applyFill="1" applyFont="1">
      <alignment shrinkToFit="0" vertical="top" wrapText="1"/>
    </xf>
    <xf borderId="1" fillId="9" fontId="3" numFmtId="0" xfId="0" applyAlignment="1" applyBorder="1" applyFont="1">
      <alignment horizontal="center" shrinkToFit="0" vertical="top" wrapText="1"/>
    </xf>
    <xf borderId="11" fillId="5" fontId="3" numFmtId="0" xfId="0" applyAlignment="1" applyBorder="1" applyFont="1">
      <alignment horizontal="center" shrinkToFit="0" vertical="top" wrapText="1"/>
    </xf>
    <xf borderId="5" fillId="0" fontId="3" numFmtId="0" xfId="0" applyAlignment="1" applyBorder="1" applyFont="1">
      <alignment horizontal="center" shrinkToFit="0" vertical="top" wrapText="1"/>
    </xf>
    <xf borderId="5" fillId="0" fontId="1" numFmtId="0" xfId="0" applyAlignment="1" applyBorder="1" applyFont="1">
      <alignment shrinkToFit="0" vertical="top" wrapText="1"/>
    </xf>
    <xf borderId="5" fillId="0" fontId="3" numFmtId="0" xfId="0" applyAlignment="1" applyBorder="1" applyFont="1">
      <alignment shrinkToFit="0" vertical="top" wrapText="1"/>
    </xf>
    <xf borderId="5" fillId="0" fontId="3" numFmtId="49" xfId="0" applyAlignment="1" applyBorder="1" applyFont="1" applyNumberFormat="1">
      <alignment horizontal="center" shrinkToFit="0" vertical="top" wrapText="1"/>
    </xf>
    <xf borderId="0" fillId="0" fontId="28" numFmtId="0" xfId="0" applyAlignment="1" applyFont="1">
      <alignment shrinkToFit="0" vertical="bottom" wrapText="0"/>
    </xf>
    <xf borderId="0" fillId="0" fontId="7" numFmtId="0" xfId="0" applyAlignment="1" applyFont="1">
      <alignment horizontal="center" shrinkToFit="0" vertical="bottom" wrapText="1"/>
    </xf>
    <xf borderId="3" fillId="6" fontId="1" numFmtId="0" xfId="0" applyAlignment="1" applyBorder="1" applyFont="1">
      <alignment horizontal="left" shrinkToFit="0" vertical="bottom" wrapText="1"/>
    </xf>
    <xf borderId="3" fillId="6" fontId="3" numFmtId="0" xfId="0" applyAlignment="1" applyBorder="1" applyFont="1">
      <alignment horizontal="left" shrinkToFit="0" vertical="bottom" wrapText="0"/>
    </xf>
    <xf borderId="0" fillId="0" fontId="1" numFmtId="0" xfId="0" applyAlignment="1" applyFont="1">
      <alignment horizontal="left" shrinkToFit="0" vertical="bottom" wrapText="1"/>
    </xf>
    <xf borderId="6" fillId="7" fontId="7" numFmtId="0" xfId="0" applyAlignment="1" applyBorder="1" applyFont="1">
      <alignment horizontal="center" shrinkToFit="0" vertical="center" wrapText="1"/>
    </xf>
    <xf borderId="12" fillId="0" fontId="1" numFmtId="0" xfId="0" applyAlignment="1" applyBorder="1" applyFont="1">
      <alignment shrinkToFit="0" vertical="top" wrapText="1"/>
    </xf>
    <xf borderId="7" fillId="0" fontId="1" numFmtId="0" xfId="0" applyAlignment="1" applyBorder="1" applyFont="1">
      <alignment horizontal="center" shrinkToFit="0" vertical="top" wrapText="1"/>
    </xf>
    <xf borderId="12" fillId="0" fontId="1" numFmtId="0" xfId="0" applyAlignment="1" applyBorder="1" applyFont="1">
      <alignment horizontal="center" shrinkToFit="0" vertical="top" wrapText="1"/>
    </xf>
    <xf borderId="7" fillId="0" fontId="1" numFmtId="49" xfId="0" applyAlignment="1" applyBorder="1" applyFont="1" applyNumberFormat="1">
      <alignment horizontal="center" shrinkToFit="0" vertical="top" wrapText="1"/>
    </xf>
    <xf borderId="12" fillId="0" fontId="7" numFmtId="3" xfId="0" applyAlignment="1" applyBorder="1" applyFont="1" applyNumberFormat="1">
      <alignment horizontal="center" shrinkToFit="0" vertical="top" wrapText="1"/>
    </xf>
    <xf borderId="12" fillId="0" fontId="7" numFmtId="4" xfId="0" applyAlignment="1" applyBorder="1" applyFont="1" applyNumberFormat="1">
      <alignment horizontal="center" shrinkToFit="0" vertical="top" wrapText="1"/>
    </xf>
    <xf borderId="12" fillId="0" fontId="7" numFmtId="3" xfId="0" applyAlignment="1" applyBorder="1" applyFont="1" applyNumberFormat="1">
      <alignment shrinkToFit="0" vertical="top" wrapText="1"/>
    </xf>
    <xf borderId="1" fillId="0" fontId="3" numFmtId="3" xfId="0" applyAlignment="1" applyBorder="1" applyFont="1" applyNumberFormat="1">
      <alignment shrinkToFit="0" vertical="top" wrapText="1"/>
    </xf>
    <xf borderId="1" fillId="0" fontId="3" numFmtId="4" xfId="0" applyAlignment="1" applyBorder="1" applyFont="1" applyNumberFormat="1">
      <alignment horizontal="center" shrinkToFit="0" vertical="top" wrapText="1"/>
    </xf>
    <xf borderId="1" fillId="0" fontId="29"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0" fontId="3" numFmtId="49"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1" fillId="0" fontId="3" numFmtId="4" xfId="0" applyAlignment="1" applyBorder="1" applyFont="1" applyNumberFormat="1">
      <alignment horizontal="center" shrinkToFit="0" vertical="center" wrapText="1"/>
    </xf>
    <xf borderId="1" fillId="0" fontId="0" numFmtId="0" xfId="0" applyAlignment="1" applyBorder="1" applyFont="1">
      <alignment shrinkToFit="0" vertical="center" wrapText="1"/>
    </xf>
    <xf borderId="7" fillId="0" fontId="1" numFmtId="1" xfId="0" applyAlignment="1" applyBorder="1" applyFont="1" applyNumberFormat="1">
      <alignment horizontal="center" shrinkToFit="0" vertical="top" wrapText="1"/>
    </xf>
    <xf borderId="1" fillId="0" fontId="3" numFmtId="2" xfId="0" applyAlignment="1" applyBorder="1" applyFont="1" applyNumberFormat="1">
      <alignment horizontal="center" shrinkToFit="0" vertical="top" wrapText="1"/>
    </xf>
    <xf borderId="0" fillId="0" fontId="7" numFmtId="0" xfId="0" applyAlignment="1" applyFont="1">
      <alignment horizontal="left" shrinkToFit="0" vertical="top" wrapText="0"/>
    </xf>
    <xf borderId="12" fillId="0" fontId="3" numFmtId="49" xfId="0" applyAlignment="1" applyBorder="1" applyFont="1" applyNumberFormat="1">
      <alignment shrinkToFit="0" vertical="top" wrapText="1"/>
    </xf>
    <xf borderId="7" fillId="0" fontId="3" numFmtId="2" xfId="0" applyAlignment="1" applyBorder="1" applyFont="1" applyNumberFormat="1">
      <alignment horizontal="center" shrinkToFit="0" vertical="top" wrapText="1"/>
    </xf>
    <xf borderId="0" fillId="0" fontId="16" numFmtId="0" xfId="0" applyAlignment="1" applyFont="1">
      <alignment shrinkToFit="0" vertical="top" wrapText="0"/>
    </xf>
    <xf borderId="0" fillId="0" fontId="19" numFmtId="0" xfId="0" applyAlignment="1" applyFont="1">
      <alignment shrinkToFit="0" vertical="top" wrapText="0"/>
    </xf>
    <xf borderId="1" fillId="0" fontId="11" numFmtId="0" xfId="0" applyAlignment="1" applyBorder="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1" fillId="0" fontId="1" numFmtId="49" xfId="0" applyAlignment="1" applyBorder="1" applyFont="1" applyNumberFormat="1">
      <alignment horizontal="center" shrinkToFit="0" vertical="top" wrapText="1"/>
    </xf>
    <xf borderId="1" fillId="0" fontId="1" numFmtId="3" xfId="0" applyAlignment="1" applyBorder="1" applyFont="1" applyNumberFormat="1">
      <alignment horizontal="center" shrinkToFit="0" vertical="top" wrapText="1"/>
    </xf>
    <xf borderId="1" fillId="0" fontId="7" numFmtId="4" xfId="0" applyAlignment="1" applyBorder="1" applyFont="1" applyNumberFormat="1">
      <alignment horizontal="center" shrinkToFit="0" vertical="top" wrapText="1"/>
    </xf>
    <xf borderId="12" fillId="0" fontId="1" numFmtId="0" xfId="0" applyAlignment="1" applyBorder="1" applyFont="1">
      <alignment shrinkToFit="0" vertical="center" wrapText="1"/>
    </xf>
    <xf borderId="7" fillId="0" fontId="1"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2" fillId="0" fontId="30" numFmtId="0" xfId="0" applyAlignment="1" applyBorder="1" applyFont="1">
      <alignment shrinkToFit="0" vertical="center" wrapText="1"/>
    </xf>
    <xf borderId="12" fillId="0" fontId="31" numFmtId="0" xfId="0" applyAlignment="1" applyBorder="1" applyFont="1">
      <alignment shrinkToFit="0" vertical="center" wrapText="1"/>
    </xf>
    <xf borderId="7" fillId="0" fontId="1" numFmtId="49" xfId="0" applyAlignment="1" applyBorder="1" applyFont="1" applyNumberFormat="1">
      <alignment horizontal="center" shrinkToFit="0" vertical="center" wrapText="1"/>
    </xf>
    <xf borderId="12" fillId="0" fontId="7" numFmtId="3" xfId="0" applyAlignment="1" applyBorder="1" applyFont="1" applyNumberFormat="1">
      <alignment horizontal="center" shrinkToFit="0" vertical="center" wrapText="1"/>
    </xf>
    <xf borderId="12" fillId="0" fontId="7" numFmtId="4" xfId="0" applyAlignment="1" applyBorder="1" applyFont="1" applyNumberFormat="1">
      <alignment horizontal="center" shrinkToFit="0" vertical="center" wrapText="1"/>
    </xf>
    <xf borderId="12" fillId="0" fontId="3" numFmtId="0" xfId="0" applyAlignment="1" applyBorder="1" applyFont="1">
      <alignment shrinkToFit="0" vertical="top" wrapText="1"/>
    </xf>
    <xf borderId="0" fillId="0" fontId="32" numFmtId="0" xfId="0" applyAlignment="1" applyFont="1">
      <alignment shrinkToFit="0" vertical="bottom" wrapText="0"/>
    </xf>
    <xf borderId="0" fillId="0" fontId="33" numFmtId="0" xfId="0" applyAlignment="1" applyFont="1">
      <alignment shrinkToFit="0" vertical="top" wrapText="1"/>
    </xf>
    <xf borderId="0" fillId="0" fontId="0" numFmtId="0" xfId="0" applyAlignment="1" applyFont="1">
      <alignment shrinkToFit="0" vertical="top" wrapText="0"/>
    </xf>
    <xf borderId="0" fillId="0" fontId="34" numFmtId="0" xfId="0" applyAlignment="1" applyFont="1">
      <alignment shrinkToFit="0" vertical="top" wrapText="0"/>
    </xf>
    <xf borderId="0" fillId="0" fontId="35" numFmtId="0" xfId="0" applyAlignment="1" applyFont="1">
      <alignment horizontal="left" shrinkToFit="0" vertical="top" wrapText="0"/>
    </xf>
    <xf borderId="1" fillId="0" fontId="36" numFmtId="0" xfId="0" applyAlignment="1" applyBorder="1" applyFont="1">
      <alignment horizontal="center" shrinkToFit="0" vertical="center" wrapText="1"/>
    </xf>
    <xf borderId="1" fillId="0" fontId="37" numFmtId="0" xfId="0" applyAlignment="1" applyBorder="1" applyFont="1">
      <alignment horizontal="center" shrinkToFit="0" vertical="center" wrapText="1"/>
    </xf>
    <xf borderId="1" fillId="0" fontId="36" numFmtId="0" xfId="0" applyAlignment="1" applyBorder="1" applyFont="1">
      <alignment horizontal="center" shrinkToFit="0" vertical="center" wrapText="0"/>
    </xf>
    <xf borderId="1" fillId="0" fontId="38" numFmtId="0" xfId="0" applyAlignment="1" applyBorder="1" applyFont="1">
      <alignment horizontal="center" shrinkToFit="0" vertical="center" wrapText="1"/>
    </xf>
    <xf borderId="1" fillId="0" fontId="38" numFmtId="0" xfId="0" applyAlignment="1" applyBorder="1" applyFont="1">
      <alignment horizontal="center" shrinkToFit="0" vertical="center" wrapText="0"/>
    </xf>
    <xf borderId="1" fillId="0" fontId="39" numFmtId="0" xfId="0" applyAlignment="1" applyBorder="1" applyFont="1">
      <alignment horizontal="center" shrinkToFit="0" vertical="center" wrapText="1"/>
    </xf>
    <xf borderId="1" fillId="0" fontId="0" numFmtId="0" xfId="0" applyAlignment="1" applyBorder="1" applyFont="1">
      <alignment shrinkToFit="0" vertical="bottom" wrapText="0"/>
    </xf>
    <xf borderId="12" fillId="0" fontId="1" numFmtId="3" xfId="0" applyAlignment="1" applyBorder="1" applyFont="1" applyNumberFormat="1">
      <alignment horizontal="center" shrinkToFit="0" vertical="top" wrapText="1"/>
    </xf>
    <xf borderId="12" fillId="0" fontId="1" numFmtId="4" xfId="0" applyAlignment="1" applyBorder="1" applyFont="1" applyNumberFormat="1">
      <alignment horizontal="center" shrinkToFit="0" vertical="top" wrapText="1"/>
    </xf>
    <xf borderId="7" fillId="0" fontId="40" numFmtId="0" xfId="0" applyAlignment="1" applyBorder="1" applyFont="1">
      <alignment horizontal="center" shrinkToFit="0" vertical="top" wrapText="1"/>
    </xf>
    <xf borderId="12" fillId="0" fontId="1" numFmtId="3" xfId="0" applyAlignment="1" applyBorder="1" applyFont="1" applyNumberFormat="1">
      <alignment shrinkToFit="0" vertical="top" wrapText="1"/>
    </xf>
    <xf borderId="1" fillId="0" fontId="41" numFmtId="0" xfId="0" applyAlignment="1" applyBorder="1" applyFont="1">
      <alignment horizontal="center" shrinkToFit="0" vertical="top" wrapText="1"/>
    </xf>
    <xf borderId="0" fillId="0" fontId="2" numFmtId="0" xfId="0" applyAlignment="1" applyFont="1">
      <alignment horizontal="left" shrinkToFit="0" vertical="center" wrapText="0"/>
    </xf>
    <xf borderId="7" fillId="0" fontId="42" numFmtId="0" xfId="0" applyAlignment="1" applyBorder="1" applyFont="1">
      <alignment shrinkToFit="0" vertical="top" wrapText="1"/>
    </xf>
    <xf borderId="0" fillId="0" fontId="43" numFmtId="0" xfId="0" applyAlignment="1" applyFont="1">
      <alignment horizontal="left" shrinkToFit="0" vertical="center" wrapText="0"/>
    </xf>
    <xf borderId="1" fillId="0" fontId="44" numFmtId="0" xfId="0" applyAlignment="1" applyBorder="1" applyFont="1">
      <alignment horizontal="center" shrinkToFit="0" vertical="center" wrapText="0"/>
    </xf>
    <xf borderId="1" fillId="0" fontId="3" numFmtId="0" xfId="0" applyAlignment="1" applyBorder="1" applyFont="1">
      <alignment shrinkToFit="0" vertical="bottom" wrapText="0"/>
    </xf>
    <xf borderId="0" fillId="0" fontId="17" numFmtId="0" xfId="0" applyAlignment="1" applyFont="1">
      <alignment shrinkToFit="0" vertical="top" wrapText="1"/>
    </xf>
    <xf borderId="7" fillId="0" fontId="45" numFmtId="0" xfId="0" applyAlignment="1" applyBorder="1" applyFont="1">
      <alignment horizontal="center" shrinkToFit="0" vertical="top" wrapText="1"/>
    </xf>
    <xf borderId="0" fillId="0" fontId="46" numFmtId="0" xfId="0" applyAlignment="1" applyFont="1">
      <alignment shrinkToFit="0" vertical="top" wrapText="1"/>
    </xf>
    <xf borderId="0" fillId="0" fontId="47" numFmtId="0" xfId="0" applyAlignment="1" applyFont="1">
      <alignment shrinkToFit="0" vertical="top" wrapText="1"/>
    </xf>
    <xf borderId="7" fillId="0" fontId="45" numFmtId="49" xfId="0" applyAlignment="1" applyBorder="1" applyFont="1" applyNumberFormat="1">
      <alignment horizontal="center" shrinkToFit="0" vertical="top" wrapText="1"/>
    </xf>
    <xf borderId="12" fillId="0" fontId="45" numFmtId="3" xfId="0" applyAlignment="1" applyBorder="1" applyFont="1" applyNumberFormat="1">
      <alignment horizontal="center" shrinkToFit="0" vertical="top" wrapText="1"/>
    </xf>
    <xf borderId="12" fillId="0" fontId="45" numFmtId="4" xfId="0" applyAlignment="1" applyBorder="1" applyFont="1" applyNumberFormat="1">
      <alignment horizontal="center" shrinkToFit="0" vertical="top" wrapText="1"/>
    </xf>
    <xf borderId="0" fillId="0" fontId="48" numFmtId="0" xfId="0" applyAlignment="1" applyFont="1">
      <alignment horizontal="left" shrinkToFit="0" vertical="center" wrapText="0"/>
    </xf>
    <xf borderId="0" fillId="0" fontId="49" numFmtId="0" xfId="0" applyAlignment="1" applyFont="1">
      <alignment shrinkToFit="0" vertical="top" wrapText="1"/>
    </xf>
    <xf borderId="1" fillId="0" fontId="50" numFmtId="0" xfId="0" applyAlignment="1" applyBorder="1" applyFont="1">
      <alignment horizontal="left" shrinkToFit="0" vertical="top" wrapText="0"/>
    </xf>
    <xf borderId="0" fillId="0" fontId="19" numFmtId="0" xfId="0" applyAlignment="1" applyFont="1">
      <alignment shrinkToFit="0" vertical="top" wrapText="1"/>
    </xf>
    <xf borderId="1" fillId="0" fontId="19" numFmtId="0" xfId="0" applyAlignment="1" applyBorder="1" applyFont="1">
      <alignment horizontal="left" shrinkToFit="0" vertical="top" wrapText="0"/>
    </xf>
    <xf borderId="0" fillId="0" fontId="51" numFmtId="0" xfId="0" applyAlignment="1" applyFont="1">
      <alignment shrinkToFit="0" vertical="top" wrapText="1"/>
    </xf>
    <xf borderId="1" fillId="0" fontId="19" numFmtId="0" xfId="0" applyAlignment="1" applyBorder="1" applyFont="1">
      <alignment shrinkToFit="0" vertical="top" wrapText="1"/>
    </xf>
    <xf borderId="0" fillId="0" fontId="3" numFmtId="0" xfId="0" applyAlignment="1" applyFont="1">
      <alignment shrinkToFit="0" vertical="bottom" wrapText="0"/>
    </xf>
    <xf borderId="0" fillId="0" fontId="5" numFmtId="0" xfId="0" applyAlignment="1" applyFont="1">
      <alignment horizontal="center" shrinkToFit="0" vertical="bottom" wrapText="1"/>
    </xf>
    <xf borderId="0" fillId="0" fontId="2" numFmtId="0" xfId="0" applyAlignment="1" applyFont="1">
      <alignment horizontal="center" shrinkToFit="0" vertical="bottom" wrapText="1"/>
    </xf>
    <xf borderId="3" fillId="6" fontId="1" numFmtId="0" xfId="0" applyAlignment="1" applyBorder="1" applyFont="1">
      <alignment horizontal="left" shrinkToFit="0" vertical="top" wrapText="1"/>
    </xf>
    <xf borderId="13" fillId="0" fontId="6" numFmtId="0" xfId="0" applyBorder="1" applyFont="1"/>
    <xf borderId="11" fillId="7" fontId="2"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5" fontId="3" numFmtId="0" xfId="0" applyAlignment="1" applyBorder="1" applyFont="1">
      <alignment horizontal="left" shrinkToFit="0" vertical="center" wrapText="1"/>
    </xf>
    <xf borderId="1" fillId="0" fontId="18" numFmtId="0" xfId="0" applyAlignment="1" applyBorder="1" applyFont="1">
      <alignment horizontal="left" shrinkToFit="0" vertical="center" wrapText="1"/>
    </xf>
    <xf borderId="1" fillId="0" fontId="52" numFmtId="0" xfId="0" applyAlignment="1" applyBorder="1" applyFont="1">
      <alignment horizontal="left" shrinkToFit="0" vertical="center" wrapText="1"/>
    </xf>
    <xf borderId="1" fillId="0" fontId="38" numFmtId="1" xfId="0" applyAlignment="1" applyBorder="1" applyFont="1" applyNumberFormat="1">
      <alignment horizontal="left" shrinkToFit="0" vertical="center" wrapText="1"/>
    </xf>
    <xf borderId="1" fillId="5" fontId="53" numFmtId="0" xfId="0" applyAlignment="1" applyBorder="1" applyFont="1">
      <alignment horizontal="left" shrinkToFit="0" vertical="center" wrapText="1"/>
    </xf>
    <xf borderId="1" fillId="0" fontId="3" numFmtId="0" xfId="0" applyAlignment="1" applyBorder="1" applyFont="1">
      <alignment horizontal="left" shrinkToFit="0" vertical="center" wrapText="0"/>
    </xf>
    <xf borderId="1" fillId="0" fontId="2" numFmtId="0" xfId="0" applyAlignment="1" applyBorder="1" applyFont="1">
      <alignment horizontal="left" shrinkToFit="0" vertical="center" wrapText="0"/>
    </xf>
    <xf borderId="1" fillId="0" fontId="3" numFmtId="0" xfId="0" applyAlignment="1" applyBorder="1" applyFont="1">
      <alignment horizontal="left" shrinkToFit="0" vertical="top" wrapText="1"/>
    </xf>
    <xf borderId="1" fillId="0" fontId="3" numFmtId="1" xfId="0" applyAlignment="1" applyBorder="1" applyFont="1" applyNumberFormat="1">
      <alignment shrinkToFit="0" vertical="top" wrapText="1"/>
    </xf>
    <xf borderId="1" fillId="0" fontId="3" numFmtId="0" xfId="0" applyAlignment="1" applyBorder="1" applyFont="1">
      <alignment shrinkToFit="0" vertical="top" wrapText="0"/>
    </xf>
    <xf borderId="1" fillId="0" fontId="2" numFmtId="0" xfId="0" applyAlignment="1" applyBorder="1" applyFont="1">
      <alignment horizontal="center" shrinkToFit="0" vertical="top" wrapText="0"/>
    </xf>
    <xf borderId="1" fillId="0" fontId="54" numFmtId="0" xfId="0" applyAlignment="1" applyBorder="1" applyFont="1">
      <alignment shrinkToFit="0" vertical="top" wrapText="1"/>
    </xf>
    <xf borderId="1" fillId="5" fontId="55" numFmtId="0" xfId="0" applyAlignment="1" applyBorder="1" applyFont="1">
      <alignment shrinkToFit="0" vertical="top" wrapText="1"/>
    </xf>
    <xf borderId="2" fillId="5" fontId="3" numFmtId="0" xfId="0" applyAlignment="1" applyBorder="1" applyFont="1">
      <alignment shrinkToFit="0" vertical="top" wrapText="1"/>
    </xf>
    <xf borderId="7" fillId="0" fontId="56" numFmtId="0" xfId="0" applyAlignment="1" applyBorder="1" applyFont="1">
      <alignment shrinkToFit="0" vertical="top" wrapText="1"/>
    </xf>
    <xf borderId="6" fillId="5" fontId="3" numFmtId="0" xfId="0" applyAlignment="1" applyBorder="1" applyFont="1">
      <alignment shrinkToFit="0" vertical="top" wrapText="1"/>
    </xf>
    <xf borderId="7" fillId="0" fontId="3" numFmtId="0" xfId="0" applyAlignment="1" applyBorder="1" applyFont="1">
      <alignment shrinkToFit="0" vertical="top" wrapText="0"/>
    </xf>
    <xf borderId="1" fillId="0" fontId="2" numFmtId="2" xfId="0" applyAlignment="1" applyBorder="1" applyFont="1" applyNumberFormat="1">
      <alignment horizontal="center" shrinkToFit="0" vertical="top" wrapText="1"/>
    </xf>
    <xf borderId="1" fillId="0" fontId="2" numFmtId="3" xfId="0" applyAlignment="1" applyBorder="1" applyFont="1" applyNumberFormat="1">
      <alignment horizontal="center" shrinkToFit="0" vertical="top" wrapText="1"/>
    </xf>
    <xf borderId="0" fillId="0" fontId="7" numFmtId="4" xfId="0" applyAlignment="1" applyFont="1" applyNumberFormat="1">
      <alignment horizontal="center" shrinkToFit="0" vertical="bottom" wrapText="1"/>
    </xf>
    <xf borderId="0" fillId="0" fontId="57" numFmtId="0" xfId="0" applyAlignment="1" applyFont="1">
      <alignment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top" wrapText="1"/>
    </xf>
    <xf borderId="0" fillId="0" fontId="3" numFmtId="2" xfId="0" applyAlignment="1" applyFont="1" applyNumberFormat="1">
      <alignment shrinkToFit="0" vertical="bottom" wrapText="0"/>
    </xf>
    <xf borderId="3" fillId="6" fontId="58" numFmtId="0" xfId="0" applyAlignment="1" applyBorder="1" applyFont="1">
      <alignment horizontal="center" shrinkToFit="0" vertical="center" wrapText="1"/>
    </xf>
    <xf borderId="0" fillId="0" fontId="2" numFmtId="49" xfId="0" applyAlignment="1" applyFont="1" applyNumberFormat="1">
      <alignment horizontal="center" shrinkToFit="0" vertical="bottom" wrapText="1"/>
    </xf>
    <xf borderId="0" fillId="0" fontId="2" numFmtId="2" xfId="0" applyAlignment="1" applyFont="1" applyNumberFormat="1">
      <alignment horizontal="center" shrinkToFit="0" vertical="bottom" wrapText="1"/>
    </xf>
    <xf borderId="0" fillId="0" fontId="2" numFmtId="49" xfId="0" applyAlignment="1" applyFont="1" applyNumberFormat="1">
      <alignment horizontal="left" shrinkToFit="0" vertical="bottom"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vertical="bottom" wrapText="1"/>
    </xf>
    <xf borderId="0" fillId="0" fontId="2" numFmtId="2" xfId="0" applyAlignment="1" applyFont="1" applyNumberFormat="1">
      <alignment horizontal="left" shrinkToFit="0" vertical="bottom" wrapText="1"/>
    </xf>
    <xf borderId="0" fillId="0" fontId="2" numFmtId="2" xfId="0" applyAlignment="1" applyFont="1" applyNumberFormat="1">
      <alignment shrinkToFit="0" vertical="bottom" wrapText="0"/>
    </xf>
    <xf borderId="0" fillId="0" fontId="2" numFmtId="0" xfId="0" applyAlignment="1" applyFont="1">
      <alignment shrinkToFit="0" vertical="bottom" wrapText="0"/>
    </xf>
    <xf borderId="2" fillId="7" fontId="2" numFmtId="49" xfId="0" applyAlignment="1" applyBorder="1" applyFont="1" applyNumberFormat="1">
      <alignment horizontal="center" shrinkToFit="0" vertical="center" wrapText="1"/>
    </xf>
    <xf borderId="6" fillId="7" fontId="7" numFmtId="2" xfId="0" applyAlignment="1" applyBorder="1" applyFont="1" applyNumberFormat="1">
      <alignment horizontal="center" shrinkToFit="0" vertical="center" wrapText="1"/>
    </xf>
    <xf borderId="2" fillId="7" fontId="7" numFmtId="0" xfId="0" applyAlignment="1" applyBorder="1" applyFont="1">
      <alignment horizontal="center" shrinkToFit="0" vertical="center" wrapText="1"/>
    </xf>
    <xf borderId="1" fillId="7" fontId="2"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3" numFmtId="2" xfId="0" applyAlignment="1" applyBorder="1" applyFont="1" applyNumberFormat="1">
      <alignment horizontal="center" shrinkToFit="0" vertical="center" wrapText="1"/>
    </xf>
    <xf borderId="1" fillId="0" fontId="1" numFmtId="49" xfId="0" applyAlignment="1" applyBorder="1" applyFont="1" applyNumberFormat="1">
      <alignment horizontal="center" shrinkToFit="0" vertical="center" wrapText="1"/>
    </xf>
    <xf borderId="1" fillId="0" fontId="59" numFmtId="0" xfId="0" applyAlignment="1" applyBorder="1" applyFont="1">
      <alignment horizontal="left" shrinkToFit="0" vertical="center" wrapText="1"/>
    </xf>
    <xf borderId="1" fillId="0" fontId="2" numFmtId="1" xfId="0" applyAlignment="1" applyBorder="1" applyFont="1" applyNumberFormat="1">
      <alignment horizontal="center" shrinkToFit="0" vertical="center" wrapText="1"/>
    </xf>
    <xf borderId="1" fillId="0" fontId="2" numFmtId="4" xfId="0" applyAlignment="1" applyBorder="1" applyFont="1" applyNumberFormat="1">
      <alignment horizontal="center" shrinkToFit="0" vertical="center" wrapText="1"/>
    </xf>
    <xf borderId="1" fillId="0" fontId="3" numFmtId="49" xfId="0" applyAlignment="1" applyBorder="1" applyFont="1" applyNumberFormat="1">
      <alignment shrinkToFit="0" vertical="center" wrapText="1"/>
    </xf>
    <xf borderId="1" fillId="0" fontId="3" numFmtId="0" xfId="0" applyAlignment="1" applyBorder="1" applyFont="1">
      <alignment shrinkToFit="0" vertical="center" wrapText="1"/>
    </xf>
    <xf borderId="1" fillId="0" fontId="45" numFmtId="0" xfId="0" applyAlignment="1" applyBorder="1" applyFont="1">
      <alignment horizontal="center" shrinkToFit="0" vertical="center" wrapText="0"/>
    </xf>
    <xf borderId="1" fillId="0" fontId="60" numFmtId="0" xfId="0" applyAlignment="1" applyBorder="1" applyFont="1">
      <alignment shrinkToFit="0" vertical="center" wrapText="1"/>
    </xf>
    <xf borderId="1" fillId="0" fontId="3" numFmtId="49" xfId="0" applyAlignment="1" applyBorder="1" applyFont="1" applyNumberFormat="1">
      <alignment shrinkToFit="0" vertical="top" wrapText="1"/>
    </xf>
    <xf borderId="5" fillId="0" fontId="1" numFmtId="0" xfId="0" applyAlignment="1" applyBorder="1" applyFont="1">
      <alignment horizontal="center" shrinkToFit="0" vertical="top" wrapText="1"/>
    </xf>
    <xf borderId="5" fillId="0" fontId="3" numFmtId="2" xfId="0" applyAlignment="1" applyBorder="1" applyFont="1" applyNumberFormat="1">
      <alignment horizontal="center" shrinkToFit="0" vertical="top" wrapText="1"/>
    </xf>
    <xf borderId="5" fillId="0" fontId="1" numFmtId="49" xfId="0" applyAlignment="1" applyBorder="1" applyFont="1" applyNumberFormat="1">
      <alignment horizontal="center" shrinkToFit="0" vertical="top" wrapText="1"/>
    </xf>
    <xf borderId="12" fillId="0" fontId="2" numFmtId="4" xfId="0" applyAlignment="1" applyBorder="1" applyFont="1" applyNumberFormat="1">
      <alignment horizontal="center" shrinkToFit="0" vertical="top" wrapText="1"/>
    </xf>
    <xf borderId="0" fillId="0" fontId="0" numFmtId="0" xfId="0" applyAlignment="1" applyFont="1">
      <alignment shrinkToFit="0" vertical="bottom" wrapText="1"/>
    </xf>
    <xf borderId="0" fillId="0" fontId="61" numFmtId="0" xfId="0" applyAlignment="1" applyFont="1">
      <alignment shrinkToFit="0" vertical="top" wrapText="1"/>
    </xf>
    <xf borderId="0" fillId="0" fontId="0" numFmtId="0" xfId="0" applyFont="1"/>
    <xf borderId="12" fillId="0" fontId="2" numFmtId="1" xfId="0" applyAlignment="1" applyBorder="1" applyFont="1" applyNumberFormat="1">
      <alignment shrinkToFit="0" vertical="top" wrapText="1"/>
    </xf>
    <xf borderId="0" fillId="0" fontId="15" numFmtId="0" xfId="0" applyAlignment="1" applyFont="1">
      <alignment shrinkToFit="0" vertical="top" wrapText="0"/>
    </xf>
    <xf borderId="12" fillId="0" fontId="3" numFmtId="4" xfId="0" applyAlignment="1" applyBorder="1" applyFont="1" applyNumberFormat="1">
      <alignment horizontal="center" shrinkToFit="0" vertical="top" wrapText="1"/>
    </xf>
    <xf borderId="12" fillId="0" fontId="3" numFmtId="1" xfId="0" applyAlignment="1" applyBorder="1" applyFont="1" applyNumberFormat="1">
      <alignment shrinkToFit="0" vertical="top" wrapText="1"/>
    </xf>
    <xf borderId="0" fillId="0" fontId="62" numFmtId="0" xfId="0" applyAlignment="1" applyFont="1">
      <alignment horizontal="left" shrinkToFit="0" vertical="top" wrapText="0"/>
    </xf>
    <xf borderId="1" fillId="0" fontId="2" numFmtId="1" xfId="0" applyAlignment="1" applyBorder="1" applyFont="1" applyNumberFormat="1">
      <alignment shrinkToFit="0" vertical="top" wrapText="1"/>
    </xf>
    <xf borderId="1" fillId="0" fontId="18" numFmtId="0" xfId="0" applyAlignment="1" applyBorder="1" applyFont="1">
      <alignment horizontal="left" shrinkToFit="0" vertical="center" wrapText="0"/>
    </xf>
    <xf borderId="1" fillId="0" fontId="18" numFmtId="0" xfId="0" applyAlignment="1" applyBorder="1" applyFont="1">
      <alignment shrinkToFit="0" vertical="top" wrapText="1"/>
    </xf>
    <xf borderId="0" fillId="0" fontId="18" numFmtId="0" xfId="0" applyAlignment="1" applyFont="1">
      <alignment shrinkToFit="0" vertical="top" wrapText="0"/>
    </xf>
    <xf borderId="0" fillId="0" fontId="19" numFmtId="0" xfId="0" applyAlignment="1" applyFont="1">
      <alignment horizontal="left" shrinkToFit="0" vertical="top" wrapText="0"/>
    </xf>
    <xf borderId="1" fillId="0" fontId="19" numFmtId="0" xfId="0" applyAlignment="1" applyBorder="1" applyFont="1">
      <alignment shrinkToFit="0" vertical="top" wrapText="0"/>
    </xf>
    <xf borderId="1" fillId="0" fontId="63" numFmtId="0" xfId="0" applyAlignment="1" applyBorder="1" applyFont="1">
      <alignment horizontal="left" shrinkToFit="0" vertical="top" wrapText="0"/>
    </xf>
    <xf borderId="12" fillId="0" fontId="2" numFmtId="1" xfId="0" applyAlignment="1" applyBorder="1" applyFont="1" applyNumberFormat="1">
      <alignment horizontal="center" shrinkToFit="0" vertical="top" wrapText="1"/>
    </xf>
    <xf borderId="0" fillId="0" fontId="0" numFmtId="0" xfId="0" applyAlignment="1" applyFont="1">
      <alignment horizontal="left" shrinkToFit="0" vertical="top" wrapText="0"/>
    </xf>
    <xf borderId="1" fillId="5" fontId="3" numFmtId="49" xfId="0" applyAlignment="1" applyBorder="1" applyFont="1" applyNumberFormat="1">
      <alignment shrinkToFit="0" vertical="top" wrapText="1"/>
    </xf>
    <xf borderId="1" fillId="5" fontId="3" numFmtId="164" xfId="0" applyAlignment="1" applyBorder="1" applyFont="1" applyNumberFormat="1">
      <alignment horizontal="center" shrinkToFit="0" vertical="top" wrapText="1"/>
    </xf>
    <xf borderId="1" fillId="0" fontId="3" numFmtId="1" xfId="0" applyAlignment="1" applyBorder="1" applyFont="1" applyNumberFormat="1">
      <alignment shrinkToFit="0" vertical="bottom" wrapText="0"/>
    </xf>
    <xf borderId="0" fillId="0" fontId="2" numFmtId="49" xfId="0" applyAlignment="1" applyFont="1" applyNumberFormat="1">
      <alignment shrinkToFit="0" vertical="bottom" wrapText="1"/>
    </xf>
    <xf borderId="0" fillId="0" fontId="3" numFmtId="2" xfId="0" applyAlignment="1" applyFont="1" applyNumberFormat="1">
      <alignment shrinkToFit="0" vertical="top" wrapText="1"/>
    </xf>
    <xf borderId="0" fillId="0" fontId="2" numFmtId="4" xfId="0" applyAlignment="1" applyFont="1" applyNumberFormat="1">
      <alignment horizontal="center" shrinkToFit="0" vertical="bottom" wrapText="0"/>
    </xf>
    <xf borderId="0" fillId="0" fontId="0" numFmtId="0" xfId="0" applyAlignment="1" applyFont="1">
      <alignment horizontal="left" shrinkToFit="0" vertical="bottom" wrapText="0"/>
    </xf>
    <xf borderId="1" fillId="7" fontId="7" numFmtId="0" xfId="0" applyAlignment="1" applyBorder="1" applyFont="1">
      <alignment horizontal="center" shrinkToFit="0" vertical="center" wrapText="1"/>
    </xf>
    <xf borderId="11" fillId="7" fontId="7" numFmtId="0" xfId="0" applyAlignment="1" applyBorder="1" applyFont="1">
      <alignment horizontal="center" shrinkToFit="0" vertical="center" wrapText="1"/>
    </xf>
    <xf borderId="1" fillId="0" fontId="2" numFmtId="0" xfId="0" applyAlignment="1" applyBorder="1" applyFont="1">
      <alignment horizontal="center" shrinkToFit="0" vertical="top" wrapText="1"/>
    </xf>
    <xf borderId="0" fillId="0" fontId="15" numFmtId="0" xfId="0" applyAlignment="1" applyFont="1">
      <alignment horizontal="left" readingOrder="0" shrinkToFit="0" vertical="top" wrapText="1"/>
    </xf>
    <xf borderId="0" fillId="0" fontId="1" numFmtId="0" xfId="0" applyAlignment="1" applyFont="1">
      <alignment horizontal="left" shrinkToFit="0" vertical="top" wrapText="1"/>
    </xf>
    <xf borderId="1" fillId="0" fontId="64" numFmtId="0" xfId="0" applyAlignment="1" applyBorder="1" applyFont="1">
      <alignment horizontal="left" shrinkToFit="0" vertical="top" wrapText="1"/>
    </xf>
    <xf borderId="0" fillId="0" fontId="3" numFmtId="0" xfId="0" applyAlignment="1" applyFont="1">
      <alignment horizontal="left" shrinkToFit="0" vertical="top" wrapText="0"/>
    </xf>
    <xf borderId="1" fillId="0" fontId="2" numFmtId="0" xfId="0" applyAlignment="1" applyBorder="1" applyFont="1">
      <alignment horizontal="left" shrinkToFit="0" vertical="top" wrapText="1"/>
    </xf>
    <xf borderId="1" fillId="0" fontId="2" numFmtId="4" xfId="0" applyAlignment="1" applyBorder="1" applyFont="1" applyNumberFormat="1">
      <alignment horizontal="left" shrinkToFit="0" vertical="top" wrapText="1"/>
    </xf>
    <xf borderId="0" fillId="0" fontId="65" numFmtId="0" xfId="0" applyAlignment="1" applyFont="1">
      <alignment horizontal="center" shrinkToFit="0" vertical="top" wrapText="1"/>
    </xf>
    <xf borderId="0" fillId="0" fontId="7" numFmtId="0" xfId="0" applyAlignment="1" applyFont="1">
      <alignment horizontal="center" shrinkToFit="0" vertical="bottom" wrapText="0"/>
    </xf>
    <xf borderId="0" fillId="0" fontId="3" numFmtId="0" xfId="0" applyAlignment="1" applyFont="1">
      <alignment shrinkToFit="0" vertical="bottom" wrapText="1"/>
    </xf>
    <xf borderId="3" fillId="6" fontId="3" numFmtId="0" xfId="0" applyAlignment="1" applyBorder="1" applyFont="1">
      <alignment shrinkToFit="0" vertical="top" wrapText="1"/>
    </xf>
    <xf borderId="0" fillId="0" fontId="4" numFmtId="0" xfId="0" applyAlignment="1" applyFont="1">
      <alignment shrinkToFit="0" vertical="bottom" wrapText="1"/>
    </xf>
    <xf borderId="0" fillId="0" fontId="11" numFmtId="0" xfId="0" applyAlignment="1" applyFont="1">
      <alignment shrinkToFit="0" vertical="bottom" wrapText="0"/>
    </xf>
    <xf borderId="1" fillId="5" fontId="1" numFmtId="49" xfId="0" applyAlignment="1" applyBorder="1" applyFont="1" applyNumberFormat="1">
      <alignment horizontal="center" shrinkToFit="0" vertical="top" wrapText="1"/>
    </xf>
    <xf borderId="1" fillId="5" fontId="66" numFmtId="49" xfId="0" applyAlignment="1" applyBorder="1" applyFont="1" applyNumberFormat="1">
      <alignment horizontal="center" shrinkToFit="0" vertical="top" wrapText="1"/>
    </xf>
    <xf borderId="1" fillId="5" fontId="1" numFmtId="0" xfId="0" applyAlignment="1" applyBorder="1" applyFont="1">
      <alignment horizontal="center" shrinkToFit="0" vertical="top" wrapText="1"/>
    </xf>
    <xf borderId="1" fillId="5" fontId="1" numFmtId="165" xfId="0" applyAlignment="1" applyBorder="1" applyFont="1" applyNumberFormat="1">
      <alignment horizontal="center" shrinkToFit="0" vertical="top" wrapText="1"/>
    </xf>
    <xf borderId="1" fillId="5" fontId="7" numFmtId="0" xfId="0" applyAlignment="1" applyBorder="1" applyFont="1">
      <alignment horizontal="center" shrinkToFit="0" vertical="top" wrapText="1"/>
    </xf>
    <xf borderId="1" fillId="5" fontId="7" numFmtId="4" xfId="0" applyAlignment="1" applyBorder="1" applyFont="1" applyNumberFormat="1">
      <alignment horizontal="center" shrinkToFit="0" vertical="top" wrapText="1"/>
    </xf>
    <xf borderId="1" fillId="0" fontId="25" numFmtId="4" xfId="0" applyAlignment="1" applyBorder="1" applyFont="1" applyNumberFormat="1">
      <alignment horizontal="center" shrinkToFit="0" vertical="top" wrapText="1"/>
    </xf>
    <xf borderId="0" fillId="0" fontId="67" numFmtId="1" xfId="0" applyAlignment="1" applyFont="1" applyNumberFormat="1">
      <alignment shrinkToFit="0" vertical="top" wrapText="0"/>
    </xf>
    <xf borderId="3" fillId="6" fontId="3" numFmtId="0" xfId="0" applyAlignment="1" applyBorder="1" applyFont="1">
      <alignment shrinkToFit="0" vertical="bottom" wrapText="1"/>
    </xf>
    <xf borderId="3" fillId="6" fontId="3" numFmtId="0" xfId="0" applyAlignment="1" applyBorder="1" applyFont="1">
      <alignment shrinkToFit="0" vertical="bottom" wrapText="0"/>
    </xf>
    <xf borderId="0" fillId="0" fontId="68" numFmtId="0" xfId="0" applyAlignment="1" applyFont="1">
      <alignment shrinkToFit="0" vertical="bottom" wrapText="0"/>
    </xf>
    <xf borderId="1" fillId="0" fontId="2" numFmtId="3" xfId="0" applyAlignment="1" applyBorder="1" applyFont="1" applyNumberFormat="1">
      <alignment shrinkToFit="0" vertical="top" wrapText="1"/>
    </xf>
    <xf borderId="0" fillId="0" fontId="69" numFmtId="0" xfId="0" applyAlignment="1" applyFont="1">
      <alignment horizontal="left" shrinkToFit="0" vertical="center" wrapText="1"/>
    </xf>
    <xf borderId="1" fillId="0" fontId="25" numFmtId="1" xfId="0" applyAlignment="1" applyBorder="1" applyFont="1" applyNumberFormat="1">
      <alignment horizontal="center" shrinkToFit="0" vertical="top" wrapText="1"/>
    </xf>
    <xf borderId="1" fillId="0" fontId="70" numFmtId="0" xfId="0" applyAlignment="1" applyBorder="1" applyFont="1">
      <alignment horizontal="left" shrinkToFit="0" vertical="top" wrapText="1"/>
    </xf>
    <xf borderId="1" fillId="4" fontId="0" numFmtId="0" xfId="0" applyAlignment="1" applyBorder="1" applyFont="1">
      <alignment horizontal="center" shrinkToFit="0" vertical="top" wrapText="1"/>
    </xf>
    <xf borderId="1" fillId="4" fontId="2" numFmtId="1" xfId="0" applyAlignment="1" applyBorder="1" applyFont="1" applyNumberFormat="1">
      <alignment horizontal="center" shrinkToFit="0" vertical="top" wrapText="1"/>
    </xf>
    <xf borderId="1" fillId="4" fontId="2" numFmtId="4" xfId="0" applyAlignment="1" applyBorder="1" applyFont="1" applyNumberFormat="1">
      <alignment horizontal="center" shrinkToFit="0" vertical="top" wrapText="1"/>
    </xf>
    <xf borderId="1" fillId="0" fontId="71" numFmtId="0" xfId="0" applyAlignment="1" applyBorder="1" applyFont="1">
      <alignment horizontal="left" shrinkToFit="0" vertical="top" wrapText="1"/>
    </xf>
    <xf borderId="14"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14" fillId="0" fontId="72" numFmtId="0" xfId="0" applyAlignment="1" applyBorder="1" applyFont="1">
      <alignment horizontal="left" shrinkToFit="0" vertical="center" wrapText="1"/>
    </xf>
    <xf borderId="14" fillId="0" fontId="3" numFmtId="0" xfId="0" applyAlignment="1" applyBorder="1" applyFont="1">
      <alignment horizontal="center" shrinkToFit="0" vertical="top" wrapText="1"/>
    </xf>
    <xf borderId="14" fillId="0" fontId="2" numFmtId="1" xfId="0" applyAlignment="1" applyBorder="1" applyFont="1" applyNumberFormat="1">
      <alignment horizontal="center" shrinkToFit="0" vertical="top" wrapText="1"/>
    </xf>
    <xf borderId="14" fillId="0" fontId="2" numFmtId="4" xfId="0" applyAlignment="1" applyBorder="1" applyFont="1" applyNumberFormat="1">
      <alignment horizontal="center" shrinkToFit="0" vertical="top" wrapText="1"/>
    </xf>
    <xf borderId="1" fillId="0" fontId="73" numFmtId="0" xfId="0" applyAlignment="1" applyBorder="1" applyFont="1">
      <alignment horizontal="left" shrinkToFit="0" vertical="top" wrapText="1"/>
    </xf>
    <xf borderId="1" fillId="0" fontId="74" numFmtId="0" xfId="0" applyAlignment="1" applyBorder="1" applyFont="1">
      <alignment horizontal="left" shrinkToFit="0" vertical="center" wrapText="1"/>
    </xf>
    <xf borderId="15" fillId="0" fontId="1" numFmtId="0" xfId="0" applyAlignment="1" applyBorder="1" applyFont="1">
      <alignment horizontal="left" shrinkToFit="0" vertical="top" wrapText="1"/>
    </xf>
    <xf borderId="16" fillId="0" fontId="1" numFmtId="0" xfId="0" applyAlignment="1" applyBorder="1" applyFont="1">
      <alignment horizontal="left" shrinkToFit="0" vertical="top" wrapText="1"/>
    </xf>
    <xf borderId="16" fillId="0" fontId="75" numFmtId="0" xfId="0" applyAlignment="1" applyBorder="1" applyFont="1">
      <alignment horizontal="left" shrinkToFit="0" vertical="top" wrapText="1"/>
    </xf>
    <xf borderId="17" fillId="7" fontId="1" numFmtId="0" xfId="0" applyAlignment="1" applyBorder="1" applyFont="1">
      <alignment horizontal="center" shrinkToFit="0" vertical="top" wrapText="1"/>
    </xf>
    <xf borderId="16" fillId="0" fontId="7" numFmtId="0" xfId="0" applyAlignment="1" applyBorder="1" applyFont="1">
      <alignment horizontal="center" shrinkToFit="0" vertical="top" wrapText="1"/>
    </xf>
    <xf borderId="18" fillId="0" fontId="1" numFmtId="0" xfId="0" applyAlignment="1" applyBorder="1" applyFont="1">
      <alignment horizontal="left" shrinkToFit="0" vertical="top" wrapText="1"/>
    </xf>
    <xf borderId="19" fillId="0" fontId="1" numFmtId="0" xfId="0" applyAlignment="1" applyBorder="1" applyFont="1">
      <alignment horizontal="left" shrinkToFit="0" vertical="top" wrapText="1"/>
    </xf>
    <xf borderId="19" fillId="0" fontId="76" numFmtId="0" xfId="0" applyAlignment="1" applyBorder="1" applyFont="1">
      <alignment horizontal="left" shrinkToFit="0" vertical="top" wrapText="1"/>
    </xf>
    <xf borderId="20" fillId="7" fontId="1" numFmtId="0" xfId="0" applyAlignment="1" applyBorder="1" applyFont="1">
      <alignment horizontal="center" shrinkToFit="0" vertical="top" wrapText="1"/>
    </xf>
    <xf borderId="19" fillId="0" fontId="7" numFmtId="0" xfId="0" applyAlignment="1" applyBorder="1" applyFont="1">
      <alignment horizontal="center" shrinkToFit="0" vertical="top" wrapText="1"/>
    </xf>
    <xf borderId="0" fillId="0" fontId="1" numFmtId="0" xfId="0" applyAlignment="1" applyFont="1">
      <alignment horizontal="left"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shrinkToFit="0" vertical="center" wrapText="1"/>
    </xf>
    <xf borderId="0" fillId="0" fontId="77" numFmtId="0" xfId="0" applyAlignment="1" applyFont="1">
      <alignment horizontal="left" shrinkToFit="0" vertical="center" wrapText="1"/>
    </xf>
    <xf borderId="0" fillId="0" fontId="78" numFmtId="0" xfId="0" applyAlignment="1" applyFont="1">
      <alignment shrinkToFit="0" vertical="center" wrapText="1"/>
    </xf>
    <xf borderId="1" fillId="9" fontId="3" numFmtId="0" xfId="0" applyAlignment="1" applyBorder="1" applyFont="1">
      <alignment horizontal="left" shrinkToFit="0" vertical="top" wrapText="1"/>
    </xf>
    <xf borderId="1" fillId="0" fontId="11" numFmtId="0" xfId="0" applyAlignment="1" applyBorder="1" applyFont="1">
      <alignment horizontal="left" shrinkToFit="0" vertical="center" wrapText="1"/>
    </xf>
    <xf borderId="1" fillId="0" fontId="2" numFmtId="1" xfId="0" applyAlignment="1" applyBorder="1" applyFont="1" applyNumberFormat="1">
      <alignment horizontal="left" shrinkToFit="0" vertical="center" wrapText="1"/>
    </xf>
    <xf borderId="1" fillId="0" fontId="2" numFmtId="4" xfId="0" applyAlignment="1" applyBorder="1" applyFont="1" applyNumberFormat="1">
      <alignment horizontal="left" shrinkToFit="0" vertical="center" wrapText="1"/>
    </xf>
    <xf borderId="0" fillId="0" fontId="79" numFmtId="0" xfId="0" applyAlignment="1" applyFont="1">
      <alignment shrinkToFit="0" vertical="center" wrapText="0"/>
    </xf>
    <xf borderId="1" fillId="0" fontId="80" numFmtId="0" xfId="0" applyAlignment="1" applyBorder="1" applyFont="1">
      <alignment horizontal="center" shrinkToFit="0" vertical="top" wrapText="1"/>
    </xf>
    <xf borderId="0" fillId="0" fontId="81" numFmtId="0" xfId="0" applyAlignment="1" applyFont="1">
      <alignment shrinkToFit="0" vertical="top" wrapText="1"/>
    </xf>
    <xf borderId="1" fillId="0" fontId="81" numFmtId="0" xfId="0" applyAlignment="1" applyBorder="1" applyFont="1">
      <alignment horizontal="left" shrinkToFit="0" vertical="top" wrapText="1"/>
    </xf>
    <xf borderId="0" fillId="0" fontId="82" numFmtId="0" xfId="0" applyAlignment="1" applyFont="1">
      <alignment shrinkToFit="0" vertical="top" wrapText="1"/>
    </xf>
    <xf borderId="1" fillId="0" fontId="81" numFmtId="0" xfId="0" applyAlignment="1" applyBorder="1" applyFont="1">
      <alignment horizontal="center" shrinkToFit="0" vertical="top" wrapText="1"/>
    </xf>
    <xf borderId="1" fillId="0" fontId="83" numFmtId="0" xfId="0" applyAlignment="1" applyBorder="1" applyFont="1">
      <alignment horizontal="center" shrinkToFit="0" vertical="top" wrapText="1"/>
    </xf>
    <xf borderId="1" fillId="0" fontId="84" numFmtId="1" xfId="0" applyAlignment="1" applyBorder="1" applyFont="1" applyNumberFormat="1">
      <alignment horizontal="center" shrinkToFit="0" vertical="top" wrapText="1"/>
    </xf>
    <xf borderId="1" fillId="0" fontId="84" numFmtId="4" xfId="0" applyAlignment="1" applyBorder="1" applyFont="1" applyNumberFormat="1">
      <alignment horizontal="center" shrinkToFit="0" vertical="top" wrapText="1"/>
    </xf>
    <xf borderId="0" fillId="0" fontId="4" numFmtId="4" xfId="0" applyAlignment="1" applyFont="1" applyNumberFormat="1">
      <alignment shrinkToFit="0" vertical="bottom" wrapText="0"/>
    </xf>
    <xf borderId="1" fillId="0" fontId="85" numFmtId="0" xfId="0" applyAlignment="1" applyBorder="1" applyFont="1">
      <alignment shrinkToFit="0" vertical="top" wrapText="1"/>
    </xf>
    <xf borderId="1" fillId="9" fontId="86" numFmtId="0" xfId="0" applyAlignment="1" applyBorder="1" applyFont="1">
      <alignment shrinkToFit="0" vertical="top" wrapText="1"/>
    </xf>
    <xf borderId="1" fillId="9" fontId="87" numFmtId="0" xfId="0" applyAlignment="1" applyBorder="1" applyFont="1">
      <alignment shrinkToFit="0" vertical="top" wrapText="1"/>
    </xf>
    <xf borderId="1" fillId="9" fontId="2" numFmtId="1" xfId="0" applyAlignment="1" applyBorder="1" applyFont="1" applyNumberFormat="1">
      <alignment horizontal="center" shrinkToFit="0" vertical="top" wrapText="1"/>
    </xf>
    <xf borderId="1" fillId="9" fontId="2" numFmtId="4" xfId="0" applyAlignment="1" applyBorder="1" applyFont="1" applyNumberFormat="1">
      <alignment horizontal="center" shrinkToFit="0" vertical="top" wrapText="1"/>
    </xf>
    <xf borderId="1" fillId="0" fontId="88" numFmtId="0" xfId="0" applyAlignment="1" applyBorder="1" applyFont="1">
      <alignment horizontal="center" shrinkToFit="0" vertical="top" wrapText="1"/>
    </xf>
    <xf borderId="1" fillId="0" fontId="3" numFmtId="0" xfId="0" applyAlignment="1" applyBorder="1" applyFont="1">
      <alignment shrinkToFit="0" vertical="bottom" wrapText="1"/>
    </xf>
    <xf borderId="1" fillId="0" fontId="7" numFmtId="0" xfId="0" applyAlignment="1" applyBorder="1" applyFont="1">
      <alignment shrinkToFit="0" vertical="top" wrapText="1"/>
    </xf>
    <xf borderId="1" fillId="5" fontId="1" numFmtId="0" xfId="0" applyAlignment="1" applyBorder="1" applyFont="1">
      <alignment shrinkToFit="0" vertical="top" wrapText="1"/>
    </xf>
    <xf borderId="0" fillId="0" fontId="89" numFmtId="0" xfId="0" applyAlignment="1" applyFont="1">
      <alignment shrinkToFit="0" vertical="center" wrapText="1"/>
    </xf>
    <xf borderId="1" fillId="0" fontId="90" numFmtId="0" xfId="0" applyAlignment="1" applyBorder="1" applyFont="1">
      <alignment shrinkToFit="0" vertical="top" wrapText="1"/>
    </xf>
    <xf borderId="0" fillId="0" fontId="17" numFmtId="0" xfId="0" applyAlignment="1" applyFont="1">
      <alignment shrinkToFit="0" vertical="bottom" wrapText="0"/>
    </xf>
    <xf borderId="1" fillId="0" fontId="15" numFmtId="0" xfId="0" applyAlignment="1" applyBorder="1" applyFont="1">
      <alignment shrinkToFit="0" vertical="top" wrapText="1"/>
    </xf>
    <xf borderId="1" fillId="0" fontId="15" numFmtId="0" xfId="0" applyAlignment="1" applyBorder="1" applyFont="1">
      <alignment horizontal="left" shrinkToFit="0" vertical="top" wrapText="1"/>
    </xf>
    <xf borderId="1" fillId="0" fontId="91" numFmtId="0" xfId="0" applyAlignment="1" applyBorder="1" applyFont="1">
      <alignment shrinkToFit="0" vertical="top" wrapText="1"/>
    </xf>
    <xf borderId="0" fillId="0" fontId="15" numFmtId="0" xfId="0" applyAlignment="1" applyFont="1">
      <alignment shrinkToFit="0" vertical="top" wrapText="1"/>
    </xf>
    <xf borderId="1" fillId="0" fontId="15" numFmtId="0" xfId="0" applyAlignment="1" applyBorder="1" applyFont="1">
      <alignment horizontal="center" shrinkToFit="0" vertical="top" wrapText="1"/>
    </xf>
    <xf borderId="1" fillId="0" fontId="92" numFmtId="1" xfId="0" applyAlignment="1" applyBorder="1" applyFont="1" applyNumberFormat="1">
      <alignment horizontal="center" shrinkToFit="0" vertical="top" wrapText="1"/>
    </xf>
    <xf borderId="1" fillId="0" fontId="92" numFmtId="4" xfId="0" applyAlignment="1" applyBorder="1" applyFont="1" applyNumberFormat="1">
      <alignment horizontal="center" shrinkToFit="0" vertical="top" wrapText="1"/>
    </xf>
    <xf borderId="0" fillId="0" fontId="93" numFmtId="0" xfId="0" applyAlignment="1" applyFont="1">
      <alignment shrinkToFit="0" vertical="top" wrapText="1"/>
    </xf>
    <xf borderId="0" fillId="0" fontId="18" numFmtId="0" xfId="0" applyAlignment="1" applyFont="1">
      <alignment shrinkToFit="0" vertical="bottom" wrapText="1"/>
    </xf>
    <xf borderId="0" fillId="0" fontId="94" numFmtId="0" xfId="0" applyAlignment="1" applyFont="1">
      <alignment shrinkToFit="0" vertical="top" wrapText="1"/>
    </xf>
    <xf borderId="0" fillId="0" fontId="1" numFmtId="0" xfId="0" applyAlignment="1" applyFont="1">
      <alignment shrinkToFit="0" vertical="top" wrapText="0"/>
    </xf>
    <xf borderId="0" fillId="0" fontId="7" numFmtId="0" xfId="0" applyAlignment="1" applyFont="1">
      <alignment shrinkToFit="0" vertical="top" wrapText="0"/>
    </xf>
    <xf borderId="0" fillId="0" fontId="7" numFmtId="4" xfId="0" applyAlignment="1" applyFont="1" applyNumberFormat="1">
      <alignment horizontal="center" shrinkToFit="0" vertical="top" wrapText="0"/>
    </xf>
    <xf borderId="0" fillId="0" fontId="21" numFmtId="0" xfId="0" applyAlignment="1" applyFont="1">
      <alignment shrinkToFit="0" vertical="bottom" wrapText="1"/>
    </xf>
    <xf borderId="0" fillId="0" fontId="45" numFmtId="0" xfId="0" applyAlignment="1" applyFont="1">
      <alignment shrinkToFit="0" vertical="top" wrapText="1"/>
    </xf>
    <xf borderId="0" fillId="0" fontId="95" numFmtId="0" xfId="0" applyAlignment="1" applyFont="1">
      <alignment shrinkToFit="0" vertical="top" wrapText="1"/>
    </xf>
    <xf borderId="0" fillId="0" fontId="96" numFmtId="0" xfId="0" applyAlignment="1" applyFont="1">
      <alignment shrinkToFit="0" vertical="top" wrapText="1"/>
    </xf>
    <xf borderId="0" fillId="0" fontId="45" numFmtId="0" xfId="0" applyAlignment="1" applyFont="1">
      <alignment shrinkToFit="0" vertical="top" wrapText="0"/>
    </xf>
    <xf borderId="0" fillId="0" fontId="97" numFmtId="0" xfId="0" applyAlignment="1" applyFont="1">
      <alignment shrinkToFit="0" vertical="bottom" wrapText="1"/>
    </xf>
    <xf borderId="0" fillId="0" fontId="98" numFmtId="0" xfId="0" applyAlignment="1" applyFont="1">
      <alignment shrinkToFit="0" vertical="top" wrapText="1"/>
    </xf>
    <xf borderId="0" fillId="0" fontId="2" numFmtId="4" xfId="0" applyAlignment="1" applyFont="1" applyNumberFormat="1">
      <alignment horizontal="center" shrinkToFit="0" vertical="top" wrapText="1"/>
    </xf>
    <xf borderId="0" fillId="0" fontId="19" numFmtId="0" xfId="0" applyAlignment="1" applyFont="1">
      <alignment shrinkToFit="0" vertical="bottom" wrapText="0"/>
    </xf>
    <xf borderId="0" fillId="0" fontId="19" numFmtId="0" xfId="0" applyAlignment="1" applyFont="1">
      <alignment shrinkToFit="0" vertical="bottom" wrapText="1"/>
    </xf>
    <xf borderId="0" fillId="0" fontId="99" numFmtId="0" xfId="0" applyAlignment="1" applyFont="1">
      <alignment shrinkToFit="0" vertical="bottom" wrapText="0"/>
    </xf>
    <xf borderId="0" fillId="0" fontId="45" numFmtId="0" xfId="0" applyAlignment="1" applyFont="1">
      <alignment shrinkToFit="0" vertical="bottom" wrapText="1"/>
    </xf>
    <xf borderId="0" fillId="0" fontId="100" numFmtId="0" xfId="0" applyAlignment="1" applyFont="1">
      <alignment shrinkToFit="0" vertical="bottom" wrapText="1"/>
    </xf>
    <xf borderId="0" fillId="0" fontId="0" numFmtId="0" xfId="0" applyAlignment="1" applyFont="1">
      <alignment horizontal="left" shrinkToFit="0" vertical="center" wrapText="0"/>
    </xf>
    <xf borderId="0" fillId="0" fontId="101" numFmtId="0" xfId="0" applyAlignment="1" applyFont="1">
      <alignment shrinkToFit="0" vertical="center" wrapText="1"/>
    </xf>
    <xf borderId="1" fillId="9" fontId="2" numFmtId="0" xfId="0" applyAlignment="1" applyBorder="1" applyFont="1">
      <alignment shrinkToFit="0" vertical="top" wrapText="1"/>
    </xf>
    <xf borderId="1" fillId="0" fontId="102" numFmtId="0" xfId="0" applyAlignment="1" applyBorder="1" applyFont="1">
      <alignment shrinkToFit="0" vertical="center" wrapText="1"/>
    </xf>
    <xf borderId="1" fillId="0" fontId="103" numFmtId="0" xfId="0" applyAlignment="1" applyBorder="1" applyFont="1">
      <alignment shrinkToFit="0" vertical="center" wrapText="0"/>
    </xf>
    <xf borderId="0" fillId="0" fontId="0" numFmtId="0" xfId="0" applyAlignment="1" applyFont="1">
      <alignment horizontal="left" shrinkToFit="0" vertical="top" wrapText="1"/>
    </xf>
    <xf borderId="12" fillId="0" fontId="3" numFmtId="0" xfId="0" applyAlignment="1" applyBorder="1" applyFont="1">
      <alignment horizontal="center" shrinkToFit="0" vertical="top" wrapText="1"/>
    </xf>
    <xf borderId="1" fillId="0" fontId="3" numFmtId="0" xfId="0" applyAlignment="1" applyBorder="1" applyFont="1">
      <alignment horizontal="left" shrinkToFit="0" vertical="bottom" wrapText="1"/>
    </xf>
    <xf borderId="1" fillId="0" fontId="15" numFmtId="0" xfId="0" applyAlignment="1" applyBorder="1" applyFont="1">
      <alignment horizontal="center" shrinkToFit="0" vertical="center" wrapText="1"/>
    </xf>
    <xf borderId="1" fillId="0" fontId="15" numFmtId="1" xfId="0" applyAlignment="1" applyBorder="1" applyFont="1" applyNumberFormat="1">
      <alignment horizontal="center" shrinkToFit="0" vertical="top" wrapText="1"/>
    </xf>
    <xf borderId="1" fillId="0" fontId="15" numFmtId="4" xfId="0" applyAlignment="1" applyBorder="1" applyFont="1" applyNumberFormat="1">
      <alignment horizontal="center" shrinkToFit="0" vertical="top" wrapText="1"/>
    </xf>
    <xf borderId="1" fillId="0" fontId="104" numFmtId="0" xfId="0" applyAlignment="1" applyBorder="1" applyFont="1">
      <alignment horizontal="left" shrinkToFit="0" vertical="center" wrapText="1"/>
    </xf>
    <xf borderId="1" fillId="0" fontId="105" numFmtId="0" xfId="0" applyAlignment="1" applyBorder="1" applyFont="1">
      <alignment shrinkToFit="0" vertical="bottom" wrapText="0"/>
    </xf>
    <xf borderId="1" fillId="0" fontId="106" numFmtId="0" xfId="0" applyAlignment="1" applyBorder="1" applyFont="1">
      <alignment horizontal="center" shrinkToFit="0" vertical="center" wrapText="1"/>
    </xf>
    <xf borderId="1" fillId="0" fontId="16" numFmtId="0" xfId="0" applyAlignment="1" applyBorder="1" applyFont="1">
      <alignment horizontal="left" shrinkToFit="0" vertical="center" wrapText="1"/>
    </xf>
    <xf borderId="1" fillId="0" fontId="107" numFmtId="0" xfId="0" applyAlignment="1" applyBorder="1" applyFont="1">
      <alignment horizontal="left" shrinkToFit="0" vertical="center" wrapText="1"/>
    </xf>
    <xf borderId="1" fillId="0" fontId="108" numFmtId="0" xfId="0" applyAlignment="1" applyBorder="1" applyFont="1">
      <alignment horizontal="center" shrinkToFit="0" vertical="center" wrapText="1"/>
    </xf>
    <xf borderId="1" fillId="0" fontId="19" numFmtId="4" xfId="0" applyAlignment="1" applyBorder="1" applyFont="1" applyNumberFormat="1">
      <alignment horizontal="center" shrinkToFit="0" vertical="top" wrapText="1"/>
    </xf>
    <xf borderId="0" fillId="0" fontId="109" numFmtId="0" xfId="0" applyAlignment="1" applyFont="1">
      <alignment horizontal="center" shrinkToFit="0" vertical="center" wrapText="1"/>
    </xf>
    <xf borderId="7" fillId="0" fontId="1" numFmtId="0" xfId="0" applyAlignment="1" applyBorder="1" applyFont="1">
      <alignment horizontal="left" shrinkToFit="0" vertical="center" wrapText="1"/>
    </xf>
    <xf borderId="12" fillId="0" fontId="110" numFmtId="0" xfId="0" applyAlignment="1" applyBorder="1" applyFont="1">
      <alignment horizontal="center" shrinkToFit="0" vertical="center" wrapText="1"/>
    </xf>
    <xf borderId="1" fillId="0" fontId="111" numFmtId="0" xfId="0" applyAlignment="1" applyBorder="1" applyFont="1">
      <alignment shrinkToFit="0" vertical="bottom" wrapText="1"/>
    </xf>
    <xf borderId="1" fillId="0" fontId="3" numFmtId="0" xfId="0" applyAlignment="1" applyBorder="1" applyFont="1">
      <alignment horizontal="center" shrinkToFit="0" vertical="bottom" wrapText="1"/>
    </xf>
    <xf borderId="1" fillId="0" fontId="0" numFmtId="0" xfId="0" applyAlignment="1" applyBorder="1" applyFont="1">
      <alignment shrinkToFit="0" vertical="top" wrapText="1"/>
    </xf>
    <xf borderId="1" fillId="0" fontId="0" numFmtId="0" xfId="0" applyAlignment="1" applyBorder="1" applyFont="1">
      <alignment horizontal="center" shrinkToFit="0" vertical="top" wrapText="0"/>
    </xf>
    <xf borderId="7" fillId="0" fontId="0" numFmtId="0" xfId="0" applyAlignment="1" applyBorder="1" applyFont="1">
      <alignment shrinkToFit="0" vertical="top" wrapText="1"/>
    </xf>
    <xf borderId="12" fillId="0" fontId="112" numFmtId="0" xfId="0" applyAlignment="1" applyBorder="1" applyFont="1">
      <alignment shrinkToFit="0" vertical="top" wrapText="1"/>
    </xf>
    <xf borderId="7" fillId="0" fontId="0" numFmtId="0" xfId="0" applyAlignment="1" applyBorder="1" applyFont="1">
      <alignment horizontal="center" shrinkToFit="0" vertical="top" wrapText="0"/>
    </xf>
    <xf borderId="7" fillId="0" fontId="1"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0" numFmtId="0" xfId="0" applyAlignment="1" applyBorder="1" applyFont="1">
      <alignment horizontal="center" shrinkToFit="0" vertical="top" wrapText="1"/>
    </xf>
    <xf borderId="21" fillId="0" fontId="1" numFmtId="0" xfId="0" applyAlignment="1" applyBorder="1" applyFont="1">
      <alignment horizontal="left" shrinkToFit="0" vertical="top" wrapText="1"/>
    </xf>
    <xf borderId="1" fillId="0" fontId="1" numFmtId="0" xfId="0" applyAlignment="1" applyBorder="1" applyFont="1">
      <alignment shrinkToFit="0" vertical="bottom" wrapText="1"/>
    </xf>
    <xf borderId="1" fillId="0" fontId="3" numFmtId="0" xfId="0" applyAlignment="1" applyBorder="1" applyFont="1">
      <alignment horizontal="right" shrinkToFit="0" vertical="top" wrapText="1"/>
    </xf>
    <xf borderId="0" fillId="0" fontId="113" numFmtId="0" xfId="0" applyAlignment="1" applyFont="1">
      <alignment shrinkToFit="0" vertical="bottom" wrapText="1"/>
    </xf>
    <xf borderId="0" fillId="0" fontId="114" numFmtId="0" xfId="0" applyAlignment="1" applyFont="1">
      <alignment shrinkToFit="0" vertical="bottom" wrapText="1"/>
    </xf>
    <xf borderId="0" fillId="0" fontId="115" numFmtId="0" xfId="0" applyAlignment="1" applyFont="1">
      <alignment horizontal="left" shrinkToFit="0" vertical="center" wrapText="1"/>
    </xf>
    <xf borderId="0" fillId="0" fontId="96" numFmtId="17" xfId="0" applyAlignment="1" applyFont="1" applyNumberFormat="1">
      <alignment horizontal="left" shrinkToFit="0" vertical="center" wrapText="1"/>
    </xf>
    <xf borderId="7" fillId="0" fontId="19" numFmtId="0" xfId="0" applyAlignment="1" applyBorder="1" applyFont="1">
      <alignment horizontal="center" shrinkToFit="0" vertical="center" wrapText="1"/>
    </xf>
    <xf borderId="22" fillId="0" fontId="19" numFmtId="0" xfId="0" applyAlignment="1" applyBorder="1" applyFont="1">
      <alignment horizontal="center" shrinkToFit="0" vertical="bottom" wrapText="1"/>
    </xf>
    <xf borderId="0" fillId="0" fontId="1" numFmtId="0" xfId="0" applyAlignment="1" applyFont="1">
      <alignment horizontal="center" shrinkToFit="0" vertical="center" wrapText="1"/>
    </xf>
    <xf borderId="0" fillId="0" fontId="19" numFmtId="0" xfId="0" applyAlignment="1" applyFont="1">
      <alignment horizontal="center" shrinkToFit="0" vertical="bottom" wrapText="1"/>
    </xf>
    <xf borderId="23" fillId="0" fontId="116" numFmtId="0" xfId="0" applyAlignment="1" applyBorder="1" applyFont="1">
      <alignment horizontal="center" shrinkToFit="0" vertical="top" wrapText="1"/>
    </xf>
    <xf borderId="22" fillId="0" fontId="2" numFmtId="4" xfId="0" applyAlignment="1" applyBorder="1" applyFont="1" applyNumberFormat="1">
      <alignment horizontal="center" shrinkToFit="0" vertical="top" wrapText="1"/>
    </xf>
    <xf borderId="0" fillId="0" fontId="2" numFmtId="1" xfId="0" applyAlignment="1" applyFont="1" applyNumberFormat="1">
      <alignment horizontal="center" shrinkToFit="0" vertical="top" wrapText="1"/>
    </xf>
    <xf borderId="1" fillId="9" fontId="3" numFmtId="0" xfId="0" applyAlignment="1" applyBorder="1" applyFont="1">
      <alignment shrinkToFit="0" vertical="center" wrapText="1"/>
    </xf>
    <xf borderId="1" fillId="9" fontId="3" numFmtId="0" xfId="0" applyAlignment="1" applyBorder="1" applyFont="1">
      <alignment horizontal="left" shrinkToFit="0" vertical="center" wrapText="1"/>
    </xf>
    <xf borderId="0" fillId="0" fontId="3" numFmtId="0" xfId="0" applyAlignment="1" applyFont="1">
      <alignment shrinkToFit="0" vertical="center" wrapText="1"/>
    </xf>
    <xf borderId="12" fillId="0" fontId="3" numFmtId="0" xfId="0" applyAlignment="1" applyBorder="1" applyFont="1">
      <alignment horizontal="left" shrinkToFit="0" vertical="top" wrapText="1"/>
    </xf>
    <xf borderId="12" fillId="0" fontId="1" numFmtId="0" xfId="0" applyAlignment="1" applyBorder="1" applyFont="1">
      <alignment shrinkToFit="0" vertical="bottom" wrapText="1"/>
    </xf>
    <xf borderId="0" fillId="0" fontId="62" numFmtId="0" xfId="0" applyAlignment="1" applyFont="1">
      <alignment shrinkToFit="0" vertical="top" wrapText="1"/>
    </xf>
    <xf borderId="1" fillId="0" fontId="117" numFmtId="0" xfId="0" applyAlignment="1" applyBorder="1" applyFont="1">
      <alignment horizontal="left" shrinkToFit="0" vertical="top" wrapText="1"/>
    </xf>
    <xf borderId="1" fillId="0" fontId="117" numFmtId="0" xfId="0" applyAlignment="1" applyBorder="1" applyFont="1">
      <alignment shrinkToFit="0" vertical="top" wrapText="1"/>
    </xf>
    <xf borderId="1" fillId="0" fontId="117" numFmtId="1" xfId="0" applyAlignment="1" applyBorder="1" applyFont="1" applyNumberFormat="1">
      <alignment horizontal="center" shrinkToFit="0" vertical="top" wrapText="1"/>
    </xf>
    <xf borderId="1" fillId="0" fontId="117" numFmtId="4" xfId="0" applyAlignment="1" applyBorder="1" applyFont="1" applyNumberFormat="1">
      <alignment horizontal="center" shrinkToFit="0" vertical="top" wrapText="1"/>
    </xf>
    <xf borderId="1" fillId="0" fontId="117" numFmtId="0" xfId="0" applyAlignment="1" applyBorder="1" applyFont="1">
      <alignment horizontal="center" shrinkToFit="0" vertical="top" wrapText="1"/>
    </xf>
    <xf borderId="0" fillId="0" fontId="118" numFmtId="0" xfId="0" applyAlignment="1" applyFont="1">
      <alignment horizontal="left" shrinkToFit="0" vertical="top" wrapText="1"/>
    </xf>
    <xf borderId="1" fillId="0" fontId="19" numFmtId="0" xfId="0" applyAlignment="1" applyBorder="1" applyFont="1">
      <alignment horizontal="left" shrinkToFit="0" vertical="top" wrapText="1"/>
    </xf>
    <xf borderId="1" fillId="0" fontId="19" numFmtId="0" xfId="0" applyAlignment="1" applyBorder="1" applyFont="1">
      <alignment horizontal="center" shrinkToFit="0" vertical="top" wrapText="1"/>
    </xf>
    <xf borderId="1" fillId="0" fontId="19" numFmtId="1" xfId="0" applyAlignment="1" applyBorder="1" applyFont="1" applyNumberFormat="1">
      <alignment horizontal="center" shrinkToFit="0" vertical="top" wrapText="1"/>
    </xf>
    <xf borderId="0" fillId="0" fontId="119" numFmtId="0" xfId="0" applyAlignment="1" applyFont="1">
      <alignment horizontal="left" shrinkToFit="0" vertical="center" wrapText="0"/>
    </xf>
    <xf borderId="1" fillId="0" fontId="17" numFmtId="0" xfId="0" applyAlignment="1" applyBorder="1" applyFont="1">
      <alignment horizontal="left" shrinkToFit="0" vertical="top" wrapText="1"/>
    </xf>
    <xf borderId="0" fillId="0" fontId="120" numFmtId="0" xfId="0" applyAlignment="1" applyFont="1">
      <alignment horizontal="center" shrinkToFit="0" vertical="top" wrapText="1"/>
    </xf>
    <xf borderId="12" fillId="0" fontId="121" numFmtId="0" xfId="0" applyAlignment="1" applyBorder="1" applyFont="1">
      <alignment shrinkToFit="0" vertical="top" wrapText="1"/>
    </xf>
    <xf borderId="12" fillId="0" fontId="122" numFmtId="0" xfId="0" applyAlignment="1" applyBorder="1" applyFont="1">
      <alignment horizontal="center" shrinkToFit="0" vertical="top" wrapText="1"/>
    </xf>
    <xf borderId="0" fillId="0" fontId="123" numFmtId="0" xfId="0" applyAlignment="1" applyFont="1">
      <alignment shrinkToFit="0" vertical="top" wrapText="1"/>
    </xf>
    <xf borderId="3" fillId="0" fontId="3" numFmtId="0" xfId="0" applyAlignment="1" applyBorder="1" applyFont="1">
      <alignment horizontal="left" shrinkToFit="0" vertical="top" wrapText="1"/>
    </xf>
    <xf borderId="1" fillId="0" fontId="123" numFmtId="0" xfId="0" applyAlignment="1" applyBorder="1" applyFont="1">
      <alignment shrinkToFit="0" vertical="top" wrapText="1"/>
    </xf>
    <xf borderId="1" fillId="0" fontId="17" numFmtId="0" xfId="0" applyAlignment="1" applyBorder="1" applyFont="1">
      <alignment shrinkToFit="0" vertical="top" wrapText="1"/>
    </xf>
    <xf borderId="5" fillId="0" fontId="3" numFmtId="1" xfId="0" applyAlignment="1" applyBorder="1" applyFont="1" applyNumberFormat="1">
      <alignment horizontal="center" shrinkToFit="0" vertical="top" wrapText="1"/>
    </xf>
    <xf borderId="0" fillId="0" fontId="124" numFmtId="0" xfId="0" applyAlignment="1" applyFont="1">
      <alignment shrinkToFit="0" vertical="top" wrapText="1"/>
    </xf>
    <xf borderId="21" fillId="0" fontId="3" numFmtId="0" xfId="0" applyAlignment="1" applyBorder="1" applyFont="1">
      <alignment horizontal="center" shrinkToFit="0" vertical="top" wrapText="1"/>
    </xf>
    <xf borderId="0" fillId="0" fontId="18" numFmtId="0" xfId="0" applyAlignment="1" applyFont="1">
      <alignment horizontal="left" shrinkToFit="0" vertical="top" wrapText="0"/>
    </xf>
    <xf borderId="3" fillId="0" fontId="19" numFmtId="0" xfId="0" applyAlignment="1" applyBorder="1" applyFont="1">
      <alignment shrinkToFit="0" vertical="top" wrapText="1"/>
    </xf>
    <xf borderId="1" fillId="0" fontId="125" numFmtId="0" xfId="0" applyAlignment="1" applyBorder="1" applyFont="1">
      <alignment horizontal="center" shrinkToFit="0" vertical="top" wrapText="1"/>
    </xf>
    <xf borderId="1" fillId="0" fontId="126" numFmtId="0" xfId="0" applyAlignment="1" applyBorder="1" applyFont="1">
      <alignment shrinkToFit="0" vertical="top" wrapText="1"/>
    </xf>
    <xf borderId="0" fillId="0" fontId="127" numFmtId="0" xfId="0" applyAlignment="1" applyFont="1">
      <alignment horizontal="left" shrinkToFit="0" vertical="top" wrapText="0"/>
    </xf>
    <xf borderId="1" fillId="0" fontId="11" numFmtId="0" xfId="0" applyAlignment="1" applyBorder="1" applyFont="1">
      <alignment horizontal="left" shrinkToFit="0" vertical="top" wrapText="1"/>
    </xf>
    <xf borderId="1" fillId="0" fontId="128" numFmtId="0" xfId="0" applyAlignment="1" applyBorder="1" applyFont="1">
      <alignment horizontal="left" shrinkToFit="0" vertical="top" wrapText="0"/>
    </xf>
    <xf borderId="1" fillId="0" fontId="129" numFmtId="0" xfId="0" applyAlignment="1" applyBorder="1" applyFont="1">
      <alignment shrinkToFit="0" vertical="top" wrapText="1"/>
    </xf>
    <xf borderId="1" fillId="0" fontId="18" numFmtId="0" xfId="0" applyAlignment="1" applyBorder="1" applyFont="1">
      <alignment horizontal="center" shrinkToFit="0" vertical="top" wrapText="1"/>
    </xf>
    <xf borderId="1" fillId="0" fontId="130" numFmtId="0" xfId="0" applyAlignment="1" applyBorder="1" applyFont="1">
      <alignment horizontal="left" shrinkToFit="0" vertical="top" wrapText="0"/>
    </xf>
    <xf borderId="0" fillId="0" fontId="131" numFmtId="0" xfId="0" applyAlignment="1" applyFont="1">
      <alignment shrinkToFit="0" vertical="top" wrapText="1"/>
    </xf>
    <xf borderId="0" fillId="0" fontId="11" numFmtId="0" xfId="0" applyAlignment="1" applyFont="1">
      <alignment horizontal="left" shrinkToFit="0" vertical="top" wrapText="1"/>
    </xf>
    <xf borderId="1" fillId="0" fontId="132" numFmtId="0" xfId="0" applyAlignment="1" applyBorder="1" applyFont="1">
      <alignment horizontal="left" shrinkToFit="0" vertical="center" wrapText="0"/>
    </xf>
    <xf borderId="0" fillId="0" fontId="133" numFmtId="0" xfId="0" applyAlignment="1" applyFont="1">
      <alignment horizontal="left" shrinkToFit="0" vertical="center" wrapText="1"/>
    </xf>
    <xf borderId="1" fillId="0" fontId="3" numFmtId="0" xfId="0" applyAlignment="1" applyBorder="1" applyFont="1">
      <alignment horizontal="left" shrinkToFit="0" vertical="top" wrapText="0"/>
    </xf>
    <xf borderId="0" fillId="0" fontId="3" numFmtId="0" xfId="0" applyAlignment="1" applyFont="1">
      <alignment horizontal="right" shrinkToFit="0" vertical="top" wrapText="1"/>
    </xf>
    <xf borderId="12" fillId="0" fontId="19" numFmtId="0" xfId="0" applyAlignment="1" applyBorder="1" applyFont="1">
      <alignment shrinkToFit="0" vertical="top" wrapText="1"/>
    </xf>
    <xf borderId="1" fillId="0" fontId="134" numFmtId="0" xfId="0" applyAlignment="1" applyBorder="1" applyFont="1">
      <alignment shrinkToFit="0" vertical="center" wrapText="1"/>
    </xf>
    <xf borderId="0" fillId="0" fontId="135" numFmtId="0" xfId="0" applyAlignment="1" applyFont="1">
      <alignment horizontal="left" shrinkToFit="0" vertical="top" wrapText="1"/>
    </xf>
    <xf borderId="1" fillId="0" fontId="136" numFmtId="0" xfId="0" applyAlignment="1" applyBorder="1" applyFont="1">
      <alignment horizontal="center" shrinkToFit="0" vertical="top" wrapText="1"/>
    </xf>
    <xf borderId="1" fillId="0" fontId="137" numFmtId="0" xfId="0" applyAlignment="1" applyBorder="1" applyFont="1">
      <alignment horizontal="center" shrinkToFit="0" vertical="top" wrapText="1"/>
    </xf>
    <xf borderId="24" fillId="5" fontId="3" numFmtId="0" xfId="0" applyAlignment="1" applyBorder="1" applyFont="1">
      <alignment horizontal="center" shrinkToFit="0" vertical="top" wrapText="1"/>
    </xf>
    <xf borderId="0" fillId="0" fontId="7" numFmtId="2" xfId="0" applyAlignment="1" applyFont="1" applyNumberFormat="1">
      <alignment horizontal="center" shrinkToFit="0" vertical="bottom" wrapText="0"/>
    </xf>
    <xf borderId="8" fillId="6" fontId="25" numFmtId="0" xfId="0" applyAlignment="1" applyBorder="1" applyFont="1">
      <alignment horizontal="center" shrinkToFit="0" vertical="top" wrapText="1"/>
    </xf>
    <xf borderId="12"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2" fillId="0" fontId="7" numFmtId="2" xfId="0" applyAlignment="1" applyBorder="1" applyFont="1" applyNumberFormat="1">
      <alignment horizontal="center" shrinkToFit="0" vertical="center" wrapText="1"/>
    </xf>
    <xf borderId="1" fillId="5" fontId="3" numFmtId="0" xfId="0" applyAlignment="1" applyBorder="1" applyFont="1">
      <alignment horizontal="left" shrinkToFit="0" vertical="top" wrapText="1"/>
    </xf>
    <xf borderId="1" fillId="5" fontId="2" numFmtId="1" xfId="0" applyAlignment="1" applyBorder="1" applyFont="1" applyNumberFormat="1">
      <alignment shrinkToFit="0" vertical="top" wrapText="1"/>
    </xf>
    <xf borderId="1" fillId="5" fontId="2" numFmtId="2" xfId="0" applyAlignment="1" applyBorder="1" applyFont="1" applyNumberFormat="1">
      <alignment horizontal="center" shrinkToFit="0" vertical="top" wrapText="1"/>
    </xf>
    <xf borderId="1" fillId="0" fontId="2" numFmtId="1" xfId="0" applyAlignment="1" applyBorder="1" applyFont="1" applyNumberFormat="1">
      <alignment horizontal="left" shrinkToFit="0" vertical="top" wrapText="1"/>
    </xf>
    <xf borderId="1" fillId="0" fontId="7" numFmtId="1" xfId="0" applyAlignment="1" applyBorder="1" applyFont="1" applyNumberFormat="1">
      <alignment horizontal="center" shrinkToFit="0" vertical="top" wrapText="1"/>
    </xf>
    <xf borderId="1" fillId="0" fontId="7" numFmtId="2" xfId="0" applyAlignment="1" applyBorder="1" applyFont="1" applyNumberFormat="1">
      <alignment horizontal="center" shrinkToFit="0" vertical="top" wrapText="1"/>
    </xf>
    <xf borderId="1" fillId="7" fontId="7" numFmtId="2" xfId="0" applyAlignment="1" applyBorder="1" applyFont="1" applyNumberFormat="1">
      <alignment horizontal="center" shrinkToFit="0" vertical="center" wrapText="1"/>
    </xf>
    <xf borderId="1" fillId="0" fontId="3" numFmtId="2" xfId="0" applyAlignment="1" applyBorder="1" applyFont="1" applyNumberForma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left" shrinkToFit="0" vertical="center" wrapText="1"/>
    </xf>
    <xf borderId="0" fillId="0" fontId="138" numFmtId="0" xfId="0" applyAlignment="1" applyFont="1">
      <alignment horizontal="left" shrinkToFit="0" vertical="center" wrapText="0"/>
    </xf>
    <xf borderId="1" fillId="0" fontId="2" numFmtId="2" xfId="0" applyAlignment="1" applyBorder="1" applyFont="1" applyNumberFormat="1">
      <alignment shrinkToFit="0" vertical="top" wrapText="1"/>
    </xf>
    <xf borderId="1" fillId="0" fontId="139" numFmtId="2" xfId="0" applyAlignment="1" applyBorder="1" applyFont="1" applyNumberFormat="1">
      <alignment shrinkToFit="0" vertical="top" wrapText="1"/>
    </xf>
    <xf borderId="1" fillId="0" fontId="3" numFmtId="14" xfId="0" applyAlignment="1" applyBorder="1" applyFont="1" applyNumberFormat="1">
      <alignment horizontal="center" shrinkToFit="0" vertical="top" wrapText="1"/>
    </xf>
    <xf borderId="1" fillId="0" fontId="3" numFmtId="17" xfId="0" applyAlignment="1" applyBorder="1" applyFont="1" applyNumberFormat="1">
      <alignment horizontal="left" shrinkToFit="0" vertical="top" wrapText="1"/>
    </xf>
    <xf borderId="1" fillId="0" fontId="2" numFmtId="3" xfId="0" applyAlignment="1" applyBorder="1" applyFont="1" applyNumberFormat="1">
      <alignment horizontal="left" shrinkToFit="0" vertical="top" wrapText="1"/>
    </xf>
    <xf borderId="1" fillId="0" fontId="3" numFmtId="2" xfId="0" applyAlignment="1" applyBorder="1" applyFont="1" applyNumberFormat="1">
      <alignment horizontal="left" shrinkToFit="0" vertical="top" wrapText="1"/>
    </xf>
    <xf borderId="0" fillId="0" fontId="140" numFmtId="0" xfId="0" applyAlignment="1" applyFont="1">
      <alignment horizontal="left" shrinkToFit="0" vertical="top" wrapText="0"/>
    </xf>
    <xf borderId="1" fillId="0" fontId="3" numFmtId="15" xfId="0" applyAlignment="1" applyBorder="1" applyFont="1" applyNumberFormat="1">
      <alignment horizontal="left" shrinkToFit="0" vertical="top" wrapText="1"/>
    </xf>
    <xf borderId="1" fillId="0" fontId="3" numFmtId="3" xfId="0" applyAlignment="1" applyBorder="1" applyFont="1" applyNumberFormat="1">
      <alignment horizontal="left" shrinkToFit="0" vertical="top" wrapText="1"/>
    </xf>
    <xf borderId="1" fillId="0" fontId="11" numFmtId="0" xfId="0" applyAlignment="1" applyBorder="1" applyFont="1">
      <alignment shrinkToFit="0" vertical="top" wrapText="0"/>
    </xf>
    <xf borderId="0" fillId="0" fontId="141" numFmtId="0" xfId="0" applyAlignment="1" applyFont="1">
      <alignment shrinkToFit="0" vertical="top" wrapText="1"/>
    </xf>
    <xf borderId="0" fillId="0" fontId="142" numFmtId="0" xfId="0" applyAlignment="1" applyFont="1">
      <alignment shrinkToFit="0" vertical="bottom" wrapText="0"/>
    </xf>
    <xf borderId="0" fillId="0" fontId="123" numFmtId="0" xfId="0" applyAlignment="1" applyFont="1">
      <alignment shrinkToFit="0" vertical="bottom" wrapText="0"/>
    </xf>
    <xf borderId="0" fillId="0" fontId="123" numFmtId="0" xfId="0" applyAlignment="1" applyFont="1">
      <alignment shrinkToFit="0" vertical="center" wrapText="0"/>
    </xf>
    <xf borderId="1" fillId="0" fontId="3" numFmtId="17" xfId="0" applyAlignment="1" applyBorder="1" applyFont="1" applyNumberFormat="1">
      <alignment horizontal="center" shrinkToFit="0" vertical="top" wrapText="1"/>
    </xf>
    <xf borderId="1" fillId="0" fontId="143" numFmtId="0" xfId="0" applyAlignment="1" applyBorder="1" applyFont="1">
      <alignment horizontal="left" shrinkToFit="0" vertical="top" wrapText="1"/>
    </xf>
    <xf borderId="1" fillId="0" fontId="15" numFmtId="14" xfId="0" applyAlignment="1" applyBorder="1" applyFont="1" applyNumberFormat="1">
      <alignment horizontal="center" shrinkToFit="0" vertical="top" wrapText="1"/>
    </xf>
    <xf borderId="1" fillId="0" fontId="15" numFmtId="3" xfId="0" applyAlignment="1" applyBorder="1" applyFont="1" applyNumberFormat="1">
      <alignment horizontal="center" shrinkToFit="0" vertical="top" wrapText="1"/>
    </xf>
    <xf borderId="1" fillId="0" fontId="15" numFmtId="2" xfId="0" applyAlignment="1" applyBorder="1" applyFont="1" applyNumberFormat="1">
      <alignment horizontal="center" shrinkToFit="0" vertical="top" wrapText="1"/>
    </xf>
    <xf borderId="1" fillId="0" fontId="144" numFmtId="0" xfId="0" applyAlignment="1" applyBorder="1" applyFont="1">
      <alignment horizontal="center" shrinkToFit="0" vertical="top" wrapText="0"/>
    </xf>
    <xf borderId="0" fillId="0" fontId="145" numFmtId="0" xfId="0" applyAlignment="1" applyFont="1">
      <alignment horizontal="center" shrinkToFit="0" vertical="bottom" wrapText="1"/>
    </xf>
    <xf borderId="0" fillId="0" fontId="3" numFmtId="0" xfId="0" applyAlignment="1" applyFont="1">
      <alignment horizontal="center" shrinkToFit="0" vertical="bottom" wrapText="1"/>
    </xf>
    <xf borderId="0" fillId="0" fontId="1" numFmtId="0" xfId="0" applyAlignment="1" applyFont="1">
      <alignment horizontal="center" shrinkToFit="0" vertical="top" wrapText="1"/>
    </xf>
    <xf borderId="0" fillId="0" fontId="7" numFmtId="2" xfId="0" applyAlignment="1" applyFont="1" applyNumberFormat="1">
      <alignment horizontal="center" shrinkToFit="0" vertical="top" wrapText="1"/>
    </xf>
    <xf borderId="1" fillId="0" fontId="3" numFmtId="0" xfId="0" applyAlignment="1" applyBorder="1" applyFont="1">
      <alignment horizontal="center" shrinkToFit="0" vertical="top" wrapText="0"/>
    </xf>
    <xf borderId="0" fillId="0" fontId="146" numFmtId="0" xfId="0" applyAlignment="1" applyFont="1">
      <alignment horizontal="center" shrinkToFit="0" vertical="center" wrapText="1"/>
    </xf>
    <xf borderId="1" fillId="0" fontId="92" numFmtId="0" xfId="0" applyAlignment="1" applyBorder="1" applyFont="1">
      <alignment horizontal="center" shrinkToFit="0" vertical="top" wrapText="0"/>
    </xf>
    <xf borderId="1" fillId="0" fontId="15" numFmtId="0" xfId="0" applyAlignment="1" applyBorder="1" applyFont="1">
      <alignment horizontal="center" shrinkToFit="0" vertical="top" wrapText="0"/>
    </xf>
    <xf borderId="0" fillId="0" fontId="147" numFmtId="0" xfId="0" applyAlignment="1" applyFont="1">
      <alignment horizontal="center" shrinkToFit="0" vertical="center" wrapText="1"/>
    </xf>
    <xf borderId="0" fillId="0" fontId="3" numFmtId="0" xfId="0" applyAlignment="1" applyFont="1">
      <alignment horizontal="left" shrinkToFit="0" vertical="center" wrapText="1"/>
    </xf>
    <xf borderId="1" fillId="0" fontId="2" numFmtId="2" xfId="0" applyAlignment="1" applyBorder="1" applyFont="1" applyNumberFormat="1">
      <alignment horizontal="center" shrinkToFit="0" vertical="top" wrapText="0"/>
    </xf>
    <xf borderId="0" fillId="0" fontId="0" numFmtId="0" xfId="0" applyAlignment="1" applyFont="1">
      <alignment shrinkToFit="0" vertical="bottom" wrapText="0"/>
    </xf>
    <xf borderId="0" fillId="0" fontId="1" numFmtId="2" xfId="0" applyAlignment="1" applyFont="1" applyNumberFormat="1">
      <alignment shrinkToFit="0" vertical="bottom" wrapText="1"/>
    </xf>
    <xf borderId="0" fillId="0" fontId="5" numFmtId="2" xfId="0" applyAlignment="1" applyFont="1" applyNumberFormat="1">
      <alignment horizontal="center" shrinkToFit="0" vertical="bottom" wrapText="1"/>
    </xf>
    <xf borderId="2" fillId="7" fontId="7" numFmtId="166" xfId="0" applyAlignment="1" applyBorder="1" applyFont="1" applyNumberFormat="1">
      <alignment horizontal="center" shrinkToFit="0" vertical="center" wrapText="1"/>
    </xf>
    <xf borderId="21" fillId="0" fontId="3" numFmtId="0" xfId="0" applyAlignment="1" applyBorder="1" applyFont="1">
      <alignment horizontal="left" shrinkToFit="0" vertical="top" wrapText="1"/>
    </xf>
    <xf borderId="1" fillId="5" fontId="1" numFmtId="0" xfId="0" applyAlignment="1" applyBorder="1" applyFont="1">
      <alignment horizontal="left" shrinkToFit="0" vertical="top" wrapText="1"/>
    </xf>
    <xf borderId="21" fillId="0" fontId="148" numFmtId="0" xfId="0" applyAlignment="1" applyBorder="1" applyFont="1">
      <alignment horizontal="left" shrinkToFit="0" vertical="top" wrapText="1"/>
    </xf>
    <xf borderId="21" fillId="0" fontId="2" numFmtId="2" xfId="0" applyAlignment="1" applyBorder="1" applyFont="1" applyNumberFormat="1">
      <alignment horizontal="left" shrinkToFit="0" vertical="top" wrapText="1"/>
    </xf>
    <xf borderId="1" fillId="5" fontId="1" numFmtId="0" xfId="0" applyAlignment="1" applyBorder="1" applyFont="1">
      <alignment shrinkToFit="0" vertical="center" wrapText="1"/>
    </xf>
    <xf borderId="1" fillId="0" fontId="1" numFmtId="0" xfId="0" applyAlignment="1" applyBorder="1" applyFont="1">
      <alignment horizontal="right" shrinkToFit="0" vertical="center" wrapText="1"/>
    </xf>
    <xf borderId="21" fillId="0" fontId="3" numFmtId="0" xfId="0" applyAlignment="1" applyBorder="1" applyFont="1">
      <alignment shrinkToFit="0" vertical="top" wrapText="1"/>
    </xf>
    <xf borderId="21" fillId="0" fontId="2" numFmtId="2" xfId="0" applyAlignment="1" applyBorder="1" applyFont="1" applyNumberFormat="1">
      <alignment horizontal="center" shrinkToFit="0" vertical="top" wrapText="1"/>
    </xf>
    <xf borderId="1" fillId="0" fontId="1" numFmtId="0" xfId="0" applyAlignment="1" applyBorder="1" applyFont="1">
      <alignment horizontal="right" shrinkToFit="0" vertical="top" wrapText="1"/>
    </xf>
    <xf borderId="11" fillId="5" fontId="1" numFmtId="0" xfId="0" applyAlignment="1" applyBorder="1" applyFont="1">
      <alignment shrinkToFit="0" vertical="center" wrapText="1"/>
    </xf>
    <xf borderId="11" fillId="5" fontId="149" numFmtId="0" xfId="0" applyAlignment="1" applyBorder="1" applyFont="1">
      <alignment shrinkToFit="0" vertical="center" wrapText="1"/>
    </xf>
    <xf borderId="11" fillId="5" fontId="1" numFmtId="0" xfId="0" applyAlignment="1" applyBorder="1" applyFont="1">
      <alignment horizontal="right" shrinkToFit="0" vertical="center" wrapText="1"/>
    </xf>
    <xf borderId="21" fillId="0" fontId="1" numFmtId="0" xfId="0" applyAlignment="1" applyBorder="1" applyFont="1">
      <alignment shrinkToFit="0" vertical="center" wrapText="1"/>
    </xf>
    <xf borderId="25" fillId="5" fontId="1" numFmtId="0" xfId="0" applyAlignment="1" applyBorder="1" applyFont="1">
      <alignment shrinkToFit="0" vertical="center" wrapText="1"/>
    </xf>
    <xf borderId="21" fillId="0" fontId="1" numFmtId="0" xfId="0" applyAlignment="1" applyBorder="1" applyFont="1">
      <alignment horizontal="right" shrinkToFit="0" vertical="center" wrapText="1"/>
    </xf>
    <xf borderId="21" fillId="0" fontId="7" numFmtId="2" xfId="0" applyAlignment="1" applyBorder="1" applyFont="1" applyNumberFormat="1">
      <alignment horizontal="center" shrinkToFit="0" vertical="center" wrapText="1"/>
    </xf>
    <xf borderId="1" fillId="5" fontId="3" numFmtId="49" xfId="0" applyAlignment="1" applyBorder="1" applyFont="1" applyNumberFormat="1">
      <alignment horizontal="left" shrinkToFit="0" vertical="top" wrapText="1"/>
    </xf>
    <xf borderId="1" fillId="5" fontId="3" numFmtId="164" xfId="0" applyAlignment="1" applyBorder="1" applyFont="1" applyNumberFormat="1">
      <alignment horizontal="left" shrinkToFit="0" vertical="top" wrapText="1"/>
    </xf>
    <xf borderId="1" fillId="0" fontId="3" numFmtId="164" xfId="0" applyAlignment="1" applyBorder="1" applyFont="1" applyNumberFormat="1">
      <alignment horizontal="center" shrinkToFit="0" vertical="top" wrapText="1"/>
    </xf>
    <xf borderId="1" fillId="0" fontId="3" numFmtId="15" xfId="0" applyAlignment="1" applyBorder="1" applyFont="1" applyNumberFormat="1">
      <alignment shrinkToFit="0" vertical="top" wrapText="1"/>
    </xf>
    <xf borderId="1" fillId="0" fontId="2" numFmtId="3" xfId="0" applyAlignment="1" applyBorder="1" applyFont="1" applyNumberFormat="1">
      <alignment horizontal="center" shrinkToFit="0" vertical="top" wrapText="0"/>
    </xf>
    <xf borderId="0" fillId="0" fontId="150" numFmtId="0" xfId="0" applyAlignment="1" applyFont="1">
      <alignment horizontal="left" shrinkToFit="0" vertical="top" wrapText="1"/>
    </xf>
    <xf borderId="1" fillId="0" fontId="3" numFmtId="17" xfId="0" applyAlignment="1" applyBorder="1" applyFont="1" applyNumberFormat="1">
      <alignment shrinkToFit="0" vertical="top" wrapText="1"/>
    </xf>
    <xf borderId="1" fillId="0" fontId="3" numFmtId="14" xfId="0" applyAlignment="1" applyBorder="1" applyFont="1" applyNumberFormat="1">
      <alignment shrinkToFit="0" vertical="top" wrapText="1"/>
    </xf>
    <xf borderId="0" fillId="0" fontId="151" numFmtId="0" xfId="0" applyAlignment="1" applyFont="1">
      <alignment horizontal="center" shrinkToFit="0" vertical="center" wrapText="0"/>
    </xf>
    <xf borderId="1" fillId="0" fontId="3" numFmtId="1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0"/>
    </xf>
    <xf borderId="1" fillId="0" fontId="2" numFmtId="0" xfId="0" applyAlignment="1" applyBorder="1" applyFont="1">
      <alignment horizontal="left" shrinkToFit="0" vertical="top" wrapText="0"/>
    </xf>
    <xf borderId="1" fillId="5" fontId="15" numFmtId="0" xfId="0" applyAlignment="1" applyBorder="1" applyFont="1">
      <alignment shrinkToFit="0" vertical="top" wrapText="1"/>
    </xf>
    <xf borderId="1" fillId="0" fontId="152" numFmtId="0" xfId="0" applyAlignment="1" applyBorder="1" applyFont="1">
      <alignment horizontal="center" shrinkToFit="0" vertical="center" wrapText="1"/>
    </xf>
    <xf borderId="1" fillId="0" fontId="92" numFmtId="3" xfId="0" applyAlignment="1" applyBorder="1" applyFont="1" applyNumberFormat="1">
      <alignment horizontal="center" shrinkToFit="0" vertical="top" wrapText="0"/>
    </xf>
    <xf borderId="1" fillId="0" fontId="19" numFmtId="0" xfId="0" applyAlignment="1" applyBorder="1" applyFont="1">
      <alignment horizontal="left" shrinkToFit="0" vertical="center" wrapText="0"/>
    </xf>
    <xf borderId="1" fillId="0" fontId="18" numFmtId="0" xfId="0" applyAlignment="1" applyBorder="1" applyFont="1">
      <alignment horizontal="center" shrinkToFit="0" vertical="center" wrapText="1"/>
    </xf>
    <xf borderId="1" fillId="0" fontId="153" numFmtId="0" xfId="0" applyAlignment="1" applyBorder="1" applyFont="1">
      <alignment horizontal="center" shrinkToFit="0" vertical="center" wrapText="1"/>
    </xf>
    <xf borderId="0" fillId="0" fontId="1" numFmtId="0" xfId="0" applyAlignment="1" applyFont="1">
      <alignment shrinkToFit="0" vertical="center" wrapText="1"/>
    </xf>
    <xf borderId="11" fillId="5" fontId="3" numFmtId="0" xfId="0" applyAlignment="1" applyBorder="1" applyFont="1">
      <alignment shrinkToFit="0" vertical="top" wrapText="1"/>
    </xf>
    <xf borderId="1" fillId="0" fontId="19" numFmtId="0" xfId="0" applyAlignment="1" applyBorder="1" applyFont="1">
      <alignment horizontal="center" shrinkToFit="0" vertical="center" wrapText="1"/>
    </xf>
    <xf borderId="1" fillId="0" fontId="19" numFmtId="0" xfId="0" applyAlignment="1" applyBorder="1" applyFont="1">
      <alignment shrinkToFit="0" vertical="center" wrapText="1"/>
    </xf>
    <xf borderId="11" fillId="5" fontId="154" numFmtId="0" xfId="0" applyAlignment="1" applyBorder="1" applyFont="1">
      <alignment horizontal="center" shrinkToFit="0" vertical="center" wrapText="1"/>
    </xf>
    <xf borderId="11" fillId="5" fontId="3" numFmtId="0" xfId="0" applyAlignment="1" applyBorder="1" applyFont="1">
      <alignment horizontal="center" shrinkToFit="0" vertical="center" wrapText="1"/>
    </xf>
    <xf borderId="11" fillId="5" fontId="2" numFmtId="0" xfId="0" applyAlignment="1" applyBorder="1" applyFont="1">
      <alignment horizontal="center" shrinkToFit="0" vertical="center" wrapText="0"/>
    </xf>
    <xf borderId="11" fillId="5" fontId="2" numFmtId="0" xfId="0" applyAlignment="1" applyBorder="1" applyFont="1">
      <alignment horizontal="center" shrinkToFit="0" vertical="center" wrapText="1"/>
    </xf>
    <xf borderId="15" fillId="0" fontId="19" numFmtId="0" xfId="0" applyAlignment="1" applyBorder="1" applyFont="1">
      <alignment shrinkToFit="0" vertical="center" wrapText="1"/>
    </xf>
    <xf borderId="1" fillId="0" fontId="3" numFmtId="14" xfId="0" applyAlignment="1" applyBorder="1" applyFont="1" applyNumberFormat="1">
      <alignment horizontal="left" shrinkToFit="0" vertical="top" wrapText="1"/>
    </xf>
    <xf borderId="1" fillId="5" fontId="155" numFmtId="0" xfId="0" applyAlignment="1" applyBorder="1" applyFont="1">
      <alignment shrinkToFit="0" vertical="top" wrapText="1"/>
    </xf>
    <xf borderId="0" fillId="0" fontId="17" numFmtId="0" xfId="0" applyAlignment="1" applyFont="1">
      <alignment horizontal="center" shrinkToFit="0" vertical="top" wrapText="1"/>
    </xf>
    <xf borderId="1" fillId="0" fontId="3" numFmtId="3" xfId="0" applyAlignment="1" applyBorder="1" applyFont="1" applyNumberFormat="1">
      <alignment horizontal="center" shrinkToFit="0" vertical="top" wrapText="0"/>
    </xf>
    <xf borderId="1" fillId="0" fontId="37" numFmtId="0" xfId="0" applyAlignment="1" applyBorder="1" applyFont="1">
      <alignment shrinkToFit="0" vertical="top" wrapText="1"/>
    </xf>
    <xf borderId="12" fillId="0" fontId="3" numFmtId="0" xfId="0" applyAlignment="1" applyBorder="1" applyFont="1">
      <alignment shrinkToFit="0" vertical="bottom" wrapText="1"/>
    </xf>
    <xf borderId="0" fillId="0" fontId="156" numFmtId="0" xfId="0" applyAlignment="1" applyFont="1">
      <alignment shrinkToFit="0" vertical="bottom" wrapText="1"/>
    </xf>
    <xf borderId="12" fillId="0" fontId="2" numFmtId="3" xfId="0" applyAlignment="1" applyBorder="1" applyFont="1" applyNumberFormat="1">
      <alignment horizontal="center" shrinkToFit="0" vertical="top" wrapText="0"/>
    </xf>
    <xf borderId="1" fillId="0" fontId="157" numFmtId="0" xfId="0" applyAlignment="1" applyBorder="1" applyFont="1">
      <alignment shrinkToFit="0" vertical="bottom" wrapText="1"/>
    </xf>
  </cellXfs>
  <cellStyles count="1">
    <cellStyle xfId="0" name="Normal" builtinId="0"/>
  </cellStyles>
  <dxfs count="2">
    <dxf>
      <font/>
      <fill>
        <patternFill patternType="solid">
          <fgColor rgb="FFDD0806"/>
          <bgColor rgb="FFDD0806"/>
        </patternFill>
      </fill>
      <border/>
    </dxf>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i.org/10.3390/antiox9111067" TargetMode="External"/><Relationship Id="rId10" Type="http://schemas.openxmlformats.org/officeDocument/2006/relationships/hyperlink" Target="https://www.mdpi.com/2076-3921/9/11/1067" TargetMode="External"/><Relationship Id="rId13" Type="http://schemas.openxmlformats.org/officeDocument/2006/relationships/hyperlink" Target="https://doi.org/10.3390/ijerph17207588" TargetMode="External"/><Relationship Id="rId12" Type="http://schemas.openxmlformats.org/officeDocument/2006/relationships/hyperlink" Target="https://www.mdpi.com/1660-4601/17/20/7588" TargetMode="External"/><Relationship Id="rId1" Type="http://schemas.openxmlformats.org/officeDocument/2006/relationships/hyperlink" Target="https://www.mdpi.com/2076-3921/9/11/1067" TargetMode="External"/><Relationship Id="rId2" Type="http://schemas.openxmlformats.org/officeDocument/2006/relationships/hyperlink" Target="https://www.mdpi.com/1660-4601/17/20/7588" TargetMode="External"/><Relationship Id="rId3" Type="http://schemas.openxmlformats.org/officeDocument/2006/relationships/hyperlink" Target="https://www.mdpi.com/2071-1050/12/17/7105" TargetMode="External"/><Relationship Id="rId4" Type="http://schemas.openxmlformats.org/officeDocument/2006/relationships/hyperlink" Target="https://doi.org/10.3390/su12177105" TargetMode="External"/><Relationship Id="rId9" Type="http://schemas.openxmlformats.org/officeDocument/2006/relationships/hyperlink" Target="https://www.mdpi.com/1660-4601/17/20/7588" TargetMode="External"/><Relationship Id="rId14" Type="http://schemas.openxmlformats.org/officeDocument/2006/relationships/drawing" Target="../drawings/drawing2.xml"/><Relationship Id="rId5" Type="http://schemas.openxmlformats.org/officeDocument/2006/relationships/hyperlink" Target="https://www.mdpi.com/2071-1050/12/23/10205" TargetMode="External"/><Relationship Id="rId6" Type="http://schemas.openxmlformats.org/officeDocument/2006/relationships/hyperlink" Target="https://doi.org/10.3390/su122310205" TargetMode="External"/><Relationship Id="rId7" Type="http://schemas.openxmlformats.org/officeDocument/2006/relationships/hyperlink" Target="https://www.mdpi.com/2227-9717/9/1/74" TargetMode="External"/><Relationship Id="rId8" Type="http://schemas.openxmlformats.org/officeDocument/2006/relationships/hyperlink" Target="https://doi.org/10.3390/pr9010074"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chem.ubbcluj.ro/~studiachemia/issues/chemia2020_4/13Stegarus_159_176.pdf" TargetMode="External"/><Relationship Id="rId10" Type="http://schemas.openxmlformats.org/officeDocument/2006/relationships/hyperlink" Target="https://akjournals.com/view/journals/066/49/2/article-p204.xml" TargetMode="External"/><Relationship Id="rId12" Type="http://schemas.openxmlformats.org/officeDocument/2006/relationships/drawing" Target="../drawings/drawing3.xml"/><Relationship Id="rId1" Type="http://schemas.openxmlformats.org/officeDocument/2006/relationships/hyperlink" Target="https://akjournals.com/view/journals/066/49/2/article-p204.xml" TargetMode="External"/><Relationship Id="rId2" Type="http://schemas.openxmlformats.org/officeDocument/2006/relationships/hyperlink" Target="https://akjournals.com/view/journals/066/49/2/article-p204.xml" TargetMode="External"/><Relationship Id="rId3" Type="http://schemas.openxmlformats.org/officeDocument/2006/relationships/hyperlink" Target="https://doi.org/10.1556/066.2020.49.2.10" TargetMode="External"/><Relationship Id="rId4" Type="http://schemas.openxmlformats.org/officeDocument/2006/relationships/hyperlink" Target="http://www.vup.sk/en/download.php?bulID=2058" TargetMode="External"/><Relationship Id="rId9" Type="http://schemas.openxmlformats.org/officeDocument/2006/relationships/hyperlink" Target="https://www.vup.sk/en/index.php?mainID=2&amp;navID=34&amp;version=2&amp;volume=59&amp;article=2180" TargetMode="External"/><Relationship Id="rId5" Type="http://schemas.openxmlformats.org/officeDocument/2006/relationships/hyperlink" Target="https://www.rombio.org/vol.25/iss.5/publications.html" TargetMode="External"/><Relationship Id="rId6" Type="http://schemas.openxmlformats.org/officeDocument/2006/relationships/hyperlink" Target="https://www.rombio.org/vol.25/iss.5/publications.html" TargetMode="External"/><Relationship Id="rId7" Type="http://schemas.openxmlformats.org/officeDocument/2006/relationships/hyperlink" Target="https://www.e-repository.org/rbl/vol.25/iss.2/2.pdf" TargetMode="External"/><Relationship Id="rId8" Type="http://schemas.openxmlformats.org/officeDocument/2006/relationships/hyperlink" Target="https://www.shd-pub.org.rs/index.php/JSCS/article/view/8545/950"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eurekaselect.com/170390/article" TargetMode="External"/><Relationship Id="rId22" Type="http://schemas.openxmlformats.org/officeDocument/2006/relationships/hyperlink" Target="https://www.scopus.com/authid/detail.uri?authorId=6603658504" TargetMode="External"/><Relationship Id="rId21" Type="http://schemas.openxmlformats.org/officeDocument/2006/relationships/hyperlink" Target="https://revistadechimie.ro/pdf/17%20ZAHAROIU%2010%2020.pdf" TargetMode="External"/><Relationship Id="rId24" Type="http://schemas.openxmlformats.org/officeDocument/2006/relationships/hyperlink" Target="https://www.scopus.com/sources.uri" TargetMode="External"/><Relationship Id="rId23" Type="http://schemas.openxmlformats.org/officeDocument/2006/relationships/hyperlink" Target="http://www.brukenthalmuseum.ro/pdf/BAM/BAM%20XV3.pdf" TargetMode="External"/><Relationship Id="rId1" Type="http://schemas.openxmlformats.org/officeDocument/2006/relationships/hyperlink" Target="http://managementjournal.usamv.ro/pdf/vol.20_4/Art7.pdf" TargetMode="External"/><Relationship Id="rId2" Type="http://schemas.openxmlformats.org/officeDocument/2006/relationships/hyperlink" Target="https://www.scopus.com/record/display.uri?eid=2-s2.0-85097296954&amp;origin=resultslist&amp;sort=plf-f&amp;src=s&amp;st1=Stanc%c4%83+Moise&amp;st2=Cristina&amp;nlo=1&amp;nlr=20&amp;nls=count-f&amp;sid=f45579bd40d782c3d8046c814a427337&amp;sot=anl&amp;sdt=aut&amp;sl=43&amp;s=AU-ID%28%22Stanc%c4%83-Moise%2c+Cristina%22+57191645933%29&amp;relpos=0&amp;citeCnt=0&amp;searchTerm=" TargetMode="External"/><Relationship Id="rId3" Type="http://schemas.openxmlformats.org/officeDocument/2006/relationships/hyperlink" Target="https://www.scopus.com/sourceid/19600157204?origin=recordpage" TargetMode="External"/><Relationship Id="rId4" Type="http://schemas.openxmlformats.org/officeDocument/2006/relationships/hyperlink" Target="http://managementjournal.usamv.ro/pdf/vol.20_4/Art17.pdf" TargetMode="External"/><Relationship Id="rId9" Type="http://schemas.openxmlformats.org/officeDocument/2006/relationships/hyperlink" Target="http://managementjournal.usamv.ro/pdf/vol.20_4/Art.21.pdf" TargetMode="External"/><Relationship Id="rId26" Type="http://schemas.openxmlformats.org/officeDocument/2006/relationships/hyperlink" Target="http://www.brukenthalmuseum.ro/pdf/BAM/BAM%20XV3.pdf" TargetMode="External"/><Relationship Id="rId25" Type="http://schemas.openxmlformats.org/officeDocument/2006/relationships/hyperlink" Target="http://www.brukenthalmuseum.ro/publicatii_en/01.htm" TargetMode="External"/><Relationship Id="rId28" Type="http://schemas.openxmlformats.org/officeDocument/2006/relationships/hyperlink" Target="http://www.brukenthalmuseum.ro/publicatii_en/01.htm" TargetMode="External"/><Relationship Id="rId27" Type="http://schemas.openxmlformats.org/officeDocument/2006/relationships/hyperlink" Target="https://www.scopus.com/sources.uri" TargetMode="External"/><Relationship Id="rId5" Type="http://schemas.openxmlformats.org/officeDocument/2006/relationships/hyperlink" Target="http://managementjournal.usamv.ro/pdf/vol.20_4/Art16.pdf" TargetMode="External"/><Relationship Id="rId6" Type="http://schemas.openxmlformats.org/officeDocument/2006/relationships/hyperlink" Target="http://managementjournal.usamv.ro/pdf/vol.20_1/Art56.pdf" TargetMode="External"/><Relationship Id="rId29" Type="http://schemas.openxmlformats.org/officeDocument/2006/relationships/hyperlink" Target="http://www.bcc.bas.bg/" TargetMode="External"/><Relationship Id="rId7" Type="http://schemas.openxmlformats.org/officeDocument/2006/relationships/hyperlink" Target="http://managementjournal.usamv.ro/pdf/vol.20_1/Art17.pdf" TargetMode="External"/><Relationship Id="rId8" Type="http://schemas.openxmlformats.org/officeDocument/2006/relationships/hyperlink" Target="http://animalsciencejournal.usamv.ro/pdf/2020/issue_1/Art46.pdf" TargetMode="External"/><Relationship Id="rId31" Type="http://schemas.openxmlformats.org/officeDocument/2006/relationships/hyperlink" Target="http://managementjournal.usamv.ro/pdf/vol.20_4/Art56.pdf," TargetMode="External"/><Relationship Id="rId30" Type="http://schemas.openxmlformats.org/officeDocument/2006/relationships/hyperlink" Target="https://www.scopus.com/sources.uri" TargetMode="External"/><Relationship Id="rId11" Type="http://schemas.openxmlformats.org/officeDocument/2006/relationships/hyperlink" Target="http://managementjournal.usamv.ro/index.php/scientific-papers/85-vol-20-issue-1?start=60" TargetMode="External"/><Relationship Id="rId33" Type="http://schemas.openxmlformats.org/officeDocument/2006/relationships/hyperlink" Target="http://managementjournal.usamv.ro/pdf/vol.20_4/Art57.pdf" TargetMode="External"/><Relationship Id="rId10" Type="http://schemas.openxmlformats.org/officeDocument/2006/relationships/hyperlink" Target="http://pubs.ub.ro/?pg=revues&amp;rev=cscc6&amp;num=202004&amp;vol=4&amp;aid=5195" TargetMode="External"/><Relationship Id="rId32" Type="http://schemas.openxmlformats.org/officeDocument/2006/relationships/hyperlink" Target="http://managementjournal.usamv.ro/index.php/scientific-papers/84-vol-19-issue-4/2374-legal-tax-evasion-through-stock-exchange-games" TargetMode="External"/><Relationship Id="rId13" Type="http://schemas.openxmlformats.org/officeDocument/2006/relationships/hyperlink" Target="http://chimie-biologie.ubm.ro/carpathian_journal/Vol_12(3)_2020.pdf" TargetMode="External"/><Relationship Id="rId35" Type="http://schemas.openxmlformats.org/officeDocument/2006/relationships/hyperlink" Target="about:blank" TargetMode="External"/><Relationship Id="rId12" Type="http://schemas.openxmlformats.org/officeDocument/2006/relationships/hyperlink" Target="http://managementjournal.usamv.ro/index.php/scientific-papers/85-vol-20-issue-1?start=60" TargetMode="External"/><Relationship Id="rId34" Type="http://schemas.openxmlformats.org/officeDocument/2006/relationships/hyperlink" Target="http://ufj.ho.ua/Archiv/UKRAINIAN%20FOOD%20JOURNAL%202020%20V.9%20Is.1.pdf" TargetMode="External"/><Relationship Id="rId15" Type="http://schemas.openxmlformats.org/officeDocument/2006/relationships/hyperlink" Target="https://doi.org/10.37358/RC.20.4.8060" TargetMode="External"/><Relationship Id="rId37" Type="http://schemas.openxmlformats.org/officeDocument/2006/relationships/hyperlink" Target="about:blank" TargetMode="External"/><Relationship Id="rId14" Type="http://schemas.openxmlformats.org/officeDocument/2006/relationships/hyperlink" Target="https://doi.org/10.34302/crpjfst/2020.12.3.16" TargetMode="External"/><Relationship Id="rId36" Type="http://schemas.openxmlformats.org/officeDocument/2006/relationships/hyperlink" Target="about:blank" TargetMode="External"/><Relationship Id="rId17" Type="http://schemas.openxmlformats.org/officeDocument/2006/relationships/hyperlink" Target="https://www.scopus.com/record/display.uri?eid=2-s2.0-85097296954&amp;origin=resultslist&amp;sort=plf-f&amp;src=s&amp;st1=Stanc%c4%83+Moise&amp;st2=Cristina&amp;nlo=1&amp;nlr=20&amp;nls=count-f&amp;sid=f45579bd40d782c3d8046c814a427337&amp;sot=anl&amp;sdt=aut&amp;sl=43&amp;s=AU-ID%28%22Stanc%c4%83-Moise%2c+Cristina%22+57191645933%29&amp;relpos=0&amp;citeCnt=0&amp;searchTerm=" TargetMode="External"/><Relationship Id="rId16" Type="http://schemas.openxmlformats.org/officeDocument/2006/relationships/hyperlink" Target="https://apps.webofknowledge.com/OneClickSearch.do?product=UA&amp;search_mode=OneClickSearch&amp;SID=C6kumWLc1BlEpwHfUok&amp;field=AU&amp;value=Stanca-Moise,%20Cristina&amp;ut=ZOOREC:ZOOR15611077348&amp;pos=1&amp;excludeEventConfig=ExcludeIfFromFullRecPage" TargetMode="External"/><Relationship Id="rId38" Type="http://schemas.openxmlformats.org/officeDocument/2006/relationships/drawing" Target="../drawings/drawing4.xml"/><Relationship Id="rId19" Type="http://schemas.openxmlformats.org/officeDocument/2006/relationships/hyperlink" Target="https://www.scopus.com/record/display.uri?eid=2-s2.0-85097296954&amp;origin=resultslist&amp;sort=plf-f&amp;src=s&amp;st1=Stanc%c4%83+Moise&amp;st2=Cristina&amp;nlo=1&amp;nlr=20&amp;nls=count-f&amp;sid=f45579bd40d782c3d8046c814a427337&amp;sot=anl&amp;sdt=aut&amp;sl=43&amp;s=AU-ID%28%22Stanc%c4%83-Moise%2c+Cristina%22+57191645933%29&amp;relpos=0&amp;citeCnt=0&amp;searchTerm=" TargetMode="External"/><Relationship Id="rId18" Type="http://schemas.openxmlformats.org/officeDocument/2006/relationships/hyperlink" Target="https://www.scopus.com/sourceid/19600157204?origin=recordpag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conference.rmee.org/" TargetMode="External"/><Relationship Id="rId2" Type="http://schemas.openxmlformats.org/officeDocument/2006/relationships/hyperlink" Target="https://imt.uoradea.ro/conference/Proceedings_2020.pdf" TargetMode="External"/><Relationship Id="rId3" Type="http://schemas.openxmlformats.org/officeDocument/2006/relationships/hyperlink" Target="http://www.iecs/"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journals.usamvcluj.ro/index.php/agriculture/article/view/13917" TargetMode="External"/><Relationship Id="rId2" Type="http://schemas.openxmlformats.org/officeDocument/2006/relationships/hyperlink" Target="https://drive.google.com/file/d/11xMACfg7Qp4rueZkbcwL70dtmC0hQIwR/view?usp=sharing" TargetMode="External"/><Relationship Id="rId3" Type="http://schemas.openxmlformats.org/officeDocument/2006/relationships/hyperlink" Target="https://doi.org/10.1051/e3sconf/202021501002" TargetMode="External"/><Relationship Id="rId4" Type="http://schemas.openxmlformats.org/officeDocument/2006/relationships/hyperlink" Target="http://feaa.ucv.ro/annals/v1_2020/006.pdf" TargetMode="External"/><Relationship Id="rId9" Type="http://schemas.openxmlformats.org/officeDocument/2006/relationships/hyperlink" Target="http://rosita.ro/jeat/archive/2_2020.pdf" TargetMode="External"/><Relationship Id="rId5" Type="http://schemas.openxmlformats.org/officeDocument/2006/relationships/hyperlink" Target="https://doi.org/10.1051/e3sconf/202021501002" TargetMode="External"/><Relationship Id="rId6" Type="http://schemas.openxmlformats.org/officeDocument/2006/relationships/hyperlink" Target="https://msdjournal.org/wp-content/uploads/vol12issue1-5.pdf" TargetMode="External"/><Relationship Id="rId7" Type="http://schemas.openxmlformats.org/officeDocument/2006/relationships/hyperlink" Target="http://rosita.ro/jeat/archive/1_2019.pdf" TargetMode="External"/><Relationship Id="rId8" Type="http://schemas.openxmlformats.org/officeDocument/2006/relationships/hyperlink" Target="http://rosita.ro/jeat/archive/2_2020.pdf" TargetMode="External"/><Relationship Id="rId11" Type="http://schemas.openxmlformats.org/officeDocument/2006/relationships/hyperlink" Target="http://rosita.ro/jeat/archive/2_2020.pdf" TargetMode="External"/><Relationship Id="rId10" Type="http://schemas.openxmlformats.org/officeDocument/2006/relationships/hyperlink" Target="http://biotechnologyjournal.usamv.ro/pdf/2020/issue_2/Art6.pdf" TargetMode="External"/><Relationship Id="rId13" Type="http://schemas.openxmlformats.org/officeDocument/2006/relationships/drawing" Target="../drawings/drawing6.xml"/><Relationship Id="rId12" Type="http://schemas.openxmlformats.org/officeDocument/2006/relationships/hyperlink" Target="http://horticulturejournal.usamv.ro/pdf/2020/issue_1/Art46.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ap-publishing.com/catalog/details/store/tr/book/978-620-3-19796-9/improving-the-consistency-of-cow-s-milk-yogurt?search=tita%20miahela"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cabdirect.org/cabdirect/abstract/20203243334" TargetMode="External"/><Relationship Id="rId190" Type="http://schemas.openxmlformats.org/officeDocument/2006/relationships/hyperlink" Target="https://www.qascf.com/index.php/qas/article/view/654" TargetMode="External"/><Relationship Id="rId42" Type="http://schemas.openxmlformats.org/officeDocument/2006/relationships/hyperlink" Target="https://search.proquest.com/docview/2452330348/fulltextPDF/E3BF27DA72C04344PQ/1?accountid=8083" TargetMode="External"/><Relationship Id="rId41" Type="http://schemas.openxmlformats.org/officeDocument/2006/relationships/hyperlink" Target="http://oeconomica.uab.ro/upload/lucrari/2220202/09.pdf" TargetMode="External"/><Relationship Id="rId44" Type="http://schemas.openxmlformats.org/officeDocument/2006/relationships/hyperlink" Target="https://www.diva-portal.org/smash/record.jsf?pid=diva2%3A1507896&amp;dswid=-8959" TargetMode="External"/><Relationship Id="rId194" Type="http://schemas.openxmlformats.org/officeDocument/2006/relationships/hyperlink" Target="https://www.sciencedirect.com/science/article/pii/S0023643820310902" TargetMode="External"/><Relationship Id="rId43" Type="http://schemas.openxmlformats.org/officeDocument/2006/relationships/hyperlink" Target="http://www.managementjournal.usamv.ro/pdf/vol.20_4/Art40.pdf" TargetMode="External"/><Relationship Id="rId193" Type="http://schemas.openxmlformats.org/officeDocument/2006/relationships/hyperlink" Target="https://www.sciencedirect.com/science/article/pii/S0023643820305910" TargetMode="External"/><Relationship Id="rId46" Type="http://schemas.openxmlformats.org/officeDocument/2006/relationships/hyperlink" Target="https://bibdigital.epn.edu.ec/handle/15000/20660" TargetMode="External"/><Relationship Id="rId192" Type="http://schemas.openxmlformats.org/officeDocument/2006/relationships/hyperlink" Target="https://www.mdpi.com/2076-2607/8/2/246" TargetMode="External"/><Relationship Id="rId45" Type="http://schemas.openxmlformats.org/officeDocument/2006/relationships/hyperlink" Target="http://animalsciencejournal.usamv.ro/pdf/2020/issue_1/Art44.pdf" TargetMode="External"/><Relationship Id="rId191" Type="http://schemas.openxmlformats.org/officeDocument/2006/relationships/hyperlink" Target="https://www.mdpi.com/2072-6651/12/3/194" TargetMode="External"/><Relationship Id="rId48" Type="http://schemas.openxmlformats.org/officeDocument/2006/relationships/hyperlink" Target="https://apps-webofknowledge-com.am.e-nformation.ro/full_record.do?product=WOS&amp;search_mode=CitingArticles&amp;qid=12&amp;SID=C5P49fKGb4NolmiCD2Z&amp;page=1&amp;doc=2" TargetMode="External"/><Relationship Id="rId187" Type="http://schemas.openxmlformats.org/officeDocument/2006/relationships/hyperlink" Target="https://www.frontiersin.org/articles/10.3389/fmicb.2020.01916/full" TargetMode="External"/><Relationship Id="rId47" Type="http://schemas.openxmlformats.org/officeDocument/2006/relationships/hyperlink" Target="http://scholar.google.ro/" TargetMode="External"/><Relationship Id="rId186" Type="http://schemas.openxmlformats.org/officeDocument/2006/relationships/hyperlink" Target="https://www.sciencedirect.com/science/article/abs/pii/S1090780720300033?via%3Dihub" TargetMode="External"/><Relationship Id="rId185" Type="http://schemas.openxmlformats.org/officeDocument/2006/relationships/hyperlink" Target="https://www.sysrevpharm.org/?mno=32559" TargetMode="External"/><Relationship Id="rId49" Type="http://schemas.openxmlformats.org/officeDocument/2006/relationships/hyperlink" Target="https://webofknowledge.com/" TargetMode="External"/><Relationship Id="rId184" Type="http://schemas.openxmlformats.org/officeDocument/2006/relationships/hyperlink" Target="https://www.sciencedirect.com/science/article/abs/pii/S0308814620323608" TargetMode="External"/><Relationship Id="rId189" Type="http://schemas.openxmlformats.org/officeDocument/2006/relationships/hyperlink" Target="https://www.sciencedirect.com/science/article/pii/S0278691520303458" TargetMode="External"/><Relationship Id="rId188" Type="http://schemas.openxmlformats.org/officeDocument/2006/relationships/hyperlink" Target="https://doi.org/10.1016/j.foodcont.2019.106840" TargetMode="External"/><Relationship Id="rId31" Type="http://schemas.openxmlformats.org/officeDocument/2006/relationships/hyperlink" Target="https://www.sciencedirect.com/science/article/abs/pii/S1447677020301698" TargetMode="External"/><Relationship Id="rId30" Type="http://schemas.openxmlformats.org/officeDocument/2006/relationships/hyperlink" Target="http://territorial-identity.ro/wp-content/uploads/2020/09/2_Havadi-Nagy_TID_1_2020.pdf" TargetMode="External"/><Relationship Id="rId33" Type="http://schemas.openxmlformats.org/officeDocument/2006/relationships/hyperlink" Target="http://animalsciencejournal.usamv.ro/pdf/2020/issue_1/Art42.pdf" TargetMode="External"/><Relationship Id="rId183" Type="http://schemas.openxmlformats.org/officeDocument/2006/relationships/hyperlink" Target="https://www.journalajrimps.com/index.php/AJRIMPS/article/view/30152" TargetMode="External"/><Relationship Id="rId32" Type="http://schemas.openxmlformats.org/officeDocument/2006/relationships/hyperlink" Target="http://managementjournal.usamv.ro/pdf/vol.20_2/Art15.pdf" TargetMode="External"/><Relationship Id="rId182" Type="http://schemas.openxmlformats.org/officeDocument/2006/relationships/hyperlink" Target="https://www.mdpi.com/2227-9717/8/10/1222" TargetMode="External"/><Relationship Id="rId35" Type="http://schemas.openxmlformats.org/officeDocument/2006/relationships/hyperlink" Target="https://agmv.ro/wp-content/uploads/2020/03/29_33_Sonea_5_compressed.pdf" TargetMode="External"/><Relationship Id="rId181" Type="http://schemas.openxmlformats.org/officeDocument/2006/relationships/hyperlink" Target="http://agrifoodscience.com/index.php/TURJAF/article/view/3487" TargetMode="External"/><Relationship Id="rId34" Type="http://schemas.openxmlformats.org/officeDocument/2006/relationships/hyperlink" Target="https://agmv.ro/wp-content/uploads/2020/03/29_33_Sonea_5_compressed.pdf" TargetMode="External"/><Relationship Id="rId180" Type="http://schemas.openxmlformats.org/officeDocument/2006/relationships/hyperlink" Target="https://link.springer.com/article/10.1007/s11694-020-00598-8" TargetMode="External"/><Relationship Id="rId37" Type="http://schemas.openxmlformats.org/officeDocument/2006/relationships/hyperlink" Target="http://agrolifejournal.usamv.ro/pdf/vol.IX_1/Art26.pdf" TargetMode="External"/><Relationship Id="rId176" Type="http://schemas.openxmlformats.org/officeDocument/2006/relationships/hyperlink" Target="http://www.chemijournal.com/archives/?year=2020&amp;vol=8&amp;issue=1&amp;ArticleId=8297&amp;si=false" TargetMode="External"/><Relationship Id="rId297" Type="http://schemas.openxmlformats.org/officeDocument/2006/relationships/hyperlink" Target="https://search.proquest.com/indexinglinkhandler/sng/au/G$fclmez,+Gizem/$N;jsessionid=0466B4CA2827BA20B458B4069FB413E8.i-0a48d1395fd56fd39" TargetMode="External"/><Relationship Id="rId36" Type="http://schemas.openxmlformats.org/officeDocument/2006/relationships/hyperlink" Target="http://animalsciencejournal.usamv.ro/pdf/2020/issue_1/Art42.pdf" TargetMode="External"/><Relationship Id="rId175" Type="http://schemas.openxmlformats.org/officeDocument/2006/relationships/hyperlink" Target="https://www.tandfonline.com/doi/abs/10.1080/15538362.2020.1785987" TargetMode="External"/><Relationship Id="rId296" Type="http://schemas.openxmlformats.org/officeDocument/2006/relationships/hyperlink" Target="https://doi.org/10.1080/15538362.2020.1774476" TargetMode="External"/><Relationship Id="rId39" Type="http://schemas.openxmlformats.org/officeDocument/2006/relationships/hyperlink" Target="http://ojs.pnb.ac.id/index.php/JBK/article/view/1994" TargetMode="External"/><Relationship Id="rId174" Type="http://schemas.openxmlformats.org/officeDocument/2006/relationships/hyperlink" Target="https://www.sciencedirect.com/science/article/abs/pii/S0038092X2030760X" TargetMode="External"/><Relationship Id="rId295" Type="http://schemas.openxmlformats.org/officeDocument/2006/relationships/hyperlink" Target="https://doi.org/10.2478/fhort-2020-0008" TargetMode="External"/><Relationship Id="rId38" Type="http://schemas.openxmlformats.org/officeDocument/2006/relationships/hyperlink" Target="http://animalsciencejournal.usamv.ro/pdf/2020/issue_1/Art25.pdf" TargetMode="External"/><Relationship Id="rId173" Type="http://schemas.openxmlformats.org/officeDocument/2006/relationships/hyperlink" Target="https://www.sciencedirect.com/science/article/abs/pii/S2213343720304954" TargetMode="External"/><Relationship Id="rId294" Type="http://schemas.openxmlformats.org/officeDocument/2006/relationships/hyperlink" Target="http://pubs.ub.ro/dwnl.php?id=CSCC6201801V01S01A0005" TargetMode="External"/><Relationship Id="rId179" Type="http://schemas.openxmlformats.org/officeDocument/2006/relationships/hyperlink" Target="https://ifst.onlinelibrary.wiley.com/doi/abs/10.1111/ijfs.14648" TargetMode="External"/><Relationship Id="rId178" Type="http://schemas.openxmlformats.org/officeDocument/2006/relationships/hyperlink" Target="https://www.pharmacy.mahidol.ac.th/journal/journalabstract.php?jvol=47&amp;jpart=2&amp;jconnum=8" TargetMode="External"/><Relationship Id="rId299" Type="http://schemas.openxmlformats.org/officeDocument/2006/relationships/hyperlink" Target="https://search.proquest.com/openview/e88296bf4e0822f5a83ffed875efcfe1/1?pq-origsite=gscholar&amp;cbl=44156" TargetMode="External"/><Relationship Id="rId177" Type="http://schemas.openxmlformats.org/officeDocument/2006/relationships/hyperlink" Target="https://www.ajevonline.org/content/71/2/149.abstract" TargetMode="External"/><Relationship Id="rId298" Type="http://schemas.openxmlformats.org/officeDocument/2006/relationships/hyperlink" Target="https://search.proquest.com/openview/e88296bf4e0822f5a83ffed875efcfe1/1?pq-origsite=gscholar&amp;cbl=44156" TargetMode="External"/><Relationship Id="rId20" Type="http://schemas.openxmlformats.org/officeDocument/2006/relationships/hyperlink" Target="https://core.ac.uk/download/pdf/344911259.pdf" TargetMode="External"/><Relationship Id="rId22" Type="http://schemas.openxmlformats.org/officeDocument/2006/relationships/hyperlink" Target="http://www.managementjournal.usamv.ro/pdf/vol.20_4/Art40.pdf" TargetMode="External"/><Relationship Id="rId21" Type="http://schemas.openxmlformats.org/officeDocument/2006/relationships/hyperlink" Target="https://core.ac.uk/download/pdf/344911259.pdf" TargetMode="External"/><Relationship Id="rId24" Type="http://schemas.openxmlformats.org/officeDocument/2006/relationships/hyperlink" Target="http://anale.agro-craiova.ro/index.php/aamc/article/view/921" TargetMode="External"/><Relationship Id="rId23" Type="http://schemas.openxmlformats.org/officeDocument/2006/relationships/hyperlink" Target="http://managementjournal.usamv.ro/pdf/vol.20_1/Art21.pdf" TargetMode="External"/><Relationship Id="rId26" Type="http://schemas.openxmlformats.org/officeDocument/2006/relationships/hyperlink" Target="https://journal-hfb.usab-tm.ro/2020/JHFB%202020%20Vol%20IV/03Ciontu%20C.I.%20Maria%20Dinca%20publishing.pdf" TargetMode="External"/><Relationship Id="rId25" Type="http://schemas.openxmlformats.org/officeDocument/2006/relationships/hyperlink" Target="http://www.cnaa.md/files/theses/2020/56410/corina_certan_thesis.pdf" TargetMode="External"/><Relationship Id="rId28" Type="http://schemas.openxmlformats.org/officeDocument/2006/relationships/hyperlink" Target="https://repository.uaiasi.ro/xmlui/bitstream/handle/20.500.12811/1102/LSA_v.63_nr.2_Results....pdf?sequence=1" TargetMode="External"/><Relationship Id="rId27" Type="http://schemas.openxmlformats.org/officeDocument/2006/relationships/hyperlink" Target="https://www.notulaebotanicae.ro/index.php/nbha/article/view/12138" TargetMode="External"/><Relationship Id="rId29" Type="http://schemas.openxmlformats.org/officeDocument/2006/relationships/hyperlink" Target="https://repository.uaiasi.ro/xmlui/bitstream/handle/20.500.12811/1125/LSZ_v.73_Quality%20of.pdf?sequence=1" TargetMode="External"/><Relationship Id="rId11" Type="http://schemas.openxmlformats.org/officeDocument/2006/relationships/hyperlink" Target="https://www.researchgate.net/publication/337140655" TargetMode="External"/><Relationship Id="rId10" Type="http://schemas.openxmlformats.org/officeDocument/2006/relationships/hyperlink" Target="https://doi.org/10.1016/j.jhazmat.2021.125094" TargetMode="External"/><Relationship Id="rId13" Type="http://schemas.openxmlformats.org/officeDocument/2006/relationships/hyperlink" Target="https://doi.org/10.1016/j.buildenv.2020.106728.(https://www.sciencedirect.com/science/article/pii/S036013232030086X)" TargetMode="External"/><Relationship Id="rId12" Type="http://schemas.openxmlformats.org/officeDocument/2006/relationships/hyperlink" Target="http://landreclamationjournal.usamv.ro/pdf/2020/Art4.pdf" TargetMode="External"/><Relationship Id="rId15" Type="http://schemas.openxmlformats.org/officeDocument/2006/relationships/hyperlink" Target="https://doi.org/10.1080/15226514.2020.1768512" TargetMode="External"/><Relationship Id="rId198" Type="http://schemas.openxmlformats.org/officeDocument/2006/relationships/hyperlink" Target="https://japer.in/storage/models/article/rDqcm4PsL8XxWXYjW2dRkAd4qg0YDgATGR8iB2JSwPxd3DLyBgrGoD8xOfV7/evaluation-of-the-effect-of-influential-factors-on-the-aflatoxin-levels-of-medicinal-herbs-in-diff.pdf" TargetMode="External"/><Relationship Id="rId14" Type="http://schemas.openxmlformats.org/officeDocument/2006/relationships/hyperlink" Target="https://doi.org/10.1007/s12649-018-0455-y" TargetMode="External"/><Relationship Id="rId197" Type="http://schemas.openxmlformats.org/officeDocument/2006/relationships/hyperlink" Target="https://onlinelibrary.wiley.com/doi/abs/10.1111/1471-0307.12728" TargetMode="External"/><Relationship Id="rId17" Type="http://schemas.openxmlformats.org/officeDocument/2006/relationships/hyperlink" Target="https://jitode.ub.ac.id/index.php/jitode/article/view/400/315" TargetMode="External"/><Relationship Id="rId196" Type="http://schemas.openxmlformats.org/officeDocument/2006/relationships/hyperlink" Target="https://link.springer.com/article/10.1007/s12550-020-00398-5" TargetMode="External"/><Relationship Id="rId16" Type="http://schemas.openxmlformats.org/officeDocument/2006/relationships/hyperlink" Target="https://www.notulaebotanicae.ro/index.php/nbha/article/view/12138" TargetMode="External"/><Relationship Id="rId195" Type="http://schemas.openxmlformats.org/officeDocument/2006/relationships/hyperlink" Target="https://www.sciencedirect.com/science/article/abs/pii/S0956713520302681" TargetMode="External"/><Relationship Id="rId19" Type="http://schemas.openxmlformats.org/officeDocument/2006/relationships/hyperlink" Target="http://www.ijsrp.org/research-paper-0120/ijsrp-p9762.pdf" TargetMode="External"/><Relationship Id="rId18" Type="http://schemas.openxmlformats.org/officeDocument/2006/relationships/hyperlink" Target="https://ir-library.ku.ac.ke/bitstream/handle/123456789/21210/Assessment%20of%20indigenous%20forests....pdf?sequence=1" TargetMode="External"/><Relationship Id="rId199" Type="http://schemas.openxmlformats.org/officeDocument/2006/relationships/hyperlink" Target="https://www.sciencedirect.com/science/article/pii/S0308814620301461" TargetMode="External"/><Relationship Id="rId84" Type="http://schemas.openxmlformats.org/officeDocument/2006/relationships/hyperlink" Target="https://www.researchgate.net/publication/338438559_Determination_of_a_Mixture_of_Plantago_lanceolata_L_and_Salvia_officinalis_L_by_High-Performance_Liquid_Chromatography_with_Ultraviolet_Detection_HPLC-UV" TargetMode="External"/><Relationship Id="rId83" Type="http://schemas.openxmlformats.org/officeDocument/2006/relationships/hyperlink" Target="https://www.researchgate.net/publication/347241706_Effect_of_plant_part_extraction_method_and_harvest_time_over_antioxidant_yield_of_rubus_coreanus" TargetMode="External"/><Relationship Id="rId86" Type="http://schemas.openxmlformats.org/officeDocument/2006/relationships/hyperlink" Target="https://www.researchgate.net/publication/344090380_Analysis_of_efficiency_of_production_of_sausage_p" TargetMode="External"/><Relationship Id="rId85" Type="http://schemas.openxmlformats.org/officeDocument/2006/relationships/hyperlink" Target="https://www.researchgate.net/publication/341806558_Role_of_Maturity_Stages_on_Phenolic_Compounds_and_Organic_Acids_Contents_in_Red_Currant_Fruits" TargetMode="External"/><Relationship Id="rId88" Type="http://schemas.openxmlformats.org/officeDocument/2006/relationships/hyperlink" Target="https://www.sciencedirect.com/science/article/pii/S0045653520319470?casa_token=5rP4WanBrPsAAAAA:339RsqHUbXkXA5weGnluZt5uQ9Ho8ysE6rKlXCAUNbrp-CLRiMApGo-f1k4apm5FOTrSGLlgdAA" TargetMode="External"/><Relationship Id="rId150" Type="http://schemas.openxmlformats.org/officeDocument/2006/relationships/hyperlink" Target="https://onlinelibrary.wiley.com/doi/abs/10.1111/1750-3841.15066" TargetMode="External"/><Relationship Id="rId271" Type="http://schemas.openxmlformats.org/officeDocument/2006/relationships/hyperlink" Target="https://www.tandfonline.com/doi/ref/10.1080/10406638.2018.1506991?scroll=top" TargetMode="External"/><Relationship Id="rId87" Type="http://schemas.openxmlformats.org/officeDocument/2006/relationships/hyperlink" Target="https://www.sciencedirect.com/science/article/abs/pii/S0956713519303603" TargetMode="External"/><Relationship Id="rId270" Type="http://schemas.openxmlformats.org/officeDocument/2006/relationships/hyperlink" Target="https://scholar.google.com/scholar?cluster=9994170009156801810&amp;hl=ro&amp;as_sdt=2005&amp;as_ylo=2019&amp;as_yhi=2019" TargetMode="External"/><Relationship Id="rId89" Type="http://schemas.openxmlformats.org/officeDocument/2006/relationships/hyperlink" Target="https://www.ajol.info/index.php/jasem/article/view/200629" TargetMode="External"/><Relationship Id="rId80" Type="http://schemas.openxmlformats.org/officeDocument/2006/relationships/hyperlink" Target="https://www.researchgate.net/publication/346383164_Active_Packaging_Films_Based_on_Polyolefins_Modified_by_Organic_and_Inorganic_Nanoparticles" TargetMode="External"/><Relationship Id="rId82" Type="http://schemas.openxmlformats.org/officeDocument/2006/relationships/hyperlink" Target="https://www.researchgate.net/publication/347263143_Composition_and_Functionality_of_Nigella_sativa_Fixed_Oil" TargetMode="External"/><Relationship Id="rId81" Type="http://schemas.openxmlformats.org/officeDocument/2006/relationships/hyperlink" Target="https://www.researchgate.net/publication/343400203_Food_Packaging_Advanced_Materials_Technologies_and_Innovations" TargetMode="External"/><Relationship Id="rId1" Type="http://schemas.openxmlformats.org/officeDocument/2006/relationships/hyperlink" Target="http://managementjournal.usamv.ro/pdf/vol.20_4/Art16.pdf" TargetMode="External"/><Relationship Id="rId2" Type="http://schemas.openxmlformats.org/officeDocument/2006/relationships/hyperlink" Target="https://journal-hfb.usab-tm.ro/2020/JHFB%202020%20Vol%20I/01Madosa%20E%20et%20al%20publihing.pdf" TargetMode="External"/><Relationship Id="rId3" Type="http://schemas.openxmlformats.org/officeDocument/2006/relationships/hyperlink" Target="http://managementjournal.usamv.ro/pdf/vol.20_4/Art40.pdf" TargetMode="External"/><Relationship Id="rId149" Type="http://schemas.openxmlformats.org/officeDocument/2006/relationships/hyperlink" Target="https://idp.springer.com/authorize/casa?redirect_uri=https://link.springer.com/article/10.1007/s10924-020-01943-0&amp;casa_token=8cNS5TobkKoAAAAA:hdAu_fHwHAiUjcIKUsjUKIw6ed9wo00x6Gpg6k7t-VrSZIHi7_2sUWnWdNf50WF67fGqAVQ5tp_X3xQ" TargetMode="External"/><Relationship Id="rId4" Type="http://schemas.openxmlformats.org/officeDocument/2006/relationships/hyperlink" Target="http://pubs.ub.ro/?pg=revues&amp;rev=scsb&amp;num=202001&amp;vol=29" TargetMode="External"/><Relationship Id="rId148" Type="http://schemas.openxmlformats.org/officeDocument/2006/relationships/hyperlink" Target="https://idp.springer.com/authorize/casa?redirect_uri=https://link.springer.com/article/10.1007/s00289-020-03417-8&amp;casa_token=FG4Hg4MqacwAAAAA:KhK0hI_tW7XuyOHiIkK4lRZoR_ZNPi39l9-ggNTWKmuBDoGoqU4EkdPv94D1cyp3vVnIbVyI9kUSLPk" TargetMode="External"/><Relationship Id="rId269" Type="http://schemas.openxmlformats.org/officeDocument/2006/relationships/hyperlink" Target="https://www.tandfonline.com/doi/ref/10.1080/23308249.2020.1762163?scroll=top" TargetMode="External"/><Relationship Id="rId9" Type="http://schemas.openxmlformats.org/officeDocument/2006/relationships/hyperlink" Target="https://onlinelibrary.wiley.com/doi/10.1002/ldr.3726%20%20DOI:%2010.1002/ldr.3726" TargetMode="External"/><Relationship Id="rId143" Type="http://schemas.openxmlformats.org/officeDocument/2006/relationships/hyperlink" Target="http://immunopathol.com/Article/ipp-152" TargetMode="External"/><Relationship Id="rId264" Type="http://schemas.openxmlformats.org/officeDocument/2006/relationships/hyperlink" Target="http://www.mdpi.com/" TargetMode="External"/><Relationship Id="rId142" Type="http://schemas.openxmlformats.org/officeDocument/2006/relationships/hyperlink" Target="https://scholar.google.ro/scholar?oi=bibs&amp;hl=ro&amp;cites=3881363681462646960" TargetMode="External"/><Relationship Id="rId263" Type="http://schemas.openxmlformats.org/officeDocument/2006/relationships/hyperlink" Target="https://vb.lsu.lt/object/elaba:78180951/" TargetMode="External"/><Relationship Id="rId141" Type="http://schemas.openxmlformats.org/officeDocument/2006/relationships/hyperlink" Target="https://www.sciencedirect.com/science/article/pii/S0026265X19325354?casa_token=iIOYqb_xHDsAAAAA:EwlzY1tP6kOUd1nfUuZVnA2-cVjFIG-kJcdj" TargetMode="External"/><Relationship Id="rId262" Type="http://schemas.openxmlformats.org/officeDocument/2006/relationships/hyperlink" Target="http://economice.ulbsibiu.ro/" TargetMode="External"/><Relationship Id="rId140" Type="http://schemas.openxmlformats.org/officeDocument/2006/relationships/hyperlink" Target="https://www.sciencedirect.com/science/article/pii/S0026265X19325354?casa_token=iIOYqb_xHDsAAAAA:EwlzY1tP6kOUd1nfUuZVnA2-cVjFIG-kJcdj" TargetMode="External"/><Relationship Id="rId261" Type="http://schemas.openxmlformats.org/officeDocument/2006/relationships/hyperlink" Target="http://www.mdpi.com/" TargetMode="External"/><Relationship Id="rId5" Type="http://schemas.openxmlformats.org/officeDocument/2006/relationships/hyperlink" Target="http://scientific.thomsonreuters.com/cgi-bin/jrnlst/jlresults.cgi?PC=MASTER&amp;ISSN=1224-919X" TargetMode="External"/><Relationship Id="rId147" Type="http://schemas.openxmlformats.org/officeDocument/2006/relationships/hyperlink" Target="https://www.mdpi.com/1996-1944/13/21/4953" TargetMode="External"/><Relationship Id="rId268" Type="http://schemas.openxmlformats.org/officeDocument/2006/relationships/hyperlink" Target="https://link.springer.com/chapter/10.1007/978-3-030-22320-5_3" TargetMode="External"/><Relationship Id="rId6" Type="http://schemas.openxmlformats.org/officeDocument/2006/relationships/hyperlink" Target="http://scientific.thomsonreuters.com/cgi-bin/jrnlst/jlresults.cgi?PC=MASTER&amp;ISSN=1224-919X" TargetMode="External"/><Relationship Id="rId146" Type="http://schemas.openxmlformats.org/officeDocument/2006/relationships/hyperlink" Target="https://onlinelibrary.wiley.com/doi/abs/10.1111/jtxs.12519" TargetMode="External"/><Relationship Id="rId267" Type="http://schemas.openxmlformats.org/officeDocument/2006/relationships/hyperlink" Target="http://journals.uran.ua/tarp/article/view/221095" TargetMode="External"/><Relationship Id="rId7" Type="http://schemas.openxmlformats.org/officeDocument/2006/relationships/hyperlink" Target="http://olteniastudiisicomunicaristiintelenaturii.ro/cont/36_2/III.%20ANIMAL%20BIOLOGY%20III.a.%20INVERTEBRATES%20VARIOUS/12Moise.pdf" TargetMode="External"/><Relationship Id="rId145" Type="http://schemas.openxmlformats.org/officeDocument/2006/relationships/hyperlink" Target="https://link.springer.com/chapter/10.1007/978-981-15-9593-6_3" TargetMode="External"/><Relationship Id="rId266" Type="http://schemas.openxmlformats.org/officeDocument/2006/relationships/hyperlink" Target="https://www.researchgate.net/publication/344469594" TargetMode="External"/><Relationship Id="rId8" Type="http://schemas.openxmlformats.org/officeDocument/2006/relationships/hyperlink" Target="http://managementjournal.usamv.ro/pdf/vol.20_2/Art15.pdf" TargetMode="External"/><Relationship Id="rId144" Type="http://schemas.openxmlformats.org/officeDocument/2006/relationships/hyperlink" Target="https://www.ingentaconnect.com/content/ben/cpd/pre-prints/content-32634073" TargetMode="External"/><Relationship Id="rId265" Type="http://schemas.openxmlformats.org/officeDocument/2006/relationships/hyperlink" Target="https://www.researchgate.net/publication/344469594" TargetMode="External"/><Relationship Id="rId73" Type="http://schemas.openxmlformats.org/officeDocument/2006/relationships/hyperlink" Target="https://www.researchgate.net/publication/342894439_Food_Preservative_Potential_of_Lemongrass_Cymbopogon_citratus_" TargetMode="External"/><Relationship Id="rId72" Type="http://schemas.openxmlformats.org/officeDocument/2006/relationships/hyperlink" Target="https://www.researchgate.net/publication/342296598_Principales_bacterias_transmitidas_por_alimentos_preservacion_y_contro" TargetMode="External"/><Relationship Id="rId75" Type="http://schemas.openxmlformats.org/officeDocument/2006/relationships/hyperlink" Target="https://www.researchgate.net/publication/343670729_Outline_of_Animals_and_Plants-Based_antimicrobial_agents_NAA_in_Antimicrobial_food_packaging_AFP" TargetMode="External"/><Relationship Id="rId74" Type="http://schemas.openxmlformats.org/officeDocument/2006/relationships/hyperlink" Target="https://www.researchgate.net/publication/343088132_ANALISE_DA_SERIE_TEMPORAL_DA_PRODUCAO_DE_LEITE_CRU_NOS_ESTADOS" TargetMode="External"/><Relationship Id="rId77" Type="http://schemas.openxmlformats.org/officeDocument/2006/relationships/hyperlink" Target="https://www.researchgate.net/publication/348437628_Identificacion_de_bacterias_productoras_de_bacteriocinas_en_muestras_de_leche_de_vacas_con_mastitis_y_evaluacion_de_la_actividad_antimicrobiana_sobre_" TargetMode="External"/><Relationship Id="rId260" Type="http://schemas.openxmlformats.org/officeDocument/2006/relationships/hyperlink" Target="http://ijefs.org/index.php/ojs/article/view/36" TargetMode="External"/><Relationship Id="rId76" Type="http://schemas.openxmlformats.org/officeDocument/2006/relationships/hyperlink" Target="https://www.researchgate.net/publication/344090394_Natural_antimicrobials_for_preservation_of_salty_fern" TargetMode="External"/><Relationship Id="rId79" Type="http://schemas.openxmlformats.org/officeDocument/2006/relationships/hyperlink" Target="https://www.researchgate.net/publication/346226795_Identification_and_characterization_of_a_novel_circular_bacteriocin_bacicyclicin_XIN-1_fro" TargetMode="External"/><Relationship Id="rId78" Type="http://schemas.openxmlformats.org/officeDocument/2006/relationships/hyperlink" Target="https://www.researchgate.net/publication/344414549_Halal_antimicrobials_in_food_A_review_on_prospects_and_challenges_of_antimicrobials_from_animal_sources" TargetMode="External"/><Relationship Id="rId71" Type="http://schemas.openxmlformats.org/officeDocument/2006/relationships/hyperlink" Target="https://www.sciencedirect.com/science/article/abs/pii/S0956713519300246" TargetMode="External"/><Relationship Id="rId70" Type="http://schemas.openxmlformats.org/officeDocument/2006/relationships/hyperlink" Target="http://www.scielo.org.mx/scielo.php?script=sci_abstract&amp;pid=S1665-14562020000200119&amp;lng=es&amp;nrm=iso&amp;tlng=en" TargetMode="External"/><Relationship Id="rId139" Type="http://schemas.openxmlformats.org/officeDocument/2006/relationships/hyperlink" Target="https://journals.onaft.edu.ua/index.php/foodtech/article/view/1721" TargetMode="External"/><Relationship Id="rId138" Type="http://schemas.openxmlformats.org/officeDocument/2006/relationships/hyperlink" Target="https://onlinelibrary.wiley.com/doi/abs/10.1002/jobm.202000490" TargetMode="External"/><Relationship Id="rId259" Type="http://schemas.openxmlformats.org/officeDocument/2006/relationships/hyperlink" Target="http://www.ebscohost.com/" TargetMode="External"/><Relationship Id="rId137" Type="http://schemas.openxmlformats.org/officeDocument/2006/relationships/hyperlink" Target="https://scholar.google.ro/scholar?oi=bibs&amp;hl=ro&amp;cites=3881363681462646960" TargetMode="External"/><Relationship Id="rId258" Type="http://schemas.openxmlformats.org/officeDocument/2006/relationships/hyperlink" Target="https://www.sciencedirect.com/journal/journal-of-hospitality-leisure-sport-and-tourism-education/vol/27/suppl/C" TargetMode="External"/><Relationship Id="rId132" Type="http://schemas.openxmlformats.org/officeDocument/2006/relationships/hyperlink" Target="https://scholar.google.ro/scholar?cluster=15052871374881938650&amp;hl=ro&amp;as_sdt=2005&amp;as_ylo=2020&amp;as_yhi=2020" TargetMode="External"/><Relationship Id="rId253" Type="http://schemas.openxmlformats.org/officeDocument/2006/relationships/hyperlink" Target="https://repositorio.ucv.edu.pe/bitstream/handle/20.500.12692/51599/Ram%C3%ADrez_MD-SD.pdf?sequence=1" TargetMode="External"/><Relationship Id="rId131" Type="http://schemas.openxmlformats.org/officeDocument/2006/relationships/hyperlink" Target="https://scholar.google.ro/scholar?cluster=8501506094426275587&amp;hl=ro&amp;as_sdt=2005&amp;as_ylo=2020&amp;as_yhi=2020" TargetMode="External"/><Relationship Id="rId252" Type="http://schemas.openxmlformats.org/officeDocument/2006/relationships/hyperlink" Target="http://managementjournal.usamv.ro/pdf/vol.20_4/Art17.pdf" TargetMode="External"/><Relationship Id="rId130" Type="http://schemas.openxmlformats.org/officeDocument/2006/relationships/hyperlink" Target="https://scholar.google.ro/scholar?cluster=8501506094426275587&amp;hl=ro&amp;as_sdt=2005&amp;as_ylo=2020&amp;as_yhi=2020" TargetMode="External"/><Relationship Id="rId251" Type="http://schemas.openxmlformats.org/officeDocument/2006/relationships/hyperlink" Target="https://apps-webofknowledge-com.am.e-nformation.ro/full_record.do?product=WOS&amp;search_mode=GeneralSearch&amp;qid=34&amp;SID=D4lDqDDx7kA9cqfiWks&amp;page=1&amp;doc=1" TargetMode="External"/><Relationship Id="rId250" Type="http://schemas.openxmlformats.org/officeDocument/2006/relationships/hyperlink" Target="https://apps-webofknowledge-com.am.e-nformation.ro/full_record.do?product=WOS&amp;search_mode=GeneralSearch&amp;qid=30&amp;SID=D4lDqDDx7kA9cqfiWks&amp;page=1&amp;doc=1" TargetMode="External"/><Relationship Id="rId136" Type="http://schemas.openxmlformats.org/officeDocument/2006/relationships/hyperlink" Target="https://dergipark.org.tr/en/pub/tdfd/article/810214" TargetMode="External"/><Relationship Id="rId257" Type="http://schemas.openxmlformats.org/officeDocument/2006/relationships/hyperlink" Target="https://www.cyberleninka.ru/" TargetMode="External"/><Relationship Id="rId135" Type="http://schemas.openxmlformats.org/officeDocument/2006/relationships/hyperlink" Target="https://nanobioletters.com/wp-content/uploads/2020/08/2284680894.15831594.pdf" TargetMode="External"/><Relationship Id="rId256" Type="http://schemas.openxmlformats.org/officeDocument/2006/relationships/hyperlink" Target="http://authors" TargetMode="External"/><Relationship Id="rId134" Type="http://schemas.openxmlformats.org/officeDocument/2006/relationships/hyperlink" Target="https://onlinelibrary.wiley.com/doi/abs/10.1111/jtxs.12519" TargetMode="External"/><Relationship Id="rId255" Type="http://schemas.openxmlformats.org/officeDocument/2006/relationships/hyperlink" Target="https://ifst.onlinelibrary.wiley.com/doi/abs/10.1111/ijfs.14793" TargetMode="External"/><Relationship Id="rId133" Type="http://schemas.openxmlformats.org/officeDocument/2006/relationships/hyperlink" Target="http://scholar.google.com/scholar_url?url=http://ufj.ho.ua/Archiv/UKRAINIAN%2520FOOD%2520JOURNAL%25202020%2520V.9%2520Is.4.pdf%23page%3D123&amp;hl=ro&amp;sa=X&amp;d=887117542717328199&amp;ei=XnM1YNaRD6XcsQLL5J3ICQ&amp;scisig=AAGBfm0Sc2hdTgXMqoNPeczngEdPuz8AbA&amp;nossl=1&amp;oi=scholaralrt&amp;hist=LEZ-wdIAAAAJ:14956814435901057921:AAGBfm03qdbVuz7tMNe4WalnluNK8JSMOg&amp;html=&amp;cited-by=" TargetMode="External"/><Relationship Id="rId254" Type="http://schemas.openxmlformats.org/officeDocument/2006/relationships/hyperlink" Target="https://search.proquest.com/docview/2473428341/fulltextPDF/FB241037D69B4E1FPQ/1?accountid=8083" TargetMode="External"/><Relationship Id="rId62" Type="http://schemas.openxmlformats.org/officeDocument/2006/relationships/hyperlink" Target="https://www-sciencedirect-com.am.e-nformation.ro/science/article/pii/S1383586620315045?via%3Dihub" TargetMode="External"/><Relationship Id="rId61" Type="http://schemas.openxmlformats.org/officeDocument/2006/relationships/hyperlink" Target="https://www.scopus.com/results/citedbyresults.uri?sort=plf-f&amp;cite=2-s2.0-85047560295&amp;src=s&amp;imp=t&amp;sid=04869d0b0af40a00999345354642936c&amp;sot=cite&amp;sdt=a&amp;sl=0&amp;origin=inward&amp;editSaveSearch=&amp;txGid=faf5775260723163b0af2f21361683e5" TargetMode="External"/><Relationship Id="rId64" Type="http://schemas.openxmlformats.org/officeDocument/2006/relationships/hyperlink" Target="https://www.mdpi.com/2227-9059/8/10/405" TargetMode="External"/><Relationship Id="rId63" Type="http://schemas.openxmlformats.org/officeDocument/2006/relationships/hyperlink" Target="https://www.mdpi.com/2079-6382/9/10/712" TargetMode="External"/><Relationship Id="rId66" Type="http://schemas.openxmlformats.org/officeDocument/2006/relationships/hyperlink" Target="https://www.sciencedirect.com/science/article/pii/S2589004220302406" TargetMode="External"/><Relationship Id="rId172" Type="http://schemas.openxmlformats.org/officeDocument/2006/relationships/hyperlink" Target="https://www.pharmacy.mahidol.ac.th/journal/_files/2020-47-2_164-172.pdf" TargetMode="External"/><Relationship Id="rId293" Type="http://schemas.openxmlformats.org/officeDocument/2006/relationships/hyperlink" Target="https://scholar.google.ro/citations?user=hakzjVgAAAAJ&amp;hl=ro&amp;oi=sra" TargetMode="External"/><Relationship Id="rId65" Type="http://schemas.openxmlformats.org/officeDocument/2006/relationships/hyperlink" Target="https://www.sciencedirect.com/science/article/abs/pii/S0168160520301434" TargetMode="External"/><Relationship Id="rId171" Type="http://schemas.openxmlformats.org/officeDocument/2006/relationships/hyperlink" Target="https://www.mdpi.com/2227-9717/8/1/59" TargetMode="External"/><Relationship Id="rId292" Type="http://schemas.openxmlformats.org/officeDocument/2006/relationships/hyperlink" Target="http://pubs.ub.ro/dwnl.php?id=CSCC6201801V01S01A0005" TargetMode="External"/><Relationship Id="rId68" Type="http://schemas.openxmlformats.org/officeDocument/2006/relationships/hyperlink" Target="https://www.sciencedirect.com/science/article/abs/pii/S095671351930533X" TargetMode="External"/><Relationship Id="rId170" Type="http://schemas.openxmlformats.org/officeDocument/2006/relationships/hyperlink" Target="https://www.nature.com/articles/s41429-020-0287-4" TargetMode="External"/><Relationship Id="rId291" Type="http://schemas.openxmlformats.org/officeDocument/2006/relationships/hyperlink" Target="https://www.mdpi.com/2076-3921/9/11/1067" TargetMode="External"/><Relationship Id="rId67" Type="http://schemas.openxmlformats.org/officeDocument/2006/relationships/hyperlink" Target="https://www.sciencedirect.com/science/article/pii/S0924224419306491" TargetMode="External"/><Relationship Id="rId290" Type="http://schemas.openxmlformats.org/officeDocument/2006/relationships/hyperlink" Target="http://pubs.ub.ro/dwnl.php?id=CSCC6201801V01S01A0005" TargetMode="External"/><Relationship Id="rId60" Type="http://schemas.openxmlformats.org/officeDocument/2006/relationships/hyperlink" Target="about:blank" TargetMode="External"/><Relationship Id="rId165" Type="http://schemas.openxmlformats.org/officeDocument/2006/relationships/hyperlink" Target="https://www.mdpi.com/2076-0817/9/11/940" TargetMode="External"/><Relationship Id="rId286" Type="http://schemas.openxmlformats.org/officeDocument/2006/relationships/hyperlink" Target="http://www.revistadechimie.ro/pdf/45%20CIUBARA%205%2018.pdf" TargetMode="External"/><Relationship Id="rId69" Type="http://schemas.openxmlformats.org/officeDocument/2006/relationships/hyperlink" Target="https://pubmed.ncbi.nlm.nih.gov/31860394/" TargetMode="External"/><Relationship Id="rId164" Type="http://schemas.openxmlformats.org/officeDocument/2006/relationships/hyperlink" Target="https://www.e-repository.org/rbl/vol.25/iss.4/20.pdf" TargetMode="External"/><Relationship Id="rId285" Type="http://schemas.openxmlformats.org/officeDocument/2006/relationships/hyperlink" Target="https://lumenpublishing.com/journals/index.php/brain/%20%20%20%20%20,%20Web%20of%20Science%20ESCI" TargetMode="External"/><Relationship Id="rId163" Type="http://schemas.openxmlformats.org/officeDocument/2006/relationships/hyperlink" Target="https://www.peertechz.com/articles/IJPSDR-6-128.php" TargetMode="External"/><Relationship Id="rId284" Type="http://schemas.openxmlformats.org/officeDocument/2006/relationships/hyperlink" Target="https://www.edusoft.ro/brain/index.php/brain/article/view/1047/1214" TargetMode="External"/><Relationship Id="rId162" Type="http://schemas.openxmlformats.org/officeDocument/2006/relationships/hyperlink" Target="https://www.e-repository.org/rbl/vol.25/iss.3/20.pdf" TargetMode="External"/><Relationship Id="rId283" Type="http://schemas.openxmlformats.org/officeDocument/2006/relationships/hyperlink" Target="http://www.revistadechimie.ro/pdf/45%20CIUBARA%205%2018.pdf" TargetMode="External"/><Relationship Id="rId169" Type="http://schemas.openxmlformats.org/officeDocument/2006/relationships/hyperlink" Target="https://link.springer.com/article/10.1007/s11694-020-00689-6" TargetMode="External"/><Relationship Id="rId168" Type="http://schemas.openxmlformats.org/officeDocument/2006/relationships/hyperlink" Target="https://www.scielo.br/scielo.php?pid=S0103-84782021000100751&amp;script=sci_arttext" TargetMode="External"/><Relationship Id="rId289" Type="http://schemas.openxmlformats.org/officeDocument/2006/relationships/hyperlink" Target="https://doi.org/10.15587/2706-5448.2020.221095" TargetMode="External"/><Relationship Id="rId167" Type="http://schemas.openxmlformats.org/officeDocument/2006/relationships/hyperlink" Target="https://www.sciencedirect.com/science/article/pii/S0308814620301461?via%3Dihub" TargetMode="External"/><Relationship Id="rId288" Type="http://schemas.openxmlformats.org/officeDocument/2006/relationships/hyperlink" Target="http://search.ebscohost.com/login.aspx?direct=true&amp;profile=ehost&amp;scope=site&amp;authtype=crawler&amp;jrnl=18435262&amp;AN=131285972&amp;h=TMgzMbxaWC3NPn3WFOIDUBhYshS0cZ9EAW%2FegAxdYL4Nwfrx4oFgwqjG7IMOtCkID3XClHa3ZQPyyg%2B60%2B%2BFYA%3D%3D&amp;crl=c" TargetMode="External"/><Relationship Id="rId166" Type="http://schemas.openxmlformats.org/officeDocument/2006/relationships/hyperlink" Target="https://pubs.acs.org/doi/full/10.1021/acsomega.0c01277" TargetMode="External"/><Relationship Id="rId287" Type="http://schemas.openxmlformats.org/officeDocument/2006/relationships/hyperlink" Target="https://link.springer.com/article/10.1007/s10311-020-00981-3" TargetMode="External"/><Relationship Id="rId51" Type="http://schemas.openxmlformats.org/officeDocument/2006/relationships/hyperlink" Target="https://webofknowledge.com/" TargetMode="External"/><Relationship Id="rId50" Type="http://schemas.openxmlformats.org/officeDocument/2006/relationships/hyperlink" Target="https://apps-webofknowledge-com.am.e-nformation.ro/full_record.do?product=WOS&amp;search_mode=CitingArticles&amp;qid=3&amp;SID=C5P49fKGb4NolmiCD2Z&amp;page=1&amp;doc=1" TargetMode="External"/><Relationship Id="rId53" Type="http://schemas.openxmlformats.org/officeDocument/2006/relationships/hyperlink" Target="https://www.tandfonline.com/doi/full/10.1080/23311932.2020.1783172" TargetMode="External"/><Relationship Id="rId52" Type="http://schemas.openxmlformats.org/officeDocument/2006/relationships/hyperlink" Target="https://www.mdpi.com/2073-4360/12/3/704" TargetMode="External"/><Relationship Id="rId55" Type="http://schemas.openxmlformats.org/officeDocument/2006/relationships/hyperlink" Target="https://www.mdpi.com/2227-9717/8/1/59/htm" TargetMode="External"/><Relationship Id="rId161" Type="http://schemas.openxmlformats.org/officeDocument/2006/relationships/hyperlink" Target="https://ifst.onlinelibrary.wiley.com/doi/abs/10.1111/jfpp.15158" TargetMode="External"/><Relationship Id="rId282" Type="http://schemas.openxmlformats.org/officeDocument/2006/relationships/hyperlink" Target="https://www.hindawi.com/journals/bmri/ai/" TargetMode="External"/><Relationship Id="rId54" Type="http://schemas.openxmlformats.org/officeDocument/2006/relationships/hyperlink" Target="https://ijvm.ut.ac.ir/article_78512.html" TargetMode="External"/><Relationship Id="rId160" Type="http://schemas.openxmlformats.org/officeDocument/2006/relationships/hyperlink" Target="https://www.mdpi.com/2304-8158/9/10/1409" TargetMode="External"/><Relationship Id="rId281" Type="http://schemas.openxmlformats.org/officeDocument/2006/relationships/hyperlink" Target="https://www.hindawi.com/journals/bmri/2020/8893621/" TargetMode="External"/><Relationship Id="rId57" Type="http://schemas.openxmlformats.org/officeDocument/2006/relationships/hyperlink" Target="https://www.sciencedirect.com/science/article/abs/pii/S2213343720304954" TargetMode="External"/><Relationship Id="rId280" Type="http://schemas.openxmlformats.org/officeDocument/2006/relationships/hyperlink" Target="https://open.metu.edu.tr/bitstream/handle/11511/69119/12625908.pdf" TargetMode="External"/><Relationship Id="rId56" Type="http://schemas.openxmlformats.org/officeDocument/2006/relationships/hyperlink" Target="https://www.sciencedirect.com/science/article/pii/S1756464620301699?via%3Dihub" TargetMode="External"/><Relationship Id="rId159" Type="http://schemas.openxmlformats.org/officeDocument/2006/relationships/hyperlink" Target="https://link.springer.com/article/10.1007/s11694-020-00598-8" TargetMode="External"/><Relationship Id="rId59" Type="http://schemas.openxmlformats.org/officeDocument/2006/relationships/hyperlink" Target="http://pccc.icrc.ac.ir/article_81715_4135cea1bfd66786884d91a7083c4e73.pdf" TargetMode="External"/><Relationship Id="rId154" Type="http://schemas.openxmlformats.org/officeDocument/2006/relationships/hyperlink" Target="https://dergipark.org.tr/en/pub/tdfd/article/810214" TargetMode="External"/><Relationship Id="rId275" Type="http://schemas.openxmlformats.org/officeDocument/2006/relationships/hyperlink" Target="https://apps-webofknowledge-com.am.enformation.ro/full_record.do?product=WOS&amp;search_mode=GeneralSearch&amp;qid=18&amp;SID=C2wTU8Gt2PQwPpojyid&amp;page=1&amp;doc=1" TargetMode="External"/><Relationship Id="rId58" Type="http://schemas.openxmlformats.org/officeDocument/2006/relationships/hyperlink" Target="https://www.sciencedirect.com/science/article/abs/pii/S0038092X2030760X" TargetMode="External"/><Relationship Id="rId153" Type="http://schemas.openxmlformats.org/officeDocument/2006/relationships/hyperlink" Target="https://nanobioletters.com/wp-content/uploads/2020/08/2284680894.15831594.pdf" TargetMode="External"/><Relationship Id="rId274" Type="http://schemas.openxmlformats.org/officeDocument/2006/relationships/hyperlink" Target="https://www.e-repository.org/rbl/vol.25/iss.2/20.pdf" TargetMode="External"/><Relationship Id="rId152" Type="http://schemas.openxmlformats.org/officeDocument/2006/relationships/hyperlink" Target="https://journal.trunojoyo.ac.id/rekayasa/article/view/7606" TargetMode="External"/><Relationship Id="rId273" Type="http://schemas.openxmlformats.org/officeDocument/2006/relationships/hyperlink" Target="https://apps-webofknowledge-com.am.e-nformation.ro/summary.do?product=WOS&amp;parentProduct=WOS&amp;search_mode=CitedRefList&amp;parentQid=5&amp;qid=7&amp;SID=C2wTU8Gt2PQwPpojyid&amp;colName=WOS&amp;&amp;page=3" TargetMode="External"/><Relationship Id="rId151" Type="http://schemas.openxmlformats.org/officeDocument/2006/relationships/hyperlink" Target="https://www.academia.edu/download/63149559/Ultrasounds_Sawicka_et_al._202020200430-44005-no13tw.pdf" TargetMode="External"/><Relationship Id="rId272" Type="http://schemas.openxmlformats.org/officeDocument/2006/relationships/hyperlink" Target="https://www.tandfonline.com/toc/gpol20/40/3" TargetMode="External"/><Relationship Id="rId158" Type="http://schemas.openxmlformats.org/officeDocument/2006/relationships/hyperlink" Target="about:blank" TargetMode="External"/><Relationship Id="rId279" Type="http://schemas.openxmlformats.org/officeDocument/2006/relationships/hyperlink" Target="https://www.e-repository.org/rbl/vol.25/iss.2/20.pdf" TargetMode="External"/><Relationship Id="rId157" Type="http://schemas.openxmlformats.org/officeDocument/2006/relationships/hyperlink" Target="http://managementjournal.usamv.ro/pdf/vol.15_3/Art29.pdf" TargetMode="External"/><Relationship Id="rId278" Type="http://schemas.openxmlformats.org/officeDocument/2006/relationships/hyperlink" Target="http://patentcitations" TargetMode="External"/><Relationship Id="rId156" Type="http://schemas.openxmlformats.org/officeDocument/2006/relationships/hyperlink" Target="https://apps.webofknowledge.com/full_record.do?product=WOS&amp;search_mode=CitationReport&amp;qid=3&amp;SID=E2BoUC6tCmAqfkOr2I5&amp;page=1&amp;doc=1" TargetMode="External"/><Relationship Id="rId277" Type="http://schemas.openxmlformats.org/officeDocument/2006/relationships/hyperlink" Target="https://patents.google.com/patent/US10653161B2/en" TargetMode="External"/><Relationship Id="rId155" Type="http://schemas.openxmlformats.org/officeDocument/2006/relationships/hyperlink" Target="https://onlinelibrary.wiley.com/doi/abs/10.1002/jobm.202000490" TargetMode="External"/><Relationship Id="rId276" Type="http://schemas.openxmlformats.org/officeDocument/2006/relationships/hyperlink" Target="https://www.journal-of-agroalimentary.ro/admin/articole/72109L41_Ramzan_Shan_Vol.2_01-02_2010_188-195.pdf" TargetMode="External"/><Relationship Id="rId107" Type="http://schemas.openxmlformats.org/officeDocument/2006/relationships/hyperlink" Target="http://cite" TargetMode="External"/><Relationship Id="rId228" Type="http://schemas.openxmlformats.org/officeDocument/2006/relationships/hyperlink" Target="https://link.springer.com/chapter/10.1007/978-3-030-54027-2_5" TargetMode="External"/><Relationship Id="rId349" Type="http://schemas.openxmlformats.org/officeDocument/2006/relationships/hyperlink" Target="http://scholar.google.com/scholar?cluster=9853058140323935937&amp;hl=en&amp;oi=scholarr" TargetMode="External"/><Relationship Id="rId106" Type="http://schemas.openxmlformats.org/officeDocument/2006/relationships/hyperlink" Target="https://link.springer.com/chapter/10.1007/978-981-15-0156-2_13" TargetMode="External"/><Relationship Id="rId227" Type="http://schemas.openxmlformats.org/officeDocument/2006/relationships/hyperlink" Target="https://www.hindawi.com/journals/ijfs/2020/4971203/" TargetMode="External"/><Relationship Id="rId348" Type="http://schemas.openxmlformats.org/officeDocument/2006/relationships/hyperlink" Target="http://journalkubansad.ru/en/aut/571/" TargetMode="External"/><Relationship Id="rId105" Type="http://schemas.openxmlformats.org/officeDocument/2006/relationships/hyperlink" Target="http://managementjournal.usamv.ro/pdf/vol.20_1/Art43.pdf" TargetMode="External"/><Relationship Id="rId226" Type="http://schemas.openxmlformats.org/officeDocument/2006/relationships/hyperlink" Target="https://pubs.rsc.org/en/content/articlehtml/2020/cp/d0cp04012f" TargetMode="External"/><Relationship Id="rId347" Type="http://schemas.openxmlformats.org/officeDocument/2006/relationships/hyperlink" Target="http://journalkubansad.ru/pdf/20/05/22.pdf" TargetMode="External"/><Relationship Id="rId104" Type="http://schemas.openxmlformats.org/officeDocument/2006/relationships/hyperlink" Target="https://doi.org/10.1016/j.jclepro.2019.03.168" TargetMode="External"/><Relationship Id="rId225" Type="http://schemas.openxmlformats.org/officeDocument/2006/relationships/hyperlink" Target="http://www.ijstre.com/Publish/5402020/754235521.pdf" TargetMode="External"/><Relationship Id="rId346" Type="http://schemas.openxmlformats.org/officeDocument/2006/relationships/hyperlink" Target="http://scholar.google.com/scholar?cluster=9853058140323935937&amp;hl=en&amp;oi=scholarr" TargetMode="External"/><Relationship Id="rId109" Type="http://schemas.openxmlformats.org/officeDocument/2006/relationships/hyperlink" Target="http://managementjournal.usamv.ro/pdf/vol.20_1/Art43.pdf" TargetMode="External"/><Relationship Id="rId108" Type="http://schemas.openxmlformats.org/officeDocument/2006/relationships/hyperlink" Target="https://doi.org/10.1016/j.jclepro.2019.03.168" TargetMode="External"/><Relationship Id="rId229" Type="http://schemas.openxmlformats.org/officeDocument/2006/relationships/hyperlink" Target="https://www.mdpi.com/1422-0067/22/1/72" TargetMode="External"/><Relationship Id="rId220" Type="http://schemas.openxmlformats.org/officeDocument/2006/relationships/hyperlink" Target="https://link.springer.com/chapter/10.1007%2F978-981-15-4167-4_3" TargetMode="External"/><Relationship Id="rId341" Type="http://schemas.openxmlformats.org/officeDocument/2006/relationships/hyperlink" Target="https://www.tandfonline.com/action/journalInformation?show=journalMetrics&amp;journalCode=gpol20;%20%20Scopus" TargetMode="External"/><Relationship Id="rId340" Type="http://schemas.openxmlformats.org/officeDocument/2006/relationships/hyperlink" Target="https://doi.org/10.1080/10406638.2020.1821721" TargetMode="External"/><Relationship Id="rId103" Type="http://schemas.openxmlformats.org/officeDocument/2006/relationships/hyperlink" Target="http://cite" TargetMode="External"/><Relationship Id="rId224" Type="http://schemas.openxmlformats.org/officeDocument/2006/relationships/hyperlink" Target="https://www.mdpi.com/2227-9717/8/11/1375" TargetMode="External"/><Relationship Id="rId345" Type="http://schemas.openxmlformats.org/officeDocument/2006/relationships/hyperlink" Target="https://patentimages.storage.googleapis.com/60/ce/0e/debfccaaaf9abe/US10653161.pdf" TargetMode="External"/><Relationship Id="rId102" Type="http://schemas.openxmlformats.org/officeDocument/2006/relationships/hyperlink" Target="http://immunopathol.com/Article/ipp-152" TargetMode="External"/><Relationship Id="rId223" Type="http://schemas.openxmlformats.org/officeDocument/2006/relationships/hyperlink" Target="https://sites.kowsarpub.com/mejrh/articles/105844.html" TargetMode="External"/><Relationship Id="rId344" Type="http://schemas.openxmlformats.org/officeDocument/2006/relationships/hyperlink" Target="https://patentimages.storage.googleapis.com/60/ce/0e/debfccaaaf9abe/US10653161.pdf" TargetMode="External"/><Relationship Id="rId101" Type="http://schemas.openxmlformats.org/officeDocument/2006/relationships/hyperlink" Target="https://www.ingentaconnect.com/content/ben/cpd/pre-prints/content-32634073" TargetMode="External"/><Relationship Id="rId222" Type="http://schemas.openxmlformats.org/officeDocument/2006/relationships/hyperlink" Target="https://onlinelibrary.wiley.com/doi/abs/10.1002/er.5678" TargetMode="External"/><Relationship Id="rId343" Type="http://schemas.openxmlformats.org/officeDocument/2006/relationships/hyperlink" Target="https://www.tandfonline.com/action/journalInformation?show=journalMetrics&amp;journalCode=brfs21;%20%20Scopus" TargetMode="External"/><Relationship Id="rId100" Type="http://schemas.openxmlformats.org/officeDocument/2006/relationships/hyperlink" Target="https://www.researchgate.net/publication/341698228_Fluorescence_of_Living_Plant_Cells_for_Phytomedicine_Preparations" TargetMode="External"/><Relationship Id="rId221" Type="http://schemas.openxmlformats.org/officeDocument/2006/relationships/hyperlink" Target="https://pubs.acs.org/doi/pdf/10.1021/acs.jafc.0c01912" TargetMode="External"/><Relationship Id="rId342" Type="http://schemas.openxmlformats.org/officeDocument/2006/relationships/hyperlink" Target="https://doi.org/10.1080/23308249.2020.1762163" TargetMode="External"/><Relationship Id="rId217" Type="http://schemas.openxmlformats.org/officeDocument/2006/relationships/hyperlink" Target="https://onlinelibrary.wiley.com/doi/10.1002/ansa.202000013" TargetMode="External"/><Relationship Id="rId338" Type="http://schemas.openxmlformats.org/officeDocument/2006/relationships/hyperlink" Target="https://www.sciencedirect.com/science/article/abs/pii/S0924224419310386;%20Scopus" TargetMode="External"/><Relationship Id="rId216" Type="http://schemas.openxmlformats.org/officeDocument/2006/relationships/hyperlink" Target="https://www.mdpi.com/2223-7747/9/5/637" TargetMode="External"/><Relationship Id="rId337" Type="http://schemas.openxmlformats.org/officeDocument/2006/relationships/hyperlink" Target="https://doi.org/10.1016/j.tifs.2020.03.030" TargetMode="External"/><Relationship Id="rId215" Type="http://schemas.openxmlformats.org/officeDocument/2006/relationships/hyperlink" Target="https://www.frontiersin.org/articles/10.3389/fnut.2020.00060/full" TargetMode="External"/><Relationship Id="rId336" Type="http://schemas.openxmlformats.org/officeDocument/2006/relationships/hyperlink" Target="http://fulltextfilecontent" TargetMode="External"/><Relationship Id="rId214" Type="http://schemas.openxmlformats.org/officeDocument/2006/relationships/hyperlink" Target="https://content.sciendo.com/configurable/contentpage/journals$002frjom$002f71$002f1$002farticle-p26.xml" TargetMode="External"/><Relationship Id="rId335" Type="http://schemas.openxmlformats.org/officeDocument/2006/relationships/hyperlink" Target="http://fulltextfilecontent" TargetMode="External"/><Relationship Id="rId219" Type="http://schemas.openxmlformats.org/officeDocument/2006/relationships/hyperlink" Target="https://www.sciencedirect.com/science/article/abs/pii/S1570963920301291" TargetMode="External"/><Relationship Id="rId218" Type="http://schemas.openxmlformats.org/officeDocument/2006/relationships/hyperlink" Target="https://www.sciencedirect.com/science/article/abs/pii/S0924224420305069" TargetMode="External"/><Relationship Id="rId339" Type="http://schemas.openxmlformats.org/officeDocument/2006/relationships/hyperlink" Target="https://doi.org/10.1080/10406638.2018.1506991" TargetMode="External"/><Relationship Id="rId330" Type="http://schemas.openxmlformats.org/officeDocument/2006/relationships/hyperlink" Target="https://doi.org/10.1007/s00203-020-01995-9" TargetMode="External"/><Relationship Id="rId213" Type="http://schemas.openxmlformats.org/officeDocument/2006/relationships/hyperlink" Target="https://cientificajournal.com/index.php/path/article/view/1145" TargetMode="External"/><Relationship Id="rId334" Type="http://schemas.openxmlformats.org/officeDocument/2006/relationships/hyperlink" Target="https://www.elsevier.com/;%20%20Scopus" TargetMode="External"/><Relationship Id="rId212" Type="http://schemas.openxmlformats.org/officeDocument/2006/relationships/hyperlink" Target="https://www.tandfonline.com/doi/abs/10.1080/01480545.2020.1783286?journalCode=idct20" TargetMode="External"/><Relationship Id="rId333" Type="http://schemas.openxmlformats.org/officeDocument/2006/relationships/hyperlink" Target="https://www.sciencedirect.com/science/article/pii/B9780128168974000060" TargetMode="External"/><Relationship Id="rId211" Type="http://schemas.openxmlformats.org/officeDocument/2006/relationships/hyperlink" Target="https://www.ijpsonline.com/articles/the-application-of-decision-tree-model-in-differential-diagnosis-of-myelodysplastic-syndrome-and-aplastic-anemia.pdf" TargetMode="External"/><Relationship Id="rId332" Type="http://schemas.openxmlformats.org/officeDocument/2006/relationships/hyperlink" Target="http://saiapm.ulbsibiu.ro/cercetare/ACTA_E/AUCFT2012_II_3_19.pdf" TargetMode="External"/><Relationship Id="rId210" Type="http://schemas.openxmlformats.org/officeDocument/2006/relationships/hyperlink" Target="https://oapub.org/hlt/index.php/EJPRS/article/viewFile/51/50" TargetMode="External"/><Relationship Id="rId331" Type="http://schemas.openxmlformats.org/officeDocument/2006/relationships/hyperlink" Target="https://www.springer.com/journal/203" TargetMode="External"/><Relationship Id="rId129" Type="http://schemas.openxmlformats.org/officeDocument/2006/relationships/hyperlink" Target="https://zir.nsk.hr/islandora/object/agr:1774" TargetMode="External"/><Relationship Id="rId128" Type="http://schemas.openxmlformats.org/officeDocument/2006/relationships/hyperlink" Target="http://saiapm.ulbsibiu.ro/cercetare/ACTA_E/AUCFT2012_I_3_18.pdf" TargetMode="External"/><Relationship Id="rId249" Type="http://schemas.openxmlformats.org/officeDocument/2006/relationships/hyperlink" Target="http://apps.webofknowledge.com/full_record.do?product=WOS&amp;search_mode=CitingArticles&amp;qid=4&amp;SID=D4DAWCXkJefdGrc3pJr&amp;page=1&amp;doc=1" TargetMode="External"/><Relationship Id="rId127" Type="http://schemas.openxmlformats.org/officeDocument/2006/relationships/hyperlink" Target="https://link.springer.com/chapter/10.1007/978-3-030-60248-2_2" TargetMode="External"/><Relationship Id="rId248" Type="http://schemas.openxmlformats.org/officeDocument/2006/relationships/hyperlink" Target="https://pubs.acs.org/doi/pdf/10.1021/acs.jafc.0c01912" TargetMode="External"/><Relationship Id="rId126" Type="http://schemas.openxmlformats.org/officeDocument/2006/relationships/hyperlink" Target="https://bibliotecadigital.ipb.pt/bitstream/10198/22747/1/pauta-relatorio%286%29.pdf" TargetMode="External"/><Relationship Id="rId247" Type="http://schemas.openxmlformats.org/officeDocument/2006/relationships/hyperlink" Target="https://doi.org/10.3390/molecules25030442;%20Web%20of%20Science" TargetMode="External"/><Relationship Id="rId121" Type="http://schemas.openxmlformats.org/officeDocument/2006/relationships/hyperlink" Target="https://www.jstage.jst.go.jp/article/fstr/26/5/26_579/_article" TargetMode="External"/><Relationship Id="rId242" Type="http://schemas.openxmlformats.org/officeDocument/2006/relationships/hyperlink" Target="https://link.springer.com/chapter/10.1007/978-3-030-41661-4_22" TargetMode="External"/><Relationship Id="rId120" Type="http://schemas.openxmlformats.org/officeDocument/2006/relationships/hyperlink" Target="https://ifst.onlinelibrary.wiley.com/journal/17454549?tabActivePane=" TargetMode="External"/><Relationship Id="rId241" Type="http://schemas.openxmlformats.org/officeDocument/2006/relationships/hyperlink" Target="http://www.davidpublisher.org/Home/Journal/JFSE" TargetMode="External"/><Relationship Id="rId240" Type="http://schemas.openxmlformats.org/officeDocument/2006/relationships/hyperlink" Target="https://apps-webofknowledge-com.am.e-nformation.ro/full_record.do?product=WOS&amp;search_mode=CitingArticles&amp;qid=16&amp;SID=D13tRm4ciQwlgDgkObD&amp;page=1&amp;doc=5&amp;cacheurlFromRightClick=no" TargetMode="External"/><Relationship Id="rId125" Type="http://schemas.openxmlformats.org/officeDocument/2006/relationships/hyperlink" Target="https://www.tandfonline.com/doi/abs/10.1080/15569543.2020.1843180" TargetMode="External"/><Relationship Id="rId246" Type="http://schemas.openxmlformats.org/officeDocument/2006/relationships/hyperlink" Target="https://www.mdpi.com/1420-3049/25/3/442" TargetMode="External"/><Relationship Id="rId124" Type="http://schemas.openxmlformats.org/officeDocument/2006/relationships/hyperlink" Target="https://link.springer.com/article/10.1007/s12550-020-00398-5" TargetMode="External"/><Relationship Id="rId245" Type="http://schemas.openxmlformats.org/officeDocument/2006/relationships/hyperlink" Target="https://journals.ekb.eg/article_130429_1775484d89bd9dcae52df5ab0d304877.pdf" TargetMode="External"/><Relationship Id="rId123" Type="http://schemas.openxmlformats.org/officeDocument/2006/relationships/hyperlink" Target="https://www.resurchify.com/all_ranking_details_2.php?id=17842" TargetMode="External"/><Relationship Id="rId244" Type="http://schemas.openxmlformats.org/officeDocument/2006/relationships/hyperlink" Target="https://www.taylorfrancis.com/books/essential-fatty-acids-sanju-bala-dhull-sneh-punia-kawaljit-singh-sandhu/e/10.1201/9780429321115" TargetMode="External"/><Relationship Id="rId122" Type="http://schemas.openxmlformats.org/officeDocument/2006/relationships/hyperlink" Target="https://www.researchgate.net/publication/342832976_Rapid_quality_assessment_of_bread_using_developed_multivariate_models_A_simple_predictive_modeling_approach" TargetMode="External"/><Relationship Id="rId243" Type="http://schemas.openxmlformats.org/officeDocument/2006/relationships/hyperlink" Target="http://www.agrifoodscience.com/index.php/TURJAF/article/view/3346" TargetMode="External"/><Relationship Id="rId95" Type="http://schemas.openxmlformats.org/officeDocument/2006/relationships/hyperlink" Target="https://www.researchgate.net/publication/342173864_Decay_mechanisms_and_control_methods_for_conservation_of_art_works_in_museum_conditions_and_surrounding_postbyzantin_church" TargetMode="External"/><Relationship Id="rId94" Type="http://schemas.openxmlformats.org/officeDocument/2006/relationships/hyperlink" Target="https://www.sciencedirect.com/science/article/pii/S0026265X19325354?casa_token=iIOYqb_xHDsAAAAA:EwlzY1tP6kOUd1nfUuZVnA2-cVjFIG-kJcdj" TargetMode="External"/><Relationship Id="rId97" Type="http://schemas.openxmlformats.org/officeDocument/2006/relationships/hyperlink" Target="https://www.sciencedirect.com/science/article/pii/S221428941930496X?casa_token=2rZNwTaQEhcAAAAA:otZx8YMwMzx_DaRp9BelPC4ez6VqRafzOZsqYED3yLoxFEVsmC0" TargetMode="External"/><Relationship Id="rId96" Type="http://schemas.openxmlformats.org/officeDocument/2006/relationships/hyperlink" Target="https://www.sciencedirect.com/science/article/pii/S0026265X19325354?casa_token=iIOYqb_xHDsAAAAA:EwlzY1tP6kOUd1nfUuZVnA2-cVjFIG-kJcdj" TargetMode="External"/><Relationship Id="rId99" Type="http://schemas.openxmlformats.org/officeDocument/2006/relationships/hyperlink" Target="https://www.researchgate.net/publication/345764619_Tanacetum_vulgare_L_-A_Systematic_Review" TargetMode="External"/><Relationship Id="rId98" Type="http://schemas.openxmlformats.org/officeDocument/2006/relationships/hyperlink" Target="https://scholar.google.ro/scholar?oi=bibs&amp;hl=ro&amp;cites=3881363681462646960" TargetMode="External"/><Relationship Id="rId91" Type="http://schemas.openxmlformats.org/officeDocument/2006/relationships/hyperlink" Target="https://journals.onaft.edu.ua/index.php/foodtech/article/view/1721" TargetMode="External"/><Relationship Id="rId90" Type="http://schemas.openxmlformats.org/officeDocument/2006/relationships/hyperlink" Target="https://www.sciencedirect.com/science/article/pii/S004896972033206X" TargetMode="External"/><Relationship Id="rId93" Type="http://schemas.openxmlformats.org/officeDocument/2006/relationships/hyperlink" Target="http://pubs.ub.ro/?pg=revues&amp;rev=cscc6&amp;num=202001&amp;vol=1&amp;aid=5099" TargetMode="External"/><Relationship Id="rId92" Type="http://schemas.openxmlformats.org/officeDocument/2006/relationships/hyperlink" Target="https://www.ncbi.nlm.nih.gov/pmc/articles/PMC7341520/" TargetMode="External"/><Relationship Id="rId118" Type="http://schemas.openxmlformats.org/officeDocument/2006/relationships/hyperlink" Target="https://onlinelibrary.wiley.com/page/journal/15214028/homepage/productinformation.html" TargetMode="External"/><Relationship Id="rId239" Type="http://schemas.openxmlformats.org/officeDocument/2006/relationships/hyperlink" Target="https://apps-webofknowledge-com.am.e-nformation.ro/full_record.do?product=WOS&amp;search_mode=CitingArticles&amp;qid=5&amp;SID=D13tRm4ciQwlgDgkObD&amp;page=1&amp;doc=1" TargetMode="External"/><Relationship Id="rId117" Type="http://schemas.openxmlformats.org/officeDocument/2006/relationships/hyperlink" Target="https://onlinelibrary.wiley.com/journal/15214028?tabActivePane=" TargetMode="External"/><Relationship Id="rId238" Type="http://schemas.openxmlformats.org/officeDocument/2006/relationships/hyperlink" Target="https://journals.ekb.eg/article_130429_1775484d89bd9dcae52df5ab0d304877.pdf" TargetMode="External"/><Relationship Id="rId116" Type="http://schemas.openxmlformats.org/officeDocument/2006/relationships/hyperlink" Target="https://akjournals.com/view/journals/446/446-overview.xml" TargetMode="External"/><Relationship Id="rId237" Type="http://schemas.openxmlformats.org/officeDocument/2006/relationships/hyperlink" Target="https://www.taylorfrancis.com/books/essential-fatty-acids-sanju-bala-dhull-sneh-punia-kawaljit-singh-sandhu/e/10.1201/9780429321115" TargetMode="External"/><Relationship Id="rId115" Type="http://schemas.openxmlformats.org/officeDocument/2006/relationships/hyperlink" Target="https://www.jstage.jst.go.jp/browse/fstr/-char/en" TargetMode="External"/><Relationship Id="rId236" Type="http://schemas.openxmlformats.org/officeDocument/2006/relationships/hyperlink" Target="http://www.agrifoodscience.com/index.php/TURJAF/article/view/3346" TargetMode="External"/><Relationship Id="rId357" Type="http://schemas.openxmlformats.org/officeDocument/2006/relationships/drawing" Target="../drawings/drawing10.xml"/><Relationship Id="rId119" Type="http://schemas.openxmlformats.org/officeDocument/2006/relationships/hyperlink" Target="https://ifst.onlinelibrary.wiley.com/doi/10.1111/jfpp.14994" TargetMode="External"/><Relationship Id="rId110" Type="http://schemas.openxmlformats.org/officeDocument/2006/relationships/hyperlink" Target="https://ifst.onlinelibrary.wiley.com/doi/abs/10.1111/jfpp.14473" TargetMode="External"/><Relationship Id="rId231" Type="http://schemas.openxmlformats.org/officeDocument/2006/relationships/hyperlink" Target="https://content.sciendo.com/configurable/contentpage/journals$002frjom$002f71$002f1$002farticle-p26.xml" TargetMode="External"/><Relationship Id="rId352" Type="http://schemas.openxmlformats.org/officeDocument/2006/relationships/hyperlink" Target="http://baltijapublishing.lv/omp/index.php/bp/catalog/download/43/824/1645-1" TargetMode="External"/><Relationship Id="rId230" Type="http://schemas.openxmlformats.org/officeDocument/2006/relationships/hyperlink" Target="http://citations.springer.com/item?doi=10.1007/s12221-020-0075-6" TargetMode="External"/><Relationship Id="rId351" Type="http://schemas.openxmlformats.org/officeDocument/2006/relationships/hyperlink" Target="https://www.elibrary.ru/item.asp?id=44264066;%20Russian%20Science%20Citation%20Index;" TargetMode="External"/><Relationship Id="rId350" Type="http://schemas.openxmlformats.org/officeDocument/2006/relationships/hyperlink" Target="https://elibrary.ru/item.asp?id=44264066" TargetMode="External"/><Relationship Id="rId114" Type="http://schemas.openxmlformats.org/officeDocument/2006/relationships/hyperlink" Target="https://ifst.onlinelibrary.wiley.com/doi/10.1111/ijfs.14698" TargetMode="External"/><Relationship Id="rId235" Type="http://schemas.openxmlformats.org/officeDocument/2006/relationships/hyperlink" Target="https://link.springer.com/chapter/10.1007/978-3-030-41661-4_22" TargetMode="External"/><Relationship Id="rId356" Type="http://schemas.openxmlformats.org/officeDocument/2006/relationships/hyperlink" Target="http://ithh.journal.ipb.ac.id/index.php/jtip/article/view/30918" TargetMode="External"/><Relationship Id="rId113" Type="http://schemas.openxmlformats.org/officeDocument/2006/relationships/hyperlink" Target="https://ifst.onlinelibrary.wiley.com/hub/journal/13652621/homepage/productinformation.html" TargetMode="External"/><Relationship Id="rId234" Type="http://schemas.openxmlformats.org/officeDocument/2006/relationships/hyperlink" Target="http://www.davidpublisher.org/Home/Journal/JFSE" TargetMode="External"/><Relationship Id="rId355" Type="http://schemas.openxmlformats.org/officeDocument/2006/relationships/hyperlink" Target="http://landreclamationjournal.usamv.ro/pdf/2020/Art4.pdf" TargetMode="External"/><Relationship Id="rId112" Type="http://schemas.openxmlformats.org/officeDocument/2006/relationships/hyperlink" Target="https://ifst.onlinelibrary.wiley.com/doi/10.1111/ijfs.14698" TargetMode="External"/><Relationship Id="rId233" Type="http://schemas.openxmlformats.org/officeDocument/2006/relationships/hyperlink" Target="https://apps-webofknowledge-com.am.e-nformation.ro/full_record.do?product=WOS&amp;search_mode=CitingArticles&amp;qid=16&amp;SID=D13tRm4ciQwlgDgkObD&amp;page=1&amp;doc=5&amp;cacheurlFromRightClick=no" TargetMode="External"/><Relationship Id="rId354" Type="http://schemas.openxmlformats.org/officeDocument/2006/relationships/hyperlink" Target="http://zaloamati.azc.uam.mx/bitstream/handle/11191/7180/Fitoextraccion_de_elementos_toxicos_Martinez_Gonzalez_H_2020.pdf?sequence=1&amp;isAllowed=y" TargetMode="External"/><Relationship Id="rId111" Type="http://schemas.openxmlformats.org/officeDocument/2006/relationships/hyperlink" Target="https://ifst.onlinelibrary.wiley.com/hub/journal/17454549/homepage/productinformation.html" TargetMode="External"/><Relationship Id="rId232" Type="http://schemas.openxmlformats.org/officeDocument/2006/relationships/hyperlink" Target="https://apps-webofknowledge-com.am.e-nformation.ro/full_record.do?product=WOS&amp;search_mode=CitingArticles&amp;qid=5&amp;SID=D13tRm4ciQwlgDgkObD&amp;page=1&amp;doc=1" TargetMode="External"/><Relationship Id="rId353" Type="http://schemas.openxmlformats.org/officeDocument/2006/relationships/hyperlink" Target="https://ijswr.ut.ac.ir/article_77227_493961d42a6785c3ffb4d16d55fd5203.pdf?lang=en" TargetMode="External"/><Relationship Id="rId305" Type="http://schemas.openxmlformats.org/officeDocument/2006/relationships/hyperlink" Target="https://www.degruyter.com/view/j/aucts.2015.67.issue-1/aucts-2015-0092/aucts-2015-0092.xml" TargetMode="External"/><Relationship Id="rId304" Type="http://schemas.openxmlformats.org/officeDocument/2006/relationships/hyperlink" Target="https://www.researchgate.net/profile/Mark_Shamtsyan/publication/312017427_Consumer_perceptions_of_nutrition_and_health_claims_from_food_labels_in_Romania/links/5868d71308aebf17d3a23343/Consumer-perceptions-of-nutrition-and-health-claims-from-food-labels-in-Romania.pdf" TargetMode="External"/><Relationship Id="rId303" Type="http://schemas.openxmlformats.org/officeDocument/2006/relationships/hyperlink" Target="https://www.researchgate.net/deref/http%3A%2F%2Fdx.doi.org%2F10.31021%2Fijvam.20203130?_sg%5B0%5D=LKpGY3GcC1VWrfRxwM2WQxBKBbgGkxcna0ahOXCbOj9UlGa3oTdhJ1sNTfDfLy7_FoPZlVISU9VW2iFxDiPz6xm4tg.WXag23TTe6sxMX958m6Ux4YPHT2msVI0fIYsjv6KSFr-DtA0WVWGXoXLvdiBsXuXVEVoLSOIVZmIK2Khbl6NWw" TargetMode="External"/><Relationship Id="rId302" Type="http://schemas.openxmlformats.org/officeDocument/2006/relationships/hyperlink" Target="https://doi.org/10.3153/FH2100" TargetMode="External"/><Relationship Id="rId309" Type="http://schemas.openxmlformats.org/officeDocument/2006/relationships/hyperlink" Target="https://link.springer.com/article/10.1007/s10722-019-00846-x" TargetMode="External"/><Relationship Id="rId308" Type="http://schemas.openxmlformats.org/officeDocument/2006/relationships/hyperlink" Target="https://www.degruyter.com/view/j/aucts.2015.67.issue-1/aucts-2015-0092/aucts-2015-0092.xml" TargetMode="External"/><Relationship Id="rId307" Type="http://schemas.openxmlformats.org/officeDocument/2006/relationships/hyperlink" Target="https://www.sciencedirect.com/science/article/abs/pii/S092422441830791X" TargetMode="External"/><Relationship Id="rId306" Type="http://schemas.openxmlformats.org/officeDocument/2006/relationships/hyperlink" Target="https://doi.org/10.1016/j.tifs.2019.12.006," TargetMode="External"/><Relationship Id="rId301" Type="http://schemas.openxmlformats.org/officeDocument/2006/relationships/hyperlink" Target="http://jfhs.scientificwebjournals.com/en/download/article-file/1298194" TargetMode="External"/><Relationship Id="rId300" Type="http://schemas.openxmlformats.org/officeDocument/2006/relationships/hyperlink" Target="https://www.degruyter.com/view/j/aucft.2016.20.issue-1/aucft-2016-0001/aucft-2016-0001.xml" TargetMode="External"/><Relationship Id="rId206" Type="http://schemas.openxmlformats.org/officeDocument/2006/relationships/hyperlink" Target="https://www.degruyter.com/view/journals/ijfe/ahead-of-print/article-10.1515-ijfe-2019-0166/article-10.1515-ijfe-2019-0166.xml?tab_body=abstract" TargetMode="External"/><Relationship Id="rId327" Type="http://schemas.openxmlformats.org/officeDocument/2006/relationships/hyperlink" Target="https://doi.org/10.3390/ma13214994;" TargetMode="External"/><Relationship Id="rId205" Type="http://schemas.openxmlformats.org/officeDocument/2006/relationships/hyperlink" Target="https://onlinelibrary.wiley.com/doi/abs/10.1002/ange.201915488" TargetMode="External"/><Relationship Id="rId326" Type="http://schemas.openxmlformats.org/officeDocument/2006/relationships/hyperlink" Target="http://saiapm.ulbsibiu.ro/cercetare/ACTA_E/AUCFT2012_II_3_19.pdf" TargetMode="External"/><Relationship Id="rId204" Type="http://schemas.openxmlformats.org/officeDocument/2006/relationships/hyperlink" Target="https://www.ncbi.nlm.nih.gov/pubmed/32027416" TargetMode="External"/><Relationship Id="rId325" Type="http://schemas.openxmlformats.org/officeDocument/2006/relationships/hyperlink" Target="http://www.jchemlett.com/journal/indexing" TargetMode="External"/><Relationship Id="rId203" Type="http://schemas.openxmlformats.org/officeDocument/2006/relationships/hyperlink" Target="https://www.mdpi.com/2076-3921/9/4/300" TargetMode="External"/><Relationship Id="rId324" Type="http://schemas.openxmlformats.org/officeDocument/2006/relationships/hyperlink" Target="http://www.jchemlett.com/article_111200.html" TargetMode="External"/><Relationship Id="rId209" Type="http://schemas.openxmlformats.org/officeDocument/2006/relationships/hyperlink" Target="https://www.sciencedirect.com/science/article/pii/S1756464620301699?via%3Dihub" TargetMode="External"/><Relationship Id="rId208" Type="http://schemas.openxmlformats.org/officeDocument/2006/relationships/hyperlink" Target="https://www.cogentoa.com/article/10.1080/2331205X.2020.1825172" TargetMode="External"/><Relationship Id="rId329" Type="http://schemas.openxmlformats.org/officeDocument/2006/relationships/hyperlink" Target="http://saiapm.ulbsibiu.ro/cercetare/ACTA_E/AUCFT2012_II_3_19.pdf" TargetMode="External"/><Relationship Id="rId207" Type="http://schemas.openxmlformats.org/officeDocument/2006/relationships/hyperlink" Target="https://link.springer.com/article/10.1007/s13399-020-00638-9" TargetMode="External"/><Relationship Id="rId328" Type="http://schemas.openxmlformats.org/officeDocument/2006/relationships/hyperlink" Target="https://www.mdpi.com/journal/materials/indexingWeb%20of%20Science" TargetMode="External"/><Relationship Id="rId202" Type="http://schemas.openxmlformats.org/officeDocument/2006/relationships/hyperlink" Target="http://www.jairjp.com/" TargetMode="External"/><Relationship Id="rId323" Type="http://schemas.openxmlformats.org/officeDocument/2006/relationships/hyperlink" Target="http://saiapm.ulbsibiu.ro/cercetare/ACTA_E/AUCFT2012_II_3_19.pdf" TargetMode="External"/><Relationship Id="rId201" Type="http://schemas.openxmlformats.org/officeDocument/2006/relationships/hyperlink" Target="https://www.mdpi.com/2223-7747/9/2/206" TargetMode="External"/><Relationship Id="rId322" Type="http://schemas.openxmlformats.org/officeDocument/2006/relationships/hyperlink" Target="https://doi.org/10.1016/j.agee.2020.107006" TargetMode="External"/><Relationship Id="rId200" Type="http://schemas.openxmlformats.org/officeDocument/2006/relationships/hyperlink" Target="https://www.mdpi.com/1660-4601/17/5/1632" TargetMode="External"/><Relationship Id="rId321" Type="http://schemas.openxmlformats.org/officeDocument/2006/relationships/hyperlink" Target="https://doi.org/10.1007/s10924-020-01943-0" TargetMode="External"/><Relationship Id="rId320" Type="http://schemas.openxmlformats.org/officeDocument/2006/relationships/hyperlink" Target="https://doi.org/10.1007/s00289-020-03417-8;" TargetMode="External"/><Relationship Id="rId316" Type="http://schemas.openxmlformats.org/officeDocument/2006/relationships/hyperlink" Target="https://open.metu.edu.tr/handle/11511/69119" TargetMode="External"/><Relationship Id="rId315" Type="http://schemas.openxmlformats.org/officeDocument/2006/relationships/hyperlink" Target="https://www.degruyter.com/view/j/aucft.2014.18.issue-2/aucft-2014-0016/aucft-2014-0016.xml" TargetMode="External"/><Relationship Id="rId314" Type="http://schemas.openxmlformats.org/officeDocument/2006/relationships/hyperlink" Target="https://journals.lww.com/nutritiontodayonline/Abstract/2020/11000/Nutritional_Composition_and_Health_Benefits_of.11.aspx" TargetMode="External"/><Relationship Id="rId313" Type="http://schemas.openxmlformats.org/officeDocument/2006/relationships/hyperlink" Target="https://www.degruyter.com/view/j/aucts.2015.67.issue-1/aucts-2015-0092/aucts-2015-0092.xml" TargetMode="External"/><Relationship Id="rId319" Type="http://schemas.openxmlformats.org/officeDocument/2006/relationships/hyperlink" Target="https://www.mdpi.com/journal/materials" TargetMode="External"/><Relationship Id="rId318" Type="http://schemas.openxmlformats.org/officeDocument/2006/relationships/hyperlink" Target="https://doi.org/10.3390/ma13214953" TargetMode="External"/><Relationship Id="rId317" Type="http://schemas.openxmlformats.org/officeDocument/2006/relationships/hyperlink" Target="https://open.metu.edu.tr/handle/11511/69119" TargetMode="External"/><Relationship Id="rId312" Type="http://schemas.openxmlformats.org/officeDocument/2006/relationships/hyperlink" Target="https://www.biorxiv.org/content/10.1101/2020.06.15.153395v2.full.pdf" TargetMode="External"/><Relationship Id="rId311" Type="http://schemas.openxmlformats.org/officeDocument/2006/relationships/hyperlink" Target="https://doi.org/10.1101/2020.06.15.153395," TargetMode="External"/><Relationship Id="rId310" Type="http://schemas.openxmlformats.org/officeDocument/2006/relationships/hyperlink" Target="https://www.degruyter.com/view/j/aucts.2015.67.issue-1/aucts-2015-0092/aucts-2015-0092.xm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0" Type="http://schemas.openxmlformats.org/officeDocument/2006/relationships/drawing" Target="../drawings/drawing15.xml"/><Relationship Id="rId1" Type="http://schemas.openxmlformats.org/officeDocument/2006/relationships/hyperlink" Target="http://rrbusiness.ru/en/editorial-board/" TargetMode="External"/><Relationship Id="rId2" Type="http://schemas.openxmlformats.org/officeDocument/2006/relationships/hyperlink" Target="https://www.scipress.com/IJPPE/editorial-board" TargetMode="External"/><Relationship Id="rId3" Type="http://schemas.openxmlformats.org/officeDocument/2006/relationships/hyperlink" Target="https://medwinpublishers.com/APCT/editorial-board.php" TargetMode="External"/><Relationship Id="rId4" Type="http://schemas.openxmlformats.org/officeDocument/2006/relationships/hyperlink" Target="http://www.lsma.ro/index.php/lsma/about/editorialTeam" TargetMode="External"/><Relationship Id="rId9" Type="http://schemas.openxmlformats.org/officeDocument/2006/relationships/hyperlink" Target="https://medwinpublishers.com/IPCM/editorial-board.php" TargetMode="External"/><Relationship Id="rId5" Type="http://schemas.openxmlformats.org/officeDocument/2006/relationships/hyperlink" Target="http://www.degruyter.com/view/j/aucft" TargetMode="External"/><Relationship Id="rId6" Type="http://schemas.openxmlformats.org/officeDocument/2006/relationships/hyperlink" Target="http://www.scirea.org/journal/EditorialBoard?JournalID=55000" TargetMode="External"/><Relationship Id="rId7" Type="http://schemas.openxmlformats.org/officeDocument/2006/relationships/hyperlink" Target="https://www.omicsonline.org/editorialboard-journal-biochemical-microbial-toxicology" TargetMode="External"/><Relationship Id="rId8" Type="http://schemas.openxmlformats.org/officeDocument/2006/relationships/hyperlink" Target="http://www.ijfsb.org/index" TargetMode="External"/></Relationships>
</file>

<file path=xl/worksheets/_rels/sheet16.xml.rels><?xml version="1.0" encoding="UTF-8" standalone="yes"?><Relationships xmlns="http://schemas.openxmlformats.org/package/2006/relationships"><Relationship Id="rId31" Type="http://schemas.openxmlformats.org/officeDocument/2006/relationships/drawing" Target="../drawings/drawing16.xml"/><Relationship Id="rId30" Type="http://schemas.openxmlformats.org/officeDocument/2006/relationships/hyperlink" Target="https://www.mdpi.com/journal/dairy" TargetMode="External"/><Relationship Id="rId20" Type="http://schemas.openxmlformats.org/officeDocument/2006/relationships/hyperlink" Target="https://content.sciendo.com/view/journals/aucft/aucft-overview.xml" TargetMode="External"/><Relationship Id="rId22" Type="http://schemas.openxmlformats.org/officeDocument/2006/relationships/hyperlink" Target="https://www.rombio.org/" TargetMode="External"/><Relationship Id="rId21" Type="http://schemas.openxmlformats.org/officeDocument/2006/relationships/hyperlink" Target="https://content.sciendo.com/view/journals/aucft/aucft-overview.xml" TargetMode="External"/><Relationship Id="rId24" Type="http://schemas.openxmlformats.org/officeDocument/2006/relationships/hyperlink" Target="https://www.springer.com/journal/42452/" TargetMode="External"/><Relationship Id="rId23" Type="http://schemas.openxmlformats.org/officeDocument/2006/relationships/hyperlink" Target="https://www.journalajrcs.com/index.php/AJRCS/abstracting-indexing" TargetMode="External"/><Relationship Id="rId26" Type="http://schemas.openxmlformats.org/officeDocument/2006/relationships/hyperlink" Target="http://webbut.unitbv.ro/bulletin/Series%20II/Series%20II.html" TargetMode="External"/><Relationship Id="rId25" Type="http://schemas.openxmlformats.org/officeDocument/2006/relationships/hyperlink" Target="https://content.sciendo.com/view/journals/aucft/aucft-overview.xml" TargetMode="External"/><Relationship Id="rId28" Type="http://schemas.openxmlformats.org/officeDocument/2006/relationships/hyperlink" Target="http://webbut.unitbv.ro/bulletin/Series%20II/Series%20II.html" TargetMode="External"/><Relationship Id="rId27" Type="http://schemas.openxmlformats.org/officeDocument/2006/relationships/hyperlink" Target="http://webbut.unitbv.ro/bulletin/Series%20II/Series%20II.html" TargetMode="External"/><Relationship Id="rId29" Type="http://schemas.openxmlformats.org/officeDocument/2006/relationships/hyperlink" Target="http://webbut.unitbv.ro/bulletin/Series%20II/Series%20II.html" TargetMode="External"/><Relationship Id="rId11" Type="http://schemas.openxmlformats.org/officeDocument/2006/relationships/hyperlink" Target="http://www.lsma.ro/index.php/lsma" TargetMode="External"/><Relationship Id="rId10" Type="http://schemas.openxmlformats.org/officeDocument/2006/relationships/hyperlink" Target="http://www.lsma.ro/index.php/lsma" TargetMode="External"/><Relationship Id="rId13" Type="http://schemas.openxmlformats.org/officeDocument/2006/relationships/hyperlink" Target="http://www.lsma.ro/index.php/lsma" TargetMode="External"/><Relationship Id="rId12" Type="http://schemas.openxmlformats.org/officeDocument/2006/relationships/hyperlink" Target="http://www.lsma.ro/index.php/lsma" TargetMode="External"/><Relationship Id="rId15" Type="http://schemas.openxmlformats.org/officeDocument/2006/relationships/hyperlink" Target="http://www.lsma.ro/index.php/lsma" TargetMode="External"/><Relationship Id="rId14" Type="http://schemas.openxmlformats.org/officeDocument/2006/relationships/hyperlink" Target="http://www.lsma.ro/index.php/lsma" TargetMode="External"/><Relationship Id="rId17" Type="http://schemas.openxmlformats.org/officeDocument/2006/relationships/hyperlink" Target="http://www.lsma.ro/index.php/lsma" TargetMode="External"/><Relationship Id="rId16" Type="http://schemas.openxmlformats.org/officeDocument/2006/relationships/hyperlink" Target="http://www.lsma.ro/index.php/lsma" TargetMode="External"/><Relationship Id="rId19" Type="http://schemas.openxmlformats.org/officeDocument/2006/relationships/hyperlink" Target="http://biomed.bas.bg/bioautomation/" TargetMode="External"/><Relationship Id="rId18" Type="http://schemas.openxmlformats.org/officeDocument/2006/relationships/hyperlink" Target="https://content.sciendo.com/view/journals/aucft/aucft-overview.xml" TargetMode="External"/><Relationship Id="rId1" Type="http://schemas.openxmlformats.org/officeDocument/2006/relationships/hyperlink" Target="https://www.rombio.org/" TargetMode="External"/><Relationship Id="rId2" Type="http://schemas.openxmlformats.org/officeDocument/2006/relationships/hyperlink" Target="https://www.journals.elsevier.com/micron/editorial-board" TargetMode="External"/><Relationship Id="rId3" Type="http://schemas.openxmlformats.org/officeDocument/2006/relationships/hyperlink" Target="https://www.journals.elsevier.com/micron/editorial-board" TargetMode="External"/><Relationship Id="rId4" Type="http://schemas.openxmlformats.org/officeDocument/2006/relationships/hyperlink" Target="https://www.springer.com/journal/10811" TargetMode="External"/><Relationship Id="rId9" Type="http://schemas.openxmlformats.org/officeDocument/2006/relationships/hyperlink" Target="https://publons.com/journal/61744/zeitschrift-fur-naturforschung-c-a-journal-of-bios/" TargetMode="External"/><Relationship Id="rId5" Type="http://schemas.openxmlformats.org/officeDocument/2006/relationships/hyperlink" Target="http://www.ms.academicjournals.org/" TargetMode="External"/><Relationship Id="rId6" Type="http://schemas.openxmlformats.org/officeDocument/2006/relationships/hyperlink" Target="https://content.sciendo.com/view/journals/aucft/aucft-overview.xml" TargetMode="External"/><Relationship Id="rId7" Type="http://schemas.openxmlformats.org/officeDocument/2006/relationships/hyperlink" Target="https://content.sciendo.com/view/journals/aucft/aucft-overview.xml" TargetMode="External"/><Relationship Id="rId8" Type="http://schemas.openxmlformats.org/officeDocument/2006/relationships/hyperlink" Target="http://pubs.ub.ro/?pg=news&amp;nid=2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iapm.ulbsibiu.ro/index.php/ciaiaso-2020/" TargetMode="External"/><Relationship Id="rId2" Type="http://schemas.openxmlformats.org/officeDocument/2006/relationships/hyperlink" Target="http://ils2020.bsu.edu.ru/ils2020/committees/" TargetMode="External"/><Relationship Id="rId3" Type="http://schemas.openxmlformats.org/officeDocument/2006/relationships/hyperlink" Target="http://saiapm.ulbsibiu.ro/index.php/ciaiaso-2020/" TargetMode="External"/><Relationship Id="rId4" Type="http://schemas.openxmlformats.org/officeDocument/2006/relationships/hyperlink" Target="http://saiapm.ulbsibiu.ro/index.php/ciaiaso-2020/"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eacea.ec.europa.eu/erasmus-plus/selection-results/capacity-building-in-field-higher-education-2020_en" TargetMode="External"/><Relationship Id="rId2" Type="http://schemas.openxmlformats.org/officeDocument/2006/relationships/hyperlink" Target="https://uefiscdi.gov.ro/resource-825880-pce2020_rezultate-finale_biotehnologii.pdf?&amp;wtok=&amp;wtkps=XU5broIwEN1LvxU7rYUy/LgCY+IKKuVqE146iKBh77aNyb3XrzlzXjkGM3wRSmTkLCsIlUBmQM2STzQ85zFvemN1e53K7pzPPc9SWevLaTutBRlKxzXQ1IIbQhaQuXB9hU4/YOcV45VXlJu/j/c61MDzYlnihNJSoLZahLIMmbV9ezhuZMaFFporHUt99JdZCQAlASTIOEHF1P4rAxzZf6Of9qgCkB41nb3XVdLdzsm9+nFUWpeMrnok5ja4sqtZsbwB&amp;wchk=d33b458a3b53d0da36560abcb6375b9fb0adaad3" TargetMode="External"/><Relationship Id="rId3" Type="http://schemas.openxmlformats.org/officeDocument/2006/relationships/hyperlink" Target="http://hrdc.bg/wp-content/uploads/2020/08/Results_KA2_203_24.03.2020%D0%B3.23.04.2020%D0%B3..xlsx"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1" Type="http://schemas.openxmlformats.org/officeDocument/2006/relationships/hyperlink" Target="https://easychair.org/smart-program/IECS2019/" TargetMode="External"/><Relationship Id="rId30" Type="http://schemas.openxmlformats.org/officeDocument/2006/relationships/hyperlink" Target="https://noapteacercetatorilor.ro/nc/nc2020/sibiu/" TargetMode="External"/><Relationship Id="rId33" Type="http://schemas.openxmlformats.org/officeDocument/2006/relationships/drawing" Target="../drawings/drawing21.xml"/><Relationship Id="rId32" Type="http://schemas.openxmlformats.org/officeDocument/2006/relationships/hyperlink" Target="https://easychair.org/smart-program/IECS2019/" TargetMode="External"/><Relationship Id="rId20" Type="http://schemas.openxmlformats.org/officeDocument/2006/relationships/hyperlink" Target="http://cercetare.ulbsibiu.ro/NC_program2020.html" TargetMode="External"/><Relationship Id="rId22" Type="http://schemas.openxmlformats.org/officeDocument/2006/relationships/hyperlink" Target="http://cercetare.ulbsibiu.ro/NC_program2020.html" TargetMode="External"/><Relationship Id="rId21" Type="http://schemas.openxmlformats.org/officeDocument/2006/relationships/hyperlink" Target="http://bft-conf.com/" TargetMode="External"/><Relationship Id="rId24" Type="http://schemas.openxmlformats.org/officeDocument/2006/relationships/hyperlink" Target="http://cercetare.ulbsibiu.ro/NC_program2020.html" TargetMode="External"/><Relationship Id="rId23" Type="http://schemas.openxmlformats.org/officeDocument/2006/relationships/hyperlink" Target="http://bft-conf.com/" TargetMode="External"/><Relationship Id="rId26" Type="http://schemas.openxmlformats.org/officeDocument/2006/relationships/hyperlink" Target="http://cercetare.ulbsibiu.ro/nc.html" TargetMode="External"/><Relationship Id="rId25" Type="http://schemas.openxmlformats.org/officeDocument/2006/relationships/hyperlink" Target="http://cercetare.ulbsibiu.ro/NC_program2020.html" TargetMode="External"/><Relationship Id="rId28" Type="http://schemas.openxmlformats.org/officeDocument/2006/relationships/hyperlink" Target="http://cercetare.ulbsibiu.ro/nc.html" TargetMode="External"/><Relationship Id="rId27" Type="http://schemas.openxmlformats.org/officeDocument/2006/relationships/hyperlink" Target="http://cercetare.ulbsibiu.ro/nc.html" TargetMode="External"/><Relationship Id="rId29" Type="http://schemas.openxmlformats.org/officeDocument/2006/relationships/hyperlink" Target="http://conf.uni-ruse.bg/bg/docs/Booklet%20SC%2720.pdf" TargetMode="External"/><Relationship Id="rId11" Type="http://schemas.openxmlformats.org/officeDocument/2006/relationships/hyperlink" Target="http://ils2020.bsu.edu.ru/ils2020/" TargetMode="External"/><Relationship Id="rId10" Type="http://schemas.openxmlformats.org/officeDocument/2006/relationships/hyperlink" Target="http://cercetare.ulbsibiu.ro/nc.html" TargetMode="External"/><Relationship Id="rId13" Type="http://schemas.openxmlformats.org/officeDocument/2006/relationships/hyperlink" Target="http://cercetare.ulbsibiu.ro/NC_program2020.html" TargetMode="External"/><Relationship Id="rId12" Type="http://schemas.openxmlformats.org/officeDocument/2006/relationships/hyperlink" Target="http://cercetare.ulbsibiu.ro/NC_program2020.html" TargetMode="External"/><Relationship Id="rId15" Type="http://schemas.openxmlformats.org/officeDocument/2006/relationships/hyperlink" Target="http://cercetare.ulbsibiu.ro/NC_program2020.html" TargetMode="External"/><Relationship Id="rId14" Type="http://schemas.openxmlformats.org/officeDocument/2006/relationships/hyperlink" Target="http://cercetare.ulbsibiu.ro/NC_program2020.html" TargetMode="External"/><Relationship Id="rId17" Type="http://schemas.openxmlformats.org/officeDocument/2006/relationships/hyperlink" Target="http://ils2020.bsu.edu.ru/ils2020/" TargetMode="External"/><Relationship Id="rId16" Type="http://schemas.openxmlformats.org/officeDocument/2006/relationships/hyperlink" Target="http://cercetare.ulbsibiu.ro/NC_program2020.html" TargetMode="External"/><Relationship Id="rId19" Type="http://schemas.openxmlformats.org/officeDocument/2006/relationships/hyperlink" Target="http://saiapm.ulbsibiu.ro/index.php/ciaiaso-2020/" TargetMode="External"/><Relationship Id="rId18" Type="http://schemas.openxmlformats.org/officeDocument/2006/relationships/hyperlink" Target="http://saiapm.ulbsibiu.ro/index.php/ciaiaso-2020/" TargetMode="External"/><Relationship Id="rId1" Type="http://schemas.openxmlformats.org/officeDocument/2006/relationships/hyperlink" Target="http://cercetare.ulbsibiu.ro/nc.html" TargetMode="External"/><Relationship Id="rId2" Type="http://schemas.openxmlformats.org/officeDocument/2006/relationships/hyperlink" Target="https://brukenthalnaturale.wordpress.com/2020/10/07/simpozionul-agricultura-si-implicatiile-ei-in-alimentatia-si-sanatatea-omului/" TargetMode="External"/><Relationship Id="rId3" Type="http://schemas.openxmlformats.org/officeDocument/2006/relationships/hyperlink" Target="https://bit.ly/3o4hCKH" TargetMode="External"/><Relationship Id="rId4" Type="http://schemas.openxmlformats.org/officeDocument/2006/relationships/hyperlink" Target="http://cercetare.ulbsibiu.ro/NoapteaCercetatorilor/NC2019/ProgramNC2019lung.pdf" TargetMode="External"/><Relationship Id="rId9" Type="http://schemas.openxmlformats.org/officeDocument/2006/relationships/hyperlink" Target="http://cercetare.ulbsibiu.ro/NC_program2020.html" TargetMode="External"/><Relationship Id="rId5" Type="http://schemas.openxmlformats.org/officeDocument/2006/relationships/hyperlink" Target="http://cercetare.ulbsibiu.ro/NC_program2020.html" TargetMode="External"/><Relationship Id="rId6" Type="http://schemas.openxmlformats.org/officeDocument/2006/relationships/hyperlink" Target="http://cercetare.ulbsibiu.ro/nc.html" TargetMode="External"/><Relationship Id="rId7" Type="http://schemas.openxmlformats.org/officeDocument/2006/relationships/hyperlink" Target="http://cercetare.ulbsibiu.ro/NC_program2020.html" TargetMode="External"/><Relationship Id="rId8" Type="http://schemas.openxmlformats.org/officeDocument/2006/relationships/hyperlink" Target="http://cercetare.ulbsibiu.ro/NC_program2020.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42.14"/>
    <col customWidth="1" min="3" max="3" width="17.14"/>
    <col customWidth="1" min="4" max="4" width="12.71"/>
    <col customWidth="1" min="5" max="5" width="13.43"/>
    <col customWidth="1" min="6" max="6" width="9.14"/>
    <col customWidth="1" min="7" max="13" width="7.71"/>
    <col customWidth="1" min="14" max="14" width="9.14"/>
    <col customWidth="1" min="15" max="25" width="7.71"/>
    <col customWidth="1" min="26" max="26" width="12.14"/>
    <col customWidth="1" min="27" max="28" width="13.0"/>
    <col customWidth="1" min="29" max="30" width="14.14"/>
  </cols>
  <sheetData>
    <row r="1">
      <c r="A1" s="1"/>
      <c r="B1" s="1"/>
      <c r="C1" s="1"/>
      <c r="D1" s="1"/>
      <c r="E1" s="1"/>
      <c r="F1" s="2"/>
      <c r="G1" s="1"/>
    </row>
    <row r="2" ht="24.75" customHeight="1">
      <c r="A2" s="3" t="s">
        <v>0</v>
      </c>
      <c r="B2" s="4" t="s">
        <v>1</v>
      </c>
      <c r="C2" s="5"/>
      <c r="D2" s="1"/>
      <c r="E2" s="1"/>
      <c r="F2" s="2"/>
      <c r="G2" s="1"/>
    </row>
    <row r="3" ht="108.0"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c r="A5" s="13">
        <v>1.0</v>
      </c>
      <c r="B5" s="14" t="s">
        <v>37</v>
      </c>
      <c r="C5" s="14" t="s">
        <v>38</v>
      </c>
      <c r="D5" s="15" t="s">
        <v>39</v>
      </c>
      <c r="E5" s="15">
        <v>300.0</v>
      </c>
      <c r="F5" s="16"/>
      <c r="G5" s="16">
        <v>250.0</v>
      </c>
      <c r="H5" s="16">
        <v>400.0</v>
      </c>
      <c r="I5" s="16"/>
      <c r="J5" s="16"/>
      <c r="K5" s="16">
        <v>240.0</v>
      </c>
      <c r="L5" s="16">
        <v>48.0</v>
      </c>
      <c r="M5" s="16"/>
      <c r="N5" s="16">
        <v>166.46</v>
      </c>
      <c r="O5" s="16"/>
      <c r="P5" s="16"/>
      <c r="Q5" s="16"/>
      <c r="R5" s="16"/>
      <c r="S5" s="16">
        <v>200.0</v>
      </c>
      <c r="T5" s="16">
        <v>100.0</v>
      </c>
      <c r="U5" s="16"/>
      <c r="V5" s="16"/>
      <c r="W5" s="16"/>
      <c r="X5" s="16"/>
      <c r="Y5" s="16">
        <v>30.0</v>
      </c>
      <c r="Z5" s="17">
        <f t="shared" ref="Z5:Z49" si="1">SUM(F5:Y5)</f>
        <v>1434.46</v>
      </c>
      <c r="AA5" s="18">
        <v>1434.46</v>
      </c>
      <c r="AB5" s="18">
        <v>1434.46</v>
      </c>
      <c r="AC5" s="19">
        <f t="shared" ref="AC5:AC46" si="2">Z5-AA5</f>
        <v>0</v>
      </c>
      <c r="AD5" s="19">
        <f t="shared" ref="AD5:AD46" si="3">Z5-AB5</f>
        <v>0</v>
      </c>
    </row>
    <row r="6">
      <c r="A6" s="13">
        <v>2.0</v>
      </c>
      <c r="B6" s="14" t="s">
        <v>40</v>
      </c>
      <c r="C6" s="14" t="s">
        <v>38</v>
      </c>
      <c r="D6" s="15" t="s">
        <v>41</v>
      </c>
      <c r="E6" s="15">
        <v>250.0</v>
      </c>
      <c r="F6" s="16"/>
      <c r="G6" s="16"/>
      <c r="H6" s="18">
        <v>200.0</v>
      </c>
      <c r="I6" s="18"/>
      <c r="J6" s="18"/>
      <c r="K6" s="18"/>
      <c r="L6" s="18"/>
      <c r="M6" s="18"/>
      <c r="N6" s="18">
        <v>105.89</v>
      </c>
      <c r="O6" s="18"/>
      <c r="P6" s="18"/>
      <c r="Q6" s="18"/>
      <c r="R6" s="18"/>
      <c r="S6" s="18"/>
      <c r="T6" s="18"/>
      <c r="U6" s="18">
        <v>50.0</v>
      </c>
      <c r="V6" s="18"/>
      <c r="W6" s="18"/>
      <c r="X6" s="18"/>
      <c r="Y6" s="18">
        <v>40.0</v>
      </c>
      <c r="Z6" s="17">
        <f t="shared" si="1"/>
        <v>395.89</v>
      </c>
      <c r="AA6" s="18">
        <v>395.89</v>
      </c>
      <c r="AB6" s="18">
        <v>395.89</v>
      </c>
      <c r="AC6" s="19">
        <f t="shared" si="2"/>
        <v>0</v>
      </c>
      <c r="AD6" s="19">
        <f t="shared" si="3"/>
        <v>0</v>
      </c>
    </row>
    <row r="7">
      <c r="A7" s="13">
        <v>3.0</v>
      </c>
      <c r="B7" s="14" t="s">
        <v>42</v>
      </c>
      <c r="C7" s="14" t="s">
        <v>38</v>
      </c>
      <c r="D7" s="15" t="s">
        <v>43</v>
      </c>
      <c r="E7" s="15">
        <v>350.0</v>
      </c>
      <c r="F7" s="16"/>
      <c r="G7" s="16"/>
      <c r="H7" s="18"/>
      <c r="I7" s="18"/>
      <c r="J7" s="18"/>
      <c r="K7" s="18"/>
      <c r="L7" s="18"/>
      <c r="M7" s="18"/>
      <c r="N7" s="18">
        <v>332.32</v>
      </c>
      <c r="O7" s="18"/>
      <c r="P7" s="18"/>
      <c r="Q7" s="18"/>
      <c r="R7" s="18"/>
      <c r="S7" s="18"/>
      <c r="T7" s="18"/>
      <c r="U7" s="18"/>
      <c r="V7" s="18"/>
      <c r="W7" s="18"/>
      <c r="X7" s="18"/>
      <c r="Y7" s="18">
        <v>20.0</v>
      </c>
      <c r="Z7" s="17">
        <f t="shared" si="1"/>
        <v>352.32</v>
      </c>
      <c r="AA7" s="18">
        <v>352.32</v>
      </c>
      <c r="AB7" s="18">
        <v>352.32</v>
      </c>
      <c r="AC7" s="19">
        <f t="shared" si="2"/>
        <v>0</v>
      </c>
      <c r="AD7" s="19">
        <f t="shared" si="3"/>
        <v>0</v>
      </c>
    </row>
    <row r="8">
      <c r="A8" s="13">
        <v>4.0</v>
      </c>
      <c r="B8" s="14" t="s">
        <v>44</v>
      </c>
      <c r="C8" s="14" t="s">
        <v>38</v>
      </c>
      <c r="D8" s="15" t="s">
        <v>41</v>
      </c>
      <c r="E8" s="15">
        <v>250.0</v>
      </c>
      <c r="F8" s="16"/>
      <c r="G8" s="16"/>
      <c r="H8" s="18"/>
      <c r="I8" s="18"/>
      <c r="J8" s="18"/>
      <c r="K8" s="18"/>
      <c r="L8" s="18"/>
      <c r="M8" s="18"/>
      <c r="N8" s="18">
        <v>12.5</v>
      </c>
      <c r="O8" s="18"/>
      <c r="P8" s="18"/>
      <c r="Q8" s="18"/>
      <c r="R8" s="18"/>
      <c r="S8" s="18"/>
      <c r="T8" s="18"/>
      <c r="U8" s="18"/>
      <c r="V8" s="18"/>
      <c r="W8" s="18"/>
      <c r="X8" s="18"/>
      <c r="Y8" s="18"/>
      <c r="Z8" s="17">
        <f t="shared" si="1"/>
        <v>12.5</v>
      </c>
      <c r="AA8" s="18">
        <v>12.5</v>
      </c>
      <c r="AB8" s="18">
        <v>12.5</v>
      </c>
      <c r="AC8" s="19">
        <f t="shared" si="2"/>
        <v>0</v>
      </c>
      <c r="AD8" s="19">
        <f t="shared" si="3"/>
        <v>0</v>
      </c>
    </row>
    <row r="9">
      <c r="A9" s="13">
        <v>5.0</v>
      </c>
      <c r="B9" s="14" t="s">
        <v>45</v>
      </c>
      <c r="C9" s="14" t="s">
        <v>38</v>
      </c>
      <c r="D9" s="15" t="s">
        <v>39</v>
      </c>
      <c r="E9" s="15">
        <v>300.0</v>
      </c>
      <c r="F9" s="16"/>
      <c r="G9" s="16"/>
      <c r="H9" s="18">
        <v>300.0</v>
      </c>
      <c r="I9" s="18"/>
      <c r="J9" s="18"/>
      <c r="K9" s="18"/>
      <c r="L9" s="18"/>
      <c r="M9" s="18"/>
      <c r="N9" s="18">
        <v>152.14</v>
      </c>
      <c r="O9" s="18"/>
      <c r="P9" s="18"/>
      <c r="Q9" s="18"/>
      <c r="R9" s="18"/>
      <c r="S9" s="18"/>
      <c r="T9" s="18"/>
      <c r="U9" s="18"/>
      <c r="V9" s="18"/>
      <c r="W9" s="18"/>
      <c r="X9" s="18"/>
      <c r="Y9" s="18">
        <v>20.0</v>
      </c>
      <c r="Z9" s="17">
        <f t="shared" si="1"/>
        <v>472.14</v>
      </c>
      <c r="AA9" s="18">
        <v>472.14</v>
      </c>
      <c r="AB9" s="18">
        <v>472.14</v>
      </c>
      <c r="AC9" s="19">
        <f t="shared" si="2"/>
        <v>0</v>
      </c>
      <c r="AD9" s="19">
        <f t="shared" si="3"/>
        <v>0</v>
      </c>
    </row>
    <row r="10">
      <c r="A10" s="13">
        <v>6.0</v>
      </c>
      <c r="B10" s="14" t="s">
        <v>46</v>
      </c>
      <c r="C10" s="14" t="s">
        <v>38</v>
      </c>
      <c r="D10" s="15" t="s">
        <v>41</v>
      </c>
      <c r="E10" s="15">
        <v>250.0</v>
      </c>
      <c r="F10" s="16"/>
      <c r="G10" s="16"/>
      <c r="H10" s="18"/>
      <c r="I10" s="18">
        <v>50.0</v>
      </c>
      <c r="J10" s="18">
        <v>70.0</v>
      </c>
      <c r="K10" s="18"/>
      <c r="L10" s="18">
        <v>300.0</v>
      </c>
      <c r="M10" s="18"/>
      <c r="N10" s="18">
        <v>73.75</v>
      </c>
      <c r="O10" s="18"/>
      <c r="P10" s="18"/>
      <c r="Q10" s="18"/>
      <c r="R10" s="18"/>
      <c r="S10" s="18"/>
      <c r="T10" s="18"/>
      <c r="U10" s="18"/>
      <c r="V10" s="18"/>
      <c r="W10" s="18"/>
      <c r="X10" s="18"/>
      <c r="Y10" s="18">
        <v>20.0</v>
      </c>
      <c r="Z10" s="17">
        <f t="shared" si="1"/>
        <v>513.75</v>
      </c>
      <c r="AA10" s="18">
        <v>513.75</v>
      </c>
      <c r="AB10" s="18">
        <v>513.75</v>
      </c>
      <c r="AC10" s="19">
        <f t="shared" si="2"/>
        <v>0</v>
      </c>
      <c r="AD10" s="19">
        <f t="shared" si="3"/>
        <v>0</v>
      </c>
    </row>
    <row r="11">
      <c r="A11" s="13">
        <v>7.0</v>
      </c>
      <c r="B11" s="14" t="s">
        <v>47</v>
      </c>
      <c r="C11" s="14" t="s">
        <v>38</v>
      </c>
      <c r="D11" s="15" t="s">
        <v>48</v>
      </c>
      <c r="E11" s="15">
        <v>250.0</v>
      </c>
      <c r="F11" s="16"/>
      <c r="G11" s="16"/>
      <c r="H11" s="18"/>
      <c r="I11" s="18"/>
      <c r="J11" s="18"/>
      <c r="K11" s="18"/>
      <c r="L11" s="18">
        <v>270.0</v>
      </c>
      <c r="M11" s="18"/>
      <c r="N11" s="18"/>
      <c r="O11" s="18"/>
      <c r="P11" s="18"/>
      <c r="Q11" s="18"/>
      <c r="R11" s="18"/>
      <c r="S11" s="18"/>
      <c r="T11" s="18"/>
      <c r="U11" s="18"/>
      <c r="V11" s="18"/>
      <c r="W11" s="18"/>
      <c r="X11" s="18"/>
      <c r="Y11" s="18"/>
      <c r="Z11" s="17">
        <f t="shared" si="1"/>
        <v>270</v>
      </c>
      <c r="AA11" s="18">
        <v>270.0</v>
      </c>
      <c r="AB11" s="18">
        <v>270.0</v>
      </c>
      <c r="AC11" s="19">
        <f t="shared" si="2"/>
        <v>0</v>
      </c>
      <c r="AD11" s="19">
        <f t="shared" si="3"/>
        <v>0</v>
      </c>
    </row>
    <row r="12">
      <c r="A12" s="13">
        <v>8.0</v>
      </c>
      <c r="B12" s="14" t="s">
        <v>49</v>
      </c>
      <c r="C12" s="14" t="s">
        <v>38</v>
      </c>
      <c r="D12" s="15" t="s">
        <v>39</v>
      </c>
      <c r="E12" s="15">
        <v>300.0</v>
      </c>
      <c r="F12" s="16"/>
      <c r="G12" s="16"/>
      <c r="H12" s="18">
        <v>707.0</v>
      </c>
      <c r="I12" s="18"/>
      <c r="J12" s="18"/>
      <c r="K12" s="18"/>
      <c r="L12" s="18"/>
      <c r="M12" s="18"/>
      <c r="N12" s="18">
        <v>276.5</v>
      </c>
      <c r="O12" s="18"/>
      <c r="P12" s="18"/>
      <c r="Q12" s="18"/>
      <c r="R12" s="18"/>
      <c r="S12" s="18"/>
      <c r="T12" s="18"/>
      <c r="U12" s="18"/>
      <c r="V12" s="18"/>
      <c r="W12" s="18"/>
      <c r="X12" s="18"/>
      <c r="Y12" s="18">
        <v>20.0</v>
      </c>
      <c r="Z12" s="17">
        <f t="shared" si="1"/>
        <v>1003.5</v>
      </c>
      <c r="AA12" s="18">
        <v>1003.5</v>
      </c>
      <c r="AB12" s="18">
        <v>1003.5</v>
      </c>
      <c r="AC12" s="19">
        <f t="shared" si="2"/>
        <v>0</v>
      </c>
      <c r="AD12" s="19">
        <f t="shared" si="3"/>
        <v>0</v>
      </c>
    </row>
    <row r="13">
      <c r="A13" s="13">
        <v>9.0</v>
      </c>
      <c r="B13" s="14" t="s">
        <v>50</v>
      </c>
      <c r="C13" s="14" t="s">
        <v>38</v>
      </c>
      <c r="D13" s="15" t="s">
        <v>51</v>
      </c>
      <c r="E13" s="15">
        <v>300.0</v>
      </c>
      <c r="F13" s="16"/>
      <c r="G13" s="16"/>
      <c r="H13" s="18"/>
      <c r="I13" s="18"/>
      <c r="J13" s="18"/>
      <c r="K13" s="18"/>
      <c r="L13" s="18">
        <v>200.0</v>
      </c>
      <c r="M13" s="18"/>
      <c r="N13" s="18">
        <v>38.34</v>
      </c>
      <c r="O13" s="18"/>
      <c r="P13" s="18"/>
      <c r="Q13" s="18"/>
      <c r="R13" s="18"/>
      <c r="S13" s="18"/>
      <c r="T13" s="18">
        <v>100.0</v>
      </c>
      <c r="U13" s="18"/>
      <c r="V13" s="18"/>
      <c r="W13" s="18"/>
      <c r="X13" s="18"/>
      <c r="Y13" s="18">
        <v>20.0</v>
      </c>
      <c r="Z13" s="17">
        <f t="shared" si="1"/>
        <v>358.34</v>
      </c>
      <c r="AA13" s="18">
        <v>358.34</v>
      </c>
      <c r="AB13" s="18">
        <v>358.34</v>
      </c>
      <c r="AC13" s="19">
        <f t="shared" si="2"/>
        <v>0</v>
      </c>
      <c r="AD13" s="19">
        <f t="shared" si="3"/>
        <v>0</v>
      </c>
    </row>
    <row r="14">
      <c r="A14" s="13">
        <v>10.0</v>
      </c>
      <c r="B14" s="14" t="s">
        <v>52</v>
      </c>
      <c r="C14" s="14" t="s">
        <v>38</v>
      </c>
      <c r="D14" s="15" t="s">
        <v>53</v>
      </c>
      <c r="E14" s="15">
        <v>250.0</v>
      </c>
      <c r="F14" s="16"/>
      <c r="G14" s="16"/>
      <c r="H14" s="18"/>
      <c r="I14" s="18"/>
      <c r="J14" s="18"/>
      <c r="K14" s="18"/>
      <c r="L14" s="18"/>
      <c r="M14" s="18"/>
      <c r="N14" s="18">
        <v>48.32</v>
      </c>
      <c r="O14" s="18"/>
      <c r="P14" s="18"/>
      <c r="Q14" s="18"/>
      <c r="R14" s="18"/>
      <c r="S14" s="18"/>
      <c r="T14" s="18"/>
      <c r="U14" s="18"/>
      <c r="V14" s="18"/>
      <c r="W14" s="18"/>
      <c r="X14" s="18"/>
      <c r="Y14" s="18">
        <v>40.0</v>
      </c>
      <c r="Z14" s="17">
        <f t="shared" si="1"/>
        <v>88.32</v>
      </c>
      <c r="AA14" s="18">
        <v>88.32</v>
      </c>
      <c r="AB14" s="18">
        <v>88.32</v>
      </c>
      <c r="AC14" s="19">
        <f t="shared" si="2"/>
        <v>0</v>
      </c>
      <c r="AD14" s="19">
        <f t="shared" si="3"/>
        <v>0</v>
      </c>
    </row>
    <row r="15">
      <c r="A15" s="13">
        <v>11.0</v>
      </c>
      <c r="B15" s="14" t="s">
        <v>54</v>
      </c>
      <c r="C15" s="14" t="s">
        <v>38</v>
      </c>
      <c r="D15" s="15" t="s">
        <v>48</v>
      </c>
      <c r="E15" s="15">
        <v>250.0</v>
      </c>
      <c r="F15" s="16"/>
      <c r="G15" s="16"/>
      <c r="H15" s="18"/>
      <c r="I15" s="18"/>
      <c r="J15" s="18"/>
      <c r="K15" s="18"/>
      <c r="L15" s="18">
        <v>300.0</v>
      </c>
      <c r="M15" s="18"/>
      <c r="N15" s="18"/>
      <c r="O15" s="18"/>
      <c r="P15" s="18"/>
      <c r="Q15" s="18"/>
      <c r="R15" s="18"/>
      <c r="S15" s="18"/>
      <c r="T15" s="18"/>
      <c r="U15" s="18"/>
      <c r="V15" s="18"/>
      <c r="W15" s="18"/>
      <c r="X15" s="18"/>
      <c r="Y15" s="18"/>
      <c r="Z15" s="17">
        <f t="shared" si="1"/>
        <v>300</v>
      </c>
      <c r="AA15" s="18">
        <v>300.0</v>
      </c>
      <c r="AB15" s="18">
        <v>300.0</v>
      </c>
      <c r="AC15" s="19">
        <f t="shared" si="2"/>
        <v>0</v>
      </c>
      <c r="AD15" s="19">
        <f t="shared" si="3"/>
        <v>0</v>
      </c>
    </row>
    <row r="16">
      <c r="A16" s="13">
        <v>12.0</v>
      </c>
      <c r="B16" s="14" t="s">
        <v>55</v>
      </c>
      <c r="C16" s="14" t="s">
        <v>38</v>
      </c>
      <c r="D16" s="15" t="s">
        <v>48</v>
      </c>
      <c r="E16" s="15">
        <v>250.0</v>
      </c>
      <c r="F16" s="16"/>
      <c r="G16" s="16">
        <v>291.67</v>
      </c>
      <c r="H16" s="18"/>
      <c r="I16" s="18"/>
      <c r="J16" s="18"/>
      <c r="K16" s="18"/>
      <c r="L16" s="18">
        <v>300.0</v>
      </c>
      <c r="M16" s="18"/>
      <c r="N16" s="18">
        <v>187.5</v>
      </c>
      <c r="O16" s="18">
        <v>33.33</v>
      </c>
      <c r="P16" s="18"/>
      <c r="Q16" s="18"/>
      <c r="R16" s="18"/>
      <c r="S16" s="18"/>
      <c r="T16" s="18">
        <v>75.0</v>
      </c>
      <c r="U16" s="18"/>
      <c r="V16" s="18"/>
      <c r="W16" s="18"/>
      <c r="X16" s="18"/>
      <c r="Y16" s="18"/>
      <c r="Z16" s="17">
        <f t="shared" si="1"/>
        <v>887.5</v>
      </c>
      <c r="AA16" s="18">
        <v>887.5</v>
      </c>
      <c r="AB16" s="18">
        <v>887.5</v>
      </c>
      <c r="AC16" s="19">
        <f t="shared" si="2"/>
        <v>0</v>
      </c>
      <c r="AD16" s="19">
        <f t="shared" si="3"/>
        <v>0</v>
      </c>
    </row>
    <row r="17">
      <c r="A17" s="13">
        <v>13.0</v>
      </c>
      <c r="B17" s="14" t="s">
        <v>56</v>
      </c>
      <c r="C17" s="14" t="s">
        <v>38</v>
      </c>
      <c r="D17" s="15" t="s">
        <v>39</v>
      </c>
      <c r="E17" s="15">
        <v>300.0</v>
      </c>
      <c r="F17" s="16"/>
      <c r="G17" s="16"/>
      <c r="H17" s="18">
        <v>200.0</v>
      </c>
      <c r="I17" s="18"/>
      <c r="J17" s="18"/>
      <c r="K17" s="18"/>
      <c r="L17" s="18"/>
      <c r="M17" s="18"/>
      <c r="N17" s="18"/>
      <c r="O17" s="18"/>
      <c r="P17" s="18"/>
      <c r="Q17" s="18"/>
      <c r="R17" s="18"/>
      <c r="S17" s="18"/>
      <c r="T17" s="18"/>
      <c r="U17" s="18"/>
      <c r="V17" s="18"/>
      <c r="W17" s="18"/>
      <c r="X17" s="18"/>
      <c r="Y17" s="18"/>
      <c r="Z17" s="17">
        <f t="shared" si="1"/>
        <v>200</v>
      </c>
      <c r="AA17" s="18">
        <v>200.0</v>
      </c>
      <c r="AB17" s="18">
        <v>200.0</v>
      </c>
      <c r="AC17" s="19">
        <f t="shared" si="2"/>
        <v>0</v>
      </c>
      <c r="AD17" s="19">
        <f t="shared" si="3"/>
        <v>0</v>
      </c>
    </row>
    <row r="18">
      <c r="A18" s="13">
        <v>14.0</v>
      </c>
      <c r="B18" s="14" t="s">
        <v>57</v>
      </c>
      <c r="C18" s="14" t="s">
        <v>38</v>
      </c>
      <c r="D18" s="15" t="s">
        <v>41</v>
      </c>
      <c r="E18" s="15">
        <v>250.0</v>
      </c>
      <c r="F18" s="16"/>
      <c r="G18" s="16"/>
      <c r="H18" s="18"/>
      <c r="I18" s="18"/>
      <c r="J18" s="18"/>
      <c r="K18" s="18"/>
      <c r="L18" s="18"/>
      <c r="M18" s="18"/>
      <c r="N18" s="18"/>
      <c r="O18" s="18"/>
      <c r="P18" s="18"/>
      <c r="Q18" s="18"/>
      <c r="R18" s="18"/>
      <c r="S18" s="18"/>
      <c r="T18" s="18"/>
      <c r="U18" s="18"/>
      <c r="V18" s="18"/>
      <c r="W18" s="18"/>
      <c r="X18" s="18"/>
      <c r="Y18" s="18">
        <v>20.0</v>
      </c>
      <c r="Z18" s="17">
        <f t="shared" si="1"/>
        <v>20</v>
      </c>
      <c r="AA18" s="18">
        <v>20.0</v>
      </c>
      <c r="AB18" s="18">
        <v>20.0</v>
      </c>
      <c r="AC18" s="19">
        <f t="shared" si="2"/>
        <v>0</v>
      </c>
      <c r="AD18" s="19">
        <f t="shared" si="3"/>
        <v>0</v>
      </c>
    </row>
    <row r="19">
      <c r="A19" s="13">
        <v>15.0</v>
      </c>
      <c r="B19" s="14" t="s">
        <v>58</v>
      </c>
      <c r="C19" s="14" t="s">
        <v>38</v>
      </c>
      <c r="D19" s="15" t="s">
        <v>51</v>
      </c>
      <c r="E19" s="15">
        <v>300.0</v>
      </c>
      <c r="F19" s="16">
        <v>562.5</v>
      </c>
      <c r="G19" s="16"/>
      <c r="H19" s="18">
        <v>100.0</v>
      </c>
      <c r="I19" s="18"/>
      <c r="J19" s="18">
        <v>8.75</v>
      </c>
      <c r="K19" s="18"/>
      <c r="L19" s="18"/>
      <c r="M19" s="18"/>
      <c r="N19" s="18">
        <v>1004.39</v>
      </c>
      <c r="O19" s="18"/>
      <c r="P19" s="18"/>
      <c r="Q19" s="18"/>
      <c r="R19" s="18"/>
      <c r="S19" s="18">
        <v>150.0</v>
      </c>
      <c r="T19" s="18">
        <v>200.0</v>
      </c>
      <c r="U19" s="18">
        <v>50.0</v>
      </c>
      <c r="V19" s="18"/>
      <c r="W19" s="18"/>
      <c r="X19" s="18"/>
      <c r="Y19" s="18">
        <v>48.0</v>
      </c>
      <c r="Z19" s="17">
        <f t="shared" si="1"/>
        <v>2123.64</v>
      </c>
      <c r="AA19" s="18">
        <v>2123.64</v>
      </c>
      <c r="AB19" s="18">
        <v>2123.64</v>
      </c>
      <c r="AC19" s="19">
        <f t="shared" si="2"/>
        <v>0</v>
      </c>
      <c r="AD19" s="19">
        <f t="shared" si="3"/>
        <v>0</v>
      </c>
    </row>
    <row r="20">
      <c r="A20" s="13">
        <v>16.0</v>
      </c>
      <c r="B20" s="14" t="s">
        <v>59</v>
      </c>
      <c r="C20" s="14" t="s">
        <v>38</v>
      </c>
      <c r="D20" s="15" t="s">
        <v>41</v>
      </c>
      <c r="E20" s="15">
        <v>250.0</v>
      </c>
      <c r="F20" s="16"/>
      <c r="G20" s="16">
        <v>125.0</v>
      </c>
      <c r="H20" s="18">
        <v>40.0</v>
      </c>
      <c r="I20" s="18"/>
      <c r="J20" s="18"/>
      <c r="K20" s="18"/>
      <c r="L20" s="18"/>
      <c r="M20" s="18"/>
      <c r="N20" s="18">
        <v>61.25</v>
      </c>
      <c r="O20" s="18"/>
      <c r="P20" s="18"/>
      <c r="Q20" s="18"/>
      <c r="R20" s="18"/>
      <c r="S20" s="18"/>
      <c r="T20" s="18">
        <v>75.0</v>
      </c>
      <c r="U20" s="18"/>
      <c r="V20" s="18"/>
      <c r="W20" s="18"/>
      <c r="X20" s="18"/>
      <c r="Y20" s="18">
        <v>20.0</v>
      </c>
      <c r="Z20" s="17">
        <f t="shared" si="1"/>
        <v>321.25</v>
      </c>
      <c r="AA20" s="18">
        <v>321.25</v>
      </c>
      <c r="AB20" s="18">
        <v>321.25</v>
      </c>
      <c r="AC20" s="19">
        <f t="shared" si="2"/>
        <v>0</v>
      </c>
      <c r="AD20" s="19">
        <f t="shared" si="3"/>
        <v>0</v>
      </c>
    </row>
    <row r="21" ht="15.75" customHeight="1">
      <c r="A21" s="13">
        <v>17.0</v>
      </c>
      <c r="B21" s="14" t="s">
        <v>60</v>
      </c>
      <c r="C21" s="14" t="s">
        <v>38</v>
      </c>
      <c r="D21" s="15" t="s">
        <v>43</v>
      </c>
      <c r="E21" s="15">
        <v>350.0</v>
      </c>
      <c r="F21" s="16"/>
      <c r="G21" s="16">
        <v>125.0</v>
      </c>
      <c r="H21" s="18">
        <v>40.0</v>
      </c>
      <c r="I21" s="18"/>
      <c r="J21" s="18">
        <v>35.0</v>
      </c>
      <c r="K21" s="18"/>
      <c r="L21" s="18"/>
      <c r="M21" s="18"/>
      <c r="N21" s="18">
        <v>57.5</v>
      </c>
      <c r="O21" s="18"/>
      <c r="P21" s="18"/>
      <c r="Q21" s="18"/>
      <c r="R21" s="18"/>
      <c r="S21" s="18">
        <v>50.0</v>
      </c>
      <c r="T21" s="18">
        <v>125.0</v>
      </c>
      <c r="U21" s="18"/>
      <c r="V21" s="18"/>
      <c r="W21" s="18"/>
      <c r="X21" s="18"/>
      <c r="Y21" s="18">
        <v>20.0</v>
      </c>
      <c r="Z21" s="17">
        <f t="shared" si="1"/>
        <v>452.5</v>
      </c>
      <c r="AA21" s="18">
        <v>452.5</v>
      </c>
      <c r="AB21" s="18">
        <v>452.5</v>
      </c>
      <c r="AC21" s="19">
        <f t="shared" si="2"/>
        <v>0</v>
      </c>
      <c r="AD21" s="19">
        <f t="shared" si="3"/>
        <v>0</v>
      </c>
    </row>
    <row r="22" ht="15.75" customHeight="1">
      <c r="A22" s="13">
        <v>18.0</v>
      </c>
      <c r="B22" s="14" t="s">
        <v>61</v>
      </c>
      <c r="C22" s="14" t="s">
        <v>38</v>
      </c>
      <c r="D22" s="15" t="s">
        <v>48</v>
      </c>
      <c r="E22" s="15">
        <v>250.0</v>
      </c>
      <c r="F22" s="16"/>
      <c r="G22" s="16"/>
      <c r="H22" s="18">
        <v>200.0</v>
      </c>
      <c r="I22" s="18"/>
      <c r="J22" s="18"/>
      <c r="K22" s="18"/>
      <c r="L22" s="18">
        <v>300.0</v>
      </c>
      <c r="M22" s="18"/>
      <c r="N22" s="18">
        <v>362.5</v>
      </c>
      <c r="O22" s="18"/>
      <c r="P22" s="18"/>
      <c r="Q22" s="18"/>
      <c r="R22" s="18"/>
      <c r="S22" s="18"/>
      <c r="T22" s="18">
        <v>25.0</v>
      </c>
      <c r="U22" s="18"/>
      <c r="V22" s="18"/>
      <c r="W22" s="18"/>
      <c r="X22" s="18"/>
      <c r="Y22" s="18">
        <v>20.0</v>
      </c>
      <c r="Z22" s="17">
        <f t="shared" si="1"/>
        <v>907.5</v>
      </c>
      <c r="AA22" s="18">
        <v>907.5</v>
      </c>
      <c r="AB22" s="18">
        <v>907.5</v>
      </c>
      <c r="AC22" s="19">
        <f t="shared" si="2"/>
        <v>0</v>
      </c>
      <c r="AD22" s="19">
        <f t="shared" si="3"/>
        <v>0</v>
      </c>
    </row>
    <row r="23" ht="15.75" customHeight="1">
      <c r="A23" s="13">
        <v>19.0</v>
      </c>
      <c r="B23" s="14" t="s">
        <v>62</v>
      </c>
      <c r="C23" s="14" t="s">
        <v>38</v>
      </c>
      <c r="D23" s="15" t="s">
        <v>48</v>
      </c>
      <c r="E23" s="15">
        <v>250.0</v>
      </c>
      <c r="F23" s="16"/>
      <c r="G23" s="16"/>
      <c r="H23" s="18"/>
      <c r="I23" s="18"/>
      <c r="J23" s="18"/>
      <c r="K23" s="18"/>
      <c r="L23" s="18"/>
      <c r="M23" s="18"/>
      <c r="N23" s="18">
        <v>630.43</v>
      </c>
      <c r="O23" s="18"/>
      <c r="P23" s="18"/>
      <c r="Q23" s="18"/>
      <c r="R23" s="18"/>
      <c r="S23" s="18"/>
      <c r="T23" s="18">
        <v>200.0</v>
      </c>
      <c r="U23" s="18"/>
      <c r="V23" s="18"/>
      <c r="W23" s="18"/>
      <c r="X23" s="18"/>
      <c r="Y23" s="18">
        <v>10.0</v>
      </c>
      <c r="Z23" s="17">
        <f t="shared" si="1"/>
        <v>840.43</v>
      </c>
      <c r="AA23" s="18">
        <v>840.43</v>
      </c>
      <c r="AB23" s="18">
        <v>840.43</v>
      </c>
      <c r="AC23" s="19">
        <f t="shared" si="2"/>
        <v>0</v>
      </c>
      <c r="AD23" s="19">
        <f t="shared" si="3"/>
        <v>0</v>
      </c>
    </row>
    <row r="24" ht="15.75" customHeight="1">
      <c r="A24" s="13">
        <v>20.0</v>
      </c>
      <c r="B24" s="14" t="s">
        <v>63</v>
      </c>
      <c r="C24" s="14" t="s">
        <v>38</v>
      </c>
      <c r="D24" s="15" t="s">
        <v>48</v>
      </c>
      <c r="E24" s="15">
        <v>250.0</v>
      </c>
      <c r="F24" s="16"/>
      <c r="G24" s="16"/>
      <c r="H24" s="18">
        <v>50.0</v>
      </c>
      <c r="I24" s="18"/>
      <c r="J24" s="18">
        <v>14.0</v>
      </c>
      <c r="K24" s="18"/>
      <c r="L24" s="18"/>
      <c r="M24" s="18"/>
      <c r="N24" s="18">
        <v>399.32</v>
      </c>
      <c r="O24" s="18"/>
      <c r="P24" s="18"/>
      <c r="Q24" s="18"/>
      <c r="R24" s="18"/>
      <c r="S24" s="18"/>
      <c r="T24" s="18"/>
      <c r="U24" s="18"/>
      <c r="V24" s="18"/>
      <c r="W24" s="18"/>
      <c r="X24" s="18"/>
      <c r="Y24" s="18">
        <v>40.0</v>
      </c>
      <c r="Z24" s="17">
        <f t="shared" si="1"/>
        <v>503.32</v>
      </c>
      <c r="AA24" s="18">
        <v>503.32</v>
      </c>
      <c r="AB24" s="18">
        <v>503.32</v>
      </c>
      <c r="AC24" s="19">
        <f t="shared" si="2"/>
        <v>0</v>
      </c>
      <c r="AD24" s="19">
        <f t="shared" si="3"/>
        <v>0</v>
      </c>
    </row>
    <row r="25" ht="15.75" customHeight="1">
      <c r="A25" s="13">
        <v>21.0</v>
      </c>
      <c r="B25" s="14" t="s">
        <v>64</v>
      </c>
      <c r="C25" s="14" t="s">
        <v>38</v>
      </c>
      <c r="D25" s="15" t="s">
        <v>51</v>
      </c>
      <c r="E25" s="15">
        <v>300.0</v>
      </c>
      <c r="F25" s="16"/>
      <c r="G25" s="16"/>
      <c r="H25" s="18"/>
      <c r="I25" s="18"/>
      <c r="J25" s="18"/>
      <c r="K25" s="18">
        <v>37.5</v>
      </c>
      <c r="L25" s="18"/>
      <c r="M25" s="18"/>
      <c r="N25" s="18">
        <v>57.5</v>
      </c>
      <c r="O25" s="18"/>
      <c r="P25" s="18"/>
      <c r="Q25" s="18"/>
      <c r="R25" s="18"/>
      <c r="S25" s="18"/>
      <c r="T25" s="18">
        <v>200.0</v>
      </c>
      <c r="U25" s="18"/>
      <c r="V25" s="18"/>
      <c r="W25" s="18">
        <v>100.0</v>
      </c>
      <c r="X25" s="18"/>
      <c r="Y25" s="18">
        <v>20.0</v>
      </c>
      <c r="Z25" s="17">
        <f t="shared" si="1"/>
        <v>415</v>
      </c>
      <c r="AA25" s="18">
        <v>415.0</v>
      </c>
      <c r="AB25" s="18">
        <v>415.0</v>
      </c>
      <c r="AC25" s="19">
        <f t="shared" si="2"/>
        <v>0</v>
      </c>
      <c r="AD25" s="19">
        <f t="shared" si="3"/>
        <v>0</v>
      </c>
    </row>
    <row r="26" ht="15.75" customHeight="1">
      <c r="A26" s="13">
        <v>22.0</v>
      </c>
      <c r="B26" s="14" t="s">
        <v>65</v>
      </c>
      <c r="C26" s="14" t="s">
        <v>38</v>
      </c>
      <c r="D26" s="15" t="s">
        <v>51</v>
      </c>
      <c r="E26" s="15">
        <v>300.0</v>
      </c>
      <c r="F26" s="16"/>
      <c r="G26" s="16"/>
      <c r="H26" s="18"/>
      <c r="I26" s="18"/>
      <c r="J26" s="18">
        <v>8.75</v>
      </c>
      <c r="K26" s="18"/>
      <c r="L26" s="18"/>
      <c r="M26" s="18"/>
      <c r="N26" s="18">
        <v>545.51</v>
      </c>
      <c r="O26" s="18"/>
      <c r="P26" s="18"/>
      <c r="Q26" s="18"/>
      <c r="R26" s="18"/>
      <c r="S26" s="18">
        <v>200.0</v>
      </c>
      <c r="T26" s="18">
        <v>200.0</v>
      </c>
      <c r="U26" s="18"/>
      <c r="V26" s="18">
        <v>110.0</v>
      </c>
      <c r="W26" s="18">
        <v>400.0</v>
      </c>
      <c r="X26" s="18"/>
      <c r="Y26" s="18">
        <v>58.0</v>
      </c>
      <c r="Z26" s="17">
        <f t="shared" si="1"/>
        <v>1522.26</v>
      </c>
      <c r="AA26" s="18">
        <v>1522.26</v>
      </c>
      <c r="AB26" s="18">
        <v>1522.26</v>
      </c>
      <c r="AC26" s="19">
        <f t="shared" si="2"/>
        <v>0</v>
      </c>
      <c r="AD26" s="19">
        <f t="shared" si="3"/>
        <v>0</v>
      </c>
    </row>
    <row r="27" ht="15.75" customHeight="1">
      <c r="A27" s="13">
        <v>23.0</v>
      </c>
      <c r="B27" s="14" t="s">
        <v>66</v>
      </c>
      <c r="C27" s="14" t="s">
        <v>38</v>
      </c>
      <c r="D27" s="15" t="s">
        <v>48</v>
      </c>
      <c r="E27" s="15">
        <v>250.0</v>
      </c>
      <c r="F27" s="16"/>
      <c r="G27" s="16"/>
      <c r="H27" s="18">
        <v>200.0</v>
      </c>
      <c r="I27" s="18"/>
      <c r="J27" s="18"/>
      <c r="K27" s="18"/>
      <c r="L27" s="18"/>
      <c r="M27" s="18"/>
      <c r="N27" s="18">
        <v>250.0</v>
      </c>
      <c r="O27" s="18"/>
      <c r="P27" s="18"/>
      <c r="Q27" s="18"/>
      <c r="R27" s="18"/>
      <c r="S27" s="18"/>
      <c r="T27" s="18"/>
      <c r="U27" s="18">
        <v>50.0</v>
      </c>
      <c r="V27" s="18"/>
      <c r="W27" s="18"/>
      <c r="X27" s="18"/>
      <c r="Y27" s="18">
        <v>40.0</v>
      </c>
      <c r="Z27" s="17">
        <f t="shared" si="1"/>
        <v>540</v>
      </c>
      <c r="AA27" s="18">
        <v>540.0</v>
      </c>
      <c r="AB27" s="18">
        <v>540.0</v>
      </c>
      <c r="AC27" s="19">
        <f t="shared" si="2"/>
        <v>0</v>
      </c>
      <c r="AD27" s="19">
        <f t="shared" si="3"/>
        <v>0</v>
      </c>
    </row>
    <row r="28" ht="15.75" customHeight="1">
      <c r="A28" s="13">
        <v>24.0</v>
      </c>
      <c r="B28" s="14" t="s">
        <v>67</v>
      </c>
      <c r="C28" s="14" t="s">
        <v>38</v>
      </c>
      <c r="D28" s="15" t="s">
        <v>41</v>
      </c>
      <c r="E28" s="15">
        <v>250.0</v>
      </c>
      <c r="F28" s="16"/>
      <c r="G28" s="16"/>
      <c r="H28" s="18">
        <v>725.0</v>
      </c>
      <c r="I28" s="18"/>
      <c r="J28" s="18"/>
      <c r="K28" s="18"/>
      <c r="L28" s="18"/>
      <c r="M28" s="18"/>
      <c r="N28" s="18">
        <v>215.0</v>
      </c>
      <c r="O28" s="18"/>
      <c r="P28" s="18"/>
      <c r="Q28" s="18"/>
      <c r="R28" s="18"/>
      <c r="S28" s="18"/>
      <c r="T28" s="18"/>
      <c r="U28" s="18">
        <v>50.0</v>
      </c>
      <c r="V28" s="18"/>
      <c r="W28" s="18"/>
      <c r="X28" s="18"/>
      <c r="Y28" s="18">
        <v>40.0</v>
      </c>
      <c r="Z28" s="17">
        <f t="shared" si="1"/>
        <v>1030</v>
      </c>
      <c r="AA28" s="18">
        <v>1030.0</v>
      </c>
      <c r="AB28" s="18">
        <v>1030.0</v>
      </c>
      <c r="AC28" s="19">
        <f t="shared" si="2"/>
        <v>0</v>
      </c>
      <c r="AD28" s="19">
        <f t="shared" si="3"/>
        <v>0</v>
      </c>
    </row>
    <row r="29" ht="15.75" customHeight="1">
      <c r="A29" s="13">
        <v>25.0</v>
      </c>
      <c r="B29" s="14" t="s">
        <v>68</v>
      </c>
      <c r="C29" s="14" t="s">
        <v>38</v>
      </c>
      <c r="D29" s="15" t="s">
        <v>69</v>
      </c>
      <c r="E29" s="15">
        <v>500.0</v>
      </c>
      <c r="F29" s="16"/>
      <c r="G29" s="16">
        <v>725.0</v>
      </c>
      <c r="H29" s="18">
        <v>418.18</v>
      </c>
      <c r="I29" s="18"/>
      <c r="J29" s="18"/>
      <c r="K29" s="18"/>
      <c r="L29" s="18"/>
      <c r="M29" s="18"/>
      <c r="N29" s="18">
        <v>1622.57</v>
      </c>
      <c r="O29" s="18">
        <v>33.33</v>
      </c>
      <c r="P29" s="18"/>
      <c r="Q29" s="18"/>
      <c r="R29" s="18"/>
      <c r="S29" s="18">
        <v>100.0</v>
      </c>
      <c r="T29" s="18"/>
      <c r="U29" s="18"/>
      <c r="V29" s="18"/>
      <c r="W29" s="18">
        <v>300.0</v>
      </c>
      <c r="X29" s="18"/>
      <c r="Y29" s="18"/>
      <c r="Z29" s="17">
        <f t="shared" si="1"/>
        <v>3199.08</v>
      </c>
      <c r="AA29" s="18">
        <v>3199.08</v>
      </c>
      <c r="AB29" s="18">
        <v>3199.08</v>
      </c>
      <c r="AC29" s="19">
        <f t="shared" si="2"/>
        <v>0</v>
      </c>
      <c r="AD29" s="19">
        <f t="shared" si="3"/>
        <v>0</v>
      </c>
    </row>
    <row r="30" ht="15.75" customHeight="1">
      <c r="A30" s="13">
        <v>26.0</v>
      </c>
      <c r="B30" s="14" t="s">
        <v>70</v>
      </c>
      <c r="C30" s="14" t="s">
        <v>38</v>
      </c>
      <c r="D30" s="15" t="s">
        <v>48</v>
      </c>
      <c r="E30" s="15">
        <v>250.0</v>
      </c>
      <c r="F30" s="16"/>
      <c r="G30" s="16"/>
      <c r="H30" s="18"/>
      <c r="I30" s="18"/>
      <c r="J30" s="18"/>
      <c r="K30" s="18"/>
      <c r="L30" s="18"/>
      <c r="M30" s="18"/>
      <c r="N30" s="18">
        <v>176.67</v>
      </c>
      <c r="O30" s="18"/>
      <c r="P30" s="18"/>
      <c r="Q30" s="18"/>
      <c r="R30" s="18"/>
      <c r="S30" s="18"/>
      <c r="T30" s="18">
        <v>25.0</v>
      </c>
      <c r="U30" s="18"/>
      <c r="V30" s="18"/>
      <c r="W30" s="18"/>
      <c r="X30" s="18"/>
      <c r="Y30" s="18">
        <v>40.0</v>
      </c>
      <c r="Z30" s="17">
        <f t="shared" si="1"/>
        <v>241.67</v>
      </c>
      <c r="AA30" s="18">
        <v>241.67</v>
      </c>
      <c r="AB30" s="18">
        <v>241.67</v>
      </c>
      <c r="AC30" s="19">
        <f t="shared" si="2"/>
        <v>0</v>
      </c>
      <c r="AD30" s="19">
        <f t="shared" si="3"/>
        <v>0</v>
      </c>
    </row>
    <row r="31" ht="15.75" customHeight="1">
      <c r="A31" s="13">
        <v>27.0</v>
      </c>
      <c r="B31" s="14" t="s">
        <v>71</v>
      </c>
      <c r="C31" s="14" t="s">
        <v>38</v>
      </c>
      <c r="D31" s="15" t="s">
        <v>48</v>
      </c>
      <c r="E31" s="15">
        <v>250.0</v>
      </c>
      <c r="F31" s="16"/>
      <c r="G31" s="16"/>
      <c r="H31" s="18"/>
      <c r="I31" s="18"/>
      <c r="J31" s="18"/>
      <c r="K31" s="18"/>
      <c r="L31" s="18"/>
      <c r="M31" s="18"/>
      <c r="N31" s="18">
        <v>176.67</v>
      </c>
      <c r="O31" s="18"/>
      <c r="P31" s="18"/>
      <c r="Q31" s="18"/>
      <c r="R31" s="18"/>
      <c r="S31" s="18"/>
      <c r="T31" s="18">
        <v>50.0</v>
      </c>
      <c r="U31" s="18"/>
      <c r="V31" s="18"/>
      <c r="W31" s="18">
        <v>63.5</v>
      </c>
      <c r="X31" s="18"/>
      <c r="Y31" s="18">
        <v>40.0</v>
      </c>
      <c r="Z31" s="17">
        <f t="shared" si="1"/>
        <v>330.17</v>
      </c>
      <c r="AA31" s="18">
        <v>330.17</v>
      </c>
      <c r="AB31" s="18">
        <v>330.17</v>
      </c>
      <c r="AC31" s="19">
        <f t="shared" si="2"/>
        <v>0</v>
      </c>
      <c r="AD31" s="19">
        <f t="shared" si="3"/>
        <v>0</v>
      </c>
    </row>
    <row r="32" ht="15.75" customHeight="1">
      <c r="A32" s="13">
        <v>28.0</v>
      </c>
      <c r="B32" s="14" t="s">
        <v>72</v>
      </c>
      <c r="C32" s="14" t="s">
        <v>38</v>
      </c>
      <c r="D32" s="15" t="s">
        <v>48</v>
      </c>
      <c r="E32" s="15">
        <v>250.0</v>
      </c>
      <c r="F32" s="16"/>
      <c r="G32" s="16"/>
      <c r="H32" s="18"/>
      <c r="I32" s="18"/>
      <c r="J32" s="18"/>
      <c r="K32" s="18"/>
      <c r="L32" s="18">
        <v>155.0</v>
      </c>
      <c r="M32" s="18"/>
      <c r="N32" s="18">
        <v>51.66</v>
      </c>
      <c r="O32" s="18"/>
      <c r="P32" s="18"/>
      <c r="Q32" s="18"/>
      <c r="R32" s="18"/>
      <c r="S32" s="18"/>
      <c r="T32" s="18">
        <v>50.0</v>
      </c>
      <c r="U32" s="18"/>
      <c r="V32" s="18"/>
      <c r="W32" s="18"/>
      <c r="X32" s="18"/>
      <c r="Y32" s="18"/>
      <c r="Z32" s="17">
        <f t="shared" si="1"/>
        <v>256.66</v>
      </c>
      <c r="AA32" s="18">
        <v>256.66</v>
      </c>
      <c r="AB32" s="18">
        <v>256.66</v>
      </c>
      <c r="AC32" s="19">
        <f t="shared" si="2"/>
        <v>0</v>
      </c>
      <c r="AD32" s="19">
        <f t="shared" si="3"/>
        <v>0</v>
      </c>
    </row>
    <row r="33" ht="15.75" customHeight="1">
      <c r="A33" s="13">
        <v>29.0</v>
      </c>
      <c r="B33" s="14" t="s">
        <v>73</v>
      </c>
      <c r="C33" s="14" t="s">
        <v>38</v>
      </c>
      <c r="D33" s="15" t="s">
        <v>41</v>
      </c>
      <c r="E33" s="15">
        <v>250.0</v>
      </c>
      <c r="F33" s="16"/>
      <c r="G33" s="16"/>
      <c r="H33" s="18"/>
      <c r="I33" s="18"/>
      <c r="J33" s="18"/>
      <c r="K33" s="18"/>
      <c r="L33" s="18"/>
      <c r="M33" s="18"/>
      <c r="N33" s="18"/>
      <c r="O33" s="18"/>
      <c r="P33" s="18"/>
      <c r="Q33" s="18"/>
      <c r="R33" s="18"/>
      <c r="S33" s="18"/>
      <c r="T33" s="18"/>
      <c r="U33" s="18"/>
      <c r="V33" s="18"/>
      <c r="W33" s="18"/>
      <c r="X33" s="18"/>
      <c r="Y33" s="18">
        <v>20.0</v>
      </c>
      <c r="Z33" s="17">
        <f t="shared" si="1"/>
        <v>20</v>
      </c>
      <c r="AA33" s="18">
        <v>20.0</v>
      </c>
      <c r="AB33" s="18">
        <v>20.0</v>
      </c>
      <c r="AC33" s="19">
        <f t="shared" si="2"/>
        <v>0</v>
      </c>
      <c r="AD33" s="19">
        <f t="shared" si="3"/>
        <v>0</v>
      </c>
    </row>
    <row r="34" ht="15.75" customHeight="1">
      <c r="A34" s="13">
        <v>30.0</v>
      </c>
      <c r="B34" s="14" t="s">
        <v>74</v>
      </c>
      <c r="C34" s="14" t="s">
        <v>38</v>
      </c>
      <c r="D34" s="15" t="s">
        <v>41</v>
      </c>
      <c r="E34" s="15">
        <v>250.0</v>
      </c>
      <c r="F34" s="16"/>
      <c r="G34" s="16"/>
      <c r="H34" s="18"/>
      <c r="I34" s="18"/>
      <c r="J34" s="18"/>
      <c r="K34" s="18"/>
      <c r="L34" s="18"/>
      <c r="M34" s="18"/>
      <c r="N34" s="18">
        <v>21.37</v>
      </c>
      <c r="O34" s="18"/>
      <c r="P34" s="18"/>
      <c r="Q34" s="18"/>
      <c r="R34" s="18"/>
      <c r="S34" s="18"/>
      <c r="T34" s="18"/>
      <c r="U34" s="18"/>
      <c r="V34" s="18"/>
      <c r="W34" s="18"/>
      <c r="X34" s="18"/>
      <c r="Y34" s="18">
        <v>20.0</v>
      </c>
      <c r="Z34" s="17">
        <f t="shared" si="1"/>
        <v>41.37</v>
      </c>
      <c r="AA34" s="18">
        <v>41.37</v>
      </c>
      <c r="AB34" s="18">
        <v>41.37</v>
      </c>
      <c r="AC34" s="19">
        <f t="shared" si="2"/>
        <v>0</v>
      </c>
      <c r="AD34" s="19">
        <f t="shared" si="3"/>
        <v>0</v>
      </c>
    </row>
    <row r="35" ht="15.75" customHeight="1">
      <c r="A35" s="13">
        <v>31.0</v>
      </c>
      <c r="B35" s="14" t="s">
        <v>75</v>
      </c>
      <c r="C35" s="14" t="s">
        <v>38</v>
      </c>
      <c r="D35" s="15" t="s">
        <v>76</v>
      </c>
      <c r="E35" s="15">
        <v>200.0</v>
      </c>
      <c r="F35" s="16"/>
      <c r="G35" s="16"/>
      <c r="H35" s="18"/>
      <c r="I35" s="18"/>
      <c r="J35" s="18">
        <v>140.0</v>
      </c>
      <c r="K35" s="18"/>
      <c r="L35" s="18"/>
      <c r="M35" s="18"/>
      <c r="N35" s="18">
        <v>28.75</v>
      </c>
      <c r="O35" s="18"/>
      <c r="P35" s="18"/>
      <c r="Q35" s="18"/>
      <c r="R35" s="18"/>
      <c r="S35" s="18"/>
      <c r="T35" s="18"/>
      <c r="U35" s="18"/>
      <c r="V35" s="18"/>
      <c r="W35" s="18"/>
      <c r="X35" s="18"/>
      <c r="Y35" s="18">
        <v>20.0</v>
      </c>
      <c r="Z35" s="17">
        <f t="shared" si="1"/>
        <v>188.75</v>
      </c>
      <c r="AA35" s="18">
        <v>188.75</v>
      </c>
      <c r="AB35" s="18">
        <v>188.75</v>
      </c>
      <c r="AC35" s="19">
        <f t="shared" si="2"/>
        <v>0</v>
      </c>
      <c r="AD35" s="19">
        <f t="shared" si="3"/>
        <v>0</v>
      </c>
    </row>
    <row r="36" ht="15.75" customHeight="1">
      <c r="A36" s="13">
        <v>32.0</v>
      </c>
      <c r="B36" s="14" t="s">
        <v>77</v>
      </c>
      <c r="C36" s="14" t="s">
        <v>38</v>
      </c>
      <c r="D36" s="15" t="s">
        <v>43</v>
      </c>
      <c r="E36" s="15">
        <v>350.0</v>
      </c>
      <c r="F36" s="16"/>
      <c r="G36" s="16"/>
      <c r="H36" s="18">
        <v>200.0</v>
      </c>
      <c r="I36" s="18"/>
      <c r="J36" s="18"/>
      <c r="K36" s="18"/>
      <c r="L36" s="18">
        <v>170.0</v>
      </c>
      <c r="M36" s="18">
        <v>50.0</v>
      </c>
      <c r="N36" s="18">
        <v>140.47</v>
      </c>
      <c r="O36" s="18"/>
      <c r="P36" s="18"/>
      <c r="Q36" s="18"/>
      <c r="R36" s="18"/>
      <c r="S36" s="18">
        <v>200.0</v>
      </c>
      <c r="T36" s="18">
        <v>125.0</v>
      </c>
      <c r="U36" s="18">
        <v>10.0</v>
      </c>
      <c r="V36" s="18"/>
      <c r="W36" s="18"/>
      <c r="X36" s="18"/>
      <c r="Y36" s="18">
        <v>30.0</v>
      </c>
      <c r="Z36" s="17">
        <f t="shared" si="1"/>
        <v>925.47</v>
      </c>
      <c r="AA36" s="18">
        <v>925.47</v>
      </c>
      <c r="AB36" s="18">
        <v>925.47</v>
      </c>
      <c r="AC36" s="19">
        <f t="shared" si="2"/>
        <v>0</v>
      </c>
      <c r="AD36" s="19">
        <f t="shared" si="3"/>
        <v>0</v>
      </c>
    </row>
    <row r="37" ht="15.75" customHeight="1">
      <c r="A37" s="13">
        <v>33.0</v>
      </c>
      <c r="B37" s="14" t="s">
        <v>78</v>
      </c>
      <c r="C37" s="14" t="s">
        <v>38</v>
      </c>
      <c r="D37" s="15" t="s">
        <v>41</v>
      </c>
      <c r="E37" s="15">
        <v>250.0</v>
      </c>
      <c r="F37" s="16"/>
      <c r="G37" s="16"/>
      <c r="H37" s="18"/>
      <c r="I37" s="18"/>
      <c r="J37" s="18"/>
      <c r="K37" s="18"/>
      <c r="L37" s="18"/>
      <c r="M37" s="18"/>
      <c r="N37" s="18"/>
      <c r="O37" s="18"/>
      <c r="P37" s="18"/>
      <c r="Q37" s="18"/>
      <c r="R37" s="18"/>
      <c r="S37" s="18"/>
      <c r="T37" s="18"/>
      <c r="U37" s="18"/>
      <c r="V37" s="18"/>
      <c r="W37" s="18"/>
      <c r="X37" s="18"/>
      <c r="Y37" s="18">
        <v>20.0</v>
      </c>
      <c r="Z37" s="17">
        <f t="shared" si="1"/>
        <v>20</v>
      </c>
      <c r="AA37" s="18">
        <v>20.0</v>
      </c>
      <c r="AB37" s="18">
        <v>20.0</v>
      </c>
      <c r="AC37" s="19">
        <f t="shared" si="2"/>
        <v>0</v>
      </c>
      <c r="AD37" s="19">
        <f t="shared" si="3"/>
        <v>0</v>
      </c>
    </row>
    <row r="38" ht="15.75" customHeight="1">
      <c r="A38" s="13">
        <v>34.0</v>
      </c>
      <c r="B38" s="14" t="s">
        <v>79</v>
      </c>
      <c r="C38" s="14" t="s">
        <v>38</v>
      </c>
      <c r="D38" s="15" t="s">
        <v>41</v>
      </c>
      <c r="E38" s="15">
        <v>250.0</v>
      </c>
      <c r="F38" s="16"/>
      <c r="G38" s="16"/>
      <c r="H38" s="18">
        <v>400.0</v>
      </c>
      <c r="I38" s="18"/>
      <c r="J38" s="18"/>
      <c r="K38" s="18"/>
      <c r="L38" s="18"/>
      <c r="M38" s="18"/>
      <c r="N38" s="18">
        <v>130.0</v>
      </c>
      <c r="O38" s="18"/>
      <c r="P38" s="18"/>
      <c r="Q38" s="18"/>
      <c r="R38" s="18"/>
      <c r="S38" s="18"/>
      <c r="T38" s="18"/>
      <c r="U38" s="18"/>
      <c r="V38" s="18"/>
      <c r="W38" s="18"/>
      <c r="X38" s="18"/>
      <c r="Y38" s="18"/>
      <c r="Z38" s="17">
        <f t="shared" si="1"/>
        <v>530</v>
      </c>
      <c r="AA38" s="18">
        <v>530.0</v>
      </c>
      <c r="AB38" s="18">
        <v>530.0</v>
      </c>
      <c r="AC38" s="19">
        <f t="shared" si="2"/>
        <v>0</v>
      </c>
      <c r="AD38" s="19">
        <f t="shared" si="3"/>
        <v>0</v>
      </c>
    </row>
    <row r="39" ht="15.75" customHeight="1">
      <c r="A39" s="13">
        <v>35.0</v>
      </c>
      <c r="B39" s="14" t="s">
        <v>80</v>
      </c>
      <c r="C39" s="14" t="s">
        <v>38</v>
      </c>
      <c r="D39" s="15" t="s">
        <v>69</v>
      </c>
      <c r="E39" s="15">
        <v>350.0</v>
      </c>
      <c r="F39" s="16">
        <v>2333.33</v>
      </c>
      <c r="G39" s="16"/>
      <c r="H39" s="18"/>
      <c r="I39" s="18">
        <v>25.0</v>
      </c>
      <c r="J39" s="18"/>
      <c r="K39" s="18"/>
      <c r="L39" s="18">
        <v>290.0</v>
      </c>
      <c r="M39" s="18"/>
      <c r="N39" s="18">
        <v>100.0</v>
      </c>
      <c r="O39" s="18"/>
      <c r="P39" s="18"/>
      <c r="Q39" s="18"/>
      <c r="R39" s="18"/>
      <c r="S39" s="18"/>
      <c r="T39" s="18">
        <v>75.0</v>
      </c>
      <c r="U39" s="18"/>
      <c r="V39" s="18"/>
      <c r="W39" s="18"/>
      <c r="X39" s="18"/>
      <c r="Y39" s="18"/>
      <c r="Z39" s="17">
        <f t="shared" si="1"/>
        <v>2823.33</v>
      </c>
      <c r="AA39" s="18">
        <v>2823.33</v>
      </c>
      <c r="AB39" s="18">
        <v>2823.33</v>
      </c>
      <c r="AC39" s="19">
        <f t="shared" si="2"/>
        <v>0</v>
      </c>
      <c r="AD39" s="19">
        <f t="shared" si="3"/>
        <v>0</v>
      </c>
    </row>
    <row r="40" ht="15.75" customHeight="1">
      <c r="A40" s="13">
        <v>36.0</v>
      </c>
      <c r="B40" s="14" t="s">
        <v>81</v>
      </c>
      <c r="C40" s="14" t="s">
        <v>38</v>
      </c>
      <c r="D40" s="15" t="s">
        <v>41</v>
      </c>
      <c r="E40" s="15">
        <v>250.0</v>
      </c>
      <c r="F40" s="16"/>
      <c r="G40" s="16"/>
      <c r="H40" s="18"/>
      <c r="I40" s="18">
        <v>50.0</v>
      </c>
      <c r="J40" s="18"/>
      <c r="K40" s="18">
        <v>15.75</v>
      </c>
      <c r="L40" s="18">
        <v>9.0</v>
      </c>
      <c r="M40" s="18"/>
      <c r="N40" s="18">
        <v>142.5</v>
      </c>
      <c r="O40" s="18"/>
      <c r="P40" s="18"/>
      <c r="Q40" s="18"/>
      <c r="R40" s="18"/>
      <c r="S40" s="18"/>
      <c r="T40" s="18">
        <v>200.0</v>
      </c>
      <c r="U40" s="18"/>
      <c r="V40" s="18"/>
      <c r="W40" s="18"/>
      <c r="X40" s="18"/>
      <c r="Y40" s="18">
        <v>20.0</v>
      </c>
      <c r="Z40" s="17">
        <f t="shared" si="1"/>
        <v>437.25</v>
      </c>
      <c r="AA40" s="18">
        <v>437.25</v>
      </c>
      <c r="AB40" s="18">
        <v>437.25</v>
      </c>
      <c r="AC40" s="19">
        <f t="shared" si="2"/>
        <v>0</v>
      </c>
      <c r="AD40" s="19">
        <f t="shared" si="3"/>
        <v>0</v>
      </c>
    </row>
    <row r="41" ht="15.75" customHeight="1">
      <c r="A41" s="13">
        <v>37.0</v>
      </c>
      <c r="B41" s="14" t="s">
        <v>82</v>
      </c>
      <c r="C41" s="14" t="s">
        <v>38</v>
      </c>
      <c r="D41" s="15" t="s">
        <v>69</v>
      </c>
      <c r="E41" s="15">
        <v>350.0</v>
      </c>
      <c r="F41" s="16">
        <v>375.0</v>
      </c>
      <c r="G41" s="16"/>
      <c r="H41" s="18">
        <v>300.0</v>
      </c>
      <c r="I41" s="18"/>
      <c r="J41" s="18">
        <v>315.0</v>
      </c>
      <c r="K41" s="18">
        <v>378.0</v>
      </c>
      <c r="L41" s="18"/>
      <c r="M41" s="18"/>
      <c r="N41" s="18">
        <v>98.75</v>
      </c>
      <c r="O41" s="18"/>
      <c r="P41" s="18"/>
      <c r="Q41" s="18"/>
      <c r="R41" s="18"/>
      <c r="S41" s="18">
        <v>150.0</v>
      </c>
      <c r="T41" s="18">
        <v>200.0</v>
      </c>
      <c r="U41" s="18"/>
      <c r="V41" s="18"/>
      <c r="W41" s="18"/>
      <c r="X41" s="18"/>
      <c r="Y41" s="18">
        <v>60.0</v>
      </c>
      <c r="Z41" s="17">
        <f t="shared" si="1"/>
        <v>1876.75</v>
      </c>
      <c r="AA41" s="18">
        <v>1876.75</v>
      </c>
      <c r="AB41" s="18">
        <v>1876.75</v>
      </c>
      <c r="AC41" s="19">
        <f t="shared" si="2"/>
        <v>0</v>
      </c>
      <c r="AD41" s="19">
        <f t="shared" si="3"/>
        <v>0</v>
      </c>
    </row>
    <row r="42" ht="15.75" customHeight="1">
      <c r="A42" s="13">
        <v>38.0</v>
      </c>
      <c r="B42" s="14" t="s">
        <v>83</v>
      </c>
      <c r="C42" s="14" t="s">
        <v>38</v>
      </c>
      <c r="D42" s="15" t="s">
        <v>69</v>
      </c>
      <c r="E42" s="15">
        <v>500.0</v>
      </c>
      <c r="F42" s="16">
        <v>562.5</v>
      </c>
      <c r="G42" s="16"/>
      <c r="H42" s="18">
        <v>100.0</v>
      </c>
      <c r="I42" s="18"/>
      <c r="J42" s="18">
        <v>87.5</v>
      </c>
      <c r="K42" s="18"/>
      <c r="L42" s="18"/>
      <c r="M42" s="18"/>
      <c r="N42" s="18">
        <v>344.37</v>
      </c>
      <c r="O42" s="18"/>
      <c r="P42" s="18"/>
      <c r="Q42" s="18"/>
      <c r="R42" s="18"/>
      <c r="S42" s="18">
        <v>200.0</v>
      </c>
      <c r="T42" s="18">
        <v>175.0</v>
      </c>
      <c r="U42" s="18"/>
      <c r="V42" s="18"/>
      <c r="W42" s="18"/>
      <c r="X42" s="18"/>
      <c r="Y42" s="18">
        <v>36.66</v>
      </c>
      <c r="Z42" s="17">
        <f t="shared" si="1"/>
        <v>1506.03</v>
      </c>
      <c r="AA42" s="18">
        <v>1506.03</v>
      </c>
      <c r="AB42" s="18">
        <v>1506.03</v>
      </c>
      <c r="AC42" s="19">
        <f t="shared" si="2"/>
        <v>0</v>
      </c>
      <c r="AD42" s="19">
        <f t="shared" si="3"/>
        <v>0</v>
      </c>
    </row>
    <row r="43" ht="15.75" customHeight="1">
      <c r="A43" s="13">
        <v>39.0</v>
      </c>
      <c r="B43" s="14" t="s">
        <v>84</v>
      </c>
      <c r="C43" s="14" t="s">
        <v>38</v>
      </c>
      <c r="D43" s="15" t="s">
        <v>48</v>
      </c>
      <c r="E43" s="15">
        <v>250.0</v>
      </c>
      <c r="F43" s="16"/>
      <c r="G43" s="16"/>
      <c r="H43" s="18"/>
      <c r="I43" s="18"/>
      <c r="J43" s="18"/>
      <c r="K43" s="18"/>
      <c r="L43" s="18">
        <v>300.0</v>
      </c>
      <c r="M43" s="18"/>
      <c r="N43" s="18"/>
      <c r="O43" s="18"/>
      <c r="P43" s="18"/>
      <c r="Q43" s="18"/>
      <c r="R43" s="18"/>
      <c r="S43" s="18"/>
      <c r="T43" s="18"/>
      <c r="U43" s="18"/>
      <c r="V43" s="18"/>
      <c r="W43" s="18"/>
      <c r="X43" s="18"/>
      <c r="Y43" s="18"/>
      <c r="Z43" s="17">
        <f t="shared" si="1"/>
        <v>300</v>
      </c>
      <c r="AA43" s="18">
        <v>300.0</v>
      </c>
      <c r="AB43" s="18">
        <v>300.0</v>
      </c>
      <c r="AC43" s="19">
        <f t="shared" si="2"/>
        <v>0</v>
      </c>
      <c r="AD43" s="19">
        <f t="shared" si="3"/>
        <v>0</v>
      </c>
    </row>
    <row r="44" ht="15.75" customHeight="1">
      <c r="A44" s="13">
        <v>40.0</v>
      </c>
      <c r="B44" s="14" t="s">
        <v>85</v>
      </c>
      <c r="C44" s="14" t="s">
        <v>38</v>
      </c>
      <c r="D44" s="15" t="s">
        <v>51</v>
      </c>
      <c r="E44" s="15">
        <v>300.0</v>
      </c>
      <c r="F44" s="16"/>
      <c r="G44" s="16"/>
      <c r="H44" s="18"/>
      <c r="I44" s="18"/>
      <c r="J44" s="18"/>
      <c r="K44" s="18"/>
      <c r="L44" s="18"/>
      <c r="M44" s="18"/>
      <c r="N44" s="18"/>
      <c r="O44" s="18"/>
      <c r="P44" s="18"/>
      <c r="Q44" s="18"/>
      <c r="R44" s="18"/>
      <c r="S44" s="18"/>
      <c r="T44" s="18"/>
      <c r="U44" s="18"/>
      <c r="V44" s="18"/>
      <c r="W44" s="18"/>
      <c r="X44" s="18"/>
      <c r="Y44" s="18"/>
      <c r="Z44" s="17">
        <f t="shared" si="1"/>
        <v>0</v>
      </c>
      <c r="AA44" s="18">
        <v>0.0</v>
      </c>
      <c r="AB44" s="18">
        <v>0.0</v>
      </c>
      <c r="AC44" s="19">
        <f t="shared" si="2"/>
        <v>0</v>
      </c>
      <c r="AD44" s="19">
        <f t="shared" si="3"/>
        <v>0</v>
      </c>
    </row>
    <row r="45" ht="15.75" customHeight="1">
      <c r="A45" s="13">
        <v>41.0</v>
      </c>
      <c r="B45" s="14" t="s">
        <v>86</v>
      </c>
      <c r="C45" s="14" t="s">
        <v>38</v>
      </c>
      <c r="D45" s="15" t="s">
        <v>48</v>
      </c>
      <c r="E45" s="15">
        <v>250.0</v>
      </c>
      <c r="F45" s="16"/>
      <c r="G45" s="16"/>
      <c r="H45" s="18"/>
      <c r="I45" s="18"/>
      <c r="J45" s="18"/>
      <c r="K45" s="18"/>
      <c r="L45" s="18">
        <v>270.0</v>
      </c>
      <c r="M45" s="18"/>
      <c r="N45" s="18"/>
      <c r="O45" s="18"/>
      <c r="P45" s="18"/>
      <c r="Q45" s="18"/>
      <c r="R45" s="18"/>
      <c r="S45" s="18"/>
      <c r="T45" s="18"/>
      <c r="U45" s="18"/>
      <c r="V45" s="18"/>
      <c r="W45" s="18"/>
      <c r="X45" s="18"/>
      <c r="Y45" s="18"/>
      <c r="Z45" s="17">
        <f t="shared" si="1"/>
        <v>270</v>
      </c>
      <c r="AA45" s="18">
        <v>270.0</v>
      </c>
      <c r="AB45" s="18">
        <v>270.0</v>
      </c>
      <c r="AC45" s="19">
        <f t="shared" si="2"/>
        <v>0</v>
      </c>
      <c r="AD45" s="19">
        <f t="shared" si="3"/>
        <v>0</v>
      </c>
    </row>
    <row r="46" ht="15.75" customHeight="1">
      <c r="A46" s="13">
        <v>42.0</v>
      </c>
      <c r="B46" s="14" t="s">
        <v>87</v>
      </c>
      <c r="C46" s="14" t="s">
        <v>38</v>
      </c>
      <c r="D46" s="15" t="s">
        <v>41</v>
      </c>
      <c r="E46" s="15">
        <v>250.0</v>
      </c>
      <c r="F46" s="16"/>
      <c r="G46" s="16"/>
      <c r="H46" s="18"/>
      <c r="I46" s="18"/>
      <c r="J46" s="18"/>
      <c r="K46" s="18"/>
      <c r="L46" s="18"/>
      <c r="M46" s="18"/>
      <c r="N46" s="18">
        <v>791.7</v>
      </c>
      <c r="O46" s="18"/>
      <c r="P46" s="18"/>
      <c r="Q46" s="18"/>
      <c r="R46" s="18"/>
      <c r="S46" s="18"/>
      <c r="T46" s="18"/>
      <c r="U46" s="18"/>
      <c r="V46" s="18"/>
      <c r="W46" s="18"/>
      <c r="X46" s="18"/>
      <c r="Y46" s="18">
        <v>20.0</v>
      </c>
      <c r="Z46" s="17">
        <f t="shared" si="1"/>
        <v>811.7</v>
      </c>
      <c r="AA46" s="18">
        <v>811.7</v>
      </c>
      <c r="AB46" s="18">
        <v>811.7</v>
      </c>
      <c r="AC46" s="19">
        <f t="shared" si="2"/>
        <v>0</v>
      </c>
      <c r="AD46" s="19">
        <f t="shared" si="3"/>
        <v>0</v>
      </c>
    </row>
    <row r="47" ht="45.0" customHeight="1">
      <c r="A47" s="20" t="s">
        <v>88</v>
      </c>
      <c r="B47" s="21"/>
      <c r="C47" s="21"/>
      <c r="D47" s="21"/>
      <c r="E47" s="22">
        <f t="shared" ref="E47:Y47" si="4">SUM(E5:E46)</f>
        <v>11900</v>
      </c>
      <c r="F47" s="23">
        <f t="shared" si="4"/>
        <v>3833.33</v>
      </c>
      <c r="G47" s="23">
        <f t="shared" si="4"/>
        <v>1516.67</v>
      </c>
      <c r="H47" s="23">
        <f t="shared" si="4"/>
        <v>4580.18</v>
      </c>
      <c r="I47" s="23">
        <f t="shared" si="4"/>
        <v>125</v>
      </c>
      <c r="J47" s="23">
        <f t="shared" si="4"/>
        <v>679</v>
      </c>
      <c r="K47" s="23">
        <f t="shared" si="4"/>
        <v>671.25</v>
      </c>
      <c r="L47" s="23">
        <f t="shared" si="4"/>
        <v>2912</v>
      </c>
      <c r="M47" s="23">
        <f t="shared" si="4"/>
        <v>50</v>
      </c>
      <c r="N47" s="23">
        <f t="shared" si="4"/>
        <v>8802.6</v>
      </c>
      <c r="O47" s="23">
        <f t="shared" si="4"/>
        <v>66.66</v>
      </c>
      <c r="P47" s="23">
        <f t="shared" si="4"/>
        <v>0</v>
      </c>
      <c r="Q47" s="23">
        <f t="shared" si="4"/>
        <v>0</v>
      </c>
      <c r="R47" s="23">
        <f t="shared" si="4"/>
        <v>0</v>
      </c>
      <c r="S47" s="23">
        <f t="shared" si="4"/>
        <v>1250</v>
      </c>
      <c r="T47" s="23">
        <f t="shared" si="4"/>
        <v>2200</v>
      </c>
      <c r="U47" s="23">
        <f t="shared" si="4"/>
        <v>210</v>
      </c>
      <c r="V47" s="23">
        <f t="shared" si="4"/>
        <v>110</v>
      </c>
      <c r="W47" s="23">
        <f t="shared" si="4"/>
        <v>863.5</v>
      </c>
      <c r="X47" s="23">
        <f t="shared" si="4"/>
        <v>0</v>
      </c>
      <c r="Y47" s="23">
        <f t="shared" si="4"/>
        <v>872.66</v>
      </c>
      <c r="Z47" s="17">
        <f t="shared" si="1"/>
        <v>28742.85</v>
      </c>
      <c r="AA47" s="24"/>
      <c r="AB47" s="24"/>
      <c r="AC47" s="24"/>
      <c r="AD47" s="24"/>
    </row>
    <row r="48" ht="45.0" customHeight="1">
      <c r="A48" s="20" t="s">
        <v>89</v>
      </c>
      <c r="B48" s="21"/>
      <c r="C48" s="21"/>
      <c r="D48" s="21"/>
      <c r="E48" s="21"/>
      <c r="F48" s="23">
        <f>I.1!P61</f>
        <v>3833.33</v>
      </c>
      <c r="G48" s="23">
        <f>I.2!P61</f>
        <v>1516.67</v>
      </c>
      <c r="H48" s="23">
        <f>I.3!N58</f>
        <v>4580.18</v>
      </c>
      <c r="I48" s="23">
        <f>I.4!M60</f>
        <v>125</v>
      </c>
      <c r="J48" s="23">
        <f>I.5!M61</f>
        <v>679</v>
      </c>
      <c r="K48" s="23">
        <f>I.6!J62</f>
        <v>671.25</v>
      </c>
      <c r="L48" s="23">
        <f>I.7!J63</f>
        <v>2912</v>
      </c>
      <c r="M48" s="23">
        <f>I.8!I61</f>
        <v>50</v>
      </c>
      <c r="N48" s="23">
        <f>I.9!H560</f>
        <v>8802.6</v>
      </c>
      <c r="O48" s="23">
        <f>I.10!F29</f>
        <v>66.66</v>
      </c>
      <c r="P48" s="23">
        <f>I.11!F28</f>
        <v>0</v>
      </c>
      <c r="Q48" s="23">
        <f>I.12!H60</f>
        <v>0</v>
      </c>
      <c r="R48" s="23">
        <f>I.13!H61</f>
        <v>0</v>
      </c>
      <c r="S48" s="23">
        <f>I.14!G61</f>
        <v>1250</v>
      </c>
      <c r="T48" s="23">
        <f>I.15!G69</f>
        <v>2200</v>
      </c>
      <c r="U48" s="23">
        <f>I.16!I59</f>
        <v>210</v>
      </c>
      <c r="V48" s="23">
        <f>'I. 17.'!J63</f>
        <v>110</v>
      </c>
      <c r="W48" s="23">
        <f>'I. 18'!J64</f>
        <v>863.5</v>
      </c>
      <c r="X48" s="23">
        <f>I.19!K57</f>
        <v>0</v>
      </c>
      <c r="Y48" s="23">
        <f>I.20!H63</f>
        <v>872.66</v>
      </c>
      <c r="Z48" s="17">
        <f t="shared" si="1"/>
        <v>28742.85</v>
      </c>
      <c r="AA48" s="24"/>
      <c r="AB48" s="24"/>
      <c r="AC48" s="24"/>
      <c r="AD48" s="24"/>
    </row>
    <row r="49" ht="45.0" customHeight="1">
      <c r="A49" s="25" t="s">
        <v>90</v>
      </c>
      <c r="B49" s="26"/>
      <c r="C49" s="26"/>
      <c r="D49" s="26"/>
      <c r="E49" s="26"/>
      <c r="F49" s="27">
        <f t="shared" ref="F49:Y49" si="5">F47-F48</f>
        <v>0</v>
      </c>
      <c r="G49" s="27">
        <f t="shared" si="5"/>
        <v>0</v>
      </c>
      <c r="H49" s="28">
        <f t="shared" si="5"/>
        <v>0</v>
      </c>
      <c r="I49" s="27">
        <f t="shared" si="5"/>
        <v>0</v>
      </c>
      <c r="J49" s="27">
        <f t="shared" si="5"/>
        <v>0</v>
      </c>
      <c r="K49" s="27">
        <f t="shared" si="5"/>
        <v>0</v>
      </c>
      <c r="L49" s="27">
        <f t="shared" si="5"/>
        <v>0</v>
      </c>
      <c r="M49" s="27">
        <f t="shared" si="5"/>
        <v>0</v>
      </c>
      <c r="N49" s="27">
        <f t="shared" si="5"/>
        <v>0</v>
      </c>
      <c r="O49" s="27">
        <f t="shared" si="5"/>
        <v>0</v>
      </c>
      <c r="P49" s="27">
        <f t="shared" si="5"/>
        <v>0</v>
      </c>
      <c r="Q49" s="27">
        <f t="shared" si="5"/>
        <v>0</v>
      </c>
      <c r="R49" s="27">
        <f t="shared" si="5"/>
        <v>0</v>
      </c>
      <c r="S49" s="27">
        <f t="shared" si="5"/>
        <v>0</v>
      </c>
      <c r="T49" s="27">
        <f t="shared" si="5"/>
        <v>0</v>
      </c>
      <c r="U49" s="27">
        <f t="shared" si="5"/>
        <v>0</v>
      </c>
      <c r="V49" s="27">
        <f t="shared" si="5"/>
        <v>0</v>
      </c>
      <c r="W49" s="27">
        <f t="shared" si="5"/>
        <v>0</v>
      </c>
      <c r="X49" s="27">
        <f t="shared" si="5"/>
        <v>0</v>
      </c>
      <c r="Y49" s="27">
        <f t="shared" si="5"/>
        <v>0</v>
      </c>
      <c r="Z49" s="19">
        <f t="shared" si="1"/>
        <v>0</v>
      </c>
      <c r="AA49" s="29" t="s">
        <v>91</v>
      </c>
      <c r="AB49" s="30"/>
      <c r="AC49" s="30"/>
      <c r="AD49" s="30"/>
    </row>
    <row r="50" ht="15.75" customHeight="1">
      <c r="A50" s="1"/>
      <c r="B50" s="1"/>
      <c r="C50" s="1"/>
      <c r="D50" s="1"/>
      <c r="E50" s="1"/>
      <c r="F50" s="2"/>
      <c r="G50" s="1"/>
    </row>
    <row r="51" ht="53.25" customHeight="1">
      <c r="A51" s="1"/>
      <c r="B51" s="31" t="s">
        <v>92</v>
      </c>
      <c r="C51" s="31"/>
      <c r="D51" s="32">
        <v>42.0</v>
      </c>
      <c r="E51" s="1"/>
      <c r="F51" s="2"/>
      <c r="G51" s="1"/>
    </row>
    <row r="52" ht="53.25" customHeight="1">
      <c r="A52" s="1"/>
      <c r="B52" s="33" t="s">
        <v>93</v>
      </c>
      <c r="C52" s="33"/>
      <c r="D52" s="21">
        <f>COUNTA(D5:D46)</f>
        <v>42</v>
      </c>
      <c r="E52" s="1"/>
      <c r="F52" s="2"/>
      <c r="G52" s="1"/>
    </row>
    <row r="53" ht="53.25" customHeight="1">
      <c r="A53" s="1"/>
      <c r="B53" s="34" t="s">
        <v>94</v>
      </c>
      <c r="C53" s="34"/>
      <c r="D53" s="35">
        <f>D51-D52</f>
        <v>0</v>
      </c>
      <c r="E53" s="8" t="s">
        <v>95</v>
      </c>
      <c r="F53" s="2"/>
      <c r="G53" s="1"/>
    </row>
    <row r="54" ht="15.75" customHeight="1">
      <c r="A54" s="1"/>
      <c r="B54" s="1"/>
      <c r="C54" s="1"/>
      <c r="D54" s="1"/>
      <c r="E54" s="1"/>
      <c r="F54" s="2"/>
      <c r="G54" s="1"/>
    </row>
    <row r="55" ht="15.75" customHeight="1">
      <c r="A55" s="1"/>
      <c r="B55" s="1"/>
      <c r="C55" s="1"/>
      <c r="D55" s="1"/>
      <c r="E55" s="1"/>
      <c r="F55" s="2"/>
      <c r="G55" s="1"/>
    </row>
    <row r="56" ht="15.75" customHeight="1">
      <c r="A56" s="1"/>
      <c r="B56" s="1"/>
      <c r="C56" s="1"/>
      <c r="D56" s="1"/>
      <c r="E56" s="1"/>
      <c r="F56" s="2"/>
      <c r="G56" s="1"/>
    </row>
    <row r="57" ht="15.75" customHeight="1">
      <c r="A57" s="1"/>
      <c r="B57" s="1"/>
      <c r="C57" s="1"/>
      <c r="D57" s="1"/>
      <c r="E57" s="1"/>
      <c r="F57" s="2"/>
      <c r="G57" s="1"/>
    </row>
    <row r="58" ht="15.75" customHeight="1">
      <c r="A58" s="1"/>
      <c r="B58" s="1"/>
      <c r="C58" s="1"/>
      <c r="D58" s="1"/>
      <c r="E58" s="1"/>
      <c r="F58" s="2"/>
      <c r="G58" s="1"/>
    </row>
    <row r="59" ht="15.75" customHeight="1">
      <c r="A59" s="1"/>
      <c r="B59" s="1"/>
      <c r="C59" s="1"/>
      <c r="D59" s="1"/>
      <c r="E59" s="1"/>
      <c r="F59" s="2"/>
      <c r="G59" s="1"/>
    </row>
    <row r="60" ht="15.75" customHeight="1">
      <c r="A60" s="1"/>
      <c r="B60" s="1"/>
      <c r="C60" s="1"/>
      <c r="D60" s="1"/>
      <c r="E60" s="1"/>
      <c r="F60" s="2"/>
      <c r="G60" s="1"/>
    </row>
    <row r="61" ht="15.75" customHeight="1">
      <c r="A61" s="1"/>
      <c r="B61" s="1"/>
      <c r="C61" s="1"/>
      <c r="D61" s="1"/>
      <c r="E61" s="1"/>
      <c r="F61" s="2"/>
      <c r="G61" s="1"/>
    </row>
    <row r="62" ht="15.75" customHeight="1">
      <c r="A62" s="1"/>
      <c r="B62" s="1"/>
      <c r="C62" s="1"/>
      <c r="D62" s="1"/>
      <c r="E62" s="1"/>
      <c r="F62" s="2"/>
      <c r="G62" s="1"/>
    </row>
    <row r="63" ht="15.75" customHeight="1">
      <c r="A63" s="1"/>
      <c r="B63" s="1"/>
      <c r="C63" s="1"/>
      <c r="D63" s="1"/>
      <c r="E63" s="1"/>
      <c r="F63" s="2"/>
      <c r="G63" s="1"/>
    </row>
    <row r="64" ht="15.75" customHeight="1">
      <c r="A64" s="1"/>
      <c r="B64" s="1"/>
      <c r="C64" s="1"/>
      <c r="D64" s="1"/>
      <c r="E64" s="1"/>
      <c r="F64" s="2"/>
      <c r="G64" s="1"/>
    </row>
    <row r="65" ht="15.75" customHeight="1">
      <c r="A65" s="1"/>
      <c r="B65" s="1"/>
      <c r="C65" s="1"/>
      <c r="D65" s="1"/>
      <c r="E65" s="1"/>
      <c r="F65" s="2"/>
      <c r="G65" s="1"/>
    </row>
    <row r="66" ht="15.75" customHeight="1">
      <c r="A66" s="1"/>
      <c r="B66" s="1"/>
      <c r="C66" s="1"/>
      <c r="D66" s="1"/>
      <c r="E66" s="1"/>
      <c r="F66" s="2"/>
      <c r="G66" s="1"/>
    </row>
    <row r="67" ht="15.75" customHeight="1">
      <c r="A67" s="1"/>
      <c r="B67" s="1"/>
      <c r="C67" s="1"/>
      <c r="D67" s="1"/>
      <c r="E67" s="1"/>
      <c r="F67" s="2"/>
      <c r="G67" s="1"/>
    </row>
    <row r="68" ht="15.75" customHeight="1">
      <c r="A68" s="1"/>
      <c r="B68" s="1"/>
      <c r="C68" s="1"/>
      <c r="D68" s="1"/>
      <c r="E68" s="1"/>
      <c r="F68" s="2"/>
      <c r="G68" s="1"/>
    </row>
    <row r="69" ht="15.75" customHeight="1">
      <c r="A69" s="1"/>
      <c r="B69" s="1"/>
      <c r="C69" s="1"/>
      <c r="D69" s="1"/>
      <c r="E69" s="1"/>
      <c r="F69" s="2"/>
      <c r="G69" s="1"/>
    </row>
    <row r="70" ht="15.75" customHeight="1">
      <c r="A70" s="1"/>
      <c r="B70" s="1"/>
      <c r="C70" s="1"/>
      <c r="D70" s="1"/>
      <c r="E70" s="1"/>
      <c r="F70" s="2"/>
      <c r="G70" s="1"/>
    </row>
    <row r="71" ht="15.75" customHeight="1">
      <c r="A71" s="1"/>
      <c r="B71" s="1"/>
      <c r="C71" s="1"/>
      <c r="D71" s="1"/>
      <c r="E71" s="1"/>
      <c r="F71" s="2"/>
      <c r="G71" s="1"/>
    </row>
    <row r="72" ht="15.75" customHeight="1">
      <c r="A72" s="1"/>
      <c r="B72" s="1"/>
      <c r="C72" s="1"/>
      <c r="D72" s="1"/>
      <c r="E72" s="1"/>
      <c r="F72" s="2"/>
      <c r="G72" s="1"/>
    </row>
    <row r="73" ht="15.75" customHeight="1">
      <c r="A73" s="1"/>
      <c r="B73" s="1"/>
      <c r="C73" s="1"/>
      <c r="D73" s="1"/>
      <c r="E73" s="1"/>
      <c r="F73" s="2"/>
      <c r="G73" s="1"/>
    </row>
    <row r="74" ht="15.75" customHeight="1">
      <c r="A74" s="1"/>
      <c r="B74" s="1"/>
      <c r="C74" s="1"/>
      <c r="D74" s="1"/>
      <c r="E74" s="1"/>
      <c r="F74" s="2"/>
      <c r="G74" s="1"/>
    </row>
    <row r="75" ht="15.75" customHeight="1">
      <c r="A75" s="1"/>
      <c r="B75" s="1"/>
      <c r="C75" s="1"/>
      <c r="D75" s="1"/>
      <c r="E75" s="1"/>
      <c r="F75" s="2"/>
      <c r="G75" s="1"/>
    </row>
    <row r="76" ht="15.75" customHeight="1">
      <c r="A76" s="1"/>
      <c r="B76" s="1"/>
      <c r="C76" s="1"/>
      <c r="D76" s="1"/>
      <c r="E76" s="1"/>
      <c r="F76" s="2"/>
      <c r="G76" s="1"/>
    </row>
    <row r="77" ht="15.75" customHeight="1">
      <c r="A77" s="1"/>
      <c r="B77" s="1"/>
      <c r="C77" s="1"/>
      <c r="D77" s="1"/>
      <c r="E77" s="1"/>
      <c r="F77" s="2"/>
      <c r="G77" s="1"/>
    </row>
    <row r="78" ht="15.75" customHeight="1">
      <c r="A78" s="1"/>
      <c r="B78" s="1"/>
      <c r="C78" s="1"/>
      <c r="D78" s="1"/>
      <c r="E78" s="1"/>
      <c r="F78" s="2"/>
      <c r="G78" s="1"/>
    </row>
    <row r="79" ht="15.75" customHeight="1">
      <c r="A79" s="1"/>
      <c r="B79" s="1"/>
      <c r="C79" s="1"/>
      <c r="D79" s="1"/>
      <c r="E79" s="1"/>
      <c r="F79" s="2"/>
      <c r="G79" s="1"/>
    </row>
    <row r="80" ht="15.75" customHeight="1">
      <c r="A80" s="1"/>
      <c r="B80" s="1"/>
      <c r="C80" s="1"/>
      <c r="D80" s="1"/>
      <c r="E80" s="1"/>
      <c r="F80" s="2"/>
      <c r="G80" s="1"/>
    </row>
    <row r="81" ht="15.75" customHeight="1">
      <c r="A81" s="1"/>
      <c r="B81" s="1"/>
      <c r="C81" s="1"/>
      <c r="D81" s="1"/>
      <c r="E81" s="1"/>
      <c r="F81" s="2"/>
      <c r="G81" s="1"/>
    </row>
    <row r="82" ht="15.75" customHeight="1">
      <c r="A82" s="1"/>
      <c r="B82" s="1"/>
      <c r="C82" s="1"/>
      <c r="D82" s="1"/>
      <c r="E82" s="1"/>
      <c r="F82" s="2"/>
      <c r="G82" s="1"/>
    </row>
    <row r="83" ht="15.75" customHeight="1">
      <c r="A83" s="1"/>
      <c r="B83" s="1"/>
      <c r="C83" s="1"/>
      <c r="D83" s="1"/>
      <c r="E83" s="1"/>
      <c r="F83" s="2"/>
      <c r="G83" s="1"/>
    </row>
    <row r="84" ht="15.75" customHeight="1">
      <c r="A84" s="1"/>
      <c r="B84" s="1"/>
      <c r="C84" s="1"/>
      <c r="D84" s="1"/>
      <c r="E84" s="1"/>
      <c r="F84" s="2"/>
      <c r="G84" s="1"/>
    </row>
    <row r="85" ht="15.75" customHeight="1">
      <c r="A85" s="1"/>
      <c r="B85" s="1"/>
      <c r="C85" s="1"/>
      <c r="D85" s="1"/>
      <c r="E85" s="1"/>
      <c r="F85" s="2"/>
      <c r="G85" s="1"/>
    </row>
    <row r="86" ht="15.75" customHeight="1">
      <c r="A86" s="1"/>
      <c r="B86" s="1"/>
      <c r="C86" s="1"/>
      <c r="D86" s="1"/>
      <c r="E86" s="1"/>
      <c r="F86" s="2"/>
      <c r="G86" s="1"/>
    </row>
    <row r="87" ht="15.75" customHeight="1">
      <c r="A87" s="1"/>
      <c r="B87" s="1"/>
      <c r="C87" s="1"/>
      <c r="D87" s="1"/>
      <c r="E87" s="1"/>
      <c r="F87" s="2"/>
      <c r="G87" s="1"/>
    </row>
    <row r="88" ht="15.75" customHeight="1">
      <c r="A88" s="1"/>
      <c r="B88" s="1"/>
      <c r="C88" s="1"/>
      <c r="D88" s="1"/>
      <c r="E88" s="1"/>
      <c r="F88" s="2"/>
      <c r="G88" s="1"/>
    </row>
    <row r="89" ht="15.75" customHeight="1">
      <c r="A89" s="1"/>
      <c r="B89" s="1"/>
      <c r="C89" s="1"/>
      <c r="D89" s="1"/>
      <c r="E89" s="1"/>
      <c r="F89" s="2"/>
      <c r="G89" s="1"/>
    </row>
    <row r="90" ht="15.75" customHeight="1">
      <c r="A90" s="1"/>
      <c r="B90" s="1"/>
      <c r="C90" s="1"/>
      <c r="D90" s="1"/>
      <c r="E90" s="1"/>
      <c r="F90" s="2"/>
      <c r="G90" s="1"/>
    </row>
    <row r="91" ht="15.75" customHeight="1">
      <c r="A91" s="1"/>
      <c r="B91" s="1"/>
      <c r="C91" s="1"/>
      <c r="D91" s="1"/>
      <c r="E91" s="1"/>
      <c r="F91" s="2"/>
      <c r="G91" s="1"/>
    </row>
    <row r="92" ht="15.75" customHeight="1">
      <c r="A92" s="1"/>
      <c r="B92" s="1"/>
      <c r="C92" s="1"/>
      <c r="D92" s="1"/>
      <c r="E92" s="1"/>
      <c r="F92" s="2"/>
      <c r="G92" s="1"/>
    </row>
    <row r="93" ht="15.75" customHeight="1">
      <c r="A93" s="1"/>
      <c r="B93" s="1"/>
      <c r="C93" s="1"/>
      <c r="D93" s="1"/>
      <c r="E93" s="1"/>
      <c r="F93" s="2"/>
      <c r="G93" s="1"/>
    </row>
    <row r="94" ht="15.75" customHeight="1">
      <c r="A94" s="1"/>
      <c r="B94" s="1"/>
      <c r="C94" s="1"/>
      <c r="D94" s="1"/>
      <c r="E94" s="1"/>
      <c r="F94" s="2"/>
      <c r="G94" s="1"/>
    </row>
    <row r="95" ht="15.75" customHeight="1">
      <c r="A95" s="1"/>
      <c r="B95" s="1"/>
      <c r="C95" s="1"/>
      <c r="D95" s="1"/>
      <c r="E95" s="1"/>
      <c r="F95" s="2"/>
      <c r="G95" s="1"/>
    </row>
    <row r="96" ht="15.75" customHeight="1">
      <c r="A96" s="1"/>
      <c r="B96" s="1"/>
      <c r="C96" s="1"/>
      <c r="D96" s="1"/>
      <c r="E96" s="1"/>
      <c r="F96" s="2"/>
      <c r="G96" s="1"/>
    </row>
    <row r="97" ht="15.75" customHeight="1">
      <c r="A97" s="1"/>
      <c r="B97" s="1"/>
      <c r="C97" s="1"/>
      <c r="D97" s="1"/>
      <c r="E97" s="1"/>
      <c r="F97" s="2"/>
      <c r="G97" s="1"/>
    </row>
    <row r="98" ht="15.75" customHeight="1">
      <c r="A98" s="1"/>
      <c r="B98" s="1"/>
      <c r="C98" s="1"/>
      <c r="D98" s="1"/>
      <c r="E98" s="1"/>
      <c r="F98" s="2"/>
      <c r="G98" s="1"/>
    </row>
    <row r="99" ht="15.75" customHeight="1">
      <c r="A99" s="1"/>
      <c r="B99" s="1"/>
      <c r="C99" s="1"/>
      <c r="D99" s="1"/>
      <c r="E99" s="1"/>
      <c r="F99" s="2"/>
      <c r="G99" s="1"/>
    </row>
    <row r="100" ht="15.75" customHeight="1">
      <c r="A100" s="1"/>
      <c r="B100" s="1"/>
      <c r="C100" s="1"/>
      <c r="D100" s="1"/>
      <c r="E100" s="1"/>
      <c r="F100" s="2"/>
      <c r="G100" s="1"/>
    </row>
    <row r="101" ht="15.75" customHeight="1">
      <c r="A101" s="1"/>
      <c r="B101" s="1"/>
      <c r="C101" s="1"/>
      <c r="D101" s="1"/>
      <c r="E101" s="1"/>
      <c r="F101" s="2"/>
      <c r="G101" s="1"/>
    </row>
    <row r="102" ht="15.75" customHeight="1">
      <c r="A102" s="1"/>
      <c r="B102" s="1"/>
      <c r="C102" s="1"/>
      <c r="D102" s="1"/>
      <c r="E102" s="1"/>
      <c r="F102" s="2"/>
      <c r="G102" s="1"/>
    </row>
    <row r="103" ht="15.75" customHeight="1">
      <c r="A103" s="1"/>
      <c r="B103" s="1"/>
      <c r="C103" s="1"/>
      <c r="D103" s="1"/>
      <c r="E103" s="1"/>
      <c r="F103" s="2"/>
      <c r="G103" s="1"/>
    </row>
    <row r="104" ht="15.75" customHeight="1">
      <c r="A104" s="1"/>
      <c r="B104" s="1"/>
      <c r="C104" s="1"/>
      <c r="D104" s="1"/>
      <c r="E104" s="1"/>
      <c r="F104" s="2"/>
      <c r="G104" s="1"/>
    </row>
    <row r="105" ht="15.75" customHeight="1">
      <c r="A105" s="1"/>
      <c r="B105" s="1"/>
      <c r="C105" s="1"/>
      <c r="D105" s="1"/>
      <c r="E105" s="1"/>
      <c r="F105" s="2"/>
      <c r="G105" s="1"/>
    </row>
    <row r="106" ht="15.75" customHeight="1">
      <c r="A106" s="1"/>
      <c r="B106" s="1"/>
      <c r="C106" s="1"/>
      <c r="D106" s="1"/>
      <c r="E106" s="1"/>
      <c r="F106" s="2"/>
      <c r="G106" s="1"/>
    </row>
    <row r="107" ht="15.75" customHeight="1">
      <c r="A107" s="1"/>
      <c r="B107" s="1"/>
      <c r="C107" s="1"/>
      <c r="D107" s="1"/>
      <c r="E107" s="1"/>
      <c r="F107" s="2"/>
      <c r="G107" s="1"/>
    </row>
    <row r="108" ht="15.75" customHeight="1">
      <c r="A108" s="1"/>
      <c r="B108" s="1"/>
      <c r="C108" s="1"/>
      <c r="D108" s="1"/>
      <c r="E108" s="1"/>
      <c r="F108" s="2"/>
      <c r="G108" s="1"/>
    </row>
    <row r="109" ht="15.75" customHeight="1">
      <c r="A109" s="1"/>
      <c r="B109" s="1"/>
      <c r="C109" s="1"/>
      <c r="D109" s="1"/>
      <c r="E109" s="1"/>
      <c r="F109" s="2"/>
      <c r="G109" s="1"/>
    </row>
    <row r="110" ht="15.75" customHeight="1">
      <c r="A110" s="1"/>
      <c r="B110" s="1"/>
      <c r="C110" s="1"/>
      <c r="D110" s="1"/>
      <c r="E110" s="1"/>
      <c r="F110" s="2"/>
      <c r="G110" s="1"/>
    </row>
    <row r="111" ht="15.75" customHeight="1">
      <c r="A111" s="1"/>
      <c r="B111" s="1"/>
      <c r="C111" s="1"/>
      <c r="D111" s="1"/>
      <c r="E111" s="1"/>
      <c r="F111" s="2"/>
      <c r="G111" s="1"/>
    </row>
    <row r="112" ht="15.75" customHeight="1">
      <c r="A112" s="1"/>
      <c r="B112" s="1"/>
      <c r="C112" s="1"/>
      <c r="D112" s="1"/>
      <c r="E112" s="1"/>
      <c r="F112" s="2"/>
      <c r="G112" s="1"/>
    </row>
    <row r="113" ht="15.75" customHeight="1">
      <c r="A113" s="1"/>
      <c r="B113" s="1"/>
      <c r="C113" s="1"/>
      <c r="D113" s="1"/>
      <c r="E113" s="1"/>
      <c r="F113" s="2"/>
      <c r="G113" s="1"/>
    </row>
    <row r="114" ht="15.75" customHeight="1">
      <c r="A114" s="1"/>
      <c r="B114" s="1"/>
      <c r="C114" s="1"/>
      <c r="D114" s="1"/>
      <c r="E114" s="1"/>
      <c r="F114" s="2"/>
      <c r="G114" s="1"/>
    </row>
    <row r="115" ht="15.75" customHeight="1">
      <c r="A115" s="1"/>
      <c r="B115" s="1"/>
      <c r="C115" s="1"/>
      <c r="D115" s="1"/>
      <c r="E115" s="1"/>
      <c r="F115" s="2"/>
      <c r="G115" s="1"/>
    </row>
    <row r="116" ht="15.75" customHeight="1">
      <c r="A116" s="1"/>
      <c r="B116" s="1"/>
      <c r="C116" s="1"/>
      <c r="D116" s="1"/>
      <c r="E116" s="1"/>
      <c r="F116" s="2"/>
      <c r="G116" s="1"/>
    </row>
    <row r="117" ht="15.75" customHeight="1">
      <c r="A117" s="1"/>
      <c r="B117" s="1"/>
      <c r="C117" s="1"/>
      <c r="D117" s="1"/>
      <c r="E117" s="1"/>
      <c r="F117" s="2"/>
      <c r="G117" s="1"/>
    </row>
    <row r="118" ht="15.75" customHeight="1">
      <c r="A118" s="1"/>
      <c r="B118" s="1"/>
      <c r="C118" s="1"/>
      <c r="D118" s="1"/>
      <c r="E118" s="1"/>
      <c r="F118" s="2"/>
      <c r="G118" s="1"/>
    </row>
    <row r="119" ht="15.75" customHeight="1">
      <c r="A119" s="1"/>
      <c r="B119" s="1"/>
      <c r="C119" s="1"/>
      <c r="D119" s="1"/>
      <c r="E119" s="1"/>
      <c r="F119" s="2"/>
      <c r="G119" s="1"/>
    </row>
    <row r="120" ht="15.75" customHeight="1">
      <c r="A120" s="1"/>
      <c r="B120" s="1"/>
      <c r="C120" s="1"/>
      <c r="D120" s="1"/>
      <c r="E120" s="1"/>
      <c r="F120" s="2"/>
      <c r="G120" s="1"/>
    </row>
    <row r="121" ht="15.75" customHeight="1">
      <c r="A121" s="1"/>
      <c r="B121" s="1"/>
      <c r="C121" s="1"/>
      <c r="D121" s="1"/>
      <c r="E121" s="1"/>
      <c r="F121" s="2"/>
      <c r="G121" s="1"/>
    </row>
    <row r="122" ht="15.75" customHeight="1">
      <c r="A122" s="1"/>
      <c r="B122" s="1"/>
      <c r="C122" s="1"/>
      <c r="D122" s="1"/>
      <c r="E122" s="1"/>
      <c r="F122" s="2"/>
      <c r="G122" s="1"/>
    </row>
    <row r="123" ht="15.75" customHeight="1">
      <c r="A123" s="1"/>
      <c r="B123" s="1"/>
      <c r="C123" s="1"/>
      <c r="D123" s="1"/>
      <c r="E123" s="1"/>
      <c r="F123" s="2"/>
      <c r="G123" s="1"/>
    </row>
    <row r="124" ht="15.75" customHeight="1">
      <c r="A124" s="1"/>
      <c r="B124" s="1"/>
      <c r="C124" s="1"/>
      <c r="D124" s="1"/>
      <c r="E124" s="1"/>
      <c r="F124" s="2"/>
      <c r="G124" s="1"/>
    </row>
    <row r="125" ht="15.75" customHeight="1">
      <c r="A125" s="1"/>
      <c r="B125" s="1"/>
      <c r="C125" s="1"/>
      <c r="D125" s="1"/>
      <c r="E125" s="1"/>
      <c r="F125" s="2"/>
      <c r="G125" s="1"/>
    </row>
    <row r="126" ht="15.75" customHeight="1">
      <c r="A126" s="1"/>
      <c r="B126" s="1"/>
      <c r="C126" s="1"/>
      <c r="D126" s="1"/>
      <c r="E126" s="1"/>
      <c r="F126" s="2"/>
      <c r="G126" s="1"/>
    </row>
    <row r="127" ht="15.75" customHeight="1">
      <c r="A127" s="1"/>
      <c r="B127" s="1"/>
      <c r="C127" s="1"/>
      <c r="D127" s="1"/>
      <c r="E127" s="1"/>
      <c r="F127" s="2"/>
      <c r="G127" s="1"/>
    </row>
    <row r="128" ht="15.75" customHeight="1">
      <c r="A128" s="1"/>
      <c r="B128" s="1"/>
      <c r="C128" s="1"/>
      <c r="D128" s="1"/>
      <c r="E128" s="1"/>
      <c r="F128" s="2"/>
      <c r="G128" s="1"/>
    </row>
    <row r="129" ht="15.75" customHeight="1">
      <c r="A129" s="1"/>
      <c r="B129" s="1"/>
      <c r="C129" s="1"/>
      <c r="D129" s="1"/>
      <c r="E129" s="1"/>
      <c r="F129" s="2"/>
      <c r="G129" s="1"/>
    </row>
    <row r="130" ht="15.75" customHeight="1">
      <c r="A130" s="1"/>
      <c r="B130" s="1"/>
      <c r="C130" s="1"/>
      <c r="D130" s="1"/>
      <c r="E130" s="1"/>
      <c r="F130" s="2"/>
      <c r="G130" s="1"/>
    </row>
    <row r="131" ht="15.75" customHeight="1">
      <c r="A131" s="1"/>
      <c r="B131" s="1"/>
      <c r="C131" s="1"/>
      <c r="D131" s="1"/>
      <c r="E131" s="1"/>
      <c r="F131" s="2"/>
      <c r="G131" s="1"/>
    </row>
    <row r="132" ht="15.75" customHeight="1">
      <c r="A132" s="1"/>
      <c r="B132" s="1"/>
      <c r="C132" s="1"/>
      <c r="D132" s="1"/>
      <c r="E132" s="1"/>
      <c r="F132" s="2"/>
      <c r="G132" s="1"/>
    </row>
    <row r="133" ht="15.75" customHeight="1">
      <c r="A133" s="1"/>
      <c r="B133" s="1"/>
      <c r="C133" s="1"/>
      <c r="D133" s="1"/>
      <c r="E133" s="1"/>
      <c r="F133" s="2"/>
      <c r="G133" s="1"/>
    </row>
    <row r="134" ht="15.75" customHeight="1">
      <c r="A134" s="1"/>
      <c r="B134" s="1"/>
      <c r="C134" s="1"/>
      <c r="D134" s="1"/>
      <c r="E134" s="1"/>
      <c r="F134" s="2"/>
      <c r="G134" s="1"/>
    </row>
    <row r="135" ht="15.75" customHeight="1">
      <c r="A135" s="1"/>
      <c r="B135" s="1"/>
      <c r="C135" s="1"/>
      <c r="D135" s="1"/>
      <c r="E135" s="1"/>
      <c r="F135" s="2"/>
      <c r="G135" s="1"/>
    </row>
    <row r="136" ht="15.75" customHeight="1">
      <c r="A136" s="1"/>
      <c r="B136" s="1"/>
      <c r="C136" s="1"/>
      <c r="D136" s="1"/>
      <c r="E136" s="1"/>
      <c r="F136" s="2"/>
      <c r="G136" s="1"/>
    </row>
    <row r="137" ht="15.75" customHeight="1">
      <c r="A137" s="1"/>
      <c r="B137" s="1"/>
      <c r="C137" s="1"/>
      <c r="D137" s="1"/>
      <c r="E137" s="1"/>
      <c r="F137" s="2"/>
      <c r="G137" s="1"/>
    </row>
    <row r="138" ht="15.75" customHeight="1">
      <c r="A138" s="1"/>
      <c r="B138" s="1"/>
      <c r="C138" s="1"/>
      <c r="D138" s="1"/>
      <c r="E138" s="1"/>
      <c r="F138" s="2"/>
      <c r="G138" s="1"/>
    </row>
    <row r="139" ht="15.75" customHeight="1">
      <c r="A139" s="1"/>
      <c r="B139" s="1"/>
      <c r="C139" s="1"/>
      <c r="D139" s="1"/>
      <c r="E139" s="1"/>
      <c r="F139" s="2"/>
      <c r="G139" s="1"/>
    </row>
    <row r="140" ht="15.75" customHeight="1">
      <c r="A140" s="1"/>
      <c r="B140" s="1"/>
      <c r="C140" s="1"/>
      <c r="D140" s="1"/>
      <c r="E140" s="1"/>
      <c r="F140" s="2"/>
      <c r="G140" s="1"/>
    </row>
    <row r="141" ht="15.75" customHeight="1">
      <c r="A141" s="1"/>
      <c r="B141" s="1"/>
      <c r="C141" s="1"/>
      <c r="D141" s="1"/>
      <c r="E141" s="1"/>
      <c r="F141" s="2"/>
      <c r="G141" s="1"/>
    </row>
    <row r="142" ht="15.75" customHeight="1">
      <c r="A142" s="1"/>
      <c r="B142" s="1"/>
      <c r="C142" s="1"/>
      <c r="D142" s="1"/>
      <c r="E142" s="1"/>
      <c r="F142" s="2"/>
      <c r="G142" s="1"/>
    </row>
    <row r="143" ht="15.75" customHeight="1">
      <c r="A143" s="1"/>
      <c r="B143" s="1"/>
      <c r="C143" s="1"/>
      <c r="D143" s="1"/>
      <c r="E143" s="1"/>
      <c r="F143" s="2"/>
      <c r="G143" s="1"/>
    </row>
    <row r="144" ht="15.75" customHeight="1">
      <c r="A144" s="1"/>
      <c r="B144" s="1"/>
      <c r="C144" s="1"/>
      <c r="D144" s="1"/>
      <c r="E144" s="1"/>
      <c r="F144" s="2"/>
      <c r="G144" s="1"/>
    </row>
    <row r="145" ht="15.75" customHeight="1">
      <c r="A145" s="1"/>
      <c r="B145" s="1"/>
      <c r="C145" s="1"/>
      <c r="D145" s="1"/>
      <c r="E145" s="1"/>
      <c r="F145" s="2"/>
      <c r="G145" s="1"/>
    </row>
    <row r="146" ht="15.75" customHeight="1">
      <c r="A146" s="1"/>
      <c r="B146" s="1"/>
      <c r="C146" s="1"/>
      <c r="D146" s="1"/>
      <c r="E146" s="1"/>
      <c r="F146" s="2"/>
      <c r="G146" s="1"/>
    </row>
    <row r="147" ht="15.75" customHeight="1">
      <c r="A147" s="1"/>
      <c r="B147" s="1"/>
      <c r="C147" s="1"/>
      <c r="D147" s="1"/>
      <c r="E147" s="1"/>
      <c r="F147" s="2"/>
      <c r="G147" s="1"/>
    </row>
    <row r="148" ht="15.75" customHeight="1">
      <c r="A148" s="1"/>
      <c r="B148" s="1"/>
      <c r="C148" s="1"/>
      <c r="D148" s="1"/>
      <c r="E148" s="1"/>
      <c r="F148" s="2"/>
      <c r="G148" s="1"/>
    </row>
    <row r="149" ht="15.75" customHeight="1">
      <c r="A149" s="1"/>
      <c r="B149" s="1"/>
      <c r="C149" s="1"/>
      <c r="D149" s="1"/>
      <c r="E149" s="1"/>
      <c r="F149" s="2"/>
      <c r="G149" s="1"/>
    </row>
    <row r="150" ht="15.75" customHeight="1">
      <c r="A150" s="1"/>
      <c r="B150" s="1"/>
      <c r="C150" s="1"/>
      <c r="D150" s="1"/>
      <c r="E150" s="1"/>
      <c r="F150" s="2"/>
      <c r="G150" s="1"/>
    </row>
    <row r="151" ht="15.75" customHeight="1">
      <c r="A151" s="1"/>
      <c r="B151" s="1"/>
      <c r="C151" s="1"/>
      <c r="D151" s="1"/>
      <c r="E151" s="1"/>
      <c r="F151" s="2"/>
      <c r="G151" s="1"/>
    </row>
    <row r="152" ht="15.75" customHeight="1">
      <c r="A152" s="1"/>
      <c r="B152" s="1"/>
      <c r="C152" s="1"/>
      <c r="D152" s="1"/>
      <c r="E152" s="1"/>
      <c r="F152" s="2"/>
      <c r="G152" s="1"/>
    </row>
    <row r="153" ht="15.75" customHeight="1">
      <c r="A153" s="1"/>
      <c r="B153" s="1"/>
      <c r="C153" s="1"/>
      <c r="D153" s="1"/>
      <c r="E153" s="1"/>
      <c r="F153" s="2"/>
      <c r="G153" s="1"/>
    </row>
    <row r="154" ht="15.75" customHeight="1">
      <c r="A154" s="1"/>
      <c r="B154" s="1"/>
      <c r="C154" s="1"/>
      <c r="D154" s="1"/>
      <c r="E154" s="1"/>
      <c r="F154" s="2"/>
      <c r="G154" s="1"/>
    </row>
    <row r="155" ht="15.75" customHeight="1">
      <c r="A155" s="1"/>
      <c r="B155" s="1"/>
      <c r="C155" s="1"/>
      <c r="D155" s="1"/>
      <c r="E155" s="1"/>
      <c r="F155" s="2"/>
      <c r="G155" s="1"/>
    </row>
    <row r="156" ht="15.75" customHeight="1">
      <c r="A156" s="1"/>
      <c r="B156" s="1"/>
      <c r="C156" s="1"/>
      <c r="D156" s="1"/>
      <c r="E156" s="1"/>
      <c r="F156" s="2"/>
      <c r="G156" s="1"/>
    </row>
    <row r="157" ht="15.75" customHeight="1">
      <c r="A157" s="1"/>
      <c r="B157" s="1"/>
      <c r="C157" s="1"/>
      <c r="D157" s="1"/>
      <c r="E157" s="1"/>
      <c r="F157" s="2"/>
      <c r="G157" s="1"/>
    </row>
    <row r="158" ht="15.75" customHeight="1">
      <c r="A158" s="1"/>
      <c r="B158" s="1"/>
      <c r="C158" s="1"/>
      <c r="D158" s="1"/>
      <c r="E158" s="1"/>
      <c r="F158" s="2"/>
      <c r="G158" s="1"/>
    </row>
    <row r="159" ht="15.75" customHeight="1">
      <c r="A159" s="1"/>
      <c r="B159" s="1"/>
      <c r="C159" s="1"/>
      <c r="D159" s="1"/>
      <c r="E159" s="1"/>
      <c r="F159" s="2"/>
      <c r="G159" s="1"/>
    </row>
    <row r="160" ht="15.75" customHeight="1">
      <c r="A160" s="1"/>
      <c r="B160" s="1"/>
      <c r="C160" s="1"/>
      <c r="D160" s="1"/>
      <c r="E160" s="1"/>
      <c r="F160" s="2"/>
      <c r="G160" s="1"/>
    </row>
    <row r="161" ht="15.75" customHeight="1">
      <c r="A161" s="1"/>
      <c r="B161" s="1"/>
      <c r="C161" s="1"/>
      <c r="D161" s="1"/>
      <c r="E161" s="1"/>
      <c r="F161" s="2"/>
      <c r="G161" s="1"/>
    </row>
    <row r="162" ht="15.75" customHeight="1">
      <c r="A162" s="1"/>
      <c r="B162" s="1"/>
      <c r="C162" s="1"/>
      <c r="D162" s="1"/>
      <c r="E162" s="1"/>
      <c r="F162" s="2"/>
      <c r="G162" s="1"/>
    </row>
    <row r="163" ht="15.75" customHeight="1">
      <c r="A163" s="1"/>
      <c r="B163" s="1"/>
      <c r="C163" s="1"/>
      <c r="D163" s="1"/>
      <c r="E163" s="1"/>
      <c r="F163" s="2"/>
      <c r="G163" s="1"/>
    </row>
    <row r="164" ht="15.75" customHeight="1">
      <c r="A164" s="1"/>
      <c r="B164" s="1"/>
      <c r="C164" s="1"/>
      <c r="D164" s="1"/>
      <c r="E164" s="1"/>
      <c r="F164" s="2"/>
      <c r="G164" s="1"/>
    </row>
    <row r="165" ht="15.75" customHeight="1">
      <c r="A165" s="1"/>
      <c r="B165" s="1"/>
      <c r="C165" s="1"/>
      <c r="D165" s="1"/>
      <c r="E165" s="1"/>
      <c r="F165" s="2"/>
      <c r="G165" s="1"/>
    </row>
    <row r="166" ht="15.75" customHeight="1">
      <c r="A166" s="1"/>
      <c r="B166" s="1"/>
      <c r="C166" s="1"/>
      <c r="D166" s="1"/>
      <c r="E166" s="1"/>
      <c r="F166" s="2"/>
      <c r="G166" s="1"/>
    </row>
    <row r="167" ht="15.75" customHeight="1">
      <c r="A167" s="1"/>
      <c r="B167" s="1"/>
      <c r="C167" s="1"/>
      <c r="D167" s="1"/>
      <c r="E167" s="1"/>
      <c r="F167" s="2"/>
      <c r="G167" s="1"/>
    </row>
    <row r="168" ht="15.75" customHeight="1">
      <c r="A168" s="1"/>
      <c r="B168" s="1"/>
      <c r="C168" s="1"/>
      <c r="D168" s="1"/>
      <c r="E168" s="1"/>
      <c r="F168" s="2"/>
      <c r="G168" s="1"/>
    </row>
    <row r="169" ht="15.75" customHeight="1">
      <c r="A169" s="1"/>
      <c r="B169" s="1"/>
      <c r="C169" s="1"/>
      <c r="D169" s="1"/>
      <c r="E169" s="1"/>
      <c r="F169" s="2"/>
      <c r="G169" s="1"/>
    </row>
    <row r="170" ht="15.75" customHeight="1">
      <c r="A170" s="1"/>
      <c r="B170" s="1"/>
      <c r="C170" s="1"/>
      <c r="D170" s="1"/>
      <c r="E170" s="1"/>
      <c r="F170" s="2"/>
      <c r="G170" s="1"/>
    </row>
    <row r="171" ht="15.75" customHeight="1">
      <c r="A171" s="1"/>
      <c r="B171" s="1"/>
      <c r="C171" s="1"/>
      <c r="D171" s="1"/>
      <c r="E171" s="1"/>
      <c r="F171" s="2"/>
      <c r="G171" s="1"/>
    </row>
    <row r="172" ht="15.75" customHeight="1">
      <c r="A172" s="1"/>
      <c r="B172" s="1"/>
      <c r="C172" s="1"/>
      <c r="D172" s="1"/>
      <c r="E172" s="1"/>
      <c r="F172" s="2"/>
      <c r="G172" s="1"/>
    </row>
    <row r="173" ht="15.75" customHeight="1">
      <c r="A173" s="1"/>
      <c r="B173" s="1"/>
      <c r="C173" s="1"/>
      <c r="D173" s="1"/>
      <c r="E173" s="1"/>
      <c r="F173" s="2"/>
      <c r="G173" s="1"/>
    </row>
    <row r="174" ht="15.75" customHeight="1">
      <c r="A174" s="1"/>
      <c r="B174" s="1"/>
      <c r="C174" s="1"/>
      <c r="D174" s="1"/>
      <c r="E174" s="1"/>
      <c r="F174" s="2"/>
      <c r="G174" s="1"/>
    </row>
    <row r="175" ht="15.75" customHeight="1">
      <c r="A175" s="1"/>
      <c r="B175" s="1"/>
      <c r="C175" s="1"/>
      <c r="D175" s="1"/>
      <c r="E175" s="1"/>
      <c r="F175" s="2"/>
      <c r="G175" s="1"/>
    </row>
    <row r="176" ht="15.75" customHeight="1">
      <c r="A176" s="1"/>
      <c r="B176" s="1"/>
      <c r="C176" s="1"/>
      <c r="D176" s="1"/>
      <c r="E176" s="1"/>
      <c r="F176" s="2"/>
      <c r="G176" s="1"/>
    </row>
    <row r="177" ht="15.75" customHeight="1">
      <c r="A177" s="1"/>
      <c r="B177" s="1"/>
      <c r="C177" s="1"/>
      <c r="D177" s="1"/>
      <c r="E177" s="1"/>
      <c r="F177" s="2"/>
      <c r="G177" s="1"/>
    </row>
    <row r="178" ht="15.75" customHeight="1">
      <c r="A178" s="1"/>
      <c r="B178" s="1"/>
      <c r="C178" s="1"/>
      <c r="D178" s="1"/>
      <c r="E178" s="1"/>
      <c r="F178" s="2"/>
      <c r="G178" s="1"/>
    </row>
    <row r="179" ht="15.75" customHeight="1">
      <c r="A179" s="1"/>
      <c r="B179" s="1"/>
      <c r="C179" s="1"/>
      <c r="D179" s="1"/>
      <c r="E179" s="1"/>
      <c r="F179" s="2"/>
      <c r="G179" s="1"/>
    </row>
    <row r="180" ht="15.75" customHeight="1">
      <c r="A180" s="1"/>
      <c r="B180" s="1"/>
      <c r="C180" s="1"/>
      <c r="D180" s="1"/>
      <c r="E180" s="1"/>
      <c r="F180" s="2"/>
      <c r="G180" s="1"/>
    </row>
    <row r="181" ht="15.75" customHeight="1">
      <c r="A181" s="1"/>
      <c r="B181" s="1"/>
      <c r="C181" s="1"/>
      <c r="D181" s="1"/>
      <c r="E181" s="1"/>
      <c r="F181" s="2"/>
      <c r="G181" s="1"/>
    </row>
    <row r="182" ht="15.75" customHeight="1">
      <c r="A182" s="1"/>
      <c r="B182" s="1"/>
      <c r="C182" s="1"/>
      <c r="D182" s="1"/>
      <c r="E182" s="1"/>
      <c r="F182" s="2"/>
      <c r="G182" s="1"/>
    </row>
    <row r="183" ht="15.75" customHeight="1">
      <c r="A183" s="1"/>
      <c r="B183" s="1"/>
      <c r="C183" s="1"/>
      <c r="D183" s="1"/>
      <c r="E183" s="1"/>
      <c r="F183" s="2"/>
      <c r="G183" s="1"/>
    </row>
    <row r="184" ht="15.75" customHeight="1">
      <c r="A184" s="1"/>
      <c r="B184" s="1"/>
      <c r="C184" s="1"/>
      <c r="D184" s="1"/>
      <c r="E184" s="1"/>
      <c r="F184" s="2"/>
      <c r="G184" s="1"/>
    </row>
    <row r="185" ht="15.75" customHeight="1">
      <c r="A185" s="1"/>
      <c r="B185" s="1"/>
      <c r="C185" s="1"/>
      <c r="D185" s="1"/>
      <c r="E185" s="1"/>
      <c r="F185" s="2"/>
      <c r="G185" s="1"/>
    </row>
    <row r="186" ht="15.75" customHeight="1">
      <c r="A186" s="1"/>
      <c r="B186" s="1"/>
      <c r="C186" s="1"/>
      <c r="D186" s="1"/>
      <c r="E186" s="1"/>
      <c r="F186" s="2"/>
      <c r="G186" s="1"/>
    </row>
    <row r="187" ht="15.75" customHeight="1">
      <c r="A187" s="1"/>
      <c r="B187" s="1"/>
      <c r="C187" s="1"/>
      <c r="D187" s="1"/>
      <c r="E187" s="1"/>
      <c r="F187" s="2"/>
      <c r="G187" s="1"/>
    </row>
    <row r="188" ht="15.75" customHeight="1">
      <c r="A188" s="1"/>
      <c r="B188" s="1"/>
      <c r="C188" s="1"/>
      <c r="D188" s="1"/>
      <c r="E188" s="1"/>
      <c r="F188" s="2"/>
      <c r="G188" s="1"/>
    </row>
    <row r="189" ht="15.75" customHeight="1">
      <c r="A189" s="1"/>
      <c r="B189" s="1"/>
      <c r="C189" s="1"/>
      <c r="D189" s="1"/>
      <c r="E189" s="1"/>
      <c r="F189" s="2"/>
      <c r="G189" s="1"/>
    </row>
    <row r="190" ht="15.75" customHeight="1">
      <c r="A190" s="1"/>
      <c r="B190" s="1"/>
      <c r="C190" s="1"/>
      <c r="D190" s="1"/>
      <c r="E190" s="1"/>
      <c r="F190" s="2"/>
      <c r="G190" s="1"/>
    </row>
    <row r="191" ht="15.75" customHeight="1">
      <c r="A191" s="1"/>
      <c r="B191" s="1"/>
      <c r="C191" s="1"/>
      <c r="D191" s="1"/>
      <c r="E191" s="1"/>
      <c r="F191" s="2"/>
      <c r="G191" s="1"/>
    </row>
    <row r="192" ht="15.75" customHeight="1">
      <c r="A192" s="1"/>
      <c r="B192" s="1"/>
      <c r="C192" s="1"/>
      <c r="D192" s="1"/>
      <c r="E192" s="1"/>
      <c r="F192" s="2"/>
      <c r="G192" s="1"/>
    </row>
    <row r="193" ht="15.75" customHeight="1">
      <c r="A193" s="1"/>
      <c r="B193" s="1"/>
      <c r="C193" s="1"/>
      <c r="D193" s="1"/>
      <c r="E193" s="1"/>
      <c r="F193" s="2"/>
      <c r="G193" s="1"/>
    </row>
    <row r="194" ht="15.75" customHeight="1">
      <c r="A194" s="1"/>
      <c r="B194" s="1"/>
      <c r="C194" s="1"/>
      <c r="D194" s="1"/>
      <c r="E194" s="1"/>
      <c r="F194" s="2"/>
      <c r="G194" s="1"/>
    </row>
    <row r="195" ht="15.75" customHeight="1">
      <c r="A195" s="1"/>
      <c r="B195" s="1"/>
      <c r="C195" s="1"/>
      <c r="D195" s="1"/>
      <c r="E195" s="1"/>
      <c r="F195" s="2"/>
      <c r="G195" s="1"/>
    </row>
    <row r="196" ht="15.75" customHeight="1">
      <c r="A196" s="1"/>
      <c r="B196" s="1"/>
      <c r="C196" s="1"/>
      <c r="D196" s="1"/>
      <c r="E196" s="1"/>
      <c r="F196" s="2"/>
      <c r="G196" s="1"/>
    </row>
    <row r="197" ht="15.75" customHeight="1">
      <c r="A197" s="1"/>
      <c r="B197" s="1"/>
      <c r="C197" s="1"/>
      <c r="D197" s="1"/>
      <c r="E197" s="1"/>
      <c r="F197" s="2"/>
      <c r="G197" s="1"/>
    </row>
    <row r="198" ht="15.75" customHeight="1">
      <c r="A198" s="1"/>
      <c r="B198" s="1"/>
      <c r="C198" s="1"/>
      <c r="D198" s="1"/>
      <c r="E198" s="1"/>
      <c r="F198" s="2"/>
      <c r="G198" s="1"/>
    </row>
    <row r="199" ht="15.75" customHeight="1">
      <c r="A199" s="1"/>
      <c r="B199" s="1"/>
      <c r="C199" s="1"/>
      <c r="D199" s="1"/>
      <c r="E199" s="1"/>
      <c r="F199" s="2"/>
      <c r="G199" s="1"/>
    </row>
    <row r="200" ht="15.75" customHeight="1">
      <c r="A200" s="1"/>
      <c r="B200" s="1"/>
      <c r="C200" s="1"/>
      <c r="D200" s="1"/>
      <c r="E200" s="1"/>
      <c r="F200" s="2"/>
      <c r="G200" s="1"/>
    </row>
    <row r="201" ht="15.75" customHeight="1">
      <c r="A201" s="1"/>
      <c r="B201" s="1"/>
      <c r="C201" s="1"/>
      <c r="D201" s="1"/>
      <c r="E201" s="1"/>
      <c r="F201" s="2"/>
      <c r="G201" s="1"/>
    </row>
    <row r="202" ht="15.75" customHeight="1">
      <c r="A202" s="1"/>
      <c r="B202" s="1"/>
      <c r="C202" s="1"/>
      <c r="D202" s="1"/>
      <c r="E202" s="1"/>
      <c r="F202" s="2"/>
      <c r="G202" s="1"/>
    </row>
    <row r="203" ht="15.75" customHeight="1">
      <c r="A203" s="1"/>
      <c r="B203" s="1"/>
      <c r="C203" s="1"/>
      <c r="D203" s="1"/>
      <c r="E203" s="1"/>
      <c r="F203" s="2"/>
      <c r="G203" s="1"/>
    </row>
    <row r="204" ht="15.75" customHeight="1">
      <c r="A204" s="1"/>
      <c r="B204" s="1"/>
      <c r="C204" s="1"/>
      <c r="D204" s="1"/>
      <c r="E204" s="1"/>
      <c r="F204" s="2"/>
      <c r="G204" s="1"/>
    </row>
    <row r="205" ht="15.75" customHeight="1">
      <c r="A205" s="1"/>
      <c r="B205" s="1"/>
      <c r="C205" s="1"/>
      <c r="D205" s="1"/>
      <c r="E205" s="1"/>
      <c r="F205" s="2"/>
      <c r="G205" s="1"/>
    </row>
    <row r="206" ht="15.75" customHeight="1">
      <c r="A206" s="1"/>
      <c r="B206" s="1"/>
      <c r="C206" s="1"/>
      <c r="D206" s="1"/>
      <c r="E206" s="1"/>
      <c r="F206" s="2"/>
      <c r="G206" s="1"/>
    </row>
    <row r="207" ht="15.75" customHeight="1">
      <c r="A207" s="1"/>
      <c r="B207" s="1"/>
      <c r="C207" s="1"/>
      <c r="D207" s="1"/>
      <c r="E207" s="1"/>
      <c r="F207" s="2"/>
      <c r="G207" s="1"/>
    </row>
    <row r="208" ht="15.75" customHeight="1">
      <c r="A208" s="1"/>
      <c r="B208" s="1"/>
      <c r="C208" s="1"/>
      <c r="D208" s="1"/>
      <c r="E208" s="1"/>
      <c r="F208" s="2"/>
      <c r="G208" s="1"/>
    </row>
    <row r="209" ht="15.75" customHeight="1">
      <c r="A209" s="1"/>
      <c r="B209" s="1"/>
      <c r="C209" s="1"/>
      <c r="D209" s="1"/>
      <c r="E209" s="1"/>
      <c r="F209" s="2"/>
      <c r="G209" s="1"/>
    </row>
    <row r="210" ht="15.75" customHeight="1">
      <c r="A210" s="1"/>
      <c r="B210" s="1"/>
      <c r="C210" s="1"/>
      <c r="D210" s="1"/>
      <c r="E210" s="1"/>
      <c r="F210" s="2"/>
      <c r="G210" s="1"/>
    </row>
    <row r="211" ht="15.75" customHeight="1">
      <c r="A211" s="1"/>
      <c r="B211" s="1"/>
      <c r="C211" s="1"/>
      <c r="D211" s="1"/>
      <c r="E211" s="1"/>
      <c r="F211" s="2"/>
      <c r="G211" s="1"/>
    </row>
    <row r="212" ht="15.75" customHeight="1">
      <c r="A212" s="1"/>
      <c r="B212" s="1"/>
      <c r="C212" s="1"/>
      <c r="D212" s="1"/>
      <c r="E212" s="1"/>
      <c r="F212" s="2"/>
      <c r="G212" s="1"/>
    </row>
    <row r="213" ht="15.75" customHeight="1">
      <c r="A213" s="1"/>
      <c r="B213" s="1"/>
      <c r="C213" s="1"/>
      <c r="D213" s="1"/>
      <c r="E213" s="1"/>
      <c r="F213" s="2"/>
      <c r="G213" s="1"/>
    </row>
    <row r="214" ht="15.75" customHeight="1">
      <c r="A214" s="1"/>
      <c r="B214" s="1"/>
      <c r="C214" s="1"/>
      <c r="D214" s="1"/>
      <c r="E214" s="1"/>
      <c r="F214" s="2"/>
      <c r="G214" s="1"/>
    </row>
    <row r="215" ht="15.75" customHeight="1">
      <c r="A215" s="1"/>
      <c r="B215" s="1"/>
      <c r="C215" s="1"/>
      <c r="D215" s="1"/>
      <c r="E215" s="1"/>
      <c r="F215" s="2"/>
      <c r="G215" s="1"/>
    </row>
    <row r="216" ht="15.75" customHeight="1">
      <c r="A216" s="1"/>
      <c r="B216" s="1"/>
      <c r="C216" s="1"/>
      <c r="D216" s="1"/>
      <c r="E216" s="1"/>
      <c r="F216" s="2"/>
      <c r="G216" s="1"/>
    </row>
    <row r="217" ht="15.75" customHeight="1">
      <c r="A217" s="1"/>
      <c r="B217" s="1"/>
      <c r="C217" s="1"/>
      <c r="D217" s="1"/>
      <c r="E217" s="1"/>
      <c r="F217" s="2"/>
      <c r="G217" s="1"/>
    </row>
    <row r="218" ht="15.75" customHeight="1">
      <c r="A218" s="1"/>
      <c r="B218" s="1"/>
      <c r="C218" s="1"/>
      <c r="D218" s="1"/>
      <c r="E218" s="1"/>
      <c r="F218" s="2"/>
      <c r="G218" s="1"/>
    </row>
    <row r="219" ht="15.75" customHeight="1">
      <c r="A219" s="1"/>
      <c r="B219" s="1"/>
      <c r="C219" s="1"/>
      <c r="D219" s="1"/>
      <c r="E219" s="1"/>
      <c r="F219" s="2"/>
      <c r="G219" s="1"/>
    </row>
    <row r="220" ht="15.75" customHeight="1">
      <c r="A220" s="1"/>
      <c r="B220" s="1"/>
      <c r="C220" s="1"/>
      <c r="D220" s="1"/>
      <c r="E220" s="1"/>
      <c r="F220" s="2"/>
      <c r="G220" s="1"/>
    </row>
    <row r="221" ht="15.75" customHeight="1">
      <c r="A221" s="1"/>
      <c r="B221" s="1"/>
      <c r="C221" s="1"/>
      <c r="D221" s="1"/>
      <c r="E221" s="1"/>
      <c r="F221" s="2"/>
      <c r="G221" s="1"/>
    </row>
    <row r="222" ht="15.75" customHeight="1">
      <c r="A222" s="1"/>
      <c r="B222" s="1"/>
      <c r="C222" s="1"/>
      <c r="D222" s="1"/>
      <c r="E222" s="1"/>
      <c r="F222" s="2"/>
      <c r="G222" s="1"/>
    </row>
    <row r="223" ht="15.75" customHeight="1">
      <c r="A223" s="1"/>
      <c r="B223" s="1"/>
      <c r="C223" s="1"/>
      <c r="D223" s="1"/>
      <c r="E223" s="1"/>
      <c r="F223" s="2"/>
      <c r="G223" s="1"/>
    </row>
    <row r="224" ht="15.75" customHeight="1">
      <c r="A224" s="1"/>
      <c r="B224" s="1"/>
      <c r="C224" s="1"/>
      <c r="D224" s="1"/>
      <c r="E224" s="1"/>
      <c r="F224" s="2"/>
      <c r="G224" s="1"/>
    </row>
    <row r="225" ht="15.75" customHeight="1">
      <c r="A225" s="1"/>
      <c r="B225" s="1"/>
      <c r="C225" s="1"/>
      <c r="D225" s="1"/>
      <c r="E225" s="1"/>
      <c r="F225" s="2"/>
      <c r="G225" s="1"/>
    </row>
    <row r="226" ht="15.75" customHeight="1">
      <c r="A226" s="1"/>
      <c r="B226" s="1"/>
      <c r="C226" s="1"/>
      <c r="D226" s="1"/>
      <c r="E226" s="1"/>
      <c r="F226" s="2"/>
      <c r="G226" s="1"/>
    </row>
    <row r="227" ht="15.75" customHeight="1">
      <c r="A227" s="1"/>
      <c r="B227" s="1"/>
      <c r="C227" s="1"/>
      <c r="D227" s="1"/>
      <c r="E227" s="1"/>
      <c r="F227" s="2"/>
      <c r="G227" s="1"/>
    </row>
    <row r="228" ht="15.75" customHeight="1">
      <c r="A228" s="1"/>
      <c r="B228" s="1"/>
      <c r="C228" s="1"/>
      <c r="D228" s="1"/>
      <c r="E228" s="1"/>
      <c r="F228" s="2"/>
      <c r="G228" s="1"/>
    </row>
    <row r="229" ht="15.75" customHeight="1">
      <c r="A229" s="1"/>
      <c r="B229" s="1"/>
      <c r="C229" s="1"/>
      <c r="D229" s="1"/>
      <c r="E229" s="1"/>
      <c r="F229" s="2"/>
      <c r="G229" s="1"/>
    </row>
    <row r="230" ht="15.75" customHeight="1">
      <c r="A230" s="1"/>
      <c r="B230" s="1"/>
      <c r="C230" s="1"/>
      <c r="D230" s="1"/>
      <c r="E230" s="1"/>
      <c r="F230" s="2"/>
      <c r="G230" s="1"/>
    </row>
    <row r="231" ht="15.75" customHeight="1">
      <c r="A231" s="1"/>
      <c r="B231" s="1"/>
      <c r="C231" s="1"/>
      <c r="D231" s="1"/>
      <c r="E231" s="1"/>
      <c r="F231" s="2"/>
      <c r="G231" s="1"/>
    </row>
    <row r="232" ht="15.75" customHeight="1">
      <c r="A232" s="1"/>
      <c r="B232" s="1"/>
      <c r="C232" s="1"/>
      <c r="D232" s="1"/>
      <c r="E232" s="1"/>
      <c r="F232" s="2"/>
      <c r="G232" s="1"/>
    </row>
    <row r="233" ht="15.75" customHeight="1">
      <c r="A233" s="1"/>
      <c r="B233" s="1"/>
      <c r="C233" s="1"/>
      <c r="D233" s="1"/>
      <c r="E233" s="1"/>
      <c r="F233" s="2"/>
      <c r="G233" s="1"/>
    </row>
    <row r="234" ht="15.75" customHeight="1">
      <c r="A234" s="1"/>
      <c r="B234" s="1"/>
      <c r="C234" s="1"/>
      <c r="D234" s="1"/>
      <c r="E234" s="1"/>
      <c r="F234" s="2"/>
      <c r="G234" s="1"/>
    </row>
    <row r="235" ht="15.75" customHeight="1">
      <c r="A235" s="1"/>
      <c r="B235" s="1"/>
      <c r="C235" s="1"/>
      <c r="D235" s="1"/>
      <c r="E235" s="1"/>
      <c r="F235" s="2"/>
      <c r="G235" s="1"/>
    </row>
    <row r="236" ht="15.75" customHeight="1">
      <c r="A236" s="1"/>
      <c r="B236" s="1"/>
      <c r="C236" s="1"/>
      <c r="D236" s="1"/>
      <c r="E236" s="1"/>
      <c r="F236" s="2"/>
      <c r="G236" s="1"/>
    </row>
    <row r="237" ht="15.75" customHeight="1">
      <c r="A237" s="1"/>
      <c r="B237" s="1"/>
      <c r="C237" s="1"/>
      <c r="D237" s="1"/>
      <c r="E237" s="1"/>
      <c r="F237" s="2"/>
      <c r="G237" s="1"/>
    </row>
    <row r="238" ht="15.75" customHeight="1">
      <c r="A238" s="1"/>
      <c r="B238" s="1"/>
      <c r="C238" s="1"/>
      <c r="D238" s="1"/>
      <c r="E238" s="1"/>
      <c r="F238" s="2"/>
      <c r="G238" s="1"/>
    </row>
    <row r="239" ht="15.75" customHeight="1">
      <c r="A239" s="1"/>
      <c r="B239" s="1"/>
      <c r="C239" s="1"/>
      <c r="D239" s="1"/>
      <c r="E239" s="1"/>
      <c r="F239" s="2"/>
      <c r="G239" s="1"/>
    </row>
    <row r="240" ht="15.75" customHeight="1">
      <c r="A240" s="1"/>
      <c r="B240" s="1"/>
      <c r="C240" s="1"/>
      <c r="D240" s="1"/>
      <c r="E240" s="1"/>
      <c r="F240" s="2"/>
      <c r="G240" s="1"/>
    </row>
    <row r="241" ht="15.75" customHeight="1">
      <c r="A241" s="1"/>
      <c r="B241" s="1"/>
      <c r="C241" s="1"/>
      <c r="D241" s="1"/>
      <c r="E241" s="1"/>
      <c r="F241" s="2"/>
      <c r="G241" s="1"/>
    </row>
    <row r="242" ht="15.75" customHeight="1">
      <c r="A242" s="1"/>
      <c r="B242" s="1"/>
      <c r="C242" s="1"/>
      <c r="D242" s="1"/>
      <c r="E242" s="1"/>
      <c r="F242" s="2"/>
      <c r="G242" s="1"/>
    </row>
    <row r="243" ht="15.75" customHeight="1">
      <c r="A243" s="1"/>
      <c r="B243" s="1"/>
      <c r="C243" s="1"/>
      <c r="D243" s="1"/>
      <c r="E243" s="1"/>
      <c r="F243" s="2"/>
      <c r="G243" s="1"/>
    </row>
    <row r="244" ht="15.75" customHeight="1">
      <c r="A244" s="1"/>
      <c r="B244" s="1"/>
      <c r="C244" s="1"/>
      <c r="D244" s="1"/>
      <c r="E244" s="1"/>
      <c r="F244" s="2"/>
      <c r="G244" s="1"/>
    </row>
    <row r="245" ht="15.75" customHeight="1">
      <c r="A245" s="1"/>
      <c r="B245" s="1"/>
      <c r="C245" s="1"/>
      <c r="D245" s="1"/>
      <c r="E245" s="1"/>
      <c r="F245" s="2"/>
      <c r="G245" s="1"/>
    </row>
    <row r="246" ht="15.75" customHeight="1">
      <c r="A246" s="1"/>
      <c r="B246" s="1"/>
      <c r="C246" s="1"/>
      <c r="D246" s="1"/>
      <c r="E246" s="1"/>
      <c r="F246" s="2"/>
      <c r="G246" s="1"/>
    </row>
    <row r="247" ht="15.75" customHeight="1">
      <c r="A247" s="1"/>
      <c r="B247" s="1"/>
      <c r="C247" s="1"/>
      <c r="D247" s="1"/>
      <c r="E247" s="1"/>
      <c r="F247" s="2"/>
      <c r="G247" s="1"/>
    </row>
    <row r="248" ht="15.75" customHeight="1">
      <c r="A248" s="1"/>
      <c r="B248" s="1"/>
      <c r="C248" s="1"/>
      <c r="D248" s="1"/>
      <c r="E248" s="1"/>
      <c r="F248" s="2"/>
      <c r="G248" s="1"/>
    </row>
    <row r="249" ht="15.75" customHeight="1">
      <c r="A249" s="1"/>
      <c r="B249" s="1"/>
      <c r="C249" s="1"/>
      <c r="D249" s="1"/>
      <c r="E249" s="1"/>
      <c r="F249" s="2"/>
      <c r="G249" s="1"/>
    </row>
    <row r="250" ht="15.75" customHeight="1">
      <c r="A250" s="1"/>
      <c r="B250" s="1"/>
      <c r="C250" s="1"/>
      <c r="D250" s="1"/>
      <c r="E250" s="1"/>
      <c r="F250" s="2"/>
      <c r="G250" s="1"/>
    </row>
    <row r="251" ht="15.75" customHeight="1">
      <c r="A251" s="1"/>
      <c r="B251" s="1"/>
      <c r="C251" s="1"/>
      <c r="D251" s="1"/>
      <c r="E251" s="1"/>
      <c r="F251" s="2"/>
      <c r="G251" s="1"/>
    </row>
    <row r="252" ht="15.75" customHeight="1">
      <c r="A252" s="1"/>
      <c r="B252" s="1"/>
      <c r="C252" s="1"/>
      <c r="D252" s="1"/>
      <c r="E252" s="1"/>
      <c r="F252" s="2"/>
      <c r="G252" s="1"/>
    </row>
    <row r="253" ht="15.75" customHeight="1">
      <c r="A253" s="1"/>
      <c r="B253" s="1"/>
      <c r="C253" s="1"/>
      <c r="D253" s="1"/>
      <c r="E253" s="1"/>
      <c r="F253" s="2"/>
      <c r="G253" s="1"/>
    </row>
    <row r="254" ht="15.75" customHeight="1">
      <c r="A254" s="1"/>
      <c r="B254" s="1"/>
      <c r="C254" s="1"/>
      <c r="D254" s="1"/>
      <c r="E254" s="1"/>
      <c r="F254" s="2"/>
      <c r="G254" s="1"/>
    </row>
    <row r="255" ht="15.75" customHeight="1">
      <c r="A255" s="1"/>
      <c r="B255" s="1"/>
      <c r="C255" s="1"/>
      <c r="D255" s="1"/>
      <c r="E255" s="1"/>
      <c r="F255" s="2"/>
      <c r="G255" s="1"/>
    </row>
    <row r="256" ht="15.75" customHeight="1">
      <c r="A256" s="1"/>
      <c r="B256" s="1"/>
      <c r="C256" s="1"/>
      <c r="D256" s="1"/>
      <c r="E256" s="1"/>
      <c r="F256" s="2"/>
      <c r="G256" s="1"/>
    </row>
    <row r="257" ht="15.75" customHeight="1">
      <c r="A257" s="1"/>
      <c r="B257" s="1"/>
      <c r="C257" s="1"/>
      <c r="D257" s="1"/>
      <c r="E257" s="1"/>
      <c r="F257" s="2"/>
      <c r="G257" s="1"/>
    </row>
    <row r="258" ht="15.75" customHeight="1">
      <c r="A258" s="1"/>
      <c r="B258" s="1"/>
      <c r="C258" s="1"/>
      <c r="D258" s="1"/>
      <c r="E258" s="1"/>
      <c r="F258" s="2"/>
      <c r="G258" s="1"/>
    </row>
    <row r="259" ht="15.75" customHeight="1">
      <c r="A259" s="1"/>
      <c r="B259" s="1"/>
      <c r="C259" s="1"/>
      <c r="D259" s="1"/>
      <c r="E259" s="1"/>
      <c r="F259" s="2"/>
      <c r="G259" s="1"/>
    </row>
    <row r="260" ht="15.75" customHeight="1">
      <c r="A260" s="1"/>
      <c r="B260" s="1"/>
      <c r="C260" s="1"/>
      <c r="D260" s="1"/>
      <c r="E260" s="1"/>
      <c r="F260" s="2"/>
      <c r="G260" s="1"/>
    </row>
    <row r="261" ht="15.75" customHeight="1">
      <c r="A261" s="1"/>
      <c r="B261" s="1"/>
      <c r="C261" s="1"/>
      <c r="D261" s="1"/>
      <c r="E261" s="1"/>
      <c r="F261" s="2"/>
      <c r="G261" s="1"/>
    </row>
    <row r="262" ht="15.75" customHeight="1">
      <c r="A262" s="1"/>
      <c r="B262" s="1"/>
      <c r="C262" s="1"/>
      <c r="D262" s="1"/>
      <c r="E262" s="1"/>
      <c r="F262" s="2"/>
      <c r="G262" s="1"/>
    </row>
    <row r="263" ht="15.75" customHeight="1">
      <c r="A263" s="1"/>
      <c r="B263" s="1"/>
      <c r="C263" s="1"/>
      <c r="D263" s="1"/>
      <c r="E263" s="1"/>
      <c r="F263" s="2"/>
      <c r="G263" s="1"/>
    </row>
    <row r="264" ht="15.75" customHeight="1">
      <c r="A264" s="1"/>
      <c r="B264" s="1"/>
      <c r="C264" s="1"/>
      <c r="D264" s="1"/>
      <c r="E264" s="1"/>
      <c r="F264" s="2"/>
      <c r="G264" s="1"/>
    </row>
    <row r="265" ht="15.75" customHeight="1">
      <c r="A265" s="1"/>
      <c r="B265" s="1"/>
      <c r="C265" s="1"/>
      <c r="D265" s="1"/>
      <c r="E265" s="1"/>
      <c r="F265" s="2"/>
      <c r="G265" s="1"/>
    </row>
    <row r="266" ht="15.75" customHeight="1">
      <c r="A266" s="1"/>
      <c r="B266" s="1"/>
      <c r="C266" s="1"/>
      <c r="D266" s="1"/>
      <c r="E266" s="1"/>
      <c r="F266" s="2"/>
      <c r="G266" s="1"/>
    </row>
    <row r="267" ht="15.75" customHeight="1">
      <c r="A267" s="1"/>
      <c r="B267" s="1"/>
      <c r="C267" s="1"/>
      <c r="D267" s="1"/>
      <c r="E267" s="1"/>
      <c r="F267" s="2"/>
      <c r="G267" s="1"/>
    </row>
    <row r="268" ht="15.75" customHeight="1">
      <c r="A268" s="1"/>
      <c r="B268" s="1"/>
      <c r="C268" s="1"/>
      <c r="D268" s="1"/>
      <c r="E268" s="1"/>
      <c r="F268" s="2"/>
      <c r="G268" s="1"/>
    </row>
    <row r="269" ht="15.75" customHeight="1">
      <c r="A269" s="1"/>
      <c r="B269" s="1"/>
      <c r="C269" s="1"/>
      <c r="D269" s="1"/>
      <c r="E269" s="1"/>
      <c r="F269" s="2"/>
      <c r="G269" s="1"/>
    </row>
    <row r="270" ht="15.75" customHeight="1">
      <c r="A270" s="1"/>
      <c r="B270" s="1"/>
      <c r="C270" s="1"/>
      <c r="D270" s="1"/>
      <c r="E270" s="1"/>
      <c r="F270" s="2"/>
      <c r="G270" s="1"/>
    </row>
    <row r="271" ht="15.75" customHeight="1">
      <c r="A271" s="1"/>
      <c r="B271" s="1"/>
      <c r="C271" s="1"/>
      <c r="D271" s="1"/>
      <c r="E271" s="1"/>
      <c r="F271" s="2"/>
      <c r="G271" s="1"/>
    </row>
    <row r="272" ht="15.75" customHeight="1">
      <c r="A272" s="1"/>
      <c r="B272" s="1"/>
      <c r="C272" s="1"/>
      <c r="D272" s="1"/>
      <c r="E272" s="1"/>
      <c r="F272" s="2"/>
      <c r="G272" s="1"/>
    </row>
    <row r="273" ht="15.75" customHeight="1">
      <c r="A273" s="1"/>
      <c r="B273" s="1"/>
      <c r="C273" s="1"/>
      <c r="D273" s="1"/>
      <c r="E273" s="1"/>
      <c r="F273" s="2"/>
      <c r="G273" s="1"/>
    </row>
    <row r="274" ht="15.75" customHeight="1">
      <c r="A274" s="1"/>
      <c r="B274" s="1"/>
      <c r="C274" s="1"/>
      <c r="D274" s="1"/>
      <c r="E274" s="1"/>
      <c r="F274" s="2"/>
      <c r="G274" s="1"/>
    </row>
    <row r="275" ht="15.75" customHeight="1">
      <c r="A275" s="1"/>
      <c r="B275" s="1"/>
      <c r="C275" s="1"/>
      <c r="D275" s="1"/>
      <c r="E275" s="1"/>
      <c r="F275" s="2"/>
      <c r="G275" s="1"/>
    </row>
    <row r="276" ht="15.75" customHeight="1">
      <c r="A276" s="1"/>
      <c r="B276" s="1"/>
      <c r="C276" s="1"/>
      <c r="D276" s="1"/>
      <c r="E276" s="1"/>
      <c r="F276" s="2"/>
      <c r="G276" s="1"/>
    </row>
    <row r="277" ht="15.75" customHeight="1">
      <c r="A277" s="1"/>
      <c r="B277" s="1"/>
      <c r="C277" s="1"/>
      <c r="D277" s="1"/>
      <c r="E277" s="1"/>
      <c r="F277" s="2"/>
      <c r="G277" s="1"/>
    </row>
    <row r="278" ht="15.75" customHeight="1">
      <c r="A278" s="1"/>
      <c r="B278" s="1"/>
      <c r="C278" s="1"/>
      <c r="D278" s="1"/>
      <c r="E278" s="1"/>
      <c r="F278" s="2"/>
      <c r="G278" s="1"/>
    </row>
    <row r="279" ht="15.75" customHeight="1">
      <c r="A279" s="1"/>
      <c r="B279" s="1"/>
      <c r="C279" s="1"/>
      <c r="D279" s="1"/>
      <c r="E279" s="1"/>
      <c r="F279" s="2"/>
      <c r="G279" s="1"/>
    </row>
    <row r="280" ht="15.75" customHeight="1">
      <c r="A280" s="1"/>
      <c r="B280" s="1"/>
      <c r="C280" s="1"/>
      <c r="D280" s="1"/>
      <c r="E280" s="1"/>
      <c r="F280" s="2"/>
      <c r="G280" s="1"/>
    </row>
    <row r="281" ht="15.75" customHeight="1">
      <c r="A281" s="1"/>
      <c r="B281" s="1"/>
      <c r="C281" s="1"/>
      <c r="D281" s="1"/>
      <c r="E281" s="1"/>
      <c r="F281" s="2"/>
      <c r="G281" s="1"/>
    </row>
    <row r="282" ht="15.75" customHeight="1">
      <c r="A282" s="1"/>
      <c r="B282" s="1"/>
      <c r="C282" s="1"/>
      <c r="D282" s="1"/>
      <c r="E282" s="1"/>
      <c r="F282" s="2"/>
      <c r="G282" s="1"/>
    </row>
    <row r="283" ht="15.75" customHeight="1">
      <c r="A283" s="1"/>
      <c r="B283" s="1"/>
      <c r="C283" s="1"/>
      <c r="D283" s="1"/>
      <c r="E283" s="1"/>
      <c r="F283" s="2"/>
      <c r="G283" s="1"/>
    </row>
    <row r="284" ht="15.75" customHeight="1">
      <c r="A284" s="1"/>
      <c r="B284" s="1"/>
      <c r="C284" s="1"/>
      <c r="D284" s="1"/>
      <c r="E284" s="1"/>
      <c r="F284" s="2"/>
      <c r="G284" s="1"/>
    </row>
    <row r="285" ht="15.75" customHeight="1">
      <c r="A285" s="1"/>
      <c r="B285" s="1"/>
      <c r="C285" s="1"/>
      <c r="D285" s="1"/>
      <c r="E285" s="1"/>
      <c r="F285" s="2"/>
      <c r="G285" s="1"/>
    </row>
    <row r="286" ht="15.75" customHeight="1">
      <c r="A286" s="1"/>
      <c r="B286" s="1"/>
      <c r="C286" s="1"/>
      <c r="D286" s="1"/>
      <c r="E286" s="1"/>
      <c r="F286" s="2"/>
      <c r="G286" s="1"/>
    </row>
    <row r="287" ht="15.75" customHeight="1">
      <c r="A287" s="1"/>
      <c r="B287" s="1"/>
      <c r="C287" s="1"/>
      <c r="D287" s="1"/>
      <c r="E287" s="1"/>
      <c r="F287" s="2"/>
      <c r="G287" s="1"/>
    </row>
    <row r="288" ht="15.75" customHeight="1">
      <c r="A288" s="1"/>
      <c r="B288" s="1"/>
      <c r="C288" s="1"/>
      <c r="D288" s="1"/>
      <c r="E288" s="1"/>
      <c r="F288" s="2"/>
      <c r="G288" s="1"/>
    </row>
    <row r="289" ht="15.75" customHeight="1">
      <c r="A289" s="1"/>
      <c r="B289" s="1"/>
      <c r="C289" s="1"/>
      <c r="D289" s="1"/>
      <c r="E289" s="1"/>
      <c r="F289" s="2"/>
      <c r="G289" s="1"/>
    </row>
    <row r="290" ht="15.75" customHeight="1">
      <c r="A290" s="1"/>
      <c r="B290" s="1"/>
      <c r="C290" s="1"/>
      <c r="D290" s="1"/>
      <c r="E290" s="1"/>
      <c r="F290" s="2"/>
      <c r="G290" s="1"/>
    </row>
    <row r="291" ht="15.75" customHeight="1">
      <c r="A291" s="1"/>
      <c r="B291" s="1"/>
      <c r="C291" s="1"/>
      <c r="D291" s="1"/>
      <c r="E291" s="1"/>
      <c r="F291" s="2"/>
      <c r="G291" s="1"/>
    </row>
    <row r="292" ht="15.75" customHeight="1">
      <c r="A292" s="1"/>
      <c r="B292" s="1"/>
      <c r="C292" s="1"/>
      <c r="D292" s="1"/>
      <c r="E292" s="1"/>
      <c r="F292" s="2"/>
      <c r="G292" s="1"/>
    </row>
    <row r="293" ht="15.75" customHeight="1">
      <c r="A293" s="1"/>
      <c r="B293" s="1"/>
      <c r="C293" s="1"/>
      <c r="D293" s="1"/>
      <c r="E293" s="1"/>
      <c r="F293" s="2"/>
      <c r="G293" s="1"/>
    </row>
    <row r="294" ht="15.75" customHeight="1">
      <c r="A294" s="1"/>
      <c r="B294" s="1"/>
      <c r="C294" s="1"/>
      <c r="D294" s="1"/>
      <c r="E294" s="1"/>
      <c r="F294" s="2"/>
      <c r="G294" s="1"/>
    </row>
    <row r="295" ht="15.75" customHeight="1">
      <c r="A295" s="1"/>
      <c r="B295" s="1"/>
      <c r="C295" s="1"/>
      <c r="D295" s="1"/>
      <c r="E295" s="1"/>
      <c r="F295" s="2"/>
      <c r="G295" s="1"/>
    </row>
    <row r="296" ht="15.75" customHeight="1">
      <c r="A296" s="1"/>
      <c r="B296" s="1"/>
      <c r="C296" s="1"/>
      <c r="D296" s="1"/>
      <c r="E296" s="1"/>
      <c r="F296" s="2"/>
      <c r="G296" s="1"/>
    </row>
    <row r="297" ht="15.75" customHeight="1">
      <c r="A297" s="1"/>
      <c r="B297" s="1"/>
      <c r="C297" s="1"/>
      <c r="D297" s="1"/>
      <c r="E297" s="1"/>
      <c r="F297" s="2"/>
      <c r="G297" s="1"/>
    </row>
    <row r="298" ht="15.75" customHeight="1">
      <c r="A298" s="1"/>
      <c r="B298" s="1"/>
      <c r="C298" s="1"/>
      <c r="D298" s="1"/>
      <c r="E298" s="1"/>
      <c r="F298" s="2"/>
      <c r="G298" s="1"/>
    </row>
    <row r="299" ht="15.75" customHeight="1">
      <c r="A299" s="1"/>
      <c r="B299" s="1"/>
      <c r="C299" s="1"/>
      <c r="D299" s="1"/>
      <c r="E299" s="1"/>
      <c r="F299" s="2"/>
      <c r="G299" s="1"/>
    </row>
    <row r="300" ht="15.75" customHeight="1">
      <c r="A300" s="1"/>
      <c r="B300" s="1"/>
      <c r="C300" s="1"/>
      <c r="D300" s="1"/>
      <c r="E300" s="1"/>
      <c r="F300" s="2"/>
      <c r="G300" s="1"/>
    </row>
    <row r="301" ht="15.75" customHeight="1">
      <c r="A301" s="1"/>
      <c r="B301" s="1"/>
      <c r="C301" s="1"/>
      <c r="D301" s="1"/>
      <c r="E301" s="1"/>
      <c r="F301" s="2"/>
      <c r="G301" s="1"/>
    </row>
    <row r="302" ht="15.75" customHeight="1">
      <c r="A302" s="1"/>
      <c r="B302" s="1"/>
      <c r="C302" s="1"/>
      <c r="D302" s="1"/>
      <c r="E302" s="1"/>
      <c r="F302" s="2"/>
      <c r="G302" s="1"/>
    </row>
    <row r="303" ht="15.75" customHeight="1">
      <c r="A303" s="1"/>
      <c r="B303" s="1"/>
      <c r="C303" s="1"/>
      <c r="D303" s="1"/>
      <c r="E303" s="1"/>
      <c r="F303" s="2"/>
      <c r="G303" s="1"/>
    </row>
    <row r="304" ht="15.75" customHeight="1">
      <c r="A304" s="1"/>
      <c r="B304" s="1"/>
      <c r="C304" s="1"/>
      <c r="D304" s="1"/>
      <c r="E304" s="1"/>
      <c r="F304" s="2"/>
      <c r="G304" s="1"/>
    </row>
    <row r="305" ht="15.75" customHeight="1">
      <c r="A305" s="1"/>
      <c r="B305" s="1"/>
      <c r="C305" s="1"/>
      <c r="D305" s="1"/>
      <c r="E305" s="1"/>
      <c r="F305" s="2"/>
      <c r="G305" s="1"/>
    </row>
    <row r="306" ht="15.75" customHeight="1">
      <c r="A306" s="1"/>
      <c r="B306" s="1"/>
      <c r="C306" s="1"/>
      <c r="D306" s="1"/>
      <c r="E306" s="1"/>
      <c r="F306" s="2"/>
      <c r="G306" s="1"/>
    </row>
    <row r="307" ht="15.75" customHeight="1">
      <c r="A307" s="1"/>
      <c r="B307" s="1"/>
      <c r="C307" s="1"/>
      <c r="D307" s="1"/>
      <c r="E307" s="1"/>
      <c r="F307" s="2"/>
      <c r="G307" s="1"/>
    </row>
    <row r="308" ht="15.75" customHeight="1">
      <c r="A308" s="1"/>
      <c r="B308" s="1"/>
      <c r="C308" s="1"/>
      <c r="D308" s="1"/>
      <c r="E308" s="1"/>
      <c r="F308" s="2"/>
      <c r="G308" s="1"/>
    </row>
    <row r="309" ht="15.75" customHeight="1">
      <c r="A309" s="1"/>
      <c r="B309" s="1"/>
      <c r="C309" s="1"/>
      <c r="D309" s="1"/>
      <c r="E309" s="1"/>
      <c r="F309" s="2"/>
      <c r="G309" s="1"/>
    </row>
    <row r="310" ht="15.75" customHeight="1">
      <c r="A310" s="1"/>
      <c r="B310" s="1"/>
      <c r="C310" s="1"/>
      <c r="D310" s="1"/>
      <c r="E310" s="1"/>
      <c r="F310" s="2"/>
      <c r="G310" s="1"/>
    </row>
    <row r="311" ht="15.75" customHeight="1">
      <c r="A311" s="1"/>
      <c r="B311" s="1"/>
      <c r="C311" s="1"/>
      <c r="D311" s="1"/>
      <c r="E311" s="1"/>
      <c r="F311" s="2"/>
      <c r="G311" s="1"/>
    </row>
    <row r="312" ht="15.75" customHeight="1">
      <c r="A312" s="1"/>
      <c r="B312" s="1"/>
      <c r="C312" s="1"/>
      <c r="D312" s="1"/>
      <c r="E312" s="1"/>
      <c r="F312" s="2"/>
      <c r="G312" s="1"/>
    </row>
    <row r="313" ht="15.75" customHeight="1">
      <c r="A313" s="1"/>
      <c r="B313" s="1"/>
      <c r="C313" s="1"/>
      <c r="D313" s="1"/>
      <c r="E313" s="1"/>
      <c r="F313" s="2"/>
      <c r="G313" s="1"/>
    </row>
    <row r="314" ht="15.75" customHeight="1">
      <c r="A314" s="1"/>
      <c r="B314" s="1"/>
      <c r="C314" s="1"/>
      <c r="D314" s="1"/>
      <c r="E314" s="1"/>
      <c r="F314" s="2"/>
      <c r="G314" s="1"/>
    </row>
    <row r="315" ht="15.75" customHeight="1">
      <c r="A315" s="1"/>
      <c r="B315" s="1"/>
      <c r="C315" s="1"/>
      <c r="D315" s="1"/>
      <c r="E315" s="1"/>
      <c r="F315" s="2"/>
      <c r="G315" s="1"/>
    </row>
    <row r="316" ht="15.75" customHeight="1">
      <c r="A316" s="1"/>
      <c r="B316" s="1"/>
      <c r="C316" s="1"/>
      <c r="D316" s="1"/>
      <c r="E316" s="1"/>
      <c r="F316" s="2"/>
      <c r="G316" s="1"/>
    </row>
    <row r="317" ht="15.75" customHeight="1">
      <c r="A317" s="1"/>
      <c r="B317" s="1"/>
      <c r="C317" s="1"/>
      <c r="D317" s="1"/>
      <c r="E317" s="1"/>
      <c r="F317" s="2"/>
      <c r="G317" s="1"/>
    </row>
    <row r="318" ht="15.75" customHeight="1">
      <c r="A318" s="1"/>
      <c r="B318" s="1"/>
      <c r="C318" s="1"/>
      <c r="D318" s="1"/>
      <c r="E318" s="1"/>
      <c r="F318" s="2"/>
      <c r="G318" s="1"/>
    </row>
    <row r="319" ht="15.75" customHeight="1">
      <c r="A319" s="1"/>
      <c r="B319" s="1"/>
      <c r="C319" s="1"/>
      <c r="D319" s="1"/>
      <c r="E319" s="1"/>
      <c r="F319" s="2"/>
      <c r="G319" s="1"/>
    </row>
    <row r="320" ht="15.75" customHeight="1">
      <c r="A320" s="1"/>
      <c r="B320" s="1"/>
      <c r="C320" s="1"/>
      <c r="D320" s="1"/>
      <c r="E320" s="1"/>
      <c r="F320" s="2"/>
      <c r="G320" s="1"/>
    </row>
    <row r="321" ht="15.75" customHeight="1">
      <c r="A321" s="1"/>
      <c r="B321" s="1"/>
      <c r="C321" s="1"/>
      <c r="D321" s="1"/>
      <c r="E321" s="1"/>
      <c r="F321" s="2"/>
      <c r="G321" s="1"/>
    </row>
    <row r="322" ht="15.75" customHeight="1">
      <c r="A322" s="1"/>
      <c r="B322" s="1"/>
      <c r="C322" s="1"/>
      <c r="D322" s="1"/>
      <c r="E322" s="1"/>
      <c r="F322" s="2"/>
      <c r="G322" s="1"/>
    </row>
    <row r="323" ht="15.75" customHeight="1">
      <c r="A323" s="1"/>
      <c r="B323" s="1"/>
      <c r="C323" s="1"/>
      <c r="D323" s="1"/>
      <c r="E323" s="1"/>
      <c r="F323" s="2"/>
      <c r="G323" s="1"/>
    </row>
    <row r="324" ht="15.75" customHeight="1">
      <c r="A324" s="1"/>
      <c r="B324" s="1"/>
      <c r="C324" s="1"/>
      <c r="D324" s="1"/>
      <c r="E324" s="1"/>
      <c r="F324" s="2"/>
      <c r="G324" s="1"/>
    </row>
    <row r="325" ht="15.75" customHeight="1">
      <c r="A325" s="1"/>
      <c r="B325" s="1"/>
      <c r="C325" s="1"/>
      <c r="D325" s="1"/>
      <c r="E325" s="1"/>
      <c r="F325" s="2"/>
      <c r="G325" s="1"/>
    </row>
    <row r="326" ht="15.75" customHeight="1">
      <c r="A326" s="1"/>
      <c r="B326" s="1"/>
      <c r="C326" s="1"/>
      <c r="D326" s="1"/>
      <c r="E326" s="1"/>
      <c r="F326" s="2"/>
      <c r="G326" s="1"/>
    </row>
    <row r="327" ht="15.75" customHeight="1">
      <c r="A327" s="1"/>
      <c r="B327" s="1"/>
      <c r="C327" s="1"/>
      <c r="D327" s="1"/>
      <c r="E327" s="1"/>
      <c r="F327" s="2"/>
      <c r="G327" s="1"/>
    </row>
    <row r="328" ht="15.75" customHeight="1">
      <c r="A328" s="1"/>
      <c r="B328" s="1"/>
      <c r="C328" s="1"/>
      <c r="D328" s="1"/>
      <c r="E328" s="1"/>
      <c r="F328" s="2"/>
      <c r="G328" s="1"/>
    </row>
    <row r="329" ht="15.75" customHeight="1">
      <c r="A329" s="1"/>
      <c r="B329" s="1"/>
      <c r="C329" s="1"/>
      <c r="D329" s="1"/>
      <c r="E329" s="1"/>
      <c r="F329" s="2"/>
      <c r="G329" s="1"/>
    </row>
    <row r="330" ht="15.75" customHeight="1">
      <c r="A330" s="1"/>
      <c r="B330" s="1"/>
      <c r="C330" s="1"/>
      <c r="D330" s="1"/>
      <c r="E330" s="1"/>
      <c r="F330" s="2"/>
      <c r="G330" s="1"/>
    </row>
    <row r="331" ht="15.75" customHeight="1">
      <c r="A331" s="1"/>
      <c r="B331" s="1"/>
      <c r="C331" s="1"/>
      <c r="D331" s="1"/>
      <c r="E331" s="1"/>
      <c r="F331" s="2"/>
      <c r="G331" s="1"/>
    </row>
    <row r="332" ht="15.75" customHeight="1">
      <c r="A332" s="1"/>
      <c r="B332" s="1"/>
      <c r="C332" s="1"/>
      <c r="D332" s="1"/>
      <c r="E332" s="1"/>
      <c r="F332" s="2"/>
      <c r="G332" s="1"/>
    </row>
    <row r="333" ht="15.75" customHeight="1">
      <c r="A333" s="1"/>
      <c r="B333" s="1"/>
      <c r="C333" s="1"/>
      <c r="D333" s="1"/>
      <c r="E333" s="1"/>
      <c r="F333" s="2"/>
      <c r="G333" s="1"/>
    </row>
    <row r="334" ht="15.75" customHeight="1">
      <c r="A334" s="1"/>
      <c r="B334" s="1"/>
      <c r="C334" s="1"/>
      <c r="D334" s="1"/>
      <c r="E334" s="1"/>
      <c r="F334" s="2"/>
      <c r="G334" s="1"/>
    </row>
    <row r="335" ht="15.75" customHeight="1">
      <c r="A335" s="1"/>
      <c r="B335" s="1"/>
      <c r="C335" s="1"/>
      <c r="D335" s="1"/>
      <c r="E335" s="1"/>
      <c r="F335" s="2"/>
      <c r="G335" s="1"/>
    </row>
    <row r="336" ht="15.75" customHeight="1">
      <c r="A336" s="1"/>
      <c r="B336" s="1"/>
      <c r="C336" s="1"/>
      <c r="D336" s="1"/>
      <c r="E336" s="1"/>
      <c r="F336" s="2"/>
      <c r="G336" s="1"/>
    </row>
    <row r="337" ht="15.75" customHeight="1">
      <c r="A337" s="1"/>
      <c r="B337" s="1"/>
      <c r="C337" s="1"/>
      <c r="D337" s="1"/>
      <c r="E337" s="1"/>
      <c r="F337" s="2"/>
      <c r="G337" s="1"/>
    </row>
    <row r="338" ht="15.75" customHeight="1">
      <c r="A338" s="1"/>
      <c r="B338" s="1"/>
      <c r="C338" s="1"/>
      <c r="D338" s="1"/>
      <c r="E338" s="1"/>
      <c r="F338" s="2"/>
      <c r="G338" s="1"/>
    </row>
    <row r="339" ht="15.75" customHeight="1">
      <c r="A339" s="1"/>
      <c r="B339" s="1"/>
      <c r="C339" s="1"/>
      <c r="D339" s="1"/>
      <c r="E339" s="1"/>
      <c r="F339" s="2"/>
      <c r="G339" s="1"/>
    </row>
    <row r="340" ht="15.75" customHeight="1">
      <c r="A340" s="1"/>
      <c r="B340" s="1"/>
      <c r="C340" s="1"/>
      <c r="D340" s="1"/>
      <c r="E340" s="1"/>
      <c r="F340" s="2"/>
      <c r="G340" s="1"/>
    </row>
    <row r="341" ht="15.75" customHeight="1">
      <c r="A341" s="1"/>
      <c r="B341" s="1"/>
      <c r="C341" s="1"/>
      <c r="D341" s="1"/>
      <c r="E341" s="1"/>
      <c r="F341" s="2"/>
      <c r="G341" s="1"/>
    </row>
    <row r="342" ht="15.75" customHeight="1">
      <c r="A342" s="1"/>
      <c r="B342" s="1"/>
      <c r="C342" s="1"/>
      <c r="D342" s="1"/>
      <c r="E342" s="1"/>
      <c r="F342" s="2"/>
      <c r="G342" s="1"/>
    </row>
    <row r="343" ht="15.75" customHeight="1">
      <c r="A343" s="1"/>
      <c r="B343" s="1"/>
      <c r="C343" s="1"/>
      <c r="D343" s="1"/>
      <c r="E343" s="1"/>
      <c r="F343" s="2"/>
      <c r="G343" s="1"/>
    </row>
    <row r="344" ht="15.75" customHeight="1">
      <c r="A344" s="1"/>
      <c r="B344" s="1"/>
      <c r="C344" s="1"/>
      <c r="D344" s="1"/>
      <c r="E344" s="1"/>
      <c r="F344" s="2"/>
      <c r="G344" s="1"/>
    </row>
    <row r="345" ht="15.75" customHeight="1">
      <c r="A345" s="1"/>
      <c r="B345" s="1"/>
      <c r="C345" s="1"/>
      <c r="D345" s="1"/>
      <c r="E345" s="1"/>
      <c r="F345" s="2"/>
      <c r="G345" s="1"/>
    </row>
    <row r="346" ht="15.75" customHeight="1">
      <c r="A346" s="1"/>
      <c r="B346" s="1"/>
      <c r="C346" s="1"/>
      <c r="D346" s="1"/>
      <c r="E346" s="1"/>
      <c r="F346" s="2"/>
      <c r="G346" s="1"/>
    </row>
    <row r="347" ht="15.75" customHeight="1">
      <c r="A347" s="1"/>
      <c r="B347" s="1"/>
      <c r="C347" s="1"/>
      <c r="D347" s="1"/>
      <c r="E347" s="1"/>
      <c r="F347" s="2"/>
      <c r="G347" s="1"/>
    </row>
    <row r="348" ht="15.75" customHeight="1">
      <c r="A348" s="1"/>
      <c r="B348" s="1"/>
      <c r="C348" s="1"/>
      <c r="D348" s="1"/>
      <c r="E348" s="1"/>
      <c r="F348" s="2"/>
      <c r="G348" s="1"/>
    </row>
    <row r="349" ht="15.75" customHeight="1">
      <c r="A349" s="1"/>
      <c r="B349" s="1"/>
      <c r="C349" s="1"/>
      <c r="D349" s="1"/>
      <c r="E349" s="1"/>
      <c r="F349" s="2"/>
      <c r="G349" s="1"/>
    </row>
    <row r="350" ht="15.75" customHeight="1">
      <c r="A350" s="1"/>
      <c r="B350" s="1"/>
      <c r="C350" s="1"/>
      <c r="D350" s="1"/>
      <c r="E350" s="1"/>
      <c r="F350" s="2"/>
      <c r="G350" s="1"/>
    </row>
    <row r="351" ht="15.75" customHeight="1">
      <c r="A351" s="1"/>
      <c r="B351" s="1"/>
      <c r="C351" s="1"/>
      <c r="D351" s="1"/>
      <c r="E351" s="1"/>
      <c r="F351" s="2"/>
      <c r="G351" s="1"/>
    </row>
    <row r="352" ht="15.75" customHeight="1">
      <c r="A352" s="1"/>
      <c r="B352" s="1"/>
      <c r="C352" s="1"/>
      <c r="D352" s="1"/>
      <c r="E352" s="1"/>
      <c r="F352" s="2"/>
      <c r="G352" s="1"/>
    </row>
    <row r="353" ht="15.75" customHeight="1">
      <c r="A353" s="1"/>
      <c r="B353" s="1"/>
      <c r="C353" s="1"/>
      <c r="D353" s="1"/>
      <c r="E353" s="1"/>
      <c r="F353" s="2"/>
      <c r="G353" s="1"/>
    </row>
    <row r="354" ht="15.75" customHeight="1">
      <c r="A354" s="1"/>
      <c r="B354" s="1"/>
      <c r="C354" s="1"/>
      <c r="D354" s="1"/>
      <c r="E354" s="1"/>
      <c r="F354" s="2"/>
      <c r="G354" s="1"/>
    </row>
    <row r="355" ht="15.75" customHeight="1">
      <c r="A355" s="1"/>
      <c r="B355" s="1"/>
      <c r="C355" s="1"/>
      <c r="D355" s="1"/>
      <c r="E355" s="1"/>
      <c r="F355" s="2"/>
      <c r="G355" s="1"/>
    </row>
    <row r="356" ht="15.75" customHeight="1">
      <c r="A356" s="1"/>
      <c r="B356" s="1"/>
      <c r="C356" s="1"/>
      <c r="D356" s="1"/>
      <c r="E356" s="1"/>
      <c r="F356" s="2"/>
      <c r="G356" s="1"/>
    </row>
    <row r="357" ht="15.75" customHeight="1">
      <c r="A357" s="1"/>
      <c r="B357" s="1"/>
      <c r="C357" s="1"/>
      <c r="D357" s="1"/>
      <c r="E357" s="1"/>
      <c r="F357" s="2"/>
      <c r="G357" s="1"/>
    </row>
    <row r="358" ht="15.75" customHeight="1">
      <c r="A358" s="1"/>
      <c r="B358" s="1"/>
      <c r="C358" s="1"/>
      <c r="D358" s="1"/>
      <c r="E358" s="1"/>
      <c r="F358" s="2"/>
      <c r="G358" s="1"/>
    </row>
    <row r="359" ht="15.75" customHeight="1">
      <c r="A359" s="1"/>
      <c r="B359" s="1"/>
      <c r="C359" s="1"/>
      <c r="D359" s="1"/>
      <c r="E359" s="1"/>
      <c r="F359" s="2"/>
      <c r="G359" s="1"/>
    </row>
    <row r="360" ht="15.75" customHeight="1">
      <c r="A360" s="1"/>
      <c r="B360" s="1"/>
      <c r="C360" s="1"/>
      <c r="D360" s="1"/>
      <c r="E360" s="1"/>
      <c r="F360" s="2"/>
      <c r="G360" s="1"/>
    </row>
    <row r="361" ht="15.75" customHeight="1">
      <c r="A361" s="1"/>
      <c r="B361" s="1"/>
      <c r="C361" s="1"/>
      <c r="D361" s="1"/>
      <c r="E361" s="1"/>
      <c r="F361" s="2"/>
      <c r="G361" s="1"/>
    </row>
    <row r="362" ht="15.75" customHeight="1">
      <c r="A362" s="1"/>
      <c r="B362" s="1"/>
      <c r="C362" s="1"/>
      <c r="D362" s="1"/>
      <c r="E362" s="1"/>
      <c r="F362" s="2"/>
      <c r="G362" s="1"/>
    </row>
    <row r="363" ht="15.75" customHeight="1">
      <c r="A363" s="1"/>
      <c r="B363" s="1"/>
      <c r="C363" s="1"/>
      <c r="D363" s="1"/>
      <c r="E363" s="1"/>
      <c r="F363" s="2"/>
      <c r="G363" s="1"/>
    </row>
    <row r="364" ht="15.75" customHeight="1">
      <c r="A364" s="1"/>
      <c r="B364" s="1"/>
      <c r="C364" s="1"/>
      <c r="D364" s="1"/>
      <c r="E364" s="1"/>
      <c r="F364" s="2"/>
      <c r="G364" s="1"/>
    </row>
    <row r="365" ht="15.75" customHeight="1">
      <c r="A365" s="1"/>
      <c r="B365" s="1"/>
      <c r="C365" s="1"/>
      <c r="D365" s="1"/>
      <c r="E365" s="1"/>
      <c r="F365" s="2"/>
      <c r="G365" s="1"/>
    </row>
    <row r="366" ht="15.75" customHeight="1">
      <c r="A366" s="1"/>
      <c r="B366" s="1"/>
      <c r="C366" s="1"/>
      <c r="D366" s="1"/>
      <c r="E366" s="1"/>
      <c r="F366" s="2"/>
      <c r="G366" s="1"/>
    </row>
    <row r="367" ht="15.75" customHeight="1">
      <c r="A367" s="1"/>
      <c r="B367" s="1"/>
      <c r="C367" s="1"/>
      <c r="D367" s="1"/>
      <c r="E367" s="1"/>
      <c r="F367" s="2"/>
      <c r="G367" s="1"/>
    </row>
    <row r="368" ht="15.75" customHeight="1">
      <c r="A368" s="1"/>
      <c r="B368" s="1"/>
      <c r="C368" s="1"/>
      <c r="D368" s="1"/>
      <c r="E368" s="1"/>
      <c r="F368" s="2"/>
      <c r="G368" s="1"/>
    </row>
    <row r="369" ht="15.75" customHeight="1">
      <c r="A369" s="1"/>
      <c r="B369" s="1"/>
      <c r="C369" s="1"/>
      <c r="D369" s="1"/>
      <c r="E369" s="1"/>
      <c r="F369" s="2"/>
      <c r="G369" s="1"/>
    </row>
    <row r="370" ht="15.75" customHeight="1">
      <c r="A370" s="1"/>
      <c r="B370" s="1"/>
      <c r="C370" s="1"/>
      <c r="D370" s="1"/>
      <c r="E370" s="1"/>
      <c r="F370" s="2"/>
      <c r="G370" s="1"/>
    </row>
    <row r="371" ht="15.75" customHeight="1">
      <c r="A371" s="1"/>
      <c r="B371" s="1"/>
      <c r="C371" s="1"/>
      <c r="D371" s="1"/>
      <c r="E371" s="1"/>
      <c r="F371" s="2"/>
      <c r="G371" s="1"/>
    </row>
    <row r="372" ht="15.75" customHeight="1">
      <c r="A372" s="1"/>
      <c r="B372" s="1"/>
      <c r="C372" s="1"/>
      <c r="D372" s="1"/>
      <c r="E372" s="1"/>
      <c r="F372" s="2"/>
      <c r="G372" s="1"/>
    </row>
    <row r="373" ht="15.75" customHeight="1">
      <c r="A373" s="1"/>
      <c r="B373" s="1"/>
      <c r="C373" s="1"/>
      <c r="D373" s="1"/>
      <c r="E373" s="1"/>
      <c r="F373" s="2"/>
      <c r="G373" s="1"/>
    </row>
    <row r="374" ht="15.75" customHeight="1">
      <c r="A374" s="1"/>
      <c r="B374" s="1"/>
      <c r="C374" s="1"/>
      <c r="D374" s="1"/>
      <c r="E374" s="1"/>
      <c r="F374" s="2"/>
      <c r="G374" s="1"/>
    </row>
    <row r="375" ht="15.75" customHeight="1">
      <c r="A375" s="1"/>
      <c r="B375" s="1"/>
      <c r="C375" s="1"/>
      <c r="D375" s="1"/>
      <c r="E375" s="1"/>
      <c r="F375" s="2"/>
      <c r="G375" s="1"/>
    </row>
    <row r="376" ht="15.75" customHeight="1">
      <c r="A376" s="1"/>
      <c r="B376" s="1"/>
      <c r="C376" s="1"/>
      <c r="D376" s="1"/>
      <c r="E376" s="1"/>
      <c r="F376" s="2"/>
      <c r="G376" s="1"/>
    </row>
    <row r="377" ht="15.75" customHeight="1">
      <c r="A377" s="1"/>
      <c r="B377" s="1"/>
      <c r="C377" s="1"/>
      <c r="D377" s="1"/>
      <c r="E377" s="1"/>
      <c r="F377" s="2"/>
      <c r="G377" s="1"/>
    </row>
    <row r="378" ht="15.75" customHeight="1">
      <c r="A378" s="1"/>
      <c r="B378" s="1"/>
      <c r="C378" s="1"/>
      <c r="D378" s="1"/>
      <c r="E378" s="1"/>
      <c r="F378" s="2"/>
      <c r="G378" s="1"/>
    </row>
    <row r="379" ht="15.75" customHeight="1">
      <c r="A379" s="1"/>
      <c r="B379" s="1"/>
      <c r="C379" s="1"/>
      <c r="D379" s="1"/>
      <c r="E379" s="1"/>
      <c r="F379" s="2"/>
      <c r="G379" s="1"/>
    </row>
    <row r="380" ht="15.75" customHeight="1">
      <c r="A380" s="1"/>
      <c r="B380" s="1"/>
      <c r="C380" s="1"/>
      <c r="D380" s="1"/>
      <c r="E380" s="1"/>
      <c r="F380" s="2"/>
      <c r="G380" s="1"/>
    </row>
    <row r="381" ht="15.75" customHeight="1">
      <c r="A381" s="1"/>
      <c r="B381" s="1"/>
      <c r="C381" s="1"/>
      <c r="D381" s="1"/>
      <c r="E381" s="1"/>
      <c r="F381" s="2"/>
      <c r="G381" s="1"/>
    </row>
    <row r="382" ht="15.75" customHeight="1">
      <c r="A382" s="1"/>
      <c r="B382" s="1"/>
      <c r="C382" s="1"/>
      <c r="D382" s="1"/>
      <c r="E382" s="1"/>
      <c r="F382" s="2"/>
      <c r="G382" s="1"/>
    </row>
    <row r="383" ht="15.75" customHeight="1">
      <c r="A383" s="1"/>
      <c r="B383" s="1"/>
      <c r="C383" s="1"/>
      <c r="D383" s="1"/>
      <c r="E383" s="1"/>
      <c r="F383" s="2"/>
      <c r="G383" s="1"/>
    </row>
    <row r="384" ht="15.75" customHeight="1">
      <c r="A384" s="1"/>
      <c r="B384" s="1"/>
      <c r="C384" s="1"/>
      <c r="D384" s="1"/>
      <c r="E384" s="1"/>
      <c r="F384" s="2"/>
      <c r="G384" s="1"/>
    </row>
    <row r="385" ht="15.75" customHeight="1">
      <c r="A385" s="1"/>
      <c r="B385" s="1"/>
      <c r="C385" s="1"/>
      <c r="D385" s="1"/>
      <c r="E385" s="1"/>
      <c r="F385" s="2"/>
      <c r="G385" s="1"/>
    </row>
    <row r="386" ht="15.75" customHeight="1">
      <c r="A386" s="1"/>
      <c r="B386" s="1"/>
      <c r="C386" s="1"/>
      <c r="D386" s="1"/>
      <c r="E386" s="1"/>
      <c r="F386" s="2"/>
      <c r="G386" s="1"/>
    </row>
    <row r="387" ht="15.75" customHeight="1">
      <c r="A387" s="1"/>
      <c r="B387" s="1"/>
      <c r="C387" s="1"/>
      <c r="D387" s="1"/>
      <c r="E387" s="1"/>
      <c r="F387" s="2"/>
      <c r="G387" s="1"/>
    </row>
    <row r="388" ht="15.75" customHeight="1">
      <c r="A388" s="1"/>
      <c r="B388" s="1"/>
      <c r="C388" s="1"/>
      <c r="D388" s="1"/>
      <c r="E388" s="1"/>
      <c r="F388" s="2"/>
      <c r="G388" s="1"/>
    </row>
    <row r="389" ht="15.75" customHeight="1">
      <c r="A389" s="1"/>
      <c r="B389" s="1"/>
      <c r="C389" s="1"/>
      <c r="D389" s="1"/>
      <c r="E389" s="1"/>
      <c r="F389" s="2"/>
      <c r="G389" s="1"/>
    </row>
    <row r="390" ht="15.75" customHeight="1">
      <c r="A390" s="1"/>
      <c r="B390" s="1"/>
      <c r="C390" s="1"/>
      <c r="D390" s="1"/>
      <c r="E390" s="1"/>
      <c r="F390" s="2"/>
      <c r="G390" s="1"/>
    </row>
    <row r="391" ht="15.75" customHeight="1">
      <c r="A391" s="1"/>
      <c r="B391" s="1"/>
      <c r="C391" s="1"/>
      <c r="D391" s="1"/>
      <c r="E391" s="1"/>
      <c r="F391" s="2"/>
      <c r="G391" s="1"/>
    </row>
    <row r="392" ht="15.75" customHeight="1">
      <c r="A392" s="1"/>
      <c r="B392" s="1"/>
      <c r="C392" s="1"/>
      <c r="D392" s="1"/>
      <c r="E392" s="1"/>
      <c r="F392" s="2"/>
      <c r="G392" s="1"/>
    </row>
    <row r="393" ht="15.75" customHeight="1">
      <c r="A393" s="1"/>
      <c r="B393" s="1"/>
      <c r="C393" s="1"/>
      <c r="D393" s="1"/>
      <c r="E393" s="1"/>
      <c r="F393" s="2"/>
      <c r="G393" s="1"/>
    </row>
    <row r="394" ht="15.75" customHeight="1">
      <c r="A394" s="1"/>
      <c r="B394" s="1"/>
      <c r="C394" s="1"/>
      <c r="D394" s="1"/>
      <c r="E394" s="1"/>
      <c r="F394" s="2"/>
      <c r="G394" s="1"/>
    </row>
    <row r="395" ht="15.75" customHeight="1">
      <c r="A395" s="1"/>
      <c r="B395" s="1"/>
      <c r="C395" s="1"/>
      <c r="D395" s="1"/>
      <c r="E395" s="1"/>
      <c r="F395" s="2"/>
      <c r="G395" s="1"/>
    </row>
    <row r="396" ht="15.75" customHeight="1">
      <c r="A396" s="1"/>
      <c r="B396" s="1"/>
      <c r="C396" s="1"/>
      <c r="D396" s="1"/>
      <c r="E396" s="1"/>
      <c r="F396" s="2"/>
      <c r="G396" s="1"/>
    </row>
    <row r="397" ht="15.75" customHeight="1">
      <c r="A397" s="1"/>
      <c r="B397" s="1"/>
      <c r="C397" s="1"/>
      <c r="D397" s="1"/>
      <c r="E397" s="1"/>
      <c r="F397" s="2"/>
      <c r="G397" s="1"/>
    </row>
    <row r="398" ht="15.75" customHeight="1">
      <c r="A398" s="1"/>
      <c r="B398" s="1"/>
      <c r="C398" s="1"/>
      <c r="D398" s="1"/>
      <c r="E398" s="1"/>
      <c r="F398" s="2"/>
      <c r="G398" s="1"/>
    </row>
    <row r="399" ht="15.75" customHeight="1">
      <c r="A399" s="1"/>
      <c r="B399" s="1"/>
      <c r="C399" s="1"/>
      <c r="D399" s="1"/>
      <c r="E399" s="1"/>
      <c r="F399" s="2"/>
      <c r="G399" s="1"/>
    </row>
    <row r="400" ht="15.75" customHeight="1">
      <c r="A400" s="1"/>
      <c r="B400" s="1"/>
      <c r="C400" s="1"/>
      <c r="D400" s="1"/>
      <c r="E400" s="1"/>
      <c r="F400" s="2"/>
      <c r="G400" s="1"/>
    </row>
    <row r="401" ht="15.75" customHeight="1">
      <c r="A401" s="1"/>
      <c r="B401" s="1"/>
      <c r="C401" s="1"/>
      <c r="D401" s="1"/>
      <c r="E401" s="1"/>
      <c r="F401" s="2"/>
      <c r="G401" s="1"/>
    </row>
    <row r="402" ht="15.75" customHeight="1">
      <c r="A402" s="1"/>
      <c r="B402" s="1"/>
      <c r="C402" s="1"/>
      <c r="D402" s="1"/>
      <c r="E402" s="1"/>
      <c r="F402" s="2"/>
      <c r="G402" s="1"/>
    </row>
    <row r="403" ht="15.75" customHeight="1">
      <c r="A403" s="1"/>
      <c r="B403" s="1"/>
      <c r="C403" s="1"/>
      <c r="D403" s="1"/>
      <c r="E403" s="1"/>
      <c r="F403" s="2"/>
      <c r="G403" s="1"/>
    </row>
    <row r="404" ht="15.75" customHeight="1">
      <c r="A404" s="1"/>
      <c r="B404" s="1"/>
      <c r="C404" s="1"/>
      <c r="D404" s="1"/>
      <c r="E404" s="1"/>
      <c r="F404" s="2"/>
      <c r="G404" s="1"/>
    </row>
    <row r="405" ht="15.75" customHeight="1">
      <c r="A405" s="1"/>
      <c r="B405" s="1"/>
      <c r="C405" s="1"/>
      <c r="D405" s="1"/>
      <c r="E405" s="1"/>
      <c r="F405" s="2"/>
      <c r="G405" s="1"/>
    </row>
    <row r="406" ht="15.75" customHeight="1">
      <c r="A406" s="1"/>
      <c r="B406" s="1"/>
      <c r="C406" s="1"/>
      <c r="D406" s="1"/>
      <c r="E406" s="1"/>
      <c r="F406" s="2"/>
      <c r="G406" s="1"/>
    </row>
    <row r="407" ht="15.75" customHeight="1">
      <c r="A407" s="1"/>
      <c r="B407" s="1"/>
      <c r="C407" s="1"/>
      <c r="D407" s="1"/>
      <c r="E407" s="1"/>
      <c r="F407" s="2"/>
      <c r="G407" s="1"/>
    </row>
    <row r="408" ht="15.75" customHeight="1">
      <c r="A408" s="1"/>
      <c r="B408" s="1"/>
      <c r="C408" s="1"/>
      <c r="D408" s="1"/>
      <c r="E408" s="1"/>
      <c r="F408" s="2"/>
      <c r="G408" s="1"/>
    </row>
    <row r="409" ht="15.75" customHeight="1">
      <c r="A409" s="1"/>
      <c r="B409" s="1"/>
      <c r="C409" s="1"/>
      <c r="D409" s="1"/>
      <c r="E409" s="1"/>
      <c r="F409" s="2"/>
      <c r="G409" s="1"/>
    </row>
    <row r="410" ht="15.75" customHeight="1">
      <c r="A410" s="1"/>
      <c r="B410" s="1"/>
      <c r="C410" s="1"/>
      <c r="D410" s="1"/>
      <c r="E410" s="1"/>
      <c r="F410" s="2"/>
      <c r="G410" s="1"/>
    </row>
    <row r="411" ht="15.75" customHeight="1">
      <c r="A411" s="1"/>
      <c r="B411" s="1"/>
      <c r="C411" s="1"/>
      <c r="D411" s="1"/>
      <c r="E411" s="1"/>
      <c r="F411" s="2"/>
      <c r="G411" s="1"/>
    </row>
    <row r="412" ht="15.75" customHeight="1">
      <c r="A412" s="1"/>
      <c r="B412" s="1"/>
      <c r="C412" s="1"/>
      <c r="D412" s="1"/>
      <c r="E412" s="1"/>
      <c r="F412" s="2"/>
      <c r="G412" s="1"/>
    </row>
    <row r="413" ht="15.75" customHeight="1">
      <c r="A413" s="1"/>
      <c r="B413" s="1"/>
      <c r="C413" s="1"/>
      <c r="D413" s="1"/>
      <c r="E413" s="1"/>
      <c r="F413" s="2"/>
      <c r="G413" s="1"/>
    </row>
    <row r="414" ht="15.75" customHeight="1">
      <c r="A414" s="1"/>
      <c r="B414" s="1"/>
      <c r="C414" s="1"/>
      <c r="D414" s="1"/>
      <c r="E414" s="1"/>
      <c r="F414" s="2"/>
      <c r="G414" s="1"/>
    </row>
    <row r="415" ht="15.75" customHeight="1">
      <c r="A415" s="1"/>
      <c r="B415" s="1"/>
      <c r="C415" s="1"/>
      <c r="D415" s="1"/>
      <c r="E415" s="1"/>
      <c r="F415" s="2"/>
      <c r="G415" s="1"/>
    </row>
    <row r="416" ht="15.75" customHeight="1">
      <c r="A416" s="1"/>
      <c r="B416" s="1"/>
      <c r="C416" s="1"/>
      <c r="D416" s="1"/>
      <c r="E416" s="1"/>
      <c r="F416" s="2"/>
      <c r="G416" s="1"/>
    </row>
    <row r="417" ht="15.75" customHeight="1">
      <c r="A417" s="1"/>
      <c r="B417" s="1"/>
      <c r="C417" s="1"/>
      <c r="D417" s="1"/>
      <c r="E417" s="1"/>
      <c r="F417" s="2"/>
      <c r="G417" s="1"/>
    </row>
    <row r="418" ht="15.75" customHeight="1">
      <c r="A418" s="1"/>
      <c r="B418" s="1"/>
      <c r="C418" s="1"/>
      <c r="D418" s="1"/>
      <c r="E418" s="1"/>
      <c r="F418" s="2"/>
      <c r="G418" s="1"/>
    </row>
    <row r="419" ht="15.75" customHeight="1">
      <c r="A419" s="1"/>
      <c r="B419" s="1"/>
      <c r="C419" s="1"/>
      <c r="D419" s="1"/>
      <c r="E419" s="1"/>
      <c r="F419" s="2"/>
      <c r="G419" s="1"/>
    </row>
    <row r="420" ht="15.75" customHeight="1">
      <c r="A420" s="1"/>
      <c r="B420" s="1"/>
      <c r="C420" s="1"/>
      <c r="D420" s="1"/>
      <c r="E420" s="1"/>
      <c r="F420" s="2"/>
      <c r="G420" s="1"/>
    </row>
    <row r="421" ht="15.75" customHeight="1">
      <c r="A421" s="1"/>
      <c r="B421" s="1"/>
      <c r="C421" s="1"/>
      <c r="D421" s="1"/>
      <c r="E421" s="1"/>
      <c r="F421" s="2"/>
      <c r="G421" s="1"/>
    </row>
    <row r="422" ht="15.75" customHeight="1">
      <c r="A422" s="1"/>
      <c r="B422" s="1"/>
      <c r="C422" s="1"/>
      <c r="D422" s="1"/>
      <c r="E422" s="1"/>
      <c r="F422" s="2"/>
      <c r="G422" s="1"/>
    </row>
    <row r="423" ht="15.75" customHeight="1">
      <c r="A423" s="1"/>
      <c r="B423" s="1"/>
      <c r="C423" s="1"/>
      <c r="D423" s="1"/>
      <c r="E423" s="1"/>
      <c r="F423" s="2"/>
      <c r="G423" s="1"/>
    </row>
    <row r="424" ht="15.75" customHeight="1">
      <c r="A424" s="1"/>
      <c r="B424" s="1"/>
      <c r="C424" s="1"/>
      <c r="D424" s="1"/>
      <c r="E424" s="1"/>
      <c r="F424" s="2"/>
      <c r="G424" s="1"/>
    </row>
    <row r="425" ht="15.75" customHeight="1">
      <c r="A425" s="1"/>
      <c r="B425" s="1"/>
      <c r="C425" s="1"/>
      <c r="D425" s="1"/>
      <c r="E425" s="1"/>
      <c r="F425" s="2"/>
      <c r="G425" s="1"/>
    </row>
    <row r="426" ht="15.75" customHeight="1">
      <c r="A426" s="1"/>
      <c r="B426" s="1"/>
      <c r="C426" s="1"/>
      <c r="D426" s="1"/>
      <c r="E426" s="1"/>
      <c r="F426" s="2"/>
      <c r="G426" s="1"/>
    </row>
    <row r="427" ht="15.75" customHeight="1">
      <c r="A427" s="1"/>
      <c r="B427" s="1"/>
      <c r="C427" s="1"/>
      <c r="D427" s="1"/>
      <c r="E427" s="1"/>
      <c r="F427" s="2"/>
      <c r="G427" s="1"/>
    </row>
    <row r="428" ht="15.75" customHeight="1">
      <c r="A428" s="1"/>
      <c r="B428" s="1"/>
      <c r="C428" s="1"/>
      <c r="D428" s="1"/>
      <c r="E428" s="1"/>
      <c r="F428" s="2"/>
      <c r="G428" s="1"/>
    </row>
    <row r="429" ht="15.75" customHeight="1">
      <c r="A429" s="1"/>
      <c r="B429" s="1"/>
      <c r="C429" s="1"/>
      <c r="D429" s="1"/>
      <c r="E429" s="1"/>
      <c r="F429" s="2"/>
      <c r="G429" s="1"/>
    </row>
    <row r="430" ht="15.75" customHeight="1">
      <c r="A430" s="1"/>
      <c r="B430" s="1"/>
      <c r="C430" s="1"/>
      <c r="D430" s="1"/>
      <c r="E430" s="1"/>
      <c r="F430" s="2"/>
      <c r="G430" s="1"/>
    </row>
    <row r="431" ht="15.75" customHeight="1">
      <c r="A431" s="1"/>
      <c r="B431" s="1"/>
      <c r="C431" s="1"/>
      <c r="D431" s="1"/>
      <c r="E431" s="1"/>
      <c r="F431" s="2"/>
      <c r="G431" s="1"/>
    </row>
    <row r="432" ht="15.75" customHeight="1">
      <c r="A432" s="1"/>
      <c r="B432" s="1"/>
      <c r="C432" s="1"/>
      <c r="D432" s="1"/>
      <c r="E432" s="1"/>
      <c r="F432" s="2"/>
      <c r="G432" s="1"/>
    </row>
    <row r="433" ht="15.75" customHeight="1">
      <c r="A433" s="1"/>
      <c r="B433" s="1"/>
      <c r="C433" s="1"/>
      <c r="D433" s="1"/>
      <c r="E433" s="1"/>
      <c r="F433" s="2"/>
      <c r="G433" s="1"/>
    </row>
    <row r="434" ht="15.75" customHeight="1">
      <c r="A434" s="1"/>
      <c r="B434" s="1"/>
      <c r="C434" s="1"/>
      <c r="D434" s="1"/>
      <c r="E434" s="1"/>
      <c r="F434" s="2"/>
      <c r="G434" s="1"/>
    </row>
    <row r="435" ht="15.75" customHeight="1">
      <c r="A435" s="1"/>
      <c r="B435" s="1"/>
      <c r="C435" s="1"/>
      <c r="D435" s="1"/>
      <c r="E435" s="1"/>
      <c r="F435" s="2"/>
      <c r="G435" s="1"/>
    </row>
    <row r="436" ht="15.75" customHeight="1">
      <c r="A436" s="1"/>
      <c r="B436" s="1"/>
      <c r="C436" s="1"/>
      <c r="D436" s="1"/>
      <c r="E436" s="1"/>
      <c r="F436" s="2"/>
      <c r="G436" s="1"/>
    </row>
    <row r="437" ht="15.75" customHeight="1">
      <c r="A437" s="1"/>
      <c r="B437" s="1"/>
      <c r="C437" s="1"/>
      <c r="D437" s="1"/>
      <c r="E437" s="1"/>
      <c r="F437" s="2"/>
      <c r="G437" s="1"/>
    </row>
    <row r="438" ht="15.75" customHeight="1">
      <c r="A438" s="1"/>
      <c r="B438" s="1"/>
      <c r="C438" s="1"/>
      <c r="D438" s="1"/>
      <c r="E438" s="1"/>
      <c r="F438" s="2"/>
      <c r="G438" s="1"/>
    </row>
    <row r="439" ht="15.75" customHeight="1">
      <c r="A439" s="1"/>
      <c r="B439" s="1"/>
      <c r="C439" s="1"/>
      <c r="D439" s="1"/>
      <c r="E439" s="1"/>
      <c r="F439" s="2"/>
      <c r="G439" s="1"/>
    </row>
    <row r="440" ht="15.75" customHeight="1">
      <c r="A440" s="1"/>
      <c r="B440" s="1"/>
      <c r="C440" s="1"/>
      <c r="D440" s="1"/>
      <c r="E440" s="1"/>
      <c r="F440" s="2"/>
      <c r="G440" s="1"/>
    </row>
    <row r="441" ht="15.75" customHeight="1">
      <c r="A441" s="1"/>
      <c r="B441" s="1"/>
      <c r="C441" s="1"/>
      <c r="D441" s="1"/>
      <c r="E441" s="1"/>
      <c r="F441" s="2"/>
      <c r="G441" s="1"/>
    </row>
    <row r="442" ht="15.75" customHeight="1">
      <c r="A442" s="1"/>
      <c r="B442" s="1"/>
      <c r="C442" s="1"/>
      <c r="D442" s="1"/>
      <c r="E442" s="1"/>
      <c r="F442" s="2"/>
      <c r="G442" s="1"/>
    </row>
    <row r="443" ht="15.75" customHeight="1">
      <c r="A443" s="1"/>
      <c r="B443" s="1"/>
      <c r="C443" s="1"/>
      <c r="D443" s="1"/>
      <c r="E443" s="1"/>
      <c r="F443" s="2"/>
      <c r="G443" s="1"/>
    </row>
    <row r="444" ht="15.75" customHeight="1">
      <c r="A444" s="1"/>
      <c r="B444" s="1"/>
      <c r="C444" s="1"/>
      <c r="D444" s="1"/>
      <c r="E444" s="1"/>
      <c r="F444" s="2"/>
      <c r="G444" s="1"/>
    </row>
    <row r="445" ht="15.75" customHeight="1">
      <c r="A445" s="1"/>
      <c r="B445" s="1"/>
      <c r="C445" s="1"/>
      <c r="D445" s="1"/>
      <c r="E445" s="1"/>
      <c r="F445" s="2"/>
      <c r="G445" s="1"/>
    </row>
    <row r="446" ht="15.75" customHeight="1">
      <c r="A446" s="1"/>
      <c r="B446" s="1"/>
      <c r="C446" s="1"/>
      <c r="D446" s="1"/>
      <c r="E446" s="1"/>
      <c r="F446" s="2"/>
      <c r="G446" s="1"/>
    </row>
    <row r="447" ht="15.75" customHeight="1">
      <c r="A447" s="1"/>
      <c r="B447" s="1"/>
      <c r="C447" s="1"/>
      <c r="D447" s="1"/>
      <c r="E447" s="1"/>
      <c r="F447" s="2"/>
      <c r="G447" s="1"/>
    </row>
    <row r="448" ht="15.75" customHeight="1">
      <c r="A448" s="1"/>
      <c r="B448" s="1"/>
      <c r="C448" s="1"/>
      <c r="D448" s="1"/>
      <c r="E448" s="1"/>
      <c r="F448" s="2"/>
      <c r="G448" s="1"/>
    </row>
    <row r="449" ht="15.75" customHeight="1">
      <c r="A449" s="1"/>
      <c r="B449" s="1"/>
      <c r="C449" s="1"/>
      <c r="D449" s="1"/>
      <c r="E449" s="1"/>
      <c r="F449" s="2"/>
      <c r="G449" s="1"/>
    </row>
    <row r="450" ht="15.75" customHeight="1">
      <c r="A450" s="1"/>
      <c r="B450" s="1"/>
      <c r="C450" s="1"/>
      <c r="D450" s="1"/>
      <c r="E450" s="1"/>
      <c r="F450" s="2"/>
      <c r="G450" s="1"/>
    </row>
    <row r="451" ht="15.75" customHeight="1">
      <c r="A451" s="1"/>
      <c r="B451" s="1"/>
      <c r="C451" s="1"/>
      <c r="D451" s="1"/>
      <c r="E451" s="1"/>
      <c r="F451" s="2"/>
      <c r="G451" s="1"/>
    </row>
    <row r="452" ht="15.75" customHeight="1">
      <c r="A452" s="1"/>
      <c r="B452" s="1"/>
      <c r="C452" s="1"/>
      <c r="D452" s="1"/>
      <c r="E452" s="1"/>
      <c r="F452" s="2"/>
      <c r="G452" s="1"/>
    </row>
    <row r="453" ht="15.75" customHeight="1">
      <c r="A453" s="1"/>
      <c r="B453" s="1"/>
      <c r="C453" s="1"/>
      <c r="D453" s="1"/>
      <c r="E453" s="1"/>
      <c r="F453" s="2"/>
      <c r="G453" s="1"/>
    </row>
    <row r="454" ht="15.75" customHeight="1">
      <c r="A454" s="1"/>
      <c r="B454" s="1"/>
      <c r="C454" s="1"/>
      <c r="D454" s="1"/>
      <c r="E454" s="1"/>
      <c r="F454" s="2"/>
      <c r="G454" s="1"/>
    </row>
    <row r="455" ht="15.75" customHeight="1">
      <c r="A455" s="1"/>
      <c r="B455" s="1"/>
      <c r="C455" s="1"/>
      <c r="D455" s="1"/>
      <c r="E455" s="1"/>
      <c r="F455" s="2"/>
      <c r="G455" s="1"/>
    </row>
    <row r="456" ht="15.75" customHeight="1">
      <c r="A456" s="1"/>
      <c r="B456" s="1"/>
      <c r="C456" s="1"/>
      <c r="D456" s="1"/>
      <c r="E456" s="1"/>
      <c r="F456" s="2"/>
      <c r="G456" s="1"/>
    </row>
    <row r="457" ht="15.75" customHeight="1">
      <c r="A457" s="1"/>
      <c r="B457" s="1"/>
      <c r="C457" s="1"/>
      <c r="D457" s="1"/>
      <c r="E457" s="1"/>
      <c r="F457" s="2"/>
      <c r="G457" s="1"/>
    </row>
    <row r="458" ht="15.75" customHeight="1">
      <c r="A458" s="1"/>
      <c r="B458" s="1"/>
      <c r="C458" s="1"/>
      <c r="D458" s="1"/>
      <c r="E458" s="1"/>
      <c r="F458" s="2"/>
      <c r="G458" s="1"/>
    </row>
    <row r="459" ht="15.75" customHeight="1">
      <c r="A459" s="1"/>
      <c r="B459" s="1"/>
      <c r="C459" s="1"/>
      <c r="D459" s="1"/>
      <c r="E459" s="1"/>
      <c r="F459" s="2"/>
      <c r="G459" s="1"/>
    </row>
    <row r="460" ht="15.75" customHeight="1">
      <c r="A460" s="1"/>
      <c r="B460" s="1"/>
      <c r="C460" s="1"/>
      <c r="D460" s="1"/>
      <c r="E460" s="1"/>
      <c r="F460" s="2"/>
      <c r="G460" s="1"/>
    </row>
    <row r="461" ht="15.75" customHeight="1">
      <c r="A461" s="1"/>
      <c r="B461" s="1"/>
      <c r="C461" s="1"/>
      <c r="D461" s="1"/>
      <c r="E461" s="1"/>
      <c r="F461" s="2"/>
      <c r="G461" s="1"/>
    </row>
    <row r="462" ht="15.75" customHeight="1">
      <c r="A462" s="1"/>
      <c r="B462" s="1"/>
      <c r="C462" s="1"/>
      <c r="D462" s="1"/>
      <c r="E462" s="1"/>
      <c r="F462" s="2"/>
      <c r="G462" s="1"/>
    </row>
    <row r="463" ht="15.75" customHeight="1">
      <c r="A463" s="1"/>
      <c r="B463" s="1"/>
      <c r="C463" s="1"/>
      <c r="D463" s="1"/>
      <c r="E463" s="1"/>
      <c r="F463" s="2"/>
      <c r="G463" s="1"/>
    </row>
    <row r="464" ht="15.75" customHeight="1">
      <c r="A464" s="1"/>
      <c r="B464" s="1"/>
      <c r="C464" s="1"/>
      <c r="D464" s="1"/>
      <c r="E464" s="1"/>
      <c r="F464" s="2"/>
      <c r="G464" s="1"/>
    </row>
    <row r="465" ht="15.75" customHeight="1">
      <c r="A465" s="1"/>
      <c r="B465" s="1"/>
      <c r="C465" s="1"/>
      <c r="D465" s="1"/>
      <c r="E465" s="1"/>
      <c r="F465" s="2"/>
      <c r="G465" s="1"/>
    </row>
    <row r="466" ht="15.75" customHeight="1">
      <c r="A466" s="1"/>
      <c r="B466" s="1"/>
      <c r="C466" s="1"/>
      <c r="D466" s="1"/>
      <c r="E466" s="1"/>
      <c r="F466" s="2"/>
      <c r="G466" s="1"/>
    </row>
    <row r="467" ht="15.75" customHeight="1">
      <c r="A467" s="1"/>
      <c r="B467" s="1"/>
      <c r="C467" s="1"/>
      <c r="D467" s="1"/>
      <c r="E467" s="1"/>
      <c r="F467" s="2"/>
      <c r="G467" s="1"/>
    </row>
    <row r="468" ht="15.75" customHeight="1">
      <c r="A468" s="1"/>
      <c r="B468" s="1"/>
      <c r="C468" s="1"/>
      <c r="D468" s="1"/>
      <c r="E468" s="1"/>
      <c r="F468" s="2"/>
      <c r="G468" s="1"/>
    </row>
    <row r="469" ht="15.75" customHeight="1">
      <c r="A469" s="1"/>
      <c r="B469" s="1"/>
      <c r="C469" s="1"/>
      <c r="D469" s="1"/>
      <c r="E469" s="1"/>
      <c r="F469" s="2"/>
      <c r="G469" s="1"/>
    </row>
    <row r="470" ht="15.75" customHeight="1">
      <c r="A470" s="1"/>
      <c r="B470" s="1"/>
      <c r="C470" s="1"/>
      <c r="D470" s="1"/>
      <c r="E470" s="1"/>
      <c r="F470" s="2"/>
      <c r="G470" s="1"/>
    </row>
    <row r="471" ht="15.75" customHeight="1">
      <c r="A471" s="1"/>
      <c r="B471" s="1"/>
      <c r="C471" s="1"/>
      <c r="D471" s="1"/>
      <c r="E471" s="1"/>
      <c r="F471" s="2"/>
      <c r="G471" s="1"/>
    </row>
    <row r="472" ht="15.75" customHeight="1">
      <c r="A472" s="1"/>
      <c r="B472" s="1"/>
      <c r="C472" s="1"/>
      <c r="D472" s="1"/>
      <c r="E472" s="1"/>
      <c r="F472" s="2"/>
      <c r="G472" s="1"/>
    </row>
    <row r="473" ht="15.75" customHeight="1">
      <c r="A473" s="1"/>
      <c r="B473" s="1"/>
      <c r="C473" s="1"/>
      <c r="D473" s="1"/>
      <c r="E473" s="1"/>
      <c r="F473" s="2"/>
      <c r="G473" s="1"/>
    </row>
    <row r="474" ht="15.75" customHeight="1">
      <c r="A474" s="1"/>
      <c r="B474" s="1"/>
      <c r="C474" s="1"/>
      <c r="D474" s="1"/>
      <c r="E474" s="1"/>
      <c r="F474" s="2"/>
      <c r="G474" s="1"/>
    </row>
    <row r="475" ht="15.75" customHeight="1">
      <c r="A475" s="1"/>
      <c r="B475" s="1"/>
      <c r="C475" s="1"/>
      <c r="D475" s="1"/>
      <c r="E475" s="1"/>
      <c r="F475" s="2"/>
      <c r="G475" s="1"/>
    </row>
    <row r="476" ht="15.75" customHeight="1">
      <c r="A476" s="1"/>
      <c r="B476" s="1"/>
      <c r="C476" s="1"/>
      <c r="D476" s="1"/>
      <c r="E476" s="1"/>
      <c r="F476" s="2"/>
      <c r="G476" s="1"/>
    </row>
    <row r="477" ht="15.75" customHeight="1">
      <c r="A477" s="1"/>
      <c r="B477" s="1"/>
      <c r="C477" s="1"/>
      <c r="D477" s="1"/>
      <c r="E477" s="1"/>
      <c r="F477" s="2"/>
      <c r="G477" s="1"/>
    </row>
    <row r="478" ht="15.75" customHeight="1">
      <c r="A478" s="1"/>
      <c r="B478" s="1"/>
      <c r="C478" s="1"/>
      <c r="D478" s="1"/>
      <c r="E478" s="1"/>
      <c r="F478" s="2"/>
      <c r="G478" s="1"/>
    </row>
    <row r="479" ht="15.75" customHeight="1">
      <c r="A479" s="1"/>
      <c r="B479" s="1"/>
      <c r="C479" s="1"/>
      <c r="D479" s="1"/>
      <c r="E479" s="1"/>
      <c r="F479" s="2"/>
      <c r="G479" s="1"/>
    </row>
    <row r="480" ht="15.75" customHeight="1">
      <c r="A480" s="1"/>
      <c r="B480" s="1"/>
      <c r="C480" s="1"/>
      <c r="D480" s="1"/>
      <c r="E480" s="1"/>
      <c r="F480" s="2"/>
      <c r="G480" s="1"/>
    </row>
    <row r="481" ht="15.75" customHeight="1">
      <c r="A481" s="1"/>
      <c r="B481" s="1"/>
      <c r="C481" s="1"/>
      <c r="D481" s="1"/>
      <c r="E481" s="1"/>
      <c r="F481" s="2"/>
      <c r="G481" s="1"/>
    </row>
    <row r="482" ht="15.75" customHeight="1">
      <c r="A482" s="1"/>
      <c r="B482" s="1"/>
      <c r="C482" s="1"/>
      <c r="D482" s="1"/>
      <c r="E482" s="1"/>
      <c r="F482" s="2"/>
      <c r="G482" s="1"/>
    </row>
    <row r="483" ht="15.75" customHeight="1">
      <c r="A483" s="1"/>
      <c r="B483" s="1"/>
      <c r="C483" s="1"/>
      <c r="D483" s="1"/>
      <c r="E483" s="1"/>
      <c r="F483" s="2"/>
      <c r="G483" s="1"/>
    </row>
    <row r="484" ht="15.75" customHeight="1">
      <c r="A484" s="1"/>
      <c r="B484" s="1"/>
      <c r="C484" s="1"/>
      <c r="D484" s="1"/>
      <c r="E484" s="1"/>
      <c r="F484" s="2"/>
      <c r="G484" s="1"/>
    </row>
    <row r="485" ht="15.75" customHeight="1">
      <c r="A485" s="1"/>
      <c r="B485" s="1"/>
      <c r="C485" s="1"/>
      <c r="D485" s="1"/>
      <c r="E485" s="1"/>
      <c r="F485" s="2"/>
      <c r="G485" s="1"/>
    </row>
    <row r="486" ht="15.75" customHeight="1">
      <c r="A486" s="1"/>
      <c r="B486" s="1"/>
      <c r="C486" s="1"/>
      <c r="D486" s="1"/>
      <c r="E486" s="1"/>
      <c r="F486" s="2"/>
      <c r="G486" s="1"/>
    </row>
    <row r="487" ht="15.75" customHeight="1">
      <c r="A487" s="1"/>
      <c r="B487" s="1"/>
      <c r="C487" s="1"/>
      <c r="D487" s="1"/>
      <c r="E487" s="1"/>
      <c r="F487" s="2"/>
      <c r="G487" s="1"/>
    </row>
    <row r="488" ht="15.75" customHeight="1">
      <c r="A488" s="1"/>
      <c r="B488" s="1"/>
      <c r="C488" s="1"/>
      <c r="D488" s="1"/>
      <c r="E488" s="1"/>
      <c r="F488" s="2"/>
      <c r="G488" s="1"/>
    </row>
    <row r="489" ht="15.75" customHeight="1">
      <c r="A489" s="1"/>
      <c r="B489" s="1"/>
      <c r="C489" s="1"/>
      <c r="D489" s="1"/>
      <c r="E489" s="1"/>
      <c r="F489" s="2"/>
      <c r="G489" s="1"/>
    </row>
    <row r="490" ht="15.75" customHeight="1">
      <c r="A490" s="1"/>
      <c r="B490" s="1"/>
      <c r="C490" s="1"/>
      <c r="D490" s="1"/>
      <c r="E490" s="1"/>
      <c r="F490" s="2"/>
      <c r="G490" s="1"/>
    </row>
    <row r="491" ht="15.75" customHeight="1">
      <c r="A491" s="1"/>
      <c r="B491" s="1"/>
      <c r="C491" s="1"/>
      <c r="D491" s="1"/>
      <c r="E491" s="1"/>
      <c r="F491" s="2"/>
      <c r="G491" s="1"/>
    </row>
    <row r="492" ht="15.75" customHeight="1">
      <c r="A492" s="1"/>
      <c r="B492" s="1"/>
      <c r="C492" s="1"/>
      <c r="D492" s="1"/>
      <c r="E492" s="1"/>
      <c r="F492" s="2"/>
      <c r="G492" s="1"/>
    </row>
    <row r="493" ht="15.75" customHeight="1">
      <c r="A493" s="1"/>
      <c r="B493" s="1"/>
      <c r="C493" s="1"/>
      <c r="D493" s="1"/>
      <c r="E493" s="1"/>
      <c r="F493" s="2"/>
      <c r="G493" s="1"/>
    </row>
    <row r="494" ht="15.75" customHeight="1">
      <c r="A494" s="1"/>
      <c r="B494" s="1"/>
      <c r="C494" s="1"/>
      <c r="D494" s="1"/>
      <c r="E494" s="1"/>
      <c r="F494" s="2"/>
      <c r="G494" s="1"/>
    </row>
    <row r="495" ht="15.75" customHeight="1">
      <c r="A495" s="1"/>
      <c r="B495" s="1"/>
      <c r="C495" s="1"/>
      <c r="D495" s="1"/>
      <c r="E495" s="1"/>
      <c r="F495" s="2"/>
      <c r="G495" s="1"/>
    </row>
    <row r="496" ht="15.75" customHeight="1">
      <c r="A496" s="1"/>
      <c r="B496" s="1"/>
      <c r="C496" s="1"/>
      <c r="D496" s="1"/>
      <c r="E496" s="1"/>
      <c r="F496" s="2"/>
      <c r="G496" s="1"/>
    </row>
    <row r="497" ht="15.75" customHeight="1">
      <c r="A497" s="1"/>
      <c r="B497" s="1"/>
      <c r="C497" s="1"/>
      <c r="D497" s="1"/>
      <c r="E497" s="1"/>
      <c r="F497" s="2"/>
      <c r="G497" s="1"/>
    </row>
    <row r="498" ht="15.75" customHeight="1">
      <c r="A498" s="1"/>
      <c r="B498" s="1"/>
      <c r="C498" s="1"/>
      <c r="D498" s="1"/>
      <c r="E498" s="1"/>
      <c r="F498" s="2"/>
      <c r="G498" s="1"/>
    </row>
    <row r="499" ht="15.75" customHeight="1">
      <c r="A499" s="1"/>
      <c r="B499" s="1"/>
      <c r="C499" s="1"/>
      <c r="D499" s="1"/>
      <c r="E499" s="1"/>
      <c r="F499" s="2"/>
      <c r="G499" s="1"/>
    </row>
    <row r="500" ht="15.75" customHeight="1">
      <c r="A500" s="1"/>
      <c r="B500" s="1"/>
      <c r="C500" s="1"/>
      <c r="D500" s="1"/>
      <c r="E500" s="1"/>
      <c r="F500" s="2"/>
      <c r="G500" s="1"/>
    </row>
    <row r="501" ht="15.75" customHeight="1">
      <c r="A501" s="1"/>
      <c r="B501" s="1"/>
      <c r="C501" s="1"/>
      <c r="D501" s="1"/>
      <c r="E501" s="1"/>
      <c r="F501" s="2"/>
      <c r="G501" s="1"/>
    </row>
    <row r="502" ht="15.75" customHeight="1">
      <c r="A502" s="1"/>
      <c r="B502" s="1"/>
      <c r="C502" s="1"/>
      <c r="D502" s="1"/>
      <c r="E502" s="1"/>
      <c r="F502" s="2"/>
      <c r="G502" s="1"/>
    </row>
    <row r="503" ht="15.75" customHeight="1">
      <c r="A503" s="1"/>
      <c r="B503" s="1"/>
      <c r="C503" s="1"/>
      <c r="D503" s="1"/>
      <c r="E503" s="1"/>
      <c r="F503" s="2"/>
      <c r="G503" s="1"/>
    </row>
    <row r="504" ht="15.75" customHeight="1">
      <c r="A504" s="1"/>
      <c r="B504" s="1"/>
      <c r="C504" s="1"/>
      <c r="D504" s="1"/>
      <c r="E504" s="1"/>
      <c r="F504" s="2"/>
      <c r="G504" s="1"/>
    </row>
    <row r="505" ht="15.75" customHeight="1">
      <c r="A505" s="1"/>
      <c r="B505" s="1"/>
      <c r="C505" s="1"/>
      <c r="D505" s="1"/>
      <c r="E505" s="1"/>
      <c r="F505" s="2"/>
      <c r="G505" s="1"/>
    </row>
    <row r="506" ht="15.75" customHeight="1">
      <c r="A506" s="1"/>
      <c r="B506" s="1"/>
      <c r="C506" s="1"/>
      <c r="D506" s="1"/>
      <c r="E506" s="1"/>
      <c r="F506" s="2"/>
      <c r="G506" s="1"/>
    </row>
    <row r="507" ht="15.75" customHeight="1">
      <c r="A507" s="1"/>
      <c r="B507" s="1"/>
      <c r="C507" s="1"/>
      <c r="D507" s="1"/>
      <c r="E507" s="1"/>
      <c r="F507" s="2"/>
      <c r="G507" s="1"/>
    </row>
    <row r="508" ht="15.75" customHeight="1">
      <c r="A508" s="1"/>
      <c r="B508" s="1"/>
      <c r="C508" s="1"/>
      <c r="D508" s="1"/>
      <c r="E508" s="1"/>
      <c r="F508" s="2"/>
      <c r="G508" s="1"/>
    </row>
    <row r="509" ht="15.75" customHeight="1">
      <c r="A509" s="1"/>
      <c r="B509" s="1"/>
      <c r="C509" s="1"/>
      <c r="D509" s="1"/>
      <c r="E509" s="1"/>
      <c r="F509" s="2"/>
      <c r="G509" s="1"/>
    </row>
    <row r="510" ht="15.75" customHeight="1">
      <c r="A510" s="1"/>
      <c r="B510" s="1"/>
      <c r="C510" s="1"/>
      <c r="D510" s="1"/>
      <c r="E510" s="1"/>
      <c r="F510" s="2"/>
      <c r="G510" s="1"/>
    </row>
    <row r="511" ht="15.75" customHeight="1">
      <c r="A511" s="1"/>
      <c r="B511" s="1"/>
      <c r="C511" s="1"/>
      <c r="D511" s="1"/>
      <c r="E511" s="1"/>
      <c r="F511" s="2"/>
      <c r="G511" s="1"/>
    </row>
    <row r="512" ht="15.75" customHeight="1">
      <c r="A512" s="1"/>
      <c r="B512" s="1"/>
      <c r="C512" s="1"/>
      <c r="D512" s="1"/>
      <c r="E512" s="1"/>
      <c r="F512" s="2"/>
      <c r="G512" s="1"/>
    </row>
    <row r="513" ht="15.75" customHeight="1">
      <c r="A513" s="1"/>
      <c r="B513" s="1"/>
      <c r="C513" s="1"/>
      <c r="D513" s="1"/>
      <c r="E513" s="1"/>
      <c r="F513" s="2"/>
      <c r="G513" s="1"/>
    </row>
    <row r="514" ht="15.75" customHeight="1">
      <c r="A514" s="1"/>
      <c r="B514" s="1"/>
      <c r="C514" s="1"/>
      <c r="D514" s="1"/>
      <c r="E514" s="1"/>
      <c r="F514" s="2"/>
      <c r="G514" s="1"/>
    </row>
    <row r="515" ht="15.75" customHeight="1">
      <c r="A515" s="1"/>
      <c r="B515" s="1"/>
      <c r="C515" s="1"/>
      <c r="D515" s="1"/>
      <c r="E515" s="1"/>
      <c r="F515" s="2"/>
      <c r="G515" s="1"/>
    </row>
    <row r="516" ht="15.75" customHeight="1">
      <c r="A516" s="1"/>
      <c r="B516" s="1"/>
      <c r="C516" s="1"/>
      <c r="D516" s="1"/>
      <c r="E516" s="1"/>
      <c r="F516" s="2"/>
      <c r="G516" s="1"/>
    </row>
    <row r="517" ht="15.75" customHeight="1">
      <c r="A517" s="1"/>
      <c r="B517" s="1"/>
      <c r="C517" s="1"/>
      <c r="D517" s="1"/>
      <c r="E517" s="1"/>
      <c r="F517" s="2"/>
      <c r="G517" s="1"/>
    </row>
    <row r="518" ht="15.75" customHeight="1">
      <c r="A518" s="1"/>
      <c r="B518" s="1"/>
      <c r="C518" s="1"/>
      <c r="D518" s="1"/>
      <c r="E518" s="1"/>
      <c r="F518" s="2"/>
      <c r="G518" s="1"/>
    </row>
    <row r="519" ht="15.75" customHeight="1">
      <c r="A519" s="1"/>
      <c r="B519" s="1"/>
      <c r="C519" s="1"/>
      <c r="D519" s="1"/>
      <c r="E519" s="1"/>
      <c r="F519" s="2"/>
      <c r="G519" s="1"/>
    </row>
    <row r="520" ht="15.75" customHeight="1">
      <c r="A520" s="1"/>
      <c r="B520" s="1"/>
      <c r="C520" s="1"/>
      <c r="D520" s="1"/>
      <c r="E520" s="1"/>
      <c r="F520" s="2"/>
      <c r="G520" s="1"/>
    </row>
    <row r="521" ht="15.75" customHeight="1">
      <c r="A521" s="1"/>
      <c r="B521" s="1"/>
      <c r="C521" s="1"/>
      <c r="D521" s="1"/>
      <c r="E521" s="1"/>
      <c r="F521" s="2"/>
      <c r="G521" s="1"/>
    </row>
    <row r="522" ht="15.75" customHeight="1">
      <c r="A522" s="1"/>
      <c r="B522" s="1"/>
      <c r="C522" s="1"/>
      <c r="D522" s="1"/>
      <c r="E522" s="1"/>
      <c r="F522" s="2"/>
      <c r="G522" s="1"/>
    </row>
    <row r="523" ht="15.75" customHeight="1">
      <c r="A523" s="1"/>
      <c r="B523" s="1"/>
      <c r="C523" s="1"/>
      <c r="D523" s="1"/>
      <c r="E523" s="1"/>
      <c r="F523" s="2"/>
      <c r="G523" s="1"/>
    </row>
    <row r="524" ht="15.75" customHeight="1">
      <c r="A524" s="1"/>
      <c r="B524" s="1"/>
      <c r="C524" s="1"/>
      <c r="D524" s="1"/>
      <c r="E524" s="1"/>
      <c r="F524" s="2"/>
      <c r="G524" s="1"/>
    </row>
    <row r="525" ht="15.75" customHeight="1">
      <c r="A525" s="1"/>
      <c r="B525" s="1"/>
      <c r="C525" s="1"/>
      <c r="D525" s="1"/>
      <c r="E525" s="1"/>
      <c r="F525" s="2"/>
      <c r="G525" s="1"/>
    </row>
    <row r="526" ht="15.75" customHeight="1">
      <c r="A526" s="1"/>
      <c r="B526" s="1"/>
      <c r="C526" s="1"/>
      <c r="D526" s="1"/>
      <c r="E526" s="1"/>
      <c r="F526" s="2"/>
      <c r="G526" s="1"/>
    </row>
    <row r="527" ht="15.75" customHeight="1">
      <c r="A527" s="1"/>
      <c r="B527" s="1"/>
      <c r="C527" s="1"/>
      <c r="D527" s="1"/>
      <c r="E527" s="1"/>
      <c r="F527" s="2"/>
      <c r="G527" s="1"/>
    </row>
    <row r="528" ht="15.75" customHeight="1">
      <c r="A528" s="1"/>
      <c r="B528" s="1"/>
      <c r="C528" s="1"/>
      <c r="D528" s="1"/>
      <c r="E528" s="1"/>
      <c r="F528" s="2"/>
      <c r="G528" s="1"/>
    </row>
    <row r="529" ht="15.75" customHeight="1">
      <c r="A529" s="1"/>
      <c r="B529" s="1"/>
      <c r="C529" s="1"/>
      <c r="D529" s="1"/>
      <c r="E529" s="1"/>
      <c r="F529" s="2"/>
      <c r="G529" s="1"/>
    </row>
    <row r="530" ht="15.75" customHeight="1">
      <c r="A530" s="1"/>
      <c r="B530" s="1"/>
      <c r="C530" s="1"/>
      <c r="D530" s="1"/>
      <c r="E530" s="1"/>
      <c r="F530" s="2"/>
      <c r="G530" s="1"/>
    </row>
    <row r="531" ht="15.75" customHeight="1">
      <c r="A531" s="1"/>
      <c r="B531" s="1"/>
      <c r="C531" s="1"/>
      <c r="D531" s="1"/>
      <c r="E531" s="1"/>
      <c r="F531" s="2"/>
      <c r="G531" s="1"/>
    </row>
    <row r="532" ht="15.75" customHeight="1">
      <c r="A532" s="1"/>
      <c r="B532" s="1"/>
      <c r="C532" s="1"/>
      <c r="D532" s="1"/>
      <c r="E532" s="1"/>
      <c r="F532" s="2"/>
      <c r="G532" s="1"/>
    </row>
    <row r="533" ht="15.75" customHeight="1">
      <c r="A533" s="1"/>
      <c r="B533" s="1"/>
      <c r="C533" s="1"/>
      <c r="D533" s="1"/>
      <c r="E533" s="1"/>
      <c r="F533" s="2"/>
      <c r="G533" s="1"/>
    </row>
    <row r="534" ht="15.75" customHeight="1">
      <c r="A534" s="1"/>
      <c r="B534" s="1"/>
      <c r="C534" s="1"/>
      <c r="D534" s="1"/>
      <c r="E534" s="1"/>
      <c r="F534" s="2"/>
      <c r="G534" s="1"/>
    </row>
    <row r="535" ht="15.75" customHeight="1">
      <c r="A535" s="1"/>
      <c r="B535" s="1"/>
      <c r="C535" s="1"/>
      <c r="D535" s="1"/>
      <c r="E535" s="1"/>
      <c r="F535" s="2"/>
      <c r="G535" s="1"/>
    </row>
    <row r="536" ht="15.75" customHeight="1">
      <c r="A536" s="1"/>
      <c r="B536" s="1"/>
      <c r="C536" s="1"/>
      <c r="D536" s="1"/>
      <c r="E536" s="1"/>
      <c r="F536" s="2"/>
      <c r="G536" s="1"/>
    </row>
    <row r="537" ht="15.75" customHeight="1">
      <c r="A537" s="1"/>
      <c r="B537" s="1"/>
      <c r="C537" s="1"/>
      <c r="D537" s="1"/>
      <c r="E537" s="1"/>
      <c r="F537" s="2"/>
      <c r="G537" s="1"/>
    </row>
    <row r="538" ht="15.75" customHeight="1">
      <c r="A538" s="1"/>
      <c r="B538" s="1"/>
      <c r="C538" s="1"/>
      <c r="D538" s="1"/>
      <c r="E538" s="1"/>
      <c r="F538" s="2"/>
      <c r="G538" s="1"/>
    </row>
    <row r="539" ht="15.75" customHeight="1">
      <c r="A539" s="1"/>
      <c r="B539" s="1"/>
      <c r="C539" s="1"/>
      <c r="D539" s="1"/>
      <c r="E539" s="1"/>
      <c r="F539" s="2"/>
      <c r="G539" s="1"/>
    </row>
    <row r="540" ht="15.75" customHeight="1">
      <c r="A540" s="1"/>
      <c r="B540" s="1"/>
      <c r="C540" s="1"/>
      <c r="D540" s="1"/>
      <c r="E540" s="1"/>
      <c r="F540" s="2"/>
      <c r="G540" s="1"/>
    </row>
    <row r="541" ht="15.75" customHeight="1">
      <c r="A541" s="1"/>
      <c r="B541" s="1"/>
      <c r="C541" s="1"/>
      <c r="D541" s="1"/>
      <c r="E541" s="1"/>
      <c r="F541" s="2"/>
      <c r="G541" s="1"/>
    </row>
    <row r="542" ht="15.75" customHeight="1">
      <c r="A542" s="1"/>
      <c r="B542" s="1"/>
      <c r="C542" s="1"/>
      <c r="D542" s="1"/>
      <c r="E542" s="1"/>
      <c r="F542" s="2"/>
      <c r="G542" s="1"/>
    </row>
    <row r="543" ht="15.75" customHeight="1">
      <c r="A543" s="1"/>
      <c r="B543" s="1"/>
      <c r="C543" s="1"/>
      <c r="D543" s="1"/>
      <c r="E543" s="1"/>
      <c r="F543" s="2"/>
      <c r="G543" s="1"/>
    </row>
    <row r="544" ht="15.75" customHeight="1">
      <c r="A544" s="1"/>
      <c r="B544" s="1"/>
      <c r="C544" s="1"/>
      <c r="D544" s="1"/>
      <c r="E544" s="1"/>
      <c r="F544" s="2"/>
      <c r="G544" s="1"/>
    </row>
    <row r="545" ht="15.75" customHeight="1">
      <c r="A545" s="1"/>
      <c r="B545" s="1"/>
      <c r="C545" s="1"/>
      <c r="D545" s="1"/>
      <c r="E545" s="1"/>
      <c r="F545" s="2"/>
      <c r="G545" s="1"/>
    </row>
    <row r="546" ht="15.75" customHeight="1">
      <c r="A546" s="1"/>
      <c r="B546" s="1"/>
      <c r="C546" s="1"/>
      <c r="D546" s="1"/>
      <c r="E546" s="1"/>
      <c r="F546" s="2"/>
      <c r="G546" s="1"/>
    </row>
    <row r="547" ht="15.75" customHeight="1">
      <c r="A547" s="1"/>
      <c r="B547" s="1"/>
      <c r="C547" s="1"/>
      <c r="D547" s="1"/>
      <c r="E547" s="1"/>
      <c r="F547" s="2"/>
      <c r="G547" s="1"/>
    </row>
    <row r="548" ht="15.75" customHeight="1">
      <c r="A548" s="1"/>
      <c r="B548" s="1"/>
      <c r="C548" s="1"/>
      <c r="D548" s="1"/>
      <c r="E548" s="1"/>
      <c r="F548" s="2"/>
      <c r="G548" s="1"/>
    </row>
    <row r="549" ht="15.75" customHeight="1">
      <c r="A549" s="1"/>
      <c r="B549" s="1"/>
      <c r="C549" s="1"/>
      <c r="D549" s="1"/>
      <c r="E549" s="1"/>
      <c r="F549" s="2"/>
      <c r="G549" s="1"/>
    </row>
    <row r="550" ht="15.75" customHeight="1">
      <c r="A550" s="1"/>
      <c r="B550" s="1"/>
      <c r="C550" s="1"/>
      <c r="D550" s="1"/>
      <c r="E550" s="1"/>
      <c r="F550" s="2"/>
      <c r="G550" s="1"/>
    </row>
    <row r="551" ht="15.75" customHeight="1">
      <c r="A551" s="1"/>
      <c r="B551" s="1"/>
      <c r="C551" s="1"/>
      <c r="D551" s="1"/>
      <c r="E551" s="1"/>
      <c r="F551" s="2"/>
      <c r="G551" s="1"/>
    </row>
    <row r="552" ht="15.75" customHeight="1">
      <c r="A552" s="1"/>
      <c r="B552" s="1"/>
      <c r="C552" s="1"/>
      <c r="D552" s="1"/>
      <c r="E552" s="1"/>
      <c r="F552" s="2"/>
      <c r="G552" s="1"/>
    </row>
    <row r="553" ht="15.75" customHeight="1">
      <c r="A553" s="1"/>
      <c r="B553" s="1"/>
      <c r="C553" s="1"/>
      <c r="D553" s="1"/>
      <c r="E553" s="1"/>
      <c r="F553" s="2"/>
      <c r="G553" s="1"/>
    </row>
    <row r="554" ht="15.75" customHeight="1">
      <c r="A554" s="1"/>
      <c r="B554" s="1"/>
      <c r="C554" s="1"/>
      <c r="D554" s="1"/>
      <c r="E554" s="1"/>
      <c r="F554" s="2"/>
      <c r="G554" s="1"/>
    </row>
    <row r="555" ht="15.75" customHeight="1">
      <c r="A555" s="1"/>
      <c r="B555" s="1"/>
      <c r="C555" s="1"/>
      <c r="D555" s="1"/>
      <c r="E555" s="1"/>
      <c r="F555" s="2"/>
      <c r="G555" s="1"/>
    </row>
    <row r="556" ht="15.75" customHeight="1">
      <c r="A556" s="1"/>
      <c r="B556" s="1"/>
      <c r="C556" s="1"/>
      <c r="D556" s="1"/>
      <c r="E556" s="1"/>
      <c r="F556" s="2"/>
      <c r="G556" s="1"/>
    </row>
    <row r="557" ht="15.75" customHeight="1">
      <c r="A557" s="1"/>
      <c r="B557" s="1"/>
      <c r="C557" s="1"/>
      <c r="D557" s="1"/>
      <c r="E557" s="1"/>
      <c r="F557" s="2"/>
      <c r="G557" s="1"/>
    </row>
    <row r="558" ht="15.75" customHeight="1">
      <c r="A558" s="1"/>
      <c r="B558" s="1"/>
      <c r="C558" s="1"/>
      <c r="D558" s="1"/>
      <c r="E558" s="1"/>
      <c r="F558" s="2"/>
      <c r="G558" s="1"/>
    </row>
    <row r="559" ht="15.75" customHeight="1">
      <c r="A559" s="1"/>
      <c r="B559" s="1"/>
      <c r="C559" s="1"/>
      <c r="D559" s="1"/>
      <c r="E559" s="1"/>
      <c r="F559" s="2"/>
      <c r="G559" s="1"/>
    </row>
    <row r="560" ht="15.75" customHeight="1">
      <c r="A560" s="1"/>
      <c r="B560" s="1"/>
      <c r="C560" s="1"/>
      <c r="D560" s="1"/>
      <c r="E560" s="1"/>
      <c r="F560" s="2"/>
      <c r="G560" s="1"/>
    </row>
    <row r="561" ht="15.75" customHeight="1">
      <c r="A561" s="1"/>
      <c r="B561" s="1"/>
      <c r="C561" s="1"/>
      <c r="D561" s="1"/>
      <c r="E561" s="1"/>
      <c r="F561" s="2"/>
      <c r="G561" s="1"/>
    </row>
    <row r="562" ht="15.75" customHeight="1">
      <c r="A562" s="1"/>
      <c r="B562" s="1"/>
      <c r="C562" s="1"/>
      <c r="D562" s="1"/>
      <c r="E562" s="1"/>
      <c r="F562" s="2"/>
      <c r="G562" s="1"/>
    </row>
    <row r="563" ht="15.75" customHeight="1">
      <c r="A563" s="1"/>
      <c r="B563" s="1"/>
      <c r="C563" s="1"/>
      <c r="D563" s="1"/>
      <c r="E563" s="1"/>
      <c r="F563" s="2"/>
      <c r="G563" s="1"/>
    </row>
    <row r="564" ht="15.75" customHeight="1">
      <c r="A564" s="1"/>
      <c r="B564" s="1"/>
      <c r="C564" s="1"/>
      <c r="D564" s="1"/>
      <c r="E564" s="1"/>
      <c r="F564" s="2"/>
      <c r="G564" s="1"/>
    </row>
    <row r="565" ht="15.75" customHeight="1">
      <c r="A565" s="1"/>
      <c r="B565" s="1"/>
      <c r="C565" s="1"/>
      <c r="D565" s="1"/>
      <c r="E565" s="1"/>
      <c r="F565" s="2"/>
      <c r="G565" s="1"/>
    </row>
    <row r="566" ht="15.75" customHeight="1">
      <c r="A566" s="1"/>
      <c r="B566" s="1"/>
      <c r="C566" s="1"/>
      <c r="D566" s="1"/>
      <c r="E566" s="1"/>
      <c r="F566" s="2"/>
      <c r="G566" s="1"/>
    </row>
    <row r="567" ht="15.75" customHeight="1">
      <c r="A567" s="1"/>
      <c r="B567" s="1"/>
      <c r="C567" s="1"/>
      <c r="D567" s="1"/>
      <c r="E567" s="1"/>
      <c r="F567" s="2"/>
      <c r="G567" s="1"/>
    </row>
    <row r="568" ht="15.75" customHeight="1">
      <c r="A568" s="1"/>
      <c r="B568" s="1"/>
      <c r="C568" s="1"/>
      <c r="D568" s="1"/>
      <c r="E568" s="1"/>
      <c r="F568" s="2"/>
      <c r="G568" s="1"/>
    </row>
    <row r="569" ht="15.75" customHeight="1">
      <c r="A569" s="1"/>
      <c r="B569" s="1"/>
      <c r="C569" s="1"/>
      <c r="D569" s="1"/>
      <c r="E569" s="1"/>
      <c r="F569" s="2"/>
      <c r="G569" s="1"/>
    </row>
    <row r="570" ht="15.75" customHeight="1">
      <c r="A570" s="1"/>
      <c r="B570" s="1"/>
      <c r="C570" s="1"/>
      <c r="D570" s="1"/>
      <c r="E570" s="1"/>
      <c r="F570" s="2"/>
      <c r="G570" s="1"/>
    </row>
    <row r="571" ht="15.75" customHeight="1">
      <c r="A571" s="1"/>
      <c r="B571" s="1"/>
      <c r="C571" s="1"/>
      <c r="D571" s="1"/>
      <c r="E571" s="1"/>
      <c r="F571" s="2"/>
      <c r="G571" s="1"/>
    </row>
    <row r="572" ht="15.75" customHeight="1">
      <c r="A572" s="1"/>
      <c r="B572" s="1"/>
      <c r="C572" s="1"/>
      <c r="D572" s="1"/>
      <c r="E572" s="1"/>
      <c r="F572" s="2"/>
      <c r="G572" s="1"/>
    </row>
    <row r="573" ht="15.75" customHeight="1">
      <c r="A573" s="1"/>
      <c r="B573" s="1"/>
      <c r="C573" s="1"/>
      <c r="D573" s="1"/>
      <c r="E573" s="1"/>
      <c r="F573" s="2"/>
      <c r="G573" s="1"/>
    </row>
    <row r="574" ht="15.75" customHeight="1">
      <c r="A574" s="1"/>
      <c r="B574" s="1"/>
      <c r="C574" s="1"/>
      <c r="D574" s="1"/>
      <c r="E574" s="1"/>
      <c r="F574" s="2"/>
      <c r="G574" s="1"/>
    </row>
    <row r="575" ht="15.75" customHeight="1">
      <c r="A575" s="1"/>
      <c r="B575" s="1"/>
      <c r="C575" s="1"/>
      <c r="D575" s="1"/>
      <c r="E575" s="1"/>
      <c r="F575" s="2"/>
      <c r="G575" s="1"/>
    </row>
    <row r="576" ht="15.75" customHeight="1">
      <c r="A576" s="1"/>
      <c r="B576" s="1"/>
      <c r="C576" s="1"/>
      <c r="D576" s="1"/>
      <c r="E576" s="1"/>
      <c r="F576" s="2"/>
      <c r="G576" s="1"/>
    </row>
    <row r="577" ht="15.75" customHeight="1">
      <c r="A577" s="1"/>
      <c r="B577" s="1"/>
      <c r="C577" s="1"/>
      <c r="D577" s="1"/>
      <c r="E577" s="1"/>
      <c r="F577" s="2"/>
      <c r="G577" s="1"/>
    </row>
    <row r="578" ht="15.75" customHeight="1">
      <c r="A578" s="1"/>
      <c r="B578" s="1"/>
      <c r="C578" s="1"/>
      <c r="D578" s="1"/>
      <c r="E578" s="1"/>
      <c r="F578" s="2"/>
      <c r="G578" s="1"/>
    </row>
    <row r="579" ht="15.75" customHeight="1">
      <c r="A579" s="1"/>
      <c r="B579" s="1"/>
      <c r="C579" s="1"/>
      <c r="D579" s="1"/>
      <c r="E579" s="1"/>
      <c r="F579" s="2"/>
      <c r="G579" s="1"/>
    </row>
    <row r="580" ht="15.75" customHeight="1">
      <c r="A580" s="1"/>
      <c r="B580" s="1"/>
      <c r="C580" s="1"/>
      <c r="D580" s="1"/>
      <c r="E580" s="1"/>
      <c r="F580" s="2"/>
      <c r="G580" s="1"/>
    </row>
    <row r="581" ht="15.75" customHeight="1">
      <c r="A581" s="1"/>
      <c r="B581" s="1"/>
      <c r="C581" s="1"/>
      <c r="D581" s="1"/>
      <c r="E581" s="1"/>
      <c r="F581" s="2"/>
      <c r="G581" s="1"/>
    </row>
    <row r="582" ht="15.75" customHeight="1">
      <c r="A582" s="1"/>
      <c r="B582" s="1"/>
      <c r="C582" s="1"/>
      <c r="D582" s="1"/>
      <c r="E582" s="1"/>
      <c r="F582" s="2"/>
      <c r="G582" s="1"/>
    </row>
    <row r="583" ht="15.75" customHeight="1">
      <c r="A583" s="1"/>
      <c r="B583" s="1"/>
      <c r="C583" s="1"/>
      <c r="D583" s="1"/>
      <c r="E583" s="1"/>
      <c r="F583" s="2"/>
      <c r="G583" s="1"/>
    </row>
    <row r="584" ht="15.75" customHeight="1">
      <c r="A584" s="1"/>
      <c r="B584" s="1"/>
      <c r="C584" s="1"/>
      <c r="D584" s="1"/>
      <c r="E584" s="1"/>
      <c r="F584" s="2"/>
      <c r="G584" s="1"/>
    </row>
    <row r="585" ht="15.75" customHeight="1">
      <c r="A585" s="1"/>
      <c r="B585" s="1"/>
      <c r="C585" s="1"/>
      <c r="D585" s="1"/>
      <c r="E585" s="1"/>
      <c r="F585" s="2"/>
      <c r="G585" s="1"/>
    </row>
    <row r="586" ht="15.75" customHeight="1">
      <c r="A586" s="1"/>
      <c r="B586" s="1"/>
      <c r="C586" s="1"/>
      <c r="D586" s="1"/>
      <c r="E586" s="1"/>
      <c r="F586" s="2"/>
      <c r="G586" s="1"/>
    </row>
    <row r="587" ht="15.75" customHeight="1">
      <c r="A587" s="1"/>
      <c r="B587" s="1"/>
      <c r="C587" s="1"/>
      <c r="D587" s="1"/>
      <c r="E587" s="1"/>
      <c r="F587" s="2"/>
      <c r="G587" s="1"/>
    </row>
    <row r="588" ht="15.75" customHeight="1">
      <c r="A588" s="1"/>
      <c r="B588" s="1"/>
      <c r="C588" s="1"/>
      <c r="D588" s="1"/>
      <c r="E588" s="1"/>
      <c r="F588" s="2"/>
      <c r="G588" s="1"/>
    </row>
    <row r="589" ht="15.75" customHeight="1">
      <c r="A589" s="1"/>
      <c r="B589" s="1"/>
      <c r="C589" s="1"/>
      <c r="D589" s="1"/>
      <c r="E589" s="1"/>
      <c r="F589" s="2"/>
      <c r="G589" s="1"/>
    </row>
    <row r="590" ht="15.75" customHeight="1">
      <c r="A590" s="1"/>
      <c r="B590" s="1"/>
      <c r="C590" s="1"/>
      <c r="D590" s="1"/>
      <c r="E590" s="1"/>
      <c r="F590" s="2"/>
      <c r="G590" s="1"/>
    </row>
    <row r="591" ht="15.75" customHeight="1">
      <c r="A591" s="1"/>
      <c r="B591" s="1"/>
      <c r="C591" s="1"/>
      <c r="D591" s="1"/>
      <c r="E591" s="1"/>
      <c r="F591" s="2"/>
      <c r="G591" s="1"/>
    </row>
    <row r="592" ht="15.75" customHeight="1">
      <c r="A592" s="1"/>
      <c r="B592" s="1"/>
      <c r="C592" s="1"/>
      <c r="D592" s="1"/>
      <c r="E592" s="1"/>
      <c r="F592" s="2"/>
      <c r="G592" s="1"/>
    </row>
    <row r="593" ht="15.75" customHeight="1">
      <c r="A593" s="1"/>
      <c r="B593" s="1"/>
      <c r="C593" s="1"/>
      <c r="D593" s="1"/>
      <c r="E593" s="1"/>
      <c r="F593" s="2"/>
      <c r="G593" s="1"/>
    </row>
    <row r="594" ht="15.75" customHeight="1">
      <c r="A594" s="1"/>
      <c r="B594" s="1"/>
      <c r="C594" s="1"/>
      <c r="D594" s="1"/>
      <c r="E594" s="1"/>
      <c r="F594" s="2"/>
      <c r="G594" s="1"/>
    </row>
    <row r="595" ht="15.75" customHeight="1">
      <c r="A595" s="1"/>
      <c r="B595" s="1"/>
      <c r="C595" s="1"/>
      <c r="D595" s="1"/>
      <c r="E595" s="1"/>
      <c r="F595" s="2"/>
      <c r="G595" s="1"/>
    </row>
    <row r="596" ht="15.75" customHeight="1">
      <c r="A596" s="1"/>
      <c r="B596" s="1"/>
      <c r="C596" s="1"/>
      <c r="D596" s="1"/>
      <c r="E596" s="1"/>
      <c r="F596" s="2"/>
      <c r="G596" s="1"/>
    </row>
    <row r="597" ht="15.75" customHeight="1">
      <c r="A597" s="1"/>
      <c r="B597" s="1"/>
      <c r="C597" s="1"/>
      <c r="D597" s="1"/>
      <c r="E597" s="1"/>
      <c r="F597" s="2"/>
      <c r="G597" s="1"/>
    </row>
    <row r="598" ht="15.75" customHeight="1">
      <c r="A598" s="1"/>
      <c r="B598" s="1"/>
      <c r="C598" s="1"/>
      <c r="D598" s="1"/>
      <c r="E598" s="1"/>
      <c r="F598" s="2"/>
      <c r="G598" s="1"/>
    </row>
    <row r="599" ht="15.75" customHeight="1">
      <c r="A599" s="1"/>
      <c r="B599" s="1"/>
      <c r="C599" s="1"/>
      <c r="D599" s="1"/>
      <c r="E599" s="1"/>
      <c r="F599" s="2"/>
      <c r="G599" s="1"/>
    </row>
    <row r="600" ht="15.75" customHeight="1">
      <c r="A600" s="1"/>
      <c r="B600" s="1"/>
      <c r="C600" s="1"/>
      <c r="D600" s="1"/>
      <c r="E600" s="1"/>
      <c r="F600" s="2"/>
      <c r="G600" s="1"/>
    </row>
    <row r="601" ht="15.75" customHeight="1">
      <c r="A601" s="1"/>
      <c r="B601" s="1"/>
      <c r="C601" s="1"/>
      <c r="D601" s="1"/>
      <c r="E601" s="1"/>
      <c r="F601" s="2"/>
      <c r="G601" s="1"/>
    </row>
    <row r="602" ht="15.75" customHeight="1">
      <c r="A602" s="1"/>
      <c r="B602" s="1"/>
      <c r="C602" s="1"/>
      <c r="D602" s="1"/>
      <c r="E602" s="1"/>
      <c r="F602" s="2"/>
      <c r="G602" s="1"/>
    </row>
    <row r="603" ht="15.75" customHeight="1">
      <c r="A603" s="1"/>
      <c r="B603" s="1"/>
      <c r="C603" s="1"/>
      <c r="D603" s="1"/>
      <c r="E603" s="1"/>
      <c r="F603" s="2"/>
      <c r="G603" s="1"/>
    </row>
    <row r="604" ht="15.75" customHeight="1">
      <c r="A604" s="1"/>
      <c r="B604" s="1"/>
      <c r="C604" s="1"/>
      <c r="D604" s="1"/>
      <c r="E604" s="1"/>
      <c r="F604" s="2"/>
      <c r="G604" s="1"/>
    </row>
    <row r="605" ht="15.75" customHeight="1">
      <c r="A605" s="1"/>
      <c r="B605" s="1"/>
      <c r="C605" s="1"/>
      <c r="D605" s="1"/>
      <c r="E605" s="1"/>
      <c r="F605" s="2"/>
      <c r="G605" s="1"/>
    </row>
    <row r="606" ht="15.75" customHeight="1">
      <c r="A606" s="1"/>
      <c r="B606" s="1"/>
      <c r="C606" s="1"/>
      <c r="D606" s="1"/>
      <c r="E606" s="1"/>
      <c r="F606" s="2"/>
      <c r="G606" s="1"/>
    </row>
    <row r="607" ht="15.75" customHeight="1">
      <c r="A607" s="1"/>
      <c r="B607" s="1"/>
      <c r="C607" s="1"/>
      <c r="D607" s="1"/>
      <c r="E607" s="1"/>
      <c r="F607" s="2"/>
      <c r="G607" s="1"/>
    </row>
    <row r="608" ht="15.75" customHeight="1">
      <c r="A608" s="1"/>
      <c r="B608" s="1"/>
      <c r="C608" s="1"/>
      <c r="D608" s="1"/>
      <c r="E608" s="1"/>
      <c r="F608" s="2"/>
      <c r="G608" s="1"/>
    </row>
    <row r="609" ht="15.75" customHeight="1">
      <c r="A609" s="1"/>
      <c r="B609" s="1"/>
      <c r="C609" s="1"/>
      <c r="D609" s="1"/>
      <c r="E609" s="1"/>
      <c r="F609" s="2"/>
      <c r="G609" s="1"/>
    </row>
    <row r="610" ht="15.75" customHeight="1">
      <c r="A610" s="1"/>
      <c r="B610" s="1"/>
      <c r="C610" s="1"/>
      <c r="D610" s="1"/>
      <c r="E610" s="1"/>
      <c r="F610" s="2"/>
      <c r="G610" s="1"/>
    </row>
    <row r="611" ht="15.75" customHeight="1">
      <c r="A611" s="1"/>
      <c r="B611" s="1"/>
      <c r="C611" s="1"/>
      <c r="D611" s="1"/>
      <c r="E611" s="1"/>
      <c r="F611" s="2"/>
      <c r="G611" s="1"/>
    </row>
    <row r="612" ht="15.75" customHeight="1">
      <c r="A612" s="1"/>
      <c r="B612" s="1"/>
      <c r="C612" s="1"/>
      <c r="D612" s="1"/>
      <c r="E612" s="1"/>
      <c r="F612" s="2"/>
      <c r="G612" s="1"/>
    </row>
    <row r="613" ht="15.75" customHeight="1">
      <c r="A613" s="1"/>
      <c r="B613" s="1"/>
      <c r="C613" s="1"/>
      <c r="D613" s="1"/>
      <c r="E613" s="1"/>
      <c r="F613" s="2"/>
      <c r="G613" s="1"/>
    </row>
    <row r="614" ht="15.75" customHeight="1">
      <c r="A614" s="1"/>
      <c r="B614" s="1"/>
      <c r="C614" s="1"/>
      <c r="D614" s="1"/>
      <c r="E614" s="1"/>
      <c r="F614" s="2"/>
      <c r="G614" s="1"/>
    </row>
    <row r="615" ht="15.75" customHeight="1">
      <c r="A615" s="1"/>
      <c r="B615" s="1"/>
      <c r="C615" s="1"/>
      <c r="D615" s="1"/>
      <c r="E615" s="1"/>
      <c r="F615" s="2"/>
      <c r="G615" s="1"/>
    </row>
    <row r="616" ht="15.75" customHeight="1">
      <c r="A616" s="1"/>
      <c r="B616" s="1"/>
      <c r="C616" s="1"/>
      <c r="D616" s="1"/>
      <c r="E616" s="1"/>
      <c r="F616" s="2"/>
      <c r="G616" s="1"/>
    </row>
    <row r="617" ht="15.75" customHeight="1">
      <c r="A617" s="1"/>
      <c r="B617" s="1"/>
      <c r="C617" s="1"/>
      <c r="D617" s="1"/>
      <c r="E617" s="1"/>
      <c r="F617" s="2"/>
      <c r="G617" s="1"/>
    </row>
    <row r="618" ht="15.75" customHeight="1">
      <c r="A618" s="1"/>
      <c r="B618" s="1"/>
      <c r="C618" s="1"/>
      <c r="D618" s="1"/>
      <c r="E618" s="1"/>
      <c r="F618" s="2"/>
      <c r="G618" s="1"/>
    </row>
    <row r="619" ht="15.75" customHeight="1">
      <c r="A619" s="1"/>
      <c r="B619" s="1"/>
      <c r="C619" s="1"/>
      <c r="D619" s="1"/>
      <c r="E619" s="1"/>
      <c r="F619" s="2"/>
      <c r="G619" s="1"/>
    </row>
    <row r="620" ht="15.75" customHeight="1">
      <c r="A620" s="1"/>
      <c r="B620" s="1"/>
      <c r="C620" s="1"/>
      <c r="D620" s="1"/>
      <c r="E620" s="1"/>
      <c r="F620" s="2"/>
      <c r="G620" s="1"/>
    </row>
    <row r="621" ht="15.75" customHeight="1">
      <c r="A621" s="1"/>
      <c r="B621" s="1"/>
      <c r="C621" s="1"/>
      <c r="D621" s="1"/>
      <c r="E621" s="1"/>
      <c r="F621" s="2"/>
      <c r="G621" s="1"/>
    </row>
    <row r="622" ht="15.75" customHeight="1">
      <c r="A622" s="1"/>
      <c r="B622" s="1"/>
      <c r="C622" s="1"/>
      <c r="D622" s="1"/>
      <c r="E622" s="1"/>
      <c r="F622" s="2"/>
      <c r="G622" s="1"/>
    </row>
    <row r="623" ht="15.75" customHeight="1">
      <c r="A623" s="1"/>
      <c r="B623" s="1"/>
      <c r="C623" s="1"/>
      <c r="D623" s="1"/>
      <c r="E623" s="1"/>
      <c r="F623" s="2"/>
      <c r="G623" s="1"/>
    </row>
    <row r="624" ht="15.75" customHeight="1">
      <c r="A624" s="1"/>
      <c r="B624" s="1"/>
      <c r="C624" s="1"/>
      <c r="D624" s="1"/>
      <c r="E624" s="1"/>
      <c r="F624" s="2"/>
      <c r="G624" s="1"/>
    </row>
    <row r="625" ht="15.75" customHeight="1">
      <c r="A625" s="1"/>
      <c r="B625" s="1"/>
      <c r="C625" s="1"/>
      <c r="D625" s="1"/>
      <c r="E625" s="1"/>
      <c r="F625" s="2"/>
      <c r="G625" s="1"/>
    </row>
    <row r="626" ht="15.75" customHeight="1">
      <c r="A626" s="1"/>
      <c r="B626" s="1"/>
      <c r="C626" s="1"/>
      <c r="D626" s="1"/>
      <c r="E626" s="1"/>
      <c r="F626" s="2"/>
      <c r="G626" s="1"/>
    </row>
    <row r="627" ht="15.75" customHeight="1">
      <c r="A627" s="1"/>
      <c r="B627" s="1"/>
      <c r="C627" s="1"/>
      <c r="D627" s="1"/>
      <c r="E627" s="1"/>
      <c r="F627" s="2"/>
      <c r="G627" s="1"/>
    </row>
    <row r="628" ht="15.75" customHeight="1">
      <c r="A628" s="1"/>
      <c r="B628" s="1"/>
      <c r="C628" s="1"/>
      <c r="D628" s="1"/>
      <c r="E628" s="1"/>
      <c r="F628" s="2"/>
      <c r="G628" s="1"/>
    </row>
    <row r="629" ht="15.75" customHeight="1">
      <c r="A629" s="1"/>
      <c r="B629" s="1"/>
      <c r="C629" s="1"/>
      <c r="D629" s="1"/>
      <c r="E629" s="1"/>
      <c r="F629" s="2"/>
      <c r="G629" s="1"/>
    </row>
    <row r="630" ht="15.75" customHeight="1">
      <c r="A630" s="1"/>
      <c r="B630" s="1"/>
      <c r="C630" s="1"/>
      <c r="D630" s="1"/>
      <c r="E630" s="1"/>
      <c r="F630" s="2"/>
      <c r="G630" s="1"/>
    </row>
    <row r="631" ht="15.75" customHeight="1">
      <c r="A631" s="1"/>
      <c r="B631" s="1"/>
      <c r="C631" s="1"/>
      <c r="D631" s="1"/>
      <c r="E631" s="1"/>
      <c r="F631" s="2"/>
      <c r="G631" s="1"/>
    </row>
    <row r="632" ht="15.75" customHeight="1">
      <c r="A632" s="1"/>
      <c r="B632" s="1"/>
      <c r="C632" s="1"/>
      <c r="D632" s="1"/>
      <c r="E632" s="1"/>
      <c r="F632" s="2"/>
      <c r="G632" s="1"/>
    </row>
    <row r="633" ht="15.75" customHeight="1">
      <c r="A633" s="1"/>
      <c r="B633" s="1"/>
      <c r="C633" s="1"/>
      <c r="D633" s="1"/>
      <c r="E633" s="1"/>
      <c r="F633" s="2"/>
      <c r="G633" s="1"/>
    </row>
    <row r="634" ht="15.75" customHeight="1">
      <c r="A634" s="1"/>
      <c r="B634" s="1"/>
      <c r="C634" s="1"/>
      <c r="D634" s="1"/>
      <c r="E634" s="1"/>
      <c r="F634" s="2"/>
      <c r="G634" s="1"/>
    </row>
    <row r="635" ht="15.75" customHeight="1">
      <c r="A635" s="1"/>
      <c r="B635" s="1"/>
      <c r="C635" s="1"/>
      <c r="D635" s="1"/>
      <c r="E635" s="1"/>
      <c r="F635" s="2"/>
      <c r="G635" s="1"/>
    </row>
    <row r="636" ht="15.75" customHeight="1">
      <c r="A636" s="1"/>
      <c r="B636" s="1"/>
      <c r="C636" s="1"/>
      <c r="D636" s="1"/>
      <c r="E636" s="1"/>
      <c r="F636" s="2"/>
      <c r="G636" s="1"/>
    </row>
    <row r="637" ht="15.75" customHeight="1">
      <c r="A637" s="1"/>
      <c r="B637" s="1"/>
      <c r="C637" s="1"/>
      <c r="D637" s="1"/>
      <c r="E637" s="1"/>
      <c r="F637" s="2"/>
      <c r="G637" s="1"/>
    </row>
    <row r="638" ht="15.75" customHeight="1">
      <c r="A638" s="1"/>
      <c r="B638" s="1"/>
      <c r="C638" s="1"/>
      <c r="D638" s="1"/>
      <c r="E638" s="1"/>
      <c r="F638" s="2"/>
      <c r="G638" s="1"/>
    </row>
    <row r="639" ht="15.75" customHeight="1">
      <c r="A639" s="1"/>
      <c r="B639" s="1"/>
      <c r="C639" s="1"/>
      <c r="D639" s="1"/>
      <c r="E639" s="1"/>
      <c r="F639" s="2"/>
      <c r="G639" s="1"/>
    </row>
    <row r="640" ht="15.75" customHeight="1">
      <c r="A640" s="1"/>
      <c r="B640" s="1"/>
      <c r="C640" s="1"/>
      <c r="D640" s="1"/>
      <c r="E640" s="1"/>
      <c r="F640" s="2"/>
      <c r="G640" s="1"/>
    </row>
    <row r="641" ht="15.75" customHeight="1">
      <c r="A641" s="1"/>
      <c r="B641" s="1"/>
      <c r="C641" s="1"/>
      <c r="D641" s="1"/>
      <c r="E641" s="1"/>
      <c r="F641" s="2"/>
      <c r="G641" s="1"/>
    </row>
    <row r="642" ht="15.75" customHeight="1">
      <c r="A642" s="1"/>
      <c r="B642" s="1"/>
      <c r="C642" s="1"/>
      <c r="D642" s="1"/>
      <c r="E642" s="1"/>
      <c r="F642" s="2"/>
      <c r="G642" s="1"/>
    </row>
    <row r="643" ht="15.75" customHeight="1">
      <c r="A643" s="1"/>
      <c r="B643" s="1"/>
      <c r="C643" s="1"/>
      <c r="D643" s="1"/>
      <c r="E643" s="1"/>
      <c r="F643" s="2"/>
      <c r="G643" s="1"/>
    </row>
    <row r="644" ht="15.75" customHeight="1">
      <c r="A644" s="1"/>
      <c r="B644" s="1"/>
      <c r="C644" s="1"/>
      <c r="D644" s="1"/>
      <c r="E644" s="1"/>
      <c r="F644" s="2"/>
      <c r="G644" s="1"/>
    </row>
    <row r="645" ht="15.75" customHeight="1">
      <c r="A645" s="1"/>
      <c r="B645" s="1"/>
      <c r="C645" s="1"/>
      <c r="D645" s="1"/>
      <c r="E645" s="1"/>
      <c r="F645" s="2"/>
      <c r="G645" s="1"/>
    </row>
    <row r="646" ht="15.75" customHeight="1">
      <c r="A646" s="1"/>
      <c r="B646" s="1"/>
      <c r="C646" s="1"/>
      <c r="D646" s="1"/>
      <c r="E646" s="1"/>
      <c r="F646" s="2"/>
      <c r="G646" s="1"/>
    </row>
    <row r="647" ht="15.75" customHeight="1">
      <c r="A647" s="1"/>
      <c r="B647" s="1"/>
      <c r="C647" s="1"/>
      <c r="D647" s="1"/>
      <c r="E647" s="1"/>
      <c r="F647" s="2"/>
      <c r="G647" s="1"/>
    </row>
    <row r="648" ht="15.75" customHeight="1">
      <c r="A648" s="1"/>
      <c r="B648" s="1"/>
      <c r="C648" s="1"/>
      <c r="D648" s="1"/>
      <c r="E648" s="1"/>
      <c r="F648" s="2"/>
      <c r="G648" s="1"/>
    </row>
    <row r="649" ht="15.75" customHeight="1">
      <c r="A649" s="1"/>
      <c r="B649" s="1"/>
      <c r="C649" s="1"/>
      <c r="D649" s="1"/>
      <c r="E649" s="1"/>
      <c r="F649" s="2"/>
      <c r="G649" s="1"/>
    </row>
    <row r="650" ht="15.75" customHeight="1">
      <c r="A650" s="1"/>
      <c r="B650" s="1"/>
      <c r="C650" s="1"/>
      <c r="D650" s="1"/>
      <c r="E650" s="1"/>
      <c r="F650" s="2"/>
      <c r="G650" s="1"/>
    </row>
    <row r="651" ht="15.75" customHeight="1">
      <c r="A651" s="1"/>
      <c r="B651" s="1"/>
      <c r="C651" s="1"/>
      <c r="D651" s="1"/>
      <c r="E651" s="1"/>
      <c r="F651" s="2"/>
      <c r="G651" s="1"/>
    </row>
    <row r="652" ht="15.75" customHeight="1">
      <c r="A652" s="1"/>
      <c r="B652" s="1"/>
      <c r="C652" s="1"/>
      <c r="D652" s="1"/>
      <c r="E652" s="1"/>
      <c r="F652" s="2"/>
      <c r="G652" s="1"/>
    </row>
    <row r="653" ht="15.75" customHeight="1">
      <c r="A653" s="1"/>
      <c r="B653" s="1"/>
      <c r="C653" s="1"/>
      <c r="D653" s="1"/>
      <c r="E653" s="1"/>
      <c r="F653" s="2"/>
      <c r="G653" s="1"/>
    </row>
    <row r="654" ht="15.75" customHeight="1">
      <c r="A654" s="1"/>
      <c r="B654" s="1"/>
      <c r="C654" s="1"/>
      <c r="D654" s="1"/>
      <c r="E654" s="1"/>
      <c r="F654" s="2"/>
      <c r="G654" s="1"/>
    </row>
    <row r="655" ht="15.75" customHeight="1">
      <c r="A655" s="1"/>
      <c r="B655" s="1"/>
      <c r="C655" s="1"/>
      <c r="D655" s="1"/>
      <c r="E655" s="1"/>
      <c r="F655" s="2"/>
      <c r="G655" s="1"/>
    </row>
    <row r="656" ht="15.75" customHeight="1">
      <c r="A656" s="1"/>
      <c r="B656" s="1"/>
      <c r="C656" s="1"/>
      <c r="D656" s="1"/>
      <c r="E656" s="1"/>
      <c r="F656" s="2"/>
      <c r="G656" s="1"/>
    </row>
    <row r="657" ht="15.75" customHeight="1">
      <c r="A657" s="1"/>
      <c r="B657" s="1"/>
      <c r="C657" s="1"/>
      <c r="D657" s="1"/>
      <c r="E657" s="1"/>
      <c r="F657" s="2"/>
      <c r="G657" s="1"/>
    </row>
    <row r="658" ht="15.75" customHeight="1">
      <c r="A658" s="1"/>
      <c r="B658" s="1"/>
      <c r="C658" s="1"/>
      <c r="D658" s="1"/>
      <c r="E658" s="1"/>
      <c r="F658" s="2"/>
      <c r="G658" s="1"/>
    </row>
    <row r="659" ht="15.75" customHeight="1">
      <c r="A659" s="1"/>
      <c r="B659" s="1"/>
      <c r="C659" s="1"/>
      <c r="D659" s="1"/>
      <c r="E659" s="1"/>
      <c r="F659" s="2"/>
      <c r="G659" s="1"/>
    </row>
    <row r="660" ht="15.75" customHeight="1">
      <c r="A660" s="1"/>
      <c r="B660" s="1"/>
      <c r="C660" s="1"/>
      <c r="D660" s="1"/>
      <c r="E660" s="1"/>
      <c r="F660" s="2"/>
      <c r="G660" s="1"/>
    </row>
    <row r="661" ht="15.75" customHeight="1">
      <c r="A661" s="1"/>
      <c r="B661" s="1"/>
      <c r="C661" s="1"/>
      <c r="D661" s="1"/>
      <c r="E661" s="1"/>
      <c r="F661" s="2"/>
      <c r="G661" s="1"/>
    </row>
    <row r="662" ht="15.75" customHeight="1">
      <c r="A662" s="1"/>
      <c r="B662" s="1"/>
      <c r="C662" s="1"/>
      <c r="D662" s="1"/>
      <c r="E662" s="1"/>
      <c r="F662" s="2"/>
      <c r="G662" s="1"/>
    </row>
    <row r="663" ht="15.75" customHeight="1">
      <c r="A663" s="1"/>
      <c r="B663" s="1"/>
      <c r="C663" s="1"/>
      <c r="D663" s="1"/>
      <c r="E663" s="1"/>
      <c r="F663" s="2"/>
      <c r="G663" s="1"/>
    </row>
    <row r="664" ht="15.75" customHeight="1">
      <c r="A664" s="1"/>
      <c r="B664" s="1"/>
      <c r="C664" s="1"/>
      <c r="D664" s="1"/>
      <c r="E664" s="1"/>
      <c r="F664" s="2"/>
      <c r="G664" s="1"/>
    </row>
    <row r="665" ht="15.75" customHeight="1">
      <c r="A665" s="1"/>
      <c r="B665" s="1"/>
      <c r="C665" s="1"/>
      <c r="D665" s="1"/>
      <c r="E665" s="1"/>
      <c r="F665" s="2"/>
      <c r="G665" s="1"/>
    </row>
    <row r="666" ht="15.75" customHeight="1">
      <c r="A666" s="1"/>
      <c r="B666" s="1"/>
      <c r="C666" s="1"/>
      <c r="D666" s="1"/>
      <c r="E666" s="1"/>
      <c r="F666" s="2"/>
      <c r="G666" s="1"/>
    </row>
    <row r="667" ht="15.75" customHeight="1">
      <c r="A667" s="1"/>
      <c r="B667" s="1"/>
      <c r="C667" s="1"/>
      <c r="D667" s="1"/>
      <c r="E667" s="1"/>
      <c r="F667" s="2"/>
      <c r="G667" s="1"/>
    </row>
    <row r="668" ht="15.75" customHeight="1">
      <c r="A668" s="1"/>
      <c r="B668" s="1"/>
      <c r="C668" s="1"/>
      <c r="D668" s="1"/>
      <c r="E668" s="1"/>
      <c r="F668" s="2"/>
      <c r="G668" s="1"/>
    </row>
    <row r="669" ht="15.75" customHeight="1">
      <c r="A669" s="1"/>
      <c r="B669" s="1"/>
      <c r="C669" s="1"/>
      <c r="D669" s="1"/>
      <c r="E669" s="1"/>
      <c r="F669" s="2"/>
      <c r="G669" s="1"/>
    </row>
    <row r="670" ht="15.75" customHeight="1">
      <c r="A670" s="1"/>
      <c r="B670" s="1"/>
      <c r="C670" s="1"/>
      <c r="D670" s="1"/>
      <c r="E670" s="1"/>
      <c r="F670" s="2"/>
      <c r="G670" s="1"/>
    </row>
    <row r="671" ht="15.75" customHeight="1">
      <c r="A671" s="1"/>
      <c r="B671" s="1"/>
      <c r="C671" s="1"/>
      <c r="D671" s="1"/>
      <c r="E671" s="1"/>
      <c r="F671" s="2"/>
      <c r="G671" s="1"/>
    </row>
    <row r="672" ht="15.75" customHeight="1">
      <c r="A672" s="1"/>
      <c r="B672" s="1"/>
      <c r="C672" s="1"/>
      <c r="D672" s="1"/>
      <c r="E672" s="1"/>
      <c r="F672" s="2"/>
      <c r="G672" s="1"/>
    </row>
    <row r="673" ht="15.75" customHeight="1">
      <c r="A673" s="1"/>
      <c r="B673" s="1"/>
      <c r="C673" s="1"/>
      <c r="D673" s="1"/>
      <c r="E673" s="1"/>
      <c r="F673" s="2"/>
      <c r="G673" s="1"/>
    </row>
    <row r="674" ht="15.75" customHeight="1">
      <c r="A674" s="1"/>
      <c r="B674" s="1"/>
      <c r="C674" s="1"/>
      <c r="D674" s="1"/>
      <c r="E674" s="1"/>
      <c r="F674" s="2"/>
      <c r="G674" s="1"/>
    </row>
    <row r="675" ht="15.75" customHeight="1">
      <c r="A675" s="1"/>
      <c r="B675" s="1"/>
      <c r="C675" s="1"/>
      <c r="D675" s="1"/>
      <c r="E675" s="1"/>
      <c r="F675" s="2"/>
      <c r="G675" s="1"/>
    </row>
    <row r="676" ht="15.75" customHeight="1">
      <c r="A676" s="1"/>
      <c r="B676" s="1"/>
      <c r="C676" s="1"/>
      <c r="D676" s="1"/>
      <c r="E676" s="1"/>
      <c r="F676" s="2"/>
      <c r="G676" s="1"/>
    </row>
    <row r="677" ht="15.75" customHeight="1">
      <c r="A677" s="1"/>
      <c r="B677" s="1"/>
      <c r="C677" s="1"/>
      <c r="D677" s="1"/>
      <c r="E677" s="1"/>
      <c r="F677" s="2"/>
      <c r="G677" s="1"/>
    </row>
    <row r="678" ht="15.75" customHeight="1">
      <c r="A678" s="1"/>
      <c r="B678" s="1"/>
      <c r="C678" s="1"/>
      <c r="D678" s="1"/>
      <c r="E678" s="1"/>
      <c r="F678" s="2"/>
      <c r="G678" s="1"/>
    </row>
    <row r="679" ht="15.75" customHeight="1">
      <c r="A679" s="1"/>
      <c r="B679" s="1"/>
      <c r="C679" s="1"/>
      <c r="D679" s="1"/>
      <c r="E679" s="1"/>
      <c r="F679" s="2"/>
      <c r="G679" s="1"/>
    </row>
    <row r="680" ht="15.75" customHeight="1">
      <c r="A680" s="1"/>
      <c r="B680" s="1"/>
      <c r="C680" s="1"/>
      <c r="D680" s="1"/>
      <c r="E680" s="1"/>
      <c r="F680" s="2"/>
      <c r="G680" s="1"/>
    </row>
    <row r="681" ht="15.75" customHeight="1">
      <c r="A681" s="1"/>
      <c r="B681" s="1"/>
      <c r="C681" s="1"/>
      <c r="D681" s="1"/>
      <c r="E681" s="1"/>
      <c r="F681" s="2"/>
      <c r="G681" s="1"/>
    </row>
    <row r="682" ht="15.75" customHeight="1">
      <c r="A682" s="1"/>
      <c r="B682" s="1"/>
      <c r="C682" s="1"/>
      <c r="D682" s="1"/>
      <c r="E682" s="1"/>
      <c r="F682" s="2"/>
      <c r="G682" s="1"/>
    </row>
    <row r="683" ht="15.75" customHeight="1">
      <c r="A683" s="1"/>
      <c r="B683" s="1"/>
      <c r="C683" s="1"/>
      <c r="D683" s="1"/>
      <c r="E683" s="1"/>
      <c r="F683" s="2"/>
      <c r="G683" s="1"/>
    </row>
    <row r="684" ht="15.75" customHeight="1">
      <c r="A684" s="1"/>
      <c r="B684" s="1"/>
      <c r="C684" s="1"/>
      <c r="D684" s="1"/>
      <c r="E684" s="1"/>
      <c r="F684" s="2"/>
      <c r="G684" s="1"/>
    </row>
    <row r="685" ht="15.75" customHeight="1">
      <c r="A685" s="1"/>
      <c r="B685" s="1"/>
      <c r="C685" s="1"/>
      <c r="D685" s="1"/>
      <c r="E685" s="1"/>
      <c r="F685" s="2"/>
      <c r="G685" s="1"/>
    </row>
    <row r="686" ht="15.75" customHeight="1">
      <c r="A686" s="1"/>
      <c r="B686" s="1"/>
      <c r="C686" s="1"/>
      <c r="D686" s="1"/>
      <c r="E686" s="1"/>
      <c r="F686" s="2"/>
      <c r="G686" s="1"/>
    </row>
    <row r="687" ht="15.75" customHeight="1">
      <c r="A687" s="1"/>
      <c r="B687" s="1"/>
      <c r="C687" s="1"/>
      <c r="D687" s="1"/>
      <c r="E687" s="1"/>
      <c r="F687" s="2"/>
      <c r="G687" s="1"/>
    </row>
    <row r="688" ht="15.75" customHeight="1">
      <c r="A688" s="1"/>
      <c r="B688" s="1"/>
      <c r="C688" s="1"/>
      <c r="D688" s="1"/>
      <c r="E688" s="1"/>
      <c r="F688" s="2"/>
      <c r="G688" s="1"/>
    </row>
    <row r="689" ht="15.75" customHeight="1">
      <c r="A689" s="1"/>
      <c r="B689" s="1"/>
      <c r="C689" s="1"/>
      <c r="D689" s="1"/>
      <c r="E689" s="1"/>
      <c r="F689" s="2"/>
      <c r="G689" s="1"/>
    </row>
    <row r="690" ht="15.75" customHeight="1">
      <c r="A690" s="1"/>
      <c r="B690" s="1"/>
      <c r="C690" s="1"/>
      <c r="D690" s="1"/>
      <c r="E690" s="1"/>
      <c r="F690" s="2"/>
      <c r="G690" s="1"/>
    </row>
    <row r="691" ht="15.75" customHeight="1">
      <c r="A691" s="1"/>
      <c r="B691" s="1"/>
      <c r="C691" s="1"/>
      <c r="D691" s="1"/>
      <c r="E691" s="1"/>
      <c r="F691" s="2"/>
      <c r="G691" s="1"/>
    </row>
    <row r="692" ht="15.75" customHeight="1">
      <c r="A692" s="1"/>
      <c r="B692" s="1"/>
      <c r="C692" s="1"/>
      <c r="D692" s="1"/>
      <c r="E692" s="1"/>
      <c r="F692" s="2"/>
      <c r="G692" s="1"/>
    </row>
    <row r="693" ht="15.75" customHeight="1">
      <c r="A693" s="1"/>
      <c r="B693" s="1"/>
      <c r="C693" s="1"/>
      <c r="D693" s="1"/>
      <c r="E693" s="1"/>
      <c r="F693" s="2"/>
      <c r="G693" s="1"/>
    </row>
    <row r="694" ht="15.75" customHeight="1">
      <c r="A694" s="1"/>
      <c r="B694" s="1"/>
      <c r="C694" s="1"/>
      <c r="D694" s="1"/>
      <c r="E694" s="1"/>
      <c r="F694" s="2"/>
      <c r="G694" s="1"/>
    </row>
    <row r="695" ht="15.75" customHeight="1">
      <c r="A695" s="1"/>
      <c r="B695" s="1"/>
      <c r="C695" s="1"/>
      <c r="D695" s="1"/>
      <c r="E695" s="1"/>
      <c r="F695" s="2"/>
      <c r="G695" s="1"/>
    </row>
    <row r="696" ht="15.75" customHeight="1">
      <c r="A696" s="1"/>
      <c r="B696" s="1"/>
      <c r="C696" s="1"/>
      <c r="D696" s="1"/>
      <c r="E696" s="1"/>
      <c r="F696" s="2"/>
      <c r="G696" s="1"/>
    </row>
    <row r="697" ht="15.75" customHeight="1">
      <c r="A697" s="1"/>
      <c r="B697" s="1"/>
      <c r="C697" s="1"/>
      <c r="D697" s="1"/>
      <c r="E697" s="1"/>
      <c r="F697" s="2"/>
      <c r="G697" s="1"/>
    </row>
    <row r="698" ht="15.75" customHeight="1">
      <c r="A698" s="1"/>
      <c r="B698" s="1"/>
      <c r="C698" s="1"/>
      <c r="D698" s="1"/>
      <c r="E698" s="1"/>
      <c r="F698" s="2"/>
      <c r="G698" s="1"/>
    </row>
    <row r="699" ht="15.75" customHeight="1">
      <c r="A699" s="1"/>
      <c r="B699" s="1"/>
      <c r="C699" s="1"/>
      <c r="D699" s="1"/>
      <c r="E699" s="1"/>
      <c r="F699" s="2"/>
      <c r="G699" s="1"/>
    </row>
    <row r="700" ht="15.75" customHeight="1">
      <c r="A700" s="1"/>
      <c r="B700" s="1"/>
      <c r="C700" s="1"/>
      <c r="D700" s="1"/>
      <c r="E700" s="1"/>
      <c r="F700" s="2"/>
      <c r="G700" s="1"/>
    </row>
    <row r="701" ht="15.75" customHeight="1">
      <c r="A701" s="1"/>
      <c r="B701" s="1"/>
      <c r="C701" s="1"/>
      <c r="D701" s="1"/>
      <c r="E701" s="1"/>
      <c r="F701" s="2"/>
      <c r="G701" s="1"/>
    </row>
    <row r="702" ht="15.75" customHeight="1">
      <c r="A702" s="1"/>
      <c r="B702" s="1"/>
      <c r="C702" s="1"/>
      <c r="D702" s="1"/>
      <c r="E702" s="1"/>
      <c r="F702" s="2"/>
      <c r="G702" s="1"/>
    </row>
    <row r="703" ht="15.75" customHeight="1">
      <c r="A703" s="1"/>
      <c r="B703" s="1"/>
      <c r="C703" s="1"/>
      <c r="D703" s="1"/>
      <c r="E703" s="1"/>
      <c r="F703" s="2"/>
      <c r="G703" s="1"/>
    </row>
    <row r="704" ht="15.75" customHeight="1">
      <c r="A704" s="1"/>
      <c r="B704" s="1"/>
      <c r="C704" s="1"/>
      <c r="D704" s="1"/>
      <c r="E704" s="1"/>
      <c r="F704" s="2"/>
      <c r="G704" s="1"/>
    </row>
    <row r="705" ht="15.75" customHeight="1">
      <c r="A705" s="1"/>
      <c r="B705" s="1"/>
      <c r="C705" s="1"/>
      <c r="D705" s="1"/>
      <c r="E705" s="1"/>
      <c r="F705" s="2"/>
      <c r="G705" s="1"/>
    </row>
    <row r="706" ht="15.75" customHeight="1">
      <c r="A706" s="1"/>
      <c r="B706" s="1"/>
      <c r="C706" s="1"/>
      <c r="D706" s="1"/>
      <c r="E706" s="1"/>
      <c r="F706" s="2"/>
      <c r="G706" s="1"/>
    </row>
    <row r="707" ht="15.75" customHeight="1">
      <c r="A707" s="1"/>
      <c r="B707" s="1"/>
      <c r="C707" s="1"/>
      <c r="D707" s="1"/>
      <c r="E707" s="1"/>
      <c r="F707" s="2"/>
      <c r="G707" s="1"/>
    </row>
    <row r="708" ht="15.75" customHeight="1">
      <c r="A708" s="1"/>
      <c r="B708" s="1"/>
      <c r="C708" s="1"/>
      <c r="D708" s="1"/>
      <c r="E708" s="1"/>
      <c r="F708" s="2"/>
      <c r="G708" s="1"/>
    </row>
    <row r="709" ht="15.75" customHeight="1">
      <c r="A709" s="1"/>
      <c r="B709" s="1"/>
      <c r="C709" s="1"/>
      <c r="D709" s="1"/>
      <c r="E709" s="1"/>
      <c r="F709" s="2"/>
      <c r="G709" s="1"/>
    </row>
    <row r="710" ht="15.75" customHeight="1">
      <c r="A710" s="1"/>
      <c r="B710" s="1"/>
      <c r="C710" s="1"/>
      <c r="D710" s="1"/>
      <c r="E710" s="1"/>
      <c r="F710" s="2"/>
      <c r="G710" s="1"/>
    </row>
    <row r="711" ht="15.75" customHeight="1">
      <c r="A711" s="1"/>
      <c r="B711" s="1"/>
      <c r="C711" s="1"/>
      <c r="D711" s="1"/>
      <c r="E711" s="1"/>
      <c r="F711" s="2"/>
      <c r="G711" s="1"/>
    </row>
    <row r="712" ht="15.75" customHeight="1">
      <c r="A712" s="1"/>
      <c r="B712" s="1"/>
      <c r="C712" s="1"/>
      <c r="D712" s="1"/>
      <c r="E712" s="1"/>
      <c r="F712" s="2"/>
      <c r="G712" s="1"/>
    </row>
    <row r="713" ht="15.75" customHeight="1">
      <c r="A713" s="1"/>
      <c r="B713" s="1"/>
      <c r="C713" s="1"/>
      <c r="D713" s="1"/>
      <c r="E713" s="1"/>
      <c r="F713" s="2"/>
      <c r="G713" s="1"/>
    </row>
    <row r="714" ht="15.75" customHeight="1">
      <c r="A714" s="1"/>
      <c r="B714" s="1"/>
      <c r="C714" s="1"/>
      <c r="D714" s="1"/>
      <c r="E714" s="1"/>
      <c r="F714" s="2"/>
      <c r="G714" s="1"/>
    </row>
    <row r="715" ht="15.75" customHeight="1">
      <c r="A715" s="1"/>
      <c r="B715" s="1"/>
      <c r="C715" s="1"/>
      <c r="D715" s="1"/>
      <c r="E715" s="1"/>
      <c r="F715" s="2"/>
      <c r="G715" s="1"/>
    </row>
    <row r="716" ht="15.75" customHeight="1">
      <c r="A716" s="1"/>
      <c r="B716" s="1"/>
      <c r="C716" s="1"/>
      <c r="D716" s="1"/>
      <c r="E716" s="1"/>
      <c r="F716" s="2"/>
      <c r="G716" s="1"/>
    </row>
    <row r="717" ht="15.75" customHeight="1">
      <c r="A717" s="1"/>
      <c r="B717" s="1"/>
      <c r="C717" s="1"/>
      <c r="D717" s="1"/>
      <c r="E717" s="1"/>
      <c r="F717" s="2"/>
      <c r="G717" s="1"/>
    </row>
    <row r="718" ht="15.75" customHeight="1">
      <c r="A718" s="1"/>
      <c r="B718" s="1"/>
      <c r="C718" s="1"/>
      <c r="D718" s="1"/>
      <c r="E718" s="1"/>
      <c r="F718" s="2"/>
      <c r="G718" s="1"/>
    </row>
    <row r="719" ht="15.75" customHeight="1">
      <c r="A719" s="1"/>
      <c r="B719" s="1"/>
      <c r="C719" s="1"/>
      <c r="D719" s="1"/>
      <c r="E719" s="1"/>
      <c r="F719" s="2"/>
      <c r="G719" s="1"/>
    </row>
    <row r="720" ht="15.75" customHeight="1">
      <c r="A720" s="1"/>
      <c r="B720" s="1"/>
      <c r="C720" s="1"/>
      <c r="D720" s="1"/>
      <c r="E720" s="1"/>
      <c r="F720" s="2"/>
      <c r="G720" s="1"/>
    </row>
    <row r="721" ht="15.75" customHeight="1">
      <c r="A721" s="1"/>
      <c r="B721" s="1"/>
      <c r="C721" s="1"/>
      <c r="D721" s="1"/>
      <c r="E721" s="1"/>
      <c r="F721" s="2"/>
      <c r="G721" s="1"/>
    </row>
    <row r="722" ht="15.75" customHeight="1">
      <c r="A722" s="1"/>
      <c r="B722" s="1"/>
      <c r="C722" s="1"/>
      <c r="D722" s="1"/>
      <c r="E722" s="1"/>
      <c r="F722" s="2"/>
      <c r="G722" s="1"/>
    </row>
    <row r="723" ht="15.75" customHeight="1">
      <c r="A723" s="1"/>
      <c r="B723" s="1"/>
      <c r="C723" s="1"/>
      <c r="D723" s="1"/>
      <c r="E723" s="1"/>
      <c r="F723" s="2"/>
      <c r="G723" s="1"/>
    </row>
    <row r="724" ht="15.75" customHeight="1">
      <c r="A724" s="1"/>
      <c r="B724" s="1"/>
      <c r="C724" s="1"/>
      <c r="D724" s="1"/>
      <c r="E724" s="1"/>
      <c r="F724" s="2"/>
      <c r="G724" s="1"/>
    </row>
    <row r="725" ht="15.75" customHeight="1">
      <c r="A725" s="1"/>
      <c r="B725" s="1"/>
      <c r="C725" s="1"/>
      <c r="D725" s="1"/>
      <c r="E725" s="1"/>
      <c r="F725" s="2"/>
      <c r="G725" s="1"/>
    </row>
    <row r="726" ht="15.75" customHeight="1">
      <c r="A726" s="1"/>
      <c r="B726" s="1"/>
      <c r="C726" s="1"/>
      <c r="D726" s="1"/>
      <c r="E726" s="1"/>
      <c r="F726" s="2"/>
      <c r="G726" s="1"/>
    </row>
    <row r="727" ht="15.75" customHeight="1">
      <c r="A727" s="1"/>
      <c r="B727" s="1"/>
      <c r="C727" s="1"/>
      <c r="D727" s="1"/>
      <c r="E727" s="1"/>
      <c r="F727" s="2"/>
      <c r="G727" s="1"/>
    </row>
    <row r="728" ht="15.75" customHeight="1">
      <c r="A728" s="1"/>
      <c r="B728" s="1"/>
      <c r="C728" s="1"/>
      <c r="D728" s="1"/>
      <c r="E728" s="1"/>
      <c r="F728" s="2"/>
      <c r="G728" s="1"/>
    </row>
    <row r="729" ht="15.75" customHeight="1">
      <c r="A729" s="1"/>
      <c r="B729" s="1"/>
      <c r="C729" s="1"/>
      <c r="D729" s="1"/>
      <c r="E729" s="1"/>
      <c r="F729" s="2"/>
      <c r="G729" s="1"/>
    </row>
    <row r="730" ht="15.75" customHeight="1">
      <c r="A730" s="1"/>
      <c r="B730" s="1"/>
      <c r="C730" s="1"/>
      <c r="D730" s="1"/>
      <c r="E730" s="1"/>
      <c r="F730" s="2"/>
      <c r="G730" s="1"/>
    </row>
    <row r="731" ht="15.75" customHeight="1">
      <c r="A731" s="1"/>
      <c r="B731" s="1"/>
      <c r="C731" s="1"/>
      <c r="D731" s="1"/>
      <c r="E731" s="1"/>
      <c r="F731" s="2"/>
      <c r="G731" s="1"/>
    </row>
    <row r="732" ht="15.75" customHeight="1">
      <c r="A732" s="1"/>
      <c r="B732" s="1"/>
      <c r="C732" s="1"/>
      <c r="D732" s="1"/>
      <c r="E732" s="1"/>
      <c r="F732" s="2"/>
      <c r="G732" s="1"/>
    </row>
    <row r="733" ht="15.75" customHeight="1">
      <c r="A733" s="1"/>
      <c r="B733" s="1"/>
      <c r="C733" s="1"/>
      <c r="D733" s="1"/>
      <c r="E733" s="1"/>
      <c r="F733" s="2"/>
      <c r="G733" s="1"/>
    </row>
    <row r="734" ht="15.75" customHeight="1">
      <c r="A734" s="1"/>
      <c r="B734" s="1"/>
      <c r="C734" s="1"/>
      <c r="D734" s="1"/>
      <c r="E734" s="1"/>
      <c r="F734" s="2"/>
      <c r="G734" s="1"/>
    </row>
    <row r="735" ht="15.75" customHeight="1">
      <c r="A735" s="1"/>
      <c r="B735" s="1"/>
      <c r="C735" s="1"/>
      <c r="D735" s="1"/>
      <c r="E735" s="1"/>
      <c r="F735" s="2"/>
      <c r="G735" s="1"/>
    </row>
    <row r="736" ht="15.75" customHeight="1">
      <c r="A736" s="1"/>
      <c r="B736" s="1"/>
      <c r="C736" s="1"/>
      <c r="D736" s="1"/>
      <c r="E736" s="1"/>
      <c r="F736" s="2"/>
      <c r="G736" s="1"/>
    </row>
    <row r="737" ht="15.75" customHeight="1">
      <c r="A737" s="1"/>
      <c r="B737" s="1"/>
      <c r="C737" s="1"/>
      <c r="D737" s="1"/>
      <c r="E737" s="1"/>
      <c r="F737" s="2"/>
      <c r="G737" s="1"/>
    </row>
    <row r="738" ht="15.75" customHeight="1">
      <c r="A738" s="1"/>
      <c r="B738" s="1"/>
      <c r="C738" s="1"/>
      <c r="D738" s="1"/>
      <c r="E738" s="1"/>
      <c r="F738" s="2"/>
      <c r="G738" s="1"/>
    </row>
    <row r="739" ht="15.75" customHeight="1">
      <c r="A739" s="1"/>
      <c r="B739" s="1"/>
      <c r="C739" s="1"/>
      <c r="D739" s="1"/>
      <c r="E739" s="1"/>
      <c r="F739" s="2"/>
      <c r="G739" s="1"/>
    </row>
    <row r="740" ht="15.75" customHeight="1">
      <c r="A740" s="1"/>
      <c r="B740" s="1"/>
      <c r="C740" s="1"/>
      <c r="D740" s="1"/>
      <c r="E740" s="1"/>
      <c r="F740" s="2"/>
      <c r="G740" s="1"/>
    </row>
    <row r="741" ht="15.75" customHeight="1">
      <c r="A741" s="1"/>
      <c r="B741" s="1"/>
      <c r="C741" s="1"/>
      <c r="D741" s="1"/>
      <c r="E741" s="1"/>
      <c r="F741" s="2"/>
      <c r="G741" s="1"/>
    </row>
    <row r="742" ht="15.75" customHeight="1">
      <c r="A742" s="1"/>
      <c r="B742" s="1"/>
      <c r="C742" s="1"/>
      <c r="D742" s="1"/>
      <c r="E742" s="1"/>
      <c r="F742" s="2"/>
      <c r="G742" s="1"/>
    </row>
    <row r="743" ht="15.75" customHeight="1">
      <c r="A743" s="1"/>
      <c r="B743" s="1"/>
      <c r="C743" s="1"/>
      <c r="D743" s="1"/>
      <c r="E743" s="1"/>
      <c r="F743" s="2"/>
      <c r="G743" s="1"/>
    </row>
    <row r="744" ht="15.75" customHeight="1">
      <c r="A744" s="1"/>
      <c r="B744" s="1"/>
      <c r="C744" s="1"/>
      <c r="D744" s="1"/>
      <c r="E744" s="1"/>
      <c r="F744" s="2"/>
      <c r="G744" s="1"/>
    </row>
    <row r="745" ht="15.75" customHeight="1">
      <c r="A745" s="1"/>
      <c r="B745" s="1"/>
      <c r="C745" s="1"/>
      <c r="D745" s="1"/>
      <c r="E745" s="1"/>
      <c r="F745" s="2"/>
      <c r="G745" s="1"/>
    </row>
    <row r="746" ht="15.75" customHeight="1">
      <c r="A746" s="1"/>
      <c r="B746" s="1"/>
      <c r="C746" s="1"/>
      <c r="D746" s="1"/>
      <c r="E746" s="1"/>
      <c r="F746" s="2"/>
      <c r="G746" s="1"/>
    </row>
    <row r="747" ht="15.75" customHeight="1">
      <c r="A747" s="1"/>
      <c r="B747" s="1"/>
      <c r="C747" s="1"/>
      <c r="D747" s="1"/>
      <c r="E747" s="1"/>
      <c r="F747" s="2"/>
      <c r="G747" s="1"/>
    </row>
    <row r="748" ht="15.75" customHeight="1">
      <c r="A748" s="1"/>
      <c r="B748" s="1"/>
      <c r="C748" s="1"/>
      <c r="D748" s="1"/>
      <c r="E748" s="1"/>
      <c r="F748" s="2"/>
      <c r="G748" s="1"/>
    </row>
    <row r="749" ht="15.75" customHeight="1">
      <c r="A749" s="1"/>
      <c r="B749" s="1"/>
      <c r="C749" s="1"/>
      <c r="D749" s="1"/>
      <c r="E749" s="1"/>
      <c r="F749" s="2"/>
      <c r="G749" s="1"/>
    </row>
    <row r="750" ht="15.75" customHeight="1">
      <c r="A750" s="1"/>
      <c r="B750" s="1"/>
      <c r="C750" s="1"/>
      <c r="D750" s="1"/>
      <c r="E750" s="1"/>
      <c r="F750" s="2"/>
      <c r="G750" s="1"/>
    </row>
    <row r="751" ht="15.75" customHeight="1">
      <c r="A751" s="1"/>
      <c r="B751" s="1"/>
      <c r="C751" s="1"/>
      <c r="D751" s="1"/>
      <c r="E751" s="1"/>
      <c r="F751" s="2"/>
      <c r="G751" s="1"/>
    </row>
    <row r="752" ht="15.75" customHeight="1">
      <c r="A752" s="1"/>
      <c r="B752" s="1"/>
      <c r="C752" s="1"/>
      <c r="D752" s="1"/>
      <c r="E752" s="1"/>
      <c r="F752" s="2"/>
      <c r="G752" s="1"/>
    </row>
    <row r="753" ht="15.75" customHeight="1">
      <c r="A753" s="1"/>
      <c r="B753" s="1"/>
      <c r="C753" s="1"/>
      <c r="D753" s="1"/>
      <c r="E753" s="1"/>
      <c r="F753" s="2"/>
      <c r="G753" s="1"/>
    </row>
    <row r="754" ht="15.75" customHeight="1">
      <c r="A754" s="1"/>
      <c r="B754" s="1"/>
      <c r="C754" s="1"/>
      <c r="D754" s="1"/>
      <c r="E754" s="1"/>
      <c r="F754" s="2"/>
      <c r="G754" s="1"/>
    </row>
    <row r="755" ht="15.75" customHeight="1">
      <c r="A755" s="1"/>
      <c r="B755" s="1"/>
      <c r="C755" s="1"/>
      <c r="D755" s="1"/>
      <c r="E755" s="1"/>
      <c r="F755" s="2"/>
      <c r="G755" s="1"/>
    </row>
    <row r="756" ht="15.75" customHeight="1">
      <c r="A756" s="1"/>
      <c r="B756" s="1"/>
      <c r="C756" s="1"/>
      <c r="D756" s="1"/>
      <c r="E756" s="1"/>
      <c r="F756" s="2"/>
      <c r="G756" s="1"/>
    </row>
    <row r="757" ht="15.75" customHeight="1">
      <c r="A757" s="1"/>
      <c r="B757" s="1"/>
      <c r="C757" s="1"/>
      <c r="D757" s="1"/>
      <c r="E757" s="1"/>
      <c r="F757" s="2"/>
      <c r="G757" s="1"/>
    </row>
    <row r="758" ht="15.75" customHeight="1">
      <c r="A758" s="1"/>
      <c r="B758" s="1"/>
      <c r="C758" s="1"/>
      <c r="D758" s="1"/>
      <c r="E758" s="1"/>
      <c r="F758" s="2"/>
      <c r="G758" s="1"/>
    </row>
    <row r="759" ht="15.75" customHeight="1">
      <c r="A759" s="1"/>
      <c r="B759" s="1"/>
      <c r="C759" s="1"/>
      <c r="D759" s="1"/>
      <c r="E759" s="1"/>
      <c r="F759" s="2"/>
      <c r="G759" s="1"/>
    </row>
    <row r="760" ht="15.75" customHeight="1">
      <c r="A760" s="1"/>
      <c r="B760" s="1"/>
      <c r="C760" s="1"/>
      <c r="D760" s="1"/>
      <c r="E760" s="1"/>
      <c r="F760" s="2"/>
      <c r="G760" s="1"/>
    </row>
    <row r="761" ht="15.75" customHeight="1">
      <c r="A761" s="1"/>
      <c r="B761" s="1"/>
      <c r="C761" s="1"/>
      <c r="D761" s="1"/>
      <c r="E761" s="1"/>
      <c r="F761" s="2"/>
      <c r="G761" s="1"/>
    </row>
    <row r="762" ht="15.75" customHeight="1">
      <c r="A762" s="1"/>
      <c r="B762" s="1"/>
      <c r="C762" s="1"/>
      <c r="D762" s="1"/>
      <c r="E762" s="1"/>
      <c r="F762" s="2"/>
      <c r="G762" s="1"/>
    </row>
    <row r="763" ht="15.75" customHeight="1">
      <c r="A763" s="1"/>
      <c r="B763" s="1"/>
      <c r="C763" s="1"/>
      <c r="D763" s="1"/>
      <c r="E763" s="1"/>
      <c r="F763" s="2"/>
      <c r="G763" s="1"/>
    </row>
    <row r="764" ht="15.75" customHeight="1">
      <c r="A764" s="1"/>
      <c r="B764" s="1"/>
      <c r="C764" s="1"/>
      <c r="D764" s="1"/>
      <c r="E764" s="1"/>
      <c r="F764" s="2"/>
      <c r="G764" s="1"/>
    </row>
    <row r="765" ht="15.75" customHeight="1">
      <c r="A765" s="1"/>
      <c r="B765" s="1"/>
      <c r="C765" s="1"/>
      <c r="D765" s="1"/>
      <c r="E765" s="1"/>
      <c r="F765" s="2"/>
      <c r="G765" s="1"/>
    </row>
    <row r="766" ht="15.75" customHeight="1">
      <c r="A766" s="1"/>
      <c r="B766" s="1"/>
      <c r="C766" s="1"/>
      <c r="D766" s="1"/>
      <c r="E766" s="1"/>
      <c r="F766" s="2"/>
      <c r="G766" s="1"/>
    </row>
    <row r="767" ht="15.75" customHeight="1">
      <c r="A767" s="1"/>
      <c r="B767" s="1"/>
      <c r="C767" s="1"/>
      <c r="D767" s="1"/>
      <c r="E767" s="1"/>
      <c r="F767" s="2"/>
      <c r="G767" s="1"/>
    </row>
    <row r="768" ht="15.75" customHeight="1">
      <c r="A768" s="1"/>
      <c r="B768" s="1"/>
      <c r="C768" s="1"/>
      <c r="D768" s="1"/>
      <c r="E768" s="1"/>
      <c r="F768" s="2"/>
      <c r="G768" s="1"/>
    </row>
    <row r="769" ht="15.75" customHeight="1">
      <c r="A769" s="1"/>
      <c r="B769" s="1"/>
      <c r="C769" s="1"/>
      <c r="D769" s="1"/>
      <c r="E769" s="1"/>
      <c r="F769" s="2"/>
      <c r="G769" s="1"/>
    </row>
    <row r="770" ht="15.75" customHeight="1">
      <c r="A770" s="1"/>
      <c r="B770" s="1"/>
      <c r="C770" s="1"/>
      <c r="D770" s="1"/>
      <c r="E770" s="1"/>
      <c r="F770" s="2"/>
      <c r="G770" s="1"/>
    </row>
    <row r="771" ht="15.75" customHeight="1">
      <c r="A771" s="1"/>
      <c r="B771" s="1"/>
      <c r="C771" s="1"/>
      <c r="D771" s="1"/>
      <c r="E771" s="1"/>
      <c r="F771" s="2"/>
      <c r="G771" s="1"/>
    </row>
    <row r="772" ht="15.75" customHeight="1">
      <c r="A772" s="1"/>
      <c r="B772" s="1"/>
      <c r="C772" s="1"/>
      <c r="D772" s="1"/>
      <c r="E772" s="1"/>
      <c r="F772" s="2"/>
      <c r="G772" s="1"/>
    </row>
    <row r="773" ht="15.75" customHeight="1">
      <c r="A773" s="1"/>
      <c r="B773" s="1"/>
      <c r="C773" s="1"/>
      <c r="D773" s="1"/>
      <c r="E773" s="1"/>
      <c r="F773" s="2"/>
      <c r="G773" s="1"/>
    </row>
    <row r="774" ht="15.75" customHeight="1">
      <c r="A774" s="1"/>
      <c r="B774" s="1"/>
      <c r="C774" s="1"/>
      <c r="D774" s="1"/>
      <c r="E774" s="1"/>
      <c r="F774" s="2"/>
      <c r="G774" s="1"/>
    </row>
    <row r="775" ht="15.75" customHeight="1">
      <c r="A775" s="1"/>
      <c r="B775" s="1"/>
      <c r="C775" s="1"/>
      <c r="D775" s="1"/>
      <c r="E775" s="1"/>
      <c r="F775" s="2"/>
      <c r="G775" s="1"/>
    </row>
    <row r="776" ht="15.75" customHeight="1">
      <c r="A776" s="1"/>
      <c r="B776" s="1"/>
      <c r="C776" s="1"/>
      <c r="D776" s="1"/>
      <c r="E776" s="1"/>
      <c r="F776" s="2"/>
      <c r="G776" s="1"/>
    </row>
    <row r="777" ht="15.75" customHeight="1">
      <c r="A777" s="1"/>
      <c r="B777" s="1"/>
      <c r="C777" s="1"/>
      <c r="D777" s="1"/>
      <c r="E777" s="1"/>
      <c r="F777" s="2"/>
      <c r="G777" s="1"/>
    </row>
    <row r="778" ht="15.75" customHeight="1">
      <c r="A778" s="1"/>
      <c r="B778" s="1"/>
      <c r="C778" s="1"/>
      <c r="D778" s="1"/>
      <c r="E778" s="1"/>
      <c r="F778" s="2"/>
      <c r="G778" s="1"/>
    </row>
    <row r="779" ht="15.75" customHeight="1">
      <c r="A779" s="1"/>
      <c r="B779" s="1"/>
      <c r="C779" s="1"/>
      <c r="D779" s="1"/>
      <c r="E779" s="1"/>
      <c r="F779" s="2"/>
      <c r="G779" s="1"/>
    </row>
    <row r="780" ht="15.75" customHeight="1">
      <c r="A780" s="1"/>
      <c r="B780" s="1"/>
      <c r="C780" s="1"/>
      <c r="D780" s="1"/>
      <c r="E780" s="1"/>
      <c r="F780" s="2"/>
      <c r="G780" s="1"/>
    </row>
    <row r="781" ht="15.75" customHeight="1">
      <c r="A781" s="1"/>
      <c r="B781" s="1"/>
      <c r="C781" s="1"/>
      <c r="D781" s="1"/>
      <c r="E781" s="1"/>
      <c r="F781" s="2"/>
      <c r="G781" s="1"/>
    </row>
    <row r="782" ht="15.75" customHeight="1">
      <c r="A782" s="1"/>
      <c r="B782" s="1"/>
      <c r="C782" s="1"/>
      <c r="D782" s="1"/>
      <c r="E782" s="1"/>
      <c r="F782" s="2"/>
      <c r="G782" s="1"/>
    </row>
    <row r="783" ht="15.75" customHeight="1">
      <c r="A783" s="1"/>
      <c r="B783" s="1"/>
      <c r="C783" s="1"/>
      <c r="D783" s="1"/>
      <c r="E783" s="1"/>
      <c r="F783" s="2"/>
      <c r="G783" s="1"/>
    </row>
    <row r="784" ht="15.75" customHeight="1">
      <c r="A784" s="1"/>
      <c r="B784" s="1"/>
      <c r="C784" s="1"/>
      <c r="D784" s="1"/>
      <c r="E784" s="1"/>
      <c r="F784" s="2"/>
      <c r="G784" s="1"/>
    </row>
    <row r="785" ht="15.75" customHeight="1">
      <c r="A785" s="1"/>
      <c r="B785" s="1"/>
      <c r="C785" s="1"/>
      <c r="D785" s="1"/>
      <c r="E785" s="1"/>
      <c r="F785" s="2"/>
      <c r="G785" s="1"/>
    </row>
    <row r="786" ht="15.75" customHeight="1">
      <c r="A786" s="1"/>
      <c r="B786" s="1"/>
      <c r="C786" s="1"/>
      <c r="D786" s="1"/>
      <c r="E786" s="1"/>
      <c r="F786" s="2"/>
      <c r="G786" s="1"/>
    </row>
    <row r="787" ht="15.75" customHeight="1">
      <c r="A787" s="1"/>
      <c r="B787" s="1"/>
      <c r="C787" s="1"/>
      <c r="D787" s="1"/>
      <c r="E787" s="1"/>
      <c r="F787" s="2"/>
      <c r="G787" s="1"/>
    </row>
    <row r="788" ht="15.75" customHeight="1">
      <c r="A788" s="1"/>
      <c r="B788" s="1"/>
      <c r="C788" s="1"/>
      <c r="D788" s="1"/>
      <c r="E788" s="1"/>
      <c r="F788" s="2"/>
      <c r="G788" s="1"/>
    </row>
    <row r="789" ht="15.75" customHeight="1">
      <c r="A789" s="1"/>
      <c r="B789" s="1"/>
      <c r="C789" s="1"/>
      <c r="D789" s="1"/>
      <c r="E789" s="1"/>
      <c r="F789" s="2"/>
      <c r="G789" s="1"/>
    </row>
    <row r="790" ht="15.75" customHeight="1">
      <c r="A790" s="1"/>
      <c r="B790" s="1"/>
      <c r="C790" s="1"/>
      <c r="D790" s="1"/>
      <c r="E790" s="1"/>
      <c r="F790" s="2"/>
      <c r="G790" s="1"/>
    </row>
    <row r="791" ht="15.75" customHeight="1">
      <c r="A791" s="1"/>
      <c r="B791" s="1"/>
      <c r="C791" s="1"/>
      <c r="D791" s="1"/>
      <c r="E791" s="1"/>
      <c r="F791" s="2"/>
      <c r="G791" s="1"/>
    </row>
    <row r="792" ht="15.75" customHeight="1">
      <c r="A792" s="1"/>
      <c r="B792" s="1"/>
      <c r="C792" s="1"/>
      <c r="D792" s="1"/>
      <c r="E792" s="1"/>
      <c r="F792" s="2"/>
      <c r="G792" s="1"/>
    </row>
    <row r="793" ht="15.75" customHeight="1">
      <c r="A793" s="1"/>
      <c r="B793" s="1"/>
      <c r="C793" s="1"/>
      <c r="D793" s="1"/>
      <c r="E793" s="1"/>
      <c r="F793" s="2"/>
      <c r="G793" s="1"/>
    </row>
    <row r="794" ht="15.75" customHeight="1">
      <c r="A794" s="1"/>
      <c r="B794" s="1"/>
      <c r="C794" s="1"/>
      <c r="D794" s="1"/>
      <c r="E794" s="1"/>
      <c r="F794" s="2"/>
      <c r="G794" s="1"/>
    </row>
    <row r="795" ht="15.75" customHeight="1">
      <c r="A795" s="1"/>
      <c r="B795" s="1"/>
      <c r="C795" s="1"/>
      <c r="D795" s="1"/>
      <c r="E795" s="1"/>
      <c r="F795" s="2"/>
      <c r="G795" s="1"/>
    </row>
    <row r="796" ht="15.75" customHeight="1">
      <c r="A796" s="1"/>
      <c r="B796" s="1"/>
      <c r="C796" s="1"/>
      <c r="D796" s="1"/>
      <c r="E796" s="1"/>
      <c r="F796" s="2"/>
      <c r="G796" s="1"/>
    </row>
    <row r="797" ht="15.75" customHeight="1">
      <c r="A797" s="1"/>
      <c r="B797" s="1"/>
      <c r="C797" s="1"/>
      <c r="D797" s="1"/>
      <c r="E797" s="1"/>
      <c r="F797" s="2"/>
      <c r="G797" s="1"/>
    </row>
    <row r="798" ht="15.75" customHeight="1">
      <c r="A798" s="1"/>
      <c r="B798" s="1"/>
      <c r="C798" s="1"/>
      <c r="D798" s="1"/>
      <c r="E798" s="1"/>
      <c r="F798" s="2"/>
      <c r="G798" s="1"/>
    </row>
    <row r="799" ht="15.75" customHeight="1">
      <c r="A799" s="1"/>
      <c r="B799" s="1"/>
      <c r="C799" s="1"/>
      <c r="D799" s="1"/>
      <c r="E799" s="1"/>
      <c r="F799" s="2"/>
      <c r="G799" s="1"/>
    </row>
    <row r="800" ht="15.75" customHeight="1">
      <c r="A800" s="1"/>
      <c r="B800" s="1"/>
      <c r="C800" s="1"/>
      <c r="D800" s="1"/>
      <c r="E800" s="1"/>
      <c r="F800" s="2"/>
      <c r="G800" s="1"/>
    </row>
    <row r="801" ht="15.75" customHeight="1">
      <c r="A801" s="1"/>
      <c r="B801" s="1"/>
      <c r="C801" s="1"/>
      <c r="D801" s="1"/>
      <c r="E801" s="1"/>
      <c r="F801" s="2"/>
      <c r="G801" s="1"/>
    </row>
    <row r="802" ht="15.75" customHeight="1">
      <c r="A802" s="1"/>
      <c r="B802" s="1"/>
      <c r="C802" s="1"/>
      <c r="D802" s="1"/>
      <c r="E802" s="1"/>
      <c r="F802" s="2"/>
      <c r="G802" s="1"/>
    </row>
    <row r="803" ht="15.75" customHeight="1">
      <c r="A803" s="1"/>
      <c r="B803" s="1"/>
      <c r="C803" s="1"/>
      <c r="D803" s="1"/>
      <c r="E803" s="1"/>
      <c r="F803" s="2"/>
      <c r="G803" s="1"/>
    </row>
    <row r="804" ht="15.75" customHeight="1">
      <c r="A804" s="1"/>
      <c r="B804" s="1"/>
      <c r="C804" s="1"/>
      <c r="D804" s="1"/>
      <c r="E804" s="1"/>
      <c r="F804" s="2"/>
      <c r="G804" s="1"/>
    </row>
    <row r="805" ht="15.75" customHeight="1">
      <c r="A805" s="1"/>
      <c r="B805" s="1"/>
      <c r="C805" s="1"/>
      <c r="D805" s="1"/>
      <c r="E805" s="1"/>
      <c r="F805" s="2"/>
      <c r="G805" s="1"/>
    </row>
    <row r="806" ht="15.75" customHeight="1">
      <c r="A806" s="1"/>
      <c r="B806" s="1"/>
      <c r="C806" s="1"/>
      <c r="D806" s="1"/>
      <c r="E806" s="1"/>
      <c r="F806" s="2"/>
      <c r="G806" s="1"/>
    </row>
    <row r="807" ht="15.75" customHeight="1">
      <c r="A807" s="1"/>
      <c r="B807" s="1"/>
      <c r="C807" s="1"/>
      <c r="D807" s="1"/>
      <c r="E807" s="1"/>
      <c r="F807" s="2"/>
      <c r="G807" s="1"/>
    </row>
    <row r="808" ht="15.75" customHeight="1">
      <c r="A808" s="1"/>
      <c r="B808" s="1"/>
      <c r="C808" s="1"/>
      <c r="D808" s="1"/>
      <c r="E808" s="1"/>
      <c r="F808" s="2"/>
      <c r="G808" s="1"/>
    </row>
    <row r="809" ht="15.75" customHeight="1">
      <c r="A809" s="1"/>
      <c r="B809" s="1"/>
      <c r="C809" s="1"/>
      <c r="D809" s="1"/>
      <c r="E809" s="1"/>
      <c r="F809" s="2"/>
      <c r="G809" s="1"/>
    </row>
    <row r="810" ht="15.75" customHeight="1">
      <c r="A810" s="1"/>
      <c r="B810" s="1"/>
      <c r="C810" s="1"/>
      <c r="D810" s="1"/>
      <c r="E810" s="1"/>
      <c r="F810" s="2"/>
      <c r="G810" s="1"/>
    </row>
    <row r="811" ht="15.75" customHeight="1">
      <c r="A811" s="1"/>
      <c r="B811" s="1"/>
      <c r="C811" s="1"/>
      <c r="D811" s="1"/>
      <c r="E811" s="1"/>
      <c r="F811" s="2"/>
      <c r="G811" s="1"/>
    </row>
    <row r="812" ht="15.75" customHeight="1">
      <c r="A812" s="1"/>
      <c r="B812" s="1"/>
      <c r="C812" s="1"/>
      <c r="D812" s="1"/>
      <c r="E812" s="1"/>
      <c r="F812" s="2"/>
      <c r="G812" s="1"/>
    </row>
    <row r="813" ht="15.75" customHeight="1">
      <c r="A813" s="1"/>
      <c r="B813" s="1"/>
      <c r="C813" s="1"/>
      <c r="D813" s="1"/>
      <c r="E813" s="1"/>
      <c r="F813" s="2"/>
      <c r="G813" s="1"/>
    </row>
    <row r="814" ht="15.75" customHeight="1">
      <c r="A814" s="1"/>
      <c r="B814" s="1"/>
      <c r="C814" s="1"/>
      <c r="D814" s="1"/>
      <c r="E814" s="1"/>
      <c r="F814" s="2"/>
      <c r="G814" s="1"/>
    </row>
    <row r="815" ht="15.75" customHeight="1">
      <c r="A815" s="1"/>
      <c r="B815" s="1"/>
      <c r="C815" s="1"/>
      <c r="D815" s="1"/>
      <c r="E815" s="1"/>
      <c r="F815" s="2"/>
      <c r="G815" s="1"/>
    </row>
    <row r="816" ht="15.75" customHeight="1">
      <c r="A816" s="1"/>
      <c r="B816" s="1"/>
      <c r="C816" s="1"/>
      <c r="D816" s="1"/>
      <c r="E816" s="1"/>
      <c r="F816" s="2"/>
      <c r="G816" s="1"/>
    </row>
    <row r="817" ht="15.75" customHeight="1">
      <c r="A817" s="1"/>
      <c r="B817" s="1"/>
      <c r="C817" s="1"/>
      <c r="D817" s="1"/>
      <c r="E817" s="1"/>
      <c r="F817" s="2"/>
      <c r="G817" s="1"/>
    </row>
    <row r="818" ht="15.75" customHeight="1">
      <c r="A818" s="1"/>
      <c r="B818" s="1"/>
      <c r="C818" s="1"/>
      <c r="D818" s="1"/>
      <c r="E818" s="1"/>
      <c r="F818" s="2"/>
      <c r="G818" s="1"/>
    </row>
    <row r="819" ht="15.75" customHeight="1">
      <c r="A819" s="1"/>
      <c r="B819" s="1"/>
      <c r="C819" s="1"/>
      <c r="D819" s="1"/>
      <c r="E819" s="1"/>
      <c r="F819" s="2"/>
      <c r="G819" s="1"/>
    </row>
    <row r="820" ht="15.75" customHeight="1">
      <c r="A820" s="1"/>
      <c r="B820" s="1"/>
      <c r="C820" s="1"/>
      <c r="D820" s="1"/>
      <c r="E820" s="1"/>
      <c r="F820" s="2"/>
      <c r="G820" s="1"/>
    </row>
    <row r="821" ht="15.75" customHeight="1">
      <c r="A821" s="1"/>
      <c r="B821" s="1"/>
      <c r="C821" s="1"/>
      <c r="D821" s="1"/>
      <c r="E821" s="1"/>
      <c r="F821" s="2"/>
      <c r="G821" s="1"/>
    </row>
    <row r="822" ht="15.75" customHeight="1">
      <c r="A822" s="1"/>
      <c r="B822" s="1"/>
      <c r="C822" s="1"/>
      <c r="D822" s="1"/>
      <c r="E822" s="1"/>
      <c r="F822" s="2"/>
      <c r="G822" s="1"/>
    </row>
    <row r="823" ht="15.75" customHeight="1">
      <c r="A823" s="1"/>
      <c r="B823" s="1"/>
      <c r="C823" s="1"/>
      <c r="D823" s="1"/>
      <c r="E823" s="1"/>
      <c r="F823" s="2"/>
      <c r="G823" s="1"/>
    </row>
    <row r="824" ht="15.75" customHeight="1">
      <c r="A824" s="1"/>
      <c r="B824" s="1"/>
      <c r="C824" s="1"/>
      <c r="D824" s="1"/>
      <c r="E824" s="1"/>
      <c r="F824" s="2"/>
      <c r="G824" s="1"/>
    </row>
    <row r="825" ht="15.75" customHeight="1">
      <c r="A825" s="1"/>
      <c r="B825" s="1"/>
      <c r="C825" s="1"/>
      <c r="D825" s="1"/>
      <c r="E825" s="1"/>
      <c r="F825" s="2"/>
      <c r="G825" s="1"/>
    </row>
    <row r="826" ht="15.75" customHeight="1">
      <c r="A826" s="1"/>
      <c r="B826" s="1"/>
      <c r="C826" s="1"/>
      <c r="D826" s="1"/>
      <c r="E826" s="1"/>
      <c r="F826" s="2"/>
      <c r="G826" s="1"/>
    </row>
    <row r="827" ht="15.75" customHeight="1">
      <c r="A827" s="1"/>
      <c r="B827" s="1"/>
      <c r="C827" s="1"/>
      <c r="D827" s="1"/>
      <c r="E827" s="1"/>
      <c r="F827" s="2"/>
      <c r="G827" s="1"/>
    </row>
    <row r="828" ht="15.75" customHeight="1">
      <c r="A828" s="1"/>
      <c r="B828" s="1"/>
      <c r="C828" s="1"/>
      <c r="D828" s="1"/>
      <c r="E828" s="1"/>
      <c r="F828" s="2"/>
      <c r="G828" s="1"/>
    </row>
    <row r="829" ht="15.75" customHeight="1">
      <c r="A829" s="1"/>
      <c r="B829" s="1"/>
      <c r="C829" s="1"/>
      <c r="D829" s="1"/>
      <c r="E829" s="1"/>
      <c r="F829" s="2"/>
      <c r="G829" s="1"/>
    </row>
    <row r="830" ht="15.75" customHeight="1">
      <c r="A830" s="1"/>
      <c r="B830" s="1"/>
      <c r="C830" s="1"/>
      <c r="D830" s="1"/>
      <c r="E830" s="1"/>
      <c r="F830" s="2"/>
      <c r="G830" s="1"/>
    </row>
    <row r="831" ht="15.75" customHeight="1">
      <c r="A831" s="1"/>
      <c r="B831" s="1"/>
      <c r="C831" s="1"/>
      <c r="D831" s="1"/>
      <c r="E831" s="1"/>
      <c r="F831" s="2"/>
      <c r="G831" s="1"/>
    </row>
    <row r="832" ht="15.75" customHeight="1">
      <c r="A832" s="1"/>
      <c r="B832" s="1"/>
      <c r="C832" s="1"/>
      <c r="D832" s="1"/>
      <c r="E832" s="1"/>
      <c r="F832" s="2"/>
      <c r="G832" s="1"/>
    </row>
    <row r="833" ht="15.75" customHeight="1">
      <c r="A833" s="1"/>
      <c r="B833" s="1"/>
      <c r="C833" s="1"/>
      <c r="D833" s="1"/>
      <c r="E833" s="1"/>
      <c r="F833" s="2"/>
      <c r="G833" s="1"/>
    </row>
    <row r="834" ht="15.75" customHeight="1">
      <c r="A834" s="1"/>
      <c r="B834" s="1"/>
      <c r="C834" s="1"/>
      <c r="D834" s="1"/>
      <c r="E834" s="1"/>
      <c r="F834" s="2"/>
      <c r="G834" s="1"/>
    </row>
    <row r="835" ht="15.75" customHeight="1">
      <c r="A835" s="1"/>
      <c r="B835" s="1"/>
      <c r="C835" s="1"/>
      <c r="D835" s="1"/>
      <c r="E835" s="1"/>
      <c r="F835" s="2"/>
      <c r="G835" s="1"/>
    </row>
    <row r="836" ht="15.75" customHeight="1">
      <c r="A836" s="1"/>
      <c r="B836" s="1"/>
      <c r="C836" s="1"/>
      <c r="D836" s="1"/>
      <c r="E836" s="1"/>
      <c r="F836" s="2"/>
      <c r="G836" s="1"/>
    </row>
    <row r="837" ht="15.75" customHeight="1">
      <c r="A837" s="1"/>
      <c r="B837" s="1"/>
      <c r="C837" s="1"/>
      <c r="D837" s="1"/>
      <c r="E837" s="1"/>
      <c r="F837" s="2"/>
      <c r="G837" s="1"/>
    </row>
    <row r="838" ht="15.75" customHeight="1">
      <c r="A838" s="1"/>
      <c r="B838" s="1"/>
      <c r="C838" s="1"/>
      <c r="D838" s="1"/>
      <c r="E838" s="1"/>
      <c r="F838" s="2"/>
      <c r="G838" s="1"/>
    </row>
    <row r="839" ht="15.75" customHeight="1">
      <c r="A839" s="1"/>
      <c r="B839" s="1"/>
      <c r="C839" s="1"/>
      <c r="D839" s="1"/>
      <c r="E839" s="1"/>
      <c r="F839" s="2"/>
      <c r="G839" s="1"/>
    </row>
    <row r="840" ht="15.75" customHeight="1">
      <c r="A840" s="1"/>
      <c r="B840" s="1"/>
      <c r="C840" s="1"/>
      <c r="D840" s="1"/>
      <c r="E840" s="1"/>
      <c r="F840" s="2"/>
      <c r="G840" s="1"/>
    </row>
    <row r="841" ht="15.75" customHeight="1">
      <c r="A841" s="1"/>
      <c r="B841" s="1"/>
      <c r="C841" s="1"/>
      <c r="D841" s="1"/>
      <c r="E841" s="1"/>
      <c r="F841" s="2"/>
      <c r="G841" s="1"/>
    </row>
    <row r="842" ht="15.75" customHeight="1">
      <c r="A842" s="1"/>
      <c r="B842" s="1"/>
      <c r="C842" s="1"/>
      <c r="D842" s="1"/>
      <c r="E842" s="1"/>
      <c r="F842" s="2"/>
      <c r="G842" s="1"/>
    </row>
    <row r="843" ht="15.75" customHeight="1">
      <c r="A843" s="1"/>
      <c r="B843" s="1"/>
      <c r="C843" s="1"/>
      <c r="D843" s="1"/>
      <c r="E843" s="1"/>
      <c r="F843" s="2"/>
      <c r="G843" s="1"/>
    </row>
    <row r="844" ht="15.75" customHeight="1">
      <c r="A844" s="1"/>
      <c r="B844" s="1"/>
      <c r="C844" s="1"/>
      <c r="D844" s="1"/>
      <c r="E844" s="1"/>
      <c r="F844" s="2"/>
      <c r="G844" s="1"/>
    </row>
    <row r="845" ht="15.75" customHeight="1">
      <c r="A845" s="1"/>
      <c r="B845" s="1"/>
      <c r="C845" s="1"/>
      <c r="D845" s="1"/>
      <c r="E845" s="1"/>
      <c r="F845" s="2"/>
      <c r="G845" s="1"/>
    </row>
    <row r="846" ht="15.75" customHeight="1">
      <c r="A846" s="1"/>
      <c r="B846" s="1"/>
      <c r="C846" s="1"/>
      <c r="D846" s="1"/>
      <c r="E846" s="1"/>
      <c r="F846" s="2"/>
      <c r="G846" s="1"/>
    </row>
    <row r="847" ht="15.75" customHeight="1">
      <c r="A847" s="1"/>
      <c r="B847" s="1"/>
      <c r="C847" s="1"/>
      <c r="D847" s="1"/>
      <c r="E847" s="1"/>
      <c r="F847" s="2"/>
      <c r="G847" s="1"/>
    </row>
    <row r="848" ht="15.75" customHeight="1">
      <c r="A848" s="1"/>
      <c r="B848" s="1"/>
      <c r="C848" s="1"/>
      <c r="D848" s="1"/>
      <c r="E848" s="1"/>
      <c r="F848" s="2"/>
      <c r="G848" s="1"/>
    </row>
    <row r="849" ht="15.75" customHeight="1">
      <c r="A849" s="1"/>
      <c r="B849" s="1"/>
      <c r="C849" s="1"/>
      <c r="D849" s="1"/>
      <c r="E849" s="1"/>
      <c r="F849" s="2"/>
      <c r="G849" s="1"/>
    </row>
    <row r="850" ht="15.75" customHeight="1">
      <c r="A850" s="1"/>
      <c r="B850" s="1"/>
      <c r="C850" s="1"/>
      <c r="D850" s="1"/>
      <c r="E850" s="1"/>
      <c r="F850" s="2"/>
      <c r="G850" s="1"/>
    </row>
    <row r="851" ht="15.75" customHeight="1">
      <c r="A851" s="1"/>
      <c r="B851" s="1"/>
      <c r="C851" s="1"/>
      <c r="D851" s="1"/>
      <c r="E851" s="1"/>
      <c r="F851" s="2"/>
      <c r="G851" s="1"/>
    </row>
    <row r="852" ht="15.75" customHeight="1">
      <c r="A852" s="1"/>
      <c r="B852" s="1"/>
      <c r="C852" s="1"/>
      <c r="D852" s="1"/>
      <c r="E852" s="1"/>
      <c r="F852" s="2"/>
      <c r="G852" s="1"/>
    </row>
    <row r="853" ht="15.75" customHeight="1">
      <c r="A853" s="1"/>
      <c r="B853" s="1"/>
      <c r="C853" s="1"/>
      <c r="D853" s="1"/>
      <c r="E853" s="1"/>
      <c r="F853" s="2"/>
      <c r="G853" s="1"/>
    </row>
    <row r="854" ht="15.75" customHeight="1">
      <c r="A854" s="1"/>
      <c r="B854" s="1"/>
      <c r="C854" s="1"/>
      <c r="D854" s="1"/>
      <c r="E854" s="1"/>
      <c r="F854" s="2"/>
      <c r="G854" s="1"/>
    </row>
    <row r="855" ht="15.75" customHeight="1">
      <c r="A855" s="1"/>
      <c r="B855" s="1"/>
      <c r="C855" s="1"/>
      <c r="D855" s="1"/>
      <c r="E855" s="1"/>
      <c r="F855" s="2"/>
      <c r="G855" s="1"/>
    </row>
    <row r="856" ht="15.75" customHeight="1">
      <c r="A856" s="1"/>
      <c r="B856" s="1"/>
      <c r="C856" s="1"/>
      <c r="D856" s="1"/>
      <c r="E856" s="1"/>
      <c r="F856" s="2"/>
      <c r="G856" s="1"/>
    </row>
    <row r="857" ht="15.75" customHeight="1">
      <c r="A857" s="1"/>
      <c r="B857" s="1"/>
      <c r="C857" s="1"/>
      <c r="D857" s="1"/>
      <c r="E857" s="1"/>
      <c r="F857" s="2"/>
      <c r="G857" s="1"/>
    </row>
    <row r="858" ht="15.75" customHeight="1">
      <c r="A858" s="1"/>
      <c r="B858" s="1"/>
      <c r="C858" s="1"/>
      <c r="D858" s="1"/>
      <c r="E858" s="1"/>
      <c r="F858" s="2"/>
      <c r="G858" s="1"/>
    </row>
    <row r="859" ht="15.75" customHeight="1">
      <c r="A859" s="1"/>
      <c r="B859" s="1"/>
      <c r="C859" s="1"/>
      <c r="D859" s="1"/>
      <c r="E859" s="1"/>
      <c r="F859" s="2"/>
      <c r="G859" s="1"/>
    </row>
    <row r="860" ht="15.75" customHeight="1">
      <c r="A860" s="1"/>
      <c r="B860" s="1"/>
      <c r="C860" s="1"/>
      <c r="D860" s="1"/>
      <c r="E860" s="1"/>
      <c r="F860" s="2"/>
      <c r="G860" s="1"/>
    </row>
    <row r="861" ht="15.75" customHeight="1">
      <c r="A861" s="1"/>
      <c r="B861" s="1"/>
      <c r="C861" s="1"/>
      <c r="D861" s="1"/>
      <c r="E861" s="1"/>
      <c r="F861" s="2"/>
      <c r="G861" s="1"/>
    </row>
    <row r="862" ht="15.75" customHeight="1">
      <c r="A862" s="1"/>
      <c r="B862" s="1"/>
      <c r="C862" s="1"/>
      <c r="D862" s="1"/>
      <c r="E862" s="1"/>
      <c r="F862" s="2"/>
      <c r="G862" s="1"/>
    </row>
    <row r="863" ht="15.75" customHeight="1">
      <c r="A863" s="1"/>
      <c r="B863" s="1"/>
      <c r="C863" s="1"/>
      <c r="D863" s="1"/>
      <c r="E863" s="1"/>
      <c r="F863" s="2"/>
      <c r="G863" s="1"/>
    </row>
    <row r="864" ht="15.75" customHeight="1">
      <c r="A864" s="1"/>
      <c r="B864" s="1"/>
      <c r="C864" s="1"/>
      <c r="D864" s="1"/>
      <c r="E864" s="1"/>
      <c r="F864" s="2"/>
      <c r="G864" s="1"/>
    </row>
    <row r="865" ht="15.75" customHeight="1">
      <c r="A865" s="1"/>
      <c r="B865" s="1"/>
      <c r="C865" s="1"/>
      <c r="D865" s="1"/>
      <c r="E865" s="1"/>
      <c r="F865" s="2"/>
      <c r="G865" s="1"/>
    </row>
    <row r="866" ht="15.75" customHeight="1">
      <c r="A866" s="1"/>
      <c r="B866" s="1"/>
      <c r="C866" s="1"/>
      <c r="D866" s="1"/>
      <c r="E866" s="1"/>
      <c r="F866" s="2"/>
      <c r="G866" s="1"/>
    </row>
    <row r="867" ht="15.75" customHeight="1">
      <c r="A867" s="1"/>
      <c r="B867" s="1"/>
      <c r="C867" s="1"/>
      <c r="D867" s="1"/>
      <c r="E867" s="1"/>
      <c r="F867" s="2"/>
      <c r="G867" s="1"/>
    </row>
    <row r="868" ht="15.75" customHeight="1">
      <c r="A868" s="1"/>
      <c r="B868" s="1"/>
      <c r="C868" s="1"/>
      <c r="D868" s="1"/>
      <c r="E868" s="1"/>
      <c r="F868" s="2"/>
      <c r="G868" s="1"/>
    </row>
    <row r="869" ht="15.75" customHeight="1">
      <c r="A869" s="1"/>
      <c r="B869" s="1"/>
      <c r="C869" s="1"/>
      <c r="D869" s="1"/>
      <c r="E869" s="1"/>
      <c r="F869" s="2"/>
      <c r="G869" s="1"/>
    </row>
    <row r="870" ht="15.75" customHeight="1">
      <c r="A870" s="1"/>
      <c r="B870" s="1"/>
      <c r="C870" s="1"/>
      <c r="D870" s="1"/>
      <c r="E870" s="1"/>
      <c r="F870" s="2"/>
      <c r="G870" s="1"/>
    </row>
    <row r="871" ht="15.75" customHeight="1">
      <c r="A871" s="1"/>
      <c r="B871" s="1"/>
      <c r="C871" s="1"/>
      <c r="D871" s="1"/>
      <c r="E871" s="1"/>
      <c r="F871" s="2"/>
      <c r="G871" s="1"/>
    </row>
    <row r="872" ht="15.75" customHeight="1">
      <c r="A872" s="1"/>
      <c r="B872" s="1"/>
      <c r="C872" s="1"/>
      <c r="D872" s="1"/>
      <c r="E872" s="1"/>
      <c r="F872" s="2"/>
      <c r="G872" s="1"/>
    </row>
    <row r="873" ht="15.75" customHeight="1">
      <c r="A873" s="1"/>
      <c r="B873" s="1"/>
      <c r="C873" s="1"/>
      <c r="D873" s="1"/>
      <c r="E873" s="1"/>
      <c r="F873" s="2"/>
      <c r="G873" s="1"/>
    </row>
    <row r="874" ht="15.75" customHeight="1">
      <c r="A874" s="1"/>
      <c r="B874" s="1"/>
      <c r="C874" s="1"/>
      <c r="D874" s="1"/>
      <c r="E874" s="1"/>
      <c r="F874" s="2"/>
      <c r="G874" s="1"/>
    </row>
    <row r="875" ht="15.75" customHeight="1">
      <c r="A875" s="1"/>
      <c r="B875" s="1"/>
      <c r="C875" s="1"/>
      <c r="D875" s="1"/>
      <c r="E875" s="1"/>
      <c r="F875" s="2"/>
      <c r="G875" s="1"/>
    </row>
    <row r="876" ht="15.75" customHeight="1">
      <c r="A876" s="1"/>
      <c r="B876" s="1"/>
      <c r="C876" s="1"/>
      <c r="D876" s="1"/>
      <c r="E876" s="1"/>
      <c r="F876" s="2"/>
      <c r="G876" s="1"/>
    </row>
    <row r="877" ht="15.75" customHeight="1">
      <c r="A877" s="1"/>
      <c r="B877" s="1"/>
      <c r="C877" s="1"/>
      <c r="D877" s="1"/>
      <c r="E877" s="1"/>
      <c r="F877" s="2"/>
      <c r="G877" s="1"/>
    </row>
    <row r="878" ht="15.75" customHeight="1">
      <c r="A878" s="1"/>
      <c r="B878" s="1"/>
      <c r="C878" s="1"/>
      <c r="D878" s="1"/>
      <c r="E878" s="1"/>
      <c r="F878" s="2"/>
      <c r="G878" s="1"/>
    </row>
    <row r="879" ht="15.75" customHeight="1">
      <c r="A879" s="1"/>
      <c r="B879" s="1"/>
      <c r="C879" s="1"/>
      <c r="D879" s="1"/>
      <c r="E879" s="1"/>
      <c r="F879" s="2"/>
      <c r="G879" s="1"/>
    </row>
    <row r="880" ht="15.75" customHeight="1">
      <c r="A880" s="1"/>
      <c r="B880" s="1"/>
      <c r="C880" s="1"/>
      <c r="D880" s="1"/>
      <c r="E880" s="1"/>
      <c r="F880" s="2"/>
      <c r="G880" s="1"/>
    </row>
    <row r="881" ht="15.75" customHeight="1">
      <c r="A881" s="1"/>
      <c r="B881" s="1"/>
      <c r="C881" s="1"/>
      <c r="D881" s="1"/>
      <c r="E881" s="1"/>
      <c r="F881" s="2"/>
      <c r="G881" s="1"/>
    </row>
    <row r="882" ht="15.75" customHeight="1">
      <c r="A882" s="1"/>
      <c r="B882" s="1"/>
      <c r="C882" s="1"/>
      <c r="D882" s="1"/>
      <c r="E882" s="1"/>
      <c r="F882" s="2"/>
      <c r="G882" s="1"/>
    </row>
    <row r="883" ht="15.75" customHeight="1">
      <c r="A883" s="1"/>
      <c r="B883" s="1"/>
      <c r="C883" s="1"/>
      <c r="D883" s="1"/>
      <c r="E883" s="1"/>
      <c r="F883" s="2"/>
      <c r="G883" s="1"/>
    </row>
    <row r="884" ht="15.75" customHeight="1">
      <c r="A884" s="1"/>
      <c r="B884" s="1"/>
      <c r="C884" s="1"/>
      <c r="D884" s="1"/>
      <c r="E884" s="1"/>
      <c r="F884" s="2"/>
      <c r="G884" s="1"/>
    </row>
    <row r="885" ht="15.75" customHeight="1">
      <c r="A885" s="1"/>
      <c r="B885" s="1"/>
      <c r="C885" s="1"/>
      <c r="D885" s="1"/>
      <c r="E885" s="1"/>
      <c r="F885" s="2"/>
      <c r="G885" s="1"/>
    </row>
    <row r="886" ht="15.75" customHeight="1">
      <c r="A886" s="1"/>
      <c r="B886" s="1"/>
      <c r="C886" s="1"/>
      <c r="D886" s="1"/>
      <c r="E886" s="1"/>
      <c r="F886" s="2"/>
      <c r="G886" s="1"/>
    </row>
    <row r="887" ht="15.75" customHeight="1">
      <c r="A887" s="1"/>
      <c r="B887" s="1"/>
      <c r="C887" s="1"/>
      <c r="D887" s="1"/>
      <c r="E887" s="1"/>
      <c r="F887" s="2"/>
      <c r="G887" s="1"/>
    </row>
    <row r="888" ht="15.75" customHeight="1">
      <c r="A888" s="1"/>
      <c r="B888" s="1"/>
      <c r="C888" s="1"/>
      <c r="D888" s="1"/>
      <c r="E888" s="1"/>
      <c r="F888" s="2"/>
      <c r="G888" s="1"/>
    </row>
    <row r="889" ht="15.75" customHeight="1">
      <c r="A889" s="1"/>
      <c r="B889" s="1"/>
      <c r="C889" s="1"/>
      <c r="D889" s="1"/>
      <c r="E889" s="1"/>
      <c r="F889" s="2"/>
      <c r="G889" s="1"/>
    </row>
    <row r="890" ht="15.75" customHeight="1">
      <c r="A890" s="1"/>
      <c r="B890" s="1"/>
      <c r="C890" s="1"/>
      <c r="D890" s="1"/>
      <c r="E890" s="1"/>
      <c r="F890" s="2"/>
      <c r="G890" s="1"/>
    </row>
    <row r="891" ht="15.75" customHeight="1">
      <c r="A891" s="1"/>
      <c r="B891" s="1"/>
      <c r="C891" s="1"/>
      <c r="D891" s="1"/>
      <c r="E891" s="1"/>
      <c r="F891" s="2"/>
      <c r="G891" s="1"/>
    </row>
    <row r="892" ht="15.75" customHeight="1">
      <c r="A892" s="1"/>
      <c r="B892" s="1"/>
      <c r="C892" s="1"/>
      <c r="D892" s="1"/>
      <c r="E892" s="1"/>
      <c r="F892" s="2"/>
      <c r="G892" s="1"/>
    </row>
    <row r="893" ht="15.75" customHeight="1">
      <c r="A893" s="1"/>
      <c r="B893" s="1"/>
      <c r="C893" s="1"/>
      <c r="D893" s="1"/>
      <c r="E893" s="1"/>
      <c r="F893" s="2"/>
      <c r="G893" s="1"/>
    </row>
    <row r="894" ht="15.75" customHeight="1">
      <c r="A894" s="1"/>
      <c r="B894" s="1"/>
      <c r="C894" s="1"/>
      <c r="D894" s="1"/>
      <c r="E894" s="1"/>
      <c r="F894" s="2"/>
      <c r="G894" s="1"/>
    </row>
    <row r="895" ht="15.75" customHeight="1">
      <c r="A895" s="1"/>
      <c r="B895" s="1"/>
      <c r="C895" s="1"/>
      <c r="D895" s="1"/>
      <c r="E895" s="1"/>
      <c r="F895" s="2"/>
      <c r="G895" s="1"/>
    </row>
    <row r="896" ht="15.75" customHeight="1">
      <c r="A896" s="1"/>
      <c r="B896" s="1"/>
      <c r="C896" s="1"/>
      <c r="D896" s="1"/>
      <c r="E896" s="1"/>
      <c r="F896" s="2"/>
      <c r="G896" s="1"/>
    </row>
    <row r="897" ht="15.75" customHeight="1">
      <c r="A897" s="1"/>
      <c r="B897" s="1"/>
      <c r="C897" s="1"/>
      <c r="D897" s="1"/>
      <c r="E897" s="1"/>
      <c r="F897" s="2"/>
      <c r="G897" s="1"/>
    </row>
    <row r="898" ht="15.75" customHeight="1">
      <c r="A898" s="1"/>
      <c r="B898" s="1"/>
      <c r="C898" s="1"/>
      <c r="D898" s="1"/>
      <c r="E898" s="1"/>
      <c r="F898" s="2"/>
      <c r="G898" s="1"/>
    </row>
    <row r="899" ht="15.75" customHeight="1">
      <c r="A899" s="1"/>
      <c r="B899" s="1"/>
      <c r="C899" s="1"/>
      <c r="D899" s="1"/>
      <c r="E899" s="1"/>
      <c r="F899" s="2"/>
      <c r="G899" s="1"/>
    </row>
    <row r="900" ht="15.75" customHeight="1">
      <c r="A900" s="1"/>
      <c r="B900" s="1"/>
      <c r="C900" s="1"/>
      <c r="D900" s="1"/>
      <c r="E900" s="1"/>
      <c r="F900" s="2"/>
      <c r="G900" s="1"/>
    </row>
    <row r="901" ht="15.75" customHeight="1">
      <c r="A901" s="1"/>
      <c r="B901" s="1"/>
      <c r="C901" s="1"/>
      <c r="D901" s="1"/>
      <c r="E901" s="1"/>
      <c r="F901" s="2"/>
      <c r="G901" s="1"/>
    </row>
    <row r="902" ht="15.75" customHeight="1">
      <c r="A902" s="1"/>
      <c r="B902" s="1"/>
      <c r="C902" s="1"/>
      <c r="D902" s="1"/>
      <c r="E902" s="1"/>
      <c r="F902" s="2"/>
      <c r="G902" s="1"/>
    </row>
    <row r="903" ht="15.75" customHeight="1">
      <c r="A903" s="1"/>
      <c r="B903" s="1"/>
      <c r="C903" s="1"/>
      <c r="D903" s="1"/>
      <c r="E903" s="1"/>
      <c r="F903" s="2"/>
      <c r="G903" s="1"/>
    </row>
    <row r="904" ht="15.75" customHeight="1">
      <c r="A904" s="1"/>
      <c r="B904" s="1"/>
      <c r="C904" s="1"/>
      <c r="D904" s="1"/>
      <c r="E904" s="1"/>
      <c r="F904" s="2"/>
      <c r="G904" s="1"/>
    </row>
    <row r="905" ht="15.75" customHeight="1">
      <c r="A905" s="1"/>
      <c r="B905" s="1"/>
      <c r="C905" s="1"/>
      <c r="D905" s="1"/>
      <c r="E905" s="1"/>
      <c r="F905" s="2"/>
      <c r="G905" s="1"/>
    </row>
    <row r="906" ht="15.75" customHeight="1">
      <c r="A906" s="1"/>
      <c r="B906" s="1"/>
      <c r="C906" s="1"/>
      <c r="D906" s="1"/>
      <c r="E906" s="1"/>
      <c r="F906" s="2"/>
      <c r="G906" s="1"/>
    </row>
    <row r="907" ht="15.75" customHeight="1">
      <c r="A907" s="1"/>
      <c r="B907" s="1"/>
      <c r="C907" s="1"/>
      <c r="D907" s="1"/>
      <c r="E907" s="1"/>
      <c r="F907" s="2"/>
      <c r="G907" s="1"/>
    </row>
    <row r="908" ht="15.75" customHeight="1">
      <c r="A908" s="1"/>
      <c r="B908" s="1"/>
      <c r="C908" s="1"/>
      <c r="D908" s="1"/>
      <c r="E908" s="1"/>
      <c r="F908" s="2"/>
      <c r="G908" s="1"/>
    </row>
    <row r="909" ht="15.75" customHeight="1">
      <c r="A909" s="1"/>
      <c r="B909" s="1"/>
      <c r="C909" s="1"/>
      <c r="D909" s="1"/>
      <c r="E909" s="1"/>
      <c r="F909" s="2"/>
      <c r="G909" s="1"/>
    </row>
    <row r="910" ht="15.75" customHeight="1">
      <c r="A910" s="1"/>
      <c r="B910" s="1"/>
      <c r="C910" s="1"/>
      <c r="D910" s="1"/>
      <c r="E910" s="1"/>
      <c r="F910" s="2"/>
      <c r="G910" s="1"/>
    </row>
    <row r="911" ht="15.75" customHeight="1">
      <c r="A911" s="1"/>
      <c r="B911" s="1"/>
      <c r="C911" s="1"/>
      <c r="D911" s="1"/>
      <c r="E911" s="1"/>
      <c r="F911" s="2"/>
      <c r="G911" s="1"/>
    </row>
    <row r="912" ht="15.75" customHeight="1">
      <c r="A912" s="1"/>
      <c r="B912" s="1"/>
      <c r="C912" s="1"/>
      <c r="D912" s="1"/>
      <c r="E912" s="1"/>
      <c r="F912" s="2"/>
      <c r="G912" s="1"/>
    </row>
    <row r="913" ht="15.75" customHeight="1">
      <c r="A913" s="1"/>
      <c r="B913" s="1"/>
      <c r="C913" s="1"/>
      <c r="D913" s="1"/>
      <c r="E913" s="1"/>
      <c r="F913" s="2"/>
      <c r="G913" s="1"/>
    </row>
    <row r="914" ht="15.75" customHeight="1">
      <c r="A914" s="1"/>
      <c r="B914" s="1"/>
      <c r="C914" s="1"/>
      <c r="D914" s="1"/>
      <c r="E914" s="1"/>
      <c r="F914" s="2"/>
      <c r="G914" s="1"/>
    </row>
    <row r="915" ht="15.75" customHeight="1">
      <c r="A915" s="1"/>
      <c r="B915" s="1"/>
      <c r="C915" s="1"/>
      <c r="D915" s="1"/>
      <c r="E915" s="1"/>
      <c r="F915" s="2"/>
      <c r="G915" s="1"/>
    </row>
    <row r="916" ht="15.75" customHeight="1">
      <c r="A916" s="1"/>
      <c r="B916" s="1"/>
      <c r="C916" s="1"/>
      <c r="D916" s="1"/>
      <c r="E916" s="1"/>
      <c r="F916" s="2"/>
      <c r="G916" s="1"/>
    </row>
    <row r="917" ht="15.75" customHeight="1">
      <c r="A917" s="1"/>
      <c r="B917" s="1"/>
      <c r="C917" s="1"/>
      <c r="D917" s="1"/>
      <c r="E917" s="1"/>
      <c r="F917" s="2"/>
      <c r="G917" s="1"/>
    </row>
    <row r="918" ht="15.75" customHeight="1">
      <c r="A918" s="1"/>
      <c r="B918" s="1"/>
      <c r="C918" s="1"/>
      <c r="D918" s="1"/>
      <c r="E918" s="1"/>
      <c r="F918" s="2"/>
      <c r="G918" s="1"/>
    </row>
    <row r="919" ht="15.75" customHeight="1">
      <c r="A919" s="1"/>
      <c r="B919" s="1"/>
      <c r="C919" s="1"/>
      <c r="D919" s="1"/>
      <c r="E919" s="1"/>
      <c r="F919" s="2"/>
      <c r="G919" s="1"/>
    </row>
    <row r="920" ht="15.75" customHeight="1">
      <c r="A920" s="1"/>
      <c r="B920" s="1"/>
      <c r="C920" s="1"/>
      <c r="D920" s="1"/>
      <c r="E920" s="1"/>
      <c r="F920" s="2"/>
      <c r="G920" s="1"/>
    </row>
    <row r="921" ht="15.75" customHeight="1">
      <c r="A921" s="1"/>
      <c r="B921" s="1"/>
      <c r="C921" s="1"/>
      <c r="D921" s="1"/>
      <c r="E921" s="1"/>
      <c r="F921" s="2"/>
      <c r="G921" s="1"/>
    </row>
    <row r="922" ht="15.75" customHeight="1">
      <c r="A922" s="1"/>
      <c r="B922" s="1"/>
      <c r="C922" s="1"/>
      <c r="D922" s="1"/>
      <c r="E922" s="1"/>
      <c r="F922" s="2"/>
      <c r="G922" s="1"/>
    </row>
    <row r="923" ht="15.75" customHeight="1">
      <c r="A923" s="1"/>
      <c r="B923" s="1"/>
      <c r="C923" s="1"/>
      <c r="D923" s="1"/>
      <c r="E923" s="1"/>
      <c r="F923" s="2"/>
      <c r="G923" s="1"/>
    </row>
    <row r="924" ht="15.75" customHeight="1">
      <c r="A924" s="1"/>
      <c r="B924" s="1"/>
      <c r="C924" s="1"/>
      <c r="D924" s="1"/>
      <c r="E924" s="1"/>
      <c r="F924" s="2"/>
      <c r="G924" s="1"/>
    </row>
    <row r="925" ht="15.75" customHeight="1">
      <c r="A925" s="1"/>
      <c r="B925" s="1"/>
      <c r="C925" s="1"/>
      <c r="D925" s="1"/>
      <c r="E925" s="1"/>
      <c r="F925" s="2"/>
      <c r="G925" s="1"/>
    </row>
    <row r="926" ht="15.75" customHeight="1">
      <c r="A926" s="1"/>
      <c r="B926" s="1"/>
      <c r="C926" s="1"/>
      <c r="D926" s="1"/>
      <c r="E926" s="1"/>
      <c r="F926" s="2"/>
      <c r="G926" s="1"/>
    </row>
    <row r="927" ht="15.75" customHeight="1">
      <c r="A927" s="1"/>
      <c r="B927" s="1"/>
      <c r="C927" s="1"/>
      <c r="D927" s="1"/>
      <c r="E927" s="1"/>
      <c r="F927" s="2"/>
      <c r="G927" s="1"/>
    </row>
    <row r="928" ht="15.75" customHeight="1">
      <c r="A928" s="1"/>
      <c r="B928" s="1"/>
      <c r="C928" s="1"/>
      <c r="D928" s="1"/>
      <c r="E928" s="1"/>
      <c r="F928" s="2"/>
      <c r="G928" s="1"/>
    </row>
    <row r="929" ht="15.75" customHeight="1">
      <c r="A929" s="1"/>
      <c r="B929" s="1"/>
      <c r="C929" s="1"/>
      <c r="D929" s="1"/>
      <c r="E929" s="1"/>
      <c r="F929" s="2"/>
      <c r="G929" s="1"/>
    </row>
    <row r="930" ht="15.75" customHeight="1">
      <c r="A930" s="1"/>
      <c r="B930" s="1"/>
      <c r="C930" s="1"/>
      <c r="D930" s="1"/>
      <c r="E930" s="1"/>
      <c r="F930" s="2"/>
      <c r="G930" s="1"/>
    </row>
    <row r="931" ht="15.75" customHeight="1">
      <c r="A931" s="1"/>
      <c r="B931" s="1"/>
      <c r="C931" s="1"/>
      <c r="D931" s="1"/>
      <c r="E931" s="1"/>
      <c r="F931" s="2"/>
      <c r="G931" s="1"/>
    </row>
    <row r="932" ht="15.75" customHeight="1">
      <c r="A932" s="1"/>
      <c r="B932" s="1"/>
      <c r="C932" s="1"/>
      <c r="D932" s="1"/>
      <c r="E932" s="1"/>
      <c r="F932" s="2"/>
      <c r="G932" s="1"/>
    </row>
    <row r="933" ht="15.75" customHeight="1">
      <c r="A933" s="1"/>
      <c r="B933" s="1"/>
      <c r="C933" s="1"/>
      <c r="D933" s="1"/>
      <c r="E933" s="1"/>
      <c r="F933" s="2"/>
      <c r="G933" s="1"/>
    </row>
    <row r="934" ht="15.75" customHeight="1">
      <c r="A934" s="1"/>
      <c r="B934" s="1"/>
      <c r="C934" s="1"/>
      <c r="D934" s="1"/>
      <c r="E934" s="1"/>
      <c r="F934" s="2"/>
      <c r="G934" s="1"/>
    </row>
    <row r="935" ht="15.75" customHeight="1">
      <c r="A935" s="1"/>
      <c r="B935" s="1"/>
      <c r="C935" s="1"/>
      <c r="D935" s="1"/>
      <c r="E935" s="1"/>
      <c r="F935" s="2"/>
      <c r="G935" s="1"/>
    </row>
    <row r="936" ht="15.75" customHeight="1">
      <c r="A936" s="1"/>
      <c r="B936" s="1"/>
      <c r="C936" s="1"/>
      <c r="D936" s="1"/>
      <c r="E936" s="1"/>
      <c r="F936" s="2"/>
      <c r="G936" s="1"/>
    </row>
    <row r="937" ht="15.75" customHeight="1">
      <c r="A937" s="1"/>
      <c r="B937" s="1"/>
      <c r="C937" s="1"/>
      <c r="D937" s="1"/>
      <c r="E937" s="1"/>
      <c r="F937" s="2"/>
      <c r="G937" s="1"/>
    </row>
    <row r="938" ht="15.75" customHeight="1">
      <c r="A938" s="1"/>
      <c r="B938" s="1"/>
      <c r="C938" s="1"/>
      <c r="D938" s="1"/>
      <c r="E938" s="1"/>
      <c r="F938" s="2"/>
      <c r="G938" s="1"/>
    </row>
    <row r="939" ht="15.75" customHeight="1">
      <c r="A939" s="1"/>
      <c r="B939" s="1"/>
      <c r="C939" s="1"/>
      <c r="D939" s="1"/>
      <c r="E939" s="1"/>
      <c r="F939" s="2"/>
      <c r="G939" s="1"/>
    </row>
    <row r="940" ht="15.75" customHeight="1">
      <c r="A940" s="1"/>
      <c r="B940" s="1"/>
      <c r="C940" s="1"/>
      <c r="D940" s="1"/>
      <c r="E940" s="1"/>
      <c r="F940" s="2"/>
      <c r="G940" s="1"/>
    </row>
    <row r="941" ht="15.75" customHeight="1">
      <c r="A941" s="1"/>
      <c r="B941" s="1"/>
      <c r="C941" s="1"/>
      <c r="D941" s="1"/>
      <c r="E941" s="1"/>
      <c r="F941" s="2"/>
      <c r="G941" s="1"/>
    </row>
    <row r="942" ht="15.75" customHeight="1">
      <c r="A942" s="1"/>
      <c r="B942" s="1"/>
      <c r="C942" s="1"/>
      <c r="D942" s="1"/>
      <c r="E942" s="1"/>
      <c r="F942" s="2"/>
      <c r="G942" s="1"/>
    </row>
    <row r="943" ht="15.75" customHeight="1">
      <c r="A943" s="1"/>
      <c r="B943" s="1"/>
      <c r="C943" s="1"/>
      <c r="D943" s="1"/>
      <c r="E943" s="1"/>
      <c r="F943" s="2"/>
      <c r="G943" s="1"/>
    </row>
    <row r="944" ht="15.75" customHeight="1">
      <c r="A944" s="1"/>
      <c r="B944" s="1"/>
      <c r="C944" s="1"/>
      <c r="D944" s="1"/>
      <c r="E944" s="1"/>
      <c r="F944" s="2"/>
      <c r="G944" s="1"/>
    </row>
    <row r="945" ht="15.75" customHeight="1">
      <c r="A945" s="1"/>
      <c r="B945" s="1"/>
      <c r="C945" s="1"/>
      <c r="D945" s="1"/>
      <c r="E945" s="1"/>
      <c r="F945" s="2"/>
      <c r="G945" s="1"/>
    </row>
    <row r="946" ht="15.75" customHeight="1">
      <c r="A946" s="1"/>
      <c r="B946" s="1"/>
      <c r="C946" s="1"/>
      <c r="D946" s="1"/>
      <c r="E946" s="1"/>
      <c r="F946" s="2"/>
      <c r="G946" s="1"/>
    </row>
    <row r="947" ht="15.75" customHeight="1">
      <c r="A947" s="1"/>
      <c r="B947" s="1"/>
      <c r="C947" s="1"/>
      <c r="D947" s="1"/>
      <c r="E947" s="1"/>
      <c r="F947" s="2"/>
      <c r="G947" s="1"/>
    </row>
    <row r="948" ht="15.75" customHeight="1">
      <c r="A948" s="1"/>
      <c r="B948" s="1"/>
      <c r="C948" s="1"/>
      <c r="D948" s="1"/>
      <c r="E948" s="1"/>
      <c r="F948" s="2"/>
      <c r="G948" s="1"/>
    </row>
    <row r="949" ht="15.75" customHeight="1">
      <c r="A949" s="1"/>
      <c r="B949" s="1"/>
      <c r="C949" s="1"/>
      <c r="D949" s="1"/>
      <c r="E949" s="1"/>
      <c r="F949" s="2"/>
      <c r="G949" s="1"/>
    </row>
    <row r="950" ht="15.75" customHeight="1">
      <c r="A950" s="1"/>
      <c r="B950" s="1"/>
      <c r="C950" s="1"/>
      <c r="D950" s="1"/>
      <c r="E950" s="1"/>
      <c r="F950" s="2"/>
      <c r="G950" s="1"/>
    </row>
    <row r="951" ht="15.75" customHeight="1">
      <c r="A951" s="1"/>
      <c r="B951" s="1"/>
      <c r="C951" s="1"/>
      <c r="D951" s="1"/>
      <c r="E951" s="1"/>
      <c r="F951" s="2"/>
      <c r="G951" s="1"/>
    </row>
    <row r="952" ht="15.75" customHeight="1">
      <c r="A952" s="1"/>
      <c r="B952" s="1"/>
      <c r="C952" s="1"/>
      <c r="D952" s="1"/>
      <c r="E952" s="1"/>
      <c r="F952" s="2"/>
      <c r="G952" s="1"/>
    </row>
    <row r="953" ht="15.75" customHeight="1">
      <c r="A953" s="1"/>
      <c r="B953" s="1"/>
      <c r="C953" s="1"/>
      <c r="D953" s="1"/>
      <c r="E953" s="1"/>
      <c r="F953" s="2"/>
      <c r="G953" s="1"/>
    </row>
    <row r="954" ht="15.75" customHeight="1">
      <c r="A954" s="1"/>
      <c r="B954" s="1"/>
      <c r="C954" s="1"/>
      <c r="D954" s="1"/>
      <c r="E954" s="1"/>
      <c r="F954" s="2"/>
      <c r="G954" s="1"/>
    </row>
    <row r="955" ht="15.75" customHeight="1">
      <c r="A955" s="1"/>
      <c r="B955" s="1"/>
      <c r="C955" s="1"/>
      <c r="D955" s="1"/>
      <c r="E955" s="1"/>
      <c r="F955" s="2"/>
      <c r="G955" s="1"/>
    </row>
    <row r="956" ht="15.75" customHeight="1">
      <c r="A956" s="1"/>
      <c r="B956" s="1"/>
      <c r="C956" s="1"/>
      <c r="D956" s="1"/>
      <c r="E956" s="1"/>
      <c r="F956" s="2"/>
      <c r="G956" s="1"/>
    </row>
    <row r="957" ht="15.75" customHeight="1">
      <c r="A957" s="1"/>
      <c r="B957" s="1"/>
      <c r="C957" s="1"/>
      <c r="D957" s="1"/>
      <c r="E957" s="1"/>
      <c r="F957" s="2"/>
      <c r="G957" s="1"/>
    </row>
    <row r="958" ht="15.75" customHeight="1">
      <c r="A958" s="1"/>
      <c r="B958" s="1"/>
      <c r="C958" s="1"/>
      <c r="D958" s="1"/>
      <c r="E958" s="1"/>
      <c r="F958" s="2"/>
      <c r="G958" s="1"/>
    </row>
    <row r="959" ht="15.75" customHeight="1">
      <c r="A959" s="1"/>
      <c r="B959" s="1"/>
      <c r="C959" s="1"/>
      <c r="D959" s="1"/>
      <c r="E959" s="1"/>
      <c r="F959" s="2"/>
      <c r="G959" s="1"/>
    </row>
    <row r="960" ht="15.75" customHeight="1">
      <c r="A960" s="1"/>
      <c r="B960" s="1"/>
      <c r="C960" s="1"/>
      <c r="D960" s="1"/>
      <c r="E960" s="1"/>
      <c r="F960" s="2"/>
      <c r="G960" s="1"/>
    </row>
    <row r="961" ht="15.75" customHeight="1">
      <c r="A961" s="1"/>
      <c r="B961" s="1"/>
      <c r="C961" s="1"/>
      <c r="D961" s="1"/>
      <c r="E961" s="1"/>
      <c r="F961" s="2"/>
      <c r="G961" s="1"/>
    </row>
    <row r="962" ht="15.75" customHeight="1">
      <c r="A962" s="1"/>
      <c r="B962" s="1"/>
      <c r="C962" s="1"/>
      <c r="D962" s="1"/>
      <c r="E962" s="1"/>
      <c r="F962" s="2"/>
      <c r="G962" s="1"/>
    </row>
    <row r="963" ht="15.75" customHeight="1">
      <c r="A963" s="1"/>
      <c r="B963" s="1"/>
      <c r="C963" s="1"/>
      <c r="D963" s="1"/>
      <c r="E963" s="1"/>
      <c r="F963" s="2"/>
      <c r="G963" s="1"/>
    </row>
    <row r="964" ht="15.75" customHeight="1">
      <c r="A964" s="1"/>
      <c r="B964" s="1"/>
      <c r="C964" s="1"/>
      <c r="D964" s="1"/>
      <c r="E964" s="1"/>
      <c r="F964" s="2"/>
      <c r="G964" s="1"/>
    </row>
    <row r="965" ht="15.75" customHeight="1">
      <c r="A965" s="1"/>
      <c r="B965" s="1"/>
      <c r="C965" s="1"/>
      <c r="D965" s="1"/>
      <c r="E965" s="1"/>
      <c r="F965" s="2"/>
      <c r="G965" s="1"/>
    </row>
    <row r="966" ht="15.75" customHeight="1">
      <c r="A966" s="1"/>
      <c r="B966" s="1"/>
      <c r="C966" s="1"/>
      <c r="D966" s="1"/>
      <c r="E966" s="1"/>
      <c r="F966" s="2"/>
      <c r="G966" s="1"/>
    </row>
    <row r="967" ht="15.75" customHeight="1">
      <c r="A967" s="1"/>
      <c r="B967" s="1"/>
      <c r="C967" s="1"/>
      <c r="D967" s="1"/>
      <c r="E967" s="1"/>
      <c r="F967" s="2"/>
      <c r="G967" s="1"/>
    </row>
    <row r="968" ht="15.75" customHeight="1">
      <c r="A968" s="1"/>
      <c r="B968" s="1"/>
      <c r="C968" s="1"/>
      <c r="D968" s="1"/>
      <c r="E968" s="1"/>
      <c r="F968" s="2"/>
      <c r="G968" s="1"/>
    </row>
    <row r="969" ht="15.75" customHeight="1">
      <c r="A969" s="1"/>
      <c r="B969" s="1"/>
      <c r="C969" s="1"/>
      <c r="D969" s="1"/>
      <c r="E969" s="1"/>
      <c r="F969" s="2"/>
      <c r="G969" s="1"/>
    </row>
    <row r="970" ht="15.75" customHeight="1">
      <c r="A970" s="1"/>
      <c r="B970" s="1"/>
      <c r="C970" s="1"/>
      <c r="D970" s="1"/>
      <c r="E970" s="1"/>
      <c r="F970" s="2"/>
      <c r="G970" s="1"/>
    </row>
    <row r="971" ht="15.75" customHeight="1">
      <c r="A971" s="1"/>
      <c r="B971" s="1"/>
      <c r="C971" s="1"/>
      <c r="D971" s="1"/>
      <c r="E971" s="1"/>
      <c r="F971" s="2"/>
      <c r="G971" s="1"/>
    </row>
    <row r="972" ht="15.75" customHeight="1">
      <c r="A972" s="1"/>
      <c r="B972" s="1"/>
      <c r="C972" s="1"/>
      <c r="D972" s="1"/>
      <c r="E972" s="1"/>
      <c r="F972" s="2"/>
      <c r="G972" s="1"/>
    </row>
    <row r="973" ht="15.75" customHeight="1">
      <c r="A973" s="1"/>
      <c r="B973" s="1"/>
      <c r="C973" s="1"/>
      <c r="D973" s="1"/>
      <c r="E973" s="1"/>
      <c r="F973" s="2"/>
      <c r="G973" s="1"/>
    </row>
    <row r="974" ht="15.75" customHeight="1">
      <c r="A974" s="1"/>
      <c r="B974" s="1"/>
      <c r="C974" s="1"/>
      <c r="D974" s="1"/>
      <c r="E974" s="1"/>
      <c r="F974" s="2"/>
      <c r="G974" s="1"/>
    </row>
    <row r="975" ht="15.75" customHeight="1">
      <c r="A975" s="1"/>
      <c r="B975" s="1"/>
      <c r="C975" s="1"/>
      <c r="D975" s="1"/>
      <c r="E975" s="1"/>
      <c r="F975" s="2"/>
      <c r="G975" s="1"/>
    </row>
    <row r="976" ht="15.75" customHeight="1">
      <c r="A976" s="1"/>
      <c r="B976" s="1"/>
      <c r="C976" s="1"/>
      <c r="D976" s="1"/>
      <c r="E976" s="1"/>
      <c r="F976" s="2"/>
      <c r="G976" s="1"/>
    </row>
    <row r="977" ht="15.75" customHeight="1">
      <c r="A977" s="1"/>
      <c r="B977" s="1"/>
      <c r="C977" s="1"/>
      <c r="D977" s="1"/>
      <c r="E977" s="1"/>
      <c r="F977" s="2"/>
      <c r="G977" s="1"/>
    </row>
    <row r="978" ht="15.75" customHeight="1">
      <c r="A978" s="1"/>
      <c r="B978" s="1"/>
      <c r="C978" s="1"/>
      <c r="D978" s="1"/>
      <c r="E978" s="1"/>
      <c r="F978" s="2"/>
      <c r="G978" s="1"/>
    </row>
    <row r="979" ht="15.75" customHeight="1">
      <c r="A979" s="1"/>
      <c r="B979" s="1"/>
      <c r="C979" s="1"/>
      <c r="D979" s="1"/>
      <c r="E979" s="1"/>
      <c r="F979" s="2"/>
      <c r="G979" s="1"/>
    </row>
    <row r="980" ht="15.75" customHeight="1">
      <c r="A980" s="1"/>
      <c r="B980" s="1"/>
      <c r="C980" s="1"/>
      <c r="D980" s="1"/>
      <c r="E980" s="1"/>
      <c r="F980" s="2"/>
      <c r="G980" s="1"/>
    </row>
    <row r="981" ht="15.75" customHeight="1">
      <c r="A981" s="1"/>
      <c r="B981" s="1"/>
      <c r="C981" s="1"/>
      <c r="D981" s="1"/>
      <c r="E981" s="1"/>
      <c r="F981" s="2"/>
      <c r="G981" s="1"/>
    </row>
    <row r="982" ht="15.75" customHeight="1">
      <c r="A982" s="1"/>
      <c r="B982" s="1"/>
      <c r="C982" s="1"/>
      <c r="D982" s="1"/>
      <c r="E982" s="1"/>
      <c r="F982" s="2"/>
      <c r="G982" s="1"/>
    </row>
    <row r="983" ht="15.75" customHeight="1">
      <c r="A983" s="1"/>
      <c r="B983" s="1"/>
      <c r="C983" s="1"/>
      <c r="D983" s="1"/>
      <c r="E983" s="1"/>
      <c r="F983" s="2"/>
      <c r="G983" s="1"/>
    </row>
    <row r="984" ht="15.75" customHeight="1">
      <c r="A984" s="1"/>
      <c r="B984" s="1"/>
      <c r="C984" s="1"/>
      <c r="D984" s="1"/>
      <c r="E984" s="1"/>
      <c r="F984" s="2"/>
      <c r="G984" s="1"/>
    </row>
    <row r="985" ht="15.75" customHeight="1">
      <c r="A985" s="1"/>
      <c r="B985" s="1"/>
      <c r="C985" s="1"/>
      <c r="D985" s="1"/>
      <c r="E985" s="1"/>
      <c r="F985" s="2"/>
      <c r="G985" s="1"/>
    </row>
    <row r="986" ht="15.75" customHeight="1">
      <c r="A986" s="1"/>
      <c r="B986" s="1"/>
      <c r="C986" s="1"/>
      <c r="D986" s="1"/>
      <c r="E986" s="1"/>
      <c r="F986" s="2"/>
      <c r="G986" s="1"/>
    </row>
    <row r="987" ht="15.75" customHeight="1">
      <c r="A987" s="1"/>
      <c r="B987" s="1"/>
      <c r="C987" s="1"/>
      <c r="D987" s="1"/>
      <c r="E987" s="1"/>
      <c r="F987" s="2"/>
      <c r="G987" s="1"/>
    </row>
    <row r="988" ht="15.75" customHeight="1">
      <c r="A988" s="1"/>
      <c r="B988" s="1"/>
      <c r="C988" s="1"/>
      <c r="D988" s="1"/>
      <c r="E988" s="1"/>
      <c r="F988" s="2"/>
      <c r="G988" s="1"/>
    </row>
    <row r="989" ht="15.75" customHeight="1">
      <c r="A989" s="1"/>
      <c r="B989" s="1"/>
      <c r="C989" s="1"/>
      <c r="D989" s="1"/>
      <c r="E989" s="1"/>
      <c r="F989" s="2"/>
      <c r="G989" s="1"/>
    </row>
    <row r="990" ht="15.75" customHeight="1">
      <c r="A990" s="1"/>
      <c r="B990" s="1"/>
      <c r="C990" s="1"/>
      <c r="D990" s="1"/>
      <c r="E990" s="1"/>
      <c r="F990" s="2"/>
      <c r="G990" s="1"/>
    </row>
    <row r="991" ht="15.75" customHeight="1">
      <c r="A991" s="1"/>
      <c r="B991" s="1"/>
      <c r="C991" s="1"/>
      <c r="D991" s="1"/>
      <c r="E991" s="1"/>
      <c r="F991" s="2"/>
      <c r="G991" s="1"/>
    </row>
    <row r="992" ht="15.75" customHeight="1">
      <c r="A992" s="1"/>
      <c r="B992" s="1"/>
      <c r="C992" s="1"/>
      <c r="D992" s="1"/>
      <c r="E992" s="1"/>
      <c r="F992" s="2"/>
      <c r="G992" s="1"/>
    </row>
    <row r="993" ht="15.75" customHeight="1">
      <c r="A993" s="1"/>
      <c r="B993" s="1"/>
      <c r="C993" s="1"/>
      <c r="D993" s="1"/>
      <c r="E993" s="1"/>
      <c r="F993" s="2"/>
      <c r="G993" s="1"/>
    </row>
    <row r="994" ht="15.75" customHeight="1">
      <c r="A994" s="1"/>
      <c r="B994" s="1"/>
      <c r="C994" s="1"/>
      <c r="D994" s="1"/>
      <c r="E994" s="1"/>
      <c r="F994" s="2"/>
      <c r="G994" s="1"/>
    </row>
    <row r="995" ht="15.75" customHeight="1">
      <c r="A995" s="1"/>
      <c r="B995" s="1"/>
      <c r="C995" s="1"/>
      <c r="D995" s="1"/>
      <c r="E995" s="1"/>
      <c r="F995" s="2"/>
      <c r="G995" s="1"/>
    </row>
    <row r="996" ht="15.75" customHeight="1">
      <c r="A996" s="1"/>
      <c r="B996" s="1"/>
      <c r="C996" s="1"/>
      <c r="D996" s="1"/>
      <c r="E996" s="1"/>
      <c r="F996" s="2"/>
      <c r="G996" s="1"/>
    </row>
    <row r="997" ht="15.75" customHeight="1">
      <c r="A997" s="1"/>
      <c r="B997" s="1"/>
      <c r="C997" s="1"/>
      <c r="D997" s="1"/>
      <c r="E997" s="1"/>
      <c r="F997" s="2"/>
      <c r="G997" s="1"/>
    </row>
    <row r="998" ht="15.75" customHeight="1">
      <c r="A998" s="1"/>
      <c r="B998" s="1"/>
      <c r="C998" s="1"/>
      <c r="D998" s="1"/>
      <c r="E998" s="1"/>
      <c r="F998" s="2"/>
      <c r="G998" s="1"/>
    </row>
    <row r="999" ht="15.75" customHeight="1">
      <c r="A999" s="1"/>
      <c r="B999" s="1"/>
      <c r="C999" s="1"/>
      <c r="D999" s="1"/>
      <c r="E999" s="1"/>
      <c r="F999" s="2"/>
      <c r="G999" s="1"/>
    </row>
    <row r="1000" ht="15.75" customHeight="1">
      <c r="A1000" s="1"/>
      <c r="B1000" s="1"/>
      <c r="C1000" s="1"/>
      <c r="D1000" s="1"/>
      <c r="E1000" s="1"/>
      <c r="F1000" s="2"/>
      <c r="G1000" s="1"/>
    </row>
  </sheetData>
  <conditionalFormatting sqref="F49:Z49 D53 AC5:AD46">
    <cfRule type="cellIs" dxfId="0" priority="1" operator="notEqual">
      <formula>0</formula>
    </cfRule>
  </conditionalFormatting>
  <conditionalFormatting sqref="K5:K46">
    <cfRule type="cellIs" dxfId="1" priority="2" operator="greaterThan">
      <formula>1500</formula>
    </cfRule>
  </conditionalFormatting>
  <conditionalFormatting sqref="L5:L46">
    <cfRule type="cellIs" dxfId="1" priority="3" operator="greaterThan">
      <formula>300</formula>
    </cfRule>
  </conditionalFormatting>
  <conditionalFormatting sqref="M5:M46 S5:T46">
    <cfRule type="cellIs" dxfId="1" priority="4" operator="greaterThan">
      <formula>200</formula>
    </cfRule>
  </conditionalFormatting>
  <conditionalFormatting sqref="P5:P46">
    <cfRule type="cellIs" dxfId="1" priority="5" operator="greaterThan">
      <formula>600</formula>
    </cfRule>
  </conditionalFormatting>
  <conditionalFormatting sqref="Q5:R46">
    <cfRule type="cellIs" dxfId="1" priority="6" operator="greaterThan">
      <formula>1000</formula>
    </cfRule>
  </conditionalFormatting>
  <conditionalFormatting sqref="U5:U46">
    <cfRule type="cellIs" dxfId="1" priority="7" operator="greaterThan">
      <formula>100</formula>
    </cfRule>
  </conditionalFormatting>
  <conditionalFormatting sqref="X5:Y46">
    <cfRule type="cellIs" dxfId="1" priority="8" operator="greaterThan">
      <formula>60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71"/>
    <col customWidth="1" min="3" max="3" width="7.71"/>
    <col customWidth="1" min="4" max="4" width="10.0"/>
    <col customWidth="1" min="5" max="6" width="5.71"/>
    <col customWidth="1" min="7" max="7" width="6.43"/>
    <col customWidth="1" min="8" max="8" width="9.14"/>
    <col customWidth="1" min="9" max="9" width="9.71"/>
    <col customWidth="1" min="10" max="10" width="9.14"/>
    <col customWidth="1" min="11" max="11" width="10.14"/>
    <col customWidth="1" min="12" max="12" width="6.14"/>
    <col customWidth="1" min="13" max="13" width="11.43"/>
    <col customWidth="1" min="14" max="14" width="7.43"/>
    <col customWidth="1" min="15" max="15" width="6.71"/>
    <col customWidth="1" min="16" max="16" width="8.86"/>
    <col customWidth="1" min="17" max="17" width="21.14"/>
    <col customWidth="1" min="18" max="20" width="9.14"/>
    <col customWidth="1" min="21" max="26" width="8.0"/>
  </cols>
  <sheetData>
    <row r="1">
      <c r="A1" s="36"/>
      <c r="B1" s="37"/>
      <c r="C1" s="37"/>
      <c r="D1" s="37"/>
      <c r="E1" s="37"/>
      <c r="F1" s="37"/>
      <c r="G1" s="1"/>
      <c r="H1" s="1"/>
      <c r="I1" s="1"/>
      <c r="J1" s="1"/>
      <c r="K1" s="1"/>
      <c r="L1" s="1"/>
      <c r="M1" s="1"/>
      <c r="N1" s="1"/>
      <c r="O1" s="1"/>
      <c r="P1" s="1"/>
      <c r="Q1" s="1"/>
      <c r="R1" s="1"/>
      <c r="S1" s="1"/>
      <c r="T1" s="1"/>
    </row>
    <row r="2" ht="15.75" customHeight="1">
      <c r="A2" s="38" t="s">
        <v>96</v>
      </c>
      <c r="B2" s="39"/>
      <c r="C2" s="39"/>
      <c r="D2" s="39"/>
      <c r="E2" s="39"/>
      <c r="F2" s="39"/>
      <c r="G2" s="39"/>
      <c r="H2" s="39"/>
      <c r="I2" s="39"/>
      <c r="J2" s="39"/>
      <c r="K2" s="39"/>
      <c r="L2" s="39"/>
      <c r="M2" s="39"/>
      <c r="N2" s="39"/>
      <c r="O2" s="39"/>
      <c r="P2" s="40"/>
      <c r="Q2" s="41"/>
      <c r="R2" s="41"/>
      <c r="S2" s="41"/>
      <c r="T2" s="41"/>
      <c r="U2" s="42"/>
      <c r="V2" s="42"/>
      <c r="W2" s="42"/>
      <c r="X2" s="42"/>
      <c r="Y2" s="42"/>
      <c r="Z2" s="42"/>
    </row>
    <row r="3">
      <c r="A3" s="42"/>
      <c r="B3" s="42"/>
      <c r="C3" s="42"/>
      <c r="D3" s="42"/>
      <c r="E3" s="42"/>
      <c r="F3" s="42"/>
      <c r="G3" s="42"/>
      <c r="H3" s="41"/>
      <c r="I3" s="42"/>
      <c r="J3" s="42"/>
      <c r="K3" s="42"/>
      <c r="L3" s="42"/>
      <c r="M3" s="42"/>
      <c r="N3" s="42"/>
      <c r="O3" s="42"/>
      <c r="P3" s="42"/>
      <c r="Q3" s="41"/>
      <c r="R3" s="41"/>
      <c r="S3" s="41"/>
      <c r="T3" s="41"/>
      <c r="U3" s="42"/>
      <c r="V3" s="42"/>
      <c r="W3" s="42"/>
      <c r="X3" s="42"/>
      <c r="Y3" s="42"/>
      <c r="Z3" s="42"/>
    </row>
    <row r="4" ht="44.25" customHeight="1">
      <c r="A4" s="43" t="s">
        <v>97</v>
      </c>
      <c r="B4" s="39"/>
      <c r="C4" s="39"/>
      <c r="D4" s="39"/>
      <c r="E4" s="39"/>
      <c r="F4" s="39"/>
      <c r="G4" s="39"/>
      <c r="H4" s="39"/>
      <c r="I4" s="39"/>
      <c r="J4" s="39"/>
      <c r="K4" s="39"/>
      <c r="L4" s="39"/>
      <c r="M4" s="39"/>
      <c r="N4" s="39"/>
      <c r="O4" s="39"/>
      <c r="P4" s="40"/>
      <c r="Q4" s="41"/>
      <c r="R4" s="41"/>
      <c r="S4" s="41"/>
      <c r="T4" s="41"/>
      <c r="U4" s="42"/>
      <c r="V4" s="42"/>
      <c r="W4" s="42"/>
      <c r="X4" s="42"/>
      <c r="Y4" s="42"/>
      <c r="Z4" s="42"/>
    </row>
    <row r="5">
      <c r="A5" s="43" t="s">
        <v>98</v>
      </c>
      <c r="B5" s="39"/>
      <c r="C5" s="39"/>
      <c r="D5" s="39"/>
      <c r="E5" s="39"/>
      <c r="F5" s="39"/>
      <c r="G5" s="39"/>
      <c r="H5" s="39"/>
      <c r="I5" s="39"/>
      <c r="J5" s="39"/>
      <c r="K5" s="39"/>
      <c r="L5" s="39"/>
      <c r="M5" s="39"/>
      <c r="N5" s="39"/>
      <c r="O5" s="39"/>
      <c r="P5" s="40"/>
      <c r="Q5" s="41"/>
      <c r="R5" s="41"/>
      <c r="S5" s="41"/>
      <c r="T5" s="41"/>
      <c r="U5" s="42"/>
      <c r="V5" s="42"/>
      <c r="W5" s="42"/>
      <c r="X5" s="42"/>
      <c r="Y5" s="42"/>
      <c r="Z5" s="42"/>
    </row>
    <row r="6" ht="27.75" customHeight="1">
      <c r="A6" s="43" t="s">
        <v>99</v>
      </c>
      <c r="B6" s="39"/>
      <c r="C6" s="39"/>
      <c r="D6" s="39"/>
      <c r="E6" s="39"/>
      <c r="F6" s="39"/>
      <c r="G6" s="39"/>
      <c r="H6" s="39"/>
      <c r="I6" s="39"/>
      <c r="J6" s="39"/>
      <c r="K6" s="39"/>
      <c r="L6" s="39"/>
      <c r="M6" s="39"/>
      <c r="N6" s="39"/>
      <c r="O6" s="39"/>
      <c r="P6" s="40"/>
      <c r="Q6" s="41"/>
      <c r="R6" s="41"/>
      <c r="S6" s="41"/>
      <c r="T6" s="41"/>
      <c r="U6" s="42"/>
      <c r="V6" s="42"/>
      <c r="W6" s="42"/>
      <c r="X6" s="42"/>
      <c r="Y6" s="42"/>
      <c r="Z6" s="42"/>
    </row>
    <row r="7">
      <c r="A7" s="43" t="s">
        <v>100</v>
      </c>
      <c r="B7" s="39"/>
      <c r="C7" s="39"/>
      <c r="D7" s="39"/>
      <c r="E7" s="39"/>
      <c r="F7" s="39"/>
      <c r="G7" s="39"/>
      <c r="H7" s="39"/>
      <c r="I7" s="39"/>
      <c r="J7" s="39"/>
      <c r="K7" s="39"/>
      <c r="L7" s="39"/>
      <c r="M7" s="39"/>
      <c r="N7" s="39"/>
      <c r="O7" s="39"/>
      <c r="P7" s="40"/>
      <c r="Q7" s="41"/>
      <c r="R7" s="41"/>
      <c r="S7" s="41"/>
      <c r="T7" s="41"/>
      <c r="U7" s="42"/>
      <c r="V7" s="42"/>
      <c r="W7" s="42"/>
      <c r="X7" s="42"/>
      <c r="Y7" s="42"/>
      <c r="Z7" s="42"/>
    </row>
    <row r="8" ht="92.25" customHeight="1">
      <c r="A8" s="44" t="s">
        <v>101</v>
      </c>
      <c r="B8" s="39"/>
      <c r="C8" s="39"/>
      <c r="D8" s="39"/>
      <c r="E8" s="39"/>
      <c r="F8" s="39"/>
      <c r="G8" s="39"/>
      <c r="H8" s="39"/>
      <c r="I8" s="39"/>
      <c r="J8" s="39"/>
      <c r="K8" s="39"/>
      <c r="L8" s="39"/>
      <c r="M8" s="39"/>
      <c r="N8" s="39"/>
      <c r="O8" s="39"/>
      <c r="P8" s="40"/>
      <c r="Q8" s="41"/>
      <c r="R8" s="41"/>
      <c r="S8" s="41"/>
      <c r="T8" s="41"/>
      <c r="U8" s="42"/>
      <c r="V8" s="42"/>
      <c r="W8" s="42"/>
      <c r="X8" s="42"/>
      <c r="Y8" s="42"/>
      <c r="Z8" s="42"/>
    </row>
    <row r="9">
      <c r="A9" s="45"/>
      <c r="B9" s="46"/>
      <c r="C9" s="46"/>
      <c r="D9" s="46"/>
      <c r="E9" s="46"/>
      <c r="F9" s="46"/>
      <c r="G9" s="45"/>
      <c r="H9" s="42"/>
      <c r="I9" s="45"/>
      <c r="J9" s="45"/>
      <c r="K9" s="45"/>
      <c r="L9" s="45"/>
      <c r="M9" s="45"/>
      <c r="N9" s="45"/>
      <c r="O9" s="45"/>
      <c r="P9" s="45"/>
      <c r="Q9" s="41"/>
      <c r="R9" s="41"/>
      <c r="S9" s="41"/>
      <c r="T9" s="41"/>
      <c r="U9" s="42"/>
      <c r="V9" s="42"/>
      <c r="W9" s="42"/>
      <c r="X9" s="42"/>
      <c r="Y9" s="42"/>
      <c r="Z9" s="42"/>
    </row>
    <row r="10" ht="76.5" customHeight="1">
      <c r="A10" s="47" t="s">
        <v>102</v>
      </c>
      <c r="B10" s="47" t="s">
        <v>103</v>
      </c>
      <c r="C10" s="47" t="s">
        <v>104</v>
      </c>
      <c r="D10" s="48" t="s">
        <v>105</v>
      </c>
      <c r="E10" s="48" t="s">
        <v>106</v>
      </c>
      <c r="F10" s="48" t="s">
        <v>107</v>
      </c>
      <c r="G10" s="47" t="s">
        <v>108</v>
      </c>
      <c r="H10" s="48" t="s">
        <v>109</v>
      </c>
      <c r="I10" s="48" t="s">
        <v>110</v>
      </c>
      <c r="J10" s="48" t="s">
        <v>111</v>
      </c>
      <c r="K10" s="48" t="s">
        <v>112</v>
      </c>
      <c r="L10" s="48" t="s">
        <v>113</v>
      </c>
      <c r="M10" s="48" t="s">
        <v>114</v>
      </c>
      <c r="N10" s="48" t="s">
        <v>115</v>
      </c>
      <c r="O10" s="47" t="s">
        <v>116</v>
      </c>
      <c r="P10" s="47" t="s">
        <v>117</v>
      </c>
      <c r="Q10" s="49" t="s">
        <v>118</v>
      </c>
      <c r="R10" s="50"/>
      <c r="S10" s="50"/>
      <c r="T10" s="50"/>
      <c r="U10" s="51"/>
      <c r="V10" s="51"/>
      <c r="W10" s="51"/>
      <c r="X10" s="51"/>
      <c r="Y10" s="51"/>
      <c r="Z10" s="51"/>
    </row>
    <row r="11" ht="409.5" customHeight="1">
      <c r="A11" s="52" t="s">
        <v>119</v>
      </c>
      <c r="B11" s="52" t="s">
        <v>120</v>
      </c>
      <c r="C11" s="53" t="s">
        <v>38</v>
      </c>
      <c r="D11" s="54" t="s">
        <v>121</v>
      </c>
      <c r="E11" s="55">
        <v>9.0</v>
      </c>
      <c r="F11" s="56">
        <v>11.0</v>
      </c>
      <c r="G11" s="57" t="s">
        <v>122</v>
      </c>
      <c r="H11" s="58" t="s">
        <v>123</v>
      </c>
      <c r="I11" s="52" t="s">
        <v>124</v>
      </c>
      <c r="J11" s="52" t="s">
        <v>125</v>
      </c>
      <c r="K11" s="59" t="s">
        <v>126</v>
      </c>
      <c r="L11" s="60">
        <v>2020.0</v>
      </c>
      <c r="M11" s="60" t="s">
        <v>127</v>
      </c>
      <c r="N11" s="60">
        <v>5.014</v>
      </c>
      <c r="O11" s="61">
        <v>1500.0</v>
      </c>
      <c r="P11" s="62">
        <v>187.5</v>
      </c>
      <c r="Q11" s="62" t="s">
        <v>128</v>
      </c>
      <c r="R11" s="1"/>
      <c r="S11" s="1"/>
      <c r="T11" s="1"/>
    </row>
    <row r="12" ht="127.5" customHeight="1">
      <c r="A12" s="63" t="s">
        <v>129</v>
      </c>
      <c r="B12" s="54" t="s">
        <v>130</v>
      </c>
      <c r="C12" s="53" t="s">
        <v>38</v>
      </c>
      <c r="D12" s="64" t="s">
        <v>131</v>
      </c>
      <c r="E12" s="53">
        <v>17.0</v>
      </c>
      <c r="F12" s="53">
        <v>20.0</v>
      </c>
      <c r="G12" s="57" t="s">
        <v>132</v>
      </c>
      <c r="H12" s="58" t="s">
        <v>133</v>
      </c>
      <c r="I12" s="52" t="s">
        <v>134</v>
      </c>
      <c r="J12" s="52" t="s">
        <v>135</v>
      </c>
      <c r="K12" s="65" t="s">
        <v>136</v>
      </c>
      <c r="L12" s="60">
        <v>2020.0</v>
      </c>
      <c r="M12" s="60" t="s">
        <v>127</v>
      </c>
      <c r="N12" s="60">
        <v>2.849</v>
      </c>
      <c r="O12" s="66">
        <v>1500.0</v>
      </c>
      <c r="P12" s="62">
        <v>375.0</v>
      </c>
      <c r="Q12" s="62" t="s">
        <v>128</v>
      </c>
      <c r="R12" s="1"/>
      <c r="S12" s="1"/>
      <c r="T12" s="1"/>
    </row>
    <row r="13" ht="90.0" customHeight="1">
      <c r="A13" s="54" t="s">
        <v>137</v>
      </c>
      <c r="B13" s="54" t="s">
        <v>138</v>
      </c>
      <c r="C13" s="53" t="s">
        <v>38</v>
      </c>
      <c r="D13" s="54" t="s">
        <v>139</v>
      </c>
      <c r="E13" s="55">
        <v>12.0</v>
      </c>
      <c r="F13" s="56">
        <v>17.0</v>
      </c>
      <c r="G13" s="53" t="s">
        <v>140</v>
      </c>
      <c r="H13" s="67" t="s">
        <v>141</v>
      </c>
      <c r="I13" s="67" t="s">
        <v>142</v>
      </c>
      <c r="J13" s="68" t="s">
        <v>143</v>
      </c>
      <c r="K13" s="59" t="s">
        <v>144</v>
      </c>
      <c r="L13" s="69">
        <v>44074.0</v>
      </c>
      <c r="M13" s="60" t="s">
        <v>145</v>
      </c>
      <c r="N13" s="60">
        <v>2.576</v>
      </c>
      <c r="O13" s="61">
        <v>1000.0</v>
      </c>
      <c r="P13" s="62">
        <v>1000.0</v>
      </c>
      <c r="Q13" s="62" t="s">
        <v>146</v>
      </c>
      <c r="R13" s="1"/>
      <c r="S13" s="1"/>
      <c r="T13" s="1"/>
    </row>
    <row r="14" ht="127.5" customHeight="1">
      <c r="A14" s="54" t="s">
        <v>147</v>
      </c>
      <c r="B14" s="54" t="s">
        <v>138</v>
      </c>
      <c r="C14" s="53" t="s">
        <v>38</v>
      </c>
      <c r="D14" s="54" t="s">
        <v>139</v>
      </c>
      <c r="E14" s="53">
        <v>12.0</v>
      </c>
      <c r="F14" s="53">
        <v>23.0</v>
      </c>
      <c r="G14" s="53" t="s">
        <v>140</v>
      </c>
      <c r="H14" s="70" t="s">
        <v>148</v>
      </c>
      <c r="I14" s="71" t="s">
        <v>149</v>
      </c>
      <c r="J14" s="54" t="s">
        <v>150</v>
      </c>
      <c r="K14" s="65" t="s">
        <v>151</v>
      </c>
      <c r="L14" s="60" t="s">
        <v>152</v>
      </c>
      <c r="M14" s="60" t="s">
        <v>145</v>
      </c>
      <c r="N14" s="60">
        <v>2.576</v>
      </c>
      <c r="O14" s="66">
        <v>1000.0</v>
      </c>
      <c r="P14" s="62">
        <v>1000.0</v>
      </c>
      <c r="Q14" s="62" t="s">
        <v>146</v>
      </c>
      <c r="R14" s="1"/>
      <c r="S14" s="1"/>
      <c r="T14" s="1"/>
    </row>
    <row r="15" ht="141.0" customHeight="1">
      <c r="A15" s="72" t="s">
        <v>153</v>
      </c>
      <c r="B15" s="60" t="s">
        <v>154</v>
      </c>
      <c r="C15" s="60" t="s">
        <v>38</v>
      </c>
      <c r="D15" s="60" t="s">
        <v>155</v>
      </c>
      <c r="E15" s="60">
        <v>9.0</v>
      </c>
      <c r="F15" s="60">
        <v>1.0</v>
      </c>
      <c r="G15" s="60"/>
      <c r="H15" s="70" t="s">
        <v>156</v>
      </c>
      <c r="I15" s="70" t="s">
        <v>157</v>
      </c>
      <c r="J15" s="73" t="s">
        <v>158</v>
      </c>
      <c r="K15" s="74" t="s">
        <v>159</v>
      </c>
      <c r="L15" s="60" t="s">
        <v>160</v>
      </c>
      <c r="M15" s="60" t="s">
        <v>145</v>
      </c>
      <c r="N15" s="60">
        <v>2.753</v>
      </c>
      <c r="O15" s="61">
        <v>1000.0</v>
      </c>
      <c r="P15" s="62">
        <v>333.33</v>
      </c>
      <c r="Q15" s="62" t="s">
        <v>146</v>
      </c>
      <c r="R15" s="1"/>
      <c r="S15" s="1"/>
      <c r="T15" s="1"/>
    </row>
    <row r="16" ht="127.5" customHeight="1">
      <c r="A16" s="54" t="s">
        <v>161</v>
      </c>
      <c r="B16" s="54" t="s">
        <v>162</v>
      </c>
      <c r="C16" s="53" t="s">
        <v>38</v>
      </c>
      <c r="D16" s="54" t="s">
        <v>163</v>
      </c>
      <c r="E16" s="75">
        <v>17.0</v>
      </c>
      <c r="F16" s="56">
        <v>20.0</v>
      </c>
      <c r="G16" s="53" t="s">
        <v>164</v>
      </c>
      <c r="H16" s="67" t="s">
        <v>133</v>
      </c>
      <c r="I16" s="68" t="s">
        <v>165</v>
      </c>
      <c r="J16" s="68" t="s">
        <v>166</v>
      </c>
      <c r="K16" s="59" t="s">
        <v>136</v>
      </c>
      <c r="L16" s="60">
        <v>2020.0</v>
      </c>
      <c r="M16" s="60" t="s">
        <v>127</v>
      </c>
      <c r="N16" s="76">
        <v>2849.0</v>
      </c>
      <c r="O16" s="61">
        <v>1500.0</v>
      </c>
      <c r="P16" s="62">
        <v>375.0</v>
      </c>
      <c r="Q16" s="62" t="s">
        <v>167</v>
      </c>
      <c r="R16" s="1"/>
      <c r="S16" s="1"/>
      <c r="T16" s="1"/>
    </row>
    <row r="17" ht="409.5" customHeight="1">
      <c r="A17" s="77" t="s">
        <v>168</v>
      </c>
      <c r="B17" s="78" t="s">
        <v>169</v>
      </c>
      <c r="C17" s="53" t="s">
        <v>38</v>
      </c>
      <c r="D17" s="79" t="s">
        <v>121</v>
      </c>
      <c r="E17" s="53">
        <v>9.0</v>
      </c>
      <c r="F17" s="56">
        <v>11.0</v>
      </c>
      <c r="G17" s="80" t="s">
        <v>170</v>
      </c>
      <c r="H17" s="81" t="s">
        <v>171</v>
      </c>
      <c r="I17" s="70" t="s">
        <v>172</v>
      </c>
      <c r="J17" s="82" t="s">
        <v>125</v>
      </c>
      <c r="K17" s="59" t="s">
        <v>126</v>
      </c>
      <c r="L17" s="60">
        <v>2020.0</v>
      </c>
      <c r="M17" s="60" t="s">
        <v>127</v>
      </c>
      <c r="N17" s="83">
        <v>5.014</v>
      </c>
      <c r="O17" s="61">
        <v>1500.0</v>
      </c>
      <c r="P17" s="62">
        <v>187.5</v>
      </c>
      <c r="Q17" s="62" t="s">
        <v>173</v>
      </c>
      <c r="R17" s="1"/>
      <c r="S17" s="1"/>
      <c r="T17" s="1"/>
    </row>
    <row r="18" ht="344.25" customHeight="1">
      <c r="A18" s="77" t="s">
        <v>174</v>
      </c>
      <c r="B18" s="84" t="s">
        <v>175</v>
      </c>
      <c r="C18" s="53" t="s">
        <v>38</v>
      </c>
      <c r="D18" s="85" t="s">
        <v>176</v>
      </c>
      <c r="E18" s="53">
        <v>17.0</v>
      </c>
      <c r="F18" s="53">
        <v>20.0</v>
      </c>
      <c r="G18" s="53"/>
      <c r="H18" s="70" t="s">
        <v>133</v>
      </c>
      <c r="I18" s="70" t="s">
        <v>177</v>
      </c>
      <c r="J18" s="82" t="s">
        <v>135</v>
      </c>
      <c r="K18" s="65"/>
      <c r="L18" s="60">
        <v>2020.0</v>
      </c>
      <c r="M18" s="60" t="s">
        <v>127</v>
      </c>
      <c r="N18" s="86">
        <v>2.849</v>
      </c>
      <c r="O18" s="66">
        <v>1500.0</v>
      </c>
      <c r="P18" s="62">
        <v>375.0</v>
      </c>
      <c r="Q18" s="62" t="s">
        <v>173</v>
      </c>
      <c r="R18" s="1"/>
      <c r="S18" s="1"/>
      <c r="T18" s="1"/>
    </row>
    <row r="19">
      <c r="A19" s="54"/>
      <c r="B19" s="54"/>
      <c r="C19" s="53"/>
      <c r="D19" s="54"/>
      <c r="E19" s="55"/>
      <c r="F19" s="56"/>
      <c r="G19" s="53"/>
      <c r="H19" s="87"/>
      <c r="I19" s="68"/>
      <c r="J19" s="68"/>
      <c r="K19" s="59"/>
      <c r="L19" s="60"/>
      <c r="M19" s="60"/>
      <c r="N19" s="60"/>
      <c r="O19" s="61"/>
      <c r="P19" s="62"/>
      <c r="Q19" s="62"/>
      <c r="R19" s="1"/>
      <c r="S19" s="1"/>
      <c r="T19" s="1"/>
    </row>
    <row r="20">
      <c r="A20" s="54"/>
      <c r="B20" s="54"/>
      <c r="C20" s="53"/>
      <c r="D20" s="54"/>
      <c r="E20" s="55"/>
      <c r="F20" s="56"/>
      <c r="G20" s="53"/>
      <c r="H20" s="87"/>
      <c r="I20" s="68"/>
      <c r="J20" s="68"/>
      <c r="K20" s="59"/>
      <c r="L20" s="60"/>
      <c r="M20" s="60"/>
      <c r="N20" s="60"/>
      <c r="O20" s="61"/>
      <c r="P20" s="62"/>
      <c r="Q20" s="62"/>
      <c r="R20" s="1"/>
      <c r="S20" s="1"/>
      <c r="T20" s="1"/>
    </row>
    <row r="21" ht="15.75" customHeight="1">
      <c r="A21" s="54"/>
      <c r="B21" s="54"/>
      <c r="C21" s="53"/>
      <c r="D21" s="54"/>
      <c r="E21" s="55"/>
      <c r="F21" s="56"/>
      <c r="G21" s="53"/>
      <c r="H21" s="87"/>
      <c r="I21" s="68"/>
      <c r="J21" s="68"/>
      <c r="K21" s="59"/>
      <c r="L21" s="60"/>
      <c r="M21" s="60"/>
      <c r="N21" s="60"/>
      <c r="O21" s="61"/>
      <c r="P21" s="62"/>
      <c r="Q21" s="62"/>
      <c r="R21" s="1"/>
      <c r="S21" s="1"/>
      <c r="T21" s="1"/>
    </row>
    <row r="22" ht="15.75" customHeight="1">
      <c r="A22" s="54"/>
      <c r="B22" s="54"/>
      <c r="C22" s="53"/>
      <c r="D22" s="54"/>
      <c r="E22" s="55"/>
      <c r="F22" s="56"/>
      <c r="G22" s="53"/>
      <c r="H22" s="87"/>
      <c r="I22" s="68"/>
      <c r="J22" s="68"/>
      <c r="K22" s="59"/>
      <c r="L22" s="60"/>
      <c r="M22" s="60"/>
      <c r="N22" s="60"/>
      <c r="O22" s="61"/>
      <c r="P22" s="62"/>
      <c r="Q22" s="62"/>
      <c r="R22" s="1"/>
      <c r="S22" s="1"/>
      <c r="T22" s="1"/>
    </row>
    <row r="23" ht="15.75" customHeight="1">
      <c r="A23" s="54"/>
      <c r="B23" s="54"/>
      <c r="C23" s="53"/>
      <c r="D23" s="54"/>
      <c r="E23" s="55"/>
      <c r="F23" s="56"/>
      <c r="G23" s="53"/>
      <c r="H23" s="87"/>
      <c r="I23" s="68"/>
      <c r="J23" s="68"/>
      <c r="K23" s="59"/>
      <c r="L23" s="60"/>
      <c r="M23" s="60"/>
      <c r="N23" s="60"/>
      <c r="O23" s="61"/>
      <c r="P23" s="62"/>
      <c r="Q23" s="62"/>
      <c r="R23" s="1"/>
      <c r="S23" s="1"/>
      <c r="T23" s="1"/>
    </row>
    <row r="24" ht="15.75" customHeight="1">
      <c r="A24" s="54"/>
      <c r="B24" s="54"/>
      <c r="C24" s="53"/>
      <c r="D24" s="54"/>
      <c r="E24" s="55"/>
      <c r="F24" s="56"/>
      <c r="G24" s="53"/>
      <c r="H24" s="87"/>
      <c r="I24" s="68"/>
      <c r="J24" s="68"/>
      <c r="K24" s="59"/>
      <c r="L24" s="60"/>
      <c r="M24" s="60"/>
      <c r="N24" s="60"/>
      <c r="O24" s="61"/>
      <c r="P24" s="62"/>
      <c r="Q24" s="62"/>
      <c r="R24" s="1"/>
      <c r="S24" s="1"/>
      <c r="T24" s="1"/>
    </row>
    <row r="25" ht="15.75" customHeight="1">
      <c r="A25" s="54"/>
      <c r="B25" s="54"/>
      <c r="C25" s="53"/>
      <c r="D25" s="54"/>
      <c r="E25" s="55"/>
      <c r="F25" s="56"/>
      <c r="G25" s="53"/>
      <c r="H25" s="87"/>
      <c r="I25" s="68"/>
      <c r="J25" s="68"/>
      <c r="K25" s="59"/>
      <c r="L25" s="60"/>
      <c r="M25" s="60"/>
      <c r="N25" s="60"/>
      <c r="O25" s="61"/>
      <c r="P25" s="62"/>
      <c r="Q25" s="62"/>
      <c r="R25" s="1"/>
      <c r="S25" s="1"/>
      <c r="T25" s="1"/>
    </row>
    <row r="26" ht="15.75" customHeight="1">
      <c r="A26" s="54"/>
      <c r="B26" s="54"/>
      <c r="C26" s="53"/>
      <c r="D26" s="54"/>
      <c r="E26" s="55"/>
      <c r="F26" s="56"/>
      <c r="G26" s="53"/>
      <c r="H26" s="87"/>
      <c r="I26" s="68"/>
      <c r="J26" s="68"/>
      <c r="K26" s="59"/>
      <c r="L26" s="60"/>
      <c r="M26" s="60"/>
      <c r="N26" s="60"/>
      <c r="O26" s="61"/>
      <c r="P26" s="62"/>
      <c r="Q26" s="62"/>
      <c r="R26" s="1"/>
      <c r="S26" s="1"/>
      <c r="T26" s="1"/>
    </row>
    <row r="27" ht="15.75" customHeight="1">
      <c r="A27" s="54"/>
      <c r="B27" s="54"/>
      <c r="C27" s="53"/>
      <c r="D27" s="54"/>
      <c r="E27" s="55"/>
      <c r="F27" s="56"/>
      <c r="G27" s="53"/>
      <c r="H27" s="87"/>
      <c r="I27" s="68"/>
      <c r="J27" s="68"/>
      <c r="K27" s="59"/>
      <c r="L27" s="60"/>
      <c r="M27" s="60"/>
      <c r="N27" s="60"/>
      <c r="O27" s="61"/>
      <c r="P27" s="62"/>
      <c r="Q27" s="62"/>
      <c r="R27" s="1"/>
      <c r="S27" s="1"/>
      <c r="T27" s="1"/>
    </row>
    <row r="28" ht="15.75" customHeight="1">
      <c r="A28" s="54"/>
      <c r="B28" s="54"/>
      <c r="C28" s="53"/>
      <c r="D28" s="54"/>
      <c r="E28" s="55"/>
      <c r="F28" s="56"/>
      <c r="G28" s="53"/>
      <c r="H28" s="87"/>
      <c r="I28" s="68"/>
      <c r="J28" s="68"/>
      <c r="K28" s="59"/>
      <c r="L28" s="60"/>
      <c r="M28" s="60"/>
      <c r="N28" s="60"/>
      <c r="O28" s="61"/>
      <c r="P28" s="62"/>
      <c r="Q28" s="62"/>
      <c r="R28" s="1"/>
      <c r="S28" s="1"/>
      <c r="T28" s="1"/>
    </row>
    <row r="29" ht="15.75" customHeight="1">
      <c r="A29" s="54"/>
      <c r="B29" s="54"/>
      <c r="C29" s="53"/>
      <c r="D29" s="54"/>
      <c r="E29" s="55"/>
      <c r="F29" s="56"/>
      <c r="G29" s="53"/>
      <c r="H29" s="87"/>
      <c r="I29" s="68"/>
      <c r="J29" s="68"/>
      <c r="K29" s="59"/>
      <c r="L29" s="60"/>
      <c r="M29" s="60"/>
      <c r="N29" s="60"/>
      <c r="O29" s="61"/>
      <c r="P29" s="62"/>
      <c r="Q29" s="62"/>
      <c r="R29" s="1"/>
      <c r="S29" s="1"/>
      <c r="T29" s="1"/>
    </row>
    <row r="30" ht="15.75" customHeight="1">
      <c r="A30" s="54"/>
      <c r="B30" s="54"/>
      <c r="C30" s="53"/>
      <c r="D30" s="54"/>
      <c r="E30" s="55"/>
      <c r="F30" s="56"/>
      <c r="G30" s="53"/>
      <c r="H30" s="87"/>
      <c r="I30" s="68"/>
      <c r="J30" s="68"/>
      <c r="K30" s="59"/>
      <c r="L30" s="60"/>
      <c r="M30" s="60"/>
      <c r="N30" s="60"/>
      <c r="O30" s="61"/>
      <c r="P30" s="62"/>
      <c r="Q30" s="62"/>
      <c r="R30" s="1"/>
      <c r="S30" s="1"/>
      <c r="T30" s="1"/>
    </row>
    <row r="31" ht="15.75" customHeight="1">
      <c r="A31" s="54"/>
      <c r="B31" s="54"/>
      <c r="C31" s="53"/>
      <c r="D31" s="54"/>
      <c r="E31" s="55"/>
      <c r="F31" s="56"/>
      <c r="G31" s="53"/>
      <c r="H31" s="87"/>
      <c r="I31" s="68"/>
      <c r="J31" s="68"/>
      <c r="K31" s="59"/>
      <c r="L31" s="60"/>
      <c r="M31" s="60"/>
      <c r="N31" s="60"/>
      <c r="O31" s="61"/>
      <c r="P31" s="62"/>
      <c r="Q31" s="62"/>
      <c r="R31" s="1"/>
      <c r="S31" s="1"/>
      <c r="T31" s="1"/>
    </row>
    <row r="32" ht="15.75" customHeight="1">
      <c r="A32" s="54"/>
      <c r="B32" s="54"/>
      <c r="C32" s="53"/>
      <c r="D32" s="54"/>
      <c r="E32" s="55"/>
      <c r="F32" s="56"/>
      <c r="G32" s="53"/>
      <c r="H32" s="87"/>
      <c r="I32" s="68"/>
      <c r="J32" s="68"/>
      <c r="K32" s="59"/>
      <c r="L32" s="60"/>
      <c r="M32" s="60"/>
      <c r="N32" s="60"/>
      <c r="O32" s="61"/>
      <c r="P32" s="62"/>
      <c r="Q32" s="62"/>
      <c r="R32" s="1"/>
      <c r="S32" s="1"/>
      <c r="T32" s="1"/>
    </row>
    <row r="33" ht="15.75" customHeight="1">
      <c r="A33" s="54"/>
      <c r="B33" s="54"/>
      <c r="C33" s="53"/>
      <c r="D33" s="54"/>
      <c r="E33" s="55"/>
      <c r="F33" s="56"/>
      <c r="G33" s="53"/>
      <c r="H33" s="87"/>
      <c r="I33" s="68"/>
      <c r="J33" s="68"/>
      <c r="K33" s="59"/>
      <c r="L33" s="60"/>
      <c r="M33" s="60"/>
      <c r="N33" s="60"/>
      <c r="O33" s="61"/>
      <c r="P33" s="62"/>
      <c r="Q33" s="62"/>
      <c r="R33" s="1"/>
      <c r="S33" s="1"/>
      <c r="T33" s="1"/>
    </row>
    <row r="34" ht="15.75" customHeight="1">
      <c r="A34" s="54"/>
      <c r="B34" s="54"/>
      <c r="C34" s="53"/>
      <c r="D34" s="54"/>
      <c r="E34" s="55"/>
      <c r="F34" s="56"/>
      <c r="G34" s="53"/>
      <c r="H34" s="87"/>
      <c r="I34" s="68"/>
      <c r="J34" s="68"/>
      <c r="K34" s="59"/>
      <c r="L34" s="60"/>
      <c r="M34" s="60"/>
      <c r="N34" s="60"/>
      <c r="O34" s="61"/>
      <c r="P34" s="62"/>
      <c r="Q34" s="62"/>
      <c r="R34" s="1"/>
      <c r="S34" s="1"/>
      <c r="T34" s="1"/>
    </row>
    <row r="35" ht="15.75" customHeight="1">
      <c r="A35" s="54"/>
      <c r="B35" s="54"/>
      <c r="C35" s="53"/>
      <c r="D35" s="54"/>
      <c r="E35" s="55"/>
      <c r="F35" s="56"/>
      <c r="G35" s="53"/>
      <c r="H35" s="87"/>
      <c r="I35" s="68"/>
      <c r="J35" s="68"/>
      <c r="K35" s="59"/>
      <c r="L35" s="60"/>
      <c r="M35" s="60"/>
      <c r="N35" s="60"/>
      <c r="O35" s="61"/>
      <c r="P35" s="62"/>
      <c r="Q35" s="62"/>
      <c r="R35" s="1"/>
      <c r="S35" s="1"/>
      <c r="T35" s="1"/>
    </row>
    <row r="36" ht="15.75" customHeight="1">
      <c r="A36" s="54"/>
      <c r="B36" s="54"/>
      <c r="C36" s="53"/>
      <c r="D36" s="54"/>
      <c r="E36" s="55"/>
      <c r="F36" s="56"/>
      <c r="G36" s="53"/>
      <c r="H36" s="87"/>
      <c r="I36" s="68"/>
      <c r="J36" s="68"/>
      <c r="K36" s="59"/>
      <c r="L36" s="60"/>
      <c r="M36" s="60"/>
      <c r="N36" s="60"/>
      <c r="O36" s="61"/>
      <c r="P36" s="62"/>
      <c r="Q36" s="62"/>
      <c r="R36" s="1"/>
      <c r="S36" s="1"/>
      <c r="T36" s="1"/>
    </row>
    <row r="37" ht="15.75" customHeight="1">
      <c r="A37" s="54"/>
      <c r="B37" s="54"/>
      <c r="C37" s="53"/>
      <c r="D37" s="54"/>
      <c r="E37" s="55"/>
      <c r="F37" s="56"/>
      <c r="G37" s="53"/>
      <c r="H37" s="87"/>
      <c r="I37" s="68"/>
      <c r="J37" s="68"/>
      <c r="K37" s="59"/>
      <c r="L37" s="60"/>
      <c r="M37" s="60"/>
      <c r="N37" s="60"/>
      <c r="O37" s="61"/>
      <c r="P37" s="62"/>
      <c r="Q37" s="62"/>
      <c r="R37" s="1"/>
      <c r="S37" s="1"/>
      <c r="T37" s="1"/>
    </row>
    <row r="38" ht="15.75" customHeight="1">
      <c r="A38" s="54"/>
      <c r="B38" s="54"/>
      <c r="C38" s="53"/>
      <c r="D38" s="54"/>
      <c r="E38" s="55"/>
      <c r="F38" s="56"/>
      <c r="G38" s="53"/>
      <c r="H38" s="87"/>
      <c r="I38" s="68"/>
      <c r="J38" s="68"/>
      <c r="K38" s="59"/>
      <c r="L38" s="60"/>
      <c r="M38" s="60"/>
      <c r="N38" s="60"/>
      <c r="O38" s="61"/>
      <c r="P38" s="62"/>
      <c r="Q38" s="62"/>
      <c r="R38" s="1"/>
      <c r="S38" s="1"/>
      <c r="T38" s="1"/>
    </row>
    <row r="39" ht="15.75" customHeight="1">
      <c r="A39" s="54"/>
      <c r="B39" s="54"/>
      <c r="C39" s="53"/>
      <c r="D39" s="54"/>
      <c r="E39" s="55"/>
      <c r="F39" s="56"/>
      <c r="G39" s="53"/>
      <c r="H39" s="87"/>
      <c r="I39" s="68"/>
      <c r="J39" s="68"/>
      <c r="K39" s="59"/>
      <c r="L39" s="60"/>
      <c r="M39" s="60"/>
      <c r="N39" s="60"/>
      <c r="O39" s="61"/>
      <c r="P39" s="62"/>
      <c r="Q39" s="62"/>
      <c r="R39" s="1"/>
      <c r="S39" s="1"/>
      <c r="T39" s="1"/>
    </row>
    <row r="40" ht="15.75" customHeight="1">
      <c r="A40" s="54"/>
      <c r="B40" s="54"/>
      <c r="C40" s="53"/>
      <c r="D40" s="54"/>
      <c r="E40" s="55"/>
      <c r="F40" s="56"/>
      <c r="G40" s="53"/>
      <c r="H40" s="87"/>
      <c r="I40" s="68"/>
      <c r="J40" s="68"/>
      <c r="K40" s="59"/>
      <c r="L40" s="60"/>
      <c r="M40" s="60"/>
      <c r="N40" s="60"/>
      <c r="O40" s="61"/>
      <c r="P40" s="62"/>
      <c r="Q40" s="62"/>
      <c r="R40" s="1"/>
      <c r="S40" s="1"/>
      <c r="T40" s="1"/>
    </row>
    <row r="41" ht="15.75" customHeight="1">
      <c r="A41" s="54"/>
      <c r="B41" s="54"/>
      <c r="C41" s="53"/>
      <c r="D41" s="54"/>
      <c r="E41" s="55"/>
      <c r="F41" s="56"/>
      <c r="G41" s="53"/>
      <c r="H41" s="87"/>
      <c r="I41" s="68"/>
      <c r="J41" s="68"/>
      <c r="K41" s="59"/>
      <c r="L41" s="60"/>
      <c r="M41" s="60"/>
      <c r="N41" s="60"/>
      <c r="O41" s="61"/>
      <c r="P41" s="62"/>
      <c r="Q41" s="62"/>
      <c r="R41" s="1"/>
      <c r="S41" s="1"/>
      <c r="T41" s="1"/>
    </row>
    <row r="42" ht="15.75" customHeight="1">
      <c r="A42" s="54"/>
      <c r="B42" s="54"/>
      <c r="C42" s="53"/>
      <c r="D42" s="54"/>
      <c r="E42" s="55"/>
      <c r="F42" s="56"/>
      <c r="G42" s="53"/>
      <c r="H42" s="87"/>
      <c r="I42" s="68"/>
      <c r="J42" s="68"/>
      <c r="K42" s="59"/>
      <c r="L42" s="60"/>
      <c r="M42" s="60"/>
      <c r="N42" s="60"/>
      <c r="O42" s="61"/>
      <c r="P42" s="62"/>
      <c r="Q42" s="62"/>
      <c r="R42" s="1"/>
      <c r="S42" s="1"/>
      <c r="T42" s="1"/>
    </row>
    <row r="43" ht="15.75" customHeight="1">
      <c r="A43" s="54"/>
      <c r="B43" s="54"/>
      <c r="C43" s="53"/>
      <c r="D43" s="54"/>
      <c r="E43" s="55"/>
      <c r="F43" s="56"/>
      <c r="G43" s="53"/>
      <c r="H43" s="87"/>
      <c r="I43" s="68"/>
      <c r="J43" s="68"/>
      <c r="K43" s="59"/>
      <c r="L43" s="60"/>
      <c r="M43" s="60"/>
      <c r="N43" s="60"/>
      <c r="O43" s="61"/>
      <c r="P43" s="62"/>
      <c r="Q43" s="62"/>
      <c r="R43" s="1"/>
      <c r="S43" s="1"/>
      <c r="T43" s="1"/>
    </row>
    <row r="44" ht="15.75" customHeight="1">
      <c r="A44" s="54"/>
      <c r="B44" s="54"/>
      <c r="C44" s="53"/>
      <c r="D44" s="54"/>
      <c r="E44" s="55"/>
      <c r="F44" s="56"/>
      <c r="G44" s="53"/>
      <c r="H44" s="87"/>
      <c r="I44" s="68"/>
      <c r="J44" s="68"/>
      <c r="K44" s="59"/>
      <c r="L44" s="60"/>
      <c r="M44" s="60"/>
      <c r="N44" s="60"/>
      <c r="O44" s="61"/>
      <c r="P44" s="62"/>
      <c r="Q44" s="62"/>
      <c r="R44" s="1"/>
      <c r="S44" s="1"/>
      <c r="T44" s="1"/>
    </row>
    <row r="45" ht="15.75" customHeight="1">
      <c r="A45" s="54"/>
      <c r="B45" s="54"/>
      <c r="C45" s="53"/>
      <c r="D45" s="54"/>
      <c r="E45" s="55"/>
      <c r="F45" s="56"/>
      <c r="G45" s="53"/>
      <c r="H45" s="87"/>
      <c r="I45" s="68"/>
      <c r="J45" s="68"/>
      <c r="K45" s="59"/>
      <c r="L45" s="60"/>
      <c r="M45" s="60"/>
      <c r="N45" s="60"/>
      <c r="O45" s="61"/>
      <c r="P45" s="62"/>
      <c r="Q45" s="62"/>
      <c r="R45" s="1"/>
      <c r="S45" s="1"/>
      <c r="T45" s="1"/>
    </row>
    <row r="46" ht="15.75" customHeight="1">
      <c r="A46" s="54"/>
      <c r="B46" s="54"/>
      <c r="C46" s="53"/>
      <c r="D46" s="54"/>
      <c r="E46" s="55"/>
      <c r="F46" s="56"/>
      <c r="G46" s="53"/>
      <c r="H46" s="87"/>
      <c r="I46" s="68"/>
      <c r="J46" s="68"/>
      <c r="K46" s="59"/>
      <c r="L46" s="60"/>
      <c r="M46" s="60"/>
      <c r="N46" s="60"/>
      <c r="O46" s="61"/>
      <c r="P46" s="62"/>
      <c r="Q46" s="62"/>
      <c r="R46" s="1"/>
      <c r="S46" s="1"/>
      <c r="T46" s="1"/>
    </row>
    <row r="47" ht="15.75" customHeight="1">
      <c r="A47" s="54"/>
      <c r="B47" s="54"/>
      <c r="C47" s="53"/>
      <c r="D47" s="54"/>
      <c r="E47" s="55"/>
      <c r="F47" s="56"/>
      <c r="G47" s="53"/>
      <c r="H47" s="87"/>
      <c r="I47" s="68"/>
      <c r="J47" s="68"/>
      <c r="K47" s="59"/>
      <c r="L47" s="60"/>
      <c r="M47" s="60"/>
      <c r="N47" s="60"/>
      <c r="O47" s="61"/>
      <c r="P47" s="62"/>
      <c r="Q47" s="62"/>
      <c r="R47" s="1"/>
      <c r="S47" s="1"/>
      <c r="T47" s="1"/>
    </row>
    <row r="48" ht="15.75" customHeight="1">
      <c r="A48" s="54"/>
      <c r="B48" s="54"/>
      <c r="C48" s="53"/>
      <c r="D48" s="54"/>
      <c r="E48" s="55"/>
      <c r="F48" s="56"/>
      <c r="G48" s="53"/>
      <c r="H48" s="87"/>
      <c r="I48" s="68"/>
      <c r="J48" s="68"/>
      <c r="K48" s="59"/>
      <c r="L48" s="60"/>
      <c r="M48" s="60"/>
      <c r="N48" s="60"/>
      <c r="O48" s="61"/>
      <c r="P48" s="62"/>
      <c r="Q48" s="62"/>
      <c r="R48" s="1"/>
      <c r="S48" s="1"/>
      <c r="T48" s="1"/>
    </row>
    <row r="49" ht="15.75" customHeight="1">
      <c r="A49" s="54"/>
      <c r="B49" s="54"/>
      <c r="C49" s="53"/>
      <c r="D49" s="54"/>
      <c r="E49" s="55"/>
      <c r="F49" s="56"/>
      <c r="G49" s="53"/>
      <c r="H49" s="87"/>
      <c r="I49" s="68"/>
      <c r="J49" s="68"/>
      <c r="K49" s="59"/>
      <c r="L49" s="60"/>
      <c r="M49" s="60"/>
      <c r="N49" s="60"/>
      <c r="O49" s="61"/>
      <c r="P49" s="62"/>
      <c r="Q49" s="62"/>
      <c r="R49" s="1"/>
      <c r="S49" s="1"/>
      <c r="T49" s="1"/>
    </row>
    <row r="50" ht="15.75" customHeight="1">
      <c r="A50" s="54"/>
      <c r="B50" s="54"/>
      <c r="C50" s="53"/>
      <c r="D50" s="54"/>
      <c r="E50" s="55"/>
      <c r="F50" s="56"/>
      <c r="G50" s="53"/>
      <c r="H50" s="87"/>
      <c r="I50" s="68"/>
      <c r="J50" s="68"/>
      <c r="K50" s="59"/>
      <c r="L50" s="60"/>
      <c r="M50" s="60"/>
      <c r="N50" s="60"/>
      <c r="O50" s="61"/>
      <c r="P50" s="62"/>
      <c r="Q50" s="62"/>
      <c r="R50" s="1"/>
      <c r="S50" s="1"/>
      <c r="T50" s="1"/>
    </row>
    <row r="51" ht="15.75" customHeight="1">
      <c r="A51" s="54"/>
      <c r="B51" s="54"/>
      <c r="C51" s="53"/>
      <c r="D51" s="54"/>
      <c r="E51" s="55"/>
      <c r="F51" s="56"/>
      <c r="G51" s="53"/>
      <c r="H51" s="87"/>
      <c r="I51" s="68"/>
      <c r="J51" s="68"/>
      <c r="K51" s="59"/>
      <c r="L51" s="60"/>
      <c r="M51" s="60"/>
      <c r="N51" s="60"/>
      <c r="O51" s="61"/>
      <c r="P51" s="62"/>
      <c r="Q51" s="62"/>
      <c r="R51" s="1"/>
      <c r="S51" s="1"/>
      <c r="T51" s="1"/>
    </row>
    <row r="52" ht="15.75" customHeight="1">
      <c r="A52" s="54"/>
      <c r="B52" s="54"/>
      <c r="C52" s="53"/>
      <c r="D52" s="54"/>
      <c r="E52" s="55"/>
      <c r="F52" s="56"/>
      <c r="G52" s="53"/>
      <c r="H52" s="87"/>
      <c r="I52" s="68"/>
      <c r="J52" s="68"/>
      <c r="K52" s="59"/>
      <c r="L52" s="60"/>
      <c r="M52" s="60"/>
      <c r="N52" s="60"/>
      <c r="O52" s="61"/>
      <c r="P52" s="62"/>
      <c r="Q52" s="62"/>
      <c r="R52" s="1"/>
      <c r="S52" s="1"/>
      <c r="T52" s="1"/>
    </row>
    <row r="53" ht="15.75" customHeight="1">
      <c r="A53" s="54"/>
      <c r="B53" s="54"/>
      <c r="C53" s="53"/>
      <c r="D53" s="54"/>
      <c r="E53" s="55"/>
      <c r="F53" s="56"/>
      <c r="G53" s="53"/>
      <c r="H53" s="87"/>
      <c r="I53" s="68"/>
      <c r="J53" s="68"/>
      <c r="K53" s="59"/>
      <c r="L53" s="60"/>
      <c r="M53" s="60"/>
      <c r="N53" s="60"/>
      <c r="O53" s="61"/>
      <c r="P53" s="62"/>
      <c r="Q53" s="62"/>
      <c r="R53" s="1"/>
      <c r="S53" s="1"/>
      <c r="T53" s="1"/>
    </row>
    <row r="54" ht="15.75" customHeight="1">
      <c r="A54" s="54"/>
      <c r="B54" s="54"/>
      <c r="C54" s="53"/>
      <c r="D54" s="54"/>
      <c r="E54" s="53"/>
      <c r="F54" s="53"/>
      <c r="G54" s="53"/>
      <c r="H54" s="52"/>
      <c r="I54" s="54"/>
      <c r="J54" s="54"/>
      <c r="K54" s="65"/>
      <c r="L54" s="60"/>
      <c r="M54" s="60"/>
      <c r="N54" s="60"/>
      <c r="O54" s="66"/>
      <c r="P54" s="62"/>
      <c r="Q54" s="62"/>
      <c r="R54" s="1"/>
      <c r="S54" s="1"/>
      <c r="T54" s="1"/>
    </row>
    <row r="55" ht="15.75" customHeight="1">
      <c r="A55" s="54"/>
      <c r="B55" s="54"/>
      <c r="C55" s="53"/>
      <c r="D55" s="54"/>
      <c r="E55" s="53"/>
      <c r="F55" s="53"/>
      <c r="G55" s="53"/>
      <c r="H55" s="52"/>
      <c r="I55" s="54"/>
      <c r="J55" s="54"/>
      <c r="K55" s="65"/>
      <c r="L55" s="60"/>
      <c r="M55" s="60"/>
      <c r="N55" s="60"/>
      <c r="O55" s="66"/>
      <c r="P55" s="62"/>
      <c r="Q55" s="62"/>
      <c r="R55" s="1"/>
      <c r="S55" s="1"/>
      <c r="T55" s="1"/>
    </row>
    <row r="56" ht="15.75" customHeight="1">
      <c r="A56" s="54"/>
      <c r="B56" s="54"/>
      <c r="C56" s="53"/>
      <c r="D56" s="54"/>
      <c r="E56" s="53"/>
      <c r="F56" s="53"/>
      <c r="G56" s="53"/>
      <c r="H56" s="52"/>
      <c r="I56" s="54"/>
      <c r="J56" s="54"/>
      <c r="K56" s="65"/>
      <c r="L56" s="60"/>
      <c r="M56" s="60"/>
      <c r="N56" s="60"/>
      <c r="O56" s="66"/>
      <c r="P56" s="62"/>
      <c r="Q56" s="62"/>
      <c r="R56" s="1"/>
      <c r="S56" s="1"/>
      <c r="T56" s="1"/>
    </row>
    <row r="57" ht="15.75" customHeight="1">
      <c r="A57" s="52"/>
      <c r="B57" s="60"/>
      <c r="C57" s="60"/>
      <c r="D57" s="60"/>
      <c r="E57" s="60"/>
      <c r="F57" s="60"/>
      <c r="G57" s="60"/>
      <c r="H57" s="52"/>
      <c r="I57" s="52"/>
      <c r="J57" s="52"/>
      <c r="K57" s="74"/>
      <c r="L57" s="60"/>
      <c r="M57" s="60"/>
      <c r="N57" s="60"/>
      <c r="O57" s="61"/>
      <c r="P57" s="62"/>
      <c r="Q57" s="62"/>
      <c r="R57" s="1"/>
      <c r="S57" s="1"/>
      <c r="T57" s="1"/>
    </row>
    <row r="58" ht="15.75" customHeight="1">
      <c r="A58" s="52"/>
      <c r="B58" s="60"/>
      <c r="C58" s="60"/>
      <c r="D58" s="60"/>
      <c r="E58" s="60"/>
      <c r="F58" s="60"/>
      <c r="G58" s="60"/>
      <c r="H58" s="52"/>
      <c r="I58" s="52"/>
      <c r="J58" s="52"/>
      <c r="K58" s="74"/>
      <c r="L58" s="60"/>
      <c r="M58" s="60"/>
      <c r="N58" s="60"/>
      <c r="O58" s="66"/>
      <c r="P58" s="62"/>
      <c r="Q58" s="62"/>
      <c r="R58" s="1"/>
      <c r="S58" s="1"/>
      <c r="T58" s="1"/>
    </row>
    <row r="59" ht="15.75" customHeight="1">
      <c r="A59" s="52"/>
      <c r="B59" s="60"/>
      <c r="C59" s="60"/>
      <c r="D59" s="60"/>
      <c r="E59" s="60"/>
      <c r="F59" s="60"/>
      <c r="G59" s="60"/>
      <c r="H59" s="52"/>
      <c r="I59" s="52"/>
      <c r="J59" s="52"/>
      <c r="K59" s="74"/>
      <c r="L59" s="60"/>
      <c r="M59" s="60"/>
      <c r="N59" s="60"/>
      <c r="O59" s="66"/>
      <c r="P59" s="62"/>
      <c r="Q59" s="62"/>
      <c r="R59" s="1"/>
      <c r="S59" s="1"/>
      <c r="T59" s="1"/>
    </row>
    <row r="60" ht="15.75" customHeight="1">
      <c r="A60" s="52"/>
      <c r="B60" s="60"/>
      <c r="C60" s="60"/>
      <c r="D60" s="60"/>
      <c r="E60" s="60"/>
      <c r="F60" s="60"/>
      <c r="G60" s="60"/>
      <c r="H60" s="52"/>
      <c r="I60" s="52"/>
      <c r="J60" s="52"/>
      <c r="K60" s="74"/>
      <c r="L60" s="60"/>
      <c r="M60" s="60"/>
      <c r="N60" s="60"/>
      <c r="O60" s="66"/>
      <c r="P60" s="62"/>
      <c r="Q60" s="62"/>
      <c r="R60" s="1"/>
      <c r="S60" s="1"/>
      <c r="T60" s="1"/>
    </row>
    <row r="61" ht="15.75" customHeight="1">
      <c r="A61" s="88" t="s">
        <v>88</v>
      </c>
      <c r="B61" s="37"/>
      <c r="C61" s="37"/>
      <c r="D61" s="37"/>
      <c r="E61" s="37"/>
      <c r="F61" s="37"/>
      <c r="G61" s="1"/>
      <c r="H61" s="1"/>
      <c r="I61" s="1"/>
      <c r="J61" s="1"/>
      <c r="K61" s="1"/>
      <c r="L61" s="1"/>
      <c r="M61" s="1"/>
      <c r="N61" s="1"/>
      <c r="O61" s="41"/>
      <c r="P61" s="89">
        <f>SUM(P11:P60)</f>
        <v>3833.33</v>
      </c>
      <c r="Q61" s="1"/>
      <c r="R61" s="1"/>
      <c r="S61" s="1"/>
      <c r="T61" s="1"/>
    </row>
    <row r="62" ht="15.75" customHeight="1">
      <c r="A62" s="36"/>
      <c r="B62" s="37"/>
      <c r="C62" s="37"/>
      <c r="D62" s="37"/>
      <c r="E62" s="37"/>
      <c r="F62" s="37"/>
      <c r="G62" s="1"/>
      <c r="H62" s="1"/>
      <c r="I62" s="1"/>
      <c r="J62" s="1"/>
      <c r="K62" s="1"/>
      <c r="L62" s="1"/>
      <c r="M62" s="1"/>
      <c r="N62" s="1"/>
      <c r="O62" s="1"/>
      <c r="P62" s="1"/>
      <c r="Q62" s="1"/>
      <c r="R62" s="1"/>
      <c r="S62" s="1"/>
      <c r="T62" s="1"/>
    </row>
    <row r="63" ht="15.75" customHeight="1">
      <c r="A63" s="90" t="s">
        <v>178</v>
      </c>
      <c r="B63" s="91"/>
      <c r="C63" s="91"/>
      <c r="D63" s="91"/>
      <c r="E63" s="91"/>
      <c r="F63" s="91"/>
      <c r="G63" s="91"/>
      <c r="H63" s="91"/>
      <c r="I63" s="91"/>
      <c r="J63" s="91"/>
      <c r="K63" s="91"/>
      <c r="L63" s="91"/>
      <c r="M63" s="91"/>
      <c r="N63" s="91"/>
      <c r="O63" s="91"/>
      <c r="P63" s="92"/>
      <c r="Q63" s="1"/>
      <c r="R63" s="1"/>
      <c r="S63" s="1"/>
      <c r="T63" s="1"/>
    </row>
    <row r="64" ht="15.75" customHeight="1">
      <c r="A64" s="36"/>
      <c r="B64" s="37"/>
      <c r="C64" s="37"/>
      <c r="D64" s="37"/>
      <c r="E64" s="37"/>
      <c r="F64" s="37"/>
      <c r="G64" s="1"/>
      <c r="H64" s="1"/>
      <c r="I64" s="1"/>
      <c r="J64" s="1"/>
      <c r="K64" s="1"/>
      <c r="L64" s="1"/>
      <c r="M64" s="1"/>
      <c r="N64" s="1"/>
      <c r="O64" s="1"/>
      <c r="P64" s="1"/>
      <c r="Q64" s="1"/>
      <c r="R64" s="1"/>
      <c r="S64" s="1"/>
      <c r="T64" s="1"/>
    </row>
    <row r="65" ht="15.75" customHeight="1">
      <c r="A65" s="36"/>
      <c r="B65" s="37"/>
      <c r="C65" s="37"/>
      <c r="D65" s="37"/>
      <c r="E65" s="37"/>
      <c r="F65" s="37"/>
      <c r="G65" s="1"/>
      <c r="H65" s="1"/>
      <c r="I65" s="1"/>
      <c r="J65" s="1"/>
      <c r="K65" s="1"/>
      <c r="L65" s="1"/>
      <c r="M65" s="1"/>
      <c r="N65" s="1"/>
      <c r="O65" s="1"/>
      <c r="P65" s="1"/>
      <c r="Q65" s="1"/>
      <c r="R65" s="1"/>
      <c r="S65" s="1"/>
      <c r="T65" s="1"/>
    </row>
    <row r="66" ht="15.75" customHeight="1">
      <c r="A66" s="36"/>
      <c r="B66" s="37"/>
      <c r="C66" s="37"/>
      <c r="D66" s="37"/>
      <c r="E66" s="37"/>
      <c r="F66" s="37"/>
      <c r="G66" s="1"/>
      <c r="H66" s="1"/>
      <c r="I66" s="1"/>
      <c r="J66" s="1"/>
      <c r="K66" s="1"/>
      <c r="L66" s="1"/>
      <c r="M66" s="1"/>
      <c r="N66" s="1"/>
      <c r="O66" s="1"/>
      <c r="P66" s="1"/>
      <c r="Q66" s="1"/>
      <c r="R66" s="1"/>
      <c r="S66" s="1"/>
      <c r="T66" s="1"/>
    </row>
    <row r="67" ht="15.75" customHeight="1">
      <c r="A67" s="36"/>
      <c r="B67" s="37"/>
      <c r="C67" s="37"/>
      <c r="D67" s="37"/>
      <c r="E67" s="37"/>
      <c r="F67" s="37"/>
      <c r="G67" s="1"/>
      <c r="H67" s="1"/>
      <c r="I67" s="1"/>
      <c r="J67" s="1"/>
      <c r="K67" s="1"/>
      <c r="L67" s="1"/>
      <c r="M67" s="1"/>
      <c r="N67" s="1"/>
      <c r="O67" s="1"/>
      <c r="P67" s="1"/>
      <c r="Q67" s="1"/>
      <c r="R67" s="1"/>
      <c r="S67" s="1"/>
      <c r="T67" s="1"/>
    </row>
    <row r="68" ht="15.75" customHeight="1">
      <c r="A68" s="36"/>
      <c r="B68" s="37"/>
      <c r="C68" s="37"/>
      <c r="D68" s="37"/>
      <c r="E68" s="37"/>
      <c r="F68" s="37"/>
      <c r="G68" s="1"/>
      <c r="H68" s="1"/>
      <c r="I68" s="1"/>
      <c r="J68" s="1"/>
      <c r="K68" s="1"/>
      <c r="L68" s="1"/>
      <c r="M68" s="1"/>
      <c r="N68" s="1"/>
      <c r="O68" s="1"/>
      <c r="P68" s="1"/>
      <c r="Q68" s="1"/>
      <c r="R68" s="1"/>
      <c r="S68" s="1"/>
      <c r="T68" s="1"/>
    </row>
    <row r="69" ht="15.75" customHeight="1">
      <c r="A69" s="36"/>
      <c r="B69" s="37"/>
      <c r="C69" s="37"/>
      <c r="D69" s="37"/>
      <c r="E69" s="37"/>
      <c r="F69" s="37"/>
      <c r="G69" s="1"/>
      <c r="H69" s="1"/>
      <c r="I69" s="1"/>
      <c r="J69" s="1"/>
      <c r="K69" s="1"/>
      <c r="L69" s="1"/>
      <c r="M69" s="1"/>
      <c r="N69" s="1"/>
      <c r="O69" s="1"/>
      <c r="P69" s="1"/>
      <c r="Q69" s="1"/>
      <c r="R69" s="1"/>
      <c r="S69" s="1"/>
      <c r="T69" s="1"/>
    </row>
    <row r="70" ht="15.75" customHeight="1">
      <c r="A70" s="36"/>
      <c r="B70" s="37"/>
      <c r="C70" s="37"/>
      <c r="D70" s="37"/>
      <c r="E70" s="37"/>
      <c r="F70" s="37"/>
      <c r="G70" s="1"/>
      <c r="H70" s="1"/>
      <c r="I70" s="1"/>
      <c r="J70" s="1"/>
      <c r="K70" s="1"/>
      <c r="L70" s="1"/>
      <c r="M70" s="1"/>
      <c r="N70" s="1"/>
      <c r="O70" s="1"/>
      <c r="P70" s="1"/>
      <c r="Q70" s="1"/>
      <c r="R70" s="1"/>
      <c r="S70" s="1"/>
      <c r="T70" s="1"/>
    </row>
    <row r="71" ht="15.75" customHeight="1">
      <c r="A71" s="36"/>
      <c r="B71" s="37"/>
      <c r="C71" s="37"/>
      <c r="D71" s="37"/>
      <c r="E71" s="37"/>
      <c r="F71" s="37"/>
      <c r="G71" s="1"/>
      <c r="H71" s="1"/>
      <c r="I71" s="1"/>
      <c r="J71" s="1"/>
      <c r="K71" s="1"/>
      <c r="L71" s="1"/>
      <c r="M71" s="1"/>
      <c r="N71" s="1"/>
      <c r="O71" s="1"/>
      <c r="P71" s="1"/>
      <c r="Q71" s="1"/>
      <c r="R71" s="1"/>
      <c r="S71" s="1"/>
      <c r="T71" s="1"/>
    </row>
    <row r="72" ht="15.75" customHeight="1">
      <c r="A72" s="36"/>
      <c r="B72" s="37"/>
      <c r="C72" s="37"/>
      <c r="D72" s="37"/>
      <c r="E72" s="37"/>
      <c r="F72" s="37"/>
      <c r="G72" s="1"/>
      <c r="H72" s="1"/>
      <c r="I72" s="1"/>
      <c r="J72" s="1"/>
      <c r="K72" s="1"/>
      <c r="L72" s="1"/>
      <c r="M72" s="1"/>
      <c r="N72" s="1"/>
      <c r="O72" s="1"/>
      <c r="P72" s="1"/>
      <c r="Q72" s="1"/>
      <c r="R72" s="1"/>
      <c r="S72" s="1"/>
      <c r="T72" s="1"/>
    </row>
    <row r="73" ht="15.75" customHeight="1">
      <c r="A73" s="36"/>
      <c r="B73" s="37"/>
      <c r="C73" s="37"/>
      <c r="D73" s="37"/>
      <c r="E73" s="37"/>
      <c r="F73" s="37"/>
      <c r="G73" s="1"/>
      <c r="H73" s="1"/>
      <c r="I73" s="1"/>
      <c r="J73" s="1"/>
      <c r="K73" s="1"/>
      <c r="L73" s="1"/>
      <c r="M73" s="1"/>
      <c r="N73" s="1"/>
      <c r="O73" s="1"/>
      <c r="P73" s="1"/>
      <c r="Q73" s="1"/>
      <c r="R73" s="1"/>
      <c r="S73" s="1"/>
      <c r="T73" s="1"/>
    </row>
    <row r="74" ht="15.75" customHeight="1">
      <c r="A74" s="36"/>
      <c r="B74" s="37"/>
      <c r="C74" s="37"/>
      <c r="D74" s="37"/>
      <c r="E74" s="37"/>
      <c r="F74" s="37"/>
      <c r="G74" s="1"/>
      <c r="H74" s="1"/>
      <c r="I74" s="1"/>
      <c r="J74" s="1"/>
      <c r="K74" s="1"/>
      <c r="L74" s="1"/>
      <c r="M74" s="1"/>
      <c r="N74" s="1"/>
      <c r="O74" s="1"/>
      <c r="P74" s="1"/>
      <c r="Q74" s="1"/>
      <c r="R74" s="1"/>
      <c r="S74" s="1"/>
      <c r="T74" s="1"/>
    </row>
    <row r="75" ht="15.75" customHeight="1">
      <c r="A75" s="36"/>
      <c r="B75" s="37"/>
      <c r="C75" s="37"/>
      <c r="D75" s="37"/>
      <c r="E75" s="37"/>
      <c r="F75" s="37"/>
      <c r="G75" s="1"/>
      <c r="H75" s="1"/>
      <c r="I75" s="1"/>
      <c r="J75" s="1"/>
      <c r="K75" s="1"/>
      <c r="L75" s="1"/>
      <c r="M75" s="1"/>
      <c r="N75" s="1"/>
      <c r="O75" s="1"/>
      <c r="P75" s="1"/>
      <c r="Q75" s="1"/>
      <c r="R75" s="1"/>
      <c r="S75" s="1"/>
      <c r="T75" s="1"/>
    </row>
    <row r="76" ht="15.75" customHeight="1">
      <c r="A76" s="36"/>
      <c r="B76" s="37"/>
      <c r="C76" s="37"/>
      <c r="D76" s="37"/>
      <c r="E76" s="37"/>
      <c r="F76" s="37"/>
      <c r="G76" s="1"/>
      <c r="H76" s="1"/>
      <c r="I76" s="1"/>
      <c r="J76" s="1"/>
      <c r="K76" s="1"/>
      <c r="L76" s="1"/>
      <c r="M76" s="1"/>
      <c r="N76" s="1"/>
      <c r="O76" s="1"/>
      <c r="P76" s="1"/>
      <c r="Q76" s="1"/>
      <c r="R76" s="1"/>
      <c r="S76" s="1"/>
      <c r="T76" s="1"/>
    </row>
    <row r="77" ht="15.75" customHeight="1">
      <c r="A77" s="36"/>
      <c r="B77" s="37"/>
      <c r="C77" s="37"/>
      <c r="D77" s="37"/>
      <c r="E77" s="37"/>
      <c r="F77" s="37"/>
      <c r="G77" s="1"/>
      <c r="H77" s="1"/>
      <c r="I77" s="1"/>
      <c r="J77" s="1"/>
      <c r="K77" s="1"/>
      <c r="L77" s="1"/>
      <c r="M77" s="1"/>
      <c r="N77" s="1"/>
      <c r="O77" s="1"/>
      <c r="P77" s="1"/>
      <c r="Q77" s="1"/>
      <c r="R77" s="1"/>
      <c r="S77" s="1"/>
      <c r="T77" s="1"/>
    </row>
    <row r="78" ht="15.75" customHeight="1">
      <c r="A78" s="36"/>
      <c r="B78" s="37"/>
      <c r="C78" s="37"/>
      <c r="D78" s="37"/>
      <c r="E78" s="37"/>
      <c r="F78" s="37"/>
      <c r="G78" s="1"/>
      <c r="H78" s="1"/>
      <c r="I78" s="1"/>
      <c r="J78" s="1"/>
      <c r="K78" s="1"/>
      <c r="L78" s="1"/>
      <c r="M78" s="1"/>
      <c r="N78" s="1"/>
      <c r="O78" s="1"/>
      <c r="P78" s="1"/>
      <c r="Q78" s="1"/>
      <c r="R78" s="1"/>
      <c r="S78" s="1"/>
      <c r="T78" s="1"/>
    </row>
    <row r="79" ht="15.75" customHeight="1">
      <c r="A79" s="36"/>
      <c r="B79" s="37"/>
      <c r="C79" s="37"/>
      <c r="D79" s="37"/>
      <c r="E79" s="37"/>
      <c r="F79" s="37"/>
      <c r="G79" s="1"/>
      <c r="H79" s="1"/>
      <c r="I79" s="1"/>
      <c r="J79" s="1"/>
      <c r="K79" s="1"/>
      <c r="L79" s="1"/>
      <c r="M79" s="1"/>
      <c r="N79" s="1"/>
      <c r="O79" s="1"/>
      <c r="P79" s="1"/>
      <c r="Q79" s="1"/>
      <c r="R79" s="1"/>
      <c r="S79" s="1"/>
      <c r="T79" s="1"/>
    </row>
    <row r="80" ht="15.75" customHeight="1">
      <c r="A80" s="36"/>
      <c r="B80" s="37"/>
      <c r="C80" s="37"/>
      <c r="D80" s="37"/>
      <c r="E80" s="37"/>
      <c r="F80" s="37"/>
      <c r="G80" s="1"/>
      <c r="H80" s="1"/>
      <c r="I80" s="1"/>
      <c r="J80" s="1"/>
      <c r="K80" s="1"/>
      <c r="L80" s="1"/>
      <c r="M80" s="1"/>
      <c r="N80" s="1"/>
      <c r="O80" s="1"/>
      <c r="P80" s="1"/>
      <c r="Q80" s="1"/>
      <c r="R80" s="1"/>
      <c r="S80" s="1"/>
      <c r="T80" s="1"/>
    </row>
    <row r="81" ht="15.75" customHeight="1">
      <c r="A81" s="36"/>
      <c r="B81" s="37"/>
      <c r="C81" s="37"/>
      <c r="D81" s="37"/>
      <c r="E81" s="37"/>
      <c r="F81" s="37"/>
      <c r="G81" s="1"/>
      <c r="H81" s="1"/>
      <c r="I81" s="1"/>
      <c r="J81" s="1"/>
      <c r="K81" s="1"/>
      <c r="L81" s="1"/>
      <c r="M81" s="1"/>
      <c r="N81" s="1"/>
      <c r="O81" s="1"/>
      <c r="P81" s="1"/>
      <c r="Q81" s="1"/>
      <c r="R81" s="1"/>
      <c r="S81" s="1"/>
      <c r="T81" s="1"/>
    </row>
    <row r="82" ht="15.75" customHeight="1">
      <c r="A82" s="36"/>
      <c r="B82" s="37"/>
      <c r="C82" s="37"/>
      <c r="D82" s="37"/>
      <c r="E82" s="37"/>
      <c r="F82" s="37"/>
      <c r="G82" s="1"/>
      <c r="H82" s="1"/>
      <c r="I82" s="1"/>
      <c r="J82" s="1"/>
      <c r="K82" s="1"/>
      <c r="L82" s="1"/>
      <c r="M82" s="1"/>
      <c r="N82" s="1"/>
      <c r="O82" s="1"/>
      <c r="P82" s="1"/>
      <c r="Q82" s="1"/>
      <c r="R82" s="1"/>
      <c r="S82" s="1"/>
      <c r="T82" s="1"/>
    </row>
    <row r="83" ht="15.75" customHeight="1">
      <c r="A83" s="36"/>
      <c r="B83" s="37"/>
      <c r="C83" s="37"/>
      <c r="D83" s="37"/>
      <c r="E83" s="37"/>
      <c r="F83" s="37"/>
      <c r="G83" s="1"/>
      <c r="H83" s="1"/>
      <c r="I83" s="1"/>
      <c r="J83" s="1"/>
      <c r="K83" s="1"/>
      <c r="L83" s="1"/>
      <c r="M83" s="1"/>
      <c r="N83" s="1"/>
      <c r="O83" s="1"/>
      <c r="P83" s="1"/>
      <c r="Q83" s="1"/>
      <c r="R83" s="1"/>
      <c r="S83" s="1"/>
      <c r="T83" s="1"/>
    </row>
    <row r="84" ht="15.75" customHeight="1">
      <c r="A84" s="36"/>
      <c r="B84" s="37"/>
      <c r="C84" s="37"/>
      <c r="D84" s="37"/>
      <c r="E84" s="37"/>
      <c r="F84" s="37"/>
      <c r="G84" s="1"/>
      <c r="H84" s="1"/>
      <c r="I84" s="1"/>
      <c r="J84" s="1"/>
      <c r="K84" s="1"/>
      <c r="L84" s="1"/>
      <c r="M84" s="1"/>
      <c r="N84" s="1"/>
      <c r="O84" s="1"/>
      <c r="P84" s="1"/>
      <c r="Q84" s="1"/>
      <c r="R84" s="1"/>
      <c r="S84" s="1"/>
      <c r="T84" s="1"/>
    </row>
    <row r="85" ht="15.75" customHeight="1">
      <c r="A85" s="36"/>
      <c r="B85" s="37"/>
      <c r="C85" s="37"/>
      <c r="D85" s="37"/>
      <c r="E85" s="37"/>
      <c r="F85" s="37"/>
      <c r="G85" s="1"/>
      <c r="H85" s="1"/>
      <c r="I85" s="1"/>
      <c r="J85" s="1"/>
      <c r="K85" s="1"/>
      <c r="L85" s="1"/>
      <c r="M85" s="1"/>
      <c r="N85" s="1"/>
      <c r="O85" s="1"/>
      <c r="P85" s="1"/>
      <c r="Q85" s="1"/>
      <c r="R85" s="1"/>
      <c r="S85" s="1"/>
      <c r="T85" s="1"/>
    </row>
    <row r="86" ht="15.75" customHeight="1">
      <c r="A86" s="36"/>
      <c r="B86" s="37"/>
      <c r="C86" s="37"/>
      <c r="D86" s="37"/>
      <c r="E86" s="37"/>
      <c r="F86" s="37"/>
      <c r="G86" s="1"/>
      <c r="H86" s="1"/>
      <c r="I86" s="1"/>
      <c r="J86" s="1"/>
      <c r="K86" s="1"/>
      <c r="L86" s="1"/>
      <c r="M86" s="1"/>
      <c r="N86" s="1"/>
      <c r="O86" s="1"/>
      <c r="P86" s="1"/>
      <c r="Q86" s="1"/>
      <c r="R86" s="1"/>
      <c r="S86" s="1"/>
      <c r="T86" s="1"/>
    </row>
    <row r="87" ht="15.75" customHeight="1">
      <c r="A87" s="36"/>
      <c r="B87" s="37"/>
      <c r="C87" s="37"/>
      <c r="D87" s="37"/>
      <c r="E87" s="37"/>
      <c r="F87" s="37"/>
      <c r="G87" s="1"/>
      <c r="H87" s="1"/>
      <c r="I87" s="1"/>
      <c r="J87" s="1"/>
      <c r="K87" s="1"/>
      <c r="L87" s="1"/>
      <c r="M87" s="1"/>
      <c r="N87" s="1"/>
      <c r="O87" s="1"/>
      <c r="P87" s="1"/>
      <c r="Q87" s="1"/>
      <c r="R87" s="1"/>
      <c r="S87" s="1"/>
      <c r="T87" s="1"/>
    </row>
    <row r="88" ht="15.75" customHeight="1">
      <c r="A88" s="36"/>
      <c r="B88" s="37"/>
      <c r="C88" s="37"/>
      <c r="D88" s="37"/>
      <c r="E88" s="37"/>
      <c r="F88" s="37"/>
      <c r="G88" s="1"/>
      <c r="H88" s="1"/>
      <c r="I88" s="1"/>
      <c r="J88" s="1"/>
      <c r="K88" s="1"/>
      <c r="L88" s="1"/>
      <c r="M88" s="1"/>
      <c r="N88" s="1"/>
      <c r="O88" s="1"/>
      <c r="P88" s="1"/>
      <c r="Q88" s="1"/>
      <c r="R88" s="1"/>
      <c r="S88" s="1"/>
      <c r="T88" s="1"/>
    </row>
    <row r="89" ht="15.75" customHeight="1">
      <c r="A89" s="36"/>
      <c r="B89" s="37"/>
      <c r="C89" s="37"/>
      <c r="D89" s="37"/>
      <c r="E89" s="37"/>
      <c r="F89" s="37"/>
      <c r="G89" s="1"/>
      <c r="H89" s="1"/>
      <c r="I89" s="1"/>
      <c r="J89" s="1"/>
      <c r="K89" s="1"/>
      <c r="L89" s="1"/>
      <c r="M89" s="1"/>
      <c r="N89" s="1"/>
      <c r="O89" s="1"/>
      <c r="P89" s="1"/>
      <c r="Q89" s="1"/>
      <c r="R89" s="1"/>
      <c r="S89" s="1"/>
      <c r="T89" s="1"/>
    </row>
    <row r="90" ht="15.75" customHeight="1">
      <c r="A90" s="36"/>
      <c r="B90" s="37"/>
      <c r="C90" s="37"/>
      <c r="D90" s="37"/>
      <c r="E90" s="37"/>
      <c r="F90" s="37"/>
      <c r="G90" s="1"/>
      <c r="H90" s="1"/>
      <c r="I90" s="1"/>
      <c r="J90" s="1"/>
      <c r="K90" s="1"/>
      <c r="L90" s="1"/>
      <c r="M90" s="1"/>
      <c r="N90" s="1"/>
      <c r="O90" s="1"/>
      <c r="P90" s="1"/>
      <c r="Q90" s="1"/>
      <c r="R90" s="1"/>
      <c r="S90" s="1"/>
      <c r="T90" s="1"/>
    </row>
    <row r="91" ht="15.75" customHeight="1">
      <c r="A91" s="36"/>
      <c r="B91" s="37"/>
      <c r="C91" s="37"/>
      <c r="D91" s="37"/>
      <c r="E91" s="37"/>
      <c r="F91" s="37"/>
      <c r="G91" s="1"/>
      <c r="H91" s="1"/>
      <c r="I91" s="1"/>
      <c r="J91" s="1"/>
      <c r="K91" s="1"/>
      <c r="L91" s="1"/>
      <c r="M91" s="1"/>
      <c r="N91" s="1"/>
      <c r="O91" s="1"/>
      <c r="P91" s="1"/>
      <c r="Q91" s="1"/>
      <c r="R91" s="1"/>
      <c r="S91" s="1"/>
      <c r="T91" s="1"/>
    </row>
    <row r="92" ht="15.75" customHeight="1">
      <c r="A92" s="36"/>
      <c r="B92" s="37"/>
      <c r="C92" s="37"/>
      <c r="D92" s="37"/>
      <c r="E92" s="37"/>
      <c r="F92" s="37"/>
      <c r="G92" s="1"/>
      <c r="H92" s="1"/>
      <c r="I92" s="1"/>
      <c r="J92" s="1"/>
      <c r="K92" s="1"/>
      <c r="L92" s="1"/>
      <c r="M92" s="1"/>
      <c r="N92" s="1"/>
      <c r="O92" s="1"/>
      <c r="P92" s="1"/>
      <c r="Q92" s="1"/>
      <c r="R92" s="1"/>
      <c r="S92" s="1"/>
      <c r="T92" s="1"/>
    </row>
    <row r="93" ht="15.75" customHeight="1">
      <c r="A93" s="36"/>
      <c r="B93" s="37"/>
      <c r="C93" s="37"/>
      <c r="D93" s="37"/>
      <c r="E93" s="37"/>
      <c r="F93" s="37"/>
      <c r="G93" s="1"/>
      <c r="H93" s="1"/>
      <c r="I93" s="1"/>
      <c r="J93" s="1"/>
      <c r="K93" s="1"/>
      <c r="L93" s="1"/>
      <c r="M93" s="1"/>
      <c r="N93" s="1"/>
      <c r="O93" s="1"/>
      <c r="P93" s="1"/>
      <c r="Q93" s="1"/>
      <c r="R93" s="1"/>
      <c r="S93" s="1"/>
      <c r="T93" s="1"/>
    </row>
    <row r="94" ht="15.75" customHeight="1">
      <c r="A94" s="36"/>
      <c r="B94" s="37"/>
      <c r="C94" s="37"/>
      <c r="D94" s="37"/>
      <c r="E94" s="37"/>
      <c r="F94" s="37"/>
      <c r="G94" s="1"/>
      <c r="H94" s="1"/>
      <c r="I94" s="1"/>
      <c r="J94" s="1"/>
      <c r="K94" s="1"/>
      <c r="L94" s="1"/>
      <c r="M94" s="1"/>
      <c r="N94" s="1"/>
      <c r="O94" s="1"/>
      <c r="P94" s="1"/>
      <c r="Q94" s="1"/>
      <c r="R94" s="1"/>
      <c r="S94" s="1"/>
      <c r="T94" s="1"/>
    </row>
    <row r="95" ht="15.75" customHeight="1">
      <c r="A95" s="36"/>
      <c r="B95" s="37"/>
      <c r="C95" s="37"/>
      <c r="D95" s="37"/>
      <c r="E95" s="37"/>
      <c r="F95" s="37"/>
      <c r="G95" s="1"/>
      <c r="H95" s="1"/>
      <c r="I95" s="1"/>
      <c r="J95" s="1"/>
      <c r="K95" s="1"/>
      <c r="L95" s="1"/>
      <c r="M95" s="1"/>
      <c r="N95" s="1"/>
      <c r="O95" s="1"/>
      <c r="P95" s="1"/>
      <c r="Q95" s="1"/>
      <c r="R95" s="1"/>
      <c r="S95" s="1"/>
      <c r="T95" s="1"/>
    </row>
    <row r="96" ht="15.75" customHeight="1">
      <c r="A96" s="36"/>
      <c r="B96" s="37"/>
      <c r="C96" s="37"/>
      <c r="D96" s="37"/>
      <c r="E96" s="37"/>
      <c r="F96" s="37"/>
      <c r="G96" s="1"/>
      <c r="H96" s="1"/>
      <c r="I96" s="1"/>
      <c r="J96" s="1"/>
      <c r="K96" s="1"/>
      <c r="L96" s="1"/>
      <c r="M96" s="1"/>
      <c r="N96" s="1"/>
      <c r="O96" s="1"/>
      <c r="P96" s="1"/>
      <c r="Q96" s="1"/>
      <c r="R96" s="1"/>
      <c r="S96" s="1"/>
      <c r="T96" s="1"/>
    </row>
    <row r="97" ht="15.75" customHeight="1">
      <c r="A97" s="36"/>
      <c r="B97" s="37"/>
      <c r="C97" s="37"/>
      <c r="D97" s="37"/>
      <c r="E97" s="37"/>
      <c r="F97" s="37"/>
      <c r="G97" s="1"/>
      <c r="H97" s="1"/>
      <c r="I97" s="1"/>
      <c r="J97" s="1"/>
      <c r="K97" s="1"/>
      <c r="L97" s="1"/>
      <c r="M97" s="1"/>
      <c r="N97" s="1"/>
      <c r="O97" s="1"/>
      <c r="P97" s="1"/>
      <c r="Q97" s="1"/>
      <c r="R97" s="1"/>
      <c r="S97" s="1"/>
      <c r="T97" s="1"/>
    </row>
    <row r="98" ht="15.75" customHeight="1">
      <c r="A98" s="36"/>
      <c r="B98" s="37"/>
      <c r="C98" s="37"/>
      <c r="D98" s="37"/>
      <c r="E98" s="37"/>
      <c r="F98" s="37"/>
      <c r="G98" s="1"/>
      <c r="H98" s="1"/>
      <c r="I98" s="1"/>
      <c r="J98" s="1"/>
      <c r="K98" s="1"/>
      <c r="L98" s="1"/>
      <c r="M98" s="1"/>
      <c r="N98" s="1"/>
      <c r="O98" s="1"/>
      <c r="P98" s="1"/>
      <c r="Q98" s="1"/>
      <c r="R98" s="1"/>
      <c r="S98" s="1"/>
      <c r="T98" s="1"/>
    </row>
    <row r="99" ht="15.75" customHeight="1">
      <c r="A99" s="36"/>
      <c r="B99" s="37"/>
      <c r="C99" s="37"/>
      <c r="D99" s="37"/>
      <c r="E99" s="37"/>
      <c r="F99" s="37"/>
      <c r="G99" s="1"/>
      <c r="H99" s="1"/>
      <c r="I99" s="1"/>
      <c r="J99" s="1"/>
      <c r="K99" s="1"/>
      <c r="L99" s="1"/>
      <c r="M99" s="1"/>
      <c r="N99" s="1"/>
      <c r="O99" s="1"/>
      <c r="P99" s="1"/>
      <c r="Q99" s="1"/>
      <c r="R99" s="1"/>
      <c r="S99" s="1"/>
      <c r="T99" s="1"/>
    </row>
    <row r="100" ht="15.75" customHeight="1">
      <c r="A100" s="36"/>
      <c r="B100" s="37"/>
      <c r="C100" s="37"/>
      <c r="D100" s="37"/>
      <c r="E100" s="37"/>
      <c r="F100" s="37"/>
      <c r="G100" s="1"/>
      <c r="H100" s="1"/>
      <c r="I100" s="1"/>
      <c r="J100" s="1"/>
      <c r="K100" s="1"/>
      <c r="L100" s="1"/>
      <c r="M100" s="1"/>
      <c r="N100" s="1"/>
      <c r="O100" s="1"/>
      <c r="P100" s="1"/>
      <c r="Q100" s="1"/>
      <c r="R100" s="1"/>
      <c r="S100" s="1"/>
      <c r="T100" s="1"/>
    </row>
    <row r="101" ht="15.75" customHeight="1">
      <c r="A101" s="36"/>
      <c r="B101" s="37"/>
      <c r="C101" s="37"/>
      <c r="D101" s="37"/>
      <c r="E101" s="37"/>
      <c r="F101" s="37"/>
      <c r="G101" s="1"/>
      <c r="H101" s="1"/>
      <c r="I101" s="1"/>
      <c r="J101" s="1"/>
      <c r="K101" s="1"/>
      <c r="L101" s="1"/>
      <c r="M101" s="1"/>
      <c r="N101" s="1"/>
      <c r="O101" s="1"/>
      <c r="P101" s="1"/>
      <c r="Q101" s="1"/>
      <c r="R101" s="1"/>
      <c r="S101" s="1"/>
      <c r="T101" s="1"/>
    </row>
    <row r="102" ht="15.75" customHeight="1">
      <c r="A102" s="36"/>
      <c r="B102" s="37"/>
      <c r="C102" s="37"/>
      <c r="D102" s="37"/>
      <c r="E102" s="37"/>
      <c r="F102" s="37"/>
      <c r="G102" s="1"/>
      <c r="H102" s="1"/>
      <c r="I102" s="1"/>
      <c r="J102" s="1"/>
      <c r="K102" s="1"/>
      <c r="L102" s="1"/>
      <c r="M102" s="1"/>
      <c r="N102" s="1"/>
      <c r="O102" s="1"/>
      <c r="P102" s="1"/>
      <c r="Q102" s="1"/>
      <c r="R102" s="1"/>
      <c r="S102" s="1"/>
      <c r="T102" s="1"/>
    </row>
    <row r="103" ht="15.75" customHeight="1">
      <c r="A103" s="36"/>
      <c r="B103" s="37"/>
      <c r="C103" s="37"/>
      <c r="D103" s="37"/>
      <c r="E103" s="37"/>
      <c r="F103" s="37"/>
      <c r="G103" s="1"/>
      <c r="H103" s="1"/>
      <c r="I103" s="1"/>
      <c r="J103" s="1"/>
      <c r="K103" s="1"/>
      <c r="L103" s="1"/>
      <c r="M103" s="1"/>
      <c r="N103" s="1"/>
      <c r="O103" s="1"/>
      <c r="P103" s="1"/>
      <c r="Q103" s="1"/>
      <c r="R103" s="1"/>
      <c r="S103" s="1"/>
      <c r="T103" s="1"/>
    </row>
    <row r="104" ht="15.75" customHeight="1">
      <c r="A104" s="36"/>
      <c r="B104" s="37"/>
      <c r="C104" s="37"/>
      <c r="D104" s="37"/>
      <c r="E104" s="37"/>
      <c r="F104" s="37"/>
      <c r="G104" s="1"/>
      <c r="H104" s="1"/>
      <c r="I104" s="1"/>
      <c r="J104" s="1"/>
      <c r="K104" s="1"/>
      <c r="L104" s="1"/>
      <c r="M104" s="1"/>
      <c r="N104" s="1"/>
      <c r="O104" s="1"/>
      <c r="P104" s="1"/>
      <c r="Q104" s="1"/>
      <c r="R104" s="1"/>
      <c r="S104" s="1"/>
      <c r="T104" s="1"/>
    </row>
    <row r="105" ht="15.75" customHeight="1">
      <c r="A105" s="36"/>
      <c r="B105" s="37"/>
      <c r="C105" s="37"/>
      <c r="D105" s="37"/>
      <c r="E105" s="37"/>
      <c r="F105" s="37"/>
      <c r="G105" s="1"/>
      <c r="H105" s="1"/>
      <c r="I105" s="1"/>
      <c r="J105" s="1"/>
      <c r="K105" s="1"/>
      <c r="L105" s="1"/>
      <c r="M105" s="1"/>
      <c r="N105" s="1"/>
      <c r="O105" s="1"/>
      <c r="P105" s="1"/>
      <c r="Q105" s="1"/>
      <c r="R105" s="1"/>
      <c r="S105" s="1"/>
      <c r="T105" s="1"/>
    </row>
    <row r="106" ht="15.75" customHeight="1">
      <c r="A106" s="36"/>
      <c r="B106" s="37"/>
      <c r="C106" s="37"/>
      <c r="D106" s="37"/>
      <c r="E106" s="37"/>
      <c r="F106" s="37"/>
      <c r="G106" s="1"/>
      <c r="H106" s="1"/>
      <c r="I106" s="1"/>
      <c r="J106" s="1"/>
      <c r="K106" s="1"/>
      <c r="L106" s="1"/>
      <c r="M106" s="1"/>
      <c r="N106" s="1"/>
      <c r="O106" s="1"/>
      <c r="P106" s="1"/>
      <c r="Q106" s="1"/>
      <c r="R106" s="1"/>
      <c r="S106" s="1"/>
      <c r="T106" s="1"/>
    </row>
    <row r="107" ht="15.75" customHeight="1">
      <c r="A107" s="36"/>
      <c r="B107" s="37"/>
      <c r="C107" s="37"/>
      <c r="D107" s="37"/>
      <c r="E107" s="37"/>
      <c r="F107" s="37"/>
      <c r="G107" s="1"/>
      <c r="H107" s="1"/>
      <c r="I107" s="1"/>
      <c r="J107" s="1"/>
      <c r="K107" s="1"/>
      <c r="L107" s="1"/>
      <c r="M107" s="1"/>
      <c r="N107" s="1"/>
      <c r="O107" s="1"/>
      <c r="P107" s="1"/>
      <c r="Q107" s="1"/>
      <c r="R107" s="1"/>
      <c r="S107" s="1"/>
      <c r="T107" s="1"/>
    </row>
    <row r="108" ht="15.75" customHeight="1">
      <c r="A108" s="36"/>
      <c r="B108" s="37"/>
      <c r="C108" s="37"/>
      <c r="D108" s="37"/>
      <c r="E108" s="37"/>
      <c r="F108" s="37"/>
      <c r="G108" s="1"/>
      <c r="H108" s="1"/>
      <c r="I108" s="1"/>
      <c r="J108" s="1"/>
      <c r="K108" s="1"/>
      <c r="L108" s="1"/>
      <c r="M108" s="1"/>
      <c r="N108" s="1"/>
      <c r="O108" s="1"/>
      <c r="P108" s="1"/>
      <c r="Q108" s="1"/>
      <c r="R108" s="1"/>
      <c r="S108" s="1"/>
      <c r="T108" s="1"/>
    </row>
    <row r="109" ht="15.75" customHeight="1">
      <c r="A109" s="36"/>
      <c r="B109" s="37"/>
      <c r="C109" s="37"/>
      <c r="D109" s="37"/>
      <c r="E109" s="37"/>
      <c r="F109" s="37"/>
      <c r="G109" s="1"/>
      <c r="H109" s="1"/>
      <c r="I109" s="1"/>
      <c r="J109" s="1"/>
      <c r="K109" s="1"/>
      <c r="L109" s="1"/>
      <c r="M109" s="1"/>
      <c r="N109" s="1"/>
      <c r="O109" s="1"/>
      <c r="P109" s="1"/>
      <c r="Q109" s="1"/>
      <c r="R109" s="1"/>
      <c r="S109" s="1"/>
      <c r="T109" s="1"/>
    </row>
    <row r="110" ht="15.75" customHeight="1">
      <c r="A110" s="36"/>
      <c r="B110" s="37"/>
      <c r="C110" s="37"/>
      <c r="D110" s="37"/>
      <c r="E110" s="37"/>
      <c r="F110" s="37"/>
      <c r="G110" s="1"/>
      <c r="H110" s="1"/>
      <c r="I110" s="1"/>
      <c r="J110" s="1"/>
      <c r="K110" s="1"/>
      <c r="L110" s="1"/>
      <c r="M110" s="1"/>
      <c r="N110" s="1"/>
      <c r="O110" s="1"/>
      <c r="P110" s="1"/>
      <c r="Q110" s="1"/>
      <c r="R110" s="1"/>
      <c r="S110" s="1"/>
      <c r="T110" s="1"/>
    </row>
    <row r="111" ht="15.75" customHeight="1">
      <c r="A111" s="36"/>
      <c r="B111" s="37"/>
      <c r="C111" s="37"/>
      <c r="D111" s="37"/>
      <c r="E111" s="37"/>
      <c r="F111" s="37"/>
      <c r="G111" s="1"/>
      <c r="H111" s="1"/>
      <c r="I111" s="1"/>
      <c r="J111" s="1"/>
      <c r="K111" s="1"/>
      <c r="L111" s="1"/>
      <c r="M111" s="1"/>
      <c r="N111" s="1"/>
      <c r="O111" s="1"/>
      <c r="P111" s="1"/>
      <c r="Q111" s="1"/>
      <c r="R111" s="1"/>
      <c r="S111" s="1"/>
      <c r="T111" s="1"/>
    </row>
    <row r="112" ht="15.75" customHeight="1">
      <c r="A112" s="36"/>
      <c r="B112" s="37"/>
      <c r="C112" s="37"/>
      <c r="D112" s="37"/>
      <c r="E112" s="37"/>
      <c r="F112" s="37"/>
      <c r="G112" s="1"/>
      <c r="H112" s="1"/>
      <c r="I112" s="1"/>
      <c r="J112" s="1"/>
      <c r="K112" s="1"/>
      <c r="L112" s="1"/>
      <c r="M112" s="1"/>
      <c r="N112" s="1"/>
      <c r="O112" s="1"/>
      <c r="P112" s="1"/>
      <c r="Q112" s="1"/>
      <c r="R112" s="1"/>
      <c r="S112" s="1"/>
      <c r="T112" s="1"/>
    </row>
    <row r="113" ht="15.75" customHeight="1">
      <c r="A113" s="36"/>
      <c r="B113" s="37"/>
      <c r="C113" s="37"/>
      <c r="D113" s="37"/>
      <c r="E113" s="37"/>
      <c r="F113" s="37"/>
      <c r="G113" s="1"/>
      <c r="H113" s="1"/>
      <c r="I113" s="1"/>
      <c r="J113" s="1"/>
      <c r="K113" s="1"/>
      <c r="L113" s="1"/>
      <c r="M113" s="1"/>
      <c r="N113" s="1"/>
      <c r="O113" s="1"/>
      <c r="P113" s="1"/>
      <c r="Q113" s="1"/>
      <c r="R113" s="1"/>
      <c r="S113" s="1"/>
      <c r="T113" s="1"/>
    </row>
    <row r="114" ht="15.75" customHeight="1">
      <c r="A114" s="36"/>
      <c r="B114" s="37"/>
      <c r="C114" s="37"/>
      <c r="D114" s="37"/>
      <c r="E114" s="37"/>
      <c r="F114" s="37"/>
      <c r="G114" s="1"/>
      <c r="H114" s="1"/>
      <c r="I114" s="1"/>
      <c r="J114" s="1"/>
      <c r="K114" s="1"/>
      <c r="L114" s="1"/>
      <c r="M114" s="1"/>
      <c r="N114" s="1"/>
      <c r="O114" s="1"/>
      <c r="P114" s="1"/>
      <c r="Q114" s="1"/>
      <c r="R114" s="1"/>
      <c r="S114" s="1"/>
      <c r="T114" s="1"/>
    </row>
    <row r="115" ht="15.75" customHeight="1">
      <c r="A115" s="36"/>
      <c r="B115" s="37"/>
      <c r="C115" s="37"/>
      <c r="D115" s="37"/>
      <c r="E115" s="37"/>
      <c r="F115" s="37"/>
      <c r="G115" s="1"/>
      <c r="H115" s="1"/>
      <c r="I115" s="1"/>
      <c r="J115" s="1"/>
      <c r="K115" s="1"/>
      <c r="L115" s="1"/>
      <c r="M115" s="1"/>
      <c r="N115" s="1"/>
      <c r="O115" s="1"/>
      <c r="P115" s="1"/>
      <c r="Q115" s="1"/>
      <c r="R115" s="1"/>
      <c r="S115" s="1"/>
      <c r="T115" s="1"/>
    </row>
    <row r="116" ht="15.75" customHeight="1">
      <c r="A116" s="36"/>
      <c r="B116" s="37"/>
      <c r="C116" s="37"/>
      <c r="D116" s="37"/>
      <c r="E116" s="37"/>
      <c r="F116" s="37"/>
      <c r="G116" s="1"/>
      <c r="H116" s="1"/>
      <c r="I116" s="1"/>
      <c r="J116" s="1"/>
      <c r="K116" s="1"/>
      <c r="L116" s="1"/>
      <c r="M116" s="1"/>
      <c r="N116" s="1"/>
      <c r="O116" s="1"/>
      <c r="P116" s="1"/>
      <c r="Q116" s="1"/>
      <c r="R116" s="1"/>
      <c r="S116" s="1"/>
      <c r="T116" s="1"/>
    </row>
    <row r="117" ht="15.75" customHeight="1">
      <c r="A117" s="36"/>
      <c r="B117" s="37"/>
      <c r="C117" s="37"/>
      <c r="D117" s="37"/>
      <c r="E117" s="37"/>
      <c r="F117" s="37"/>
      <c r="G117" s="1"/>
      <c r="H117" s="1"/>
      <c r="I117" s="1"/>
      <c r="J117" s="1"/>
      <c r="K117" s="1"/>
      <c r="L117" s="1"/>
      <c r="M117" s="1"/>
      <c r="N117" s="1"/>
      <c r="O117" s="1"/>
      <c r="P117" s="1"/>
      <c r="Q117" s="1"/>
      <c r="R117" s="1"/>
      <c r="S117" s="1"/>
      <c r="T117" s="1"/>
    </row>
    <row r="118" ht="15.75" customHeight="1">
      <c r="A118" s="36"/>
      <c r="B118" s="37"/>
      <c r="C118" s="37"/>
      <c r="D118" s="37"/>
      <c r="E118" s="37"/>
      <c r="F118" s="37"/>
      <c r="G118" s="1"/>
      <c r="H118" s="1"/>
      <c r="I118" s="1"/>
      <c r="J118" s="1"/>
      <c r="K118" s="1"/>
      <c r="L118" s="1"/>
      <c r="M118" s="1"/>
      <c r="N118" s="1"/>
      <c r="O118" s="1"/>
      <c r="P118" s="1"/>
      <c r="Q118" s="1"/>
      <c r="R118" s="1"/>
      <c r="S118" s="1"/>
      <c r="T118" s="1"/>
    </row>
    <row r="119" ht="15.75" customHeight="1">
      <c r="A119" s="36"/>
      <c r="B119" s="37"/>
      <c r="C119" s="37"/>
      <c r="D119" s="37"/>
      <c r="E119" s="37"/>
      <c r="F119" s="37"/>
      <c r="G119" s="1"/>
      <c r="H119" s="1"/>
      <c r="I119" s="1"/>
      <c r="J119" s="1"/>
      <c r="K119" s="1"/>
      <c r="L119" s="1"/>
      <c r="M119" s="1"/>
      <c r="N119" s="1"/>
      <c r="O119" s="1"/>
      <c r="P119" s="1"/>
      <c r="Q119" s="1"/>
      <c r="R119" s="1"/>
      <c r="S119" s="1"/>
      <c r="T119" s="1"/>
    </row>
    <row r="120" ht="15.75" customHeight="1">
      <c r="A120" s="36"/>
      <c r="B120" s="37"/>
      <c r="C120" s="37"/>
      <c r="D120" s="37"/>
      <c r="E120" s="37"/>
      <c r="F120" s="37"/>
      <c r="G120" s="1"/>
      <c r="H120" s="1"/>
      <c r="I120" s="1"/>
      <c r="J120" s="1"/>
      <c r="K120" s="1"/>
      <c r="L120" s="1"/>
      <c r="M120" s="1"/>
      <c r="N120" s="1"/>
      <c r="O120" s="1"/>
      <c r="P120" s="1"/>
      <c r="Q120" s="1"/>
      <c r="R120" s="1"/>
      <c r="S120" s="1"/>
      <c r="T120" s="1"/>
    </row>
    <row r="121" ht="15.75" customHeight="1">
      <c r="A121" s="36"/>
      <c r="B121" s="37"/>
      <c r="C121" s="37"/>
      <c r="D121" s="37"/>
      <c r="E121" s="37"/>
      <c r="F121" s="37"/>
      <c r="G121" s="1"/>
      <c r="H121" s="1"/>
      <c r="I121" s="1"/>
      <c r="J121" s="1"/>
      <c r="K121" s="1"/>
      <c r="L121" s="1"/>
      <c r="M121" s="1"/>
      <c r="N121" s="1"/>
      <c r="O121" s="1"/>
      <c r="P121" s="1"/>
      <c r="Q121" s="1"/>
      <c r="R121" s="1"/>
      <c r="S121" s="1"/>
      <c r="T121" s="1"/>
    </row>
    <row r="122" ht="15.75" customHeight="1">
      <c r="A122" s="36"/>
      <c r="B122" s="37"/>
      <c r="C122" s="37"/>
      <c r="D122" s="37"/>
      <c r="E122" s="37"/>
      <c r="F122" s="37"/>
      <c r="G122" s="1"/>
      <c r="H122" s="1"/>
      <c r="I122" s="1"/>
      <c r="J122" s="1"/>
      <c r="K122" s="1"/>
      <c r="L122" s="1"/>
      <c r="M122" s="1"/>
      <c r="N122" s="1"/>
      <c r="O122" s="1"/>
      <c r="P122" s="1"/>
      <c r="Q122" s="1"/>
      <c r="R122" s="1"/>
      <c r="S122" s="1"/>
      <c r="T122" s="1"/>
    </row>
    <row r="123" ht="15.75" customHeight="1">
      <c r="A123" s="36"/>
      <c r="B123" s="37"/>
      <c r="C123" s="37"/>
      <c r="D123" s="37"/>
      <c r="E123" s="37"/>
      <c r="F123" s="37"/>
      <c r="G123" s="1"/>
      <c r="H123" s="1"/>
      <c r="I123" s="1"/>
      <c r="J123" s="1"/>
      <c r="K123" s="1"/>
      <c r="L123" s="1"/>
      <c r="M123" s="1"/>
      <c r="N123" s="1"/>
      <c r="O123" s="1"/>
      <c r="P123" s="1"/>
      <c r="Q123" s="1"/>
      <c r="R123" s="1"/>
      <c r="S123" s="1"/>
      <c r="T123" s="1"/>
    </row>
    <row r="124" ht="15.75" customHeight="1">
      <c r="A124" s="36"/>
      <c r="B124" s="37"/>
      <c r="C124" s="37"/>
      <c r="D124" s="37"/>
      <c r="E124" s="37"/>
      <c r="F124" s="37"/>
      <c r="G124" s="1"/>
      <c r="H124" s="1"/>
      <c r="I124" s="1"/>
      <c r="J124" s="1"/>
      <c r="K124" s="1"/>
      <c r="L124" s="1"/>
      <c r="M124" s="1"/>
      <c r="N124" s="1"/>
      <c r="O124" s="1"/>
      <c r="P124" s="1"/>
      <c r="Q124" s="1"/>
      <c r="R124" s="1"/>
      <c r="S124" s="1"/>
      <c r="T124" s="1"/>
    </row>
    <row r="125" ht="15.75" customHeight="1">
      <c r="A125" s="36"/>
      <c r="B125" s="37"/>
      <c r="C125" s="37"/>
      <c r="D125" s="37"/>
      <c r="E125" s="37"/>
      <c r="F125" s="37"/>
      <c r="G125" s="1"/>
      <c r="H125" s="1"/>
      <c r="I125" s="1"/>
      <c r="J125" s="1"/>
      <c r="K125" s="1"/>
      <c r="L125" s="1"/>
      <c r="M125" s="1"/>
      <c r="N125" s="1"/>
      <c r="O125" s="1"/>
      <c r="P125" s="1"/>
      <c r="Q125" s="1"/>
      <c r="R125" s="1"/>
      <c r="S125" s="1"/>
      <c r="T125" s="1"/>
    </row>
    <row r="126" ht="15.75" customHeight="1">
      <c r="A126" s="36"/>
      <c r="B126" s="37"/>
      <c r="C126" s="37"/>
      <c r="D126" s="37"/>
      <c r="E126" s="37"/>
      <c r="F126" s="37"/>
      <c r="G126" s="1"/>
      <c r="H126" s="1"/>
      <c r="I126" s="1"/>
      <c r="J126" s="1"/>
      <c r="K126" s="1"/>
      <c r="L126" s="1"/>
      <c r="M126" s="1"/>
      <c r="N126" s="1"/>
      <c r="O126" s="1"/>
      <c r="P126" s="1"/>
      <c r="Q126" s="1"/>
      <c r="R126" s="1"/>
      <c r="S126" s="1"/>
      <c r="T126" s="1"/>
    </row>
    <row r="127" ht="15.75" customHeight="1">
      <c r="A127" s="36"/>
      <c r="B127" s="37"/>
      <c r="C127" s="37"/>
      <c r="D127" s="37"/>
      <c r="E127" s="37"/>
      <c r="F127" s="37"/>
      <c r="G127" s="1"/>
      <c r="H127" s="1"/>
      <c r="I127" s="1"/>
      <c r="J127" s="1"/>
      <c r="K127" s="1"/>
      <c r="L127" s="1"/>
      <c r="M127" s="1"/>
      <c r="N127" s="1"/>
      <c r="O127" s="1"/>
      <c r="P127" s="1"/>
      <c r="Q127" s="1"/>
      <c r="R127" s="1"/>
      <c r="S127" s="1"/>
      <c r="T127" s="1"/>
    </row>
    <row r="128" ht="15.75" customHeight="1">
      <c r="A128" s="36"/>
      <c r="B128" s="37"/>
      <c r="C128" s="37"/>
      <c r="D128" s="37"/>
      <c r="E128" s="37"/>
      <c r="F128" s="37"/>
      <c r="G128" s="1"/>
      <c r="H128" s="1"/>
      <c r="I128" s="1"/>
      <c r="J128" s="1"/>
      <c r="K128" s="1"/>
      <c r="L128" s="1"/>
      <c r="M128" s="1"/>
      <c r="N128" s="1"/>
      <c r="O128" s="1"/>
      <c r="P128" s="1"/>
      <c r="Q128" s="1"/>
      <c r="R128" s="1"/>
      <c r="S128" s="1"/>
      <c r="T128" s="1"/>
    </row>
    <row r="129" ht="15.75" customHeight="1">
      <c r="A129" s="36"/>
      <c r="B129" s="37"/>
      <c r="C129" s="37"/>
      <c r="D129" s="37"/>
      <c r="E129" s="37"/>
      <c r="F129" s="37"/>
      <c r="G129" s="1"/>
      <c r="H129" s="1"/>
      <c r="I129" s="1"/>
      <c r="J129" s="1"/>
      <c r="K129" s="1"/>
      <c r="L129" s="1"/>
      <c r="M129" s="1"/>
      <c r="N129" s="1"/>
      <c r="O129" s="1"/>
      <c r="P129" s="1"/>
      <c r="Q129" s="1"/>
      <c r="R129" s="1"/>
      <c r="S129" s="1"/>
      <c r="T129" s="1"/>
    </row>
    <row r="130" ht="15.75" customHeight="1">
      <c r="A130" s="36"/>
      <c r="B130" s="37"/>
      <c r="C130" s="37"/>
      <c r="D130" s="37"/>
      <c r="E130" s="37"/>
      <c r="F130" s="37"/>
      <c r="G130" s="1"/>
      <c r="H130" s="1"/>
      <c r="I130" s="1"/>
      <c r="J130" s="1"/>
      <c r="K130" s="1"/>
      <c r="L130" s="1"/>
      <c r="M130" s="1"/>
      <c r="N130" s="1"/>
      <c r="O130" s="1"/>
      <c r="P130" s="1"/>
      <c r="Q130" s="1"/>
      <c r="R130" s="1"/>
      <c r="S130" s="1"/>
      <c r="T130" s="1"/>
    </row>
    <row r="131" ht="15.75" customHeight="1">
      <c r="A131" s="36"/>
      <c r="B131" s="37"/>
      <c r="C131" s="37"/>
      <c r="D131" s="37"/>
      <c r="E131" s="37"/>
      <c r="F131" s="37"/>
      <c r="G131" s="1"/>
      <c r="H131" s="1"/>
      <c r="I131" s="1"/>
      <c r="J131" s="1"/>
      <c r="K131" s="1"/>
      <c r="L131" s="1"/>
      <c r="M131" s="1"/>
      <c r="N131" s="1"/>
      <c r="O131" s="1"/>
      <c r="P131" s="1"/>
      <c r="Q131" s="1"/>
      <c r="R131" s="1"/>
      <c r="S131" s="1"/>
      <c r="T131" s="1"/>
    </row>
    <row r="132" ht="15.75" customHeight="1">
      <c r="A132" s="36"/>
      <c r="B132" s="37"/>
      <c r="C132" s="37"/>
      <c r="D132" s="37"/>
      <c r="E132" s="37"/>
      <c r="F132" s="37"/>
      <c r="G132" s="1"/>
      <c r="H132" s="1"/>
      <c r="I132" s="1"/>
      <c r="J132" s="1"/>
      <c r="K132" s="1"/>
      <c r="L132" s="1"/>
      <c r="M132" s="1"/>
      <c r="N132" s="1"/>
      <c r="O132" s="1"/>
      <c r="P132" s="1"/>
      <c r="Q132" s="1"/>
      <c r="R132" s="1"/>
      <c r="S132" s="1"/>
      <c r="T132" s="1"/>
    </row>
    <row r="133" ht="15.75" customHeight="1">
      <c r="A133" s="36"/>
      <c r="B133" s="37"/>
      <c r="C133" s="37"/>
      <c r="D133" s="37"/>
      <c r="E133" s="37"/>
      <c r="F133" s="37"/>
      <c r="G133" s="1"/>
      <c r="H133" s="1"/>
      <c r="I133" s="1"/>
      <c r="J133" s="1"/>
      <c r="K133" s="1"/>
      <c r="L133" s="1"/>
      <c r="M133" s="1"/>
      <c r="N133" s="1"/>
      <c r="O133" s="1"/>
      <c r="P133" s="1"/>
      <c r="Q133" s="1"/>
      <c r="R133" s="1"/>
      <c r="S133" s="1"/>
      <c r="T133" s="1"/>
    </row>
    <row r="134" ht="15.75" customHeight="1">
      <c r="A134" s="36"/>
      <c r="B134" s="37"/>
      <c r="C134" s="37"/>
      <c r="D134" s="37"/>
      <c r="E134" s="37"/>
      <c r="F134" s="37"/>
      <c r="G134" s="1"/>
      <c r="H134" s="1"/>
      <c r="I134" s="1"/>
      <c r="J134" s="1"/>
      <c r="K134" s="1"/>
      <c r="L134" s="1"/>
      <c r="M134" s="1"/>
      <c r="N134" s="1"/>
      <c r="O134" s="1"/>
      <c r="P134" s="1"/>
      <c r="Q134" s="1"/>
      <c r="R134" s="1"/>
      <c r="S134" s="1"/>
      <c r="T134" s="1"/>
    </row>
    <row r="135" ht="15.75" customHeight="1">
      <c r="A135" s="36"/>
      <c r="B135" s="37"/>
      <c r="C135" s="37"/>
      <c r="D135" s="37"/>
      <c r="E135" s="37"/>
      <c r="F135" s="37"/>
      <c r="G135" s="1"/>
      <c r="H135" s="1"/>
      <c r="I135" s="1"/>
      <c r="J135" s="1"/>
      <c r="K135" s="1"/>
      <c r="L135" s="1"/>
      <c r="M135" s="1"/>
      <c r="N135" s="1"/>
      <c r="O135" s="1"/>
      <c r="P135" s="1"/>
      <c r="Q135" s="1"/>
      <c r="R135" s="1"/>
      <c r="S135" s="1"/>
      <c r="T135" s="1"/>
    </row>
    <row r="136" ht="15.75" customHeight="1">
      <c r="A136" s="36"/>
      <c r="B136" s="37"/>
      <c r="C136" s="37"/>
      <c r="D136" s="37"/>
      <c r="E136" s="37"/>
      <c r="F136" s="37"/>
      <c r="G136" s="1"/>
      <c r="H136" s="1"/>
      <c r="I136" s="1"/>
      <c r="J136" s="1"/>
      <c r="K136" s="1"/>
      <c r="L136" s="1"/>
      <c r="M136" s="1"/>
      <c r="N136" s="1"/>
      <c r="O136" s="1"/>
      <c r="P136" s="1"/>
      <c r="Q136" s="1"/>
      <c r="R136" s="1"/>
      <c r="S136" s="1"/>
      <c r="T136" s="1"/>
    </row>
    <row r="137" ht="15.75" customHeight="1">
      <c r="A137" s="36"/>
      <c r="B137" s="37"/>
      <c r="C137" s="37"/>
      <c r="D137" s="37"/>
      <c r="E137" s="37"/>
      <c r="F137" s="37"/>
      <c r="G137" s="1"/>
      <c r="H137" s="1"/>
      <c r="I137" s="1"/>
      <c r="J137" s="1"/>
      <c r="K137" s="1"/>
      <c r="L137" s="1"/>
      <c r="M137" s="1"/>
      <c r="N137" s="1"/>
      <c r="O137" s="1"/>
      <c r="P137" s="1"/>
      <c r="Q137" s="1"/>
      <c r="R137" s="1"/>
      <c r="S137" s="1"/>
      <c r="T137" s="1"/>
    </row>
    <row r="138" ht="15.75" customHeight="1">
      <c r="A138" s="36"/>
      <c r="B138" s="37"/>
      <c r="C138" s="37"/>
      <c r="D138" s="37"/>
      <c r="E138" s="37"/>
      <c r="F138" s="37"/>
      <c r="G138" s="1"/>
      <c r="H138" s="1"/>
      <c r="I138" s="1"/>
      <c r="J138" s="1"/>
      <c r="K138" s="1"/>
      <c r="L138" s="1"/>
      <c r="M138" s="1"/>
      <c r="N138" s="1"/>
      <c r="O138" s="1"/>
      <c r="P138" s="1"/>
      <c r="Q138" s="1"/>
      <c r="R138" s="1"/>
      <c r="S138" s="1"/>
      <c r="T138" s="1"/>
    </row>
    <row r="139" ht="15.75" customHeight="1">
      <c r="A139" s="36"/>
      <c r="B139" s="37"/>
      <c r="C139" s="37"/>
      <c r="D139" s="37"/>
      <c r="E139" s="37"/>
      <c r="F139" s="37"/>
      <c r="G139" s="1"/>
      <c r="H139" s="1"/>
      <c r="I139" s="1"/>
      <c r="J139" s="1"/>
      <c r="K139" s="1"/>
      <c r="L139" s="1"/>
      <c r="M139" s="1"/>
      <c r="N139" s="1"/>
      <c r="O139" s="1"/>
      <c r="P139" s="1"/>
      <c r="Q139" s="1"/>
      <c r="R139" s="1"/>
      <c r="S139" s="1"/>
      <c r="T139" s="1"/>
    </row>
    <row r="140" ht="15.75" customHeight="1">
      <c r="A140" s="36"/>
      <c r="B140" s="37"/>
      <c r="C140" s="37"/>
      <c r="D140" s="37"/>
      <c r="E140" s="37"/>
      <c r="F140" s="37"/>
      <c r="G140" s="1"/>
      <c r="H140" s="1"/>
      <c r="I140" s="1"/>
      <c r="J140" s="1"/>
      <c r="K140" s="1"/>
      <c r="L140" s="1"/>
      <c r="M140" s="1"/>
      <c r="N140" s="1"/>
      <c r="O140" s="1"/>
      <c r="P140" s="1"/>
      <c r="Q140" s="1"/>
      <c r="R140" s="1"/>
      <c r="S140" s="1"/>
      <c r="T140" s="1"/>
    </row>
    <row r="141" ht="15.75" customHeight="1">
      <c r="A141" s="36"/>
      <c r="B141" s="37"/>
      <c r="C141" s="37"/>
      <c r="D141" s="37"/>
      <c r="E141" s="37"/>
      <c r="F141" s="37"/>
      <c r="G141" s="1"/>
      <c r="H141" s="1"/>
      <c r="I141" s="1"/>
      <c r="J141" s="1"/>
      <c r="K141" s="1"/>
      <c r="L141" s="1"/>
      <c r="M141" s="1"/>
      <c r="N141" s="1"/>
      <c r="O141" s="1"/>
      <c r="P141" s="1"/>
      <c r="Q141" s="1"/>
      <c r="R141" s="1"/>
      <c r="S141" s="1"/>
      <c r="T141" s="1"/>
    </row>
    <row r="142" ht="15.75" customHeight="1">
      <c r="A142" s="36"/>
      <c r="B142" s="37"/>
      <c r="C142" s="37"/>
      <c r="D142" s="37"/>
      <c r="E142" s="37"/>
      <c r="F142" s="37"/>
      <c r="G142" s="1"/>
      <c r="H142" s="1"/>
      <c r="I142" s="1"/>
      <c r="J142" s="1"/>
      <c r="K142" s="1"/>
      <c r="L142" s="1"/>
      <c r="M142" s="1"/>
      <c r="N142" s="1"/>
      <c r="O142" s="1"/>
      <c r="P142" s="1"/>
      <c r="Q142" s="1"/>
      <c r="R142" s="1"/>
      <c r="S142" s="1"/>
      <c r="T142" s="1"/>
    </row>
    <row r="143" ht="15.75" customHeight="1">
      <c r="A143" s="36"/>
      <c r="B143" s="37"/>
      <c r="C143" s="37"/>
      <c r="D143" s="37"/>
      <c r="E143" s="37"/>
      <c r="F143" s="37"/>
      <c r="G143" s="1"/>
      <c r="H143" s="1"/>
      <c r="I143" s="1"/>
      <c r="J143" s="1"/>
      <c r="K143" s="1"/>
      <c r="L143" s="1"/>
      <c r="M143" s="1"/>
      <c r="N143" s="1"/>
      <c r="O143" s="1"/>
      <c r="P143" s="1"/>
      <c r="Q143" s="1"/>
      <c r="R143" s="1"/>
      <c r="S143" s="1"/>
      <c r="T143" s="1"/>
    </row>
    <row r="144" ht="15.75" customHeight="1">
      <c r="A144" s="36"/>
      <c r="B144" s="37"/>
      <c r="C144" s="37"/>
      <c r="D144" s="37"/>
      <c r="E144" s="37"/>
      <c r="F144" s="37"/>
      <c r="G144" s="1"/>
      <c r="H144" s="1"/>
      <c r="I144" s="1"/>
      <c r="J144" s="1"/>
      <c r="K144" s="1"/>
      <c r="L144" s="1"/>
      <c r="M144" s="1"/>
      <c r="N144" s="1"/>
      <c r="O144" s="1"/>
      <c r="P144" s="1"/>
      <c r="Q144" s="1"/>
      <c r="R144" s="1"/>
      <c r="S144" s="1"/>
      <c r="T144" s="1"/>
    </row>
    <row r="145" ht="15.75" customHeight="1">
      <c r="A145" s="36"/>
      <c r="B145" s="37"/>
      <c r="C145" s="37"/>
      <c r="D145" s="37"/>
      <c r="E145" s="37"/>
      <c r="F145" s="37"/>
      <c r="G145" s="1"/>
      <c r="H145" s="1"/>
      <c r="I145" s="1"/>
      <c r="J145" s="1"/>
      <c r="K145" s="1"/>
      <c r="L145" s="1"/>
      <c r="M145" s="1"/>
      <c r="N145" s="1"/>
      <c r="O145" s="1"/>
      <c r="P145" s="1"/>
      <c r="Q145" s="1"/>
      <c r="R145" s="1"/>
      <c r="S145" s="1"/>
      <c r="T145" s="1"/>
    </row>
    <row r="146" ht="15.75" customHeight="1">
      <c r="A146" s="36"/>
      <c r="B146" s="37"/>
      <c r="C146" s="37"/>
      <c r="D146" s="37"/>
      <c r="E146" s="37"/>
      <c r="F146" s="37"/>
      <c r="G146" s="1"/>
      <c r="H146" s="1"/>
      <c r="I146" s="1"/>
      <c r="J146" s="1"/>
      <c r="K146" s="1"/>
      <c r="L146" s="1"/>
      <c r="M146" s="1"/>
      <c r="N146" s="1"/>
      <c r="O146" s="1"/>
      <c r="P146" s="1"/>
      <c r="Q146" s="1"/>
      <c r="R146" s="1"/>
      <c r="S146" s="1"/>
      <c r="T146" s="1"/>
    </row>
    <row r="147" ht="15.75" customHeight="1">
      <c r="A147" s="36"/>
      <c r="B147" s="37"/>
      <c r="C147" s="37"/>
      <c r="D147" s="37"/>
      <c r="E147" s="37"/>
      <c r="F147" s="37"/>
      <c r="G147" s="1"/>
      <c r="H147" s="1"/>
      <c r="I147" s="1"/>
      <c r="J147" s="1"/>
      <c r="K147" s="1"/>
      <c r="L147" s="1"/>
      <c r="M147" s="1"/>
      <c r="N147" s="1"/>
      <c r="O147" s="1"/>
      <c r="P147" s="1"/>
      <c r="Q147" s="1"/>
      <c r="R147" s="1"/>
      <c r="S147" s="1"/>
      <c r="T147" s="1"/>
    </row>
    <row r="148" ht="15.75" customHeight="1">
      <c r="A148" s="36"/>
      <c r="B148" s="37"/>
      <c r="C148" s="37"/>
      <c r="D148" s="37"/>
      <c r="E148" s="37"/>
      <c r="F148" s="37"/>
      <c r="G148" s="1"/>
      <c r="H148" s="1"/>
      <c r="I148" s="1"/>
      <c r="J148" s="1"/>
      <c r="K148" s="1"/>
      <c r="L148" s="1"/>
      <c r="M148" s="1"/>
      <c r="N148" s="1"/>
      <c r="O148" s="1"/>
      <c r="P148" s="1"/>
      <c r="Q148" s="1"/>
      <c r="R148" s="1"/>
      <c r="S148" s="1"/>
      <c r="T148" s="1"/>
    </row>
    <row r="149" ht="15.75" customHeight="1">
      <c r="A149" s="36"/>
      <c r="B149" s="37"/>
      <c r="C149" s="37"/>
      <c r="D149" s="37"/>
      <c r="E149" s="37"/>
      <c r="F149" s="37"/>
      <c r="G149" s="1"/>
      <c r="H149" s="1"/>
      <c r="I149" s="1"/>
      <c r="J149" s="1"/>
      <c r="K149" s="1"/>
      <c r="L149" s="1"/>
      <c r="M149" s="1"/>
      <c r="N149" s="1"/>
      <c r="O149" s="1"/>
      <c r="P149" s="1"/>
      <c r="Q149" s="1"/>
      <c r="R149" s="1"/>
      <c r="S149" s="1"/>
      <c r="T149" s="1"/>
    </row>
    <row r="150" ht="15.75" customHeight="1">
      <c r="A150" s="36"/>
      <c r="B150" s="37"/>
      <c r="C150" s="37"/>
      <c r="D150" s="37"/>
      <c r="E150" s="37"/>
      <c r="F150" s="37"/>
      <c r="G150" s="1"/>
      <c r="H150" s="1"/>
      <c r="I150" s="1"/>
      <c r="J150" s="1"/>
      <c r="K150" s="1"/>
      <c r="L150" s="1"/>
      <c r="M150" s="1"/>
      <c r="N150" s="1"/>
      <c r="O150" s="1"/>
      <c r="P150" s="1"/>
      <c r="Q150" s="1"/>
      <c r="R150" s="1"/>
      <c r="S150" s="1"/>
      <c r="T150" s="1"/>
    </row>
    <row r="151" ht="15.75" customHeight="1">
      <c r="A151" s="36"/>
      <c r="B151" s="37"/>
      <c r="C151" s="37"/>
      <c r="D151" s="37"/>
      <c r="E151" s="37"/>
      <c r="F151" s="37"/>
      <c r="G151" s="1"/>
      <c r="H151" s="1"/>
      <c r="I151" s="1"/>
      <c r="J151" s="1"/>
      <c r="K151" s="1"/>
      <c r="L151" s="1"/>
      <c r="M151" s="1"/>
      <c r="N151" s="1"/>
      <c r="O151" s="1"/>
      <c r="P151" s="1"/>
      <c r="Q151" s="1"/>
      <c r="R151" s="1"/>
      <c r="S151" s="1"/>
      <c r="T151" s="1"/>
    </row>
    <row r="152" ht="15.75" customHeight="1">
      <c r="A152" s="36"/>
      <c r="B152" s="37"/>
      <c r="C152" s="37"/>
      <c r="D152" s="37"/>
      <c r="E152" s="37"/>
      <c r="F152" s="37"/>
      <c r="G152" s="1"/>
      <c r="H152" s="1"/>
      <c r="I152" s="1"/>
      <c r="J152" s="1"/>
      <c r="K152" s="1"/>
      <c r="L152" s="1"/>
      <c r="M152" s="1"/>
      <c r="N152" s="1"/>
      <c r="O152" s="1"/>
      <c r="P152" s="1"/>
      <c r="Q152" s="1"/>
      <c r="R152" s="1"/>
      <c r="S152" s="1"/>
      <c r="T152" s="1"/>
    </row>
    <row r="153" ht="15.75" customHeight="1">
      <c r="A153" s="36"/>
      <c r="B153" s="37"/>
      <c r="C153" s="37"/>
      <c r="D153" s="37"/>
      <c r="E153" s="37"/>
      <c r="F153" s="37"/>
      <c r="G153" s="1"/>
      <c r="H153" s="1"/>
      <c r="I153" s="1"/>
      <c r="J153" s="1"/>
      <c r="K153" s="1"/>
      <c r="L153" s="1"/>
      <c r="M153" s="1"/>
      <c r="N153" s="1"/>
      <c r="O153" s="1"/>
      <c r="P153" s="1"/>
      <c r="Q153" s="1"/>
      <c r="R153" s="1"/>
      <c r="S153" s="1"/>
      <c r="T153" s="1"/>
    </row>
    <row r="154" ht="15.75" customHeight="1">
      <c r="A154" s="36"/>
      <c r="B154" s="37"/>
      <c r="C154" s="37"/>
      <c r="D154" s="37"/>
      <c r="E154" s="37"/>
      <c r="F154" s="37"/>
      <c r="G154" s="1"/>
      <c r="H154" s="1"/>
      <c r="I154" s="1"/>
      <c r="J154" s="1"/>
      <c r="K154" s="1"/>
      <c r="L154" s="1"/>
      <c r="M154" s="1"/>
      <c r="N154" s="1"/>
      <c r="O154" s="1"/>
      <c r="P154" s="1"/>
      <c r="Q154" s="1"/>
      <c r="R154" s="1"/>
      <c r="S154" s="1"/>
      <c r="T154" s="1"/>
    </row>
    <row r="155" ht="15.75" customHeight="1">
      <c r="A155" s="36"/>
      <c r="B155" s="37"/>
      <c r="C155" s="37"/>
      <c r="D155" s="37"/>
      <c r="E155" s="37"/>
      <c r="F155" s="37"/>
      <c r="G155" s="1"/>
      <c r="H155" s="1"/>
      <c r="I155" s="1"/>
      <c r="J155" s="1"/>
      <c r="K155" s="1"/>
      <c r="L155" s="1"/>
      <c r="M155" s="1"/>
      <c r="N155" s="1"/>
      <c r="O155" s="1"/>
      <c r="P155" s="1"/>
      <c r="Q155" s="1"/>
      <c r="R155" s="1"/>
      <c r="S155" s="1"/>
      <c r="T155" s="1"/>
    </row>
    <row r="156" ht="15.75" customHeight="1">
      <c r="A156" s="36"/>
      <c r="B156" s="37"/>
      <c r="C156" s="37"/>
      <c r="D156" s="37"/>
      <c r="E156" s="37"/>
      <c r="F156" s="37"/>
      <c r="G156" s="1"/>
      <c r="H156" s="1"/>
      <c r="I156" s="1"/>
      <c r="J156" s="1"/>
      <c r="K156" s="1"/>
      <c r="L156" s="1"/>
      <c r="M156" s="1"/>
      <c r="N156" s="1"/>
      <c r="O156" s="1"/>
      <c r="P156" s="1"/>
      <c r="Q156" s="1"/>
      <c r="R156" s="1"/>
      <c r="S156" s="1"/>
      <c r="T156" s="1"/>
    </row>
    <row r="157" ht="15.75" customHeight="1">
      <c r="A157" s="36"/>
      <c r="B157" s="37"/>
      <c r="C157" s="37"/>
      <c r="D157" s="37"/>
      <c r="E157" s="37"/>
      <c r="F157" s="37"/>
      <c r="G157" s="1"/>
      <c r="H157" s="1"/>
      <c r="I157" s="1"/>
      <c r="J157" s="1"/>
      <c r="K157" s="1"/>
      <c r="L157" s="1"/>
      <c r="M157" s="1"/>
      <c r="N157" s="1"/>
      <c r="O157" s="1"/>
      <c r="P157" s="1"/>
      <c r="Q157" s="1"/>
      <c r="R157" s="1"/>
      <c r="S157" s="1"/>
      <c r="T157" s="1"/>
    </row>
    <row r="158" ht="15.75" customHeight="1">
      <c r="A158" s="36"/>
      <c r="B158" s="37"/>
      <c r="C158" s="37"/>
      <c r="D158" s="37"/>
      <c r="E158" s="37"/>
      <c r="F158" s="37"/>
      <c r="G158" s="1"/>
      <c r="H158" s="1"/>
      <c r="I158" s="1"/>
      <c r="J158" s="1"/>
      <c r="K158" s="1"/>
      <c r="L158" s="1"/>
      <c r="M158" s="1"/>
      <c r="N158" s="1"/>
      <c r="O158" s="1"/>
      <c r="P158" s="1"/>
      <c r="Q158" s="1"/>
      <c r="R158" s="1"/>
      <c r="S158" s="1"/>
      <c r="T158" s="1"/>
    </row>
    <row r="159" ht="15.75" customHeight="1">
      <c r="A159" s="36"/>
      <c r="B159" s="37"/>
      <c r="C159" s="37"/>
      <c r="D159" s="37"/>
      <c r="E159" s="37"/>
      <c r="F159" s="37"/>
      <c r="G159" s="1"/>
      <c r="H159" s="1"/>
      <c r="I159" s="1"/>
      <c r="J159" s="1"/>
      <c r="K159" s="1"/>
      <c r="L159" s="1"/>
      <c r="M159" s="1"/>
      <c r="N159" s="1"/>
      <c r="O159" s="1"/>
      <c r="P159" s="1"/>
      <c r="Q159" s="1"/>
      <c r="R159" s="1"/>
      <c r="S159" s="1"/>
      <c r="T159" s="1"/>
    </row>
    <row r="160" ht="15.75" customHeight="1">
      <c r="A160" s="36"/>
      <c r="B160" s="37"/>
      <c r="C160" s="37"/>
      <c r="D160" s="37"/>
      <c r="E160" s="37"/>
      <c r="F160" s="37"/>
      <c r="G160" s="1"/>
      <c r="H160" s="1"/>
      <c r="I160" s="1"/>
      <c r="J160" s="1"/>
      <c r="K160" s="1"/>
      <c r="L160" s="1"/>
      <c r="M160" s="1"/>
      <c r="N160" s="1"/>
      <c r="O160" s="1"/>
      <c r="P160" s="1"/>
      <c r="Q160" s="1"/>
      <c r="R160" s="1"/>
      <c r="S160" s="1"/>
      <c r="T160" s="1"/>
    </row>
    <row r="161" ht="15.75" customHeight="1">
      <c r="A161" s="36"/>
      <c r="B161" s="37"/>
      <c r="C161" s="37"/>
      <c r="D161" s="37"/>
      <c r="E161" s="37"/>
      <c r="F161" s="37"/>
      <c r="G161" s="1"/>
      <c r="H161" s="1"/>
      <c r="I161" s="1"/>
      <c r="J161" s="1"/>
      <c r="K161" s="1"/>
      <c r="L161" s="1"/>
      <c r="M161" s="1"/>
      <c r="N161" s="1"/>
      <c r="O161" s="1"/>
      <c r="P161" s="1"/>
      <c r="Q161" s="1"/>
      <c r="R161" s="1"/>
      <c r="S161" s="1"/>
      <c r="T161" s="1"/>
    </row>
    <row r="162" ht="15.75" customHeight="1">
      <c r="A162" s="36"/>
      <c r="B162" s="37"/>
      <c r="C162" s="37"/>
      <c r="D162" s="37"/>
      <c r="E162" s="37"/>
      <c r="F162" s="37"/>
      <c r="G162" s="1"/>
      <c r="H162" s="1"/>
      <c r="I162" s="1"/>
      <c r="J162" s="1"/>
      <c r="K162" s="1"/>
      <c r="L162" s="1"/>
      <c r="M162" s="1"/>
      <c r="N162" s="1"/>
      <c r="O162" s="1"/>
      <c r="P162" s="1"/>
      <c r="Q162" s="1"/>
      <c r="R162" s="1"/>
      <c r="S162" s="1"/>
      <c r="T162" s="1"/>
    </row>
    <row r="163" ht="15.75" customHeight="1">
      <c r="A163" s="36"/>
      <c r="B163" s="37"/>
      <c r="C163" s="37"/>
      <c r="D163" s="37"/>
      <c r="E163" s="37"/>
      <c r="F163" s="37"/>
      <c r="G163" s="1"/>
      <c r="H163" s="1"/>
      <c r="I163" s="1"/>
      <c r="J163" s="1"/>
      <c r="K163" s="1"/>
      <c r="L163" s="1"/>
      <c r="M163" s="1"/>
      <c r="N163" s="1"/>
      <c r="O163" s="1"/>
      <c r="P163" s="1"/>
      <c r="Q163" s="1"/>
      <c r="R163" s="1"/>
      <c r="S163" s="1"/>
      <c r="T163" s="1"/>
    </row>
    <row r="164" ht="15.75" customHeight="1">
      <c r="A164" s="36"/>
      <c r="B164" s="37"/>
      <c r="C164" s="37"/>
      <c r="D164" s="37"/>
      <c r="E164" s="37"/>
      <c r="F164" s="37"/>
      <c r="G164" s="1"/>
      <c r="H164" s="1"/>
      <c r="I164" s="1"/>
      <c r="J164" s="1"/>
      <c r="K164" s="1"/>
      <c r="L164" s="1"/>
      <c r="M164" s="1"/>
      <c r="N164" s="1"/>
      <c r="O164" s="1"/>
      <c r="P164" s="1"/>
      <c r="Q164" s="1"/>
      <c r="R164" s="1"/>
      <c r="S164" s="1"/>
      <c r="T164" s="1"/>
    </row>
    <row r="165" ht="15.75" customHeight="1">
      <c r="A165" s="36"/>
      <c r="B165" s="37"/>
      <c r="C165" s="37"/>
      <c r="D165" s="37"/>
      <c r="E165" s="37"/>
      <c r="F165" s="37"/>
      <c r="G165" s="1"/>
      <c r="H165" s="1"/>
      <c r="I165" s="1"/>
      <c r="J165" s="1"/>
      <c r="K165" s="1"/>
      <c r="L165" s="1"/>
      <c r="M165" s="1"/>
      <c r="N165" s="1"/>
      <c r="O165" s="1"/>
      <c r="P165" s="1"/>
      <c r="Q165" s="1"/>
      <c r="R165" s="1"/>
      <c r="S165" s="1"/>
      <c r="T165" s="1"/>
    </row>
    <row r="166" ht="15.75" customHeight="1">
      <c r="A166" s="36"/>
      <c r="B166" s="37"/>
      <c r="C166" s="37"/>
      <c r="D166" s="37"/>
      <c r="E166" s="37"/>
      <c r="F166" s="37"/>
      <c r="G166" s="1"/>
      <c r="H166" s="1"/>
      <c r="I166" s="1"/>
      <c r="J166" s="1"/>
      <c r="K166" s="1"/>
      <c r="L166" s="1"/>
      <c r="M166" s="1"/>
      <c r="N166" s="1"/>
      <c r="O166" s="1"/>
      <c r="P166" s="1"/>
      <c r="Q166" s="1"/>
      <c r="R166" s="1"/>
      <c r="S166" s="1"/>
      <c r="T166" s="1"/>
    </row>
    <row r="167" ht="15.75" customHeight="1">
      <c r="A167" s="36"/>
      <c r="B167" s="37"/>
      <c r="C167" s="37"/>
      <c r="D167" s="37"/>
      <c r="E167" s="37"/>
      <c r="F167" s="37"/>
      <c r="G167" s="1"/>
      <c r="H167" s="1"/>
      <c r="I167" s="1"/>
      <c r="J167" s="1"/>
      <c r="K167" s="1"/>
      <c r="L167" s="1"/>
      <c r="M167" s="1"/>
      <c r="N167" s="1"/>
      <c r="O167" s="1"/>
      <c r="P167" s="1"/>
      <c r="Q167" s="1"/>
      <c r="R167" s="1"/>
      <c r="S167" s="1"/>
      <c r="T167" s="1"/>
    </row>
    <row r="168" ht="15.75" customHeight="1">
      <c r="A168" s="36"/>
      <c r="B168" s="37"/>
      <c r="C168" s="37"/>
      <c r="D168" s="37"/>
      <c r="E168" s="37"/>
      <c r="F168" s="37"/>
      <c r="G168" s="1"/>
      <c r="H168" s="1"/>
      <c r="I168" s="1"/>
      <c r="J168" s="1"/>
      <c r="K168" s="1"/>
      <c r="L168" s="1"/>
      <c r="M168" s="1"/>
      <c r="N168" s="1"/>
      <c r="O168" s="1"/>
      <c r="P168" s="1"/>
      <c r="Q168" s="1"/>
      <c r="R168" s="1"/>
      <c r="S168" s="1"/>
      <c r="T168" s="1"/>
    </row>
    <row r="169" ht="15.75" customHeight="1">
      <c r="A169" s="36"/>
      <c r="B169" s="37"/>
      <c r="C169" s="37"/>
      <c r="D169" s="37"/>
      <c r="E169" s="37"/>
      <c r="F169" s="37"/>
      <c r="G169" s="1"/>
      <c r="H169" s="1"/>
      <c r="I169" s="1"/>
      <c r="J169" s="1"/>
      <c r="K169" s="1"/>
      <c r="L169" s="1"/>
      <c r="M169" s="1"/>
      <c r="N169" s="1"/>
      <c r="O169" s="1"/>
      <c r="P169" s="1"/>
      <c r="Q169" s="1"/>
      <c r="R169" s="1"/>
      <c r="S169" s="1"/>
      <c r="T169" s="1"/>
    </row>
    <row r="170" ht="15.75" customHeight="1">
      <c r="A170" s="36"/>
      <c r="B170" s="37"/>
      <c r="C170" s="37"/>
      <c r="D170" s="37"/>
      <c r="E170" s="37"/>
      <c r="F170" s="37"/>
      <c r="G170" s="1"/>
      <c r="H170" s="1"/>
      <c r="I170" s="1"/>
      <c r="J170" s="1"/>
      <c r="K170" s="1"/>
      <c r="L170" s="1"/>
      <c r="M170" s="1"/>
      <c r="N170" s="1"/>
      <c r="O170" s="1"/>
      <c r="P170" s="1"/>
      <c r="Q170" s="1"/>
      <c r="R170" s="1"/>
      <c r="S170" s="1"/>
      <c r="T170" s="1"/>
    </row>
    <row r="171" ht="15.75" customHeight="1">
      <c r="A171" s="36"/>
      <c r="B171" s="37"/>
      <c r="C171" s="37"/>
      <c r="D171" s="37"/>
      <c r="E171" s="37"/>
      <c r="F171" s="37"/>
      <c r="G171" s="1"/>
      <c r="H171" s="1"/>
      <c r="I171" s="1"/>
      <c r="J171" s="1"/>
      <c r="K171" s="1"/>
      <c r="L171" s="1"/>
      <c r="M171" s="1"/>
      <c r="N171" s="1"/>
      <c r="O171" s="1"/>
      <c r="P171" s="1"/>
      <c r="Q171" s="1"/>
      <c r="R171" s="1"/>
      <c r="S171" s="1"/>
      <c r="T171" s="1"/>
    </row>
    <row r="172" ht="15.75" customHeight="1">
      <c r="A172" s="36"/>
      <c r="B172" s="37"/>
      <c r="C172" s="37"/>
      <c r="D172" s="37"/>
      <c r="E172" s="37"/>
      <c r="F172" s="37"/>
      <c r="G172" s="1"/>
      <c r="H172" s="1"/>
      <c r="I172" s="1"/>
      <c r="J172" s="1"/>
      <c r="K172" s="1"/>
      <c r="L172" s="1"/>
      <c r="M172" s="1"/>
      <c r="N172" s="1"/>
      <c r="O172" s="1"/>
      <c r="P172" s="1"/>
      <c r="Q172" s="1"/>
      <c r="R172" s="1"/>
      <c r="S172" s="1"/>
      <c r="T172" s="1"/>
    </row>
    <row r="173" ht="15.75" customHeight="1">
      <c r="A173" s="36"/>
      <c r="B173" s="37"/>
      <c r="C173" s="37"/>
      <c r="D173" s="37"/>
      <c r="E173" s="37"/>
      <c r="F173" s="37"/>
      <c r="G173" s="1"/>
      <c r="H173" s="1"/>
      <c r="I173" s="1"/>
      <c r="J173" s="1"/>
      <c r="K173" s="1"/>
      <c r="L173" s="1"/>
      <c r="M173" s="1"/>
      <c r="N173" s="1"/>
      <c r="O173" s="1"/>
      <c r="P173" s="1"/>
      <c r="Q173" s="1"/>
      <c r="R173" s="1"/>
      <c r="S173" s="1"/>
      <c r="T173" s="1"/>
    </row>
    <row r="174" ht="15.75" customHeight="1">
      <c r="A174" s="36"/>
      <c r="B174" s="37"/>
      <c r="C174" s="37"/>
      <c r="D174" s="37"/>
      <c r="E174" s="37"/>
      <c r="F174" s="37"/>
      <c r="G174" s="1"/>
      <c r="H174" s="1"/>
      <c r="I174" s="1"/>
      <c r="J174" s="1"/>
      <c r="K174" s="1"/>
      <c r="L174" s="1"/>
      <c r="M174" s="1"/>
      <c r="N174" s="1"/>
      <c r="O174" s="1"/>
      <c r="P174" s="1"/>
      <c r="Q174" s="1"/>
      <c r="R174" s="1"/>
      <c r="S174" s="1"/>
      <c r="T174" s="1"/>
    </row>
    <row r="175" ht="15.75" customHeight="1">
      <c r="A175" s="36"/>
      <c r="B175" s="37"/>
      <c r="C175" s="37"/>
      <c r="D175" s="37"/>
      <c r="E175" s="37"/>
      <c r="F175" s="37"/>
      <c r="G175" s="1"/>
      <c r="H175" s="1"/>
      <c r="I175" s="1"/>
      <c r="J175" s="1"/>
      <c r="K175" s="1"/>
      <c r="L175" s="1"/>
      <c r="M175" s="1"/>
      <c r="N175" s="1"/>
      <c r="O175" s="1"/>
      <c r="P175" s="1"/>
      <c r="Q175" s="1"/>
      <c r="R175" s="1"/>
      <c r="S175" s="1"/>
      <c r="T175" s="1"/>
    </row>
    <row r="176" ht="15.75" customHeight="1">
      <c r="A176" s="36"/>
      <c r="B176" s="37"/>
      <c r="C176" s="37"/>
      <c r="D176" s="37"/>
      <c r="E176" s="37"/>
      <c r="F176" s="37"/>
      <c r="G176" s="1"/>
      <c r="H176" s="1"/>
      <c r="I176" s="1"/>
      <c r="J176" s="1"/>
      <c r="K176" s="1"/>
      <c r="L176" s="1"/>
      <c r="M176" s="1"/>
      <c r="N176" s="1"/>
      <c r="O176" s="1"/>
      <c r="P176" s="1"/>
      <c r="Q176" s="1"/>
      <c r="R176" s="1"/>
      <c r="S176" s="1"/>
      <c r="T176" s="1"/>
    </row>
    <row r="177" ht="15.75" customHeight="1">
      <c r="A177" s="36"/>
      <c r="B177" s="37"/>
      <c r="C177" s="37"/>
      <c r="D177" s="37"/>
      <c r="E177" s="37"/>
      <c r="F177" s="37"/>
      <c r="G177" s="1"/>
      <c r="H177" s="1"/>
      <c r="I177" s="1"/>
      <c r="J177" s="1"/>
      <c r="K177" s="1"/>
      <c r="L177" s="1"/>
      <c r="M177" s="1"/>
      <c r="N177" s="1"/>
      <c r="O177" s="1"/>
      <c r="P177" s="1"/>
      <c r="Q177" s="1"/>
      <c r="R177" s="1"/>
      <c r="S177" s="1"/>
      <c r="T177" s="1"/>
    </row>
    <row r="178" ht="15.75" customHeight="1">
      <c r="A178" s="36"/>
      <c r="B178" s="37"/>
      <c r="C178" s="37"/>
      <c r="D178" s="37"/>
      <c r="E178" s="37"/>
      <c r="F178" s="37"/>
      <c r="G178" s="1"/>
      <c r="H178" s="1"/>
      <c r="I178" s="1"/>
      <c r="J178" s="1"/>
      <c r="K178" s="1"/>
      <c r="L178" s="1"/>
      <c r="M178" s="1"/>
      <c r="N178" s="1"/>
      <c r="O178" s="1"/>
      <c r="P178" s="1"/>
      <c r="Q178" s="1"/>
      <c r="R178" s="1"/>
      <c r="S178" s="1"/>
      <c r="T178" s="1"/>
    </row>
    <row r="179" ht="15.75" customHeight="1">
      <c r="A179" s="36"/>
      <c r="B179" s="37"/>
      <c r="C179" s="37"/>
      <c r="D179" s="37"/>
      <c r="E179" s="37"/>
      <c r="F179" s="37"/>
      <c r="G179" s="1"/>
      <c r="H179" s="1"/>
      <c r="I179" s="1"/>
      <c r="J179" s="1"/>
      <c r="K179" s="1"/>
      <c r="L179" s="1"/>
      <c r="M179" s="1"/>
      <c r="N179" s="1"/>
      <c r="O179" s="1"/>
      <c r="P179" s="1"/>
      <c r="Q179" s="1"/>
      <c r="R179" s="1"/>
      <c r="S179" s="1"/>
      <c r="T179" s="1"/>
    </row>
    <row r="180" ht="15.75" customHeight="1">
      <c r="A180" s="36"/>
      <c r="B180" s="37"/>
      <c r="C180" s="37"/>
      <c r="D180" s="37"/>
      <c r="E180" s="37"/>
      <c r="F180" s="37"/>
      <c r="G180" s="1"/>
      <c r="H180" s="1"/>
      <c r="I180" s="1"/>
      <c r="J180" s="1"/>
      <c r="K180" s="1"/>
      <c r="L180" s="1"/>
      <c r="M180" s="1"/>
      <c r="N180" s="1"/>
      <c r="O180" s="1"/>
      <c r="P180" s="1"/>
      <c r="Q180" s="1"/>
      <c r="R180" s="1"/>
      <c r="S180" s="1"/>
      <c r="T180" s="1"/>
    </row>
    <row r="181" ht="15.75" customHeight="1">
      <c r="A181" s="36"/>
      <c r="B181" s="37"/>
      <c r="C181" s="37"/>
      <c r="D181" s="37"/>
      <c r="E181" s="37"/>
      <c r="F181" s="37"/>
      <c r="G181" s="1"/>
      <c r="H181" s="1"/>
      <c r="I181" s="1"/>
      <c r="J181" s="1"/>
      <c r="K181" s="1"/>
      <c r="L181" s="1"/>
      <c r="M181" s="1"/>
      <c r="N181" s="1"/>
      <c r="O181" s="1"/>
      <c r="P181" s="1"/>
      <c r="Q181" s="1"/>
      <c r="R181" s="1"/>
      <c r="S181" s="1"/>
      <c r="T181" s="1"/>
    </row>
    <row r="182" ht="15.75" customHeight="1">
      <c r="A182" s="36"/>
      <c r="B182" s="37"/>
      <c r="C182" s="37"/>
      <c r="D182" s="37"/>
      <c r="E182" s="37"/>
      <c r="F182" s="37"/>
      <c r="G182" s="1"/>
      <c r="H182" s="1"/>
      <c r="I182" s="1"/>
      <c r="J182" s="1"/>
      <c r="K182" s="1"/>
      <c r="L182" s="1"/>
      <c r="M182" s="1"/>
      <c r="N182" s="1"/>
      <c r="O182" s="1"/>
      <c r="P182" s="1"/>
      <c r="Q182" s="1"/>
      <c r="R182" s="1"/>
      <c r="S182" s="1"/>
      <c r="T182" s="1"/>
    </row>
    <row r="183" ht="15.75" customHeight="1">
      <c r="A183" s="36"/>
      <c r="B183" s="37"/>
      <c r="C183" s="37"/>
      <c r="D183" s="37"/>
      <c r="E183" s="37"/>
      <c r="F183" s="37"/>
      <c r="G183" s="1"/>
      <c r="H183" s="1"/>
      <c r="I183" s="1"/>
      <c r="J183" s="1"/>
      <c r="K183" s="1"/>
      <c r="L183" s="1"/>
      <c r="M183" s="1"/>
      <c r="N183" s="1"/>
      <c r="O183" s="1"/>
      <c r="P183" s="1"/>
      <c r="Q183" s="1"/>
      <c r="R183" s="1"/>
      <c r="S183" s="1"/>
      <c r="T183" s="1"/>
    </row>
    <row r="184" ht="15.75" customHeight="1">
      <c r="A184" s="36"/>
      <c r="B184" s="37"/>
      <c r="C184" s="37"/>
      <c r="D184" s="37"/>
      <c r="E184" s="37"/>
      <c r="F184" s="37"/>
      <c r="G184" s="1"/>
      <c r="H184" s="1"/>
      <c r="I184" s="1"/>
      <c r="J184" s="1"/>
      <c r="K184" s="1"/>
      <c r="L184" s="1"/>
      <c r="M184" s="1"/>
      <c r="N184" s="1"/>
      <c r="O184" s="1"/>
      <c r="P184" s="1"/>
      <c r="Q184" s="1"/>
      <c r="R184" s="1"/>
      <c r="S184" s="1"/>
      <c r="T184" s="1"/>
    </row>
    <row r="185" ht="15.75" customHeight="1">
      <c r="A185" s="36"/>
      <c r="B185" s="37"/>
      <c r="C185" s="37"/>
      <c r="D185" s="37"/>
      <c r="E185" s="37"/>
      <c r="F185" s="37"/>
      <c r="G185" s="1"/>
      <c r="H185" s="1"/>
      <c r="I185" s="1"/>
      <c r="J185" s="1"/>
      <c r="K185" s="1"/>
      <c r="L185" s="1"/>
      <c r="M185" s="1"/>
      <c r="N185" s="1"/>
      <c r="O185" s="1"/>
      <c r="P185" s="1"/>
      <c r="Q185" s="1"/>
      <c r="R185" s="1"/>
      <c r="S185" s="1"/>
      <c r="T185" s="1"/>
    </row>
    <row r="186" ht="15.75" customHeight="1">
      <c r="A186" s="36"/>
      <c r="B186" s="37"/>
      <c r="C186" s="37"/>
      <c r="D186" s="37"/>
      <c r="E186" s="37"/>
      <c r="F186" s="37"/>
      <c r="G186" s="1"/>
      <c r="H186" s="1"/>
      <c r="I186" s="1"/>
      <c r="J186" s="1"/>
      <c r="K186" s="1"/>
      <c r="L186" s="1"/>
      <c r="M186" s="1"/>
      <c r="N186" s="1"/>
      <c r="O186" s="1"/>
      <c r="P186" s="1"/>
      <c r="Q186" s="1"/>
      <c r="R186" s="1"/>
      <c r="S186" s="1"/>
      <c r="T186" s="1"/>
    </row>
    <row r="187" ht="15.75" customHeight="1">
      <c r="A187" s="36"/>
      <c r="B187" s="37"/>
      <c r="C187" s="37"/>
      <c r="D187" s="37"/>
      <c r="E187" s="37"/>
      <c r="F187" s="37"/>
      <c r="G187" s="1"/>
      <c r="H187" s="1"/>
      <c r="I187" s="1"/>
      <c r="J187" s="1"/>
      <c r="K187" s="1"/>
      <c r="L187" s="1"/>
      <c r="M187" s="1"/>
      <c r="N187" s="1"/>
      <c r="O187" s="1"/>
      <c r="P187" s="1"/>
      <c r="Q187" s="1"/>
      <c r="R187" s="1"/>
      <c r="S187" s="1"/>
      <c r="T187" s="1"/>
    </row>
    <row r="188" ht="15.75" customHeight="1">
      <c r="A188" s="36"/>
      <c r="B188" s="37"/>
      <c r="C188" s="37"/>
      <c r="D188" s="37"/>
      <c r="E188" s="37"/>
      <c r="F188" s="37"/>
      <c r="G188" s="1"/>
      <c r="H188" s="1"/>
      <c r="I188" s="1"/>
      <c r="J188" s="1"/>
      <c r="K188" s="1"/>
      <c r="L188" s="1"/>
      <c r="M188" s="1"/>
      <c r="N188" s="1"/>
      <c r="O188" s="1"/>
      <c r="P188" s="1"/>
      <c r="Q188" s="1"/>
      <c r="R188" s="1"/>
      <c r="S188" s="1"/>
      <c r="T188" s="1"/>
    </row>
    <row r="189" ht="15.75" customHeight="1">
      <c r="A189" s="36"/>
      <c r="B189" s="37"/>
      <c r="C189" s="37"/>
      <c r="D189" s="37"/>
      <c r="E189" s="37"/>
      <c r="F189" s="37"/>
      <c r="G189" s="1"/>
      <c r="H189" s="1"/>
      <c r="I189" s="1"/>
      <c r="J189" s="1"/>
      <c r="K189" s="1"/>
      <c r="L189" s="1"/>
      <c r="M189" s="1"/>
      <c r="N189" s="1"/>
      <c r="O189" s="1"/>
      <c r="P189" s="1"/>
      <c r="Q189" s="1"/>
      <c r="R189" s="1"/>
      <c r="S189" s="1"/>
      <c r="T189" s="1"/>
    </row>
    <row r="190" ht="15.75" customHeight="1">
      <c r="A190" s="36"/>
      <c r="B190" s="37"/>
      <c r="C190" s="37"/>
      <c r="D190" s="37"/>
      <c r="E190" s="37"/>
      <c r="F190" s="37"/>
      <c r="G190" s="1"/>
      <c r="H190" s="1"/>
      <c r="I190" s="1"/>
      <c r="J190" s="1"/>
      <c r="K190" s="1"/>
      <c r="L190" s="1"/>
      <c r="M190" s="1"/>
      <c r="N190" s="1"/>
      <c r="O190" s="1"/>
      <c r="P190" s="1"/>
      <c r="Q190" s="1"/>
      <c r="R190" s="1"/>
      <c r="S190" s="1"/>
      <c r="T190" s="1"/>
    </row>
    <row r="191" ht="15.75" customHeight="1">
      <c r="A191" s="36"/>
      <c r="B191" s="37"/>
      <c r="C191" s="37"/>
      <c r="D191" s="37"/>
      <c r="E191" s="37"/>
      <c r="F191" s="37"/>
      <c r="G191" s="1"/>
      <c r="H191" s="1"/>
      <c r="I191" s="1"/>
      <c r="J191" s="1"/>
      <c r="K191" s="1"/>
      <c r="L191" s="1"/>
      <c r="M191" s="1"/>
      <c r="N191" s="1"/>
      <c r="O191" s="1"/>
      <c r="P191" s="1"/>
      <c r="Q191" s="1"/>
      <c r="R191" s="1"/>
      <c r="S191" s="1"/>
      <c r="T191" s="1"/>
    </row>
    <row r="192" ht="15.75" customHeight="1">
      <c r="A192" s="36"/>
      <c r="B192" s="37"/>
      <c r="C192" s="37"/>
      <c r="D192" s="37"/>
      <c r="E192" s="37"/>
      <c r="F192" s="37"/>
      <c r="G192" s="1"/>
      <c r="H192" s="1"/>
      <c r="I192" s="1"/>
      <c r="J192" s="1"/>
      <c r="K192" s="1"/>
      <c r="L192" s="1"/>
      <c r="M192" s="1"/>
      <c r="N192" s="1"/>
      <c r="O192" s="1"/>
      <c r="P192" s="1"/>
      <c r="Q192" s="1"/>
      <c r="R192" s="1"/>
      <c r="S192" s="1"/>
      <c r="T192" s="1"/>
    </row>
    <row r="193" ht="15.75" customHeight="1">
      <c r="A193" s="36"/>
      <c r="B193" s="37"/>
      <c r="C193" s="37"/>
      <c r="D193" s="37"/>
      <c r="E193" s="37"/>
      <c r="F193" s="37"/>
      <c r="G193" s="1"/>
      <c r="H193" s="1"/>
      <c r="I193" s="1"/>
      <c r="J193" s="1"/>
      <c r="K193" s="1"/>
      <c r="L193" s="1"/>
      <c r="M193" s="1"/>
      <c r="N193" s="1"/>
      <c r="O193" s="1"/>
      <c r="P193" s="1"/>
      <c r="Q193" s="1"/>
      <c r="R193" s="1"/>
      <c r="S193" s="1"/>
      <c r="T193" s="1"/>
    </row>
    <row r="194" ht="15.75" customHeight="1">
      <c r="A194" s="36"/>
      <c r="B194" s="37"/>
      <c r="C194" s="37"/>
      <c r="D194" s="37"/>
      <c r="E194" s="37"/>
      <c r="F194" s="37"/>
      <c r="G194" s="1"/>
      <c r="H194" s="1"/>
      <c r="I194" s="1"/>
      <c r="J194" s="1"/>
      <c r="K194" s="1"/>
      <c r="L194" s="1"/>
      <c r="M194" s="1"/>
      <c r="N194" s="1"/>
      <c r="O194" s="1"/>
      <c r="P194" s="1"/>
      <c r="Q194" s="1"/>
      <c r="R194" s="1"/>
      <c r="S194" s="1"/>
      <c r="T194" s="1"/>
    </row>
    <row r="195" ht="15.75" customHeight="1">
      <c r="A195" s="36"/>
      <c r="B195" s="37"/>
      <c r="C195" s="37"/>
      <c r="D195" s="37"/>
      <c r="E195" s="37"/>
      <c r="F195" s="37"/>
      <c r="G195" s="1"/>
      <c r="H195" s="1"/>
      <c r="I195" s="1"/>
      <c r="J195" s="1"/>
      <c r="K195" s="1"/>
      <c r="L195" s="1"/>
      <c r="M195" s="1"/>
      <c r="N195" s="1"/>
      <c r="O195" s="1"/>
      <c r="P195" s="1"/>
      <c r="Q195" s="1"/>
      <c r="R195" s="1"/>
      <c r="S195" s="1"/>
      <c r="T195" s="1"/>
    </row>
    <row r="196" ht="15.75" customHeight="1">
      <c r="A196" s="36"/>
      <c r="B196" s="37"/>
      <c r="C196" s="37"/>
      <c r="D196" s="37"/>
      <c r="E196" s="37"/>
      <c r="F196" s="37"/>
      <c r="G196" s="1"/>
      <c r="H196" s="1"/>
      <c r="I196" s="1"/>
      <c r="J196" s="1"/>
      <c r="K196" s="1"/>
      <c r="L196" s="1"/>
      <c r="M196" s="1"/>
      <c r="N196" s="1"/>
      <c r="O196" s="1"/>
      <c r="P196" s="1"/>
      <c r="Q196" s="1"/>
      <c r="R196" s="1"/>
      <c r="S196" s="1"/>
      <c r="T196" s="1"/>
    </row>
    <row r="197" ht="15.75" customHeight="1">
      <c r="A197" s="36"/>
      <c r="B197" s="37"/>
      <c r="C197" s="37"/>
      <c r="D197" s="37"/>
      <c r="E197" s="37"/>
      <c r="F197" s="37"/>
      <c r="G197" s="1"/>
      <c r="H197" s="1"/>
      <c r="I197" s="1"/>
      <c r="J197" s="1"/>
      <c r="K197" s="1"/>
      <c r="L197" s="1"/>
      <c r="M197" s="1"/>
      <c r="N197" s="1"/>
      <c r="O197" s="1"/>
      <c r="P197" s="1"/>
      <c r="Q197" s="1"/>
      <c r="R197" s="1"/>
      <c r="S197" s="1"/>
      <c r="T197" s="1"/>
    </row>
    <row r="198" ht="15.75" customHeight="1">
      <c r="A198" s="36"/>
      <c r="B198" s="37"/>
      <c r="C198" s="37"/>
      <c r="D198" s="37"/>
      <c r="E198" s="37"/>
      <c r="F198" s="37"/>
      <c r="G198" s="1"/>
      <c r="H198" s="1"/>
      <c r="I198" s="1"/>
      <c r="J198" s="1"/>
      <c r="K198" s="1"/>
      <c r="L198" s="1"/>
      <c r="M198" s="1"/>
      <c r="N198" s="1"/>
      <c r="O198" s="1"/>
      <c r="P198" s="1"/>
      <c r="Q198" s="1"/>
      <c r="R198" s="1"/>
      <c r="S198" s="1"/>
      <c r="T198" s="1"/>
    </row>
    <row r="199" ht="15.75" customHeight="1">
      <c r="A199" s="36"/>
      <c r="B199" s="37"/>
      <c r="C199" s="37"/>
      <c r="D199" s="37"/>
      <c r="E199" s="37"/>
      <c r="F199" s="37"/>
      <c r="G199" s="1"/>
      <c r="H199" s="1"/>
      <c r="I199" s="1"/>
      <c r="J199" s="1"/>
      <c r="K199" s="1"/>
      <c r="L199" s="1"/>
      <c r="M199" s="1"/>
      <c r="N199" s="1"/>
      <c r="O199" s="1"/>
      <c r="P199" s="1"/>
      <c r="Q199" s="1"/>
      <c r="R199" s="1"/>
      <c r="S199" s="1"/>
      <c r="T199" s="1"/>
    </row>
    <row r="200" ht="15.75" customHeight="1">
      <c r="A200" s="36"/>
      <c r="B200" s="37"/>
      <c r="C200" s="37"/>
      <c r="D200" s="37"/>
      <c r="E200" s="37"/>
      <c r="F200" s="37"/>
      <c r="G200" s="1"/>
      <c r="H200" s="1"/>
      <c r="I200" s="1"/>
      <c r="J200" s="1"/>
      <c r="K200" s="1"/>
      <c r="L200" s="1"/>
      <c r="M200" s="1"/>
      <c r="N200" s="1"/>
      <c r="O200" s="1"/>
      <c r="P200" s="1"/>
      <c r="Q200" s="1"/>
      <c r="R200" s="1"/>
      <c r="S200" s="1"/>
      <c r="T200" s="1"/>
    </row>
    <row r="201" ht="15.75" customHeight="1">
      <c r="A201" s="36"/>
      <c r="B201" s="37"/>
      <c r="C201" s="37"/>
      <c r="D201" s="37"/>
      <c r="E201" s="37"/>
      <c r="F201" s="37"/>
      <c r="G201" s="1"/>
      <c r="H201" s="1"/>
      <c r="I201" s="1"/>
      <c r="J201" s="1"/>
      <c r="K201" s="1"/>
      <c r="L201" s="1"/>
      <c r="M201" s="1"/>
      <c r="N201" s="1"/>
      <c r="O201" s="1"/>
      <c r="P201" s="1"/>
      <c r="Q201" s="1"/>
      <c r="R201" s="1"/>
      <c r="S201" s="1"/>
      <c r="T201" s="1"/>
    </row>
    <row r="202" ht="15.75" customHeight="1">
      <c r="A202" s="36"/>
      <c r="B202" s="37"/>
      <c r="C202" s="37"/>
      <c r="D202" s="37"/>
      <c r="E202" s="37"/>
      <c r="F202" s="37"/>
      <c r="G202" s="1"/>
      <c r="H202" s="1"/>
      <c r="I202" s="1"/>
      <c r="J202" s="1"/>
      <c r="K202" s="1"/>
      <c r="L202" s="1"/>
      <c r="M202" s="1"/>
      <c r="N202" s="1"/>
      <c r="O202" s="1"/>
      <c r="P202" s="1"/>
      <c r="Q202" s="1"/>
      <c r="R202" s="1"/>
      <c r="S202" s="1"/>
      <c r="T202" s="1"/>
    </row>
    <row r="203" ht="15.75" customHeight="1">
      <c r="A203" s="36"/>
      <c r="B203" s="37"/>
      <c r="C203" s="37"/>
      <c r="D203" s="37"/>
      <c r="E203" s="37"/>
      <c r="F203" s="37"/>
      <c r="G203" s="1"/>
      <c r="H203" s="1"/>
      <c r="I203" s="1"/>
      <c r="J203" s="1"/>
      <c r="K203" s="1"/>
      <c r="L203" s="1"/>
      <c r="M203" s="1"/>
      <c r="N203" s="1"/>
      <c r="O203" s="1"/>
      <c r="P203" s="1"/>
      <c r="Q203" s="1"/>
      <c r="R203" s="1"/>
      <c r="S203" s="1"/>
      <c r="T203" s="1"/>
    </row>
    <row r="204" ht="15.75" customHeight="1">
      <c r="A204" s="36"/>
      <c r="B204" s="37"/>
      <c r="C204" s="37"/>
      <c r="D204" s="37"/>
      <c r="E204" s="37"/>
      <c r="F204" s="37"/>
      <c r="G204" s="1"/>
      <c r="H204" s="1"/>
      <c r="I204" s="1"/>
      <c r="J204" s="1"/>
      <c r="K204" s="1"/>
      <c r="L204" s="1"/>
      <c r="M204" s="1"/>
      <c r="N204" s="1"/>
      <c r="O204" s="1"/>
      <c r="P204" s="1"/>
      <c r="Q204" s="1"/>
      <c r="R204" s="1"/>
      <c r="S204" s="1"/>
      <c r="T204" s="1"/>
    </row>
    <row r="205" ht="15.75" customHeight="1">
      <c r="A205" s="36"/>
      <c r="B205" s="37"/>
      <c r="C205" s="37"/>
      <c r="D205" s="37"/>
      <c r="E205" s="37"/>
      <c r="F205" s="37"/>
      <c r="G205" s="1"/>
      <c r="H205" s="1"/>
      <c r="I205" s="1"/>
      <c r="J205" s="1"/>
      <c r="K205" s="1"/>
      <c r="L205" s="1"/>
      <c r="M205" s="1"/>
      <c r="N205" s="1"/>
      <c r="O205" s="1"/>
      <c r="P205" s="1"/>
      <c r="Q205" s="1"/>
      <c r="R205" s="1"/>
      <c r="S205" s="1"/>
      <c r="T205" s="1"/>
    </row>
    <row r="206" ht="15.75" customHeight="1">
      <c r="A206" s="36"/>
      <c r="B206" s="37"/>
      <c r="C206" s="37"/>
      <c r="D206" s="37"/>
      <c r="E206" s="37"/>
      <c r="F206" s="37"/>
      <c r="G206" s="1"/>
      <c r="H206" s="1"/>
      <c r="I206" s="1"/>
      <c r="J206" s="1"/>
      <c r="K206" s="1"/>
      <c r="L206" s="1"/>
      <c r="M206" s="1"/>
      <c r="N206" s="1"/>
      <c r="O206" s="1"/>
      <c r="P206" s="1"/>
      <c r="Q206" s="1"/>
      <c r="R206" s="1"/>
      <c r="S206" s="1"/>
      <c r="T206" s="1"/>
    </row>
    <row r="207" ht="15.75" customHeight="1">
      <c r="A207" s="36"/>
      <c r="B207" s="37"/>
      <c r="C207" s="37"/>
      <c r="D207" s="37"/>
      <c r="E207" s="37"/>
      <c r="F207" s="37"/>
      <c r="G207" s="1"/>
      <c r="H207" s="1"/>
      <c r="I207" s="1"/>
      <c r="J207" s="1"/>
      <c r="K207" s="1"/>
      <c r="L207" s="1"/>
      <c r="M207" s="1"/>
      <c r="N207" s="1"/>
      <c r="O207" s="1"/>
      <c r="P207" s="1"/>
      <c r="Q207" s="1"/>
      <c r="R207" s="1"/>
      <c r="S207" s="1"/>
      <c r="T207" s="1"/>
    </row>
    <row r="208" ht="15.75" customHeight="1">
      <c r="A208" s="36"/>
      <c r="B208" s="37"/>
      <c r="C208" s="37"/>
      <c r="D208" s="37"/>
      <c r="E208" s="37"/>
      <c r="F208" s="37"/>
      <c r="G208" s="1"/>
      <c r="H208" s="1"/>
      <c r="I208" s="1"/>
      <c r="J208" s="1"/>
      <c r="K208" s="1"/>
      <c r="L208" s="1"/>
      <c r="M208" s="1"/>
      <c r="N208" s="1"/>
      <c r="O208" s="1"/>
      <c r="P208" s="1"/>
      <c r="Q208" s="1"/>
      <c r="R208" s="1"/>
      <c r="S208" s="1"/>
      <c r="T208" s="1"/>
    </row>
    <row r="209" ht="15.75" customHeight="1">
      <c r="A209" s="36"/>
      <c r="B209" s="37"/>
      <c r="C209" s="37"/>
      <c r="D209" s="37"/>
      <c r="E209" s="37"/>
      <c r="F209" s="37"/>
      <c r="G209" s="1"/>
      <c r="H209" s="1"/>
      <c r="I209" s="1"/>
      <c r="J209" s="1"/>
      <c r="K209" s="1"/>
      <c r="L209" s="1"/>
      <c r="M209" s="1"/>
      <c r="N209" s="1"/>
      <c r="O209" s="1"/>
      <c r="P209" s="1"/>
      <c r="Q209" s="1"/>
      <c r="R209" s="1"/>
      <c r="S209" s="1"/>
      <c r="T209" s="1"/>
    </row>
    <row r="210" ht="15.75" customHeight="1">
      <c r="A210" s="36"/>
      <c r="B210" s="37"/>
      <c r="C210" s="37"/>
      <c r="D210" s="37"/>
      <c r="E210" s="37"/>
      <c r="F210" s="37"/>
      <c r="G210" s="1"/>
      <c r="H210" s="1"/>
      <c r="I210" s="1"/>
      <c r="J210" s="1"/>
      <c r="K210" s="1"/>
      <c r="L210" s="1"/>
      <c r="M210" s="1"/>
      <c r="N210" s="1"/>
      <c r="O210" s="1"/>
      <c r="P210" s="1"/>
      <c r="Q210" s="1"/>
      <c r="R210" s="1"/>
      <c r="S210" s="1"/>
      <c r="T210" s="1"/>
    </row>
    <row r="211" ht="15.75" customHeight="1">
      <c r="A211" s="36"/>
      <c r="B211" s="37"/>
      <c r="C211" s="37"/>
      <c r="D211" s="37"/>
      <c r="E211" s="37"/>
      <c r="F211" s="37"/>
      <c r="G211" s="1"/>
      <c r="H211" s="1"/>
      <c r="I211" s="1"/>
      <c r="J211" s="1"/>
      <c r="K211" s="1"/>
      <c r="L211" s="1"/>
      <c r="M211" s="1"/>
      <c r="N211" s="1"/>
      <c r="O211" s="1"/>
      <c r="P211" s="1"/>
      <c r="Q211" s="1"/>
      <c r="R211" s="1"/>
      <c r="S211" s="1"/>
      <c r="T211" s="1"/>
    </row>
    <row r="212" ht="15.75" customHeight="1">
      <c r="A212" s="36"/>
      <c r="B212" s="37"/>
      <c r="C212" s="37"/>
      <c r="D212" s="37"/>
      <c r="E212" s="37"/>
      <c r="F212" s="37"/>
      <c r="G212" s="1"/>
      <c r="H212" s="1"/>
      <c r="I212" s="1"/>
      <c r="J212" s="1"/>
      <c r="K212" s="1"/>
      <c r="L212" s="1"/>
      <c r="M212" s="1"/>
      <c r="N212" s="1"/>
      <c r="O212" s="1"/>
      <c r="P212" s="1"/>
      <c r="Q212" s="1"/>
      <c r="R212" s="1"/>
      <c r="S212" s="1"/>
      <c r="T212" s="1"/>
    </row>
    <row r="213" ht="15.75" customHeight="1">
      <c r="A213" s="36"/>
      <c r="B213" s="37"/>
      <c r="C213" s="37"/>
      <c r="D213" s="37"/>
      <c r="E213" s="37"/>
      <c r="F213" s="37"/>
      <c r="G213" s="1"/>
      <c r="H213" s="1"/>
      <c r="I213" s="1"/>
      <c r="J213" s="1"/>
      <c r="K213" s="1"/>
      <c r="L213" s="1"/>
      <c r="M213" s="1"/>
      <c r="N213" s="1"/>
      <c r="O213" s="1"/>
      <c r="P213" s="1"/>
      <c r="Q213" s="1"/>
      <c r="R213" s="1"/>
      <c r="S213" s="1"/>
      <c r="T213" s="1"/>
    </row>
    <row r="214" ht="15.75" customHeight="1">
      <c r="A214" s="36"/>
      <c r="B214" s="37"/>
      <c r="C214" s="37"/>
      <c r="D214" s="37"/>
      <c r="E214" s="37"/>
      <c r="F214" s="37"/>
      <c r="G214" s="1"/>
      <c r="H214" s="1"/>
      <c r="I214" s="1"/>
      <c r="J214" s="1"/>
      <c r="K214" s="1"/>
      <c r="L214" s="1"/>
      <c r="M214" s="1"/>
      <c r="N214" s="1"/>
      <c r="O214" s="1"/>
      <c r="P214" s="1"/>
      <c r="Q214" s="1"/>
      <c r="R214" s="1"/>
      <c r="S214" s="1"/>
      <c r="T214" s="1"/>
    </row>
    <row r="215" ht="15.75" customHeight="1">
      <c r="A215" s="36"/>
      <c r="B215" s="37"/>
      <c r="C215" s="37"/>
      <c r="D215" s="37"/>
      <c r="E215" s="37"/>
      <c r="F215" s="37"/>
      <c r="G215" s="1"/>
      <c r="H215" s="1"/>
      <c r="I215" s="1"/>
      <c r="J215" s="1"/>
      <c r="K215" s="1"/>
      <c r="L215" s="1"/>
      <c r="M215" s="1"/>
      <c r="N215" s="1"/>
      <c r="O215" s="1"/>
      <c r="P215" s="1"/>
      <c r="Q215" s="1"/>
      <c r="R215" s="1"/>
      <c r="S215" s="1"/>
      <c r="T215" s="1"/>
    </row>
    <row r="216" ht="15.75" customHeight="1">
      <c r="A216" s="36"/>
      <c r="B216" s="37"/>
      <c r="C216" s="37"/>
      <c r="D216" s="37"/>
      <c r="E216" s="37"/>
      <c r="F216" s="37"/>
      <c r="G216" s="1"/>
      <c r="H216" s="1"/>
      <c r="I216" s="1"/>
      <c r="J216" s="1"/>
      <c r="K216" s="1"/>
      <c r="L216" s="1"/>
      <c r="M216" s="1"/>
      <c r="N216" s="1"/>
      <c r="O216" s="1"/>
      <c r="P216" s="1"/>
      <c r="Q216" s="1"/>
      <c r="R216" s="1"/>
      <c r="S216" s="1"/>
      <c r="T216" s="1"/>
    </row>
    <row r="217" ht="15.75" customHeight="1">
      <c r="A217" s="36"/>
      <c r="B217" s="37"/>
      <c r="C217" s="37"/>
      <c r="D217" s="37"/>
      <c r="E217" s="37"/>
      <c r="F217" s="37"/>
      <c r="G217" s="1"/>
      <c r="H217" s="1"/>
      <c r="I217" s="1"/>
      <c r="J217" s="1"/>
      <c r="K217" s="1"/>
      <c r="L217" s="1"/>
      <c r="M217" s="1"/>
      <c r="N217" s="1"/>
      <c r="O217" s="1"/>
      <c r="P217" s="1"/>
      <c r="Q217" s="1"/>
      <c r="R217" s="1"/>
      <c r="S217" s="1"/>
      <c r="T217" s="1"/>
    </row>
    <row r="218" ht="15.75" customHeight="1">
      <c r="A218" s="36"/>
      <c r="B218" s="37"/>
      <c r="C218" s="37"/>
      <c r="D218" s="37"/>
      <c r="E218" s="37"/>
      <c r="F218" s="37"/>
      <c r="G218" s="1"/>
      <c r="H218" s="1"/>
      <c r="I218" s="1"/>
      <c r="J218" s="1"/>
      <c r="K218" s="1"/>
      <c r="L218" s="1"/>
      <c r="M218" s="1"/>
      <c r="N218" s="1"/>
      <c r="O218" s="1"/>
      <c r="P218" s="1"/>
      <c r="Q218" s="1"/>
      <c r="R218" s="1"/>
      <c r="S218" s="1"/>
      <c r="T218" s="1"/>
    </row>
    <row r="219" ht="15.75" customHeight="1">
      <c r="A219" s="36"/>
      <c r="B219" s="37"/>
      <c r="C219" s="37"/>
      <c r="D219" s="37"/>
      <c r="E219" s="37"/>
      <c r="F219" s="37"/>
      <c r="G219" s="1"/>
      <c r="H219" s="1"/>
      <c r="I219" s="1"/>
      <c r="J219" s="1"/>
      <c r="K219" s="1"/>
      <c r="L219" s="1"/>
      <c r="M219" s="1"/>
      <c r="N219" s="1"/>
      <c r="O219" s="1"/>
      <c r="P219" s="1"/>
      <c r="Q219" s="1"/>
      <c r="R219" s="1"/>
      <c r="S219" s="1"/>
      <c r="T219" s="1"/>
    </row>
    <row r="220" ht="15.75" customHeight="1">
      <c r="A220" s="36"/>
      <c r="B220" s="37"/>
      <c r="C220" s="37"/>
      <c r="D220" s="37"/>
      <c r="E220" s="37"/>
      <c r="F220" s="37"/>
      <c r="G220" s="1"/>
      <c r="H220" s="1"/>
      <c r="I220" s="1"/>
      <c r="J220" s="1"/>
      <c r="K220" s="1"/>
      <c r="L220" s="1"/>
      <c r="M220" s="1"/>
      <c r="N220" s="1"/>
      <c r="O220" s="1"/>
      <c r="P220" s="1"/>
      <c r="Q220" s="1"/>
      <c r="R220" s="1"/>
      <c r="S220" s="1"/>
      <c r="T220" s="1"/>
    </row>
    <row r="221" ht="15.75" customHeight="1">
      <c r="A221" s="36"/>
      <c r="B221" s="37"/>
      <c r="C221" s="37"/>
      <c r="D221" s="37"/>
      <c r="E221" s="37"/>
      <c r="F221" s="37"/>
      <c r="G221" s="1"/>
      <c r="H221" s="1"/>
      <c r="I221" s="1"/>
      <c r="J221" s="1"/>
      <c r="K221" s="1"/>
      <c r="L221" s="1"/>
      <c r="M221" s="1"/>
      <c r="N221" s="1"/>
      <c r="O221" s="1"/>
      <c r="P221" s="1"/>
      <c r="Q221" s="1"/>
      <c r="R221" s="1"/>
      <c r="S221" s="1"/>
      <c r="T221" s="1"/>
    </row>
    <row r="222" ht="15.75" customHeight="1">
      <c r="A222" s="36"/>
      <c r="B222" s="37"/>
      <c r="C222" s="37"/>
      <c r="D222" s="37"/>
      <c r="E222" s="37"/>
      <c r="F222" s="37"/>
      <c r="G222" s="1"/>
      <c r="H222" s="1"/>
      <c r="I222" s="1"/>
      <c r="J222" s="1"/>
      <c r="K222" s="1"/>
      <c r="L222" s="1"/>
      <c r="M222" s="1"/>
      <c r="N222" s="1"/>
      <c r="O222" s="1"/>
      <c r="P222" s="1"/>
      <c r="Q222" s="1"/>
      <c r="R222" s="1"/>
      <c r="S222" s="1"/>
      <c r="T222" s="1"/>
    </row>
    <row r="223" ht="15.75" customHeight="1">
      <c r="A223" s="36"/>
      <c r="B223" s="37"/>
      <c r="C223" s="37"/>
      <c r="D223" s="37"/>
      <c r="E223" s="37"/>
      <c r="F223" s="37"/>
      <c r="G223" s="1"/>
      <c r="H223" s="1"/>
      <c r="I223" s="1"/>
      <c r="J223" s="1"/>
      <c r="K223" s="1"/>
      <c r="L223" s="1"/>
      <c r="M223" s="1"/>
      <c r="N223" s="1"/>
      <c r="O223" s="1"/>
      <c r="P223" s="1"/>
      <c r="Q223" s="1"/>
      <c r="R223" s="1"/>
      <c r="S223" s="1"/>
      <c r="T223" s="1"/>
    </row>
    <row r="224" ht="15.75" customHeight="1">
      <c r="A224" s="36"/>
      <c r="B224" s="37"/>
      <c r="C224" s="37"/>
      <c r="D224" s="37"/>
      <c r="E224" s="37"/>
      <c r="F224" s="37"/>
      <c r="G224" s="1"/>
      <c r="H224" s="1"/>
      <c r="I224" s="1"/>
      <c r="J224" s="1"/>
      <c r="K224" s="1"/>
      <c r="L224" s="1"/>
      <c r="M224" s="1"/>
      <c r="N224" s="1"/>
      <c r="O224" s="1"/>
      <c r="P224" s="1"/>
      <c r="Q224" s="1"/>
      <c r="R224" s="1"/>
      <c r="S224" s="1"/>
      <c r="T224" s="1"/>
    </row>
    <row r="225" ht="15.75" customHeight="1">
      <c r="A225" s="36"/>
      <c r="B225" s="37"/>
      <c r="C225" s="37"/>
      <c r="D225" s="37"/>
      <c r="E225" s="37"/>
      <c r="F225" s="37"/>
      <c r="G225" s="1"/>
      <c r="H225" s="1"/>
      <c r="I225" s="1"/>
      <c r="J225" s="1"/>
      <c r="K225" s="1"/>
      <c r="L225" s="1"/>
      <c r="M225" s="1"/>
      <c r="N225" s="1"/>
      <c r="O225" s="1"/>
      <c r="P225" s="1"/>
      <c r="Q225" s="1"/>
      <c r="R225" s="1"/>
      <c r="S225" s="1"/>
      <c r="T225" s="1"/>
    </row>
    <row r="226" ht="15.75" customHeight="1">
      <c r="A226" s="36"/>
      <c r="B226" s="37"/>
      <c r="C226" s="37"/>
      <c r="D226" s="37"/>
      <c r="E226" s="37"/>
      <c r="F226" s="37"/>
      <c r="G226" s="1"/>
      <c r="H226" s="1"/>
      <c r="I226" s="1"/>
      <c r="J226" s="1"/>
      <c r="K226" s="1"/>
      <c r="L226" s="1"/>
      <c r="M226" s="1"/>
      <c r="N226" s="1"/>
      <c r="O226" s="1"/>
      <c r="P226" s="1"/>
      <c r="Q226" s="1"/>
      <c r="R226" s="1"/>
      <c r="S226" s="1"/>
      <c r="T226" s="1"/>
    </row>
    <row r="227" ht="15.75" customHeight="1">
      <c r="A227" s="36"/>
      <c r="B227" s="37"/>
      <c r="C227" s="37"/>
      <c r="D227" s="37"/>
      <c r="E227" s="37"/>
      <c r="F227" s="37"/>
      <c r="G227" s="1"/>
      <c r="H227" s="1"/>
      <c r="I227" s="1"/>
      <c r="J227" s="1"/>
      <c r="K227" s="1"/>
      <c r="L227" s="1"/>
      <c r="M227" s="1"/>
      <c r="N227" s="1"/>
      <c r="O227" s="1"/>
      <c r="P227" s="1"/>
      <c r="Q227" s="1"/>
      <c r="R227" s="1"/>
      <c r="S227" s="1"/>
      <c r="T227" s="1"/>
    </row>
    <row r="228" ht="15.75" customHeight="1">
      <c r="A228" s="36"/>
      <c r="B228" s="37"/>
      <c r="C228" s="37"/>
      <c r="D228" s="37"/>
      <c r="E228" s="37"/>
      <c r="F228" s="37"/>
      <c r="G228" s="1"/>
      <c r="H228" s="1"/>
      <c r="I228" s="1"/>
      <c r="J228" s="1"/>
      <c r="K228" s="1"/>
      <c r="L228" s="1"/>
      <c r="M228" s="1"/>
      <c r="N228" s="1"/>
      <c r="O228" s="1"/>
      <c r="P228" s="1"/>
      <c r="Q228" s="1"/>
      <c r="R228" s="1"/>
      <c r="S228" s="1"/>
      <c r="T228" s="1"/>
    </row>
    <row r="229" ht="15.75" customHeight="1">
      <c r="A229" s="36"/>
      <c r="B229" s="37"/>
      <c r="C229" s="37"/>
      <c r="D229" s="37"/>
      <c r="E229" s="37"/>
      <c r="F229" s="37"/>
      <c r="G229" s="1"/>
      <c r="H229" s="1"/>
      <c r="I229" s="1"/>
      <c r="J229" s="1"/>
      <c r="K229" s="1"/>
      <c r="L229" s="1"/>
      <c r="M229" s="1"/>
      <c r="N229" s="1"/>
      <c r="O229" s="1"/>
      <c r="P229" s="1"/>
      <c r="Q229" s="1"/>
      <c r="R229" s="1"/>
      <c r="S229" s="1"/>
      <c r="T229" s="1"/>
    </row>
    <row r="230" ht="15.75" customHeight="1">
      <c r="A230" s="36"/>
      <c r="B230" s="37"/>
      <c r="C230" s="37"/>
      <c r="D230" s="37"/>
      <c r="E230" s="37"/>
      <c r="F230" s="37"/>
      <c r="G230" s="1"/>
      <c r="H230" s="1"/>
      <c r="I230" s="1"/>
      <c r="J230" s="1"/>
      <c r="K230" s="1"/>
      <c r="L230" s="1"/>
      <c r="M230" s="1"/>
      <c r="N230" s="1"/>
      <c r="O230" s="1"/>
      <c r="P230" s="1"/>
      <c r="Q230" s="1"/>
      <c r="R230" s="1"/>
      <c r="S230" s="1"/>
      <c r="T230" s="1"/>
    </row>
    <row r="231" ht="15.75" customHeight="1">
      <c r="A231" s="36"/>
      <c r="B231" s="37"/>
      <c r="C231" s="37"/>
      <c r="D231" s="37"/>
      <c r="E231" s="37"/>
      <c r="F231" s="37"/>
      <c r="G231" s="1"/>
      <c r="H231" s="1"/>
      <c r="I231" s="1"/>
      <c r="J231" s="1"/>
      <c r="K231" s="1"/>
      <c r="L231" s="1"/>
      <c r="M231" s="1"/>
      <c r="N231" s="1"/>
      <c r="O231" s="1"/>
      <c r="P231" s="1"/>
      <c r="Q231" s="1"/>
      <c r="R231" s="1"/>
      <c r="S231" s="1"/>
      <c r="T231" s="1"/>
    </row>
    <row r="232" ht="15.75" customHeight="1">
      <c r="A232" s="36"/>
      <c r="B232" s="37"/>
      <c r="C232" s="37"/>
      <c r="D232" s="37"/>
      <c r="E232" s="37"/>
      <c r="F232" s="37"/>
      <c r="G232" s="1"/>
      <c r="H232" s="1"/>
      <c r="I232" s="1"/>
      <c r="J232" s="1"/>
      <c r="K232" s="1"/>
      <c r="L232" s="1"/>
      <c r="M232" s="1"/>
      <c r="N232" s="1"/>
      <c r="O232" s="1"/>
      <c r="P232" s="1"/>
      <c r="Q232" s="1"/>
      <c r="R232" s="1"/>
      <c r="S232" s="1"/>
      <c r="T232" s="1"/>
    </row>
    <row r="233" ht="15.75" customHeight="1">
      <c r="A233" s="36"/>
      <c r="B233" s="37"/>
      <c r="C233" s="37"/>
      <c r="D233" s="37"/>
      <c r="E233" s="37"/>
      <c r="F233" s="37"/>
      <c r="G233" s="1"/>
      <c r="H233" s="1"/>
      <c r="I233" s="1"/>
      <c r="J233" s="1"/>
      <c r="K233" s="1"/>
      <c r="L233" s="1"/>
      <c r="M233" s="1"/>
      <c r="N233" s="1"/>
      <c r="O233" s="1"/>
      <c r="P233" s="1"/>
      <c r="Q233" s="1"/>
      <c r="R233" s="1"/>
      <c r="S233" s="1"/>
      <c r="T233" s="1"/>
    </row>
    <row r="234" ht="15.75" customHeight="1">
      <c r="A234" s="36"/>
      <c r="B234" s="37"/>
      <c r="C234" s="37"/>
      <c r="D234" s="37"/>
      <c r="E234" s="37"/>
      <c r="F234" s="37"/>
      <c r="G234" s="1"/>
      <c r="H234" s="1"/>
      <c r="I234" s="1"/>
      <c r="J234" s="1"/>
      <c r="K234" s="1"/>
      <c r="L234" s="1"/>
      <c r="M234" s="1"/>
      <c r="N234" s="1"/>
      <c r="O234" s="1"/>
      <c r="P234" s="1"/>
      <c r="Q234" s="1"/>
      <c r="R234" s="1"/>
      <c r="S234" s="1"/>
      <c r="T234" s="1"/>
    </row>
    <row r="235" ht="15.75" customHeight="1">
      <c r="A235" s="36"/>
      <c r="B235" s="37"/>
      <c r="C235" s="37"/>
      <c r="D235" s="37"/>
      <c r="E235" s="37"/>
      <c r="F235" s="37"/>
      <c r="G235" s="1"/>
      <c r="H235" s="1"/>
      <c r="I235" s="1"/>
      <c r="J235" s="1"/>
      <c r="K235" s="1"/>
      <c r="L235" s="1"/>
      <c r="M235" s="1"/>
      <c r="N235" s="1"/>
      <c r="O235" s="1"/>
      <c r="P235" s="1"/>
      <c r="Q235" s="1"/>
      <c r="R235" s="1"/>
      <c r="S235" s="1"/>
      <c r="T235" s="1"/>
    </row>
    <row r="236" ht="15.75" customHeight="1">
      <c r="A236" s="36"/>
      <c r="B236" s="37"/>
      <c r="C236" s="37"/>
      <c r="D236" s="37"/>
      <c r="E236" s="37"/>
      <c r="F236" s="37"/>
      <c r="G236" s="1"/>
      <c r="H236" s="1"/>
      <c r="I236" s="1"/>
      <c r="J236" s="1"/>
      <c r="K236" s="1"/>
      <c r="L236" s="1"/>
      <c r="M236" s="1"/>
      <c r="N236" s="1"/>
      <c r="O236" s="1"/>
      <c r="P236" s="1"/>
      <c r="Q236" s="1"/>
      <c r="R236" s="1"/>
      <c r="S236" s="1"/>
      <c r="T236" s="1"/>
    </row>
    <row r="237" ht="15.75" customHeight="1">
      <c r="A237" s="36"/>
      <c r="B237" s="37"/>
      <c r="C237" s="37"/>
      <c r="D237" s="37"/>
      <c r="E237" s="37"/>
      <c r="F237" s="37"/>
      <c r="G237" s="1"/>
      <c r="H237" s="1"/>
      <c r="I237" s="1"/>
      <c r="J237" s="1"/>
      <c r="K237" s="1"/>
      <c r="L237" s="1"/>
      <c r="M237" s="1"/>
      <c r="N237" s="1"/>
      <c r="O237" s="1"/>
      <c r="P237" s="1"/>
      <c r="Q237" s="1"/>
      <c r="R237" s="1"/>
      <c r="S237" s="1"/>
      <c r="T237" s="1"/>
    </row>
    <row r="238" ht="15.75" customHeight="1">
      <c r="A238" s="36"/>
      <c r="B238" s="37"/>
      <c r="C238" s="37"/>
      <c r="D238" s="37"/>
      <c r="E238" s="37"/>
      <c r="F238" s="37"/>
      <c r="G238" s="1"/>
      <c r="H238" s="1"/>
      <c r="I238" s="1"/>
      <c r="J238" s="1"/>
      <c r="K238" s="1"/>
      <c r="L238" s="1"/>
      <c r="M238" s="1"/>
      <c r="N238" s="1"/>
      <c r="O238" s="1"/>
      <c r="P238" s="1"/>
      <c r="Q238" s="1"/>
      <c r="R238" s="1"/>
      <c r="S238" s="1"/>
      <c r="T238" s="1"/>
    </row>
    <row r="239" ht="15.75" customHeight="1">
      <c r="A239" s="36"/>
      <c r="B239" s="37"/>
      <c r="C239" s="37"/>
      <c r="D239" s="37"/>
      <c r="E239" s="37"/>
      <c r="F239" s="37"/>
      <c r="G239" s="1"/>
      <c r="H239" s="1"/>
      <c r="I239" s="1"/>
      <c r="J239" s="1"/>
      <c r="K239" s="1"/>
      <c r="L239" s="1"/>
      <c r="M239" s="1"/>
      <c r="N239" s="1"/>
      <c r="O239" s="1"/>
      <c r="P239" s="1"/>
      <c r="Q239" s="1"/>
      <c r="R239" s="1"/>
      <c r="S239" s="1"/>
      <c r="T239" s="1"/>
    </row>
    <row r="240" ht="15.75" customHeight="1">
      <c r="A240" s="36"/>
      <c r="B240" s="37"/>
      <c r="C240" s="37"/>
      <c r="D240" s="37"/>
      <c r="E240" s="37"/>
      <c r="F240" s="37"/>
      <c r="G240" s="1"/>
      <c r="H240" s="1"/>
      <c r="I240" s="1"/>
      <c r="J240" s="1"/>
      <c r="K240" s="1"/>
      <c r="L240" s="1"/>
      <c r="M240" s="1"/>
      <c r="N240" s="1"/>
      <c r="O240" s="1"/>
      <c r="P240" s="1"/>
      <c r="Q240" s="1"/>
      <c r="R240" s="1"/>
      <c r="S240" s="1"/>
      <c r="T240" s="1"/>
    </row>
    <row r="241" ht="15.75" customHeight="1">
      <c r="A241" s="36"/>
      <c r="B241" s="37"/>
      <c r="C241" s="37"/>
      <c r="D241" s="37"/>
      <c r="E241" s="37"/>
      <c r="F241" s="37"/>
      <c r="G241" s="1"/>
      <c r="H241" s="1"/>
      <c r="I241" s="1"/>
      <c r="J241" s="1"/>
      <c r="K241" s="1"/>
      <c r="L241" s="1"/>
      <c r="M241" s="1"/>
      <c r="N241" s="1"/>
      <c r="O241" s="1"/>
      <c r="P241" s="1"/>
      <c r="Q241" s="1"/>
      <c r="R241" s="1"/>
      <c r="S241" s="1"/>
      <c r="T241" s="1"/>
    </row>
    <row r="242" ht="15.75" customHeight="1">
      <c r="A242" s="36"/>
      <c r="B242" s="37"/>
      <c r="C242" s="37"/>
      <c r="D242" s="37"/>
      <c r="E242" s="37"/>
      <c r="F242" s="37"/>
      <c r="G242" s="1"/>
      <c r="H242" s="1"/>
      <c r="I242" s="1"/>
      <c r="J242" s="1"/>
      <c r="K242" s="1"/>
      <c r="L242" s="1"/>
      <c r="M242" s="1"/>
      <c r="N242" s="1"/>
      <c r="O242" s="1"/>
      <c r="P242" s="1"/>
      <c r="Q242" s="1"/>
      <c r="R242" s="1"/>
      <c r="S242" s="1"/>
      <c r="T242" s="1"/>
    </row>
    <row r="243" ht="15.75" customHeight="1">
      <c r="A243" s="36"/>
      <c r="B243" s="37"/>
      <c r="C243" s="37"/>
      <c r="D243" s="37"/>
      <c r="E243" s="37"/>
      <c r="F243" s="37"/>
      <c r="G243" s="1"/>
      <c r="H243" s="1"/>
      <c r="I243" s="1"/>
      <c r="J243" s="1"/>
      <c r="K243" s="1"/>
      <c r="L243" s="1"/>
      <c r="M243" s="1"/>
      <c r="N243" s="1"/>
      <c r="O243" s="1"/>
      <c r="P243" s="1"/>
      <c r="Q243" s="1"/>
      <c r="R243" s="1"/>
      <c r="S243" s="1"/>
      <c r="T243" s="1"/>
    </row>
    <row r="244" ht="15.75" customHeight="1">
      <c r="A244" s="36"/>
      <c r="B244" s="37"/>
      <c r="C244" s="37"/>
      <c r="D244" s="37"/>
      <c r="E244" s="37"/>
      <c r="F244" s="37"/>
      <c r="G244" s="1"/>
      <c r="H244" s="1"/>
      <c r="I244" s="1"/>
      <c r="J244" s="1"/>
      <c r="K244" s="1"/>
      <c r="L244" s="1"/>
      <c r="M244" s="1"/>
      <c r="N244" s="1"/>
      <c r="O244" s="1"/>
      <c r="P244" s="1"/>
      <c r="Q244" s="1"/>
      <c r="R244" s="1"/>
      <c r="S244" s="1"/>
      <c r="T244" s="1"/>
    </row>
    <row r="245" ht="15.75" customHeight="1">
      <c r="A245" s="36"/>
      <c r="B245" s="37"/>
      <c r="C245" s="37"/>
      <c r="D245" s="37"/>
      <c r="E245" s="37"/>
      <c r="F245" s="37"/>
      <c r="G245" s="1"/>
      <c r="H245" s="1"/>
      <c r="I245" s="1"/>
      <c r="J245" s="1"/>
      <c r="K245" s="1"/>
      <c r="L245" s="1"/>
      <c r="M245" s="1"/>
      <c r="N245" s="1"/>
      <c r="O245" s="1"/>
      <c r="P245" s="1"/>
      <c r="Q245" s="1"/>
      <c r="R245" s="1"/>
      <c r="S245" s="1"/>
      <c r="T245" s="1"/>
    </row>
    <row r="246" ht="15.75" customHeight="1">
      <c r="A246" s="36"/>
      <c r="B246" s="37"/>
      <c r="C246" s="37"/>
      <c r="D246" s="37"/>
      <c r="E246" s="37"/>
      <c r="F246" s="37"/>
      <c r="G246" s="1"/>
      <c r="H246" s="1"/>
      <c r="I246" s="1"/>
      <c r="J246" s="1"/>
      <c r="K246" s="1"/>
      <c r="L246" s="1"/>
      <c r="M246" s="1"/>
      <c r="N246" s="1"/>
      <c r="O246" s="1"/>
      <c r="P246" s="1"/>
      <c r="Q246" s="1"/>
      <c r="R246" s="1"/>
      <c r="S246" s="1"/>
      <c r="T246" s="1"/>
    </row>
    <row r="247" ht="15.75" customHeight="1">
      <c r="A247" s="36"/>
      <c r="B247" s="37"/>
      <c r="C247" s="37"/>
      <c r="D247" s="37"/>
      <c r="E247" s="37"/>
      <c r="F247" s="37"/>
      <c r="G247" s="1"/>
      <c r="H247" s="1"/>
      <c r="I247" s="1"/>
      <c r="J247" s="1"/>
      <c r="K247" s="1"/>
      <c r="L247" s="1"/>
      <c r="M247" s="1"/>
      <c r="N247" s="1"/>
      <c r="O247" s="1"/>
      <c r="P247" s="1"/>
      <c r="Q247" s="1"/>
      <c r="R247" s="1"/>
      <c r="S247" s="1"/>
      <c r="T247" s="1"/>
    </row>
    <row r="248" ht="15.75" customHeight="1">
      <c r="A248" s="36"/>
      <c r="B248" s="37"/>
      <c r="C248" s="37"/>
      <c r="D248" s="37"/>
      <c r="E248" s="37"/>
      <c r="F248" s="37"/>
      <c r="G248" s="1"/>
      <c r="H248" s="1"/>
      <c r="I248" s="1"/>
      <c r="J248" s="1"/>
      <c r="K248" s="1"/>
      <c r="L248" s="1"/>
      <c r="M248" s="1"/>
      <c r="N248" s="1"/>
      <c r="O248" s="1"/>
      <c r="P248" s="1"/>
      <c r="Q248" s="1"/>
      <c r="R248" s="1"/>
      <c r="S248" s="1"/>
      <c r="T248" s="1"/>
    </row>
    <row r="249" ht="15.75" customHeight="1">
      <c r="A249" s="36"/>
      <c r="B249" s="37"/>
      <c r="C249" s="37"/>
      <c r="D249" s="37"/>
      <c r="E249" s="37"/>
      <c r="F249" s="37"/>
      <c r="G249" s="1"/>
      <c r="H249" s="1"/>
      <c r="I249" s="1"/>
      <c r="J249" s="1"/>
      <c r="K249" s="1"/>
      <c r="L249" s="1"/>
      <c r="M249" s="1"/>
      <c r="N249" s="1"/>
      <c r="O249" s="1"/>
      <c r="P249" s="1"/>
      <c r="Q249" s="1"/>
      <c r="R249" s="1"/>
      <c r="S249" s="1"/>
      <c r="T249" s="1"/>
    </row>
    <row r="250" ht="15.75" customHeight="1">
      <c r="A250" s="36"/>
      <c r="B250" s="37"/>
      <c r="C250" s="37"/>
      <c r="D250" s="37"/>
      <c r="E250" s="37"/>
      <c r="F250" s="37"/>
      <c r="G250" s="1"/>
      <c r="H250" s="1"/>
      <c r="I250" s="1"/>
      <c r="J250" s="1"/>
      <c r="K250" s="1"/>
      <c r="L250" s="1"/>
      <c r="M250" s="1"/>
      <c r="N250" s="1"/>
      <c r="O250" s="1"/>
      <c r="P250" s="1"/>
      <c r="Q250" s="1"/>
      <c r="R250" s="1"/>
      <c r="S250" s="1"/>
      <c r="T250" s="1"/>
    </row>
    <row r="251" ht="15.75" customHeight="1">
      <c r="A251" s="36"/>
      <c r="B251" s="37"/>
      <c r="C251" s="37"/>
      <c r="D251" s="37"/>
      <c r="E251" s="37"/>
      <c r="F251" s="37"/>
      <c r="G251" s="1"/>
      <c r="H251" s="1"/>
      <c r="I251" s="1"/>
      <c r="J251" s="1"/>
      <c r="K251" s="1"/>
      <c r="L251" s="1"/>
      <c r="M251" s="1"/>
      <c r="N251" s="1"/>
      <c r="O251" s="1"/>
      <c r="P251" s="1"/>
      <c r="Q251" s="1"/>
      <c r="R251" s="1"/>
      <c r="S251" s="1"/>
      <c r="T251" s="1"/>
    </row>
    <row r="252" ht="15.75" customHeight="1">
      <c r="A252" s="36"/>
      <c r="B252" s="37"/>
      <c r="C252" s="37"/>
      <c r="D252" s="37"/>
      <c r="E252" s="37"/>
      <c r="F252" s="37"/>
      <c r="G252" s="1"/>
      <c r="H252" s="1"/>
      <c r="I252" s="1"/>
      <c r="J252" s="1"/>
      <c r="K252" s="1"/>
      <c r="L252" s="1"/>
      <c r="M252" s="1"/>
      <c r="N252" s="1"/>
      <c r="O252" s="1"/>
      <c r="P252" s="1"/>
      <c r="Q252" s="1"/>
      <c r="R252" s="1"/>
      <c r="S252" s="1"/>
      <c r="T252" s="1"/>
    </row>
    <row r="253" ht="15.75" customHeight="1">
      <c r="A253" s="36"/>
      <c r="B253" s="37"/>
      <c r="C253" s="37"/>
      <c r="D253" s="37"/>
      <c r="E253" s="37"/>
      <c r="F253" s="37"/>
      <c r="G253" s="1"/>
      <c r="H253" s="1"/>
      <c r="I253" s="1"/>
      <c r="J253" s="1"/>
      <c r="K253" s="1"/>
      <c r="L253" s="1"/>
      <c r="M253" s="1"/>
      <c r="N253" s="1"/>
      <c r="O253" s="1"/>
      <c r="P253" s="1"/>
      <c r="Q253" s="1"/>
      <c r="R253" s="1"/>
      <c r="S253" s="1"/>
      <c r="T253" s="1"/>
    </row>
    <row r="254" ht="15.75" customHeight="1">
      <c r="A254" s="36"/>
      <c r="B254" s="37"/>
      <c r="C254" s="37"/>
      <c r="D254" s="37"/>
      <c r="E254" s="37"/>
      <c r="F254" s="37"/>
      <c r="G254" s="1"/>
      <c r="H254" s="1"/>
      <c r="I254" s="1"/>
      <c r="J254" s="1"/>
      <c r="K254" s="1"/>
      <c r="L254" s="1"/>
      <c r="M254" s="1"/>
      <c r="N254" s="1"/>
      <c r="O254" s="1"/>
      <c r="P254" s="1"/>
      <c r="Q254" s="1"/>
      <c r="R254" s="1"/>
      <c r="S254" s="1"/>
      <c r="T254" s="1"/>
    </row>
    <row r="255" ht="15.75" customHeight="1">
      <c r="A255" s="36"/>
      <c r="B255" s="37"/>
      <c r="C255" s="37"/>
      <c r="D255" s="37"/>
      <c r="E255" s="37"/>
      <c r="F255" s="37"/>
      <c r="G255" s="1"/>
      <c r="H255" s="1"/>
      <c r="I255" s="1"/>
      <c r="J255" s="1"/>
      <c r="K255" s="1"/>
      <c r="L255" s="1"/>
      <c r="M255" s="1"/>
      <c r="N255" s="1"/>
      <c r="O255" s="1"/>
      <c r="P255" s="1"/>
      <c r="Q255" s="1"/>
      <c r="R255" s="1"/>
      <c r="S255" s="1"/>
      <c r="T255" s="1"/>
    </row>
    <row r="256" ht="15.75" customHeight="1">
      <c r="A256" s="36"/>
      <c r="B256" s="37"/>
      <c r="C256" s="37"/>
      <c r="D256" s="37"/>
      <c r="E256" s="37"/>
      <c r="F256" s="37"/>
      <c r="G256" s="1"/>
      <c r="H256" s="1"/>
      <c r="I256" s="1"/>
      <c r="J256" s="1"/>
      <c r="K256" s="1"/>
      <c r="L256" s="1"/>
      <c r="M256" s="1"/>
      <c r="N256" s="1"/>
      <c r="O256" s="1"/>
      <c r="P256" s="1"/>
      <c r="Q256" s="1"/>
      <c r="R256" s="1"/>
      <c r="S256" s="1"/>
      <c r="T256" s="1"/>
    </row>
    <row r="257" ht="15.75" customHeight="1">
      <c r="A257" s="36"/>
      <c r="B257" s="37"/>
      <c r="C257" s="37"/>
      <c r="D257" s="37"/>
      <c r="E257" s="37"/>
      <c r="F257" s="37"/>
      <c r="G257" s="1"/>
      <c r="H257" s="1"/>
      <c r="I257" s="1"/>
      <c r="J257" s="1"/>
      <c r="K257" s="1"/>
      <c r="L257" s="1"/>
      <c r="M257" s="1"/>
      <c r="N257" s="1"/>
      <c r="O257" s="1"/>
      <c r="P257" s="1"/>
      <c r="Q257" s="1"/>
      <c r="R257" s="1"/>
      <c r="S257" s="1"/>
      <c r="T257" s="1"/>
    </row>
    <row r="258" ht="15.75" customHeight="1">
      <c r="A258" s="36"/>
      <c r="B258" s="37"/>
      <c r="C258" s="37"/>
      <c r="D258" s="37"/>
      <c r="E258" s="37"/>
      <c r="F258" s="37"/>
      <c r="G258" s="1"/>
      <c r="H258" s="1"/>
      <c r="I258" s="1"/>
      <c r="J258" s="1"/>
      <c r="K258" s="1"/>
      <c r="L258" s="1"/>
      <c r="M258" s="1"/>
      <c r="N258" s="1"/>
      <c r="O258" s="1"/>
      <c r="P258" s="1"/>
      <c r="Q258" s="1"/>
      <c r="R258" s="1"/>
      <c r="S258" s="1"/>
      <c r="T258" s="1"/>
    </row>
    <row r="259" ht="15.75" customHeight="1">
      <c r="A259" s="36"/>
      <c r="B259" s="37"/>
      <c r="C259" s="37"/>
      <c r="D259" s="37"/>
      <c r="E259" s="37"/>
      <c r="F259" s="37"/>
      <c r="G259" s="1"/>
      <c r="H259" s="1"/>
      <c r="I259" s="1"/>
      <c r="J259" s="1"/>
      <c r="K259" s="1"/>
      <c r="L259" s="1"/>
      <c r="M259" s="1"/>
      <c r="N259" s="1"/>
      <c r="O259" s="1"/>
      <c r="P259" s="1"/>
      <c r="Q259" s="1"/>
      <c r="R259" s="1"/>
      <c r="S259" s="1"/>
      <c r="T259" s="1"/>
    </row>
    <row r="260" ht="15.75" customHeight="1">
      <c r="A260" s="36"/>
      <c r="B260" s="37"/>
      <c r="C260" s="37"/>
      <c r="D260" s="37"/>
      <c r="E260" s="37"/>
      <c r="F260" s="37"/>
      <c r="G260" s="1"/>
      <c r="H260" s="1"/>
      <c r="I260" s="1"/>
      <c r="J260" s="1"/>
      <c r="K260" s="1"/>
      <c r="L260" s="1"/>
      <c r="M260" s="1"/>
      <c r="N260" s="1"/>
      <c r="O260" s="1"/>
      <c r="P260" s="1"/>
      <c r="Q260" s="1"/>
      <c r="R260" s="1"/>
      <c r="S260" s="1"/>
      <c r="T260" s="1"/>
    </row>
    <row r="261" ht="15.75" customHeight="1">
      <c r="A261" s="36"/>
      <c r="B261" s="37"/>
      <c r="C261" s="37"/>
      <c r="D261" s="37"/>
      <c r="E261" s="37"/>
      <c r="F261" s="37"/>
      <c r="G261" s="1"/>
      <c r="H261" s="1"/>
      <c r="I261" s="1"/>
      <c r="J261" s="1"/>
      <c r="K261" s="1"/>
      <c r="L261" s="1"/>
      <c r="M261" s="1"/>
      <c r="N261" s="1"/>
      <c r="O261" s="1"/>
      <c r="P261" s="1"/>
      <c r="Q261" s="1"/>
      <c r="R261" s="1"/>
      <c r="S261" s="1"/>
      <c r="T261" s="1"/>
    </row>
    <row r="262" ht="15.75" customHeight="1">
      <c r="A262" s="36"/>
      <c r="B262" s="37"/>
      <c r="C262" s="37"/>
      <c r="D262" s="37"/>
      <c r="E262" s="37"/>
      <c r="F262" s="37"/>
      <c r="G262" s="1"/>
      <c r="H262" s="1"/>
      <c r="I262" s="1"/>
      <c r="J262" s="1"/>
      <c r="K262" s="1"/>
      <c r="L262" s="1"/>
      <c r="M262" s="1"/>
      <c r="N262" s="1"/>
      <c r="O262" s="1"/>
      <c r="P262" s="1"/>
      <c r="Q262" s="1"/>
      <c r="R262" s="1"/>
      <c r="S262" s="1"/>
      <c r="T262" s="1"/>
    </row>
    <row r="263" ht="15.75" customHeight="1">
      <c r="A263" s="36"/>
      <c r="B263" s="37"/>
      <c r="C263" s="37"/>
      <c r="D263" s="37"/>
      <c r="E263" s="37"/>
      <c r="F263" s="37"/>
      <c r="G263" s="1"/>
      <c r="H263" s="1"/>
      <c r="I263" s="1"/>
      <c r="J263" s="1"/>
      <c r="K263" s="1"/>
      <c r="L263" s="1"/>
      <c r="M263" s="1"/>
      <c r="N263" s="1"/>
      <c r="O263" s="1"/>
      <c r="P263" s="1"/>
      <c r="Q263" s="1"/>
      <c r="R263" s="1"/>
      <c r="S263" s="1"/>
      <c r="T263" s="1"/>
    </row>
    <row r="264" ht="15.75" customHeight="1">
      <c r="A264" s="36"/>
      <c r="B264" s="37"/>
      <c r="C264" s="37"/>
      <c r="D264" s="37"/>
      <c r="E264" s="37"/>
      <c r="F264" s="37"/>
      <c r="G264" s="1"/>
      <c r="H264" s="1"/>
      <c r="I264" s="1"/>
      <c r="J264" s="1"/>
      <c r="K264" s="1"/>
      <c r="L264" s="1"/>
      <c r="M264" s="1"/>
      <c r="N264" s="1"/>
      <c r="O264" s="1"/>
      <c r="P264" s="1"/>
      <c r="Q264" s="1"/>
      <c r="R264" s="1"/>
      <c r="S264" s="1"/>
      <c r="T264" s="1"/>
    </row>
    <row r="265" ht="15.75" customHeight="1">
      <c r="A265" s="36"/>
      <c r="B265" s="37"/>
      <c r="C265" s="37"/>
      <c r="D265" s="37"/>
      <c r="E265" s="37"/>
      <c r="F265" s="37"/>
      <c r="G265" s="1"/>
      <c r="H265" s="1"/>
      <c r="I265" s="1"/>
      <c r="J265" s="1"/>
      <c r="K265" s="1"/>
      <c r="L265" s="1"/>
      <c r="M265" s="1"/>
      <c r="N265" s="1"/>
      <c r="O265" s="1"/>
      <c r="P265" s="1"/>
      <c r="Q265" s="1"/>
      <c r="R265" s="1"/>
      <c r="S265" s="1"/>
      <c r="T265" s="1"/>
    </row>
    <row r="266" ht="15.75" customHeight="1">
      <c r="A266" s="36"/>
      <c r="B266" s="37"/>
      <c r="C266" s="37"/>
      <c r="D266" s="37"/>
      <c r="E266" s="37"/>
      <c r="F266" s="37"/>
      <c r="G266" s="1"/>
      <c r="H266" s="1"/>
      <c r="I266" s="1"/>
      <c r="J266" s="1"/>
      <c r="K266" s="1"/>
      <c r="L266" s="1"/>
      <c r="M266" s="1"/>
      <c r="N266" s="1"/>
      <c r="O266" s="1"/>
      <c r="P266" s="1"/>
      <c r="Q266" s="1"/>
      <c r="R266" s="1"/>
      <c r="S266" s="1"/>
      <c r="T266" s="1"/>
    </row>
    <row r="267" ht="15.75" customHeight="1">
      <c r="A267" s="36"/>
      <c r="B267" s="37"/>
      <c r="C267" s="37"/>
      <c r="D267" s="37"/>
      <c r="E267" s="37"/>
      <c r="F267" s="37"/>
      <c r="G267" s="1"/>
      <c r="H267" s="1"/>
      <c r="I267" s="1"/>
      <c r="J267" s="1"/>
      <c r="K267" s="1"/>
      <c r="L267" s="1"/>
      <c r="M267" s="1"/>
      <c r="N267" s="1"/>
      <c r="O267" s="1"/>
      <c r="P267" s="1"/>
      <c r="Q267" s="1"/>
      <c r="R267" s="1"/>
      <c r="S267" s="1"/>
      <c r="T267" s="1"/>
    </row>
    <row r="268" ht="15.75" customHeight="1">
      <c r="A268" s="36"/>
      <c r="B268" s="37"/>
      <c r="C268" s="37"/>
      <c r="D268" s="37"/>
      <c r="E268" s="37"/>
      <c r="F268" s="37"/>
      <c r="G268" s="1"/>
      <c r="H268" s="1"/>
      <c r="I268" s="1"/>
      <c r="J268" s="1"/>
      <c r="K268" s="1"/>
      <c r="L268" s="1"/>
      <c r="M268" s="1"/>
      <c r="N268" s="1"/>
      <c r="O268" s="1"/>
      <c r="P268" s="1"/>
      <c r="Q268" s="1"/>
      <c r="R268" s="1"/>
      <c r="S268" s="1"/>
      <c r="T268" s="1"/>
    </row>
    <row r="269" ht="15.75" customHeight="1">
      <c r="A269" s="36"/>
      <c r="B269" s="37"/>
      <c r="C269" s="37"/>
      <c r="D269" s="37"/>
      <c r="E269" s="37"/>
      <c r="F269" s="37"/>
      <c r="G269" s="1"/>
      <c r="H269" s="1"/>
      <c r="I269" s="1"/>
      <c r="J269" s="1"/>
      <c r="K269" s="1"/>
      <c r="L269" s="1"/>
      <c r="M269" s="1"/>
      <c r="N269" s="1"/>
      <c r="O269" s="1"/>
      <c r="P269" s="1"/>
      <c r="Q269" s="1"/>
      <c r="R269" s="1"/>
      <c r="S269" s="1"/>
      <c r="T269" s="1"/>
    </row>
    <row r="270" ht="15.75" customHeight="1">
      <c r="A270" s="36"/>
      <c r="B270" s="37"/>
      <c r="C270" s="37"/>
      <c r="D270" s="37"/>
      <c r="E270" s="37"/>
      <c r="F270" s="37"/>
      <c r="G270" s="1"/>
      <c r="H270" s="1"/>
      <c r="I270" s="1"/>
      <c r="J270" s="1"/>
      <c r="K270" s="1"/>
      <c r="L270" s="1"/>
      <c r="M270" s="1"/>
      <c r="N270" s="1"/>
      <c r="O270" s="1"/>
      <c r="P270" s="1"/>
      <c r="Q270" s="1"/>
      <c r="R270" s="1"/>
      <c r="S270" s="1"/>
      <c r="T270" s="1"/>
    </row>
    <row r="271" ht="15.75" customHeight="1">
      <c r="A271" s="36"/>
      <c r="B271" s="37"/>
      <c r="C271" s="37"/>
      <c r="D271" s="37"/>
      <c r="E271" s="37"/>
      <c r="F271" s="37"/>
      <c r="G271" s="1"/>
      <c r="H271" s="1"/>
      <c r="I271" s="1"/>
      <c r="J271" s="1"/>
      <c r="K271" s="1"/>
      <c r="L271" s="1"/>
      <c r="M271" s="1"/>
      <c r="N271" s="1"/>
      <c r="O271" s="1"/>
      <c r="P271" s="1"/>
      <c r="Q271" s="1"/>
      <c r="R271" s="1"/>
      <c r="S271" s="1"/>
      <c r="T271" s="1"/>
    </row>
    <row r="272" ht="15.75" customHeight="1">
      <c r="A272" s="36"/>
      <c r="B272" s="37"/>
      <c r="C272" s="37"/>
      <c r="D272" s="37"/>
      <c r="E272" s="37"/>
      <c r="F272" s="37"/>
      <c r="G272" s="1"/>
      <c r="H272" s="1"/>
      <c r="I272" s="1"/>
      <c r="J272" s="1"/>
      <c r="K272" s="1"/>
      <c r="L272" s="1"/>
      <c r="M272" s="1"/>
      <c r="N272" s="1"/>
      <c r="O272" s="1"/>
      <c r="P272" s="1"/>
      <c r="Q272" s="1"/>
      <c r="R272" s="1"/>
      <c r="S272" s="1"/>
      <c r="T272" s="1"/>
    </row>
    <row r="273" ht="15.75" customHeight="1">
      <c r="A273" s="36"/>
      <c r="B273" s="37"/>
      <c r="C273" s="37"/>
      <c r="D273" s="37"/>
      <c r="E273" s="37"/>
      <c r="F273" s="37"/>
      <c r="G273" s="1"/>
      <c r="H273" s="1"/>
      <c r="I273" s="1"/>
      <c r="J273" s="1"/>
      <c r="K273" s="1"/>
      <c r="L273" s="1"/>
      <c r="M273" s="1"/>
      <c r="N273" s="1"/>
      <c r="O273" s="1"/>
      <c r="P273" s="1"/>
      <c r="Q273" s="1"/>
      <c r="R273" s="1"/>
      <c r="S273" s="1"/>
      <c r="T273" s="1"/>
    </row>
    <row r="274" ht="15.75" customHeight="1">
      <c r="A274" s="36"/>
      <c r="B274" s="37"/>
      <c r="C274" s="37"/>
      <c r="D274" s="37"/>
      <c r="E274" s="37"/>
      <c r="F274" s="37"/>
      <c r="G274" s="1"/>
      <c r="H274" s="1"/>
      <c r="I274" s="1"/>
      <c r="J274" s="1"/>
      <c r="K274" s="1"/>
      <c r="L274" s="1"/>
      <c r="M274" s="1"/>
      <c r="N274" s="1"/>
      <c r="O274" s="1"/>
      <c r="P274" s="1"/>
      <c r="Q274" s="1"/>
      <c r="R274" s="1"/>
      <c r="S274" s="1"/>
      <c r="T274" s="1"/>
    </row>
    <row r="275" ht="15.75" customHeight="1">
      <c r="A275" s="36"/>
      <c r="B275" s="37"/>
      <c r="C275" s="37"/>
      <c r="D275" s="37"/>
      <c r="E275" s="37"/>
      <c r="F275" s="37"/>
      <c r="G275" s="1"/>
      <c r="H275" s="1"/>
      <c r="I275" s="1"/>
      <c r="J275" s="1"/>
      <c r="K275" s="1"/>
      <c r="L275" s="1"/>
      <c r="M275" s="1"/>
      <c r="N275" s="1"/>
      <c r="O275" s="1"/>
      <c r="P275" s="1"/>
      <c r="Q275" s="1"/>
      <c r="R275" s="1"/>
      <c r="S275" s="1"/>
      <c r="T275" s="1"/>
    </row>
    <row r="276" ht="15.75" customHeight="1">
      <c r="A276" s="36"/>
      <c r="B276" s="37"/>
      <c r="C276" s="37"/>
      <c r="D276" s="37"/>
      <c r="E276" s="37"/>
      <c r="F276" s="37"/>
      <c r="G276" s="1"/>
      <c r="H276" s="1"/>
      <c r="I276" s="1"/>
      <c r="J276" s="1"/>
      <c r="K276" s="1"/>
      <c r="L276" s="1"/>
      <c r="M276" s="1"/>
      <c r="N276" s="1"/>
      <c r="O276" s="1"/>
      <c r="P276" s="1"/>
      <c r="Q276" s="1"/>
      <c r="R276" s="1"/>
      <c r="S276" s="1"/>
      <c r="T276" s="1"/>
    </row>
    <row r="277" ht="15.75" customHeight="1">
      <c r="A277" s="36"/>
      <c r="B277" s="37"/>
      <c r="C277" s="37"/>
      <c r="D277" s="37"/>
      <c r="E277" s="37"/>
      <c r="F277" s="37"/>
      <c r="G277" s="1"/>
      <c r="H277" s="1"/>
      <c r="I277" s="1"/>
      <c r="J277" s="1"/>
      <c r="K277" s="1"/>
      <c r="L277" s="1"/>
      <c r="M277" s="1"/>
      <c r="N277" s="1"/>
      <c r="O277" s="1"/>
      <c r="P277" s="1"/>
      <c r="Q277" s="1"/>
      <c r="R277" s="1"/>
      <c r="S277" s="1"/>
      <c r="T277" s="1"/>
    </row>
    <row r="278" ht="15.75" customHeight="1">
      <c r="A278" s="36"/>
      <c r="B278" s="37"/>
      <c r="C278" s="37"/>
      <c r="D278" s="37"/>
      <c r="E278" s="37"/>
      <c r="F278" s="37"/>
      <c r="G278" s="1"/>
      <c r="H278" s="1"/>
      <c r="I278" s="1"/>
      <c r="J278" s="1"/>
      <c r="K278" s="1"/>
      <c r="L278" s="1"/>
      <c r="M278" s="1"/>
      <c r="N278" s="1"/>
      <c r="O278" s="1"/>
      <c r="P278" s="1"/>
      <c r="Q278" s="1"/>
      <c r="R278" s="1"/>
      <c r="S278" s="1"/>
      <c r="T278" s="1"/>
    </row>
    <row r="279" ht="15.75" customHeight="1">
      <c r="A279" s="36"/>
      <c r="B279" s="37"/>
      <c r="C279" s="37"/>
      <c r="D279" s="37"/>
      <c r="E279" s="37"/>
      <c r="F279" s="37"/>
      <c r="G279" s="1"/>
      <c r="H279" s="1"/>
      <c r="I279" s="1"/>
      <c r="J279" s="1"/>
      <c r="K279" s="1"/>
      <c r="L279" s="1"/>
      <c r="M279" s="1"/>
      <c r="N279" s="1"/>
      <c r="O279" s="1"/>
      <c r="P279" s="1"/>
      <c r="Q279" s="1"/>
      <c r="R279" s="1"/>
      <c r="S279" s="1"/>
      <c r="T279" s="1"/>
    </row>
    <row r="280" ht="15.75" customHeight="1">
      <c r="A280" s="36"/>
      <c r="B280" s="37"/>
      <c r="C280" s="37"/>
      <c r="D280" s="37"/>
      <c r="E280" s="37"/>
      <c r="F280" s="37"/>
      <c r="G280" s="1"/>
      <c r="H280" s="1"/>
      <c r="I280" s="1"/>
      <c r="J280" s="1"/>
      <c r="K280" s="1"/>
      <c r="L280" s="1"/>
      <c r="M280" s="1"/>
      <c r="N280" s="1"/>
      <c r="O280" s="1"/>
      <c r="P280" s="1"/>
      <c r="Q280" s="1"/>
      <c r="R280" s="1"/>
      <c r="S280" s="1"/>
      <c r="T280" s="1"/>
    </row>
    <row r="281" ht="15.75" customHeight="1">
      <c r="A281" s="36"/>
      <c r="B281" s="37"/>
      <c r="C281" s="37"/>
      <c r="D281" s="37"/>
      <c r="E281" s="37"/>
      <c r="F281" s="37"/>
      <c r="G281" s="1"/>
      <c r="H281" s="1"/>
      <c r="I281" s="1"/>
      <c r="J281" s="1"/>
      <c r="K281" s="1"/>
      <c r="L281" s="1"/>
      <c r="M281" s="1"/>
      <c r="N281" s="1"/>
      <c r="O281" s="1"/>
      <c r="P281" s="1"/>
      <c r="Q281" s="1"/>
      <c r="R281" s="1"/>
      <c r="S281" s="1"/>
      <c r="T281" s="1"/>
    </row>
    <row r="282" ht="15.75" customHeight="1">
      <c r="A282" s="36"/>
      <c r="B282" s="37"/>
      <c r="C282" s="37"/>
      <c r="D282" s="37"/>
      <c r="E282" s="37"/>
      <c r="F282" s="37"/>
      <c r="G282" s="1"/>
      <c r="H282" s="1"/>
      <c r="I282" s="1"/>
      <c r="J282" s="1"/>
      <c r="K282" s="1"/>
      <c r="L282" s="1"/>
      <c r="M282" s="1"/>
      <c r="N282" s="1"/>
      <c r="O282" s="1"/>
      <c r="P282" s="1"/>
      <c r="Q282" s="1"/>
      <c r="R282" s="1"/>
      <c r="S282" s="1"/>
      <c r="T282" s="1"/>
    </row>
    <row r="283" ht="15.75" customHeight="1">
      <c r="A283" s="36"/>
      <c r="B283" s="37"/>
      <c r="C283" s="37"/>
      <c r="D283" s="37"/>
      <c r="E283" s="37"/>
      <c r="F283" s="37"/>
      <c r="G283" s="1"/>
      <c r="H283" s="1"/>
      <c r="I283" s="1"/>
      <c r="J283" s="1"/>
      <c r="K283" s="1"/>
      <c r="L283" s="1"/>
      <c r="M283" s="1"/>
      <c r="N283" s="1"/>
      <c r="O283" s="1"/>
      <c r="P283" s="1"/>
      <c r="Q283" s="1"/>
      <c r="R283" s="1"/>
      <c r="S283" s="1"/>
      <c r="T283" s="1"/>
    </row>
    <row r="284" ht="15.75" customHeight="1">
      <c r="A284" s="36"/>
      <c r="B284" s="37"/>
      <c r="C284" s="37"/>
      <c r="D284" s="37"/>
      <c r="E284" s="37"/>
      <c r="F284" s="37"/>
      <c r="G284" s="1"/>
      <c r="H284" s="1"/>
      <c r="I284" s="1"/>
      <c r="J284" s="1"/>
      <c r="K284" s="1"/>
      <c r="L284" s="1"/>
      <c r="M284" s="1"/>
      <c r="N284" s="1"/>
      <c r="O284" s="1"/>
      <c r="P284" s="1"/>
      <c r="Q284" s="1"/>
      <c r="R284" s="1"/>
      <c r="S284" s="1"/>
      <c r="T284" s="1"/>
    </row>
    <row r="285" ht="15.75" customHeight="1">
      <c r="A285" s="36"/>
      <c r="B285" s="37"/>
      <c r="C285" s="37"/>
      <c r="D285" s="37"/>
      <c r="E285" s="37"/>
      <c r="F285" s="37"/>
      <c r="G285" s="1"/>
      <c r="H285" s="1"/>
      <c r="I285" s="1"/>
      <c r="J285" s="1"/>
      <c r="K285" s="1"/>
      <c r="L285" s="1"/>
      <c r="M285" s="1"/>
      <c r="N285" s="1"/>
      <c r="O285" s="1"/>
      <c r="P285" s="1"/>
      <c r="Q285" s="1"/>
      <c r="R285" s="1"/>
      <c r="S285" s="1"/>
      <c r="T285" s="1"/>
    </row>
    <row r="286" ht="15.75" customHeight="1">
      <c r="A286" s="36"/>
      <c r="B286" s="37"/>
      <c r="C286" s="37"/>
      <c r="D286" s="37"/>
      <c r="E286" s="37"/>
      <c r="F286" s="37"/>
      <c r="G286" s="1"/>
      <c r="H286" s="1"/>
      <c r="I286" s="1"/>
      <c r="J286" s="1"/>
      <c r="K286" s="1"/>
      <c r="L286" s="1"/>
      <c r="M286" s="1"/>
      <c r="N286" s="1"/>
      <c r="O286" s="1"/>
      <c r="P286" s="1"/>
      <c r="Q286" s="1"/>
      <c r="R286" s="1"/>
      <c r="S286" s="1"/>
      <c r="T286" s="1"/>
    </row>
    <row r="287" ht="15.75" customHeight="1">
      <c r="A287" s="36"/>
      <c r="B287" s="37"/>
      <c r="C287" s="37"/>
      <c r="D287" s="37"/>
      <c r="E287" s="37"/>
      <c r="F287" s="37"/>
      <c r="G287" s="1"/>
      <c r="H287" s="1"/>
      <c r="I287" s="1"/>
      <c r="J287" s="1"/>
      <c r="K287" s="1"/>
      <c r="L287" s="1"/>
      <c r="M287" s="1"/>
      <c r="N287" s="1"/>
      <c r="O287" s="1"/>
      <c r="P287" s="1"/>
      <c r="Q287" s="1"/>
      <c r="R287" s="1"/>
      <c r="S287" s="1"/>
      <c r="T287" s="1"/>
    </row>
    <row r="288" ht="15.75" customHeight="1">
      <c r="A288" s="36"/>
      <c r="B288" s="37"/>
      <c r="C288" s="37"/>
      <c r="D288" s="37"/>
      <c r="E288" s="37"/>
      <c r="F288" s="37"/>
      <c r="G288" s="1"/>
      <c r="H288" s="1"/>
      <c r="I288" s="1"/>
      <c r="J288" s="1"/>
      <c r="K288" s="1"/>
      <c r="L288" s="1"/>
      <c r="M288" s="1"/>
      <c r="N288" s="1"/>
      <c r="O288" s="1"/>
      <c r="P288" s="1"/>
      <c r="Q288" s="1"/>
      <c r="R288" s="1"/>
      <c r="S288" s="1"/>
      <c r="T288" s="1"/>
    </row>
    <row r="289" ht="15.75" customHeight="1">
      <c r="A289" s="36"/>
      <c r="B289" s="37"/>
      <c r="C289" s="37"/>
      <c r="D289" s="37"/>
      <c r="E289" s="37"/>
      <c r="F289" s="37"/>
      <c r="G289" s="1"/>
      <c r="H289" s="1"/>
      <c r="I289" s="1"/>
      <c r="J289" s="1"/>
      <c r="K289" s="1"/>
      <c r="L289" s="1"/>
      <c r="M289" s="1"/>
      <c r="N289" s="1"/>
      <c r="O289" s="1"/>
      <c r="P289" s="1"/>
      <c r="Q289" s="1"/>
      <c r="R289" s="1"/>
      <c r="S289" s="1"/>
      <c r="T289" s="1"/>
    </row>
    <row r="290" ht="15.75" customHeight="1">
      <c r="A290" s="36"/>
      <c r="B290" s="37"/>
      <c r="C290" s="37"/>
      <c r="D290" s="37"/>
      <c r="E290" s="37"/>
      <c r="F290" s="37"/>
      <c r="G290" s="1"/>
      <c r="H290" s="1"/>
      <c r="I290" s="1"/>
      <c r="J290" s="1"/>
      <c r="K290" s="1"/>
      <c r="L290" s="1"/>
      <c r="M290" s="1"/>
      <c r="N290" s="1"/>
      <c r="O290" s="1"/>
      <c r="P290" s="1"/>
      <c r="Q290" s="1"/>
      <c r="R290" s="1"/>
      <c r="S290" s="1"/>
      <c r="T290" s="1"/>
    </row>
    <row r="291" ht="15.75" customHeight="1">
      <c r="A291" s="36"/>
      <c r="B291" s="37"/>
      <c r="C291" s="37"/>
      <c r="D291" s="37"/>
      <c r="E291" s="37"/>
      <c r="F291" s="37"/>
      <c r="G291" s="1"/>
      <c r="H291" s="1"/>
      <c r="I291" s="1"/>
      <c r="J291" s="1"/>
      <c r="K291" s="1"/>
      <c r="L291" s="1"/>
      <c r="M291" s="1"/>
      <c r="N291" s="1"/>
      <c r="O291" s="1"/>
      <c r="P291" s="1"/>
      <c r="Q291" s="1"/>
      <c r="R291" s="1"/>
      <c r="S291" s="1"/>
      <c r="T291" s="1"/>
    </row>
    <row r="292" ht="15.75" customHeight="1">
      <c r="A292" s="36"/>
      <c r="B292" s="37"/>
      <c r="C292" s="37"/>
      <c r="D292" s="37"/>
      <c r="E292" s="37"/>
      <c r="F292" s="37"/>
      <c r="G292" s="1"/>
      <c r="H292" s="1"/>
      <c r="I292" s="1"/>
      <c r="J292" s="1"/>
      <c r="K292" s="1"/>
      <c r="L292" s="1"/>
      <c r="M292" s="1"/>
      <c r="N292" s="1"/>
      <c r="O292" s="1"/>
      <c r="P292" s="1"/>
      <c r="Q292" s="1"/>
      <c r="R292" s="1"/>
      <c r="S292" s="1"/>
      <c r="T292" s="1"/>
    </row>
    <row r="293" ht="15.75" customHeight="1">
      <c r="A293" s="36"/>
      <c r="B293" s="37"/>
      <c r="C293" s="37"/>
      <c r="D293" s="37"/>
      <c r="E293" s="37"/>
      <c r="F293" s="37"/>
      <c r="G293" s="1"/>
      <c r="H293" s="1"/>
      <c r="I293" s="1"/>
      <c r="J293" s="1"/>
      <c r="K293" s="1"/>
      <c r="L293" s="1"/>
      <c r="M293" s="1"/>
      <c r="N293" s="1"/>
      <c r="O293" s="1"/>
      <c r="P293" s="1"/>
      <c r="Q293" s="1"/>
      <c r="R293" s="1"/>
      <c r="S293" s="1"/>
      <c r="T293" s="1"/>
    </row>
    <row r="294" ht="15.75" customHeight="1">
      <c r="A294" s="36"/>
      <c r="B294" s="37"/>
      <c r="C294" s="37"/>
      <c r="D294" s="37"/>
      <c r="E294" s="37"/>
      <c r="F294" s="37"/>
      <c r="G294" s="1"/>
      <c r="H294" s="1"/>
      <c r="I294" s="1"/>
      <c r="J294" s="1"/>
      <c r="K294" s="1"/>
      <c r="L294" s="1"/>
      <c r="M294" s="1"/>
      <c r="N294" s="1"/>
      <c r="O294" s="1"/>
      <c r="P294" s="1"/>
      <c r="Q294" s="1"/>
      <c r="R294" s="1"/>
      <c r="S294" s="1"/>
      <c r="T294" s="1"/>
    </row>
    <row r="295" ht="15.75" customHeight="1">
      <c r="A295" s="36"/>
      <c r="B295" s="37"/>
      <c r="C295" s="37"/>
      <c r="D295" s="37"/>
      <c r="E295" s="37"/>
      <c r="F295" s="37"/>
      <c r="G295" s="1"/>
      <c r="H295" s="1"/>
      <c r="I295" s="1"/>
      <c r="J295" s="1"/>
      <c r="K295" s="1"/>
      <c r="L295" s="1"/>
      <c r="M295" s="1"/>
      <c r="N295" s="1"/>
      <c r="O295" s="1"/>
      <c r="P295" s="1"/>
      <c r="Q295" s="1"/>
      <c r="R295" s="1"/>
      <c r="S295" s="1"/>
      <c r="T295" s="1"/>
    </row>
    <row r="296" ht="15.75" customHeight="1">
      <c r="A296" s="36"/>
      <c r="B296" s="37"/>
      <c r="C296" s="37"/>
      <c r="D296" s="37"/>
      <c r="E296" s="37"/>
      <c r="F296" s="37"/>
      <c r="G296" s="1"/>
      <c r="H296" s="1"/>
      <c r="I296" s="1"/>
      <c r="J296" s="1"/>
      <c r="K296" s="1"/>
      <c r="L296" s="1"/>
      <c r="M296" s="1"/>
      <c r="N296" s="1"/>
      <c r="O296" s="1"/>
      <c r="P296" s="1"/>
      <c r="Q296" s="1"/>
      <c r="R296" s="1"/>
      <c r="S296" s="1"/>
      <c r="T296" s="1"/>
    </row>
    <row r="297" ht="15.75" customHeight="1">
      <c r="A297" s="36"/>
      <c r="B297" s="37"/>
      <c r="C297" s="37"/>
      <c r="D297" s="37"/>
      <c r="E297" s="37"/>
      <c r="F297" s="37"/>
      <c r="G297" s="1"/>
      <c r="H297" s="1"/>
      <c r="I297" s="1"/>
      <c r="J297" s="1"/>
      <c r="K297" s="1"/>
      <c r="L297" s="1"/>
      <c r="M297" s="1"/>
      <c r="N297" s="1"/>
      <c r="O297" s="1"/>
      <c r="P297" s="1"/>
      <c r="Q297" s="1"/>
      <c r="R297" s="1"/>
      <c r="S297" s="1"/>
      <c r="T297" s="1"/>
    </row>
    <row r="298" ht="15.75" customHeight="1">
      <c r="A298" s="36"/>
      <c r="B298" s="37"/>
      <c r="C298" s="37"/>
      <c r="D298" s="37"/>
      <c r="E298" s="37"/>
      <c r="F298" s="37"/>
      <c r="G298" s="1"/>
      <c r="H298" s="1"/>
      <c r="I298" s="1"/>
      <c r="J298" s="1"/>
      <c r="K298" s="1"/>
      <c r="L298" s="1"/>
      <c r="M298" s="1"/>
      <c r="N298" s="1"/>
      <c r="O298" s="1"/>
      <c r="P298" s="1"/>
      <c r="Q298" s="1"/>
      <c r="R298" s="1"/>
      <c r="S298" s="1"/>
      <c r="T298" s="1"/>
    </row>
    <row r="299" ht="15.75" customHeight="1">
      <c r="A299" s="36"/>
      <c r="B299" s="37"/>
      <c r="C299" s="37"/>
      <c r="D299" s="37"/>
      <c r="E299" s="37"/>
      <c r="F299" s="37"/>
      <c r="G299" s="1"/>
      <c r="H299" s="1"/>
      <c r="I299" s="1"/>
      <c r="J299" s="1"/>
      <c r="K299" s="1"/>
      <c r="L299" s="1"/>
      <c r="M299" s="1"/>
      <c r="N299" s="1"/>
      <c r="O299" s="1"/>
      <c r="P299" s="1"/>
      <c r="Q299" s="1"/>
      <c r="R299" s="1"/>
      <c r="S299" s="1"/>
      <c r="T299" s="1"/>
    </row>
    <row r="300" ht="15.75" customHeight="1">
      <c r="A300" s="36"/>
      <c r="B300" s="37"/>
      <c r="C300" s="37"/>
      <c r="D300" s="37"/>
      <c r="E300" s="37"/>
      <c r="F300" s="37"/>
      <c r="G300" s="1"/>
      <c r="H300" s="1"/>
      <c r="I300" s="1"/>
      <c r="J300" s="1"/>
      <c r="K300" s="1"/>
      <c r="L300" s="1"/>
      <c r="M300" s="1"/>
      <c r="N300" s="1"/>
      <c r="O300" s="1"/>
      <c r="P300" s="1"/>
      <c r="Q300" s="1"/>
      <c r="R300" s="1"/>
      <c r="S300" s="1"/>
      <c r="T300" s="1"/>
    </row>
    <row r="301" ht="15.75" customHeight="1">
      <c r="A301" s="36"/>
      <c r="B301" s="37"/>
      <c r="C301" s="37"/>
      <c r="D301" s="37"/>
      <c r="E301" s="37"/>
      <c r="F301" s="37"/>
      <c r="G301" s="1"/>
      <c r="H301" s="1"/>
      <c r="I301" s="1"/>
      <c r="J301" s="1"/>
      <c r="K301" s="1"/>
      <c r="L301" s="1"/>
      <c r="M301" s="1"/>
      <c r="N301" s="1"/>
      <c r="O301" s="1"/>
      <c r="P301" s="1"/>
      <c r="Q301" s="1"/>
      <c r="R301" s="1"/>
      <c r="S301" s="1"/>
      <c r="T301" s="1"/>
    </row>
    <row r="302" ht="15.75" customHeight="1">
      <c r="A302" s="36"/>
      <c r="B302" s="37"/>
      <c r="C302" s="37"/>
      <c r="D302" s="37"/>
      <c r="E302" s="37"/>
      <c r="F302" s="37"/>
      <c r="G302" s="1"/>
      <c r="H302" s="1"/>
      <c r="I302" s="1"/>
      <c r="J302" s="1"/>
      <c r="K302" s="1"/>
      <c r="L302" s="1"/>
      <c r="M302" s="1"/>
      <c r="N302" s="1"/>
      <c r="O302" s="1"/>
      <c r="P302" s="1"/>
      <c r="Q302" s="1"/>
      <c r="R302" s="1"/>
      <c r="S302" s="1"/>
      <c r="T302" s="1"/>
    </row>
    <row r="303" ht="15.75" customHeight="1">
      <c r="A303" s="36"/>
      <c r="B303" s="37"/>
      <c r="C303" s="37"/>
      <c r="D303" s="37"/>
      <c r="E303" s="37"/>
      <c r="F303" s="37"/>
      <c r="G303" s="1"/>
      <c r="H303" s="1"/>
      <c r="I303" s="1"/>
      <c r="J303" s="1"/>
      <c r="K303" s="1"/>
      <c r="L303" s="1"/>
      <c r="M303" s="1"/>
      <c r="N303" s="1"/>
      <c r="O303" s="1"/>
      <c r="P303" s="1"/>
      <c r="Q303" s="1"/>
      <c r="R303" s="1"/>
      <c r="S303" s="1"/>
      <c r="T303" s="1"/>
    </row>
    <row r="304" ht="15.75" customHeight="1">
      <c r="A304" s="36"/>
      <c r="B304" s="37"/>
      <c r="C304" s="37"/>
      <c r="D304" s="37"/>
      <c r="E304" s="37"/>
      <c r="F304" s="37"/>
      <c r="G304" s="1"/>
      <c r="H304" s="1"/>
      <c r="I304" s="1"/>
      <c r="J304" s="1"/>
      <c r="K304" s="1"/>
      <c r="L304" s="1"/>
      <c r="M304" s="1"/>
      <c r="N304" s="1"/>
      <c r="O304" s="1"/>
      <c r="P304" s="1"/>
      <c r="Q304" s="1"/>
      <c r="R304" s="1"/>
      <c r="S304" s="1"/>
      <c r="T304" s="1"/>
    </row>
    <row r="305" ht="15.75" customHeight="1">
      <c r="A305" s="36"/>
      <c r="B305" s="37"/>
      <c r="C305" s="37"/>
      <c r="D305" s="37"/>
      <c r="E305" s="37"/>
      <c r="F305" s="37"/>
      <c r="G305" s="1"/>
      <c r="H305" s="1"/>
      <c r="I305" s="1"/>
      <c r="J305" s="1"/>
      <c r="K305" s="1"/>
      <c r="L305" s="1"/>
      <c r="M305" s="1"/>
      <c r="N305" s="1"/>
      <c r="O305" s="1"/>
      <c r="P305" s="1"/>
      <c r="Q305" s="1"/>
      <c r="R305" s="1"/>
      <c r="S305" s="1"/>
      <c r="T305" s="1"/>
    </row>
    <row r="306" ht="15.75" customHeight="1">
      <c r="A306" s="36"/>
      <c r="B306" s="37"/>
      <c r="C306" s="37"/>
      <c r="D306" s="37"/>
      <c r="E306" s="37"/>
      <c r="F306" s="37"/>
      <c r="G306" s="1"/>
      <c r="H306" s="1"/>
      <c r="I306" s="1"/>
      <c r="J306" s="1"/>
      <c r="K306" s="1"/>
      <c r="L306" s="1"/>
      <c r="M306" s="1"/>
      <c r="N306" s="1"/>
      <c r="O306" s="1"/>
      <c r="P306" s="1"/>
      <c r="Q306" s="1"/>
      <c r="R306" s="1"/>
      <c r="S306" s="1"/>
      <c r="T306" s="1"/>
    </row>
    <row r="307" ht="15.75" customHeight="1">
      <c r="A307" s="36"/>
      <c r="B307" s="37"/>
      <c r="C307" s="37"/>
      <c r="D307" s="37"/>
      <c r="E307" s="37"/>
      <c r="F307" s="37"/>
      <c r="G307" s="1"/>
      <c r="H307" s="1"/>
      <c r="I307" s="1"/>
      <c r="J307" s="1"/>
      <c r="K307" s="1"/>
      <c r="L307" s="1"/>
      <c r="M307" s="1"/>
      <c r="N307" s="1"/>
      <c r="O307" s="1"/>
      <c r="P307" s="1"/>
      <c r="Q307" s="1"/>
      <c r="R307" s="1"/>
      <c r="S307" s="1"/>
      <c r="T307" s="1"/>
    </row>
    <row r="308" ht="15.75" customHeight="1">
      <c r="A308" s="36"/>
      <c r="B308" s="37"/>
      <c r="C308" s="37"/>
      <c r="D308" s="37"/>
      <c r="E308" s="37"/>
      <c r="F308" s="37"/>
      <c r="G308" s="1"/>
      <c r="H308" s="1"/>
      <c r="I308" s="1"/>
      <c r="J308" s="1"/>
      <c r="K308" s="1"/>
      <c r="L308" s="1"/>
      <c r="M308" s="1"/>
      <c r="N308" s="1"/>
      <c r="O308" s="1"/>
      <c r="P308" s="1"/>
      <c r="Q308" s="1"/>
      <c r="R308" s="1"/>
      <c r="S308" s="1"/>
      <c r="T308" s="1"/>
    </row>
    <row r="309" ht="15.75" customHeight="1">
      <c r="A309" s="36"/>
      <c r="B309" s="37"/>
      <c r="C309" s="37"/>
      <c r="D309" s="37"/>
      <c r="E309" s="37"/>
      <c r="F309" s="37"/>
      <c r="G309" s="1"/>
      <c r="H309" s="1"/>
      <c r="I309" s="1"/>
      <c r="J309" s="1"/>
      <c r="K309" s="1"/>
      <c r="L309" s="1"/>
      <c r="M309" s="1"/>
      <c r="N309" s="1"/>
      <c r="O309" s="1"/>
      <c r="P309" s="1"/>
      <c r="Q309" s="1"/>
      <c r="R309" s="1"/>
      <c r="S309" s="1"/>
      <c r="T309" s="1"/>
    </row>
    <row r="310" ht="15.75" customHeight="1">
      <c r="A310" s="36"/>
      <c r="B310" s="37"/>
      <c r="C310" s="37"/>
      <c r="D310" s="37"/>
      <c r="E310" s="37"/>
      <c r="F310" s="37"/>
      <c r="G310" s="1"/>
      <c r="H310" s="1"/>
      <c r="I310" s="1"/>
      <c r="J310" s="1"/>
      <c r="K310" s="1"/>
      <c r="L310" s="1"/>
      <c r="M310" s="1"/>
      <c r="N310" s="1"/>
      <c r="O310" s="1"/>
      <c r="P310" s="1"/>
      <c r="Q310" s="1"/>
      <c r="R310" s="1"/>
      <c r="S310" s="1"/>
      <c r="T310" s="1"/>
    </row>
    <row r="311" ht="15.75" customHeight="1">
      <c r="A311" s="36"/>
      <c r="B311" s="37"/>
      <c r="C311" s="37"/>
      <c r="D311" s="37"/>
      <c r="E311" s="37"/>
      <c r="F311" s="37"/>
      <c r="G311" s="1"/>
      <c r="H311" s="1"/>
      <c r="I311" s="1"/>
      <c r="J311" s="1"/>
      <c r="K311" s="1"/>
      <c r="L311" s="1"/>
      <c r="M311" s="1"/>
      <c r="N311" s="1"/>
      <c r="O311" s="1"/>
      <c r="P311" s="1"/>
      <c r="Q311" s="1"/>
      <c r="R311" s="1"/>
      <c r="S311" s="1"/>
      <c r="T311" s="1"/>
    </row>
    <row r="312" ht="15.75" customHeight="1">
      <c r="A312" s="36"/>
      <c r="B312" s="37"/>
      <c r="C312" s="37"/>
      <c r="D312" s="37"/>
      <c r="E312" s="37"/>
      <c r="F312" s="37"/>
      <c r="G312" s="1"/>
      <c r="H312" s="1"/>
      <c r="I312" s="1"/>
      <c r="J312" s="1"/>
      <c r="K312" s="1"/>
      <c r="L312" s="1"/>
      <c r="M312" s="1"/>
      <c r="N312" s="1"/>
      <c r="O312" s="1"/>
      <c r="P312" s="1"/>
      <c r="Q312" s="1"/>
      <c r="R312" s="1"/>
      <c r="S312" s="1"/>
      <c r="T312" s="1"/>
    </row>
    <row r="313" ht="15.75" customHeight="1">
      <c r="A313" s="36"/>
      <c r="B313" s="37"/>
      <c r="C313" s="37"/>
      <c r="D313" s="37"/>
      <c r="E313" s="37"/>
      <c r="F313" s="37"/>
      <c r="G313" s="1"/>
      <c r="H313" s="1"/>
      <c r="I313" s="1"/>
      <c r="J313" s="1"/>
      <c r="K313" s="1"/>
      <c r="L313" s="1"/>
      <c r="M313" s="1"/>
      <c r="N313" s="1"/>
      <c r="O313" s="1"/>
      <c r="P313" s="1"/>
      <c r="Q313" s="1"/>
      <c r="R313" s="1"/>
      <c r="S313" s="1"/>
      <c r="T313" s="1"/>
    </row>
    <row r="314" ht="15.75" customHeight="1">
      <c r="A314" s="36"/>
      <c r="B314" s="37"/>
      <c r="C314" s="37"/>
      <c r="D314" s="37"/>
      <c r="E314" s="37"/>
      <c r="F314" s="37"/>
      <c r="G314" s="1"/>
      <c r="H314" s="1"/>
      <c r="I314" s="1"/>
      <c r="J314" s="1"/>
      <c r="K314" s="1"/>
      <c r="L314" s="1"/>
      <c r="M314" s="1"/>
      <c r="N314" s="1"/>
      <c r="O314" s="1"/>
      <c r="P314" s="1"/>
      <c r="Q314" s="1"/>
      <c r="R314" s="1"/>
      <c r="S314" s="1"/>
      <c r="T314" s="1"/>
    </row>
    <row r="315" ht="15.75" customHeight="1">
      <c r="A315" s="36"/>
      <c r="B315" s="37"/>
      <c r="C315" s="37"/>
      <c r="D315" s="37"/>
      <c r="E315" s="37"/>
      <c r="F315" s="37"/>
      <c r="G315" s="1"/>
      <c r="H315" s="1"/>
      <c r="I315" s="1"/>
      <c r="J315" s="1"/>
      <c r="K315" s="1"/>
      <c r="L315" s="1"/>
      <c r="M315" s="1"/>
      <c r="N315" s="1"/>
      <c r="O315" s="1"/>
      <c r="P315" s="1"/>
      <c r="Q315" s="1"/>
      <c r="R315" s="1"/>
      <c r="S315" s="1"/>
      <c r="T315" s="1"/>
    </row>
    <row r="316" ht="15.75" customHeight="1">
      <c r="A316" s="36"/>
      <c r="B316" s="37"/>
      <c r="C316" s="37"/>
      <c r="D316" s="37"/>
      <c r="E316" s="37"/>
      <c r="F316" s="37"/>
      <c r="G316" s="1"/>
      <c r="H316" s="1"/>
      <c r="I316" s="1"/>
      <c r="J316" s="1"/>
      <c r="K316" s="1"/>
      <c r="L316" s="1"/>
      <c r="M316" s="1"/>
      <c r="N316" s="1"/>
      <c r="O316" s="1"/>
      <c r="P316" s="1"/>
      <c r="Q316" s="1"/>
      <c r="R316" s="1"/>
      <c r="S316" s="1"/>
      <c r="T316" s="1"/>
    </row>
    <row r="317" ht="15.75" customHeight="1">
      <c r="A317" s="36"/>
      <c r="B317" s="37"/>
      <c r="C317" s="37"/>
      <c r="D317" s="37"/>
      <c r="E317" s="37"/>
      <c r="F317" s="37"/>
      <c r="G317" s="1"/>
      <c r="H317" s="1"/>
      <c r="I317" s="1"/>
      <c r="J317" s="1"/>
      <c r="K317" s="1"/>
      <c r="L317" s="1"/>
      <c r="M317" s="1"/>
      <c r="N317" s="1"/>
      <c r="O317" s="1"/>
      <c r="P317" s="1"/>
      <c r="Q317" s="1"/>
      <c r="R317" s="1"/>
      <c r="S317" s="1"/>
      <c r="T317" s="1"/>
    </row>
    <row r="318" ht="15.75" customHeight="1">
      <c r="A318" s="36"/>
      <c r="B318" s="37"/>
      <c r="C318" s="37"/>
      <c r="D318" s="37"/>
      <c r="E318" s="37"/>
      <c r="F318" s="37"/>
      <c r="G318" s="1"/>
      <c r="H318" s="1"/>
      <c r="I318" s="1"/>
      <c r="J318" s="1"/>
      <c r="K318" s="1"/>
      <c r="L318" s="1"/>
      <c r="M318" s="1"/>
      <c r="N318" s="1"/>
      <c r="O318" s="1"/>
      <c r="P318" s="1"/>
      <c r="Q318" s="1"/>
      <c r="R318" s="1"/>
      <c r="S318" s="1"/>
      <c r="T318" s="1"/>
    </row>
    <row r="319" ht="15.75" customHeight="1">
      <c r="A319" s="36"/>
      <c r="B319" s="37"/>
      <c r="C319" s="37"/>
      <c r="D319" s="37"/>
      <c r="E319" s="37"/>
      <c r="F319" s="37"/>
      <c r="G319" s="1"/>
      <c r="H319" s="1"/>
      <c r="I319" s="1"/>
      <c r="J319" s="1"/>
      <c r="K319" s="1"/>
      <c r="L319" s="1"/>
      <c r="M319" s="1"/>
      <c r="N319" s="1"/>
      <c r="O319" s="1"/>
      <c r="P319" s="1"/>
      <c r="Q319" s="1"/>
      <c r="R319" s="1"/>
      <c r="S319" s="1"/>
      <c r="T319" s="1"/>
    </row>
    <row r="320" ht="15.75" customHeight="1">
      <c r="A320" s="36"/>
      <c r="B320" s="37"/>
      <c r="C320" s="37"/>
      <c r="D320" s="37"/>
      <c r="E320" s="37"/>
      <c r="F320" s="37"/>
      <c r="G320" s="1"/>
      <c r="H320" s="1"/>
      <c r="I320" s="1"/>
      <c r="J320" s="1"/>
      <c r="K320" s="1"/>
      <c r="L320" s="1"/>
      <c r="M320" s="1"/>
      <c r="N320" s="1"/>
      <c r="O320" s="1"/>
      <c r="P320" s="1"/>
      <c r="Q320" s="1"/>
      <c r="R320" s="1"/>
      <c r="S320" s="1"/>
      <c r="T320" s="1"/>
    </row>
    <row r="321" ht="15.75" customHeight="1">
      <c r="A321" s="36"/>
      <c r="B321" s="37"/>
      <c r="C321" s="37"/>
      <c r="D321" s="37"/>
      <c r="E321" s="37"/>
      <c r="F321" s="37"/>
      <c r="G321" s="1"/>
      <c r="H321" s="1"/>
      <c r="I321" s="1"/>
      <c r="J321" s="1"/>
      <c r="K321" s="1"/>
      <c r="L321" s="1"/>
      <c r="M321" s="1"/>
      <c r="N321" s="1"/>
      <c r="O321" s="1"/>
      <c r="P321" s="1"/>
      <c r="Q321" s="1"/>
      <c r="R321" s="1"/>
      <c r="S321" s="1"/>
      <c r="T321" s="1"/>
    </row>
    <row r="322" ht="15.75" customHeight="1">
      <c r="A322" s="36"/>
      <c r="B322" s="37"/>
      <c r="C322" s="37"/>
      <c r="D322" s="37"/>
      <c r="E322" s="37"/>
      <c r="F322" s="37"/>
      <c r="G322" s="1"/>
      <c r="H322" s="1"/>
      <c r="I322" s="1"/>
      <c r="J322" s="1"/>
      <c r="K322" s="1"/>
      <c r="L322" s="1"/>
      <c r="M322" s="1"/>
      <c r="N322" s="1"/>
      <c r="O322" s="1"/>
      <c r="P322" s="1"/>
      <c r="Q322" s="1"/>
      <c r="R322" s="1"/>
      <c r="S322" s="1"/>
      <c r="T322" s="1"/>
    </row>
    <row r="323" ht="15.75" customHeight="1">
      <c r="A323" s="36"/>
      <c r="B323" s="37"/>
      <c r="C323" s="37"/>
      <c r="D323" s="37"/>
      <c r="E323" s="37"/>
      <c r="F323" s="37"/>
      <c r="G323" s="1"/>
      <c r="H323" s="1"/>
      <c r="I323" s="1"/>
      <c r="J323" s="1"/>
      <c r="K323" s="1"/>
      <c r="L323" s="1"/>
      <c r="M323" s="1"/>
      <c r="N323" s="1"/>
      <c r="O323" s="1"/>
      <c r="P323" s="1"/>
      <c r="Q323" s="1"/>
      <c r="R323" s="1"/>
      <c r="S323" s="1"/>
      <c r="T323" s="1"/>
    </row>
    <row r="324" ht="15.75" customHeight="1">
      <c r="A324" s="36"/>
      <c r="B324" s="37"/>
      <c r="C324" s="37"/>
      <c r="D324" s="37"/>
      <c r="E324" s="37"/>
      <c r="F324" s="37"/>
      <c r="G324" s="1"/>
      <c r="H324" s="1"/>
      <c r="I324" s="1"/>
      <c r="J324" s="1"/>
      <c r="K324" s="1"/>
      <c r="L324" s="1"/>
      <c r="M324" s="1"/>
      <c r="N324" s="1"/>
      <c r="O324" s="1"/>
      <c r="P324" s="1"/>
      <c r="Q324" s="1"/>
      <c r="R324" s="1"/>
      <c r="S324" s="1"/>
      <c r="T324" s="1"/>
    </row>
    <row r="325" ht="15.75" customHeight="1">
      <c r="A325" s="36"/>
      <c r="B325" s="37"/>
      <c r="C325" s="37"/>
      <c r="D325" s="37"/>
      <c r="E325" s="37"/>
      <c r="F325" s="37"/>
      <c r="G325" s="1"/>
      <c r="H325" s="1"/>
      <c r="I325" s="1"/>
      <c r="J325" s="1"/>
      <c r="K325" s="1"/>
      <c r="L325" s="1"/>
      <c r="M325" s="1"/>
      <c r="N325" s="1"/>
      <c r="O325" s="1"/>
      <c r="P325" s="1"/>
      <c r="Q325" s="1"/>
      <c r="R325" s="1"/>
      <c r="S325" s="1"/>
      <c r="T325" s="1"/>
    </row>
    <row r="326" ht="15.75" customHeight="1">
      <c r="A326" s="36"/>
      <c r="B326" s="37"/>
      <c r="C326" s="37"/>
      <c r="D326" s="37"/>
      <c r="E326" s="37"/>
      <c r="F326" s="37"/>
      <c r="G326" s="1"/>
      <c r="H326" s="1"/>
      <c r="I326" s="1"/>
      <c r="J326" s="1"/>
      <c r="K326" s="1"/>
      <c r="L326" s="1"/>
      <c r="M326" s="1"/>
      <c r="N326" s="1"/>
      <c r="O326" s="1"/>
      <c r="P326" s="1"/>
      <c r="Q326" s="1"/>
      <c r="R326" s="1"/>
      <c r="S326" s="1"/>
      <c r="T326" s="1"/>
    </row>
    <row r="327" ht="15.75" customHeight="1">
      <c r="A327" s="36"/>
      <c r="B327" s="37"/>
      <c r="C327" s="37"/>
      <c r="D327" s="37"/>
      <c r="E327" s="37"/>
      <c r="F327" s="37"/>
      <c r="G327" s="1"/>
      <c r="H327" s="1"/>
      <c r="I327" s="1"/>
      <c r="J327" s="1"/>
      <c r="K327" s="1"/>
      <c r="L327" s="1"/>
      <c r="M327" s="1"/>
      <c r="N327" s="1"/>
      <c r="O327" s="1"/>
      <c r="P327" s="1"/>
      <c r="Q327" s="1"/>
      <c r="R327" s="1"/>
      <c r="S327" s="1"/>
      <c r="T327" s="1"/>
    </row>
    <row r="328" ht="15.75" customHeight="1">
      <c r="A328" s="36"/>
      <c r="B328" s="37"/>
      <c r="C328" s="37"/>
      <c r="D328" s="37"/>
      <c r="E328" s="37"/>
      <c r="F328" s="37"/>
      <c r="G328" s="1"/>
      <c r="H328" s="1"/>
      <c r="I328" s="1"/>
      <c r="J328" s="1"/>
      <c r="K328" s="1"/>
      <c r="L328" s="1"/>
      <c r="M328" s="1"/>
      <c r="N328" s="1"/>
      <c r="O328" s="1"/>
      <c r="P328" s="1"/>
      <c r="Q328" s="1"/>
      <c r="R328" s="1"/>
      <c r="S328" s="1"/>
      <c r="T328" s="1"/>
    </row>
    <row r="329" ht="15.75" customHeight="1">
      <c r="A329" s="36"/>
      <c r="B329" s="37"/>
      <c r="C329" s="37"/>
      <c r="D329" s="37"/>
      <c r="E329" s="37"/>
      <c r="F329" s="37"/>
      <c r="G329" s="1"/>
      <c r="H329" s="1"/>
      <c r="I329" s="1"/>
      <c r="J329" s="1"/>
      <c r="K329" s="1"/>
      <c r="L329" s="1"/>
      <c r="M329" s="1"/>
      <c r="N329" s="1"/>
      <c r="O329" s="1"/>
      <c r="P329" s="1"/>
      <c r="Q329" s="1"/>
      <c r="R329" s="1"/>
      <c r="S329" s="1"/>
      <c r="T329" s="1"/>
    </row>
    <row r="330" ht="15.75" customHeight="1">
      <c r="A330" s="36"/>
      <c r="B330" s="37"/>
      <c r="C330" s="37"/>
      <c r="D330" s="37"/>
      <c r="E330" s="37"/>
      <c r="F330" s="37"/>
      <c r="G330" s="1"/>
      <c r="H330" s="1"/>
      <c r="I330" s="1"/>
      <c r="J330" s="1"/>
      <c r="K330" s="1"/>
      <c r="L330" s="1"/>
      <c r="M330" s="1"/>
      <c r="N330" s="1"/>
      <c r="O330" s="1"/>
      <c r="P330" s="1"/>
      <c r="Q330" s="1"/>
      <c r="R330" s="1"/>
      <c r="S330" s="1"/>
      <c r="T330" s="1"/>
    </row>
    <row r="331" ht="15.75" customHeight="1">
      <c r="A331" s="36"/>
      <c r="B331" s="37"/>
      <c r="C331" s="37"/>
      <c r="D331" s="37"/>
      <c r="E331" s="37"/>
      <c r="F331" s="37"/>
      <c r="G331" s="1"/>
      <c r="H331" s="1"/>
      <c r="I331" s="1"/>
      <c r="J331" s="1"/>
      <c r="K331" s="1"/>
      <c r="L331" s="1"/>
      <c r="M331" s="1"/>
      <c r="N331" s="1"/>
      <c r="O331" s="1"/>
      <c r="P331" s="1"/>
      <c r="Q331" s="1"/>
      <c r="R331" s="1"/>
      <c r="S331" s="1"/>
      <c r="T331" s="1"/>
    </row>
    <row r="332" ht="15.75" customHeight="1">
      <c r="A332" s="36"/>
      <c r="B332" s="37"/>
      <c r="C332" s="37"/>
      <c r="D332" s="37"/>
      <c r="E332" s="37"/>
      <c r="F332" s="37"/>
      <c r="G332" s="1"/>
      <c r="H332" s="1"/>
      <c r="I332" s="1"/>
      <c r="J332" s="1"/>
      <c r="K332" s="1"/>
      <c r="L332" s="1"/>
      <c r="M332" s="1"/>
      <c r="N332" s="1"/>
      <c r="O332" s="1"/>
      <c r="P332" s="1"/>
      <c r="Q332" s="1"/>
      <c r="R332" s="1"/>
      <c r="S332" s="1"/>
      <c r="T332" s="1"/>
    </row>
    <row r="333" ht="15.75" customHeight="1">
      <c r="A333" s="36"/>
      <c r="B333" s="37"/>
      <c r="C333" s="37"/>
      <c r="D333" s="37"/>
      <c r="E333" s="37"/>
      <c r="F333" s="37"/>
      <c r="G333" s="1"/>
      <c r="H333" s="1"/>
      <c r="I333" s="1"/>
      <c r="J333" s="1"/>
      <c r="K333" s="1"/>
      <c r="L333" s="1"/>
      <c r="M333" s="1"/>
      <c r="N333" s="1"/>
      <c r="O333" s="1"/>
      <c r="P333" s="1"/>
      <c r="Q333" s="1"/>
      <c r="R333" s="1"/>
      <c r="S333" s="1"/>
      <c r="T333" s="1"/>
    </row>
    <row r="334" ht="15.75" customHeight="1">
      <c r="A334" s="36"/>
      <c r="B334" s="37"/>
      <c r="C334" s="37"/>
      <c r="D334" s="37"/>
      <c r="E334" s="37"/>
      <c r="F334" s="37"/>
      <c r="G334" s="1"/>
      <c r="H334" s="1"/>
      <c r="I334" s="1"/>
      <c r="J334" s="1"/>
      <c r="K334" s="1"/>
      <c r="L334" s="1"/>
      <c r="M334" s="1"/>
      <c r="N334" s="1"/>
      <c r="O334" s="1"/>
      <c r="P334" s="1"/>
      <c r="Q334" s="1"/>
      <c r="R334" s="1"/>
      <c r="S334" s="1"/>
      <c r="T334" s="1"/>
    </row>
    <row r="335" ht="15.75" customHeight="1">
      <c r="A335" s="36"/>
      <c r="B335" s="37"/>
      <c r="C335" s="37"/>
      <c r="D335" s="37"/>
      <c r="E335" s="37"/>
      <c r="F335" s="37"/>
      <c r="G335" s="1"/>
      <c r="H335" s="1"/>
      <c r="I335" s="1"/>
      <c r="J335" s="1"/>
      <c r="K335" s="1"/>
      <c r="L335" s="1"/>
      <c r="M335" s="1"/>
      <c r="N335" s="1"/>
      <c r="O335" s="1"/>
      <c r="P335" s="1"/>
      <c r="Q335" s="1"/>
      <c r="R335" s="1"/>
      <c r="S335" s="1"/>
      <c r="T335" s="1"/>
    </row>
    <row r="336" ht="15.75" customHeight="1">
      <c r="A336" s="36"/>
      <c r="B336" s="37"/>
      <c r="C336" s="37"/>
      <c r="D336" s="37"/>
      <c r="E336" s="37"/>
      <c r="F336" s="37"/>
      <c r="G336" s="1"/>
      <c r="H336" s="1"/>
      <c r="I336" s="1"/>
      <c r="J336" s="1"/>
      <c r="K336" s="1"/>
      <c r="L336" s="1"/>
      <c r="M336" s="1"/>
      <c r="N336" s="1"/>
      <c r="O336" s="1"/>
      <c r="P336" s="1"/>
      <c r="Q336" s="1"/>
      <c r="R336" s="1"/>
      <c r="S336" s="1"/>
      <c r="T336" s="1"/>
    </row>
    <row r="337" ht="15.75" customHeight="1">
      <c r="A337" s="36"/>
      <c r="B337" s="37"/>
      <c r="C337" s="37"/>
      <c r="D337" s="37"/>
      <c r="E337" s="37"/>
      <c r="F337" s="37"/>
      <c r="G337" s="1"/>
      <c r="H337" s="1"/>
      <c r="I337" s="1"/>
      <c r="J337" s="1"/>
      <c r="K337" s="1"/>
      <c r="L337" s="1"/>
      <c r="M337" s="1"/>
      <c r="N337" s="1"/>
      <c r="O337" s="1"/>
      <c r="P337" s="1"/>
      <c r="Q337" s="1"/>
      <c r="R337" s="1"/>
      <c r="S337" s="1"/>
      <c r="T337" s="1"/>
    </row>
    <row r="338" ht="15.75" customHeight="1">
      <c r="A338" s="36"/>
      <c r="B338" s="37"/>
      <c r="C338" s="37"/>
      <c r="D338" s="37"/>
      <c r="E338" s="37"/>
      <c r="F338" s="37"/>
      <c r="G338" s="1"/>
      <c r="H338" s="1"/>
      <c r="I338" s="1"/>
      <c r="J338" s="1"/>
      <c r="K338" s="1"/>
      <c r="L338" s="1"/>
      <c r="M338" s="1"/>
      <c r="N338" s="1"/>
      <c r="O338" s="1"/>
      <c r="P338" s="1"/>
      <c r="Q338" s="1"/>
      <c r="R338" s="1"/>
      <c r="S338" s="1"/>
      <c r="T338" s="1"/>
    </row>
    <row r="339" ht="15.75" customHeight="1">
      <c r="A339" s="36"/>
      <c r="B339" s="37"/>
      <c r="C339" s="37"/>
      <c r="D339" s="37"/>
      <c r="E339" s="37"/>
      <c r="F339" s="37"/>
      <c r="G339" s="1"/>
      <c r="H339" s="1"/>
      <c r="I339" s="1"/>
      <c r="J339" s="1"/>
      <c r="K339" s="1"/>
      <c r="L339" s="1"/>
      <c r="M339" s="1"/>
      <c r="N339" s="1"/>
      <c r="O339" s="1"/>
      <c r="P339" s="1"/>
      <c r="Q339" s="1"/>
      <c r="R339" s="1"/>
      <c r="S339" s="1"/>
      <c r="T339" s="1"/>
    </row>
    <row r="340" ht="15.75" customHeight="1">
      <c r="A340" s="36"/>
      <c r="B340" s="37"/>
      <c r="C340" s="37"/>
      <c r="D340" s="37"/>
      <c r="E340" s="37"/>
      <c r="F340" s="37"/>
      <c r="G340" s="1"/>
      <c r="H340" s="1"/>
      <c r="I340" s="1"/>
      <c r="J340" s="1"/>
      <c r="K340" s="1"/>
      <c r="L340" s="1"/>
      <c r="M340" s="1"/>
      <c r="N340" s="1"/>
      <c r="O340" s="1"/>
      <c r="P340" s="1"/>
      <c r="Q340" s="1"/>
      <c r="R340" s="1"/>
      <c r="S340" s="1"/>
      <c r="T340" s="1"/>
    </row>
    <row r="341" ht="15.75" customHeight="1">
      <c r="A341" s="36"/>
      <c r="B341" s="37"/>
      <c r="C341" s="37"/>
      <c r="D341" s="37"/>
      <c r="E341" s="37"/>
      <c r="F341" s="37"/>
      <c r="G341" s="1"/>
      <c r="H341" s="1"/>
      <c r="I341" s="1"/>
      <c r="J341" s="1"/>
      <c r="K341" s="1"/>
      <c r="L341" s="1"/>
      <c r="M341" s="1"/>
      <c r="N341" s="1"/>
      <c r="O341" s="1"/>
      <c r="P341" s="1"/>
      <c r="Q341" s="1"/>
      <c r="R341" s="1"/>
      <c r="S341" s="1"/>
      <c r="T341" s="1"/>
    </row>
    <row r="342" ht="15.75" customHeight="1">
      <c r="A342" s="36"/>
      <c r="B342" s="37"/>
      <c r="C342" s="37"/>
      <c r="D342" s="37"/>
      <c r="E342" s="37"/>
      <c r="F342" s="37"/>
      <c r="G342" s="1"/>
      <c r="H342" s="1"/>
      <c r="I342" s="1"/>
      <c r="J342" s="1"/>
      <c r="K342" s="1"/>
      <c r="L342" s="1"/>
      <c r="M342" s="1"/>
      <c r="N342" s="1"/>
      <c r="O342" s="1"/>
      <c r="P342" s="1"/>
      <c r="Q342" s="1"/>
      <c r="R342" s="1"/>
      <c r="S342" s="1"/>
      <c r="T342" s="1"/>
    </row>
    <row r="343" ht="15.75" customHeight="1">
      <c r="A343" s="36"/>
      <c r="B343" s="37"/>
      <c r="C343" s="37"/>
      <c r="D343" s="37"/>
      <c r="E343" s="37"/>
      <c r="F343" s="37"/>
      <c r="G343" s="1"/>
      <c r="H343" s="1"/>
      <c r="I343" s="1"/>
      <c r="J343" s="1"/>
      <c r="K343" s="1"/>
      <c r="L343" s="1"/>
      <c r="M343" s="1"/>
      <c r="N343" s="1"/>
      <c r="O343" s="1"/>
      <c r="P343" s="1"/>
      <c r="Q343" s="1"/>
      <c r="R343" s="1"/>
      <c r="S343" s="1"/>
      <c r="T343" s="1"/>
    </row>
    <row r="344" ht="15.75" customHeight="1">
      <c r="A344" s="36"/>
      <c r="B344" s="37"/>
      <c r="C344" s="37"/>
      <c r="D344" s="37"/>
      <c r="E344" s="37"/>
      <c r="F344" s="37"/>
      <c r="G344" s="1"/>
      <c r="H344" s="1"/>
      <c r="I344" s="1"/>
      <c r="J344" s="1"/>
      <c r="K344" s="1"/>
      <c r="L344" s="1"/>
      <c r="M344" s="1"/>
      <c r="N344" s="1"/>
      <c r="O344" s="1"/>
      <c r="P344" s="1"/>
      <c r="Q344" s="1"/>
      <c r="R344" s="1"/>
      <c r="S344" s="1"/>
      <c r="T344" s="1"/>
    </row>
    <row r="345" ht="15.75" customHeight="1">
      <c r="A345" s="36"/>
      <c r="B345" s="37"/>
      <c r="C345" s="37"/>
      <c r="D345" s="37"/>
      <c r="E345" s="37"/>
      <c r="F345" s="37"/>
      <c r="G345" s="1"/>
      <c r="H345" s="1"/>
      <c r="I345" s="1"/>
      <c r="J345" s="1"/>
      <c r="K345" s="1"/>
      <c r="L345" s="1"/>
      <c r="M345" s="1"/>
      <c r="N345" s="1"/>
      <c r="O345" s="1"/>
      <c r="P345" s="1"/>
      <c r="Q345" s="1"/>
      <c r="R345" s="1"/>
      <c r="S345" s="1"/>
      <c r="T345" s="1"/>
    </row>
    <row r="346" ht="15.75" customHeight="1">
      <c r="A346" s="36"/>
      <c r="B346" s="37"/>
      <c r="C346" s="37"/>
      <c r="D346" s="37"/>
      <c r="E346" s="37"/>
      <c r="F346" s="37"/>
      <c r="G346" s="1"/>
      <c r="H346" s="1"/>
      <c r="I346" s="1"/>
      <c r="J346" s="1"/>
      <c r="K346" s="1"/>
      <c r="L346" s="1"/>
      <c r="M346" s="1"/>
      <c r="N346" s="1"/>
      <c r="O346" s="1"/>
      <c r="P346" s="1"/>
      <c r="Q346" s="1"/>
      <c r="R346" s="1"/>
      <c r="S346" s="1"/>
      <c r="T346" s="1"/>
    </row>
    <row r="347" ht="15.75" customHeight="1">
      <c r="A347" s="36"/>
      <c r="B347" s="37"/>
      <c r="C347" s="37"/>
      <c r="D347" s="37"/>
      <c r="E347" s="37"/>
      <c r="F347" s="37"/>
      <c r="G347" s="1"/>
      <c r="H347" s="1"/>
      <c r="I347" s="1"/>
      <c r="J347" s="1"/>
      <c r="K347" s="1"/>
      <c r="L347" s="1"/>
      <c r="M347" s="1"/>
      <c r="N347" s="1"/>
      <c r="O347" s="1"/>
      <c r="P347" s="1"/>
      <c r="Q347" s="1"/>
      <c r="R347" s="1"/>
      <c r="S347" s="1"/>
      <c r="T347" s="1"/>
    </row>
    <row r="348" ht="15.75" customHeight="1">
      <c r="A348" s="36"/>
      <c r="B348" s="37"/>
      <c r="C348" s="37"/>
      <c r="D348" s="37"/>
      <c r="E348" s="37"/>
      <c r="F348" s="37"/>
      <c r="G348" s="1"/>
      <c r="H348" s="1"/>
      <c r="I348" s="1"/>
      <c r="J348" s="1"/>
      <c r="K348" s="1"/>
      <c r="L348" s="1"/>
      <c r="M348" s="1"/>
      <c r="N348" s="1"/>
      <c r="O348" s="1"/>
      <c r="P348" s="1"/>
      <c r="Q348" s="1"/>
      <c r="R348" s="1"/>
      <c r="S348" s="1"/>
      <c r="T348" s="1"/>
    </row>
    <row r="349" ht="15.75" customHeight="1">
      <c r="A349" s="36"/>
      <c r="B349" s="37"/>
      <c r="C349" s="37"/>
      <c r="D349" s="37"/>
      <c r="E349" s="37"/>
      <c r="F349" s="37"/>
      <c r="G349" s="1"/>
      <c r="H349" s="1"/>
      <c r="I349" s="1"/>
      <c r="J349" s="1"/>
      <c r="K349" s="1"/>
      <c r="L349" s="1"/>
      <c r="M349" s="1"/>
      <c r="N349" s="1"/>
      <c r="O349" s="1"/>
      <c r="P349" s="1"/>
      <c r="Q349" s="1"/>
      <c r="R349" s="1"/>
      <c r="S349" s="1"/>
      <c r="T349" s="1"/>
    </row>
    <row r="350" ht="15.75" customHeight="1">
      <c r="A350" s="36"/>
      <c r="B350" s="37"/>
      <c r="C350" s="37"/>
      <c r="D350" s="37"/>
      <c r="E350" s="37"/>
      <c r="F350" s="37"/>
      <c r="G350" s="1"/>
      <c r="H350" s="1"/>
      <c r="I350" s="1"/>
      <c r="J350" s="1"/>
      <c r="K350" s="1"/>
      <c r="L350" s="1"/>
      <c r="M350" s="1"/>
      <c r="N350" s="1"/>
      <c r="O350" s="1"/>
      <c r="P350" s="1"/>
      <c r="Q350" s="1"/>
      <c r="R350" s="1"/>
      <c r="S350" s="1"/>
      <c r="T350" s="1"/>
    </row>
    <row r="351" ht="15.75" customHeight="1">
      <c r="A351" s="36"/>
      <c r="B351" s="37"/>
      <c r="C351" s="37"/>
      <c r="D351" s="37"/>
      <c r="E351" s="37"/>
      <c r="F351" s="37"/>
      <c r="G351" s="1"/>
      <c r="H351" s="1"/>
      <c r="I351" s="1"/>
      <c r="J351" s="1"/>
      <c r="K351" s="1"/>
      <c r="L351" s="1"/>
      <c r="M351" s="1"/>
      <c r="N351" s="1"/>
      <c r="O351" s="1"/>
      <c r="P351" s="1"/>
      <c r="Q351" s="1"/>
      <c r="R351" s="1"/>
      <c r="S351" s="1"/>
      <c r="T351" s="1"/>
    </row>
    <row r="352" ht="15.75" customHeight="1">
      <c r="A352" s="36"/>
      <c r="B352" s="37"/>
      <c r="C352" s="37"/>
      <c r="D352" s="37"/>
      <c r="E352" s="37"/>
      <c r="F352" s="37"/>
      <c r="G352" s="1"/>
      <c r="H352" s="1"/>
      <c r="I352" s="1"/>
      <c r="J352" s="1"/>
      <c r="K352" s="1"/>
      <c r="L352" s="1"/>
      <c r="M352" s="1"/>
      <c r="N352" s="1"/>
      <c r="O352" s="1"/>
      <c r="P352" s="1"/>
      <c r="Q352" s="1"/>
      <c r="R352" s="1"/>
      <c r="S352" s="1"/>
      <c r="T352" s="1"/>
    </row>
    <row r="353" ht="15.75" customHeight="1">
      <c r="A353" s="36"/>
      <c r="B353" s="37"/>
      <c r="C353" s="37"/>
      <c r="D353" s="37"/>
      <c r="E353" s="37"/>
      <c r="F353" s="37"/>
      <c r="G353" s="1"/>
      <c r="H353" s="1"/>
      <c r="I353" s="1"/>
      <c r="J353" s="1"/>
      <c r="K353" s="1"/>
      <c r="L353" s="1"/>
      <c r="M353" s="1"/>
      <c r="N353" s="1"/>
      <c r="O353" s="1"/>
      <c r="P353" s="1"/>
      <c r="Q353" s="1"/>
      <c r="R353" s="1"/>
      <c r="S353" s="1"/>
      <c r="T353" s="1"/>
    </row>
    <row r="354" ht="15.75" customHeight="1">
      <c r="A354" s="36"/>
      <c r="B354" s="37"/>
      <c r="C354" s="37"/>
      <c r="D354" s="37"/>
      <c r="E354" s="37"/>
      <c r="F354" s="37"/>
      <c r="G354" s="1"/>
      <c r="H354" s="1"/>
      <c r="I354" s="1"/>
      <c r="J354" s="1"/>
      <c r="K354" s="1"/>
      <c r="L354" s="1"/>
      <c r="M354" s="1"/>
      <c r="N354" s="1"/>
      <c r="O354" s="1"/>
      <c r="P354" s="1"/>
      <c r="Q354" s="1"/>
      <c r="R354" s="1"/>
      <c r="S354" s="1"/>
      <c r="T354" s="1"/>
    </row>
    <row r="355" ht="15.75" customHeight="1">
      <c r="A355" s="36"/>
      <c r="B355" s="37"/>
      <c r="C355" s="37"/>
      <c r="D355" s="37"/>
      <c r="E355" s="37"/>
      <c r="F355" s="37"/>
      <c r="G355" s="1"/>
      <c r="H355" s="1"/>
      <c r="I355" s="1"/>
      <c r="J355" s="1"/>
      <c r="K355" s="1"/>
      <c r="L355" s="1"/>
      <c r="M355" s="1"/>
      <c r="N355" s="1"/>
      <c r="O355" s="1"/>
      <c r="P355" s="1"/>
      <c r="Q355" s="1"/>
      <c r="R355" s="1"/>
      <c r="S355" s="1"/>
      <c r="T355" s="1"/>
    </row>
    <row r="356" ht="15.75" customHeight="1">
      <c r="A356" s="36"/>
      <c r="B356" s="37"/>
      <c r="C356" s="37"/>
      <c r="D356" s="37"/>
      <c r="E356" s="37"/>
      <c r="F356" s="37"/>
      <c r="G356" s="1"/>
      <c r="H356" s="1"/>
      <c r="I356" s="1"/>
      <c r="J356" s="1"/>
      <c r="K356" s="1"/>
      <c r="L356" s="1"/>
      <c r="M356" s="1"/>
      <c r="N356" s="1"/>
      <c r="O356" s="1"/>
      <c r="P356" s="1"/>
      <c r="Q356" s="1"/>
      <c r="R356" s="1"/>
      <c r="S356" s="1"/>
      <c r="T356" s="1"/>
    </row>
    <row r="357" ht="15.75" customHeight="1">
      <c r="A357" s="36"/>
      <c r="B357" s="37"/>
      <c r="C357" s="37"/>
      <c r="D357" s="37"/>
      <c r="E357" s="37"/>
      <c r="F357" s="37"/>
      <c r="G357" s="1"/>
      <c r="H357" s="1"/>
      <c r="I357" s="1"/>
      <c r="J357" s="1"/>
      <c r="K357" s="1"/>
      <c r="L357" s="1"/>
      <c r="M357" s="1"/>
      <c r="N357" s="1"/>
      <c r="O357" s="1"/>
      <c r="P357" s="1"/>
      <c r="Q357" s="1"/>
      <c r="R357" s="1"/>
      <c r="S357" s="1"/>
      <c r="T357" s="1"/>
    </row>
    <row r="358" ht="15.75" customHeight="1">
      <c r="A358" s="36"/>
      <c r="B358" s="37"/>
      <c r="C358" s="37"/>
      <c r="D358" s="37"/>
      <c r="E358" s="37"/>
      <c r="F358" s="37"/>
      <c r="G358" s="1"/>
      <c r="H358" s="1"/>
      <c r="I358" s="1"/>
      <c r="J358" s="1"/>
      <c r="K358" s="1"/>
      <c r="L358" s="1"/>
      <c r="M358" s="1"/>
      <c r="N358" s="1"/>
      <c r="O358" s="1"/>
      <c r="P358" s="1"/>
      <c r="Q358" s="1"/>
      <c r="R358" s="1"/>
      <c r="S358" s="1"/>
      <c r="T358" s="1"/>
    </row>
    <row r="359" ht="15.75" customHeight="1">
      <c r="A359" s="36"/>
      <c r="B359" s="37"/>
      <c r="C359" s="37"/>
      <c r="D359" s="37"/>
      <c r="E359" s="37"/>
      <c r="F359" s="37"/>
      <c r="G359" s="1"/>
      <c r="H359" s="1"/>
      <c r="I359" s="1"/>
      <c r="J359" s="1"/>
      <c r="K359" s="1"/>
      <c r="L359" s="1"/>
      <c r="M359" s="1"/>
      <c r="N359" s="1"/>
      <c r="O359" s="1"/>
      <c r="P359" s="1"/>
      <c r="Q359" s="1"/>
      <c r="R359" s="1"/>
      <c r="S359" s="1"/>
      <c r="T359" s="1"/>
    </row>
    <row r="360" ht="15.75" customHeight="1">
      <c r="A360" s="36"/>
      <c r="B360" s="37"/>
      <c r="C360" s="37"/>
      <c r="D360" s="37"/>
      <c r="E360" s="37"/>
      <c r="F360" s="37"/>
      <c r="G360" s="1"/>
      <c r="H360" s="1"/>
      <c r="I360" s="1"/>
      <c r="J360" s="1"/>
      <c r="K360" s="1"/>
      <c r="L360" s="1"/>
      <c r="M360" s="1"/>
      <c r="N360" s="1"/>
      <c r="O360" s="1"/>
      <c r="P360" s="1"/>
      <c r="Q360" s="1"/>
      <c r="R360" s="1"/>
      <c r="S360" s="1"/>
      <c r="T360" s="1"/>
    </row>
    <row r="361" ht="15.75" customHeight="1">
      <c r="A361" s="36"/>
      <c r="B361" s="37"/>
      <c r="C361" s="37"/>
      <c r="D361" s="37"/>
      <c r="E361" s="37"/>
      <c r="F361" s="37"/>
      <c r="G361" s="1"/>
      <c r="H361" s="1"/>
      <c r="I361" s="1"/>
      <c r="J361" s="1"/>
      <c r="K361" s="1"/>
      <c r="L361" s="1"/>
      <c r="M361" s="1"/>
      <c r="N361" s="1"/>
      <c r="O361" s="1"/>
      <c r="P361" s="1"/>
      <c r="Q361" s="1"/>
      <c r="R361" s="1"/>
      <c r="S361" s="1"/>
      <c r="T361" s="1"/>
    </row>
    <row r="362" ht="15.75" customHeight="1">
      <c r="A362" s="36"/>
      <c r="B362" s="37"/>
      <c r="C362" s="37"/>
      <c r="D362" s="37"/>
      <c r="E362" s="37"/>
      <c r="F362" s="37"/>
      <c r="G362" s="1"/>
      <c r="H362" s="1"/>
      <c r="I362" s="1"/>
      <c r="J362" s="1"/>
      <c r="K362" s="1"/>
      <c r="L362" s="1"/>
      <c r="M362" s="1"/>
      <c r="N362" s="1"/>
      <c r="O362" s="1"/>
      <c r="P362" s="1"/>
      <c r="Q362" s="1"/>
      <c r="R362" s="1"/>
      <c r="S362" s="1"/>
      <c r="T362" s="1"/>
    </row>
    <row r="363" ht="15.75" customHeight="1">
      <c r="A363" s="36"/>
      <c r="B363" s="37"/>
      <c r="C363" s="37"/>
      <c r="D363" s="37"/>
      <c r="E363" s="37"/>
      <c r="F363" s="37"/>
      <c r="G363" s="1"/>
      <c r="H363" s="1"/>
      <c r="I363" s="1"/>
      <c r="J363" s="1"/>
      <c r="K363" s="1"/>
      <c r="L363" s="1"/>
      <c r="M363" s="1"/>
      <c r="N363" s="1"/>
      <c r="O363" s="1"/>
      <c r="P363" s="1"/>
      <c r="Q363" s="1"/>
      <c r="R363" s="1"/>
      <c r="S363" s="1"/>
      <c r="T363" s="1"/>
    </row>
    <row r="364" ht="15.75" customHeight="1">
      <c r="A364" s="36"/>
      <c r="B364" s="37"/>
      <c r="C364" s="37"/>
      <c r="D364" s="37"/>
      <c r="E364" s="37"/>
      <c r="F364" s="37"/>
      <c r="G364" s="1"/>
      <c r="H364" s="1"/>
      <c r="I364" s="1"/>
      <c r="J364" s="1"/>
      <c r="K364" s="1"/>
      <c r="L364" s="1"/>
      <c r="M364" s="1"/>
      <c r="N364" s="1"/>
      <c r="O364" s="1"/>
      <c r="P364" s="1"/>
      <c r="Q364" s="1"/>
      <c r="R364" s="1"/>
      <c r="S364" s="1"/>
      <c r="T364" s="1"/>
    </row>
    <row r="365" ht="15.75" customHeight="1">
      <c r="A365" s="36"/>
      <c r="B365" s="37"/>
      <c r="C365" s="37"/>
      <c r="D365" s="37"/>
      <c r="E365" s="37"/>
      <c r="F365" s="37"/>
      <c r="G365" s="1"/>
      <c r="H365" s="1"/>
      <c r="I365" s="1"/>
      <c r="J365" s="1"/>
      <c r="K365" s="1"/>
      <c r="L365" s="1"/>
      <c r="M365" s="1"/>
      <c r="N365" s="1"/>
      <c r="O365" s="1"/>
      <c r="P365" s="1"/>
      <c r="Q365" s="1"/>
      <c r="R365" s="1"/>
      <c r="S365" s="1"/>
      <c r="T365" s="1"/>
    </row>
    <row r="366" ht="15.75" customHeight="1">
      <c r="A366" s="36"/>
      <c r="B366" s="37"/>
      <c r="C366" s="37"/>
      <c r="D366" s="37"/>
      <c r="E366" s="37"/>
      <c r="F366" s="37"/>
      <c r="G366" s="1"/>
      <c r="H366" s="1"/>
      <c r="I366" s="1"/>
      <c r="J366" s="1"/>
      <c r="K366" s="1"/>
      <c r="L366" s="1"/>
      <c r="M366" s="1"/>
      <c r="N366" s="1"/>
      <c r="O366" s="1"/>
      <c r="P366" s="1"/>
      <c r="Q366" s="1"/>
      <c r="R366" s="1"/>
      <c r="S366" s="1"/>
      <c r="T366" s="1"/>
    </row>
    <row r="367" ht="15.75" customHeight="1">
      <c r="A367" s="36"/>
      <c r="B367" s="37"/>
      <c r="C367" s="37"/>
      <c r="D367" s="37"/>
      <c r="E367" s="37"/>
      <c r="F367" s="37"/>
      <c r="G367" s="1"/>
      <c r="H367" s="1"/>
      <c r="I367" s="1"/>
      <c r="J367" s="1"/>
      <c r="K367" s="1"/>
      <c r="L367" s="1"/>
      <c r="M367" s="1"/>
      <c r="N367" s="1"/>
      <c r="O367" s="1"/>
      <c r="P367" s="1"/>
      <c r="Q367" s="1"/>
      <c r="R367" s="1"/>
      <c r="S367" s="1"/>
      <c r="T367" s="1"/>
    </row>
    <row r="368" ht="15.75" customHeight="1">
      <c r="A368" s="36"/>
      <c r="B368" s="37"/>
      <c r="C368" s="37"/>
      <c r="D368" s="37"/>
      <c r="E368" s="37"/>
      <c r="F368" s="37"/>
      <c r="G368" s="1"/>
      <c r="H368" s="1"/>
      <c r="I368" s="1"/>
      <c r="J368" s="1"/>
      <c r="K368" s="1"/>
      <c r="L368" s="1"/>
      <c r="M368" s="1"/>
      <c r="N368" s="1"/>
      <c r="O368" s="1"/>
      <c r="P368" s="1"/>
      <c r="Q368" s="1"/>
      <c r="R368" s="1"/>
      <c r="S368" s="1"/>
      <c r="T368" s="1"/>
    </row>
    <row r="369" ht="15.75" customHeight="1">
      <c r="A369" s="36"/>
      <c r="B369" s="37"/>
      <c r="C369" s="37"/>
      <c r="D369" s="37"/>
      <c r="E369" s="37"/>
      <c r="F369" s="37"/>
      <c r="G369" s="1"/>
      <c r="H369" s="1"/>
      <c r="I369" s="1"/>
      <c r="J369" s="1"/>
      <c r="K369" s="1"/>
      <c r="L369" s="1"/>
      <c r="M369" s="1"/>
      <c r="N369" s="1"/>
      <c r="O369" s="1"/>
      <c r="P369" s="1"/>
      <c r="Q369" s="1"/>
      <c r="R369" s="1"/>
      <c r="S369" s="1"/>
      <c r="T369" s="1"/>
    </row>
    <row r="370" ht="15.75" customHeight="1">
      <c r="A370" s="36"/>
      <c r="B370" s="37"/>
      <c r="C370" s="37"/>
      <c r="D370" s="37"/>
      <c r="E370" s="37"/>
      <c r="F370" s="37"/>
      <c r="G370" s="1"/>
      <c r="H370" s="1"/>
      <c r="I370" s="1"/>
      <c r="J370" s="1"/>
      <c r="K370" s="1"/>
      <c r="L370" s="1"/>
      <c r="M370" s="1"/>
      <c r="N370" s="1"/>
      <c r="O370" s="1"/>
      <c r="P370" s="1"/>
      <c r="Q370" s="1"/>
      <c r="R370" s="1"/>
      <c r="S370" s="1"/>
      <c r="T370" s="1"/>
    </row>
    <row r="371" ht="15.75" customHeight="1">
      <c r="A371" s="36"/>
      <c r="B371" s="37"/>
      <c r="C371" s="37"/>
      <c r="D371" s="37"/>
      <c r="E371" s="37"/>
      <c r="F371" s="37"/>
      <c r="G371" s="1"/>
      <c r="H371" s="1"/>
      <c r="I371" s="1"/>
      <c r="J371" s="1"/>
      <c r="K371" s="1"/>
      <c r="L371" s="1"/>
      <c r="M371" s="1"/>
      <c r="N371" s="1"/>
      <c r="O371" s="1"/>
      <c r="P371" s="1"/>
      <c r="Q371" s="1"/>
      <c r="R371" s="1"/>
      <c r="S371" s="1"/>
      <c r="T371" s="1"/>
    </row>
    <row r="372" ht="15.75" customHeight="1">
      <c r="A372" s="36"/>
      <c r="B372" s="37"/>
      <c r="C372" s="37"/>
      <c r="D372" s="37"/>
      <c r="E372" s="37"/>
      <c r="F372" s="37"/>
      <c r="G372" s="1"/>
      <c r="H372" s="1"/>
      <c r="I372" s="1"/>
      <c r="J372" s="1"/>
      <c r="K372" s="1"/>
      <c r="L372" s="1"/>
      <c r="M372" s="1"/>
      <c r="N372" s="1"/>
      <c r="O372" s="1"/>
      <c r="P372" s="1"/>
      <c r="Q372" s="1"/>
      <c r="R372" s="1"/>
      <c r="S372" s="1"/>
      <c r="T372" s="1"/>
    </row>
    <row r="373" ht="15.75" customHeight="1">
      <c r="A373" s="36"/>
      <c r="B373" s="37"/>
      <c r="C373" s="37"/>
      <c r="D373" s="37"/>
      <c r="E373" s="37"/>
      <c r="F373" s="37"/>
      <c r="G373" s="1"/>
      <c r="H373" s="1"/>
      <c r="I373" s="1"/>
      <c r="J373" s="1"/>
      <c r="K373" s="1"/>
      <c r="L373" s="1"/>
      <c r="M373" s="1"/>
      <c r="N373" s="1"/>
      <c r="O373" s="1"/>
      <c r="P373" s="1"/>
      <c r="Q373" s="1"/>
      <c r="R373" s="1"/>
      <c r="S373" s="1"/>
      <c r="T373" s="1"/>
    </row>
    <row r="374" ht="15.75" customHeight="1">
      <c r="A374" s="36"/>
      <c r="B374" s="37"/>
      <c r="C374" s="37"/>
      <c r="D374" s="37"/>
      <c r="E374" s="37"/>
      <c r="F374" s="37"/>
      <c r="G374" s="1"/>
      <c r="H374" s="1"/>
      <c r="I374" s="1"/>
      <c r="J374" s="1"/>
      <c r="K374" s="1"/>
      <c r="L374" s="1"/>
      <c r="M374" s="1"/>
      <c r="N374" s="1"/>
      <c r="O374" s="1"/>
      <c r="P374" s="1"/>
      <c r="Q374" s="1"/>
      <c r="R374" s="1"/>
      <c r="S374" s="1"/>
      <c r="T374" s="1"/>
    </row>
    <row r="375" ht="15.75" customHeight="1">
      <c r="A375" s="36"/>
      <c r="B375" s="37"/>
      <c r="C375" s="37"/>
      <c r="D375" s="37"/>
      <c r="E375" s="37"/>
      <c r="F375" s="37"/>
      <c r="G375" s="1"/>
      <c r="H375" s="1"/>
      <c r="I375" s="1"/>
      <c r="J375" s="1"/>
      <c r="K375" s="1"/>
      <c r="L375" s="1"/>
      <c r="M375" s="1"/>
      <c r="N375" s="1"/>
      <c r="O375" s="1"/>
      <c r="P375" s="1"/>
      <c r="Q375" s="1"/>
      <c r="R375" s="1"/>
      <c r="S375" s="1"/>
      <c r="T375" s="1"/>
    </row>
    <row r="376" ht="15.75" customHeight="1">
      <c r="A376" s="36"/>
      <c r="B376" s="37"/>
      <c r="C376" s="37"/>
      <c r="D376" s="37"/>
      <c r="E376" s="37"/>
      <c r="F376" s="37"/>
      <c r="G376" s="1"/>
      <c r="H376" s="1"/>
      <c r="I376" s="1"/>
      <c r="J376" s="1"/>
      <c r="K376" s="1"/>
      <c r="L376" s="1"/>
      <c r="M376" s="1"/>
      <c r="N376" s="1"/>
      <c r="O376" s="1"/>
      <c r="P376" s="1"/>
      <c r="Q376" s="1"/>
      <c r="R376" s="1"/>
      <c r="S376" s="1"/>
      <c r="T376" s="1"/>
    </row>
    <row r="377" ht="15.75" customHeight="1">
      <c r="A377" s="36"/>
      <c r="B377" s="37"/>
      <c r="C377" s="37"/>
      <c r="D377" s="37"/>
      <c r="E377" s="37"/>
      <c r="F377" s="37"/>
      <c r="G377" s="1"/>
      <c r="H377" s="1"/>
      <c r="I377" s="1"/>
      <c r="J377" s="1"/>
      <c r="K377" s="1"/>
      <c r="L377" s="1"/>
      <c r="M377" s="1"/>
      <c r="N377" s="1"/>
      <c r="O377" s="1"/>
      <c r="P377" s="1"/>
      <c r="Q377" s="1"/>
      <c r="R377" s="1"/>
      <c r="S377" s="1"/>
      <c r="T377" s="1"/>
    </row>
    <row r="378" ht="15.75" customHeight="1">
      <c r="A378" s="36"/>
      <c r="B378" s="37"/>
      <c r="C378" s="37"/>
      <c r="D378" s="37"/>
      <c r="E378" s="37"/>
      <c r="F378" s="37"/>
      <c r="G378" s="1"/>
      <c r="H378" s="1"/>
      <c r="I378" s="1"/>
      <c r="J378" s="1"/>
      <c r="K378" s="1"/>
      <c r="L378" s="1"/>
      <c r="M378" s="1"/>
      <c r="N378" s="1"/>
      <c r="O378" s="1"/>
      <c r="P378" s="1"/>
      <c r="Q378" s="1"/>
      <c r="R378" s="1"/>
      <c r="S378" s="1"/>
      <c r="T378" s="1"/>
    </row>
    <row r="379" ht="15.75" customHeight="1">
      <c r="A379" s="36"/>
      <c r="B379" s="37"/>
      <c r="C379" s="37"/>
      <c r="D379" s="37"/>
      <c r="E379" s="37"/>
      <c r="F379" s="37"/>
      <c r="G379" s="1"/>
      <c r="H379" s="1"/>
      <c r="I379" s="1"/>
      <c r="J379" s="1"/>
      <c r="K379" s="1"/>
      <c r="L379" s="1"/>
      <c r="M379" s="1"/>
      <c r="N379" s="1"/>
      <c r="O379" s="1"/>
      <c r="P379" s="1"/>
      <c r="Q379" s="1"/>
      <c r="R379" s="1"/>
      <c r="S379" s="1"/>
      <c r="T379" s="1"/>
    </row>
    <row r="380" ht="15.75" customHeight="1">
      <c r="A380" s="36"/>
      <c r="B380" s="37"/>
      <c r="C380" s="37"/>
      <c r="D380" s="37"/>
      <c r="E380" s="37"/>
      <c r="F380" s="37"/>
      <c r="G380" s="1"/>
      <c r="H380" s="1"/>
      <c r="I380" s="1"/>
      <c r="J380" s="1"/>
      <c r="K380" s="1"/>
      <c r="L380" s="1"/>
      <c r="M380" s="1"/>
      <c r="N380" s="1"/>
      <c r="O380" s="1"/>
      <c r="P380" s="1"/>
      <c r="Q380" s="1"/>
      <c r="R380" s="1"/>
      <c r="S380" s="1"/>
      <c r="T380" s="1"/>
    </row>
    <row r="381" ht="15.75" customHeight="1">
      <c r="A381" s="36"/>
      <c r="B381" s="37"/>
      <c r="C381" s="37"/>
      <c r="D381" s="37"/>
      <c r="E381" s="37"/>
      <c r="F381" s="37"/>
      <c r="G381" s="1"/>
      <c r="H381" s="1"/>
      <c r="I381" s="1"/>
      <c r="J381" s="1"/>
      <c r="K381" s="1"/>
      <c r="L381" s="1"/>
      <c r="M381" s="1"/>
      <c r="N381" s="1"/>
      <c r="O381" s="1"/>
      <c r="P381" s="1"/>
      <c r="Q381" s="1"/>
      <c r="R381" s="1"/>
      <c r="S381" s="1"/>
      <c r="T381" s="1"/>
    </row>
    <row r="382" ht="15.75" customHeight="1">
      <c r="A382" s="36"/>
      <c r="B382" s="37"/>
      <c r="C382" s="37"/>
      <c r="D382" s="37"/>
      <c r="E382" s="37"/>
      <c r="F382" s="37"/>
      <c r="G382" s="1"/>
      <c r="H382" s="1"/>
      <c r="I382" s="1"/>
      <c r="J382" s="1"/>
      <c r="K382" s="1"/>
      <c r="L382" s="1"/>
      <c r="M382" s="1"/>
      <c r="N382" s="1"/>
      <c r="O382" s="1"/>
      <c r="P382" s="1"/>
      <c r="Q382" s="1"/>
      <c r="R382" s="1"/>
      <c r="S382" s="1"/>
      <c r="T382" s="1"/>
    </row>
    <row r="383" ht="15.75" customHeight="1">
      <c r="A383" s="36"/>
      <c r="B383" s="37"/>
      <c r="C383" s="37"/>
      <c r="D383" s="37"/>
      <c r="E383" s="37"/>
      <c r="F383" s="37"/>
      <c r="G383" s="1"/>
      <c r="H383" s="1"/>
      <c r="I383" s="1"/>
      <c r="J383" s="1"/>
      <c r="K383" s="1"/>
      <c r="L383" s="1"/>
      <c r="M383" s="1"/>
      <c r="N383" s="1"/>
      <c r="O383" s="1"/>
      <c r="P383" s="1"/>
      <c r="Q383" s="1"/>
      <c r="R383" s="1"/>
      <c r="S383" s="1"/>
      <c r="T383" s="1"/>
    </row>
    <row r="384" ht="15.75" customHeight="1">
      <c r="A384" s="36"/>
      <c r="B384" s="37"/>
      <c r="C384" s="37"/>
      <c r="D384" s="37"/>
      <c r="E384" s="37"/>
      <c r="F384" s="37"/>
      <c r="G384" s="1"/>
      <c r="H384" s="1"/>
      <c r="I384" s="1"/>
      <c r="J384" s="1"/>
      <c r="K384" s="1"/>
      <c r="L384" s="1"/>
      <c r="M384" s="1"/>
      <c r="N384" s="1"/>
      <c r="O384" s="1"/>
      <c r="P384" s="1"/>
      <c r="Q384" s="1"/>
      <c r="R384" s="1"/>
      <c r="S384" s="1"/>
      <c r="T384" s="1"/>
    </row>
    <row r="385" ht="15.75" customHeight="1">
      <c r="A385" s="36"/>
      <c r="B385" s="37"/>
      <c r="C385" s="37"/>
      <c r="D385" s="37"/>
      <c r="E385" s="37"/>
      <c r="F385" s="37"/>
      <c r="G385" s="1"/>
      <c r="H385" s="1"/>
      <c r="I385" s="1"/>
      <c r="J385" s="1"/>
      <c r="K385" s="1"/>
      <c r="L385" s="1"/>
      <c r="M385" s="1"/>
      <c r="N385" s="1"/>
      <c r="O385" s="1"/>
      <c r="P385" s="1"/>
      <c r="Q385" s="1"/>
      <c r="R385" s="1"/>
      <c r="S385" s="1"/>
      <c r="T385" s="1"/>
    </row>
    <row r="386" ht="15.75" customHeight="1">
      <c r="A386" s="36"/>
      <c r="B386" s="37"/>
      <c r="C386" s="37"/>
      <c r="D386" s="37"/>
      <c r="E386" s="37"/>
      <c r="F386" s="37"/>
      <c r="G386" s="1"/>
      <c r="H386" s="1"/>
      <c r="I386" s="1"/>
      <c r="J386" s="1"/>
      <c r="K386" s="1"/>
      <c r="L386" s="1"/>
      <c r="M386" s="1"/>
      <c r="N386" s="1"/>
      <c r="O386" s="1"/>
      <c r="P386" s="1"/>
      <c r="Q386" s="1"/>
      <c r="R386" s="1"/>
      <c r="S386" s="1"/>
      <c r="T386" s="1"/>
    </row>
    <row r="387" ht="15.75" customHeight="1">
      <c r="A387" s="36"/>
      <c r="B387" s="37"/>
      <c r="C387" s="37"/>
      <c r="D387" s="37"/>
      <c r="E387" s="37"/>
      <c r="F387" s="37"/>
      <c r="G387" s="1"/>
      <c r="H387" s="1"/>
      <c r="I387" s="1"/>
      <c r="J387" s="1"/>
      <c r="K387" s="1"/>
      <c r="L387" s="1"/>
      <c r="M387" s="1"/>
      <c r="N387" s="1"/>
      <c r="O387" s="1"/>
      <c r="P387" s="1"/>
      <c r="Q387" s="1"/>
      <c r="R387" s="1"/>
      <c r="S387" s="1"/>
      <c r="T387" s="1"/>
    </row>
    <row r="388" ht="15.75" customHeight="1">
      <c r="A388" s="36"/>
      <c r="B388" s="37"/>
      <c r="C388" s="37"/>
      <c r="D388" s="37"/>
      <c r="E388" s="37"/>
      <c r="F388" s="37"/>
      <c r="G388" s="1"/>
      <c r="H388" s="1"/>
      <c r="I388" s="1"/>
      <c r="J388" s="1"/>
      <c r="K388" s="1"/>
      <c r="L388" s="1"/>
      <c r="M388" s="1"/>
      <c r="N388" s="1"/>
      <c r="O388" s="1"/>
      <c r="P388" s="1"/>
      <c r="Q388" s="1"/>
      <c r="R388" s="1"/>
      <c r="S388" s="1"/>
      <c r="T388" s="1"/>
    </row>
    <row r="389" ht="15.75" customHeight="1">
      <c r="A389" s="36"/>
      <c r="B389" s="37"/>
      <c r="C389" s="37"/>
      <c r="D389" s="37"/>
      <c r="E389" s="37"/>
      <c r="F389" s="37"/>
      <c r="G389" s="1"/>
      <c r="H389" s="1"/>
      <c r="I389" s="1"/>
      <c r="J389" s="1"/>
      <c r="K389" s="1"/>
      <c r="L389" s="1"/>
      <c r="M389" s="1"/>
      <c r="N389" s="1"/>
      <c r="O389" s="1"/>
      <c r="P389" s="1"/>
      <c r="Q389" s="1"/>
      <c r="R389" s="1"/>
      <c r="S389" s="1"/>
      <c r="T389" s="1"/>
    </row>
    <row r="390" ht="15.75" customHeight="1">
      <c r="A390" s="36"/>
      <c r="B390" s="37"/>
      <c r="C390" s="37"/>
      <c r="D390" s="37"/>
      <c r="E390" s="37"/>
      <c r="F390" s="37"/>
      <c r="G390" s="1"/>
      <c r="H390" s="1"/>
      <c r="I390" s="1"/>
      <c r="J390" s="1"/>
      <c r="K390" s="1"/>
      <c r="L390" s="1"/>
      <c r="M390" s="1"/>
      <c r="N390" s="1"/>
      <c r="O390" s="1"/>
      <c r="P390" s="1"/>
      <c r="Q390" s="1"/>
      <c r="R390" s="1"/>
      <c r="S390" s="1"/>
      <c r="T390" s="1"/>
    </row>
    <row r="391" ht="15.75" customHeight="1">
      <c r="A391" s="36"/>
      <c r="B391" s="37"/>
      <c r="C391" s="37"/>
      <c r="D391" s="37"/>
      <c r="E391" s="37"/>
      <c r="F391" s="37"/>
      <c r="G391" s="1"/>
      <c r="H391" s="1"/>
      <c r="I391" s="1"/>
      <c r="J391" s="1"/>
      <c r="K391" s="1"/>
      <c r="L391" s="1"/>
      <c r="M391" s="1"/>
      <c r="N391" s="1"/>
      <c r="O391" s="1"/>
      <c r="P391" s="1"/>
      <c r="Q391" s="1"/>
      <c r="R391" s="1"/>
      <c r="S391" s="1"/>
      <c r="T391" s="1"/>
    </row>
    <row r="392" ht="15.75" customHeight="1">
      <c r="A392" s="36"/>
      <c r="B392" s="37"/>
      <c r="C392" s="37"/>
      <c r="D392" s="37"/>
      <c r="E392" s="37"/>
      <c r="F392" s="37"/>
      <c r="G392" s="1"/>
      <c r="H392" s="1"/>
      <c r="I392" s="1"/>
      <c r="J392" s="1"/>
      <c r="K392" s="1"/>
      <c r="L392" s="1"/>
      <c r="M392" s="1"/>
      <c r="N392" s="1"/>
      <c r="O392" s="1"/>
      <c r="P392" s="1"/>
      <c r="Q392" s="1"/>
      <c r="R392" s="1"/>
      <c r="S392" s="1"/>
      <c r="T392" s="1"/>
    </row>
    <row r="393" ht="15.75" customHeight="1">
      <c r="A393" s="36"/>
      <c r="B393" s="37"/>
      <c r="C393" s="37"/>
      <c r="D393" s="37"/>
      <c r="E393" s="37"/>
      <c r="F393" s="37"/>
      <c r="G393" s="1"/>
      <c r="H393" s="1"/>
      <c r="I393" s="1"/>
      <c r="J393" s="1"/>
      <c r="K393" s="1"/>
      <c r="L393" s="1"/>
      <c r="M393" s="1"/>
      <c r="N393" s="1"/>
      <c r="O393" s="1"/>
      <c r="P393" s="1"/>
      <c r="Q393" s="1"/>
      <c r="R393" s="1"/>
      <c r="S393" s="1"/>
      <c r="T393" s="1"/>
    </row>
    <row r="394" ht="15.75" customHeight="1">
      <c r="A394" s="36"/>
      <c r="B394" s="37"/>
      <c r="C394" s="37"/>
      <c r="D394" s="37"/>
      <c r="E394" s="37"/>
      <c r="F394" s="37"/>
      <c r="G394" s="1"/>
      <c r="H394" s="1"/>
      <c r="I394" s="1"/>
      <c r="J394" s="1"/>
      <c r="K394" s="1"/>
      <c r="L394" s="1"/>
      <c r="M394" s="1"/>
      <c r="N394" s="1"/>
      <c r="O394" s="1"/>
      <c r="P394" s="1"/>
      <c r="Q394" s="1"/>
      <c r="R394" s="1"/>
      <c r="S394" s="1"/>
      <c r="T394" s="1"/>
    </row>
    <row r="395" ht="15.75" customHeight="1">
      <c r="A395" s="36"/>
      <c r="B395" s="37"/>
      <c r="C395" s="37"/>
      <c r="D395" s="37"/>
      <c r="E395" s="37"/>
      <c r="F395" s="37"/>
      <c r="G395" s="1"/>
      <c r="H395" s="1"/>
      <c r="I395" s="1"/>
      <c r="J395" s="1"/>
      <c r="K395" s="1"/>
      <c r="L395" s="1"/>
      <c r="M395" s="1"/>
      <c r="N395" s="1"/>
      <c r="O395" s="1"/>
      <c r="P395" s="1"/>
      <c r="Q395" s="1"/>
      <c r="R395" s="1"/>
      <c r="S395" s="1"/>
      <c r="T395" s="1"/>
    </row>
    <row r="396" ht="15.75" customHeight="1">
      <c r="A396" s="36"/>
      <c r="B396" s="37"/>
      <c r="C396" s="37"/>
      <c r="D396" s="37"/>
      <c r="E396" s="37"/>
      <c r="F396" s="37"/>
      <c r="G396" s="1"/>
      <c r="H396" s="1"/>
      <c r="I396" s="1"/>
      <c r="J396" s="1"/>
      <c r="K396" s="1"/>
      <c r="L396" s="1"/>
      <c r="M396" s="1"/>
      <c r="N396" s="1"/>
      <c r="O396" s="1"/>
      <c r="P396" s="1"/>
      <c r="Q396" s="1"/>
      <c r="R396" s="1"/>
      <c r="S396" s="1"/>
      <c r="T396" s="1"/>
    </row>
    <row r="397" ht="15.75" customHeight="1">
      <c r="A397" s="36"/>
      <c r="B397" s="37"/>
      <c r="C397" s="37"/>
      <c r="D397" s="37"/>
      <c r="E397" s="37"/>
      <c r="F397" s="37"/>
      <c r="G397" s="1"/>
      <c r="H397" s="1"/>
      <c r="I397" s="1"/>
      <c r="J397" s="1"/>
      <c r="K397" s="1"/>
      <c r="L397" s="1"/>
      <c r="M397" s="1"/>
      <c r="N397" s="1"/>
      <c r="O397" s="1"/>
      <c r="P397" s="1"/>
      <c r="Q397" s="1"/>
      <c r="R397" s="1"/>
      <c r="S397" s="1"/>
      <c r="T397" s="1"/>
    </row>
    <row r="398" ht="15.75" customHeight="1">
      <c r="A398" s="36"/>
      <c r="B398" s="37"/>
      <c r="C398" s="37"/>
      <c r="D398" s="37"/>
      <c r="E398" s="37"/>
      <c r="F398" s="37"/>
      <c r="G398" s="1"/>
      <c r="H398" s="1"/>
      <c r="I398" s="1"/>
      <c r="J398" s="1"/>
      <c r="K398" s="1"/>
      <c r="L398" s="1"/>
      <c r="M398" s="1"/>
      <c r="N398" s="1"/>
      <c r="O398" s="1"/>
      <c r="P398" s="1"/>
      <c r="Q398" s="1"/>
      <c r="R398" s="1"/>
      <c r="S398" s="1"/>
      <c r="T398" s="1"/>
    </row>
    <row r="399" ht="15.75" customHeight="1">
      <c r="A399" s="36"/>
      <c r="B399" s="37"/>
      <c r="C399" s="37"/>
      <c r="D399" s="37"/>
      <c r="E399" s="37"/>
      <c r="F399" s="37"/>
      <c r="G399" s="1"/>
      <c r="H399" s="1"/>
      <c r="I399" s="1"/>
      <c r="J399" s="1"/>
      <c r="K399" s="1"/>
      <c r="L399" s="1"/>
      <c r="M399" s="1"/>
      <c r="N399" s="1"/>
      <c r="O399" s="1"/>
      <c r="P399" s="1"/>
      <c r="Q399" s="1"/>
      <c r="R399" s="1"/>
      <c r="S399" s="1"/>
      <c r="T399" s="1"/>
    </row>
    <row r="400" ht="15.75" customHeight="1">
      <c r="A400" s="36"/>
      <c r="B400" s="37"/>
      <c r="C400" s="37"/>
      <c r="D400" s="37"/>
      <c r="E400" s="37"/>
      <c r="F400" s="37"/>
      <c r="G400" s="1"/>
      <c r="H400" s="1"/>
      <c r="I400" s="1"/>
      <c r="J400" s="1"/>
      <c r="K400" s="1"/>
      <c r="L400" s="1"/>
      <c r="M400" s="1"/>
      <c r="N400" s="1"/>
      <c r="O400" s="1"/>
      <c r="P400" s="1"/>
      <c r="Q400" s="1"/>
      <c r="R400" s="1"/>
      <c r="S400" s="1"/>
      <c r="T400" s="1"/>
    </row>
    <row r="401" ht="15.75" customHeight="1">
      <c r="A401" s="36"/>
      <c r="B401" s="37"/>
      <c r="C401" s="37"/>
      <c r="D401" s="37"/>
      <c r="E401" s="37"/>
      <c r="F401" s="37"/>
      <c r="G401" s="1"/>
      <c r="H401" s="1"/>
      <c r="I401" s="1"/>
      <c r="J401" s="1"/>
      <c r="K401" s="1"/>
      <c r="L401" s="1"/>
      <c r="M401" s="1"/>
      <c r="N401" s="1"/>
      <c r="O401" s="1"/>
      <c r="P401" s="1"/>
      <c r="Q401" s="1"/>
      <c r="R401" s="1"/>
      <c r="S401" s="1"/>
      <c r="T401" s="1"/>
    </row>
    <row r="402" ht="15.75" customHeight="1">
      <c r="A402" s="36"/>
      <c r="B402" s="37"/>
      <c r="C402" s="37"/>
      <c r="D402" s="37"/>
      <c r="E402" s="37"/>
      <c r="F402" s="37"/>
      <c r="G402" s="1"/>
      <c r="H402" s="1"/>
      <c r="I402" s="1"/>
      <c r="J402" s="1"/>
      <c r="K402" s="1"/>
      <c r="L402" s="1"/>
      <c r="M402" s="1"/>
      <c r="N402" s="1"/>
      <c r="O402" s="1"/>
      <c r="P402" s="1"/>
      <c r="Q402" s="1"/>
      <c r="R402" s="1"/>
      <c r="S402" s="1"/>
      <c r="T402" s="1"/>
    </row>
    <row r="403" ht="15.75" customHeight="1">
      <c r="A403" s="36"/>
      <c r="B403" s="37"/>
      <c r="C403" s="37"/>
      <c r="D403" s="37"/>
      <c r="E403" s="37"/>
      <c r="F403" s="37"/>
      <c r="G403" s="1"/>
      <c r="H403" s="1"/>
      <c r="I403" s="1"/>
      <c r="J403" s="1"/>
      <c r="K403" s="1"/>
      <c r="L403" s="1"/>
      <c r="M403" s="1"/>
      <c r="N403" s="1"/>
      <c r="O403" s="1"/>
      <c r="P403" s="1"/>
      <c r="Q403" s="1"/>
      <c r="R403" s="1"/>
      <c r="S403" s="1"/>
      <c r="T403" s="1"/>
    </row>
    <row r="404" ht="15.75" customHeight="1">
      <c r="A404" s="36"/>
      <c r="B404" s="37"/>
      <c r="C404" s="37"/>
      <c r="D404" s="37"/>
      <c r="E404" s="37"/>
      <c r="F404" s="37"/>
      <c r="G404" s="1"/>
      <c r="H404" s="1"/>
      <c r="I404" s="1"/>
      <c r="J404" s="1"/>
      <c r="K404" s="1"/>
      <c r="L404" s="1"/>
      <c r="M404" s="1"/>
      <c r="N404" s="1"/>
      <c r="O404" s="1"/>
      <c r="P404" s="1"/>
      <c r="Q404" s="1"/>
      <c r="R404" s="1"/>
      <c r="S404" s="1"/>
      <c r="T404" s="1"/>
    </row>
    <row r="405" ht="15.75" customHeight="1">
      <c r="A405" s="36"/>
      <c r="B405" s="37"/>
      <c r="C405" s="37"/>
      <c r="D405" s="37"/>
      <c r="E405" s="37"/>
      <c r="F405" s="37"/>
      <c r="G405" s="1"/>
      <c r="H405" s="1"/>
      <c r="I405" s="1"/>
      <c r="J405" s="1"/>
      <c r="K405" s="1"/>
      <c r="L405" s="1"/>
      <c r="M405" s="1"/>
      <c r="N405" s="1"/>
      <c r="O405" s="1"/>
      <c r="P405" s="1"/>
      <c r="Q405" s="1"/>
      <c r="R405" s="1"/>
      <c r="S405" s="1"/>
      <c r="T405" s="1"/>
    </row>
    <row r="406" ht="15.75" customHeight="1">
      <c r="A406" s="36"/>
      <c r="B406" s="37"/>
      <c r="C406" s="37"/>
      <c r="D406" s="37"/>
      <c r="E406" s="37"/>
      <c r="F406" s="37"/>
      <c r="G406" s="1"/>
      <c r="H406" s="1"/>
      <c r="I406" s="1"/>
      <c r="J406" s="1"/>
      <c r="K406" s="1"/>
      <c r="L406" s="1"/>
      <c r="M406" s="1"/>
      <c r="N406" s="1"/>
      <c r="O406" s="1"/>
      <c r="P406" s="1"/>
      <c r="Q406" s="1"/>
      <c r="R406" s="1"/>
      <c r="S406" s="1"/>
      <c r="T406" s="1"/>
    </row>
    <row r="407" ht="15.75" customHeight="1">
      <c r="A407" s="36"/>
      <c r="B407" s="37"/>
      <c r="C407" s="37"/>
      <c r="D407" s="37"/>
      <c r="E407" s="37"/>
      <c r="F407" s="37"/>
      <c r="G407" s="1"/>
      <c r="H407" s="1"/>
      <c r="I407" s="1"/>
      <c r="J407" s="1"/>
      <c r="K407" s="1"/>
      <c r="L407" s="1"/>
      <c r="M407" s="1"/>
      <c r="N407" s="1"/>
      <c r="O407" s="1"/>
      <c r="P407" s="1"/>
      <c r="Q407" s="1"/>
      <c r="R407" s="1"/>
      <c r="S407" s="1"/>
      <c r="T407" s="1"/>
    </row>
    <row r="408" ht="15.75" customHeight="1">
      <c r="A408" s="36"/>
      <c r="B408" s="37"/>
      <c r="C408" s="37"/>
      <c r="D408" s="37"/>
      <c r="E408" s="37"/>
      <c r="F408" s="37"/>
      <c r="G408" s="1"/>
      <c r="H408" s="1"/>
      <c r="I408" s="1"/>
      <c r="J408" s="1"/>
      <c r="K408" s="1"/>
      <c r="L408" s="1"/>
      <c r="M408" s="1"/>
      <c r="N408" s="1"/>
      <c r="O408" s="1"/>
      <c r="P408" s="1"/>
      <c r="Q408" s="1"/>
      <c r="R408" s="1"/>
      <c r="S408" s="1"/>
      <c r="T408" s="1"/>
    </row>
    <row r="409" ht="15.75" customHeight="1">
      <c r="A409" s="36"/>
      <c r="B409" s="37"/>
      <c r="C409" s="37"/>
      <c r="D409" s="37"/>
      <c r="E409" s="37"/>
      <c r="F409" s="37"/>
      <c r="G409" s="1"/>
      <c r="H409" s="1"/>
      <c r="I409" s="1"/>
      <c r="J409" s="1"/>
      <c r="K409" s="1"/>
      <c r="L409" s="1"/>
      <c r="M409" s="1"/>
      <c r="N409" s="1"/>
      <c r="O409" s="1"/>
      <c r="P409" s="1"/>
      <c r="Q409" s="1"/>
      <c r="R409" s="1"/>
      <c r="S409" s="1"/>
      <c r="T409" s="1"/>
    </row>
    <row r="410" ht="15.75" customHeight="1">
      <c r="A410" s="36"/>
      <c r="B410" s="37"/>
      <c r="C410" s="37"/>
      <c r="D410" s="37"/>
      <c r="E410" s="37"/>
      <c r="F410" s="37"/>
      <c r="G410" s="1"/>
      <c r="H410" s="1"/>
      <c r="I410" s="1"/>
      <c r="J410" s="1"/>
      <c r="K410" s="1"/>
      <c r="L410" s="1"/>
      <c r="M410" s="1"/>
      <c r="N410" s="1"/>
      <c r="O410" s="1"/>
      <c r="P410" s="1"/>
      <c r="Q410" s="1"/>
      <c r="R410" s="1"/>
      <c r="S410" s="1"/>
      <c r="T410" s="1"/>
    </row>
    <row r="411" ht="15.75" customHeight="1">
      <c r="A411" s="36"/>
      <c r="B411" s="37"/>
      <c r="C411" s="37"/>
      <c r="D411" s="37"/>
      <c r="E411" s="37"/>
      <c r="F411" s="37"/>
      <c r="G411" s="1"/>
      <c r="H411" s="1"/>
      <c r="I411" s="1"/>
      <c r="J411" s="1"/>
      <c r="K411" s="1"/>
      <c r="L411" s="1"/>
      <c r="M411" s="1"/>
      <c r="N411" s="1"/>
      <c r="O411" s="1"/>
      <c r="P411" s="1"/>
      <c r="Q411" s="1"/>
      <c r="R411" s="1"/>
      <c r="S411" s="1"/>
      <c r="T411" s="1"/>
    </row>
    <row r="412" ht="15.75" customHeight="1">
      <c r="A412" s="36"/>
      <c r="B412" s="37"/>
      <c r="C412" s="37"/>
      <c r="D412" s="37"/>
      <c r="E412" s="37"/>
      <c r="F412" s="37"/>
      <c r="G412" s="1"/>
      <c r="H412" s="1"/>
      <c r="I412" s="1"/>
      <c r="J412" s="1"/>
      <c r="K412" s="1"/>
      <c r="L412" s="1"/>
      <c r="M412" s="1"/>
      <c r="N412" s="1"/>
      <c r="O412" s="1"/>
      <c r="P412" s="1"/>
      <c r="Q412" s="1"/>
      <c r="R412" s="1"/>
      <c r="S412" s="1"/>
      <c r="T412" s="1"/>
    </row>
    <row r="413" ht="15.75" customHeight="1">
      <c r="A413" s="36"/>
      <c r="B413" s="37"/>
      <c r="C413" s="37"/>
      <c r="D413" s="37"/>
      <c r="E413" s="37"/>
      <c r="F413" s="37"/>
      <c r="G413" s="1"/>
      <c r="H413" s="1"/>
      <c r="I413" s="1"/>
      <c r="J413" s="1"/>
      <c r="K413" s="1"/>
      <c r="L413" s="1"/>
      <c r="M413" s="1"/>
      <c r="N413" s="1"/>
      <c r="O413" s="1"/>
      <c r="P413" s="1"/>
      <c r="Q413" s="1"/>
      <c r="R413" s="1"/>
      <c r="S413" s="1"/>
      <c r="T413" s="1"/>
    </row>
    <row r="414" ht="15.75" customHeight="1">
      <c r="A414" s="36"/>
      <c r="B414" s="37"/>
      <c r="C414" s="37"/>
      <c r="D414" s="37"/>
      <c r="E414" s="37"/>
      <c r="F414" s="37"/>
      <c r="G414" s="1"/>
      <c r="H414" s="1"/>
      <c r="I414" s="1"/>
      <c r="J414" s="1"/>
      <c r="K414" s="1"/>
      <c r="L414" s="1"/>
      <c r="M414" s="1"/>
      <c r="N414" s="1"/>
      <c r="O414" s="1"/>
      <c r="P414" s="1"/>
      <c r="Q414" s="1"/>
      <c r="R414" s="1"/>
      <c r="S414" s="1"/>
      <c r="T414" s="1"/>
    </row>
    <row r="415" ht="15.75" customHeight="1">
      <c r="A415" s="36"/>
      <c r="B415" s="37"/>
      <c r="C415" s="37"/>
      <c r="D415" s="37"/>
      <c r="E415" s="37"/>
      <c r="F415" s="37"/>
      <c r="G415" s="1"/>
      <c r="H415" s="1"/>
      <c r="I415" s="1"/>
      <c r="J415" s="1"/>
      <c r="K415" s="1"/>
      <c r="L415" s="1"/>
      <c r="M415" s="1"/>
      <c r="N415" s="1"/>
      <c r="O415" s="1"/>
      <c r="P415" s="1"/>
      <c r="Q415" s="1"/>
      <c r="R415" s="1"/>
      <c r="S415" s="1"/>
      <c r="T415" s="1"/>
    </row>
    <row r="416" ht="15.75" customHeight="1">
      <c r="A416" s="36"/>
      <c r="B416" s="37"/>
      <c r="C416" s="37"/>
      <c r="D416" s="37"/>
      <c r="E416" s="37"/>
      <c r="F416" s="37"/>
      <c r="G416" s="1"/>
      <c r="H416" s="1"/>
      <c r="I416" s="1"/>
      <c r="J416" s="1"/>
      <c r="K416" s="1"/>
      <c r="L416" s="1"/>
      <c r="M416" s="1"/>
      <c r="N416" s="1"/>
      <c r="O416" s="1"/>
      <c r="P416" s="1"/>
      <c r="Q416" s="1"/>
      <c r="R416" s="1"/>
      <c r="S416" s="1"/>
      <c r="T416" s="1"/>
    </row>
    <row r="417" ht="15.75" customHeight="1">
      <c r="A417" s="36"/>
      <c r="B417" s="37"/>
      <c r="C417" s="37"/>
      <c r="D417" s="37"/>
      <c r="E417" s="37"/>
      <c r="F417" s="37"/>
      <c r="G417" s="1"/>
      <c r="H417" s="1"/>
      <c r="I417" s="1"/>
      <c r="J417" s="1"/>
      <c r="K417" s="1"/>
      <c r="L417" s="1"/>
      <c r="M417" s="1"/>
      <c r="N417" s="1"/>
      <c r="O417" s="1"/>
      <c r="P417" s="1"/>
      <c r="Q417" s="1"/>
      <c r="R417" s="1"/>
      <c r="S417" s="1"/>
      <c r="T417" s="1"/>
    </row>
    <row r="418" ht="15.75" customHeight="1">
      <c r="A418" s="36"/>
      <c r="B418" s="37"/>
      <c r="C418" s="37"/>
      <c r="D418" s="37"/>
      <c r="E418" s="37"/>
      <c r="F418" s="37"/>
      <c r="G418" s="1"/>
      <c r="H418" s="1"/>
      <c r="I418" s="1"/>
      <c r="J418" s="1"/>
      <c r="K418" s="1"/>
      <c r="L418" s="1"/>
      <c r="M418" s="1"/>
      <c r="N418" s="1"/>
      <c r="O418" s="1"/>
      <c r="P418" s="1"/>
      <c r="Q418" s="1"/>
      <c r="R418" s="1"/>
      <c r="S418" s="1"/>
      <c r="T418" s="1"/>
    </row>
    <row r="419" ht="15.75" customHeight="1">
      <c r="A419" s="36"/>
      <c r="B419" s="37"/>
      <c r="C419" s="37"/>
      <c r="D419" s="37"/>
      <c r="E419" s="37"/>
      <c r="F419" s="37"/>
      <c r="G419" s="1"/>
      <c r="H419" s="1"/>
      <c r="I419" s="1"/>
      <c r="J419" s="1"/>
      <c r="K419" s="1"/>
      <c r="L419" s="1"/>
      <c r="M419" s="1"/>
      <c r="N419" s="1"/>
      <c r="O419" s="1"/>
      <c r="P419" s="1"/>
      <c r="Q419" s="1"/>
      <c r="R419" s="1"/>
      <c r="S419" s="1"/>
      <c r="T419" s="1"/>
    </row>
    <row r="420" ht="15.75" customHeight="1">
      <c r="A420" s="36"/>
      <c r="B420" s="37"/>
      <c r="C420" s="37"/>
      <c r="D420" s="37"/>
      <c r="E420" s="37"/>
      <c r="F420" s="37"/>
      <c r="G420" s="1"/>
      <c r="H420" s="1"/>
      <c r="I420" s="1"/>
      <c r="J420" s="1"/>
      <c r="K420" s="1"/>
      <c r="L420" s="1"/>
      <c r="M420" s="1"/>
      <c r="N420" s="1"/>
      <c r="O420" s="1"/>
      <c r="P420" s="1"/>
      <c r="Q420" s="1"/>
      <c r="R420" s="1"/>
      <c r="S420" s="1"/>
      <c r="T420" s="1"/>
    </row>
    <row r="421" ht="15.75" customHeight="1">
      <c r="A421" s="36"/>
      <c r="B421" s="37"/>
      <c r="C421" s="37"/>
      <c r="D421" s="37"/>
      <c r="E421" s="37"/>
      <c r="F421" s="37"/>
      <c r="G421" s="1"/>
      <c r="H421" s="1"/>
      <c r="I421" s="1"/>
      <c r="J421" s="1"/>
      <c r="K421" s="1"/>
      <c r="L421" s="1"/>
      <c r="M421" s="1"/>
      <c r="N421" s="1"/>
      <c r="O421" s="1"/>
      <c r="P421" s="1"/>
      <c r="Q421" s="1"/>
      <c r="R421" s="1"/>
      <c r="S421" s="1"/>
      <c r="T421" s="1"/>
    </row>
    <row r="422" ht="15.75" customHeight="1">
      <c r="A422" s="36"/>
      <c r="B422" s="37"/>
      <c r="C422" s="37"/>
      <c r="D422" s="37"/>
      <c r="E422" s="37"/>
      <c r="F422" s="37"/>
      <c r="G422" s="1"/>
      <c r="H422" s="1"/>
      <c r="I422" s="1"/>
      <c r="J422" s="1"/>
      <c r="K422" s="1"/>
      <c r="L422" s="1"/>
      <c r="M422" s="1"/>
      <c r="N422" s="1"/>
      <c r="O422" s="1"/>
      <c r="P422" s="1"/>
      <c r="Q422" s="1"/>
      <c r="R422" s="1"/>
      <c r="S422" s="1"/>
      <c r="T422" s="1"/>
    </row>
    <row r="423" ht="15.75" customHeight="1">
      <c r="A423" s="36"/>
      <c r="B423" s="37"/>
      <c r="C423" s="37"/>
      <c r="D423" s="37"/>
      <c r="E423" s="37"/>
      <c r="F423" s="37"/>
      <c r="G423" s="1"/>
      <c r="H423" s="1"/>
      <c r="I423" s="1"/>
      <c r="J423" s="1"/>
      <c r="K423" s="1"/>
      <c r="L423" s="1"/>
      <c r="M423" s="1"/>
      <c r="N423" s="1"/>
      <c r="O423" s="1"/>
      <c r="P423" s="1"/>
      <c r="Q423" s="1"/>
      <c r="R423" s="1"/>
      <c r="S423" s="1"/>
      <c r="T423" s="1"/>
    </row>
    <row r="424" ht="15.75" customHeight="1">
      <c r="A424" s="36"/>
      <c r="B424" s="37"/>
      <c r="C424" s="37"/>
      <c r="D424" s="37"/>
      <c r="E424" s="37"/>
      <c r="F424" s="37"/>
      <c r="G424" s="1"/>
      <c r="H424" s="1"/>
      <c r="I424" s="1"/>
      <c r="J424" s="1"/>
      <c r="K424" s="1"/>
      <c r="L424" s="1"/>
      <c r="M424" s="1"/>
      <c r="N424" s="1"/>
      <c r="O424" s="1"/>
      <c r="P424" s="1"/>
      <c r="Q424" s="1"/>
      <c r="R424" s="1"/>
      <c r="S424" s="1"/>
      <c r="T424" s="1"/>
    </row>
    <row r="425" ht="15.75" customHeight="1">
      <c r="A425" s="36"/>
      <c r="B425" s="37"/>
      <c r="C425" s="37"/>
      <c r="D425" s="37"/>
      <c r="E425" s="37"/>
      <c r="F425" s="37"/>
      <c r="G425" s="1"/>
      <c r="H425" s="1"/>
      <c r="I425" s="1"/>
      <c r="J425" s="1"/>
      <c r="K425" s="1"/>
      <c r="L425" s="1"/>
      <c r="M425" s="1"/>
      <c r="N425" s="1"/>
      <c r="O425" s="1"/>
      <c r="P425" s="1"/>
      <c r="Q425" s="1"/>
      <c r="R425" s="1"/>
      <c r="S425" s="1"/>
      <c r="T425" s="1"/>
    </row>
    <row r="426" ht="15.75" customHeight="1">
      <c r="A426" s="36"/>
      <c r="B426" s="37"/>
      <c r="C426" s="37"/>
      <c r="D426" s="37"/>
      <c r="E426" s="37"/>
      <c r="F426" s="37"/>
      <c r="G426" s="1"/>
      <c r="H426" s="1"/>
      <c r="I426" s="1"/>
      <c r="J426" s="1"/>
      <c r="K426" s="1"/>
      <c r="L426" s="1"/>
      <c r="M426" s="1"/>
      <c r="N426" s="1"/>
      <c r="O426" s="1"/>
      <c r="P426" s="1"/>
      <c r="Q426" s="1"/>
      <c r="R426" s="1"/>
      <c r="S426" s="1"/>
      <c r="T426" s="1"/>
    </row>
    <row r="427" ht="15.75" customHeight="1">
      <c r="A427" s="36"/>
      <c r="B427" s="37"/>
      <c r="C427" s="37"/>
      <c r="D427" s="37"/>
      <c r="E427" s="37"/>
      <c r="F427" s="37"/>
      <c r="G427" s="1"/>
      <c r="H427" s="1"/>
      <c r="I427" s="1"/>
      <c r="J427" s="1"/>
      <c r="K427" s="1"/>
      <c r="L427" s="1"/>
      <c r="M427" s="1"/>
      <c r="N427" s="1"/>
      <c r="O427" s="1"/>
      <c r="P427" s="1"/>
      <c r="Q427" s="1"/>
      <c r="R427" s="1"/>
      <c r="S427" s="1"/>
      <c r="T427" s="1"/>
    </row>
    <row r="428" ht="15.75" customHeight="1">
      <c r="A428" s="36"/>
      <c r="B428" s="37"/>
      <c r="C428" s="37"/>
      <c r="D428" s="37"/>
      <c r="E428" s="37"/>
      <c r="F428" s="37"/>
      <c r="G428" s="1"/>
      <c r="H428" s="1"/>
      <c r="I428" s="1"/>
      <c r="J428" s="1"/>
      <c r="K428" s="1"/>
      <c r="L428" s="1"/>
      <c r="M428" s="1"/>
      <c r="N428" s="1"/>
      <c r="O428" s="1"/>
      <c r="P428" s="1"/>
      <c r="Q428" s="1"/>
      <c r="R428" s="1"/>
      <c r="S428" s="1"/>
      <c r="T428" s="1"/>
    </row>
    <row r="429" ht="15.75" customHeight="1">
      <c r="A429" s="36"/>
      <c r="B429" s="37"/>
      <c r="C429" s="37"/>
      <c r="D429" s="37"/>
      <c r="E429" s="37"/>
      <c r="F429" s="37"/>
      <c r="G429" s="1"/>
      <c r="H429" s="1"/>
      <c r="I429" s="1"/>
      <c r="J429" s="1"/>
      <c r="K429" s="1"/>
      <c r="L429" s="1"/>
      <c r="M429" s="1"/>
      <c r="N429" s="1"/>
      <c r="O429" s="1"/>
      <c r="P429" s="1"/>
      <c r="Q429" s="1"/>
      <c r="R429" s="1"/>
      <c r="S429" s="1"/>
      <c r="T429" s="1"/>
    </row>
    <row r="430" ht="15.75" customHeight="1">
      <c r="A430" s="36"/>
      <c r="B430" s="37"/>
      <c r="C430" s="37"/>
      <c r="D430" s="37"/>
      <c r="E430" s="37"/>
      <c r="F430" s="37"/>
      <c r="G430" s="1"/>
      <c r="H430" s="1"/>
      <c r="I430" s="1"/>
      <c r="J430" s="1"/>
      <c r="K430" s="1"/>
      <c r="L430" s="1"/>
      <c r="M430" s="1"/>
      <c r="N430" s="1"/>
      <c r="O430" s="1"/>
      <c r="P430" s="1"/>
      <c r="Q430" s="1"/>
      <c r="R430" s="1"/>
      <c r="S430" s="1"/>
      <c r="T430" s="1"/>
    </row>
    <row r="431" ht="15.75" customHeight="1">
      <c r="A431" s="36"/>
      <c r="B431" s="37"/>
      <c r="C431" s="37"/>
      <c r="D431" s="37"/>
      <c r="E431" s="37"/>
      <c r="F431" s="37"/>
      <c r="G431" s="1"/>
      <c r="H431" s="1"/>
      <c r="I431" s="1"/>
      <c r="J431" s="1"/>
      <c r="K431" s="1"/>
      <c r="L431" s="1"/>
      <c r="M431" s="1"/>
      <c r="N431" s="1"/>
      <c r="O431" s="1"/>
      <c r="P431" s="1"/>
      <c r="Q431" s="1"/>
      <c r="R431" s="1"/>
      <c r="S431" s="1"/>
      <c r="T431" s="1"/>
    </row>
    <row r="432" ht="15.75" customHeight="1">
      <c r="A432" s="36"/>
      <c r="B432" s="37"/>
      <c r="C432" s="37"/>
      <c r="D432" s="37"/>
      <c r="E432" s="37"/>
      <c r="F432" s="37"/>
      <c r="G432" s="1"/>
      <c r="H432" s="1"/>
      <c r="I432" s="1"/>
      <c r="J432" s="1"/>
      <c r="K432" s="1"/>
      <c r="L432" s="1"/>
      <c r="M432" s="1"/>
      <c r="N432" s="1"/>
      <c r="O432" s="1"/>
      <c r="P432" s="1"/>
      <c r="Q432" s="1"/>
      <c r="R432" s="1"/>
      <c r="S432" s="1"/>
      <c r="T432" s="1"/>
    </row>
    <row r="433" ht="15.75" customHeight="1">
      <c r="A433" s="36"/>
      <c r="B433" s="37"/>
      <c r="C433" s="37"/>
      <c r="D433" s="37"/>
      <c r="E433" s="37"/>
      <c r="F433" s="37"/>
      <c r="G433" s="1"/>
      <c r="H433" s="1"/>
      <c r="I433" s="1"/>
      <c r="J433" s="1"/>
      <c r="K433" s="1"/>
      <c r="L433" s="1"/>
      <c r="M433" s="1"/>
      <c r="N433" s="1"/>
      <c r="O433" s="1"/>
      <c r="P433" s="1"/>
      <c r="Q433" s="1"/>
      <c r="R433" s="1"/>
      <c r="S433" s="1"/>
      <c r="T433" s="1"/>
    </row>
    <row r="434" ht="15.75" customHeight="1">
      <c r="A434" s="36"/>
      <c r="B434" s="37"/>
      <c r="C434" s="37"/>
      <c r="D434" s="37"/>
      <c r="E434" s="37"/>
      <c r="F434" s="37"/>
      <c r="G434" s="1"/>
      <c r="H434" s="1"/>
      <c r="I434" s="1"/>
      <c r="J434" s="1"/>
      <c r="K434" s="1"/>
      <c r="L434" s="1"/>
      <c r="M434" s="1"/>
      <c r="N434" s="1"/>
      <c r="O434" s="1"/>
      <c r="P434" s="1"/>
      <c r="Q434" s="1"/>
      <c r="R434" s="1"/>
      <c r="S434" s="1"/>
      <c r="T434" s="1"/>
    </row>
    <row r="435" ht="15.75" customHeight="1">
      <c r="A435" s="36"/>
      <c r="B435" s="37"/>
      <c r="C435" s="37"/>
      <c r="D435" s="37"/>
      <c r="E435" s="37"/>
      <c r="F435" s="37"/>
      <c r="G435" s="1"/>
      <c r="H435" s="1"/>
      <c r="I435" s="1"/>
      <c r="J435" s="1"/>
      <c r="K435" s="1"/>
      <c r="L435" s="1"/>
      <c r="M435" s="1"/>
      <c r="N435" s="1"/>
      <c r="O435" s="1"/>
      <c r="P435" s="1"/>
      <c r="Q435" s="1"/>
      <c r="R435" s="1"/>
      <c r="S435" s="1"/>
      <c r="T435" s="1"/>
    </row>
    <row r="436" ht="15.75" customHeight="1">
      <c r="A436" s="36"/>
      <c r="B436" s="37"/>
      <c r="C436" s="37"/>
      <c r="D436" s="37"/>
      <c r="E436" s="37"/>
      <c r="F436" s="37"/>
      <c r="G436" s="1"/>
      <c r="H436" s="1"/>
      <c r="I436" s="1"/>
      <c r="J436" s="1"/>
      <c r="K436" s="1"/>
      <c r="L436" s="1"/>
      <c r="M436" s="1"/>
      <c r="N436" s="1"/>
      <c r="O436" s="1"/>
      <c r="P436" s="1"/>
      <c r="Q436" s="1"/>
      <c r="R436" s="1"/>
      <c r="S436" s="1"/>
      <c r="T436" s="1"/>
    </row>
    <row r="437" ht="15.75" customHeight="1">
      <c r="A437" s="36"/>
      <c r="B437" s="37"/>
      <c r="C437" s="37"/>
      <c r="D437" s="37"/>
      <c r="E437" s="37"/>
      <c r="F437" s="37"/>
      <c r="G437" s="1"/>
      <c r="H437" s="1"/>
      <c r="I437" s="1"/>
      <c r="J437" s="1"/>
      <c r="K437" s="1"/>
      <c r="L437" s="1"/>
      <c r="M437" s="1"/>
      <c r="N437" s="1"/>
      <c r="O437" s="1"/>
      <c r="P437" s="1"/>
      <c r="Q437" s="1"/>
      <c r="R437" s="1"/>
      <c r="S437" s="1"/>
      <c r="T437" s="1"/>
    </row>
    <row r="438" ht="15.75" customHeight="1">
      <c r="A438" s="36"/>
      <c r="B438" s="37"/>
      <c r="C438" s="37"/>
      <c r="D438" s="37"/>
      <c r="E438" s="37"/>
      <c r="F438" s="37"/>
      <c r="G438" s="1"/>
      <c r="H438" s="1"/>
      <c r="I438" s="1"/>
      <c r="J438" s="1"/>
      <c r="K438" s="1"/>
      <c r="L438" s="1"/>
      <c r="M438" s="1"/>
      <c r="N438" s="1"/>
      <c r="O438" s="1"/>
      <c r="P438" s="1"/>
      <c r="Q438" s="1"/>
      <c r="R438" s="1"/>
      <c r="S438" s="1"/>
      <c r="T438" s="1"/>
    </row>
    <row r="439" ht="15.75" customHeight="1">
      <c r="A439" s="36"/>
      <c r="B439" s="37"/>
      <c r="C439" s="37"/>
      <c r="D439" s="37"/>
      <c r="E439" s="37"/>
      <c r="F439" s="37"/>
      <c r="G439" s="1"/>
      <c r="H439" s="1"/>
      <c r="I439" s="1"/>
      <c r="J439" s="1"/>
      <c r="K439" s="1"/>
      <c r="L439" s="1"/>
      <c r="M439" s="1"/>
      <c r="N439" s="1"/>
      <c r="O439" s="1"/>
      <c r="P439" s="1"/>
      <c r="Q439" s="1"/>
      <c r="R439" s="1"/>
      <c r="S439" s="1"/>
      <c r="T439" s="1"/>
    </row>
    <row r="440" ht="15.75" customHeight="1">
      <c r="A440" s="36"/>
      <c r="B440" s="37"/>
      <c r="C440" s="37"/>
      <c r="D440" s="37"/>
      <c r="E440" s="37"/>
      <c r="F440" s="37"/>
      <c r="G440" s="1"/>
      <c r="H440" s="1"/>
      <c r="I440" s="1"/>
      <c r="J440" s="1"/>
      <c r="K440" s="1"/>
      <c r="L440" s="1"/>
      <c r="M440" s="1"/>
      <c r="N440" s="1"/>
      <c r="O440" s="1"/>
      <c r="P440" s="1"/>
      <c r="Q440" s="1"/>
      <c r="R440" s="1"/>
      <c r="S440" s="1"/>
      <c r="T440" s="1"/>
    </row>
    <row r="441" ht="15.75" customHeight="1">
      <c r="A441" s="36"/>
      <c r="B441" s="37"/>
      <c r="C441" s="37"/>
      <c r="D441" s="37"/>
      <c r="E441" s="37"/>
      <c r="F441" s="37"/>
      <c r="G441" s="1"/>
      <c r="H441" s="1"/>
      <c r="I441" s="1"/>
      <c r="J441" s="1"/>
      <c r="K441" s="1"/>
      <c r="L441" s="1"/>
      <c r="M441" s="1"/>
      <c r="N441" s="1"/>
      <c r="O441" s="1"/>
      <c r="P441" s="1"/>
      <c r="Q441" s="1"/>
      <c r="R441" s="1"/>
      <c r="S441" s="1"/>
      <c r="T441" s="1"/>
    </row>
    <row r="442" ht="15.75" customHeight="1">
      <c r="A442" s="36"/>
      <c r="B442" s="37"/>
      <c r="C442" s="37"/>
      <c r="D442" s="37"/>
      <c r="E442" s="37"/>
      <c r="F442" s="37"/>
      <c r="G442" s="1"/>
      <c r="H442" s="1"/>
      <c r="I442" s="1"/>
      <c r="J442" s="1"/>
      <c r="K442" s="1"/>
      <c r="L442" s="1"/>
      <c r="M442" s="1"/>
      <c r="N442" s="1"/>
      <c r="O442" s="1"/>
      <c r="P442" s="1"/>
      <c r="Q442" s="1"/>
      <c r="R442" s="1"/>
      <c r="S442" s="1"/>
      <c r="T442" s="1"/>
    </row>
    <row r="443" ht="15.75" customHeight="1">
      <c r="A443" s="36"/>
      <c r="B443" s="37"/>
      <c r="C443" s="37"/>
      <c r="D443" s="37"/>
      <c r="E443" s="37"/>
      <c r="F443" s="37"/>
      <c r="G443" s="1"/>
      <c r="H443" s="1"/>
      <c r="I443" s="1"/>
      <c r="J443" s="1"/>
      <c r="K443" s="1"/>
      <c r="L443" s="1"/>
      <c r="M443" s="1"/>
      <c r="N443" s="1"/>
      <c r="O443" s="1"/>
      <c r="P443" s="1"/>
      <c r="Q443" s="1"/>
      <c r="R443" s="1"/>
      <c r="S443" s="1"/>
      <c r="T443" s="1"/>
    </row>
    <row r="444" ht="15.75" customHeight="1">
      <c r="A444" s="36"/>
      <c r="B444" s="37"/>
      <c r="C444" s="37"/>
      <c r="D444" s="37"/>
      <c r="E444" s="37"/>
      <c r="F444" s="37"/>
      <c r="G444" s="1"/>
      <c r="H444" s="1"/>
      <c r="I444" s="1"/>
      <c r="J444" s="1"/>
      <c r="K444" s="1"/>
      <c r="L444" s="1"/>
      <c r="M444" s="1"/>
      <c r="N444" s="1"/>
      <c r="O444" s="1"/>
      <c r="P444" s="1"/>
      <c r="Q444" s="1"/>
      <c r="R444" s="1"/>
      <c r="S444" s="1"/>
      <c r="T444" s="1"/>
    </row>
    <row r="445" ht="15.75" customHeight="1">
      <c r="A445" s="36"/>
      <c r="B445" s="37"/>
      <c r="C445" s="37"/>
      <c r="D445" s="37"/>
      <c r="E445" s="37"/>
      <c r="F445" s="37"/>
      <c r="G445" s="1"/>
      <c r="H445" s="1"/>
      <c r="I445" s="1"/>
      <c r="J445" s="1"/>
      <c r="K445" s="1"/>
      <c r="L445" s="1"/>
      <c r="M445" s="1"/>
      <c r="N445" s="1"/>
      <c r="O445" s="1"/>
      <c r="P445" s="1"/>
      <c r="Q445" s="1"/>
      <c r="R445" s="1"/>
      <c r="S445" s="1"/>
      <c r="T445" s="1"/>
    </row>
    <row r="446" ht="15.75" customHeight="1">
      <c r="A446" s="36"/>
      <c r="B446" s="37"/>
      <c r="C446" s="37"/>
      <c r="D446" s="37"/>
      <c r="E446" s="37"/>
      <c r="F446" s="37"/>
      <c r="G446" s="1"/>
      <c r="H446" s="1"/>
      <c r="I446" s="1"/>
      <c r="J446" s="1"/>
      <c r="K446" s="1"/>
      <c r="L446" s="1"/>
      <c r="M446" s="1"/>
      <c r="N446" s="1"/>
      <c r="O446" s="1"/>
      <c r="P446" s="1"/>
      <c r="Q446" s="1"/>
      <c r="R446" s="1"/>
      <c r="S446" s="1"/>
      <c r="T446" s="1"/>
    </row>
    <row r="447" ht="15.75" customHeight="1">
      <c r="A447" s="36"/>
      <c r="B447" s="37"/>
      <c r="C447" s="37"/>
      <c r="D447" s="37"/>
      <c r="E447" s="37"/>
      <c r="F447" s="37"/>
      <c r="G447" s="1"/>
      <c r="H447" s="1"/>
      <c r="I447" s="1"/>
      <c r="J447" s="1"/>
      <c r="K447" s="1"/>
      <c r="L447" s="1"/>
      <c r="M447" s="1"/>
      <c r="N447" s="1"/>
      <c r="O447" s="1"/>
      <c r="P447" s="1"/>
      <c r="Q447" s="1"/>
      <c r="R447" s="1"/>
      <c r="S447" s="1"/>
      <c r="T447" s="1"/>
    </row>
    <row r="448" ht="15.75" customHeight="1">
      <c r="A448" s="36"/>
      <c r="B448" s="37"/>
      <c r="C448" s="37"/>
      <c r="D448" s="37"/>
      <c r="E448" s="37"/>
      <c r="F448" s="37"/>
      <c r="G448" s="1"/>
      <c r="H448" s="1"/>
      <c r="I448" s="1"/>
      <c r="J448" s="1"/>
      <c r="K448" s="1"/>
      <c r="L448" s="1"/>
      <c r="M448" s="1"/>
      <c r="N448" s="1"/>
      <c r="O448" s="1"/>
      <c r="P448" s="1"/>
      <c r="Q448" s="1"/>
      <c r="R448" s="1"/>
      <c r="S448" s="1"/>
      <c r="T448" s="1"/>
    </row>
    <row r="449" ht="15.75" customHeight="1">
      <c r="A449" s="36"/>
      <c r="B449" s="37"/>
      <c r="C449" s="37"/>
      <c r="D449" s="37"/>
      <c r="E449" s="37"/>
      <c r="F449" s="37"/>
      <c r="G449" s="1"/>
      <c r="H449" s="1"/>
      <c r="I449" s="1"/>
      <c r="J449" s="1"/>
      <c r="K449" s="1"/>
      <c r="L449" s="1"/>
      <c r="M449" s="1"/>
      <c r="N449" s="1"/>
      <c r="O449" s="1"/>
      <c r="P449" s="1"/>
      <c r="Q449" s="1"/>
      <c r="R449" s="1"/>
      <c r="S449" s="1"/>
      <c r="T449" s="1"/>
    </row>
    <row r="450" ht="15.75" customHeight="1">
      <c r="A450" s="36"/>
      <c r="B450" s="37"/>
      <c r="C450" s="37"/>
      <c r="D450" s="37"/>
      <c r="E450" s="37"/>
      <c r="F450" s="37"/>
      <c r="G450" s="1"/>
      <c r="H450" s="1"/>
      <c r="I450" s="1"/>
      <c r="J450" s="1"/>
      <c r="K450" s="1"/>
      <c r="L450" s="1"/>
      <c r="M450" s="1"/>
      <c r="N450" s="1"/>
      <c r="O450" s="1"/>
      <c r="P450" s="1"/>
      <c r="Q450" s="1"/>
      <c r="R450" s="1"/>
      <c r="S450" s="1"/>
      <c r="T450" s="1"/>
    </row>
    <row r="451" ht="15.75" customHeight="1">
      <c r="A451" s="36"/>
      <c r="B451" s="37"/>
      <c r="C451" s="37"/>
      <c r="D451" s="37"/>
      <c r="E451" s="37"/>
      <c r="F451" s="37"/>
      <c r="G451" s="1"/>
      <c r="H451" s="1"/>
      <c r="I451" s="1"/>
      <c r="J451" s="1"/>
      <c r="K451" s="1"/>
      <c r="L451" s="1"/>
      <c r="M451" s="1"/>
      <c r="N451" s="1"/>
      <c r="O451" s="1"/>
      <c r="P451" s="1"/>
      <c r="Q451" s="1"/>
      <c r="R451" s="1"/>
      <c r="S451" s="1"/>
      <c r="T451" s="1"/>
    </row>
    <row r="452" ht="15.75" customHeight="1">
      <c r="A452" s="36"/>
      <c r="B452" s="37"/>
      <c r="C452" s="37"/>
      <c r="D452" s="37"/>
      <c r="E452" s="37"/>
      <c r="F452" s="37"/>
      <c r="G452" s="1"/>
      <c r="H452" s="1"/>
      <c r="I452" s="1"/>
      <c r="J452" s="1"/>
      <c r="K452" s="1"/>
      <c r="L452" s="1"/>
      <c r="M452" s="1"/>
      <c r="N452" s="1"/>
      <c r="O452" s="1"/>
      <c r="P452" s="1"/>
      <c r="Q452" s="1"/>
      <c r="R452" s="1"/>
      <c r="S452" s="1"/>
      <c r="T452" s="1"/>
    </row>
    <row r="453" ht="15.75" customHeight="1">
      <c r="A453" s="36"/>
      <c r="B453" s="37"/>
      <c r="C453" s="37"/>
      <c r="D453" s="37"/>
      <c r="E453" s="37"/>
      <c r="F453" s="37"/>
      <c r="G453" s="1"/>
      <c r="H453" s="1"/>
      <c r="I453" s="1"/>
      <c r="J453" s="1"/>
      <c r="K453" s="1"/>
      <c r="L453" s="1"/>
      <c r="M453" s="1"/>
      <c r="N453" s="1"/>
      <c r="O453" s="1"/>
      <c r="P453" s="1"/>
      <c r="Q453" s="1"/>
      <c r="R453" s="1"/>
      <c r="S453" s="1"/>
      <c r="T453" s="1"/>
    </row>
    <row r="454" ht="15.75" customHeight="1">
      <c r="A454" s="36"/>
      <c r="B454" s="37"/>
      <c r="C454" s="37"/>
      <c r="D454" s="37"/>
      <c r="E454" s="37"/>
      <c r="F454" s="37"/>
      <c r="G454" s="1"/>
      <c r="H454" s="1"/>
      <c r="I454" s="1"/>
      <c r="J454" s="1"/>
      <c r="K454" s="1"/>
      <c r="L454" s="1"/>
      <c r="M454" s="1"/>
      <c r="N454" s="1"/>
      <c r="O454" s="1"/>
      <c r="P454" s="1"/>
      <c r="Q454" s="1"/>
      <c r="R454" s="1"/>
      <c r="S454" s="1"/>
      <c r="T454" s="1"/>
    </row>
    <row r="455" ht="15.75" customHeight="1">
      <c r="A455" s="36"/>
      <c r="B455" s="37"/>
      <c r="C455" s="37"/>
      <c r="D455" s="37"/>
      <c r="E455" s="37"/>
      <c r="F455" s="37"/>
      <c r="G455" s="1"/>
      <c r="H455" s="1"/>
      <c r="I455" s="1"/>
      <c r="J455" s="1"/>
      <c r="K455" s="1"/>
      <c r="L455" s="1"/>
      <c r="M455" s="1"/>
      <c r="N455" s="1"/>
      <c r="O455" s="1"/>
      <c r="P455" s="1"/>
      <c r="Q455" s="1"/>
      <c r="R455" s="1"/>
      <c r="S455" s="1"/>
      <c r="T455" s="1"/>
    </row>
    <row r="456" ht="15.75" customHeight="1">
      <c r="A456" s="36"/>
      <c r="B456" s="37"/>
      <c r="C456" s="37"/>
      <c r="D456" s="37"/>
      <c r="E456" s="37"/>
      <c r="F456" s="37"/>
      <c r="G456" s="1"/>
      <c r="H456" s="1"/>
      <c r="I456" s="1"/>
      <c r="J456" s="1"/>
      <c r="K456" s="1"/>
      <c r="L456" s="1"/>
      <c r="M456" s="1"/>
      <c r="N456" s="1"/>
      <c r="O456" s="1"/>
      <c r="P456" s="1"/>
      <c r="Q456" s="1"/>
      <c r="R456" s="1"/>
      <c r="S456" s="1"/>
      <c r="T456" s="1"/>
    </row>
    <row r="457" ht="15.75" customHeight="1">
      <c r="A457" s="36"/>
      <c r="B457" s="37"/>
      <c r="C457" s="37"/>
      <c r="D457" s="37"/>
      <c r="E457" s="37"/>
      <c r="F457" s="37"/>
      <c r="G457" s="1"/>
      <c r="H457" s="1"/>
      <c r="I457" s="1"/>
      <c r="J457" s="1"/>
      <c r="K457" s="1"/>
      <c r="L457" s="1"/>
      <c r="M457" s="1"/>
      <c r="N457" s="1"/>
      <c r="O457" s="1"/>
      <c r="P457" s="1"/>
      <c r="Q457" s="1"/>
      <c r="R457" s="1"/>
      <c r="S457" s="1"/>
      <c r="T457" s="1"/>
    </row>
    <row r="458" ht="15.75" customHeight="1">
      <c r="A458" s="36"/>
      <c r="B458" s="37"/>
      <c r="C458" s="37"/>
      <c r="D458" s="37"/>
      <c r="E458" s="37"/>
      <c r="F458" s="37"/>
      <c r="G458" s="1"/>
      <c r="H458" s="1"/>
      <c r="I458" s="1"/>
      <c r="J458" s="1"/>
      <c r="K458" s="1"/>
      <c r="L458" s="1"/>
      <c r="M458" s="1"/>
      <c r="N458" s="1"/>
      <c r="O458" s="1"/>
      <c r="P458" s="1"/>
      <c r="Q458" s="1"/>
      <c r="R458" s="1"/>
      <c r="S458" s="1"/>
      <c r="T458" s="1"/>
    </row>
    <row r="459" ht="15.75" customHeight="1">
      <c r="A459" s="36"/>
      <c r="B459" s="37"/>
      <c r="C459" s="37"/>
      <c r="D459" s="37"/>
      <c r="E459" s="37"/>
      <c r="F459" s="37"/>
      <c r="G459" s="1"/>
      <c r="H459" s="1"/>
      <c r="I459" s="1"/>
      <c r="J459" s="1"/>
      <c r="K459" s="1"/>
      <c r="L459" s="1"/>
      <c r="M459" s="1"/>
      <c r="N459" s="1"/>
      <c r="O459" s="1"/>
      <c r="P459" s="1"/>
      <c r="Q459" s="1"/>
      <c r="R459" s="1"/>
      <c r="S459" s="1"/>
      <c r="T459" s="1"/>
    </row>
    <row r="460" ht="15.75" customHeight="1">
      <c r="A460" s="36"/>
      <c r="B460" s="37"/>
      <c r="C460" s="37"/>
      <c r="D460" s="37"/>
      <c r="E460" s="37"/>
      <c r="F460" s="37"/>
      <c r="G460" s="1"/>
      <c r="H460" s="1"/>
      <c r="I460" s="1"/>
      <c r="J460" s="1"/>
      <c r="K460" s="1"/>
      <c r="L460" s="1"/>
      <c r="M460" s="1"/>
      <c r="N460" s="1"/>
      <c r="O460" s="1"/>
      <c r="P460" s="1"/>
      <c r="Q460" s="1"/>
      <c r="R460" s="1"/>
      <c r="S460" s="1"/>
      <c r="T460" s="1"/>
    </row>
    <row r="461" ht="15.75" customHeight="1">
      <c r="A461" s="36"/>
      <c r="B461" s="37"/>
      <c r="C461" s="37"/>
      <c r="D461" s="37"/>
      <c r="E461" s="37"/>
      <c r="F461" s="37"/>
      <c r="G461" s="1"/>
      <c r="H461" s="1"/>
      <c r="I461" s="1"/>
      <c r="J461" s="1"/>
      <c r="K461" s="1"/>
      <c r="L461" s="1"/>
      <c r="M461" s="1"/>
      <c r="N461" s="1"/>
      <c r="O461" s="1"/>
      <c r="P461" s="1"/>
      <c r="Q461" s="1"/>
      <c r="R461" s="1"/>
      <c r="S461" s="1"/>
      <c r="T461" s="1"/>
    </row>
    <row r="462" ht="15.75" customHeight="1">
      <c r="A462" s="36"/>
      <c r="B462" s="37"/>
      <c r="C462" s="37"/>
      <c r="D462" s="37"/>
      <c r="E462" s="37"/>
      <c r="F462" s="37"/>
      <c r="G462" s="1"/>
      <c r="H462" s="1"/>
      <c r="I462" s="1"/>
      <c r="J462" s="1"/>
      <c r="K462" s="1"/>
      <c r="L462" s="1"/>
      <c r="M462" s="1"/>
      <c r="N462" s="1"/>
      <c r="O462" s="1"/>
      <c r="P462" s="1"/>
      <c r="Q462" s="1"/>
      <c r="R462" s="1"/>
      <c r="S462" s="1"/>
      <c r="T462" s="1"/>
    </row>
    <row r="463" ht="15.75" customHeight="1">
      <c r="A463" s="36"/>
      <c r="B463" s="37"/>
      <c r="C463" s="37"/>
      <c r="D463" s="37"/>
      <c r="E463" s="37"/>
      <c r="F463" s="37"/>
      <c r="G463" s="1"/>
      <c r="H463" s="1"/>
      <c r="I463" s="1"/>
      <c r="J463" s="1"/>
      <c r="K463" s="1"/>
      <c r="L463" s="1"/>
      <c r="M463" s="1"/>
      <c r="N463" s="1"/>
      <c r="O463" s="1"/>
      <c r="P463" s="1"/>
      <c r="Q463" s="1"/>
      <c r="R463" s="1"/>
      <c r="S463" s="1"/>
      <c r="T463" s="1"/>
    </row>
    <row r="464" ht="15.75" customHeight="1">
      <c r="A464" s="36"/>
      <c r="B464" s="37"/>
      <c r="C464" s="37"/>
      <c r="D464" s="37"/>
      <c r="E464" s="37"/>
      <c r="F464" s="37"/>
      <c r="G464" s="1"/>
      <c r="H464" s="1"/>
      <c r="I464" s="1"/>
      <c r="J464" s="1"/>
      <c r="K464" s="1"/>
      <c r="L464" s="1"/>
      <c r="M464" s="1"/>
      <c r="N464" s="1"/>
      <c r="O464" s="1"/>
      <c r="P464" s="1"/>
      <c r="Q464" s="1"/>
      <c r="R464" s="1"/>
      <c r="S464" s="1"/>
      <c r="T464" s="1"/>
    </row>
    <row r="465" ht="15.75" customHeight="1">
      <c r="A465" s="36"/>
      <c r="B465" s="37"/>
      <c r="C465" s="37"/>
      <c r="D465" s="37"/>
      <c r="E465" s="37"/>
      <c r="F465" s="37"/>
      <c r="G465" s="1"/>
      <c r="H465" s="1"/>
      <c r="I465" s="1"/>
      <c r="J465" s="1"/>
      <c r="K465" s="1"/>
      <c r="L465" s="1"/>
      <c r="M465" s="1"/>
      <c r="N465" s="1"/>
      <c r="O465" s="1"/>
      <c r="P465" s="1"/>
      <c r="Q465" s="1"/>
      <c r="R465" s="1"/>
      <c r="S465" s="1"/>
      <c r="T465" s="1"/>
    </row>
    <row r="466" ht="15.75" customHeight="1">
      <c r="A466" s="36"/>
      <c r="B466" s="37"/>
      <c r="C466" s="37"/>
      <c r="D466" s="37"/>
      <c r="E466" s="37"/>
      <c r="F466" s="37"/>
      <c r="G466" s="1"/>
      <c r="H466" s="1"/>
      <c r="I466" s="1"/>
      <c r="J466" s="1"/>
      <c r="K466" s="1"/>
      <c r="L466" s="1"/>
      <c r="M466" s="1"/>
      <c r="N466" s="1"/>
      <c r="O466" s="1"/>
      <c r="P466" s="1"/>
      <c r="Q466" s="1"/>
      <c r="R466" s="1"/>
      <c r="S466" s="1"/>
      <c r="T466" s="1"/>
    </row>
    <row r="467" ht="15.75" customHeight="1">
      <c r="A467" s="36"/>
      <c r="B467" s="37"/>
      <c r="C467" s="37"/>
      <c r="D467" s="37"/>
      <c r="E467" s="37"/>
      <c r="F467" s="37"/>
      <c r="G467" s="1"/>
      <c r="H467" s="1"/>
      <c r="I467" s="1"/>
      <c r="J467" s="1"/>
      <c r="K467" s="1"/>
      <c r="L467" s="1"/>
      <c r="M467" s="1"/>
      <c r="N467" s="1"/>
      <c r="O467" s="1"/>
      <c r="P467" s="1"/>
      <c r="Q467" s="1"/>
      <c r="R467" s="1"/>
      <c r="S467" s="1"/>
      <c r="T467" s="1"/>
    </row>
    <row r="468" ht="15.75" customHeight="1">
      <c r="A468" s="36"/>
      <c r="B468" s="37"/>
      <c r="C468" s="37"/>
      <c r="D468" s="37"/>
      <c r="E468" s="37"/>
      <c r="F468" s="37"/>
      <c r="G468" s="1"/>
      <c r="H468" s="1"/>
      <c r="I468" s="1"/>
      <c r="J468" s="1"/>
      <c r="K468" s="1"/>
      <c r="L468" s="1"/>
      <c r="M468" s="1"/>
      <c r="N468" s="1"/>
      <c r="O468" s="1"/>
      <c r="P468" s="1"/>
      <c r="Q468" s="1"/>
      <c r="R468" s="1"/>
      <c r="S468" s="1"/>
      <c r="T468" s="1"/>
    </row>
    <row r="469" ht="15.75" customHeight="1">
      <c r="A469" s="36"/>
      <c r="B469" s="37"/>
      <c r="C469" s="37"/>
      <c r="D469" s="37"/>
      <c r="E469" s="37"/>
      <c r="F469" s="37"/>
      <c r="G469" s="1"/>
      <c r="H469" s="1"/>
      <c r="I469" s="1"/>
      <c r="J469" s="1"/>
      <c r="K469" s="1"/>
      <c r="L469" s="1"/>
      <c r="M469" s="1"/>
      <c r="N469" s="1"/>
      <c r="O469" s="1"/>
      <c r="P469" s="1"/>
      <c r="Q469" s="1"/>
      <c r="R469" s="1"/>
      <c r="S469" s="1"/>
      <c r="T469" s="1"/>
    </row>
    <row r="470" ht="15.75" customHeight="1">
      <c r="A470" s="36"/>
      <c r="B470" s="37"/>
      <c r="C470" s="37"/>
      <c r="D470" s="37"/>
      <c r="E470" s="37"/>
      <c r="F470" s="37"/>
      <c r="G470" s="1"/>
      <c r="H470" s="1"/>
      <c r="I470" s="1"/>
      <c r="J470" s="1"/>
      <c r="K470" s="1"/>
      <c r="L470" s="1"/>
      <c r="M470" s="1"/>
      <c r="N470" s="1"/>
      <c r="O470" s="1"/>
      <c r="P470" s="1"/>
      <c r="Q470" s="1"/>
      <c r="R470" s="1"/>
      <c r="S470" s="1"/>
      <c r="T470" s="1"/>
    </row>
    <row r="471" ht="15.75" customHeight="1">
      <c r="A471" s="36"/>
      <c r="B471" s="37"/>
      <c r="C471" s="37"/>
      <c r="D471" s="37"/>
      <c r="E471" s="37"/>
      <c r="F471" s="37"/>
      <c r="G471" s="1"/>
      <c r="H471" s="1"/>
      <c r="I471" s="1"/>
      <c r="J471" s="1"/>
      <c r="K471" s="1"/>
      <c r="L471" s="1"/>
      <c r="M471" s="1"/>
      <c r="N471" s="1"/>
      <c r="O471" s="1"/>
      <c r="P471" s="1"/>
      <c r="Q471" s="1"/>
      <c r="R471" s="1"/>
      <c r="S471" s="1"/>
      <c r="T471" s="1"/>
    </row>
    <row r="472" ht="15.75" customHeight="1">
      <c r="A472" s="36"/>
      <c r="B472" s="37"/>
      <c r="C472" s="37"/>
      <c r="D472" s="37"/>
      <c r="E472" s="37"/>
      <c r="F472" s="37"/>
      <c r="G472" s="1"/>
      <c r="H472" s="1"/>
      <c r="I472" s="1"/>
      <c r="J472" s="1"/>
      <c r="K472" s="1"/>
      <c r="L472" s="1"/>
      <c r="M472" s="1"/>
      <c r="N472" s="1"/>
      <c r="O472" s="1"/>
      <c r="P472" s="1"/>
      <c r="Q472" s="1"/>
      <c r="R472" s="1"/>
      <c r="S472" s="1"/>
      <c r="T472" s="1"/>
    </row>
    <row r="473" ht="15.75" customHeight="1">
      <c r="A473" s="36"/>
      <c r="B473" s="37"/>
      <c r="C473" s="37"/>
      <c r="D473" s="37"/>
      <c r="E473" s="37"/>
      <c r="F473" s="37"/>
      <c r="G473" s="1"/>
      <c r="H473" s="1"/>
      <c r="I473" s="1"/>
      <c r="J473" s="1"/>
      <c r="K473" s="1"/>
      <c r="L473" s="1"/>
      <c r="M473" s="1"/>
      <c r="N473" s="1"/>
      <c r="O473" s="1"/>
      <c r="P473" s="1"/>
      <c r="Q473" s="1"/>
      <c r="R473" s="1"/>
      <c r="S473" s="1"/>
      <c r="T473" s="1"/>
    </row>
    <row r="474" ht="15.75" customHeight="1">
      <c r="A474" s="36"/>
      <c r="B474" s="37"/>
      <c r="C474" s="37"/>
      <c r="D474" s="37"/>
      <c r="E474" s="37"/>
      <c r="F474" s="37"/>
      <c r="G474" s="1"/>
      <c r="H474" s="1"/>
      <c r="I474" s="1"/>
      <c r="J474" s="1"/>
      <c r="K474" s="1"/>
      <c r="L474" s="1"/>
      <c r="M474" s="1"/>
      <c r="N474" s="1"/>
      <c r="O474" s="1"/>
      <c r="P474" s="1"/>
      <c r="Q474" s="1"/>
      <c r="R474" s="1"/>
      <c r="S474" s="1"/>
      <c r="T474" s="1"/>
    </row>
    <row r="475" ht="15.75" customHeight="1">
      <c r="A475" s="36"/>
      <c r="B475" s="37"/>
      <c r="C475" s="37"/>
      <c r="D475" s="37"/>
      <c r="E475" s="37"/>
      <c r="F475" s="37"/>
      <c r="G475" s="1"/>
      <c r="H475" s="1"/>
      <c r="I475" s="1"/>
      <c r="J475" s="1"/>
      <c r="K475" s="1"/>
      <c r="L475" s="1"/>
      <c r="M475" s="1"/>
      <c r="N475" s="1"/>
      <c r="O475" s="1"/>
      <c r="P475" s="1"/>
      <c r="Q475" s="1"/>
      <c r="R475" s="1"/>
      <c r="S475" s="1"/>
      <c r="T475" s="1"/>
    </row>
    <row r="476" ht="15.75" customHeight="1">
      <c r="A476" s="36"/>
      <c r="B476" s="37"/>
      <c r="C476" s="37"/>
      <c r="D476" s="37"/>
      <c r="E476" s="37"/>
      <c r="F476" s="37"/>
      <c r="G476" s="1"/>
      <c r="H476" s="1"/>
      <c r="I476" s="1"/>
      <c r="J476" s="1"/>
      <c r="K476" s="1"/>
      <c r="L476" s="1"/>
      <c r="M476" s="1"/>
      <c r="N476" s="1"/>
      <c r="O476" s="1"/>
      <c r="P476" s="1"/>
      <c r="Q476" s="1"/>
      <c r="R476" s="1"/>
      <c r="S476" s="1"/>
      <c r="T476" s="1"/>
    </row>
    <row r="477" ht="15.75" customHeight="1">
      <c r="A477" s="36"/>
      <c r="B477" s="37"/>
      <c r="C477" s="37"/>
      <c r="D477" s="37"/>
      <c r="E477" s="37"/>
      <c r="F477" s="37"/>
      <c r="G477" s="1"/>
      <c r="H477" s="1"/>
      <c r="I477" s="1"/>
      <c r="J477" s="1"/>
      <c r="K477" s="1"/>
      <c r="L477" s="1"/>
      <c r="M477" s="1"/>
      <c r="N477" s="1"/>
      <c r="O477" s="1"/>
      <c r="P477" s="1"/>
      <c r="Q477" s="1"/>
      <c r="R477" s="1"/>
      <c r="S477" s="1"/>
      <c r="T477" s="1"/>
    </row>
    <row r="478" ht="15.75" customHeight="1">
      <c r="A478" s="36"/>
      <c r="B478" s="37"/>
      <c r="C478" s="37"/>
      <c r="D478" s="37"/>
      <c r="E478" s="37"/>
      <c r="F478" s="37"/>
      <c r="G478" s="1"/>
      <c r="H478" s="1"/>
      <c r="I478" s="1"/>
      <c r="J478" s="1"/>
      <c r="K478" s="1"/>
      <c r="L478" s="1"/>
      <c r="M478" s="1"/>
      <c r="N478" s="1"/>
      <c r="O478" s="1"/>
      <c r="P478" s="1"/>
      <c r="Q478" s="1"/>
      <c r="R478" s="1"/>
      <c r="S478" s="1"/>
      <c r="T478" s="1"/>
    </row>
    <row r="479" ht="15.75" customHeight="1">
      <c r="A479" s="36"/>
      <c r="B479" s="37"/>
      <c r="C479" s="37"/>
      <c r="D479" s="37"/>
      <c r="E479" s="37"/>
      <c r="F479" s="37"/>
      <c r="G479" s="1"/>
      <c r="H479" s="1"/>
      <c r="I479" s="1"/>
      <c r="J479" s="1"/>
      <c r="K479" s="1"/>
      <c r="L479" s="1"/>
      <c r="M479" s="1"/>
      <c r="N479" s="1"/>
      <c r="O479" s="1"/>
      <c r="P479" s="1"/>
      <c r="Q479" s="1"/>
      <c r="R479" s="1"/>
      <c r="S479" s="1"/>
      <c r="T479" s="1"/>
    </row>
    <row r="480" ht="15.75" customHeight="1">
      <c r="A480" s="36"/>
      <c r="B480" s="37"/>
      <c r="C480" s="37"/>
      <c r="D480" s="37"/>
      <c r="E480" s="37"/>
      <c r="F480" s="37"/>
      <c r="G480" s="1"/>
      <c r="H480" s="1"/>
      <c r="I480" s="1"/>
      <c r="J480" s="1"/>
      <c r="K480" s="1"/>
      <c r="L480" s="1"/>
      <c r="M480" s="1"/>
      <c r="N480" s="1"/>
      <c r="O480" s="1"/>
      <c r="P480" s="1"/>
      <c r="Q480" s="1"/>
      <c r="R480" s="1"/>
      <c r="S480" s="1"/>
      <c r="T480" s="1"/>
    </row>
    <row r="481" ht="15.75" customHeight="1">
      <c r="A481" s="36"/>
      <c r="B481" s="37"/>
      <c r="C481" s="37"/>
      <c r="D481" s="37"/>
      <c r="E481" s="37"/>
      <c r="F481" s="37"/>
      <c r="G481" s="1"/>
      <c r="H481" s="1"/>
      <c r="I481" s="1"/>
      <c r="J481" s="1"/>
      <c r="K481" s="1"/>
      <c r="L481" s="1"/>
      <c r="M481" s="1"/>
      <c r="N481" s="1"/>
      <c r="O481" s="1"/>
      <c r="P481" s="1"/>
      <c r="Q481" s="1"/>
      <c r="R481" s="1"/>
      <c r="S481" s="1"/>
      <c r="T481" s="1"/>
    </row>
    <row r="482" ht="15.75" customHeight="1">
      <c r="A482" s="36"/>
      <c r="B482" s="37"/>
      <c r="C482" s="37"/>
      <c r="D482" s="37"/>
      <c r="E482" s="37"/>
      <c r="F482" s="37"/>
      <c r="G482" s="1"/>
      <c r="H482" s="1"/>
      <c r="I482" s="1"/>
      <c r="J482" s="1"/>
      <c r="K482" s="1"/>
      <c r="L482" s="1"/>
      <c r="M482" s="1"/>
      <c r="N482" s="1"/>
      <c r="O482" s="1"/>
      <c r="P482" s="1"/>
      <c r="Q482" s="1"/>
      <c r="R482" s="1"/>
      <c r="S482" s="1"/>
      <c r="T482" s="1"/>
    </row>
    <row r="483" ht="15.75" customHeight="1">
      <c r="A483" s="36"/>
      <c r="B483" s="37"/>
      <c r="C483" s="37"/>
      <c r="D483" s="37"/>
      <c r="E483" s="37"/>
      <c r="F483" s="37"/>
      <c r="G483" s="1"/>
      <c r="H483" s="1"/>
      <c r="I483" s="1"/>
      <c r="J483" s="1"/>
      <c r="K483" s="1"/>
      <c r="L483" s="1"/>
      <c r="M483" s="1"/>
      <c r="N483" s="1"/>
      <c r="O483" s="1"/>
      <c r="P483" s="1"/>
      <c r="Q483" s="1"/>
      <c r="R483" s="1"/>
      <c r="S483" s="1"/>
      <c r="T483" s="1"/>
    </row>
    <row r="484" ht="15.75" customHeight="1">
      <c r="A484" s="36"/>
      <c r="B484" s="37"/>
      <c r="C484" s="37"/>
      <c r="D484" s="37"/>
      <c r="E484" s="37"/>
      <c r="F484" s="37"/>
      <c r="G484" s="1"/>
      <c r="H484" s="1"/>
      <c r="I484" s="1"/>
      <c r="J484" s="1"/>
      <c r="K484" s="1"/>
      <c r="L484" s="1"/>
      <c r="M484" s="1"/>
      <c r="N484" s="1"/>
      <c r="O484" s="1"/>
      <c r="P484" s="1"/>
      <c r="Q484" s="1"/>
      <c r="R484" s="1"/>
      <c r="S484" s="1"/>
      <c r="T484" s="1"/>
    </row>
    <row r="485" ht="15.75" customHeight="1">
      <c r="A485" s="36"/>
      <c r="B485" s="37"/>
      <c r="C485" s="37"/>
      <c r="D485" s="37"/>
      <c r="E485" s="37"/>
      <c r="F485" s="37"/>
      <c r="G485" s="1"/>
      <c r="H485" s="1"/>
      <c r="I485" s="1"/>
      <c r="J485" s="1"/>
      <c r="K485" s="1"/>
      <c r="L485" s="1"/>
      <c r="M485" s="1"/>
      <c r="N485" s="1"/>
      <c r="O485" s="1"/>
      <c r="P485" s="1"/>
      <c r="Q485" s="1"/>
      <c r="R485" s="1"/>
      <c r="S485" s="1"/>
      <c r="T485" s="1"/>
    </row>
    <row r="486" ht="15.75" customHeight="1">
      <c r="A486" s="36"/>
      <c r="B486" s="37"/>
      <c r="C486" s="37"/>
      <c r="D486" s="37"/>
      <c r="E486" s="37"/>
      <c r="F486" s="37"/>
      <c r="G486" s="1"/>
      <c r="H486" s="1"/>
      <c r="I486" s="1"/>
      <c r="J486" s="1"/>
      <c r="K486" s="1"/>
      <c r="L486" s="1"/>
      <c r="M486" s="1"/>
      <c r="N486" s="1"/>
      <c r="O486" s="1"/>
      <c r="P486" s="1"/>
      <c r="Q486" s="1"/>
      <c r="R486" s="1"/>
      <c r="S486" s="1"/>
      <c r="T486" s="1"/>
    </row>
    <row r="487" ht="15.75" customHeight="1">
      <c r="A487" s="36"/>
      <c r="B487" s="37"/>
      <c r="C487" s="37"/>
      <c r="D487" s="37"/>
      <c r="E487" s="37"/>
      <c r="F487" s="37"/>
      <c r="G487" s="1"/>
      <c r="H487" s="1"/>
      <c r="I487" s="1"/>
      <c r="J487" s="1"/>
      <c r="K487" s="1"/>
      <c r="L487" s="1"/>
      <c r="M487" s="1"/>
      <c r="N487" s="1"/>
      <c r="O487" s="1"/>
      <c r="P487" s="1"/>
      <c r="Q487" s="1"/>
      <c r="R487" s="1"/>
      <c r="S487" s="1"/>
      <c r="T487" s="1"/>
    </row>
    <row r="488" ht="15.75" customHeight="1">
      <c r="A488" s="36"/>
      <c r="B488" s="37"/>
      <c r="C488" s="37"/>
      <c r="D488" s="37"/>
      <c r="E488" s="37"/>
      <c r="F488" s="37"/>
      <c r="G488" s="1"/>
      <c r="H488" s="1"/>
      <c r="I488" s="1"/>
      <c r="J488" s="1"/>
      <c r="K488" s="1"/>
      <c r="L488" s="1"/>
      <c r="M488" s="1"/>
      <c r="N488" s="1"/>
      <c r="O488" s="1"/>
      <c r="P488" s="1"/>
      <c r="Q488" s="1"/>
      <c r="R488" s="1"/>
      <c r="S488" s="1"/>
      <c r="T488" s="1"/>
    </row>
    <row r="489" ht="15.75" customHeight="1">
      <c r="A489" s="36"/>
      <c r="B489" s="37"/>
      <c r="C489" s="37"/>
      <c r="D489" s="37"/>
      <c r="E489" s="37"/>
      <c r="F489" s="37"/>
      <c r="G489" s="1"/>
      <c r="H489" s="1"/>
      <c r="I489" s="1"/>
      <c r="J489" s="1"/>
      <c r="K489" s="1"/>
      <c r="L489" s="1"/>
      <c r="M489" s="1"/>
      <c r="N489" s="1"/>
      <c r="O489" s="1"/>
      <c r="P489" s="1"/>
      <c r="Q489" s="1"/>
      <c r="R489" s="1"/>
      <c r="S489" s="1"/>
      <c r="T489" s="1"/>
    </row>
    <row r="490" ht="15.75" customHeight="1">
      <c r="A490" s="36"/>
      <c r="B490" s="37"/>
      <c r="C490" s="37"/>
      <c r="D490" s="37"/>
      <c r="E490" s="37"/>
      <c r="F490" s="37"/>
      <c r="G490" s="1"/>
      <c r="H490" s="1"/>
      <c r="I490" s="1"/>
      <c r="J490" s="1"/>
      <c r="K490" s="1"/>
      <c r="L490" s="1"/>
      <c r="M490" s="1"/>
      <c r="N490" s="1"/>
      <c r="O490" s="1"/>
      <c r="P490" s="1"/>
      <c r="Q490" s="1"/>
      <c r="R490" s="1"/>
      <c r="S490" s="1"/>
      <c r="T490" s="1"/>
    </row>
    <row r="491" ht="15.75" customHeight="1">
      <c r="A491" s="36"/>
      <c r="B491" s="37"/>
      <c r="C491" s="37"/>
      <c r="D491" s="37"/>
      <c r="E491" s="37"/>
      <c r="F491" s="37"/>
      <c r="G491" s="1"/>
      <c r="H491" s="1"/>
      <c r="I491" s="1"/>
      <c r="J491" s="1"/>
      <c r="K491" s="1"/>
      <c r="L491" s="1"/>
      <c r="M491" s="1"/>
      <c r="N491" s="1"/>
      <c r="O491" s="1"/>
      <c r="P491" s="1"/>
      <c r="Q491" s="1"/>
      <c r="R491" s="1"/>
      <c r="S491" s="1"/>
      <c r="T491" s="1"/>
    </row>
    <row r="492" ht="15.75" customHeight="1">
      <c r="A492" s="36"/>
      <c r="B492" s="37"/>
      <c r="C492" s="37"/>
      <c r="D492" s="37"/>
      <c r="E492" s="37"/>
      <c r="F492" s="37"/>
      <c r="G492" s="1"/>
      <c r="H492" s="1"/>
      <c r="I492" s="1"/>
      <c r="J492" s="1"/>
      <c r="K492" s="1"/>
      <c r="L492" s="1"/>
      <c r="M492" s="1"/>
      <c r="N492" s="1"/>
      <c r="O492" s="1"/>
      <c r="P492" s="1"/>
      <c r="Q492" s="1"/>
      <c r="R492" s="1"/>
      <c r="S492" s="1"/>
      <c r="T492" s="1"/>
    </row>
    <row r="493" ht="15.75" customHeight="1">
      <c r="A493" s="36"/>
      <c r="B493" s="37"/>
      <c r="C493" s="37"/>
      <c r="D493" s="37"/>
      <c r="E493" s="37"/>
      <c r="F493" s="37"/>
      <c r="G493" s="1"/>
      <c r="H493" s="1"/>
      <c r="I493" s="1"/>
      <c r="J493" s="1"/>
      <c r="K493" s="1"/>
      <c r="L493" s="1"/>
      <c r="M493" s="1"/>
      <c r="N493" s="1"/>
      <c r="O493" s="1"/>
      <c r="P493" s="1"/>
      <c r="Q493" s="1"/>
      <c r="R493" s="1"/>
      <c r="S493" s="1"/>
      <c r="T493" s="1"/>
    </row>
    <row r="494" ht="15.75" customHeight="1">
      <c r="A494" s="36"/>
      <c r="B494" s="37"/>
      <c r="C494" s="37"/>
      <c r="D494" s="37"/>
      <c r="E494" s="37"/>
      <c r="F494" s="37"/>
      <c r="G494" s="1"/>
      <c r="H494" s="1"/>
      <c r="I494" s="1"/>
      <c r="J494" s="1"/>
      <c r="K494" s="1"/>
      <c r="L494" s="1"/>
      <c r="M494" s="1"/>
      <c r="N494" s="1"/>
      <c r="O494" s="1"/>
      <c r="P494" s="1"/>
      <c r="Q494" s="1"/>
      <c r="R494" s="1"/>
      <c r="S494" s="1"/>
      <c r="T494" s="1"/>
    </row>
    <row r="495" ht="15.75" customHeight="1">
      <c r="A495" s="36"/>
      <c r="B495" s="37"/>
      <c r="C495" s="37"/>
      <c r="D495" s="37"/>
      <c r="E495" s="37"/>
      <c r="F495" s="37"/>
      <c r="G495" s="1"/>
      <c r="H495" s="1"/>
      <c r="I495" s="1"/>
      <c r="J495" s="1"/>
      <c r="K495" s="1"/>
      <c r="L495" s="1"/>
      <c r="M495" s="1"/>
      <c r="N495" s="1"/>
      <c r="O495" s="1"/>
      <c r="P495" s="1"/>
      <c r="Q495" s="1"/>
      <c r="R495" s="1"/>
      <c r="S495" s="1"/>
      <c r="T495" s="1"/>
    </row>
    <row r="496" ht="15.75" customHeight="1">
      <c r="A496" s="36"/>
      <c r="B496" s="37"/>
      <c r="C496" s="37"/>
      <c r="D496" s="37"/>
      <c r="E496" s="37"/>
      <c r="F496" s="37"/>
      <c r="G496" s="1"/>
      <c r="H496" s="1"/>
      <c r="I496" s="1"/>
      <c r="J496" s="1"/>
      <c r="K496" s="1"/>
      <c r="L496" s="1"/>
      <c r="M496" s="1"/>
      <c r="N496" s="1"/>
      <c r="O496" s="1"/>
      <c r="P496" s="1"/>
      <c r="Q496" s="1"/>
      <c r="R496" s="1"/>
      <c r="S496" s="1"/>
      <c r="T496" s="1"/>
    </row>
    <row r="497" ht="15.75" customHeight="1">
      <c r="A497" s="36"/>
      <c r="B497" s="37"/>
      <c r="C497" s="37"/>
      <c r="D497" s="37"/>
      <c r="E497" s="37"/>
      <c r="F497" s="37"/>
      <c r="G497" s="1"/>
      <c r="H497" s="1"/>
      <c r="I497" s="1"/>
      <c r="J497" s="1"/>
      <c r="K497" s="1"/>
      <c r="L497" s="1"/>
      <c r="M497" s="1"/>
      <c r="N497" s="1"/>
      <c r="O497" s="1"/>
      <c r="P497" s="1"/>
      <c r="Q497" s="1"/>
      <c r="R497" s="1"/>
      <c r="S497" s="1"/>
      <c r="T497" s="1"/>
    </row>
    <row r="498" ht="15.75" customHeight="1">
      <c r="A498" s="36"/>
      <c r="B498" s="37"/>
      <c r="C498" s="37"/>
      <c r="D498" s="37"/>
      <c r="E498" s="37"/>
      <c r="F498" s="37"/>
      <c r="G498" s="1"/>
      <c r="H498" s="1"/>
      <c r="I498" s="1"/>
      <c r="J498" s="1"/>
      <c r="K498" s="1"/>
      <c r="L498" s="1"/>
      <c r="M498" s="1"/>
      <c r="N498" s="1"/>
      <c r="O498" s="1"/>
      <c r="P498" s="1"/>
      <c r="Q498" s="1"/>
      <c r="R498" s="1"/>
      <c r="S498" s="1"/>
      <c r="T498" s="1"/>
    </row>
    <row r="499" ht="15.75" customHeight="1">
      <c r="A499" s="36"/>
      <c r="B499" s="37"/>
      <c r="C499" s="37"/>
      <c r="D499" s="37"/>
      <c r="E499" s="37"/>
      <c r="F499" s="37"/>
      <c r="G499" s="1"/>
      <c r="H499" s="1"/>
      <c r="I499" s="1"/>
      <c r="J499" s="1"/>
      <c r="K499" s="1"/>
      <c r="L499" s="1"/>
      <c r="M499" s="1"/>
      <c r="N499" s="1"/>
      <c r="O499" s="1"/>
      <c r="P499" s="1"/>
      <c r="Q499" s="1"/>
      <c r="R499" s="1"/>
      <c r="S499" s="1"/>
      <c r="T499" s="1"/>
    </row>
    <row r="500" ht="15.75" customHeight="1">
      <c r="A500" s="36"/>
      <c r="B500" s="37"/>
      <c r="C500" s="37"/>
      <c r="D500" s="37"/>
      <c r="E500" s="37"/>
      <c r="F500" s="37"/>
      <c r="G500" s="1"/>
      <c r="H500" s="1"/>
      <c r="I500" s="1"/>
      <c r="J500" s="1"/>
      <c r="K500" s="1"/>
      <c r="L500" s="1"/>
      <c r="M500" s="1"/>
      <c r="N500" s="1"/>
      <c r="O500" s="1"/>
      <c r="P500" s="1"/>
      <c r="Q500" s="1"/>
      <c r="R500" s="1"/>
      <c r="S500" s="1"/>
      <c r="T500" s="1"/>
    </row>
    <row r="501" ht="15.75" customHeight="1">
      <c r="A501" s="36"/>
      <c r="B501" s="37"/>
      <c r="C501" s="37"/>
      <c r="D501" s="37"/>
      <c r="E501" s="37"/>
      <c r="F501" s="37"/>
      <c r="G501" s="1"/>
      <c r="H501" s="1"/>
      <c r="I501" s="1"/>
      <c r="J501" s="1"/>
      <c r="K501" s="1"/>
      <c r="L501" s="1"/>
      <c r="M501" s="1"/>
      <c r="N501" s="1"/>
      <c r="O501" s="1"/>
      <c r="P501" s="1"/>
      <c r="Q501" s="1"/>
      <c r="R501" s="1"/>
      <c r="S501" s="1"/>
      <c r="T501" s="1"/>
    </row>
    <row r="502" ht="15.75" customHeight="1">
      <c r="A502" s="36"/>
      <c r="B502" s="37"/>
      <c r="C502" s="37"/>
      <c r="D502" s="37"/>
      <c r="E502" s="37"/>
      <c r="F502" s="37"/>
      <c r="G502" s="1"/>
      <c r="H502" s="1"/>
      <c r="I502" s="1"/>
      <c r="J502" s="1"/>
      <c r="K502" s="1"/>
      <c r="L502" s="1"/>
      <c r="M502" s="1"/>
      <c r="N502" s="1"/>
      <c r="O502" s="1"/>
      <c r="P502" s="1"/>
      <c r="Q502" s="1"/>
      <c r="R502" s="1"/>
      <c r="S502" s="1"/>
      <c r="T502" s="1"/>
    </row>
    <row r="503" ht="15.75" customHeight="1">
      <c r="A503" s="36"/>
      <c r="B503" s="37"/>
      <c r="C503" s="37"/>
      <c r="D503" s="37"/>
      <c r="E503" s="37"/>
      <c r="F503" s="37"/>
      <c r="G503" s="1"/>
      <c r="H503" s="1"/>
      <c r="I503" s="1"/>
      <c r="J503" s="1"/>
      <c r="K503" s="1"/>
      <c r="L503" s="1"/>
      <c r="M503" s="1"/>
      <c r="N503" s="1"/>
      <c r="O503" s="1"/>
      <c r="P503" s="1"/>
      <c r="Q503" s="1"/>
      <c r="R503" s="1"/>
      <c r="S503" s="1"/>
      <c r="T503" s="1"/>
    </row>
    <row r="504" ht="15.75" customHeight="1">
      <c r="A504" s="36"/>
      <c r="B504" s="37"/>
      <c r="C504" s="37"/>
      <c r="D504" s="37"/>
      <c r="E504" s="37"/>
      <c r="F504" s="37"/>
      <c r="G504" s="1"/>
      <c r="H504" s="1"/>
      <c r="I504" s="1"/>
      <c r="J504" s="1"/>
      <c r="K504" s="1"/>
      <c r="L504" s="1"/>
      <c r="M504" s="1"/>
      <c r="N504" s="1"/>
      <c r="O504" s="1"/>
      <c r="P504" s="1"/>
      <c r="Q504" s="1"/>
      <c r="R504" s="1"/>
      <c r="S504" s="1"/>
      <c r="T504" s="1"/>
    </row>
    <row r="505" ht="15.75" customHeight="1">
      <c r="A505" s="36"/>
      <c r="B505" s="37"/>
      <c r="C505" s="37"/>
      <c r="D505" s="37"/>
      <c r="E505" s="37"/>
      <c r="F505" s="37"/>
      <c r="G505" s="1"/>
      <c r="H505" s="1"/>
      <c r="I505" s="1"/>
      <c r="J505" s="1"/>
      <c r="K505" s="1"/>
      <c r="L505" s="1"/>
      <c r="M505" s="1"/>
      <c r="N505" s="1"/>
      <c r="O505" s="1"/>
      <c r="P505" s="1"/>
      <c r="Q505" s="1"/>
      <c r="R505" s="1"/>
      <c r="S505" s="1"/>
      <c r="T505" s="1"/>
    </row>
    <row r="506" ht="15.75" customHeight="1">
      <c r="A506" s="36"/>
      <c r="B506" s="37"/>
      <c r="C506" s="37"/>
      <c r="D506" s="37"/>
      <c r="E506" s="37"/>
      <c r="F506" s="37"/>
      <c r="G506" s="1"/>
      <c r="H506" s="1"/>
      <c r="I506" s="1"/>
      <c r="J506" s="1"/>
      <c r="K506" s="1"/>
      <c r="L506" s="1"/>
      <c r="M506" s="1"/>
      <c r="N506" s="1"/>
      <c r="O506" s="1"/>
      <c r="P506" s="1"/>
      <c r="Q506" s="1"/>
      <c r="R506" s="1"/>
      <c r="S506" s="1"/>
      <c r="T506" s="1"/>
    </row>
    <row r="507" ht="15.75" customHeight="1">
      <c r="A507" s="36"/>
      <c r="B507" s="37"/>
      <c r="C507" s="37"/>
      <c r="D507" s="37"/>
      <c r="E507" s="37"/>
      <c r="F507" s="37"/>
      <c r="G507" s="1"/>
      <c r="H507" s="1"/>
      <c r="I507" s="1"/>
      <c r="J507" s="1"/>
      <c r="K507" s="1"/>
      <c r="L507" s="1"/>
      <c r="M507" s="1"/>
      <c r="N507" s="1"/>
      <c r="O507" s="1"/>
      <c r="P507" s="1"/>
      <c r="Q507" s="1"/>
      <c r="R507" s="1"/>
      <c r="S507" s="1"/>
      <c r="T507" s="1"/>
    </row>
    <row r="508" ht="15.75" customHeight="1">
      <c r="A508" s="36"/>
      <c r="B508" s="37"/>
      <c r="C508" s="37"/>
      <c r="D508" s="37"/>
      <c r="E508" s="37"/>
      <c r="F508" s="37"/>
      <c r="G508" s="1"/>
      <c r="H508" s="1"/>
      <c r="I508" s="1"/>
      <c r="J508" s="1"/>
      <c r="K508" s="1"/>
      <c r="L508" s="1"/>
      <c r="M508" s="1"/>
      <c r="N508" s="1"/>
      <c r="O508" s="1"/>
      <c r="P508" s="1"/>
      <c r="Q508" s="1"/>
      <c r="R508" s="1"/>
      <c r="S508" s="1"/>
      <c r="T508" s="1"/>
    </row>
    <row r="509" ht="15.75" customHeight="1">
      <c r="A509" s="36"/>
      <c r="B509" s="37"/>
      <c r="C509" s="37"/>
      <c r="D509" s="37"/>
      <c r="E509" s="37"/>
      <c r="F509" s="37"/>
      <c r="G509" s="1"/>
      <c r="H509" s="1"/>
      <c r="I509" s="1"/>
      <c r="J509" s="1"/>
      <c r="K509" s="1"/>
      <c r="L509" s="1"/>
      <c r="M509" s="1"/>
      <c r="N509" s="1"/>
      <c r="O509" s="1"/>
      <c r="P509" s="1"/>
      <c r="Q509" s="1"/>
      <c r="R509" s="1"/>
      <c r="S509" s="1"/>
      <c r="T509" s="1"/>
    </row>
    <row r="510" ht="15.75" customHeight="1">
      <c r="A510" s="36"/>
      <c r="B510" s="37"/>
      <c r="C510" s="37"/>
      <c r="D510" s="37"/>
      <c r="E510" s="37"/>
      <c r="F510" s="37"/>
      <c r="G510" s="1"/>
      <c r="H510" s="1"/>
      <c r="I510" s="1"/>
      <c r="J510" s="1"/>
      <c r="K510" s="1"/>
      <c r="L510" s="1"/>
      <c r="M510" s="1"/>
      <c r="N510" s="1"/>
      <c r="O510" s="1"/>
      <c r="P510" s="1"/>
      <c r="Q510" s="1"/>
      <c r="R510" s="1"/>
      <c r="S510" s="1"/>
      <c r="T510" s="1"/>
    </row>
    <row r="511" ht="15.75" customHeight="1">
      <c r="A511" s="36"/>
      <c r="B511" s="37"/>
      <c r="C511" s="37"/>
      <c r="D511" s="37"/>
      <c r="E511" s="37"/>
      <c r="F511" s="37"/>
      <c r="G511" s="1"/>
      <c r="H511" s="1"/>
      <c r="I511" s="1"/>
      <c r="J511" s="1"/>
      <c r="K511" s="1"/>
      <c r="L511" s="1"/>
      <c r="M511" s="1"/>
      <c r="N511" s="1"/>
      <c r="O511" s="1"/>
      <c r="P511" s="1"/>
      <c r="Q511" s="1"/>
      <c r="R511" s="1"/>
      <c r="S511" s="1"/>
      <c r="T511" s="1"/>
    </row>
    <row r="512" ht="15.75" customHeight="1">
      <c r="A512" s="36"/>
      <c r="B512" s="37"/>
      <c r="C512" s="37"/>
      <c r="D512" s="37"/>
      <c r="E512" s="37"/>
      <c r="F512" s="37"/>
      <c r="G512" s="1"/>
      <c r="H512" s="1"/>
      <c r="I512" s="1"/>
      <c r="J512" s="1"/>
      <c r="K512" s="1"/>
      <c r="L512" s="1"/>
      <c r="M512" s="1"/>
      <c r="N512" s="1"/>
      <c r="O512" s="1"/>
      <c r="P512" s="1"/>
      <c r="Q512" s="1"/>
      <c r="R512" s="1"/>
      <c r="S512" s="1"/>
      <c r="T512" s="1"/>
    </row>
    <row r="513" ht="15.75" customHeight="1">
      <c r="A513" s="36"/>
      <c r="B513" s="37"/>
      <c r="C513" s="37"/>
      <c r="D513" s="37"/>
      <c r="E513" s="37"/>
      <c r="F513" s="37"/>
      <c r="G513" s="1"/>
      <c r="H513" s="1"/>
      <c r="I513" s="1"/>
      <c r="J513" s="1"/>
      <c r="K513" s="1"/>
      <c r="L513" s="1"/>
      <c r="M513" s="1"/>
      <c r="N513" s="1"/>
      <c r="O513" s="1"/>
      <c r="P513" s="1"/>
      <c r="Q513" s="1"/>
      <c r="R513" s="1"/>
      <c r="S513" s="1"/>
      <c r="T513" s="1"/>
    </row>
    <row r="514" ht="15.75" customHeight="1">
      <c r="A514" s="36"/>
      <c r="B514" s="37"/>
      <c r="C514" s="37"/>
      <c r="D514" s="37"/>
      <c r="E514" s="37"/>
      <c r="F514" s="37"/>
      <c r="G514" s="1"/>
      <c r="H514" s="1"/>
      <c r="I514" s="1"/>
      <c r="J514" s="1"/>
      <c r="K514" s="1"/>
      <c r="L514" s="1"/>
      <c r="M514" s="1"/>
      <c r="N514" s="1"/>
      <c r="O514" s="1"/>
      <c r="P514" s="1"/>
      <c r="Q514" s="1"/>
      <c r="R514" s="1"/>
      <c r="S514" s="1"/>
      <c r="T514" s="1"/>
    </row>
    <row r="515" ht="15.75" customHeight="1">
      <c r="A515" s="36"/>
      <c r="B515" s="37"/>
      <c r="C515" s="37"/>
      <c r="D515" s="37"/>
      <c r="E515" s="37"/>
      <c r="F515" s="37"/>
      <c r="G515" s="1"/>
      <c r="H515" s="1"/>
      <c r="I515" s="1"/>
      <c r="J515" s="1"/>
      <c r="K515" s="1"/>
      <c r="L515" s="1"/>
      <c r="M515" s="1"/>
      <c r="N515" s="1"/>
      <c r="O515" s="1"/>
      <c r="P515" s="1"/>
      <c r="Q515" s="1"/>
      <c r="R515" s="1"/>
      <c r="S515" s="1"/>
      <c r="T515" s="1"/>
    </row>
    <row r="516" ht="15.75" customHeight="1">
      <c r="A516" s="36"/>
      <c r="B516" s="37"/>
      <c r="C516" s="37"/>
      <c r="D516" s="37"/>
      <c r="E516" s="37"/>
      <c r="F516" s="37"/>
      <c r="G516" s="1"/>
      <c r="H516" s="1"/>
      <c r="I516" s="1"/>
      <c r="J516" s="1"/>
      <c r="K516" s="1"/>
      <c r="L516" s="1"/>
      <c r="M516" s="1"/>
      <c r="N516" s="1"/>
      <c r="O516" s="1"/>
      <c r="P516" s="1"/>
      <c r="Q516" s="1"/>
      <c r="R516" s="1"/>
      <c r="S516" s="1"/>
      <c r="T516" s="1"/>
    </row>
    <row r="517" ht="15.75" customHeight="1">
      <c r="A517" s="36"/>
      <c r="B517" s="37"/>
      <c r="C517" s="37"/>
      <c r="D517" s="37"/>
      <c r="E517" s="37"/>
      <c r="F517" s="37"/>
      <c r="G517" s="1"/>
      <c r="H517" s="1"/>
      <c r="I517" s="1"/>
      <c r="J517" s="1"/>
      <c r="K517" s="1"/>
      <c r="L517" s="1"/>
      <c r="M517" s="1"/>
      <c r="N517" s="1"/>
      <c r="O517" s="1"/>
      <c r="P517" s="1"/>
      <c r="Q517" s="1"/>
      <c r="R517" s="1"/>
      <c r="S517" s="1"/>
      <c r="T517" s="1"/>
    </row>
    <row r="518" ht="15.75" customHeight="1">
      <c r="A518" s="36"/>
      <c r="B518" s="37"/>
      <c r="C518" s="37"/>
      <c r="D518" s="37"/>
      <c r="E518" s="37"/>
      <c r="F518" s="37"/>
      <c r="G518" s="1"/>
      <c r="H518" s="1"/>
      <c r="I518" s="1"/>
      <c r="J518" s="1"/>
      <c r="K518" s="1"/>
      <c r="L518" s="1"/>
      <c r="M518" s="1"/>
      <c r="N518" s="1"/>
      <c r="O518" s="1"/>
      <c r="P518" s="1"/>
      <c r="Q518" s="1"/>
      <c r="R518" s="1"/>
      <c r="S518" s="1"/>
      <c r="T518" s="1"/>
    </row>
    <row r="519" ht="15.75" customHeight="1">
      <c r="A519" s="36"/>
      <c r="B519" s="37"/>
      <c r="C519" s="37"/>
      <c r="D519" s="37"/>
      <c r="E519" s="37"/>
      <c r="F519" s="37"/>
      <c r="G519" s="1"/>
      <c r="H519" s="1"/>
      <c r="I519" s="1"/>
      <c r="J519" s="1"/>
      <c r="K519" s="1"/>
      <c r="L519" s="1"/>
      <c r="M519" s="1"/>
      <c r="N519" s="1"/>
      <c r="O519" s="1"/>
      <c r="P519" s="1"/>
      <c r="Q519" s="1"/>
      <c r="R519" s="1"/>
      <c r="S519" s="1"/>
      <c r="T519" s="1"/>
    </row>
    <row r="520" ht="15.75" customHeight="1">
      <c r="A520" s="36"/>
      <c r="B520" s="37"/>
      <c r="C520" s="37"/>
      <c r="D520" s="37"/>
      <c r="E520" s="37"/>
      <c r="F520" s="37"/>
      <c r="G520" s="1"/>
      <c r="H520" s="1"/>
      <c r="I520" s="1"/>
      <c r="J520" s="1"/>
      <c r="K520" s="1"/>
      <c r="L520" s="1"/>
      <c r="M520" s="1"/>
      <c r="N520" s="1"/>
      <c r="O520" s="1"/>
      <c r="P520" s="1"/>
      <c r="Q520" s="1"/>
      <c r="R520" s="1"/>
      <c r="S520" s="1"/>
      <c r="T520" s="1"/>
    </row>
    <row r="521" ht="15.75" customHeight="1">
      <c r="A521" s="36"/>
      <c r="B521" s="37"/>
      <c r="C521" s="37"/>
      <c r="D521" s="37"/>
      <c r="E521" s="37"/>
      <c r="F521" s="37"/>
      <c r="G521" s="1"/>
      <c r="H521" s="1"/>
      <c r="I521" s="1"/>
      <c r="J521" s="1"/>
      <c r="K521" s="1"/>
      <c r="L521" s="1"/>
      <c r="M521" s="1"/>
      <c r="N521" s="1"/>
      <c r="O521" s="1"/>
      <c r="P521" s="1"/>
      <c r="Q521" s="1"/>
      <c r="R521" s="1"/>
      <c r="S521" s="1"/>
      <c r="T521" s="1"/>
    </row>
    <row r="522" ht="15.75" customHeight="1">
      <c r="A522" s="36"/>
      <c r="B522" s="37"/>
      <c r="C522" s="37"/>
      <c r="D522" s="37"/>
      <c r="E522" s="37"/>
      <c r="F522" s="37"/>
      <c r="G522" s="1"/>
      <c r="H522" s="1"/>
      <c r="I522" s="1"/>
      <c r="J522" s="1"/>
      <c r="K522" s="1"/>
      <c r="L522" s="1"/>
      <c r="M522" s="1"/>
      <c r="N522" s="1"/>
      <c r="O522" s="1"/>
      <c r="P522" s="1"/>
      <c r="Q522" s="1"/>
      <c r="R522" s="1"/>
      <c r="S522" s="1"/>
      <c r="T522" s="1"/>
    </row>
    <row r="523" ht="15.75" customHeight="1">
      <c r="A523" s="36"/>
      <c r="B523" s="37"/>
      <c r="C523" s="37"/>
      <c r="D523" s="37"/>
      <c r="E523" s="37"/>
      <c r="F523" s="37"/>
      <c r="G523" s="1"/>
      <c r="H523" s="1"/>
      <c r="I523" s="1"/>
      <c r="J523" s="1"/>
      <c r="K523" s="1"/>
      <c r="L523" s="1"/>
      <c r="M523" s="1"/>
      <c r="N523" s="1"/>
      <c r="O523" s="1"/>
      <c r="P523" s="1"/>
      <c r="Q523" s="1"/>
      <c r="R523" s="1"/>
      <c r="S523" s="1"/>
      <c r="T523" s="1"/>
    </row>
    <row r="524" ht="15.75" customHeight="1">
      <c r="A524" s="36"/>
      <c r="B524" s="37"/>
      <c r="C524" s="37"/>
      <c r="D524" s="37"/>
      <c r="E524" s="37"/>
      <c r="F524" s="37"/>
      <c r="G524" s="1"/>
      <c r="H524" s="1"/>
      <c r="I524" s="1"/>
      <c r="J524" s="1"/>
      <c r="K524" s="1"/>
      <c r="L524" s="1"/>
      <c r="M524" s="1"/>
      <c r="N524" s="1"/>
      <c r="O524" s="1"/>
      <c r="P524" s="1"/>
      <c r="Q524" s="1"/>
      <c r="R524" s="1"/>
      <c r="S524" s="1"/>
      <c r="T524" s="1"/>
    </row>
    <row r="525" ht="15.75" customHeight="1">
      <c r="A525" s="36"/>
      <c r="B525" s="37"/>
      <c r="C525" s="37"/>
      <c r="D525" s="37"/>
      <c r="E525" s="37"/>
      <c r="F525" s="37"/>
      <c r="G525" s="1"/>
      <c r="H525" s="1"/>
      <c r="I525" s="1"/>
      <c r="J525" s="1"/>
      <c r="K525" s="1"/>
      <c r="L525" s="1"/>
      <c r="M525" s="1"/>
      <c r="N525" s="1"/>
      <c r="O525" s="1"/>
      <c r="P525" s="1"/>
      <c r="Q525" s="1"/>
      <c r="R525" s="1"/>
      <c r="S525" s="1"/>
      <c r="T525" s="1"/>
    </row>
    <row r="526" ht="15.75" customHeight="1">
      <c r="A526" s="36"/>
      <c r="B526" s="37"/>
      <c r="C526" s="37"/>
      <c r="D526" s="37"/>
      <c r="E526" s="37"/>
      <c r="F526" s="37"/>
      <c r="G526" s="1"/>
      <c r="H526" s="1"/>
      <c r="I526" s="1"/>
      <c r="J526" s="1"/>
      <c r="K526" s="1"/>
      <c r="L526" s="1"/>
      <c r="M526" s="1"/>
      <c r="N526" s="1"/>
      <c r="O526" s="1"/>
      <c r="P526" s="1"/>
      <c r="Q526" s="1"/>
      <c r="R526" s="1"/>
      <c r="S526" s="1"/>
      <c r="T526" s="1"/>
    </row>
    <row r="527" ht="15.75" customHeight="1">
      <c r="A527" s="36"/>
      <c r="B527" s="37"/>
      <c r="C527" s="37"/>
      <c r="D527" s="37"/>
      <c r="E527" s="37"/>
      <c r="F527" s="37"/>
      <c r="G527" s="1"/>
      <c r="H527" s="1"/>
      <c r="I527" s="1"/>
      <c r="J527" s="1"/>
      <c r="K527" s="1"/>
      <c r="L527" s="1"/>
      <c r="M527" s="1"/>
      <c r="N527" s="1"/>
      <c r="O527" s="1"/>
      <c r="P527" s="1"/>
      <c r="Q527" s="1"/>
      <c r="R527" s="1"/>
      <c r="S527" s="1"/>
      <c r="T527" s="1"/>
    </row>
    <row r="528" ht="15.75" customHeight="1">
      <c r="A528" s="36"/>
      <c r="B528" s="37"/>
      <c r="C528" s="37"/>
      <c r="D528" s="37"/>
      <c r="E528" s="37"/>
      <c r="F528" s="37"/>
      <c r="G528" s="1"/>
      <c r="H528" s="1"/>
      <c r="I528" s="1"/>
      <c r="J528" s="1"/>
      <c r="K528" s="1"/>
      <c r="L528" s="1"/>
      <c r="M528" s="1"/>
      <c r="N528" s="1"/>
      <c r="O528" s="1"/>
      <c r="P528" s="1"/>
      <c r="Q528" s="1"/>
      <c r="R528" s="1"/>
      <c r="S528" s="1"/>
      <c r="T528" s="1"/>
    </row>
    <row r="529" ht="15.75" customHeight="1">
      <c r="A529" s="36"/>
      <c r="B529" s="37"/>
      <c r="C529" s="37"/>
      <c r="D529" s="37"/>
      <c r="E529" s="37"/>
      <c r="F529" s="37"/>
      <c r="G529" s="1"/>
      <c r="H529" s="1"/>
      <c r="I529" s="1"/>
      <c r="J529" s="1"/>
      <c r="K529" s="1"/>
      <c r="L529" s="1"/>
      <c r="M529" s="1"/>
      <c r="N529" s="1"/>
      <c r="O529" s="1"/>
      <c r="P529" s="1"/>
      <c r="Q529" s="1"/>
      <c r="R529" s="1"/>
      <c r="S529" s="1"/>
      <c r="T529" s="1"/>
    </row>
    <row r="530" ht="15.75" customHeight="1">
      <c r="A530" s="36"/>
      <c r="B530" s="37"/>
      <c r="C530" s="37"/>
      <c r="D530" s="37"/>
      <c r="E530" s="37"/>
      <c r="F530" s="37"/>
      <c r="G530" s="1"/>
      <c r="H530" s="1"/>
      <c r="I530" s="1"/>
      <c r="J530" s="1"/>
      <c r="K530" s="1"/>
      <c r="L530" s="1"/>
      <c r="M530" s="1"/>
      <c r="N530" s="1"/>
      <c r="O530" s="1"/>
      <c r="P530" s="1"/>
      <c r="Q530" s="1"/>
      <c r="R530" s="1"/>
      <c r="S530" s="1"/>
      <c r="T530" s="1"/>
    </row>
    <row r="531" ht="15.75" customHeight="1">
      <c r="A531" s="36"/>
      <c r="B531" s="37"/>
      <c r="C531" s="37"/>
      <c r="D531" s="37"/>
      <c r="E531" s="37"/>
      <c r="F531" s="37"/>
      <c r="G531" s="1"/>
      <c r="H531" s="1"/>
      <c r="I531" s="1"/>
      <c r="J531" s="1"/>
      <c r="K531" s="1"/>
      <c r="L531" s="1"/>
      <c r="M531" s="1"/>
      <c r="N531" s="1"/>
      <c r="O531" s="1"/>
      <c r="P531" s="1"/>
      <c r="Q531" s="1"/>
      <c r="R531" s="1"/>
      <c r="S531" s="1"/>
      <c r="T531" s="1"/>
    </row>
    <row r="532" ht="15.75" customHeight="1">
      <c r="A532" s="36"/>
      <c r="B532" s="37"/>
      <c r="C532" s="37"/>
      <c r="D532" s="37"/>
      <c r="E532" s="37"/>
      <c r="F532" s="37"/>
      <c r="G532" s="1"/>
      <c r="H532" s="1"/>
      <c r="I532" s="1"/>
      <c r="J532" s="1"/>
      <c r="K532" s="1"/>
      <c r="L532" s="1"/>
      <c r="M532" s="1"/>
      <c r="N532" s="1"/>
      <c r="O532" s="1"/>
      <c r="P532" s="1"/>
      <c r="Q532" s="1"/>
      <c r="R532" s="1"/>
      <c r="S532" s="1"/>
      <c r="T532" s="1"/>
    </row>
    <row r="533" ht="15.75" customHeight="1">
      <c r="A533" s="36"/>
      <c r="B533" s="37"/>
      <c r="C533" s="37"/>
      <c r="D533" s="37"/>
      <c r="E533" s="37"/>
      <c r="F533" s="37"/>
      <c r="G533" s="1"/>
      <c r="H533" s="1"/>
      <c r="I533" s="1"/>
      <c r="J533" s="1"/>
      <c r="K533" s="1"/>
      <c r="L533" s="1"/>
      <c r="M533" s="1"/>
      <c r="N533" s="1"/>
      <c r="O533" s="1"/>
      <c r="P533" s="1"/>
      <c r="Q533" s="1"/>
      <c r="R533" s="1"/>
      <c r="S533" s="1"/>
      <c r="T533" s="1"/>
    </row>
    <row r="534" ht="15.75" customHeight="1">
      <c r="A534" s="36"/>
      <c r="B534" s="37"/>
      <c r="C534" s="37"/>
      <c r="D534" s="37"/>
      <c r="E534" s="37"/>
      <c r="F534" s="37"/>
      <c r="G534" s="1"/>
      <c r="H534" s="1"/>
      <c r="I534" s="1"/>
      <c r="J534" s="1"/>
      <c r="K534" s="1"/>
      <c r="L534" s="1"/>
      <c r="M534" s="1"/>
      <c r="N534" s="1"/>
      <c r="O534" s="1"/>
      <c r="P534" s="1"/>
      <c r="Q534" s="1"/>
      <c r="R534" s="1"/>
      <c r="S534" s="1"/>
      <c r="T534" s="1"/>
    </row>
    <row r="535" ht="15.75" customHeight="1">
      <c r="A535" s="36"/>
      <c r="B535" s="37"/>
      <c r="C535" s="37"/>
      <c r="D535" s="37"/>
      <c r="E535" s="37"/>
      <c r="F535" s="37"/>
      <c r="G535" s="1"/>
      <c r="H535" s="1"/>
      <c r="I535" s="1"/>
      <c r="J535" s="1"/>
      <c r="K535" s="1"/>
      <c r="L535" s="1"/>
      <c r="M535" s="1"/>
      <c r="N535" s="1"/>
      <c r="O535" s="1"/>
      <c r="P535" s="1"/>
      <c r="Q535" s="1"/>
      <c r="R535" s="1"/>
      <c r="S535" s="1"/>
      <c r="T535" s="1"/>
    </row>
    <row r="536" ht="15.75" customHeight="1">
      <c r="A536" s="36"/>
      <c r="B536" s="37"/>
      <c r="C536" s="37"/>
      <c r="D536" s="37"/>
      <c r="E536" s="37"/>
      <c r="F536" s="37"/>
      <c r="G536" s="1"/>
      <c r="H536" s="1"/>
      <c r="I536" s="1"/>
      <c r="J536" s="1"/>
      <c r="K536" s="1"/>
      <c r="L536" s="1"/>
      <c r="M536" s="1"/>
      <c r="N536" s="1"/>
      <c r="O536" s="1"/>
      <c r="P536" s="1"/>
      <c r="Q536" s="1"/>
      <c r="R536" s="1"/>
      <c r="S536" s="1"/>
      <c r="T536" s="1"/>
    </row>
    <row r="537" ht="15.75" customHeight="1">
      <c r="A537" s="36"/>
      <c r="B537" s="37"/>
      <c r="C537" s="37"/>
      <c r="D537" s="37"/>
      <c r="E537" s="37"/>
      <c r="F537" s="37"/>
      <c r="G537" s="1"/>
      <c r="H537" s="1"/>
      <c r="I537" s="1"/>
      <c r="J537" s="1"/>
      <c r="K537" s="1"/>
      <c r="L537" s="1"/>
      <c r="M537" s="1"/>
      <c r="N537" s="1"/>
      <c r="O537" s="1"/>
      <c r="P537" s="1"/>
      <c r="Q537" s="1"/>
      <c r="R537" s="1"/>
      <c r="S537" s="1"/>
      <c r="T537" s="1"/>
    </row>
    <row r="538" ht="15.75" customHeight="1">
      <c r="A538" s="36"/>
      <c r="B538" s="37"/>
      <c r="C538" s="37"/>
      <c r="D538" s="37"/>
      <c r="E538" s="37"/>
      <c r="F538" s="37"/>
      <c r="G538" s="1"/>
      <c r="H538" s="1"/>
      <c r="I538" s="1"/>
      <c r="J538" s="1"/>
      <c r="K538" s="1"/>
      <c r="L538" s="1"/>
      <c r="M538" s="1"/>
      <c r="N538" s="1"/>
      <c r="O538" s="1"/>
      <c r="P538" s="1"/>
      <c r="Q538" s="1"/>
      <c r="R538" s="1"/>
      <c r="S538" s="1"/>
      <c r="T538" s="1"/>
    </row>
    <row r="539" ht="15.75" customHeight="1">
      <c r="A539" s="36"/>
      <c r="B539" s="37"/>
      <c r="C539" s="37"/>
      <c r="D539" s="37"/>
      <c r="E539" s="37"/>
      <c r="F539" s="37"/>
      <c r="G539" s="1"/>
      <c r="H539" s="1"/>
      <c r="I539" s="1"/>
      <c r="J539" s="1"/>
      <c r="K539" s="1"/>
      <c r="L539" s="1"/>
      <c r="M539" s="1"/>
      <c r="N539" s="1"/>
      <c r="O539" s="1"/>
      <c r="P539" s="1"/>
      <c r="Q539" s="1"/>
      <c r="R539" s="1"/>
      <c r="S539" s="1"/>
      <c r="T539" s="1"/>
    </row>
    <row r="540" ht="15.75" customHeight="1">
      <c r="A540" s="36"/>
      <c r="B540" s="37"/>
      <c r="C540" s="37"/>
      <c r="D540" s="37"/>
      <c r="E540" s="37"/>
      <c r="F540" s="37"/>
      <c r="G540" s="1"/>
      <c r="H540" s="1"/>
      <c r="I540" s="1"/>
      <c r="J540" s="1"/>
      <c r="K540" s="1"/>
      <c r="L540" s="1"/>
      <c r="M540" s="1"/>
      <c r="N540" s="1"/>
      <c r="O540" s="1"/>
      <c r="P540" s="1"/>
      <c r="Q540" s="1"/>
      <c r="R540" s="1"/>
      <c r="S540" s="1"/>
      <c r="T540" s="1"/>
    </row>
    <row r="541" ht="15.75" customHeight="1">
      <c r="A541" s="36"/>
      <c r="B541" s="37"/>
      <c r="C541" s="37"/>
      <c r="D541" s="37"/>
      <c r="E541" s="37"/>
      <c r="F541" s="37"/>
      <c r="G541" s="1"/>
      <c r="H541" s="1"/>
      <c r="I541" s="1"/>
      <c r="J541" s="1"/>
      <c r="K541" s="1"/>
      <c r="L541" s="1"/>
      <c r="M541" s="1"/>
      <c r="N541" s="1"/>
      <c r="O541" s="1"/>
      <c r="P541" s="1"/>
      <c r="Q541" s="1"/>
      <c r="R541" s="1"/>
      <c r="S541" s="1"/>
      <c r="T541" s="1"/>
    </row>
    <row r="542" ht="15.75" customHeight="1">
      <c r="A542" s="36"/>
      <c r="B542" s="37"/>
      <c r="C542" s="37"/>
      <c r="D542" s="37"/>
      <c r="E542" s="37"/>
      <c r="F542" s="37"/>
      <c r="G542" s="1"/>
      <c r="H542" s="1"/>
      <c r="I542" s="1"/>
      <c r="J542" s="1"/>
      <c r="K542" s="1"/>
      <c r="L542" s="1"/>
      <c r="M542" s="1"/>
      <c r="N542" s="1"/>
      <c r="O542" s="1"/>
      <c r="P542" s="1"/>
      <c r="Q542" s="1"/>
      <c r="R542" s="1"/>
      <c r="S542" s="1"/>
      <c r="T542" s="1"/>
    </row>
    <row r="543" ht="15.75" customHeight="1">
      <c r="A543" s="36"/>
      <c r="B543" s="37"/>
      <c r="C543" s="37"/>
      <c r="D543" s="37"/>
      <c r="E543" s="37"/>
      <c r="F543" s="37"/>
      <c r="G543" s="1"/>
      <c r="H543" s="1"/>
      <c r="I543" s="1"/>
      <c r="J543" s="1"/>
      <c r="K543" s="1"/>
      <c r="L543" s="1"/>
      <c r="M543" s="1"/>
      <c r="N543" s="1"/>
      <c r="O543" s="1"/>
      <c r="P543" s="1"/>
      <c r="Q543" s="1"/>
      <c r="R543" s="1"/>
      <c r="S543" s="1"/>
      <c r="T543" s="1"/>
    </row>
    <row r="544" ht="15.75" customHeight="1">
      <c r="A544" s="36"/>
      <c r="B544" s="37"/>
      <c r="C544" s="37"/>
      <c r="D544" s="37"/>
      <c r="E544" s="37"/>
      <c r="F544" s="37"/>
      <c r="G544" s="1"/>
      <c r="H544" s="1"/>
      <c r="I544" s="1"/>
      <c r="J544" s="1"/>
      <c r="K544" s="1"/>
      <c r="L544" s="1"/>
      <c r="M544" s="1"/>
      <c r="N544" s="1"/>
      <c r="O544" s="1"/>
      <c r="P544" s="1"/>
      <c r="Q544" s="1"/>
      <c r="R544" s="1"/>
      <c r="S544" s="1"/>
      <c r="T544" s="1"/>
    </row>
    <row r="545" ht="15.75" customHeight="1">
      <c r="A545" s="36"/>
      <c r="B545" s="37"/>
      <c r="C545" s="37"/>
      <c r="D545" s="37"/>
      <c r="E545" s="37"/>
      <c r="F545" s="37"/>
      <c r="G545" s="1"/>
      <c r="H545" s="1"/>
      <c r="I545" s="1"/>
      <c r="J545" s="1"/>
      <c r="K545" s="1"/>
      <c r="L545" s="1"/>
      <c r="M545" s="1"/>
      <c r="N545" s="1"/>
      <c r="O545" s="1"/>
      <c r="P545" s="1"/>
      <c r="Q545" s="1"/>
      <c r="R545" s="1"/>
      <c r="S545" s="1"/>
      <c r="T545" s="1"/>
    </row>
    <row r="546" ht="15.75" customHeight="1">
      <c r="A546" s="36"/>
      <c r="B546" s="37"/>
      <c r="C546" s="37"/>
      <c r="D546" s="37"/>
      <c r="E546" s="37"/>
      <c r="F546" s="37"/>
      <c r="G546" s="1"/>
      <c r="H546" s="1"/>
      <c r="I546" s="1"/>
      <c r="J546" s="1"/>
      <c r="K546" s="1"/>
      <c r="L546" s="1"/>
      <c r="M546" s="1"/>
      <c r="N546" s="1"/>
      <c r="O546" s="1"/>
      <c r="P546" s="1"/>
      <c r="Q546" s="1"/>
      <c r="R546" s="1"/>
      <c r="S546" s="1"/>
      <c r="T546" s="1"/>
    </row>
    <row r="547" ht="15.75" customHeight="1">
      <c r="A547" s="36"/>
      <c r="B547" s="37"/>
      <c r="C547" s="37"/>
      <c r="D547" s="37"/>
      <c r="E547" s="37"/>
      <c r="F547" s="37"/>
      <c r="G547" s="1"/>
      <c r="H547" s="1"/>
      <c r="I547" s="1"/>
      <c r="J547" s="1"/>
      <c r="K547" s="1"/>
      <c r="L547" s="1"/>
      <c r="M547" s="1"/>
      <c r="N547" s="1"/>
      <c r="O547" s="1"/>
      <c r="P547" s="1"/>
      <c r="Q547" s="1"/>
      <c r="R547" s="1"/>
      <c r="S547" s="1"/>
      <c r="T547" s="1"/>
    </row>
    <row r="548" ht="15.75" customHeight="1">
      <c r="A548" s="36"/>
      <c r="B548" s="37"/>
      <c r="C548" s="37"/>
      <c r="D548" s="37"/>
      <c r="E548" s="37"/>
      <c r="F548" s="37"/>
      <c r="G548" s="1"/>
      <c r="H548" s="1"/>
      <c r="I548" s="1"/>
      <c r="J548" s="1"/>
      <c r="K548" s="1"/>
      <c r="L548" s="1"/>
      <c r="M548" s="1"/>
      <c r="N548" s="1"/>
      <c r="O548" s="1"/>
      <c r="P548" s="1"/>
      <c r="Q548" s="1"/>
      <c r="R548" s="1"/>
      <c r="S548" s="1"/>
      <c r="T548" s="1"/>
    </row>
    <row r="549" ht="15.75" customHeight="1">
      <c r="A549" s="36"/>
      <c r="B549" s="37"/>
      <c r="C549" s="37"/>
      <c r="D549" s="37"/>
      <c r="E549" s="37"/>
      <c r="F549" s="37"/>
      <c r="G549" s="1"/>
      <c r="H549" s="1"/>
      <c r="I549" s="1"/>
      <c r="J549" s="1"/>
      <c r="K549" s="1"/>
      <c r="L549" s="1"/>
      <c r="M549" s="1"/>
      <c r="N549" s="1"/>
      <c r="O549" s="1"/>
      <c r="P549" s="1"/>
      <c r="Q549" s="1"/>
      <c r="R549" s="1"/>
      <c r="S549" s="1"/>
      <c r="T549" s="1"/>
    </row>
    <row r="550" ht="15.75" customHeight="1">
      <c r="A550" s="36"/>
      <c r="B550" s="37"/>
      <c r="C550" s="37"/>
      <c r="D550" s="37"/>
      <c r="E550" s="37"/>
      <c r="F550" s="37"/>
      <c r="G550" s="1"/>
      <c r="H550" s="1"/>
      <c r="I550" s="1"/>
      <c r="J550" s="1"/>
      <c r="K550" s="1"/>
      <c r="L550" s="1"/>
      <c r="M550" s="1"/>
      <c r="N550" s="1"/>
      <c r="O550" s="1"/>
      <c r="P550" s="1"/>
      <c r="Q550" s="1"/>
      <c r="R550" s="1"/>
      <c r="S550" s="1"/>
      <c r="T550" s="1"/>
    </row>
    <row r="551" ht="15.75" customHeight="1">
      <c r="A551" s="36"/>
      <c r="B551" s="37"/>
      <c r="C551" s="37"/>
      <c r="D551" s="37"/>
      <c r="E551" s="37"/>
      <c r="F551" s="37"/>
      <c r="G551" s="1"/>
      <c r="H551" s="1"/>
      <c r="I551" s="1"/>
      <c r="J551" s="1"/>
      <c r="K551" s="1"/>
      <c r="L551" s="1"/>
      <c r="M551" s="1"/>
      <c r="N551" s="1"/>
      <c r="O551" s="1"/>
      <c r="P551" s="1"/>
      <c r="Q551" s="1"/>
      <c r="R551" s="1"/>
      <c r="S551" s="1"/>
      <c r="T551" s="1"/>
    </row>
    <row r="552" ht="15.75" customHeight="1">
      <c r="A552" s="36"/>
      <c r="B552" s="37"/>
      <c r="C552" s="37"/>
      <c r="D552" s="37"/>
      <c r="E552" s="37"/>
      <c r="F552" s="37"/>
      <c r="G552" s="1"/>
      <c r="H552" s="1"/>
      <c r="I552" s="1"/>
      <c r="J552" s="1"/>
      <c r="K552" s="1"/>
      <c r="L552" s="1"/>
      <c r="M552" s="1"/>
      <c r="N552" s="1"/>
      <c r="O552" s="1"/>
      <c r="P552" s="1"/>
      <c r="Q552" s="1"/>
      <c r="R552" s="1"/>
      <c r="S552" s="1"/>
      <c r="T552" s="1"/>
    </row>
    <row r="553" ht="15.75" customHeight="1">
      <c r="A553" s="36"/>
      <c r="B553" s="37"/>
      <c r="C553" s="37"/>
      <c r="D553" s="37"/>
      <c r="E553" s="37"/>
      <c r="F553" s="37"/>
      <c r="G553" s="1"/>
      <c r="H553" s="1"/>
      <c r="I553" s="1"/>
      <c r="J553" s="1"/>
      <c r="K553" s="1"/>
      <c r="L553" s="1"/>
      <c r="M553" s="1"/>
      <c r="N553" s="1"/>
      <c r="O553" s="1"/>
      <c r="P553" s="1"/>
      <c r="Q553" s="1"/>
      <c r="R553" s="1"/>
      <c r="S553" s="1"/>
      <c r="T553" s="1"/>
    </row>
    <row r="554" ht="15.75" customHeight="1">
      <c r="A554" s="36"/>
      <c r="B554" s="37"/>
      <c r="C554" s="37"/>
      <c r="D554" s="37"/>
      <c r="E554" s="37"/>
      <c r="F554" s="37"/>
      <c r="G554" s="1"/>
      <c r="H554" s="1"/>
      <c r="I554" s="1"/>
      <c r="J554" s="1"/>
      <c r="K554" s="1"/>
      <c r="L554" s="1"/>
      <c r="M554" s="1"/>
      <c r="N554" s="1"/>
      <c r="O554" s="1"/>
      <c r="P554" s="1"/>
      <c r="Q554" s="1"/>
      <c r="R554" s="1"/>
      <c r="S554" s="1"/>
      <c r="T554" s="1"/>
    </row>
    <row r="555" ht="15.75" customHeight="1">
      <c r="A555" s="36"/>
      <c r="B555" s="37"/>
      <c r="C555" s="37"/>
      <c r="D555" s="37"/>
      <c r="E555" s="37"/>
      <c r="F555" s="37"/>
      <c r="G555" s="1"/>
      <c r="H555" s="1"/>
      <c r="I555" s="1"/>
      <c r="J555" s="1"/>
      <c r="K555" s="1"/>
      <c r="L555" s="1"/>
      <c r="M555" s="1"/>
      <c r="N555" s="1"/>
      <c r="O555" s="1"/>
      <c r="P555" s="1"/>
      <c r="Q555" s="1"/>
      <c r="R555" s="1"/>
      <c r="S555" s="1"/>
      <c r="T555" s="1"/>
    </row>
    <row r="556" ht="15.75" customHeight="1">
      <c r="A556" s="36"/>
      <c r="B556" s="37"/>
      <c r="C556" s="37"/>
      <c r="D556" s="37"/>
      <c r="E556" s="37"/>
      <c r="F556" s="37"/>
      <c r="G556" s="1"/>
      <c r="H556" s="1"/>
      <c r="I556" s="1"/>
      <c r="J556" s="1"/>
      <c r="K556" s="1"/>
      <c r="L556" s="1"/>
      <c r="M556" s="1"/>
      <c r="N556" s="1"/>
      <c r="O556" s="1"/>
      <c r="P556" s="1"/>
      <c r="Q556" s="1"/>
      <c r="R556" s="1"/>
      <c r="S556" s="1"/>
      <c r="T556" s="1"/>
    </row>
    <row r="557" ht="15.75" customHeight="1">
      <c r="A557" s="36"/>
      <c r="B557" s="37"/>
      <c r="C557" s="37"/>
      <c r="D557" s="37"/>
      <c r="E557" s="37"/>
      <c r="F557" s="37"/>
      <c r="G557" s="1"/>
      <c r="H557" s="1"/>
      <c r="I557" s="1"/>
      <c r="J557" s="1"/>
      <c r="K557" s="1"/>
      <c r="L557" s="1"/>
      <c r="M557" s="1"/>
      <c r="N557" s="1"/>
      <c r="O557" s="1"/>
      <c r="P557" s="1"/>
      <c r="Q557" s="1"/>
      <c r="R557" s="1"/>
      <c r="S557" s="1"/>
      <c r="T557" s="1"/>
    </row>
    <row r="558" ht="15.75" customHeight="1">
      <c r="A558" s="36"/>
      <c r="B558" s="37"/>
      <c r="C558" s="37"/>
      <c r="D558" s="37"/>
      <c r="E558" s="37"/>
      <c r="F558" s="37"/>
      <c r="G558" s="1"/>
      <c r="H558" s="1"/>
      <c r="I558" s="1"/>
      <c r="J558" s="1"/>
      <c r="K558" s="1"/>
      <c r="L558" s="1"/>
      <c r="M558" s="1"/>
      <c r="N558" s="1"/>
      <c r="O558" s="1"/>
      <c r="P558" s="1"/>
      <c r="Q558" s="1"/>
      <c r="R558" s="1"/>
      <c r="S558" s="1"/>
      <c r="T558" s="1"/>
    </row>
    <row r="559" ht="15.75" customHeight="1">
      <c r="A559" s="36"/>
      <c r="B559" s="37"/>
      <c r="C559" s="37"/>
      <c r="D559" s="37"/>
      <c r="E559" s="37"/>
      <c r="F559" s="37"/>
      <c r="G559" s="1"/>
      <c r="H559" s="1"/>
      <c r="I559" s="1"/>
      <c r="J559" s="1"/>
      <c r="K559" s="1"/>
      <c r="L559" s="1"/>
      <c r="M559" s="1"/>
      <c r="N559" s="1"/>
      <c r="O559" s="1"/>
      <c r="P559" s="1"/>
      <c r="Q559" s="1"/>
      <c r="R559" s="1"/>
      <c r="S559" s="1"/>
      <c r="T559" s="1"/>
    </row>
    <row r="560" ht="15.75" customHeight="1">
      <c r="A560" s="36"/>
      <c r="B560" s="37"/>
      <c r="C560" s="37"/>
      <c r="D560" s="37"/>
      <c r="E560" s="37"/>
      <c r="F560" s="37"/>
      <c r="G560" s="1"/>
      <c r="H560" s="1"/>
      <c r="I560" s="1"/>
      <c r="J560" s="1"/>
      <c r="K560" s="1"/>
      <c r="L560" s="1"/>
      <c r="M560" s="1"/>
      <c r="N560" s="1"/>
      <c r="O560" s="1"/>
      <c r="P560" s="1"/>
      <c r="Q560" s="1"/>
      <c r="R560" s="1"/>
      <c r="S560" s="1"/>
      <c r="T560" s="1"/>
    </row>
    <row r="561" ht="15.75" customHeight="1">
      <c r="A561" s="36"/>
      <c r="B561" s="37"/>
      <c r="C561" s="37"/>
      <c r="D561" s="37"/>
      <c r="E561" s="37"/>
      <c r="F561" s="37"/>
      <c r="G561" s="1"/>
      <c r="H561" s="1"/>
      <c r="I561" s="1"/>
      <c r="J561" s="1"/>
      <c r="K561" s="1"/>
      <c r="L561" s="1"/>
      <c r="M561" s="1"/>
      <c r="N561" s="1"/>
      <c r="O561" s="1"/>
      <c r="P561" s="1"/>
      <c r="Q561" s="1"/>
      <c r="R561" s="1"/>
      <c r="S561" s="1"/>
      <c r="T561" s="1"/>
    </row>
    <row r="562" ht="15.75" customHeight="1">
      <c r="A562" s="36"/>
      <c r="B562" s="37"/>
      <c r="C562" s="37"/>
      <c r="D562" s="37"/>
      <c r="E562" s="37"/>
      <c r="F562" s="37"/>
      <c r="G562" s="1"/>
      <c r="H562" s="1"/>
      <c r="I562" s="1"/>
      <c r="J562" s="1"/>
      <c r="K562" s="1"/>
      <c r="L562" s="1"/>
      <c r="M562" s="1"/>
      <c r="N562" s="1"/>
      <c r="O562" s="1"/>
      <c r="P562" s="1"/>
      <c r="Q562" s="1"/>
      <c r="R562" s="1"/>
      <c r="S562" s="1"/>
      <c r="T562" s="1"/>
    </row>
    <row r="563" ht="15.75" customHeight="1">
      <c r="A563" s="36"/>
      <c r="B563" s="37"/>
      <c r="C563" s="37"/>
      <c r="D563" s="37"/>
      <c r="E563" s="37"/>
      <c r="F563" s="37"/>
      <c r="G563" s="1"/>
      <c r="H563" s="1"/>
      <c r="I563" s="1"/>
      <c r="J563" s="1"/>
      <c r="K563" s="1"/>
      <c r="L563" s="1"/>
      <c r="M563" s="1"/>
      <c r="N563" s="1"/>
      <c r="O563" s="1"/>
      <c r="P563" s="1"/>
      <c r="Q563" s="1"/>
      <c r="R563" s="1"/>
      <c r="S563" s="1"/>
      <c r="T563" s="1"/>
    </row>
    <row r="564" ht="15.75" customHeight="1">
      <c r="A564" s="36"/>
      <c r="B564" s="37"/>
      <c r="C564" s="37"/>
      <c r="D564" s="37"/>
      <c r="E564" s="37"/>
      <c r="F564" s="37"/>
      <c r="G564" s="1"/>
      <c r="H564" s="1"/>
      <c r="I564" s="1"/>
      <c r="J564" s="1"/>
      <c r="K564" s="1"/>
      <c r="L564" s="1"/>
      <c r="M564" s="1"/>
      <c r="N564" s="1"/>
      <c r="O564" s="1"/>
      <c r="P564" s="1"/>
      <c r="Q564" s="1"/>
      <c r="R564" s="1"/>
      <c r="S564" s="1"/>
      <c r="T564" s="1"/>
    </row>
    <row r="565" ht="15.75" customHeight="1">
      <c r="A565" s="36"/>
      <c r="B565" s="37"/>
      <c r="C565" s="37"/>
      <c r="D565" s="37"/>
      <c r="E565" s="37"/>
      <c r="F565" s="37"/>
      <c r="G565" s="1"/>
      <c r="H565" s="1"/>
      <c r="I565" s="1"/>
      <c r="J565" s="1"/>
      <c r="K565" s="1"/>
      <c r="L565" s="1"/>
      <c r="M565" s="1"/>
      <c r="N565" s="1"/>
      <c r="O565" s="1"/>
      <c r="P565" s="1"/>
      <c r="Q565" s="1"/>
      <c r="R565" s="1"/>
      <c r="S565" s="1"/>
      <c r="T565" s="1"/>
    </row>
    <row r="566" ht="15.75" customHeight="1">
      <c r="A566" s="36"/>
      <c r="B566" s="37"/>
      <c r="C566" s="37"/>
      <c r="D566" s="37"/>
      <c r="E566" s="37"/>
      <c r="F566" s="37"/>
      <c r="G566" s="1"/>
      <c r="H566" s="1"/>
      <c r="I566" s="1"/>
      <c r="J566" s="1"/>
      <c r="K566" s="1"/>
      <c r="L566" s="1"/>
      <c r="M566" s="1"/>
      <c r="N566" s="1"/>
      <c r="O566" s="1"/>
      <c r="P566" s="1"/>
      <c r="Q566" s="1"/>
      <c r="R566" s="1"/>
      <c r="S566" s="1"/>
      <c r="T566" s="1"/>
    </row>
    <row r="567" ht="15.75" customHeight="1">
      <c r="A567" s="36"/>
      <c r="B567" s="37"/>
      <c r="C567" s="37"/>
      <c r="D567" s="37"/>
      <c r="E567" s="37"/>
      <c r="F567" s="37"/>
      <c r="G567" s="1"/>
      <c r="H567" s="1"/>
      <c r="I567" s="1"/>
      <c r="J567" s="1"/>
      <c r="K567" s="1"/>
      <c r="L567" s="1"/>
      <c r="M567" s="1"/>
      <c r="N567" s="1"/>
      <c r="O567" s="1"/>
      <c r="P567" s="1"/>
      <c r="Q567" s="1"/>
      <c r="R567" s="1"/>
      <c r="S567" s="1"/>
      <c r="T567" s="1"/>
    </row>
    <row r="568" ht="15.75" customHeight="1">
      <c r="A568" s="36"/>
      <c r="B568" s="37"/>
      <c r="C568" s="37"/>
      <c r="D568" s="37"/>
      <c r="E568" s="37"/>
      <c r="F568" s="37"/>
      <c r="G568" s="1"/>
      <c r="H568" s="1"/>
      <c r="I568" s="1"/>
      <c r="J568" s="1"/>
      <c r="K568" s="1"/>
      <c r="L568" s="1"/>
      <c r="M568" s="1"/>
      <c r="N568" s="1"/>
      <c r="O568" s="1"/>
      <c r="P568" s="1"/>
      <c r="Q568" s="1"/>
      <c r="R568" s="1"/>
      <c r="S568" s="1"/>
      <c r="T568" s="1"/>
    </row>
    <row r="569" ht="15.75" customHeight="1">
      <c r="A569" s="36"/>
      <c r="B569" s="37"/>
      <c r="C569" s="37"/>
      <c r="D569" s="37"/>
      <c r="E569" s="37"/>
      <c r="F569" s="37"/>
      <c r="G569" s="1"/>
      <c r="H569" s="1"/>
      <c r="I569" s="1"/>
      <c r="J569" s="1"/>
      <c r="K569" s="1"/>
      <c r="L569" s="1"/>
      <c r="M569" s="1"/>
      <c r="N569" s="1"/>
      <c r="O569" s="1"/>
      <c r="P569" s="1"/>
      <c r="Q569" s="1"/>
      <c r="R569" s="1"/>
      <c r="S569" s="1"/>
      <c r="T569" s="1"/>
    </row>
    <row r="570" ht="15.75" customHeight="1">
      <c r="A570" s="36"/>
      <c r="B570" s="37"/>
      <c r="C570" s="37"/>
      <c r="D570" s="37"/>
      <c r="E570" s="37"/>
      <c r="F570" s="37"/>
      <c r="G570" s="1"/>
      <c r="H570" s="1"/>
      <c r="I570" s="1"/>
      <c r="J570" s="1"/>
      <c r="K570" s="1"/>
      <c r="L570" s="1"/>
      <c r="M570" s="1"/>
      <c r="N570" s="1"/>
      <c r="O570" s="1"/>
      <c r="P570" s="1"/>
      <c r="Q570" s="1"/>
      <c r="R570" s="1"/>
      <c r="S570" s="1"/>
      <c r="T570" s="1"/>
    </row>
    <row r="571" ht="15.75" customHeight="1">
      <c r="A571" s="36"/>
      <c r="B571" s="37"/>
      <c r="C571" s="37"/>
      <c r="D571" s="37"/>
      <c r="E571" s="37"/>
      <c r="F571" s="37"/>
      <c r="G571" s="1"/>
      <c r="H571" s="1"/>
      <c r="I571" s="1"/>
      <c r="J571" s="1"/>
      <c r="K571" s="1"/>
      <c r="L571" s="1"/>
      <c r="M571" s="1"/>
      <c r="N571" s="1"/>
      <c r="O571" s="1"/>
      <c r="P571" s="1"/>
      <c r="Q571" s="1"/>
      <c r="R571" s="1"/>
      <c r="S571" s="1"/>
      <c r="T571" s="1"/>
    </row>
    <row r="572" ht="15.75" customHeight="1">
      <c r="A572" s="36"/>
      <c r="B572" s="37"/>
      <c r="C572" s="37"/>
      <c r="D572" s="37"/>
      <c r="E572" s="37"/>
      <c r="F572" s="37"/>
      <c r="G572" s="1"/>
      <c r="H572" s="1"/>
      <c r="I572" s="1"/>
      <c r="J572" s="1"/>
      <c r="K572" s="1"/>
      <c r="L572" s="1"/>
      <c r="M572" s="1"/>
      <c r="N572" s="1"/>
      <c r="O572" s="1"/>
      <c r="P572" s="1"/>
      <c r="Q572" s="1"/>
      <c r="R572" s="1"/>
      <c r="S572" s="1"/>
      <c r="T572" s="1"/>
    </row>
    <row r="573" ht="15.75" customHeight="1">
      <c r="A573" s="36"/>
      <c r="B573" s="37"/>
      <c r="C573" s="37"/>
      <c r="D573" s="37"/>
      <c r="E573" s="37"/>
      <c r="F573" s="37"/>
      <c r="G573" s="1"/>
      <c r="H573" s="1"/>
      <c r="I573" s="1"/>
      <c r="J573" s="1"/>
      <c r="K573" s="1"/>
      <c r="L573" s="1"/>
      <c r="M573" s="1"/>
      <c r="N573" s="1"/>
      <c r="O573" s="1"/>
      <c r="P573" s="1"/>
      <c r="Q573" s="1"/>
      <c r="R573" s="1"/>
      <c r="S573" s="1"/>
      <c r="T573" s="1"/>
    </row>
    <row r="574" ht="15.75" customHeight="1">
      <c r="A574" s="36"/>
      <c r="B574" s="37"/>
      <c r="C574" s="37"/>
      <c r="D574" s="37"/>
      <c r="E574" s="37"/>
      <c r="F574" s="37"/>
      <c r="G574" s="1"/>
      <c r="H574" s="1"/>
      <c r="I574" s="1"/>
      <c r="J574" s="1"/>
      <c r="K574" s="1"/>
      <c r="L574" s="1"/>
      <c r="M574" s="1"/>
      <c r="N574" s="1"/>
      <c r="O574" s="1"/>
      <c r="P574" s="1"/>
      <c r="Q574" s="1"/>
      <c r="R574" s="1"/>
      <c r="S574" s="1"/>
      <c r="T574" s="1"/>
    </row>
    <row r="575" ht="15.75" customHeight="1">
      <c r="A575" s="36"/>
      <c r="B575" s="37"/>
      <c r="C575" s="37"/>
      <c r="D575" s="37"/>
      <c r="E575" s="37"/>
      <c r="F575" s="37"/>
      <c r="G575" s="1"/>
      <c r="H575" s="1"/>
      <c r="I575" s="1"/>
      <c r="J575" s="1"/>
      <c r="K575" s="1"/>
      <c r="L575" s="1"/>
      <c r="M575" s="1"/>
      <c r="N575" s="1"/>
      <c r="O575" s="1"/>
      <c r="P575" s="1"/>
      <c r="Q575" s="1"/>
      <c r="R575" s="1"/>
      <c r="S575" s="1"/>
      <c r="T575" s="1"/>
    </row>
    <row r="576" ht="15.75" customHeight="1">
      <c r="A576" s="36"/>
      <c r="B576" s="37"/>
      <c r="C576" s="37"/>
      <c r="D576" s="37"/>
      <c r="E576" s="37"/>
      <c r="F576" s="37"/>
      <c r="G576" s="1"/>
      <c r="H576" s="1"/>
      <c r="I576" s="1"/>
      <c r="J576" s="1"/>
      <c r="K576" s="1"/>
      <c r="L576" s="1"/>
      <c r="M576" s="1"/>
      <c r="N576" s="1"/>
      <c r="O576" s="1"/>
      <c r="P576" s="1"/>
      <c r="Q576" s="1"/>
      <c r="R576" s="1"/>
      <c r="S576" s="1"/>
      <c r="T576" s="1"/>
    </row>
    <row r="577" ht="15.75" customHeight="1">
      <c r="A577" s="36"/>
      <c r="B577" s="37"/>
      <c r="C577" s="37"/>
      <c r="D577" s="37"/>
      <c r="E577" s="37"/>
      <c r="F577" s="37"/>
      <c r="G577" s="1"/>
      <c r="H577" s="1"/>
      <c r="I577" s="1"/>
      <c r="J577" s="1"/>
      <c r="K577" s="1"/>
      <c r="L577" s="1"/>
      <c r="M577" s="1"/>
      <c r="N577" s="1"/>
      <c r="O577" s="1"/>
      <c r="P577" s="1"/>
      <c r="Q577" s="1"/>
      <c r="R577" s="1"/>
      <c r="S577" s="1"/>
      <c r="T577" s="1"/>
    </row>
    <row r="578" ht="15.75" customHeight="1">
      <c r="A578" s="36"/>
      <c r="B578" s="37"/>
      <c r="C578" s="37"/>
      <c r="D578" s="37"/>
      <c r="E578" s="37"/>
      <c r="F578" s="37"/>
      <c r="G578" s="1"/>
      <c r="H578" s="1"/>
      <c r="I578" s="1"/>
      <c r="J578" s="1"/>
      <c r="K578" s="1"/>
      <c r="L578" s="1"/>
      <c r="M578" s="1"/>
      <c r="N578" s="1"/>
      <c r="O578" s="1"/>
      <c r="P578" s="1"/>
      <c r="Q578" s="1"/>
      <c r="R578" s="1"/>
      <c r="S578" s="1"/>
      <c r="T578" s="1"/>
    </row>
    <row r="579" ht="15.75" customHeight="1">
      <c r="A579" s="36"/>
      <c r="B579" s="37"/>
      <c r="C579" s="37"/>
      <c r="D579" s="37"/>
      <c r="E579" s="37"/>
      <c r="F579" s="37"/>
      <c r="G579" s="1"/>
      <c r="H579" s="1"/>
      <c r="I579" s="1"/>
      <c r="J579" s="1"/>
      <c r="K579" s="1"/>
      <c r="L579" s="1"/>
      <c r="M579" s="1"/>
      <c r="N579" s="1"/>
      <c r="O579" s="1"/>
      <c r="P579" s="1"/>
      <c r="Q579" s="1"/>
      <c r="R579" s="1"/>
      <c r="S579" s="1"/>
      <c r="T579" s="1"/>
    </row>
    <row r="580" ht="15.75" customHeight="1">
      <c r="A580" s="36"/>
      <c r="B580" s="37"/>
      <c r="C580" s="37"/>
      <c r="D580" s="37"/>
      <c r="E580" s="37"/>
      <c r="F580" s="37"/>
      <c r="G580" s="1"/>
      <c r="H580" s="1"/>
      <c r="I580" s="1"/>
      <c r="J580" s="1"/>
      <c r="K580" s="1"/>
      <c r="L580" s="1"/>
      <c r="M580" s="1"/>
      <c r="N580" s="1"/>
      <c r="O580" s="1"/>
      <c r="P580" s="1"/>
      <c r="Q580" s="1"/>
      <c r="R580" s="1"/>
      <c r="S580" s="1"/>
      <c r="T580" s="1"/>
    </row>
    <row r="581" ht="15.75" customHeight="1">
      <c r="A581" s="36"/>
      <c r="B581" s="37"/>
      <c r="C581" s="37"/>
      <c r="D581" s="37"/>
      <c r="E581" s="37"/>
      <c r="F581" s="37"/>
      <c r="G581" s="1"/>
      <c r="H581" s="1"/>
      <c r="I581" s="1"/>
      <c r="J581" s="1"/>
      <c r="K581" s="1"/>
      <c r="L581" s="1"/>
      <c r="M581" s="1"/>
      <c r="N581" s="1"/>
      <c r="O581" s="1"/>
      <c r="P581" s="1"/>
      <c r="Q581" s="1"/>
      <c r="R581" s="1"/>
      <c r="S581" s="1"/>
      <c r="T581" s="1"/>
    </row>
    <row r="582" ht="15.75" customHeight="1">
      <c r="A582" s="36"/>
      <c r="B582" s="37"/>
      <c r="C582" s="37"/>
      <c r="D582" s="37"/>
      <c r="E582" s="37"/>
      <c r="F582" s="37"/>
      <c r="G582" s="1"/>
      <c r="H582" s="1"/>
      <c r="I582" s="1"/>
      <c r="J582" s="1"/>
      <c r="K582" s="1"/>
      <c r="L582" s="1"/>
      <c r="M582" s="1"/>
      <c r="N582" s="1"/>
      <c r="O582" s="1"/>
      <c r="P582" s="1"/>
      <c r="Q582" s="1"/>
      <c r="R582" s="1"/>
      <c r="S582" s="1"/>
      <c r="T582" s="1"/>
    </row>
    <row r="583" ht="15.75" customHeight="1">
      <c r="A583" s="36"/>
      <c r="B583" s="37"/>
      <c r="C583" s="37"/>
      <c r="D583" s="37"/>
      <c r="E583" s="37"/>
      <c r="F583" s="37"/>
      <c r="G583" s="1"/>
      <c r="H583" s="1"/>
      <c r="I583" s="1"/>
      <c r="J583" s="1"/>
      <c r="K583" s="1"/>
      <c r="L583" s="1"/>
      <c r="M583" s="1"/>
      <c r="N583" s="1"/>
      <c r="O583" s="1"/>
      <c r="P583" s="1"/>
      <c r="Q583" s="1"/>
      <c r="R583" s="1"/>
      <c r="S583" s="1"/>
      <c r="T583" s="1"/>
    </row>
    <row r="584" ht="15.75" customHeight="1">
      <c r="A584" s="36"/>
      <c r="B584" s="37"/>
      <c r="C584" s="37"/>
      <c r="D584" s="37"/>
      <c r="E584" s="37"/>
      <c r="F584" s="37"/>
      <c r="G584" s="1"/>
      <c r="H584" s="1"/>
      <c r="I584" s="1"/>
      <c r="J584" s="1"/>
      <c r="K584" s="1"/>
      <c r="L584" s="1"/>
      <c r="M584" s="1"/>
      <c r="N584" s="1"/>
      <c r="O584" s="1"/>
      <c r="P584" s="1"/>
      <c r="Q584" s="1"/>
      <c r="R584" s="1"/>
      <c r="S584" s="1"/>
      <c r="T584" s="1"/>
    </row>
    <row r="585" ht="15.75" customHeight="1">
      <c r="A585" s="36"/>
      <c r="B585" s="37"/>
      <c r="C585" s="37"/>
      <c r="D585" s="37"/>
      <c r="E585" s="37"/>
      <c r="F585" s="37"/>
      <c r="G585" s="1"/>
      <c r="H585" s="1"/>
      <c r="I585" s="1"/>
      <c r="J585" s="1"/>
      <c r="K585" s="1"/>
      <c r="L585" s="1"/>
      <c r="M585" s="1"/>
      <c r="N585" s="1"/>
      <c r="O585" s="1"/>
      <c r="P585" s="1"/>
      <c r="Q585" s="1"/>
      <c r="R585" s="1"/>
      <c r="S585" s="1"/>
      <c r="T585" s="1"/>
    </row>
    <row r="586" ht="15.75" customHeight="1">
      <c r="A586" s="36"/>
      <c r="B586" s="37"/>
      <c r="C586" s="37"/>
      <c r="D586" s="37"/>
      <c r="E586" s="37"/>
      <c r="F586" s="37"/>
      <c r="G586" s="1"/>
      <c r="H586" s="1"/>
      <c r="I586" s="1"/>
      <c r="J586" s="1"/>
      <c r="K586" s="1"/>
      <c r="L586" s="1"/>
      <c r="M586" s="1"/>
      <c r="N586" s="1"/>
      <c r="O586" s="1"/>
      <c r="P586" s="1"/>
      <c r="Q586" s="1"/>
      <c r="R586" s="1"/>
      <c r="S586" s="1"/>
      <c r="T586" s="1"/>
    </row>
    <row r="587" ht="15.75" customHeight="1">
      <c r="A587" s="36"/>
      <c r="B587" s="37"/>
      <c r="C587" s="37"/>
      <c r="D587" s="37"/>
      <c r="E587" s="37"/>
      <c r="F587" s="37"/>
      <c r="G587" s="1"/>
      <c r="H587" s="1"/>
      <c r="I587" s="1"/>
      <c r="J587" s="1"/>
      <c r="K587" s="1"/>
      <c r="L587" s="1"/>
      <c r="M587" s="1"/>
      <c r="N587" s="1"/>
      <c r="O587" s="1"/>
      <c r="P587" s="1"/>
      <c r="Q587" s="1"/>
      <c r="R587" s="1"/>
      <c r="S587" s="1"/>
      <c r="T587" s="1"/>
    </row>
    <row r="588" ht="15.75" customHeight="1">
      <c r="A588" s="36"/>
      <c r="B588" s="37"/>
      <c r="C588" s="37"/>
      <c r="D588" s="37"/>
      <c r="E588" s="37"/>
      <c r="F588" s="37"/>
      <c r="G588" s="1"/>
      <c r="H588" s="1"/>
      <c r="I588" s="1"/>
      <c r="J588" s="1"/>
      <c r="K588" s="1"/>
      <c r="L588" s="1"/>
      <c r="M588" s="1"/>
      <c r="N588" s="1"/>
      <c r="O588" s="1"/>
      <c r="P588" s="1"/>
      <c r="Q588" s="1"/>
      <c r="R588" s="1"/>
      <c r="S588" s="1"/>
      <c r="T588" s="1"/>
    </row>
    <row r="589" ht="15.75" customHeight="1">
      <c r="A589" s="36"/>
      <c r="B589" s="37"/>
      <c r="C589" s="37"/>
      <c r="D589" s="37"/>
      <c r="E589" s="37"/>
      <c r="F589" s="37"/>
      <c r="G589" s="1"/>
      <c r="H589" s="1"/>
      <c r="I589" s="1"/>
      <c r="J589" s="1"/>
      <c r="K589" s="1"/>
      <c r="L589" s="1"/>
      <c r="M589" s="1"/>
      <c r="N589" s="1"/>
      <c r="O589" s="1"/>
      <c r="P589" s="1"/>
      <c r="Q589" s="1"/>
      <c r="R589" s="1"/>
      <c r="S589" s="1"/>
      <c r="T589" s="1"/>
    </row>
    <row r="590" ht="15.75" customHeight="1">
      <c r="A590" s="36"/>
      <c r="B590" s="37"/>
      <c r="C590" s="37"/>
      <c r="D590" s="37"/>
      <c r="E590" s="37"/>
      <c r="F590" s="37"/>
      <c r="G590" s="1"/>
      <c r="H590" s="1"/>
      <c r="I590" s="1"/>
      <c r="J590" s="1"/>
      <c r="K590" s="1"/>
      <c r="L590" s="1"/>
      <c r="M590" s="1"/>
      <c r="N590" s="1"/>
      <c r="O590" s="1"/>
      <c r="P590" s="1"/>
      <c r="Q590" s="1"/>
      <c r="R590" s="1"/>
      <c r="S590" s="1"/>
      <c r="T590" s="1"/>
    </row>
    <row r="591" ht="15.75" customHeight="1">
      <c r="A591" s="36"/>
      <c r="B591" s="37"/>
      <c r="C591" s="37"/>
      <c r="D591" s="37"/>
      <c r="E591" s="37"/>
      <c r="F591" s="37"/>
      <c r="G591" s="1"/>
      <c r="H591" s="1"/>
      <c r="I591" s="1"/>
      <c r="J591" s="1"/>
      <c r="K591" s="1"/>
      <c r="L591" s="1"/>
      <c r="M591" s="1"/>
      <c r="N591" s="1"/>
      <c r="O591" s="1"/>
      <c r="P591" s="1"/>
      <c r="Q591" s="1"/>
      <c r="R591" s="1"/>
      <c r="S591" s="1"/>
      <c r="T591" s="1"/>
    </row>
    <row r="592" ht="15.75" customHeight="1">
      <c r="A592" s="36"/>
      <c r="B592" s="37"/>
      <c r="C592" s="37"/>
      <c r="D592" s="37"/>
      <c r="E592" s="37"/>
      <c r="F592" s="37"/>
      <c r="G592" s="1"/>
      <c r="H592" s="1"/>
      <c r="I592" s="1"/>
      <c r="J592" s="1"/>
      <c r="K592" s="1"/>
      <c r="L592" s="1"/>
      <c r="M592" s="1"/>
      <c r="N592" s="1"/>
      <c r="O592" s="1"/>
      <c r="P592" s="1"/>
      <c r="Q592" s="1"/>
      <c r="R592" s="1"/>
      <c r="S592" s="1"/>
      <c r="T592" s="1"/>
    </row>
    <row r="593" ht="15.75" customHeight="1">
      <c r="A593" s="36"/>
      <c r="B593" s="37"/>
      <c r="C593" s="37"/>
      <c r="D593" s="37"/>
      <c r="E593" s="37"/>
      <c r="F593" s="37"/>
      <c r="G593" s="1"/>
      <c r="H593" s="1"/>
      <c r="I593" s="1"/>
      <c r="J593" s="1"/>
      <c r="K593" s="1"/>
      <c r="L593" s="1"/>
      <c r="M593" s="1"/>
      <c r="N593" s="1"/>
      <c r="O593" s="1"/>
      <c r="P593" s="1"/>
      <c r="Q593" s="1"/>
      <c r="R593" s="1"/>
      <c r="S593" s="1"/>
      <c r="T593" s="1"/>
    </row>
    <row r="594" ht="15.75" customHeight="1">
      <c r="A594" s="36"/>
      <c r="B594" s="37"/>
      <c r="C594" s="37"/>
      <c r="D594" s="37"/>
      <c r="E594" s="37"/>
      <c r="F594" s="37"/>
      <c r="G594" s="1"/>
      <c r="H594" s="1"/>
      <c r="I594" s="1"/>
      <c r="J594" s="1"/>
      <c r="K594" s="1"/>
      <c r="L594" s="1"/>
      <c r="M594" s="1"/>
      <c r="N594" s="1"/>
      <c r="O594" s="1"/>
      <c r="P594" s="1"/>
      <c r="Q594" s="1"/>
      <c r="R594" s="1"/>
      <c r="S594" s="1"/>
      <c r="T594" s="1"/>
    </row>
    <row r="595" ht="15.75" customHeight="1">
      <c r="A595" s="36"/>
      <c r="B595" s="37"/>
      <c r="C595" s="37"/>
      <c r="D595" s="37"/>
      <c r="E595" s="37"/>
      <c r="F595" s="37"/>
      <c r="G595" s="1"/>
      <c r="H595" s="1"/>
      <c r="I595" s="1"/>
      <c r="J595" s="1"/>
      <c r="K595" s="1"/>
      <c r="L595" s="1"/>
      <c r="M595" s="1"/>
      <c r="N595" s="1"/>
      <c r="O595" s="1"/>
      <c r="P595" s="1"/>
      <c r="Q595" s="1"/>
      <c r="R595" s="1"/>
      <c r="S595" s="1"/>
      <c r="T595" s="1"/>
    </row>
    <row r="596" ht="15.75" customHeight="1">
      <c r="A596" s="36"/>
      <c r="B596" s="37"/>
      <c r="C596" s="37"/>
      <c r="D596" s="37"/>
      <c r="E596" s="37"/>
      <c r="F596" s="37"/>
      <c r="G596" s="1"/>
      <c r="H596" s="1"/>
      <c r="I596" s="1"/>
      <c r="J596" s="1"/>
      <c r="K596" s="1"/>
      <c r="L596" s="1"/>
      <c r="M596" s="1"/>
      <c r="N596" s="1"/>
      <c r="O596" s="1"/>
      <c r="P596" s="1"/>
      <c r="Q596" s="1"/>
      <c r="R596" s="1"/>
      <c r="S596" s="1"/>
      <c r="T596" s="1"/>
    </row>
    <row r="597" ht="15.75" customHeight="1">
      <c r="A597" s="36"/>
      <c r="B597" s="37"/>
      <c r="C597" s="37"/>
      <c r="D597" s="37"/>
      <c r="E597" s="37"/>
      <c r="F597" s="37"/>
      <c r="G597" s="1"/>
      <c r="H597" s="1"/>
      <c r="I597" s="1"/>
      <c r="J597" s="1"/>
      <c r="K597" s="1"/>
      <c r="L597" s="1"/>
      <c r="M597" s="1"/>
      <c r="N597" s="1"/>
      <c r="O597" s="1"/>
      <c r="P597" s="1"/>
      <c r="Q597" s="1"/>
      <c r="R597" s="1"/>
      <c r="S597" s="1"/>
      <c r="T597" s="1"/>
    </row>
    <row r="598" ht="15.75" customHeight="1">
      <c r="A598" s="36"/>
      <c r="B598" s="37"/>
      <c r="C598" s="37"/>
      <c r="D598" s="37"/>
      <c r="E598" s="37"/>
      <c r="F598" s="37"/>
      <c r="G598" s="1"/>
      <c r="H598" s="1"/>
      <c r="I598" s="1"/>
      <c r="J598" s="1"/>
      <c r="K598" s="1"/>
      <c r="L598" s="1"/>
      <c r="M598" s="1"/>
      <c r="N598" s="1"/>
      <c r="O598" s="1"/>
      <c r="P598" s="1"/>
      <c r="Q598" s="1"/>
      <c r="R598" s="1"/>
      <c r="S598" s="1"/>
      <c r="T598" s="1"/>
    </row>
    <row r="599" ht="15.75" customHeight="1">
      <c r="A599" s="36"/>
      <c r="B599" s="37"/>
      <c r="C599" s="37"/>
      <c r="D599" s="37"/>
      <c r="E599" s="37"/>
      <c r="F599" s="37"/>
      <c r="G599" s="1"/>
      <c r="H599" s="1"/>
      <c r="I599" s="1"/>
      <c r="J599" s="1"/>
      <c r="K599" s="1"/>
      <c r="L599" s="1"/>
      <c r="M599" s="1"/>
      <c r="N599" s="1"/>
      <c r="O599" s="1"/>
      <c r="P599" s="1"/>
      <c r="Q599" s="1"/>
      <c r="R599" s="1"/>
      <c r="S599" s="1"/>
      <c r="T599" s="1"/>
    </row>
    <row r="600" ht="15.75" customHeight="1">
      <c r="A600" s="36"/>
      <c r="B600" s="37"/>
      <c r="C600" s="37"/>
      <c r="D600" s="37"/>
      <c r="E600" s="37"/>
      <c r="F600" s="37"/>
      <c r="G600" s="1"/>
      <c r="H600" s="1"/>
      <c r="I600" s="1"/>
      <c r="J600" s="1"/>
      <c r="K600" s="1"/>
      <c r="L600" s="1"/>
      <c r="M600" s="1"/>
      <c r="N600" s="1"/>
      <c r="O600" s="1"/>
      <c r="P600" s="1"/>
      <c r="Q600" s="1"/>
      <c r="R600" s="1"/>
      <c r="S600" s="1"/>
      <c r="T600" s="1"/>
    </row>
    <row r="601" ht="15.75" customHeight="1">
      <c r="A601" s="36"/>
      <c r="B601" s="37"/>
      <c r="C601" s="37"/>
      <c r="D601" s="37"/>
      <c r="E601" s="37"/>
      <c r="F601" s="37"/>
      <c r="G601" s="1"/>
      <c r="H601" s="1"/>
      <c r="I601" s="1"/>
      <c r="J601" s="1"/>
      <c r="K601" s="1"/>
      <c r="L601" s="1"/>
      <c r="M601" s="1"/>
      <c r="N601" s="1"/>
      <c r="O601" s="1"/>
      <c r="P601" s="1"/>
      <c r="Q601" s="1"/>
      <c r="R601" s="1"/>
      <c r="S601" s="1"/>
      <c r="T601" s="1"/>
    </row>
    <row r="602" ht="15.75" customHeight="1">
      <c r="A602" s="36"/>
      <c r="B602" s="37"/>
      <c r="C602" s="37"/>
      <c r="D602" s="37"/>
      <c r="E602" s="37"/>
      <c r="F602" s="37"/>
      <c r="G602" s="1"/>
      <c r="H602" s="1"/>
      <c r="I602" s="1"/>
      <c r="J602" s="1"/>
      <c r="K602" s="1"/>
      <c r="L602" s="1"/>
      <c r="M602" s="1"/>
      <c r="N602" s="1"/>
      <c r="O602" s="1"/>
      <c r="P602" s="1"/>
      <c r="Q602" s="1"/>
      <c r="R602" s="1"/>
      <c r="S602" s="1"/>
      <c r="T602" s="1"/>
    </row>
    <row r="603" ht="15.75" customHeight="1">
      <c r="A603" s="36"/>
      <c r="B603" s="37"/>
      <c r="C603" s="37"/>
      <c r="D603" s="37"/>
      <c r="E603" s="37"/>
      <c r="F603" s="37"/>
      <c r="G603" s="1"/>
      <c r="H603" s="1"/>
      <c r="I603" s="1"/>
      <c r="J603" s="1"/>
      <c r="K603" s="1"/>
      <c r="L603" s="1"/>
      <c r="M603" s="1"/>
      <c r="N603" s="1"/>
      <c r="O603" s="1"/>
      <c r="P603" s="1"/>
      <c r="Q603" s="1"/>
      <c r="R603" s="1"/>
      <c r="S603" s="1"/>
      <c r="T603" s="1"/>
    </row>
    <row r="604" ht="15.75" customHeight="1">
      <c r="A604" s="36"/>
      <c r="B604" s="37"/>
      <c r="C604" s="37"/>
      <c r="D604" s="37"/>
      <c r="E604" s="37"/>
      <c r="F604" s="37"/>
      <c r="G604" s="1"/>
      <c r="H604" s="1"/>
      <c r="I604" s="1"/>
      <c r="J604" s="1"/>
      <c r="K604" s="1"/>
      <c r="L604" s="1"/>
      <c r="M604" s="1"/>
      <c r="N604" s="1"/>
      <c r="O604" s="1"/>
      <c r="P604" s="1"/>
      <c r="Q604" s="1"/>
      <c r="R604" s="1"/>
      <c r="S604" s="1"/>
      <c r="T604" s="1"/>
    </row>
    <row r="605" ht="15.75" customHeight="1">
      <c r="A605" s="36"/>
      <c r="B605" s="37"/>
      <c r="C605" s="37"/>
      <c r="D605" s="37"/>
      <c r="E605" s="37"/>
      <c r="F605" s="37"/>
      <c r="G605" s="1"/>
      <c r="H605" s="1"/>
      <c r="I605" s="1"/>
      <c r="J605" s="1"/>
      <c r="K605" s="1"/>
      <c r="L605" s="1"/>
      <c r="M605" s="1"/>
      <c r="N605" s="1"/>
      <c r="O605" s="1"/>
      <c r="P605" s="1"/>
      <c r="Q605" s="1"/>
      <c r="R605" s="1"/>
      <c r="S605" s="1"/>
      <c r="T605" s="1"/>
    </row>
    <row r="606" ht="15.75" customHeight="1">
      <c r="A606" s="36"/>
      <c r="B606" s="37"/>
      <c r="C606" s="37"/>
      <c r="D606" s="37"/>
      <c r="E606" s="37"/>
      <c r="F606" s="37"/>
      <c r="G606" s="1"/>
      <c r="H606" s="1"/>
      <c r="I606" s="1"/>
      <c r="J606" s="1"/>
      <c r="K606" s="1"/>
      <c r="L606" s="1"/>
      <c r="M606" s="1"/>
      <c r="N606" s="1"/>
      <c r="O606" s="1"/>
      <c r="P606" s="1"/>
      <c r="Q606" s="1"/>
      <c r="R606" s="1"/>
      <c r="S606" s="1"/>
      <c r="T606" s="1"/>
    </row>
    <row r="607" ht="15.75" customHeight="1">
      <c r="A607" s="36"/>
      <c r="B607" s="37"/>
      <c r="C607" s="37"/>
      <c r="D607" s="37"/>
      <c r="E607" s="37"/>
      <c r="F607" s="37"/>
      <c r="G607" s="1"/>
      <c r="H607" s="1"/>
      <c r="I607" s="1"/>
      <c r="J607" s="1"/>
      <c r="K607" s="1"/>
      <c r="L607" s="1"/>
      <c r="M607" s="1"/>
      <c r="N607" s="1"/>
      <c r="O607" s="1"/>
      <c r="P607" s="1"/>
      <c r="Q607" s="1"/>
      <c r="R607" s="1"/>
      <c r="S607" s="1"/>
      <c r="T607" s="1"/>
    </row>
    <row r="608" ht="15.75" customHeight="1">
      <c r="A608" s="36"/>
      <c r="B608" s="37"/>
      <c r="C608" s="37"/>
      <c r="D608" s="37"/>
      <c r="E608" s="37"/>
      <c r="F608" s="37"/>
      <c r="G608" s="1"/>
      <c r="H608" s="1"/>
      <c r="I608" s="1"/>
      <c r="J608" s="1"/>
      <c r="K608" s="1"/>
      <c r="L608" s="1"/>
      <c r="M608" s="1"/>
      <c r="N608" s="1"/>
      <c r="O608" s="1"/>
      <c r="P608" s="1"/>
      <c r="Q608" s="1"/>
      <c r="R608" s="1"/>
      <c r="S608" s="1"/>
      <c r="T608" s="1"/>
    </row>
    <row r="609" ht="15.75" customHeight="1">
      <c r="A609" s="36"/>
      <c r="B609" s="37"/>
      <c r="C609" s="37"/>
      <c r="D609" s="37"/>
      <c r="E609" s="37"/>
      <c r="F609" s="37"/>
      <c r="G609" s="1"/>
      <c r="H609" s="1"/>
      <c r="I609" s="1"/>
      <c r="J609" s="1"/>
      <c r="K609" s="1"/>
      <c r="L609" s="1"/>
      <c r="M609" s="1"/>
      <c r="N609" s="1"/>
      <c r="O609" s="1"/>
      <c r="P609" s="1"/>
      <c r="Q609" s="1"/>
      <c r="R609" s="1"/>
      <c r="S609" s="1"/>
      <c r="T609" s="1"/>
    </row>
    <row r="610" ht="15.75" customHeight="1">
      <c r="A610" s="36"/>
      <c r="B610" s="37"/>
      <c r="C610" s="37"/>
      <c r="D610" s="37"/>
      <c r="E610" s="37"/>
      <c r="F610" s="37"/>
      <c r="G610" s="1"/>
      <c r="H610" s="1"/>
      <c r="I610" s="1"/>
      <c r="J610" s="1"/>
      <c r="K610" s="1"/>
      <c r="L610" s="1"/>
      <c r="M610" s="1"/>
      <c r="N610" s="1"/>
      <c r="O610" s="1"/>
      <c r="P610" s="1"/>
      <c r="Q610" s="1"/>
      <c r="R610" s="1"/>
      <c r="S610" s="1"/>
      <c r="T610" s="1"/>
    </row>
    <row r="611" ht="15.75" customHeight="1">
      <c r="A611" s="36"/>
      <c r="B611" s="37"/>
      <c r="C611" s="37"/>
      <c r="D611" s="37"/>
      <c r="E611" s="37"/>
      <c r="F611" s="37"/>
      <c r="G611" s="1"/>
      <c r="H611" s="1"/>
      <c r="I611" s="1"/>
      <c r="J611" s="1"/>
      <c r="K611" s="1"/>
      <c r="L611" s="1"/>
      <c r="M611" s="1"/>
      <c r="N611" s="1"/>
      <c r="O611" s="1"/>
      <c r="P611" s="1"/>
      <c r="Q611" s="1"/>
      <c r="R611" s="1"/>
      <c r="S611" s="1"/>
      <c r="T611" s="1"/>
    </row>
    <row r="612" ht="15.75" customHeight="1">
      <c r="A612" s="36"/>
      <c r="B612" s="37"/>
      <c r="C612" s="37"/>
      <c r="D612" s="37"/>
      <c r="E612" s="37"/>
      <c r="F612" s="37"/>
      <c r="G612" s="1"/>
      <c r="H612" s="1"/>
      <c r="I612" s="1"/>
      <c r="J612" s="1"/>
      <c r="K612" s="1"/>
      <c r="L612" s="1"/>
      <c r="M612" s="1"/>
      <c r="N612" s="1"/>
      <c r="O612" s="1"/>
      <c r="P612" s="1"/>
      <c r="Q612" s="1"/>
      <c r="R612" s="1"/>
      <c r="S612" s="1"/>
      <c r="T612" s="1"/>
    </row>
    <row r="613" ht="15.75" customHeight="1">
      <c r="A613" s="36"/>
      <c r="B613" s="37"/>
      <c r="C613" s="37"/>
      <c r="D613" s="37"/>
      <c r="E613" s="37"/>
      <c r="F613" s="37"/>
      <c r="G613" s="1"/>
      <c r="H613" s="1"/>
      <c r="I613" s="1"/>
      <c r="J613" s="1"/>
      <c r="K613" s="1"/>
      <c r="L613" s="1"/>
      <c r="M613" s="1"/>
      <c r="N613" s="1"/>
      <c r="O613" s="1"/>
      <c r="P613" s="1"/>
      <c r="Q613" s="1"/>
      <c r="R613" s="1"/>
      <c r="S613" s="1"/>
      <c r="T613" s="1"/>
    </row>
    <row r="614" ht="15.75" customHeight="1">
      <c r="A614" s="36"/>
      <c r="B614" s="37"/>
      <c r="C614" s="37"/>
      <c r="D614" s="37"/>
      <c r="E614" s="37"/>
      <c r="F614" s="37"/>
      <c r="G614" s="1"/>
      <c r="H614" s="1"/>
      <c r="I614" s="1"/>
      <c r="J614" s="1"/>
      <c r="K614" s="1"/>
      <c r="L614" s="1"/>
      <c r="M614" s="1"/>
      <c r="N614" s="1"/>
      <c r="O614" s="1"/>
      <c r="P614" s="1"/>
      <c r="Q614" s="1"/>
      <c r="R614" s="1"/>
      <c r="S614" s="1"/>
      <c r="T614" s="1"/>
    </row>
    <row r="615" ht="15.75" customHeight="1">
      <c r="A615" s="36"/>
      <c r="B615" s="37"/>
      <c r="C615" s="37"/>
      <c r="D615" s="37"/>
      <c r="E615" s="37"/>
      <c r="F615" s="37"/>
      <c r="G615" s="1"/>
      <c r="H615" s="1"/>
      <c r="I615" s="1"/>
      <c r="J615" s="1"/>
      <c r="K615" s="1"/>
      <c r="L615" s="1"/>
      <c r="M615" s="1"/>
      <c r="N615" s="1"/>
      <c r="O615" s="1"/>
      <c r="P615" s="1"/>
      <c r="Q615" s="1"/>
      <c r="R615" s="1"/>
      <c r="S615" s="1"/>
      <c r="T615" s="1"/>
    </row>
    <row r="616" ht="15.75" customHeight="1">
      <c r="A616" s="36"/>
      <c r="B616" s="37"/>
      <c r="C616" s="37"/>
      <c r="D616" s="37"/>
      <c r="E616" s="37"/>
      <c r="F616" s="37"/>
      <c r="G616" s="1"/>
      <c r="H616" s="1"/>
      <c r="I616" s="1"/>
      <c r="J616" s="1"/>
      <c r="K616" s="1"/>
      <c r="L616" s="1"/>
      <c r="M616" s="1"/>
      <c r="N616" s="1"/>
      <c r="O616" s="1"/>
      <c r="P616" s="1"/>
      <c r="Q616" s="1"/>
      <c r="R616" s="1"/>
      <c r="S616" s="1"/>
      <c r="T616" s="1"/>
    </row>
    <row r="617" ht="15.75" customHeight="1">
      <c r="A617" s="36"/>
      <c r="B617" s="37"/>
      <c r="C617" s="37"/>
      <c r="D617" s="37"/>
      <c r="E617" s="37"/>
      <c r="F617" s="37"/>
      <c r="G617" s="1"/>
      <c r="H617" s="1"/>
      <c r="I617" s="1"/>
      <c r="J617" s="1"/>
      <c r="K617" s="1"/>
      <c r="L617" s="1"/>
      <c r="M617" s="1"/>
      <c r="N617" s="1"/>
      <c r="O617" s="1"/>
      <c r="P617" s="1"/>
      <c r="Q617" s="1"/>
      <c r="R617" s="1"/>
      <c r="S617" s="1"/>
      <c r="T617" s="1"/>
    </row>
    <row r="618" ht="15.75" customHeight="1">
      <c r="A618" s="36"/>
      <c r="B618" s="37"/>
      <c r="C618" s="37"/>
      <c r="D618" s="37"/>
      <c r="E618" s="37"/>
      <c r="F618" s="37"/>
      <c r="G618" s="1"/>
      <c r="H618" s="1"/>
      <c r="I618" s="1"/>
      <c r="J618" s="1"/>
      <c r="K618" s="1"/>
      <c r="L618" s="1"/>
      <c r="M618" s="1"/>
      <c r="N618" s="1"/>
      <c r="O618" s="1"/>
      <c r="P618" s="1"/>
      <c r="Q618" s="1"/>
      <c r="R618" s="1"/>
      <c r="S618" s="1"/>
      <c r="T618" s="1"/>
    </row>
    <row r="619" ht="15.75" customHeight="1">
      <c r="A619" s="36"/>
      <c r="B619" s="37"/>
      <c r="C619" s="37"/>
      <c r="D619" s="37"/>
      <c r="E619" s="37"/>
      <c r="F619" s="37"/>
      <c r="G619" s="1"/>
      <c r="H619" s="1"/>
      <c r="I619" s="1"/>
      <c r="J619" s="1"/>
      <c r="K619" s="1"/>
      <c r="L619" s="1"/>
      <c r="M619" s="1"/>
      <c r="N619" s="1"/>
      <c r="O619" s="1"/>
      <c r="P619" s="1"/>
      <c r="Q619" s="1"/>
      <c r="R619" s="1"/>
      <c r="S619" s="1"/>
      <c r="T619" s="1"/>
    </row>
    <row r="620" ht="15.75" customHeight="1">
      <c r="A620" s="36"/>
      <c r="B620" s="37"/>
      <c r="C620" s="37"/>
      <c r="D620" s="37"/>
      <c r="E620" s="37"/>
      <c r="F620" s="37"/>
      <c r="G620" s="1"/>
      <c r="H620" s="1"/>
      <c r="I620" s="1"/>
      <c r="J620" s="1"/>
      <c r="K620" s="1"/>
      <c r="L620" s="1"/>
      <c r="M620" s="1"/>
      <c r="N620" s="1"/>
      <c r="O620" s="1"/>
      <c r="P620" s="1"/>
      <c r="Q620" s="1"/>
      <c r="R620" s="1"/>
      <c r="S620" s="1"/>
      <c r="T620" s="1"/>
    </row>
    <row r="621" ht="15.75" customHeight="1">
      <c r="A621" s="36"/>
      <c r="B621" s="37"/>
      <c r="C621" s="37"/>
      <c r="D621" s="37"/>
      <c r="E621" s="37"/>
      <c r="F621" s="37"/>
      <c r="G621" s="1"/>
      <c r="H621" s="1"/>
      <c r="I621" s="1"/>
      <c r="J621" s="1"/>
      <c r="K621" s="1"/>
      <c r="L621" s="1"/>
      <c r="M621" s="1"/>
      <c r="N621" s="1"/>
      <c r="O621" s="1"/>
      <c r="P621" s="1"/>
      <c r="Q621" s="1"/>
      <c r="R621" s="1"/>
      <c r="S621" s="1"/>
      <c r="T621" s="1"/>
    </row>
    <row r="622" ht="15.75" customHeight="1">
      <c r="A622" s="36"/>
      <c r="B622" s="37"/>
      <c r="C622" s="37"/>
      <c r="D622" s="37"/>
      <c r="E622" s="37"/>
      <c r="F622" s="37"/>
      <c r="G622" s="1"/>
      <c r="H622" s="1"/>
      <c r="I622" s="1"/>
      <c r="J622" s="1"/>
      <c r="K622" s="1"/>
      <c r="L622" s="1"/>
      <c r="M622" s="1"/>
      <c r="N622" s="1"/>
      <c r="O622" s="1"/>
      <c r="P622" s="1"/>
      <c r="Q622" s="1"/>
      <c r="R622" s="1"/>
      <c r="S622" s="1"/>
      <c r="T622" s="1"/>
    </row>
    <row r="623" ht="15.75" customHeight="1">
      <c r="A623" s="36"/>
      <c r="B623" s="37"/>
      <c r="C623" s="37"/>
      <c r="D623" s="37"/>
      <c r="E623" s="37"/>
      <c r="F623" s="37"/>
      <c r="G623" s="1"/>
      <c r="H623" s="1"/>
      <c r="I623" s="1"/>
      <c r="J623" s="1"/>
      <c r="K623" s="1"/>
      <c r="L623" s="1"/>
      <c r="M623" s="1"/>
      <c r="N623" s="1"/>
      <c r="O623" s="1"/>
      <c r="P623" s="1"/>
      <c r="Q623" s="1"/>
      <c r="R623" s="1"/>
      <c r="S623" s="1"/>
      <c r="T623" s="1"/>
    </row>
    <row r="624" ht="15.75" customHeight="1">
      <c r="A624" s="36"/>
      <c r="B624" s="37"/>
      <c r="C624" s="37"/>
      <c r="D624" s="37"/>
      <c r="E624" s="37"/>
      <c r="F624" s="37"/>
      <c r="G624" s="1"/>
      <c r="H624" s="1"/>
      <c r="I624" s="1"/>
      <c r="J624" s="1"/>
      <c r="K624" s="1"/>
      <c r="L624" s="1"/>
      <c r="M624" s="1"/>
      <c r="N624" s="1"/>
      <c r="O624" s="1"/>
      <c r="P624" s="1"/>
      <c r="Q624" s="1"/>
      <c r="R624" s="1"/>
      <c r="S624" s="1"/>
      <c r="T624" s="1"/>
    </row>
    <row r="625" ht="15.75" customHeight="1">
      <c r="A625" s="36"/>
      <c r="B625" s="37"/>
      <c r="C625" s="37"/>
      <c r="D625" s="37"/>
      <c r="E625" s="37"/>
      <c r="F625" s="37"/>
      <c r="G625" s="1"/>
      <c r="H625" s="1"/>
      <c r="I625" s="1"/>
      <c r="J625" s="1"/>
      <c r="K625" s="1"/>
      <c r="L625" s="1"/>
      <c r="M625" s="1"/>
      <c r="N625" s="1"/>
      <c r="O625" s="1"/>
      <c r="P625" s="1"/>
      <c r="Q625" s="1"/>
      <c r="R625" s="1"/>
      <c r="S625" s="1"/>
      <c r="T625" s="1"/>
    </row>
    <row r="626" ht="15.75" customHeight="1">
      <c r="A626" s="36"/>
      <c r="B626" s="37"/>
      <c r="C626" s="37"/>
      <c r="D626" s="37"/>
      <c r="E626" s="37"/>
      <c r="F626" s="37"/>
      <c r="G626" s="1"/>
      <c r="H626" s="1"/>
      <c r="I626" s="1"/>
      <c r="J626" s="1"/>
      <c r="K626" s="1"/>
      <c r="L626" s="1"/>
      <c r="M626" s="1"/>
      <c r="N626" s="1"/>
      <c r="O626" s="1"/>
      <c r="P626" s="1"/>
      <c r="Q626" s="1"/>
      <c r="R626" s="1"/>
      <c r="S626" s="1"/>
      <c r="T626" s="1"/>
    </row>
    <row r="627" ht="15.75" customHeight="1">
      <c r="A627" s="36"/>
      <c r="B627" s="37"/>
      <c r="C627" s="37"/>
      <c r="D627" s="37"/>
      <c r="E627" s="37"/>
      <c r="F627" s="37"/>
      <c r="G627" s="1"/>
      <c r="H627" s="1"/>
      <c r="I627" s="1"/>
      <c r="J627" s="1"/>
      <c r="K627" s="1"/>
      <c r="L627" s="1"/>
      <c r="M627" s="1"/>
      <c r="N627" s="1"/>
      <c r="O627" s="1"/>
      <c r="P627" s="1"/>
      <c r="Q627" s="1"/>
      <c r="R627" s="1"/>
      <c r="S627" s="1"/>
      <c r="T627" s="1"/>
    </row>
    <row r="628" ht="15.75" customHeight="1">
      <c r="A628" s="36"/>
      <c r="B628" s="37"/>
      <c r="C628" s="37"/>
      <c r="D628" s="37"/>
      <c r="E628" s="37"/>
      <c r="F628" s="37"/>
      <c r="G628" s="1"/>
      <c r="H628" s="1"/>
      <c r="I628" s="1"/>
      <c r="J628" s="1"/>
      <c r="K628" s="1"/>
      <c r="L628" s="1"/>
      <c r="M628" s="1"/>
      <c r="N628" s="1"/>
      <c r="O628" s="1"/>
      <c r="P628" s="1"/>
      <c r="Q628" s="1"/>
      <c r="R628" s="1"/>
      <c r="S628" s="1"/>
      <c r="T628" s="1"/>
    </row>
    <row r="629" ht="15.75" customHeight="1">
      <c r="A629" s="36"/>
      <c r="B629" s="37"/>
      <c r="C629" s="37"/>
      <c r="D629" s="37"/>
      <c r="E629" s="37"/>
      <c r="F629" s="37"/>
      <c r="G629" s="1"/>
      <c r="H629" s="1"/>
      <c r="I629" s="1"/>
      <c r="J629" s="1"/>
      <c r="K629" s="1"/>
      <c r="L629" s="1"/>
      <c r="M629" s="1"/>
      <c r="N629" s="1"/>
      <c r="O629" s="1"/>
      <c r="P629" s="1"/>
      <c r="Q629" s="1"/>
      <c r="R629" s="1"/>
      <c r="S629" s="1"/>
      <c r="T629" s="1"/>
    </row>
    <row r="630" ht="15.75" customHeight="1">
      <c r="A630" s="36"/>
      <c r="B630" s="37"/>
      <c r="C630" s="37"/>
      <c r="D630" s="37"/>
      <c r="E630" s="37"/>
      <c r="F630" s="37"/>
      <c r="G630" s="1"/>
      <c r="H630" s="1"/>
      <c r="I630" s="1"/>
      <c r="J630" s="1"/>
      <c r="K630" s="1"/>
      <c r="L630" s="1"/>
      <c r="M630" s="1"/>
      <c r="N630" s="1"/>
      <c r="O630" s="1"/>
      <c r="P630" s="1"/>
      <c r="Q630" s="1"/>
      <c r="R630" s="1"/>
      <c r="S630" s="1"/>
      <c r="T630" s="1"/>
    </row>
    <row r="631" ht="15.75" customHeight="1">
      <c r="A631" s="36"/>
      <c r="B631" s="37"/>
      <c r="C631" s="37"/>
      <c r="D631" s="37"/>
      <c r="E631" s="37"/>
      <c r="F631" s="37"/>
      <c r="G631" s="1"/>
      <c r="H631" s="1"/>
      <c r="I631" s="1"/>
      <c r="J631" s="1"/>
      <c r="K631" s="1"/>
      <c r="L631" s="1"/>
      <c r="M631" s="1"/>
      <c r="N631" s="1"/>
      <c r="O631" s="1"/>
      <c r="P631" s="1"/>
      <c r="Q631" s="1"/>
      <c r="R631" s="1"/>
      <c r="S631" s="1"/>
      <c r="T631" s="1"/>
    </row>
    <row r="632" ht="15.75" customHeight="1">
      <c r="A632" s="36"/>
      <c r="B632" s="37"/>
      <c r="C632" s="37"/>
      <c r="D632" s="37"/>
      <c r="E632" s="37"/>
      <c r="F632" s="37"/>
      <c r="G632" s="1"/>
      <c r="H632" s="1"/>
      <c r="I632" s="1"/>
      <c r="J632" s="1"/>
      <c r="K632" s="1"/>
      <c r="L632" s="1"/>
      <c r="M632" s="1"/>
      <c r="N632" s="1"/>
      <c r="O632" s="1"/>
      <c r="P632" s="1"/>
      <c r="Q632" s="1"/>
      <c r="R632" s="1"/>
      <c r="S632" s="1"/>
      <c r="T632" s="1"/>
    </row>
    <row r="633" ht="15.75" customHeight="1">
      <c r="A633" s="36"/>
      <c r="B633" s="37"/>
      <c r="C633" s="37"/>
      <c r="D633" s="37"/>
      <c r="E633" s="37"/>
      <c r="F633" s="37"/>
      <c r="G633" s="1"/>
      <c r="H633" s="1"/>
      <c r="I633" s="1"/>
      <c r="J633" s="1"/>
      <c r="K633" s="1"/>
      <c r="L633" s="1"/>
      <c r="M633" s="1"/>
      <c r="N633" s="1"/>
      <c r="O633" s="1"/>
      <c r="P633" s="1"/>
      <c r="Q633" s="1"/>
      <c r="R633" s="1"/>
      <c r="S633" s="1"/>
      <c r="T633" s="1"/>
    </row>
    <row r="634" ht="15.75" customHeight="1">
      <c r="A634" s="36"/>
      <c r="B634" s="37"/>
      <c r="C634" s="37"/>
      <c r="D634" s="37"/>
      <c r="E634" s="37"/>
      <c r="F634" s="37"/>
      <c r="G634" s="1"/>
      <c r="H634" s="1"/>
      <c r="I634" s="1"/>
      <c r="J634" s="1"/>
      <c r="K634" s="1"/>
      <c r="L634" s="1"/>
      <c r="M634" s="1"/>
      <c r="N634" s="1"/>
      <c r="O634" s="1"/>
      <c r="P634" s="1"/>
      <c r="Q634" s="1"/>
      <c r="R634" s="1"/>
      <c r="S634" s="1"/>
      <c r="T634" s="1"/>
    </row>
    <row r="635" ht="15.75" customHeight="1">
      <c r="A635" s="36"/>
      <c r="B635" s="37"/>
      <c r="C635" s="37"/>
      <c r="D635" s="37"/>
      <c r="E635" s="37"/>
      <c r="F635" s="37"/>
      <c r="G635" s="1"/>
      <c r="H635" s="1"/>
      <c r="I635" s="1"/>
      <c r="J635" s="1"/>
      <c r="K635" s="1"/>
      <c r="L635" s="1"/>
      <c r="M635" s="1"/>
      <c r="N635" s="1"/>
      <c r="O635" s="1"/>
      <c r="P635" s="1"/>
      <c r="Q635" s="1"/>
      <c r="R635" s="1"/>
      <c r="S635" s="1"/>
      <c r="T635" s="1"/>
    </row>
    <row r="636" ht="15.75" customHeight="1">
      <c r="A636" s="36"/>
      <c r="B636" s="37"/>
      <c r="C636" s="37"/>
      <c r="D636" s="37"/>
      <c r="E636" s="37"/>
      <c r="F636" s="37"/>
      <c r="G636" s="1"/>
      <c r="H636" s="1"/>
      <c r="I636" s="1"/>
      <c r="J636" s="1"/>
      <c r="K636" s="1"/>
      <c r="L636" s="1"/>
      <c r="M636" s="1"/>
      <c r="N636" s="1"/>
      <c r="O636" s="1"/>
      <c r="P636" s="1"/>
      <c r="Q636" s="1"/>
      <c r="R636" s="1"/>
      <c r="S636" s="1"/>
      <c r="T636" s="1"/>
    </row>
    <row r="637" ht="15.75" customHeight="1">
      <c r="A637" s="36"/>
      <c r="B637" s="37"/>
      <c r="C637" s="37"/>
      <c r="D637" s="37"/>
      <c r="E637" s="37"/>
      <c r="F637" s="37"/>
      <c r="G637" s="1"/>
      <c r="H637" s="1"/>
      <c r="I637" s="1"/>
      <c r="J637" s="1"/>
      <c r="K637" s="1"/>
      <c r="L637" s="1"/>
      <c r="M637" s="1"/>
      <c r="N637" s="1"/>
      <c r="O637" s="1"/>
      <c r="P637" s="1"/>
      <c r="Q637" s="1"/>
      <c r="R637" s="1"/>
      <c r="S637" s="1"/>
      <c r="T637" s="1"/>
    </row>
    <row r="638" ht="15.75" customHeight="1">
      <c r="A638" s="36"/>
      <c r="B638" s="37"/>
      <c r="C638" s="37"/>
      <c r="D638" s="37"/>
      <c r="E638" s="37"/>
      <c r="F638" s="37"/>
      <c r="G638" s="1"/>
      <c r="H638" s="1"/>
      <c r="I638" s="1"/>
      <c r="J638" s="1"/>
      <c r="K638" s="1"/>
      <c r="L638" s="1"/>
      <c r="M638" s="1"/>
      <c r="N638" s="1"/>
      <c r="O638" s="1"/>
      <c r="P638" s="1"/>
      <c r="Q638" s="1"/>
      <c r="R638" s="1"/>
      <c r="S638" s="1"/>
      <c r="T638" s="1"/>
    </row>
    <row r="639" ht="15.75" customHeight="1">
      <c r="A639" s="36"/>
      <c r="B639" s="37"/>
      <c r="C639" s="37"/>
      <c r="D639" s="37"/>
      <c r="E639" s="37"/>
      <c r="F639" s="37"/>
      <c r="G639" s="1"/>
      <c r="H639" s="1"/>
      <c r="I639" s="1"/>
      <c r="J639" s="1"/>
      <c r="K639" s="1"/>
      <c r="L639" s="1"/>
      <c r="M639" s="1"/>
      <c r="N639" s="1"/>
      <c r="O639" s="1"/>
      <c r="P639" s="1"/>
      <c r="Q639" s="1"/>
      <c r="R639" s="1"/>
      <c r="S639" s="1"/>
      <c r="T639" s="1"/>
    </row>
    <row r="640" ht="15.75" customHeight="1">
      <c r="A640" s="36"/>
      <c r="B640" s="37"/>
      <c r="C640" s="37"/>
      <c r="D640" s="37"/>
      <c r="E640" s="37"/>
      <c r="F640" s="37"/>
      <c r="G640" s="1"/>
      <c r="H640" s="1"/>
      <c r="I640" s="1"/>
      <c r="J640" s="1"/>
      <c r="K640" s="1"/>
      <c r="L640" s="1"/>
      <c r="M640" s="1"/>
      <c r="N640" s="1"/>
      <c r="O640" s="1"/>
      <c r="P640" s="1"/>
      <c r="Q640" s="1"/>
      <c r="R640" s="1"/>
      <c r="S640" s="1"/>
      <c r="T640" s="1"/>
    </row>
    <row r="641" ht="15.75" customHeight="1">
      <c r="A641" s="36"/>
      <c r="B641" s="37"/>
      <c r="C641" s="37"/>
      <c r="D641" s="37"/>
      <c r="E641" s="37"/>
      <c r="F641" s="37"/>
      <c r="G641" s="1"/>
      <c r="H641" s="1"/>
      <c r="I641" s="1"/>
      <c r="J641" s="1"/>
      <c r="K641" s="1"/>
      <c r="L641" s="1"/>
      <c r="M641" s="1"/>
      <c r="N641" s="1"/>
      <c r="O641" s="1"/>
      <c r="P641" s="1"/>
      <c r="Q641" s="1"/>
      <c r="R641" s="1"/>
      <c r="S641" s="1"/>
      <c r="T641" s="1"/>
    </row>
    <row r="642" ht="15.75" customHeight="1">
      <c r="A642" s="36"/>
      <c r="B642" s="37"/>
      <c r="C642" s="37"/>
      <c r="D642" s="37"/>
      <c r="E642" s="37"/>
      <c r="F642" s="37"/>
      <c r="G642" s="1"/>
      <c r="H642" s="1"/>
      <c r="I642" s="1"/>
      <c r="J642" s="1"/>
      <c r="K642" s="1"/>
      <c r="L642" s="1"/>
      <c r="M642" s="1"/>
      <c r="N642" s="1"/>
      <c r="O642" s="1"/>
      <c r="P642" s="1"/>
      <c r="Q642" s="1"/>
      <c r="R642" s="1"/>
      <c r="S642" s="1"/>
      <c r="T642" s="1"/>
    </row>
    <row r="643" ht="15.75" customHeight="1">
      <c r="A643" s="36"/>
      <c r="B643" s="37"/>
      <c r="C643" s="37"/>
      <c r="D643" s="37"/>
      <c r="E643" s="37"/>
      <c r="F643" s="37"/>
      <c r="G643" s="1"/>
      <c r="H643" s="1"/>
      <c r="I643" s="1"/>
      <c r="J643" s="1"/>
      <c r="K643" s="1"/>
      <c r="L643" s="1"/>
      <c r="M643" s="1"/>
      <c r="N643" s="1"/>
      <c r="O643" s="1"/>
      <c r="P643" s="1"/>
      <c r="Q643" s="1"/>
      <c r="R643" s="1"/>
      <c r="S643" s="1"/>
      <c r="T643" s="1"/>
    </row>
    <row r="644" ht="15.75" customHeight="1">
      <c r="A644" s="36"/>
      <c r="B644" s="37"/>
      <c r="C644" s="37"/>
      <c r="D644" s="37"/>
      <c r="E644" s="37"/>
      <c r="F644" s="37"/>
      <c r="G644" s="1"/>
      <c r="H644" s="1"/>
      <c r="I644" s="1"/>
      <c r="J644" s="1"/>
      <c r="K644" s="1"/>
      <c r="L644" s="1"/>
      <c r="M644" s="1"/>
      <c r="N644" s="1"/>
      <c r="O644" s="1"/>
      <c r="P644" s="1"/>
      <c r="Q644" s="1"/>
      <c r="R644" s="1"/>
      <c r="S644" s="1"/>
      <c r="T644" s="1"/>
    </row>
    <row r="645" ht="15.75" customHeight="1">
      <c r="A645" s="36"/>
      <c r="B645" s="37"/>
      <c r="C645" s="37"/>
      <c r="D645" s="37"/>
      <c r="E645" s="37"/>
      <c r="F645" s="37"/>
      <c r="G645" s="1"/>
      <c r="H645" s="1"/>
      <c r="I645" s="1"/>
      <c r="J645" s="1"/>
      <c r="K645" s="1"/>
      <c r="L645" s="1"/>
      <c r="M645" s="1"/>
      <c r="N645" s="1"/>
      <c r="O645" s="1"/>
      <c r="P645" s="1"/>
      <c r="Q645" s="1"/>
      <c r="R645" s="1"/>
      <c r="S645" s="1"/>
      <c r="T645" s="1"/>
    </row>
    <row r="646" ht="15.75" customHeight="1">
      <c r="A646" s="36"/>
      <c r="B646" s="37"/>
      <c r="C646" s="37"/>
      <c r="D646" s="37"/>
      <c r="E646" s="37"/>
      <c r="F646" s="37"/>
      <c r="G646" s="1"/>
      <c r="H646" s="1"/>
      <c r="I646" s="1"/>
      <c r="J646" s="1"/>
      <c r="K646" s="1"/>
      <c r="L646" s="1"/>
      <c r="M646" s="1"/>
      <c r="N646" s="1"/>
      <c r="O646" s="1"/>
      <c r="P646" s="1"/>
      <c r="Q646" s="1"/>
      <c r="R646" s="1"/>
      <c r="S646" s="1"/>
      <c r="T646" s="1"/>
    </row>
    <row r="647" ht="15.75" customHeight="1">
      <c r="A647" s="36"/>
      <c r="B647" s="37"/>
      <c r="C647" s="37"/>
      <c r="D647" s="37"/>
      <c r="E647" s="37"/>
      <c r="F647" s="37"/>
      <c r="G647" s="1"/>
      <c r="H647" s="1"/>
      <c r="I647" s="1"/>
      <c r="J647" s="1"/>
      <c r="K647" s="1"/>
      <c r="L647" s="1"/>
      <c r="M647" s="1"/>
      <c r="N647" s="1"/>
      <c r="O647" s="1"/>
      <c r="P647" s="1"/>
      <c r="Q647" s="1"/>
      <c r="R647" s="1"/>
      <c r="S647" s="1"/>
      <c r="T647" s="1"/>
    </row>
    <row r="648" ht="15.75" customHeight="1">
      <c r="A648" s="36"/>
      <c r="B648" s="37"/>
      <c r="C648" s="37"/>
      <c r="D648" s="37"/>
      <c r="E648" s="37"/>
      <c r="F648" s="37"/>
      <c r="G648" s="1"/>
      <c r="H648" s="1"/>
      <c r="I648" s="1"/>
      <c r="J648" s="1"/>
      <c r="K648" s="1"/>
      <c r="L648" s="1"/>
      <c r="M648" s="1"/>
      <c r="N648" s="1"/>
      <c r="O648" s="1"/>
      <c r="P648" s="1"/>
      <c r="Q648" s="1"/>
      <c r="R648" s="1"/>
      <c r="S648" s="1"/>
      <c r="T648" s="1"/>
    </row>
    <row r="649" ht="15.75" customHeight="1">
      <c r="A649" s="36"/>
      <c r="B649" s="37"/>
      <c r="C649" s="37"/>
      <c r="D649" s="37"/>
      <c r="E649" s="37"/>
      <c r="F649" s="37"/>
      <c r="G649" s="1"/>
      <c r="H649" s="1"/>
      <c r="I649" s="1"/>
      <c r="J649" s="1"/>
      <c r="K649" s="1"/>
      <c r="L649" s="1"/>
      <c r="M649" s="1"/>
      <c r="N649" s="1"/>
      <c r="O649" s="1"/>
      <c r="P649" s="1"/>
      <c r="Q649" s="1"/>
      <c r="R649" s="1"/>
      <c r="S649" s="1"/>
      <c r="T649" s="1"/>
    </row>
    <row r="650" ht="15.75" customHeight="1">
      <c r="A650" s="36"/>
      <c r="B650" s="37"/>
      <c r="C650" s="37"/>
      <c r="D650" s="37"/>
      <c r="E650" s="37"/>
      <c r="F650" s="37"/>
      <c r="G650" s="1"/>
      <c r="H650" s="1"/>
      <c r="I650" s="1"/>
      <c r="J650" s="1"/>
      <c r="K650" s="1"/>
      <c r="L650" s="1"/>
      <c r="M650" s="1"/>
      <c r="N650" s="1"/>
      <c r="O650" s="1"/>
      <c r="P650" s="1"/>
      <c r="Q650" s="1"/>
      <c r="R650" s="1"/>
      <c r="S650" s="1"/>
      <c r="T650" s="1"/>
    </row>
    <row r="651" ht="15.75" customHeight="1">
      <c r="A651" s="36"/>
      <c r="B651" s="37"/>
      <c r="C651" s="37"/>
      <c r="D651" s="37"/>
      <c r="E651" s="37"/>
      <c r="F651" s="37"/>
      <c r="G651" s="1"/>
      <c r="H651" s="1"/>
      <c r="I651" s="1"/>
      <c r="J651" s="1"/>
      <c r="K651" s="1"/>
      <c r="L651" s="1"/>
      <c r="M651" s="1"/>
      <c r="N651" s="1"/>
      <c r="O651" s="1"/>
      <c r="P651" s="1"/>
      <c r="Q651" s="1"/>
      <c r="R651" s="1"/>
      <c r="S651" s="1"/>
      <c r="T651" s="1"/>
    </row>
    <row r="652" ht="15.75" customHeight="1">
      <c r="A652" s="36"/>
      <c r="B652" s="37"/>
      <c r="C652" s="37"/>
      <c r="D652" s="37"/>
      <c r="E652" s="37"/>
      <c r="F652" s="37"/>
      <c r="G652" s="1"/>
      <c r="H652" s="1"/>
      <c r="I652" s="1"/>
      <c r="J652" s="1"/>
      <c r="K652" s="1"/>
      <c r="L652" s="1"/>
      <c r="M652" s="1"/>
      <c r="N652" s="1"/>
      <c r="O652" s="1"/>
      <c r="P652" s="1"/>
      <c r="Q652" s="1"/>
      <c r="R652" s="1"/>
      <c r="S652" s="1"/>
      <c r="T652" s="1"/>
    </row>
    <row r="653" ht="15.75" customHeight="1">
      <c r="A653" s="36"/>
      <c r="B653" s="37"/>
      <c r="C653" s="37"/>
      <c r="D653" s="37"/>
      <c r="E653" s="37"/>
      <c r="F653" s="37"/>
      <c r="G653" s="1"/>
      <c r="H653" s="1"/>
      <c r="I653" s="1"/>
      <c r="J653" s="1"/>
      <c r="K653" s="1"/>
      <c r="L653" s="1"/>
      <c r="M653" s="1"/>
      <c r="N653" s="1"/>
      <c r="O653" s="1"/>
      <c r="P653" s="1"/>
      <c r="Q653" s="1"/>
      <c r="R653" s="1"/>
      <c r="S653" s="1"/>
      <c r="T653" s="1"/>
    </row>
    <row r="654" ht="15.75" customHeight="1">
      <c r="A654" s="36"/>
      <c r="B654" s="37"/>
      <c r="C654" s="37"/>
      <c r="D654" s="37"/>
      <c r="E654" s="37"/>
      <c r="F654" s="37"/>
      <c r="G654" s="1"/>
      <c r="H654" s="1"/>
      <c r="I654" s="1"/>
      <c r="J654" s="1"/>
      <c r="K654" s="1"/>
      <c r="L654" s="1"/>
      <c r="M654" s="1"/>
      <c r="N654" s="1"/>
      <c r="O654" s="1"/>
      <c r="P654" s="1"/>
      <c r="Q654" s="1"/>
      <c r="R654" s="1"/>
      <c r="S654" s="1"/>
      <c r="T654" s="1"/>
    </row>
    <row r="655" ht="15.75" customHeight="1">
      <c r="A655" s="36"/>
      <c r="B655" s="37"/>
      <c r="C655" s="37"/>
      <c r="D655" s="37"/>
      <c r="E655" s="37"/>
      <c r="F655" s="37"/>
      <c r="G655" s="1"/>
      <c r="H655" s="1"/>
      <c r="I655" s="1"/>
      <c r="J655" s="1"/>
      <c r="K655" s="1"/>
      <c r="L655" s="1"/>
      <c r="M655" s="1"/>
      <c r="N655" s="1"/>
      <c r="O655" s="1"/>
      <c r="P655" s="1"/>
      <c r="Q655" s="1"/>
      <c r="R655" s="1"/>
      <c r="S655" s="1"/>
      <c r="T655" s="1"/>
    </row>
    <row r="656" ht="15.75" customHeight="1">
      <c r="A656" s="36"/>
      <c r="B656" s="37"/>
      <c r="C656" s="37"/>
      <c r="D656" s="37"/>
      <c r="E656" s="37"/>
      <c r="F656" s="37"/>
      <c r="G656" s="1"/>
      <c r="H656" s="1"/>
      <c r="I656" s="1"/>
      <c r="J656" s="1"/>
      <c r="K656" s="1"/>
      <c r="L656" s="1"/>
      <c r="M656" s="1"/>
      <c r="N656" s="1"/>
      <c r="O656" s="1"/>
      <c r="P656" s="1"/>
      <c r="Q656" s="1"/>
      <c r="R656" s="1"/>
      <c r="S656" s="1"/>
      <c r="T656" s="1"/>
    </row>
    <row r="657" ht="15.75" customHeight="1">
      <c r="A657" s="36"/>
      <c r="B657" s="37"/>
      <c r="C657" s="37"/>
      <c r="D657" s="37"/>
      <c r="E657" s="37"/>
      <c r="F657" s="37"/>
      <c r="G657" s="1"/>
      <c r="H657" s="1"/>
      <c r="I657" s="1"/>
      <c r="J657" s="1"/>
      <c r="K657" s="1"/>
      <c r="L657" s="1"/>
      <c r="M657" s="1"/>
      <c r="N657" s="1"/>
      <c r="O657" s="1"/>
      <c r="P657" s="1"/>
      <c r="Q657" s="1"/>
      <c r="R657" s="1"/>
      <c r="S657" s="1"/>
      <c r="T657" s="1"/>
    </row>
    <row r="658" ht="15.75" customHeight="1">
      <c r="A658" s="36"/>
      <c r="B658" s="37"/>
      <c r="C658" s="37"/>
      <c r="D658" s="37"/>
      <c r="E658" s="37"/>
      <c r="F658" s="37"/>
      <c r="G658" s="1"/>
      <c r="H658" s="1"/>
      <c r="I658" s="1"/>
      <c r="J658" s="1"/>
      <c r="K658" s="1"/>
      <c r="L658" s="1"/>
      <c r="M658" s="1"/>
      <c r="N658" s="1"/>
      <c r="O658" s="1"/>
      <c r="P658" s="1"/>
      <c r="Q658" s="1"/>
      <c r="R658" s="1"/>
      <c r="S658" s="1"/>
      <c r="T658" s="1"/>
    </row>
    <row r="659" ht="15.75" customHeight="1">
      <c r="A659" s="36"/>
      <c r="B659" s="37"/>
      <c r="C659" s="37"/>
      <c r="D659" s="37"/>
      <c r="E659" s="37"/>
      <c r="F659" s="37"/>
      <c r="G659" s="1"/>
      <c r="H659" s="1"/>
      <c r="I659" s="1"/>
      <c r="J659" s="1"/>
      <c r="K659" s="1"/>
      <c r="L659" s="1"/>
      <c r="M659" s="1"/>
      <c r="N659" s="1"/>
      <c r="O659" s="1"/>
      <c r="P659" s="1"/>
      <c r="Q659" s="1"/>
      <c r="R659" s="1"/>
      <c r="S659" s="1"/>
      <c r="T659" s="1"/>
    </row>
    <row r="660" ht="15.75" customHeight="1">
      <c r="A660" s="36"/>
      <c r="B660" s="37"/>
      <c r="C660" s="37"/>
      <c r="D660" s="37"/>
      <c r="E660" s="37"/>
      <c r="F660" s="37"/>
      <c r="G660" s="1"/>
      <c r="H660" s="1"/>
      <c r="I660" s="1"/>
      <c r="J660" s="1"/>
      <c r="K660" s="1"/>
      <c r="L660" s="1"/>
      <c r="M660" s="1"/>
      <c r="N660" s="1"/>
      <c r="O660" s="1"/>
      <c r="P660" s="1"/>
      <c r="Q660" s="1"/>
      <c r="R660" s="1"/>
      <c r="S660" s="1"/>
      <c r="T660" s="1"/>
    </row>
    <row r="661" ht="15.75" customHeight="1">
      <c r="A661" s="36"/>
      <c r="B661" s="37"/>
      <c r="C661" s="37"/>
      <c r="D661" s="37"/>
      <c r="E661" s="37"/>
      <c r="F661" s="37"/>
      <c r="G661" s="1"/>
      <c r="H661" s="1"/>
      <c r="I661" s="1"/>
      <c r="J661" s="1"/>
      <c r="K661" s="1"/>
      <c r="L661" s="1"/>
      <c r="M661" s="1"/>
      <c r="N661" s="1"/>
      <c r="O661" s="1"/>
      <c r="P661" s="1"/>
      <c r="Q661" s="1"/>
      <c r="R661" s="1"/>
      <c r="S661" s="1"/>
      <c r="T661" s="1"/>
    </row>
    <row r="662" ht="15.75" customHeight="1">
      <c r="A662" s="36"/>
      <c r="B662" s="37"/>
      <c r="C662" s="37"/>
      <c r="D662" s="37"/>
      <c r="E662" s="37"/>
      <c r="F662" s="37"/>
      <c r="G662" s="1"/>
      <c r="H662" s="1"/>
      <c r="I662" s="1"/>
      <c r="J662" s="1"/>
      <c r="K662" s="1"/>
      <c r="L662" s="1"/>
      <c r="M662" s="1"/>
      <c r="N662" s="1"/>
      <c r="O662" s="1"/>
      <c r="P662" s="1"/>
      <c r="Q662" s="1"/>
      <c r="R662" s="1"/>
      <c r="S662" s="1"/>
      <c r="T662" s="1"/>
    </row>
    <row r="663" ht="15.75" customHeight="1">
      <c r="A663" s="36"/>
      <c r="B663" s="37"/>
      <c r="C663" s="37"/>
      <c r="D663" s="37"/>
      <c r="E663" s="37"/>
      <c r="F663" s="37"/>
      <c r="G663" s="1"/>
      <c r="H663" s="1"/>
      <c r="I663" s="1"/>
      <c r="J663" s="1"/>
      <c r="K663" s="1"/>
      <c r="L663" s="1"/>
      <c r="M663" s="1"/>
      <c r="N663" s="1"/>
      <c r="O663" s="1"/>
      <c r="P663" s="1"/>
      <c r="Q663" s="1"/>
      <c r="R663" s="1"/>
      <c r="S663" s="1"/>
      <c r="T663" s="1"/>
    </row>
    <row r="664" ht="15.75" customHeight="1">
      <c r="A664" s="36"/>
      <c r="B664" s="37"/>
      <c r="C664" s="37"/>
      <c r="D664" s="37"/>
      <c r="E664" s="37"/>
      <c r="F664" s="37"/>
      <c r="G664" s="1"/>
      <c r="H664" s="1"/>
      <c r="I664" s="1"/>
      <c r="J664" s="1"/>
      <c r="K664" s="1"/>
      <c r="L664" s="1"/>
      <c r="M664" s="1"/>
      <c r="N664" s="1"/>
      <c r="O664" s="1"/>
      <c r="P664" s="1"/>
      <c r="Q664" s="1"/>
      <c r="R664" s="1"/>
      <c r="S664" s="1"/>
      <c r="T664" s="1"/>
    </row>
    <row r="665" ht="15.75" customHeight="1">
      <c r="A665" s="36"/>
      <c r="B665" s="37"/>
      <c r="C665" s="37"/>
      <c r="D665" s="37"/>
      <c r="E665" s="37"/>
      <c r="F665" s="37"/>
      <c r="G665" s="1"/>
      <c r="H665" s="1"/>
      <c r="I665" s="1"/>
      <c r="J665" s="1"/>
      <c r="K665" s="1"/>
      <c r="L665" s="1"/>
      <c r="M665" s="1"/>
      <c r="N665" s="1"/>
      <c r="O665" s="1"/>
      <c r="P665" s="1"/>
      <c r="Q665" s="1"/>
      <c r="R665" s="1"/>
      <c r="S665" s="1"/>
      <c r="T665" s="1"/>
    </row>
    <row r="666" ht="15.75" customHeight="1">
      <c r="A666" s="36"/>
      <c r="B666" s="37"/>
      <c r="C666" s="37"/>
      <c r="D666" s="37"/>
      <c r="E666" s="37"/>
      <c r="F666" s="37"/>
      <c r="G666" s="1"/>
      <c r="H666" s="1"/>
      <c r="I666" s="1"/>
      <c r="J666" s="1"/>
      <c r="K666" s="1"/>
      <c r="L666" s="1"/>
      <c r="M666" s="1"/>
      <c r="N666" s="1"/>
      <c r="O666" s="1"/>
      <c r="P666" s="1"/>
      <c r="Q666" s="1"/>
      <c r="R666" s="1"/>
      <c r="S666" s="1"/>
      <c r="T666" s="1"/>
    </row>
    <row r="667" ht="15.75" customHeight="1">
      <c r="A667" s="36"/>
      <c r="B667" s="37"/>
      <c r="C667" s="37"/>
      <c r="D667" s="37"/>
      <c r="E667" s="37"/>
      <c r="F667" s="37"/>
      <c r="G667" s="1"/>
      <c r="H667" s="1"/>
      <c r="I667" s="1"/>
      <c r="J667" s="1"/>
      <c r="K667" s="1"/>
      <c r="L667" s="1"/>
      <c r="M667" s="1"/>
      <c r="N667" s="1"/>
      <c r="O667" s="1"/>
      <c r="P667" s="1"/>
      <c r="Q667" s="1"/>
      <c r="R667" s="1"/>
      <c r="S667" s="1"/>
      <c r="T667" s="1"/>
    </row>
    <row r="668" ht="15.75" customHeight="1">
      <c r="A668" s="36"/>
      <c r="B668" s="37"/>
      <c r="C668" s="37"/>
      <c r="D668" s="37"/>
      <c r="E668" s="37"/>
      <c r="F668" s="37"/>
      <c r="G668" s="1"/>
      <c r="H668" s="1"/>
      <c r="I668" s="1"/>
      <c r="J668" s="1"/>
      <c r="K668" s="1"/>
      <c r="L668" s="1"/>
      <c r="M668" s="1"/>
      <c r="N668" s="1"/>
      <c r="O668" s="1"/>
      <c r="P668" s="1"/>
      <c r="Q668" s="1"/>
      <c r="R668" s="1"/>
      <c r="S668" s="1"/>
      <c r="T668" s="1"/>
    </row>
    <row r="669" ht="15.75" customHeight="1">
      <c r="A669" s="36"/>
      <c r="B669" s="37"/>
      <c r="C669" s="37"/>
      <c r="D669" s="37"/>
      <c r="E669" s="37"/>
      <c r="F669" s="37"/>
      <c r="G669" s="1"/>
      <c r="H669" s="1"/>
      <c r="I669" s="1"/>
      <c r="J669" s="1"/>
      <c r="K669" s="1"/>
      <c r="L669" s="1"/>
      <c r="M669" s="1"/>
      <c r="N669" s="1"/>
      <c r="O669" s="1"/>
      <c r="P669" s="1"/>
      <c r="Q669" s="1"/>
      <c r="R669" s="1"/>
      <c r="S669" s="1"/>
      <c r="T669" s="1"/>
    </row>
    <row r="670" ht="15.75" customHeight="1">
      <c r="A670" s="36"/>
      <c r="B670" s="37"/>
      <c r="C670" s="37"/>
      <c r="D670" s="37"/>
      <c r="E670" s="37"/>
      <c r="F670" s="37"/>
      <c r="G670" s="1"/>
      <c r="H670" s="1"/>
      <c r="I670" s="1"/>
      <c r="J670" s="1"/>
      <c r="K670" s="1"/>
      <c r="L670" s="1"/>
      <c r="M670" s="1"/>
      <c r="N670" s="1"/>
      <c r="O670" s="1"/>
      <c r="P670" s="1"/>
      <c r="Q670" s="1"/>
      <c r="R670" s="1"/>
      <c r="S670" s="1"/>
      <c r="T670" s="1"/>
    </row>
    <row r="671" ht="15.75" customHeight="1">
      <c r="A671" s="36"/>
      <c r="B671" s="37"/>
      <c r="C671" s="37"/>
      <c r="D671" s="37"/>
      <c r="E671" s="37"/>
      <c r="F671" s="37"/>
      <c r="G671" s="1"/>
      <c r="H671" s="1"/>
      <c r="I671" s="1"/>
      <c r="J671" s="1"/>
      <c r="K671" s="1"/>
      <c r="L671" s="1"/>
      <c r="M671" s="1"/>
      <c r="N671" s="1"/>
      <c r="O671" s="1"/>
      <c r="P671" s="1"/>
      <c r="Q671" s="1"/>
      <c r="R671" s="1"/>
      <c r="S671" s="1"/>
      <c r="T671" s="1"/>
    </row>
    <row r="672" ht="15.75" customHeight="1">
      <c r="A672" s="36"/>
      <c r="B672" s="37"/>
      <c r="C672" s="37"/>
      <c r="D672" s="37"/>
      <c r="E672" s="37"/>
      <c r="F672" s="37"/>
      <c r="G672" s="1"/>
      <c r="H672" s="1"/>
      <c r="I672" s="1"/>
      <c r="J672" s="1"/>
      <c r="K672" s="1"/>
      <c r="L672" s="1"/>
      <c r="M672" s="1"/>
      <c r="N672" s="1"/>
      <c r="O672" s="1"/>
      <c r="P672" s="1"/>
      <c r="Q672" s="1"/>
      <c r="R672" s="1"/>
      <c r="S672" s="1"/>
      <c r="T672" s="1"/>
    </row>
    <row r="673" ht="15.75" customHeight="1">
      <c r="A673" s="36"/>
      <c r="B673" s="37"/>
      <c r="C673" s="37"/>
      <c r="D673" s="37"/>
      <c r="E673" s="37"/>
      <c r="F673" s="37"/>
      <c r="G673" s="1"/>
      <c r="H673" s="1"/>
      <c r="I673" s="1"/>
      <c r="J673" s="1"/>
      <c r="K673" s="1"/>
      <c r="L673" s="1"/>
      <c r="M673" s="1"/>
      <c r="N673" s="1"/>
      <c r="O673" s="1"/>
      <c r="P673" s="1"/>
      <c r="Q673" s="1"/>
      <c r="R673" s="1"/>
      <c r="S673" s="1"/>
      <c r="T673" s="1"/>
    </row>
    <row r="674" ht="15.75" customHeight="1">
      <c r="A674" s="36"/>
      <c r="B674" s="37"/>
      <c r="C674" s="37"/>
      <c r="D674" s="37"/>
      <c r="E674" s="37"/>
      <c r="F674" s="37"/>
      <c r="G674" s="1"/>
      <c r="H674" s="1"/>
      <c r="I674" s="1"/>
      <c r="J674" s="1"/>
      <c r="K674" s="1"/>
      <c r="L674" s="1"/>
      <c r="M674" s="1"/>
      <c r="N674" s="1"/>
      <c r="O674" s="1"/>
      <c r="P674" s="1"/>
      <c r="Q674" s="1"/>
      <c r="R674" s="1"/>
      <c r="S674" s="1"/>
      <c r="T674" s="1"/>
    </row>
    <row r="675" ht="15.75" customHeight="1">
      <c r="A675" s="36"/>
      <c r="B675" s="37"/>
      <c r="C675" s="37"/>
      <c r="D675" s="37"/>
      <c r="E675" s="37"/>
      <c r="F675" s="37"/>
      <c r="G675" s="1"/>
      <c r="H675" s="1"/>
      <c r="I675" s="1"/>
      <c r="J675" s="1"/>
      <c r="K675" s="1"/>
      <c r="L675" s="1"/>
      <c r="M675" s="1"/>
      <c r="N675" s="1"/>
      <c r="O675" s="1"/>
      <c r="P675" s="1"/>
      <c r="Q675" s="1"/>
      <c r="R675" s="1"/>
      <c r="S675" s="1"/>
      <c r="T675" s="1"/>
    </row>
    <row r="676" ht="15.75" customHeight="1">
      <c r="A676" s="36"/>
      <c r="B676" s="37"/>
      <c r="C676" s="37"/>
      <c r="D676" s="37"/>
      <c r="E676" s="37"/>
      <c r="F676" s="37"/>
      <c r="G676" s="1"/>
      <c r="H676" s="1"/>
      <c r="I676" s="1"/>
      <c r="J676" s="1"/>
      <c r="K676" s="1"/>
      <c r="L676" s="1"/>
      <c r="M676" s="1"/>
      <c r="N676" s="1"/>
      <c r="O676" s="1"/>
      <c r="P676" s="1"/>
      <c r="Q676" s="1"/>
      <c r="R676" s="1"/>
      <c r="S676" s="1"/>
      <c r="T676" s="1"/>
    </row>
    <row r="677" ht="15.75" customHeight="1">
      <c r="A677" s="36"/>
      <c r="B677" s="37"/>
      <c r="C677" s="37"/>
      <c r="D677" s="37"/>
      <c r="E677" s="37"/>
      <c r="F677" s="37"/>
      <c r="G677" s="1"/>
      <c r="H677" s="1"/>
      <c r="I677" s="1"/>
      <c r="J677" s="1"/>
      <c r="K677" s="1"/>
      <c r="L677" s="1"/>
      <c r="M677" s="1"/>
      <c r="N677" s="1"/>
      <c r="O677" s="1"/>
      <c r="P677" s="1"/>
      <c r="Q677" s="1"/>
      <c r="R677" s="1"/>
      <c r="S677" s="1"/>
      <c r="T677" s="1"/>
    </row>
    <row r="678" ht="15.75" customHeight="1">
      <c r="A678" s="36"/>
      <c r="B678" s="37"/>
      <c r="C678" s="37"/>
      <c r="D678" s="37"/>
      <c r="E678" s="37"/>
      <c r="F678" s="37"/>
      <c r="G678" s="1"/>
      <c r="H678" s="1"/>
      <c r="I678" s="1"/>
      <c r="J678" s="1"/>
      <c r="K678" s="1"/>
      <c r="L678" s="1"/>
      <c r="M678" s="1"/>
      <c r="N678" s="1"/>
      <c r="O678" s="1"/>
      <c r="P678" s="1"/>
      <c r="Q678" s="1"/>
      <c r="R678" s="1"/>
      <c r="S678" s="1"/>
      <c r="T678" s="1"/>
    </row>
    <row r="679" ht="15.75" customHeight="1">
      <c r="A679" s="36"/>
      <c r="B679" s="37"/>
      <c r="C679" s="37"/>
      <c r="D679" s="37"/>
      <c r="E679" s="37"/>
      <c r="F679" s="37"/>
      <c r="G679" s="1"/>
      <c r="H679" s="1"/>
      <c r="I679" s="1"/>
      <c r="J679" s="1"/>
      <c r="K679" s="1"/>
      <c r="L679" s="1"/>
      <c r="M679" s="1"/>
      <c r="N679" s="1"/>
      <c r="O679" s="1"/>
      <c r="P679" s="1"/>
      <c r="Q679" s="1"/>
      <c r="R679" s="1"/>
      <c r="S679" s="1"/>
      <c r="T679" s="1"/>
    </row>
    <row r="680" ht="15.75" customHeight="1">
      <c r="A680" s="36"/>
      <c r="B680" s="37"/>
      <c r="C680" s="37"/>
      <c r="D680" s="37"/>
      <c r="E680" s="37"/>
      <c r="F680" s="37"/>
      <c r="G680" s="1"/>
      <c r="H680" s="1"/>
      <c r="I680" s="1"/>
      <c r="J680" s="1"/>
      <c r="K680" s="1"/>
      <c r="L680" s="1"/>
      <c r="M680" s="1"/>
      <c r="N680" s="1"/>
      <c r="O680" s="1"/>
      <c r="P680" s="1"/>
      <c r="Q680" s="1"/>
      <c r="R680" s="1"/>
      <c r="S680" s="1"/>
      <c r="T680" s="1"/>
    </row>
    <row r="681" ht="15.75" customHeight="1">
      <c r="A681" s="36"/>
      <c r="B681" s="37"/>
      <c r="C681" s="37"/>
      <c r="D681" s="37"/>
      <c r="E681" s="37"/>
      <c r="F681" s="37"/>
      <c r="G681" s="1"/>
      <c r="H681" s="1"/>
      <c r="I681" s="1"/>
      <c r="J681" s="1"/>
      <c r="K681" s="1"/>
      <c r="L681" s="1"/>
      <c r="M681" s="1"/>
      <c r="N681" s="1"/>
      <c r="O681" s="1"/>
      <c r="P681" s="1"/>
      <c r="Q681" s="1"/>
      <c r="R681" s="1"/>
      <c r="S681" s="1"/>
      <c r="T681" s="1"/>
    </row>
    <row r="682" ht="15.75" customHeight="1">
      <c r="A682" s="36"/>
      <c r="B682" s="37"/>
      <c r="C682" s="37"/>
      <c r="D682" s="37"/>
      <c r="E682" s="37"/>
      <c r="F682" s="37"/>
      <c r="G682" s="1"/>
      <c r="H682" s="1"/>
      <c r="I682" s="1"/>
      <c r="J682" s="1"/>
      <c r="K682" s="1"/>
      <c r="L682" s="1"/>
      <c r="M682" s="1"/>
      <c r="N682" s="1"/>
      <c r="O682" s="1"/>
      <c r="P682" s="1"/>
      <c r="Q682" s="1"/>
      <c r="R682" s="1"/>
      <c r="S682" s="1"/>
      <c r="T682" s="1"/>
    </row>
    <row r="683" ht="15.75" customHeight="1">
      <c r="A683" s="36"/>
      <c r="B683" s="37"/>
      <c r="C683" s="37"/>
      <c r="D683" s="37"/>
      <c r="E683" s="37"/>
      <c r="F683" s="37"/>
      <c r="G683" s="1"/>
      <c r="H683" s="1"/>
      <c r="I683" s="1"/>
      <c r="J683" s="1"/>
      <c r="K683" s="1"/>
      <c r="L683" s="1"/>
      <c r="M683" s="1"/>
      <c r="N683" s="1"/>
      <c r="O683" s="1"/>
      <c r="P683" s="1"/>
      <c r="Q683" s="1"/>
      <c r="R683" s="1"/>
      <c r="S683" s="1"/>
      <c r="T683" s="1"/>
    </row>
    <row r="684" ht="15.75" customHeight="1">
      <c r="A684" s="36"/>
      <c r="B684" s="37"/>
      <c r="C684" s="37"/>
      <c r="D684" s="37"/>
      <c r="E684" s="37"/>
      <c r="F684" s="37"/>
      <c r="G684" s="1"/>
      <c r="H684" s="1"/>
      <c r="I684" s="1"/>
      <c r="J684" s="1"/>
      <c r="K684" s="1"/>
      <c r="L684" s="1"/>
      <c r="M684" s="1"/>
      <c r="N684" s="1"/>
      <c r="O684" s="1"/>
      <c r="P684" s="1"/>
      <c r="Q684" s="1"/>
      <c r="R684" s="1"/>
      <c r="S684" s="1"/>
      <c r="T684" s="1"/>
    </row>
    <row r="685" ht="15.75" customHeight="1">
      <c r="A685" s="36"/>
      <c r="B685" s="37"/>
      <c r="C685" s="37"/>
      <c r="D685" s="37"/>
      <c r="E685" s="37"/>
      <c r="F685" s="37"/>
      <c r="G685" s="1"/>
      <c r="H685" s="1"/>
      <c r="I685" s="1"/>
      <c r="J685" s="1"/>
      <c r="K685" s="1"/>
      <c r="L685" s="1"/>
      <c r="M685" s="1"/>
      <c r="N685" s="1"/>
      <c r="O685" s="1"/>
      <c r="P685" s="1"/>
      <c r="Q685" s="1"/>
      <c r="R685" s="1"/>
      <c r="S685" s="1"/>
      <c r="T685" s="1"/>
    </row>
    <row r="686" ht="15.75" customHeight="1">
      <c r="A686" s="36"/>
      <c r="B686" s="37"/>
      <c r="C686" s="37"/>
      <c r="D686" s="37"/>
      <c r="E686" s="37"/>
      <c r="F686" s="37"/>
      <c r="G686" s="1"/>
      <c r="H686" s="1"/>
      <c r="I686" s="1"/>
      <c r="J686" s="1"/>
      <c r="K686" s="1"/>
      <c r="L686" s="1"/>
      <c r="M686" s="1"/>
      <c r="N686" s="1"/>
      <c r="O686" s="1"/>
      <c r="P686" s="1"/>
      <c r="Q686" s="1"/>
      <c r="R686" s="1"/>
      <c r="S686" s="1"/>
      <c r="T686" s="1"/>
    </row>
    <row r="687" ht="15.75" customHeight="1">
      <c r="A687" s="36"/>
      <c r="B687" s="37"/>
      <c r="C687" s="37"/>
      <c r="D687" s="37"/>
      <c r="E687" s="37"/>
      <c r="F687" s="37"/>
      <c r="G687" s="1"/>
      <c r="H687" s="1"/>
      <c r="I687" s="1"/>
      <c r="J687" s="1"/>
      <c r="K687" s="1"/>
      <c r="L687" s="1"/>
      <c r="M687" s="1"/>
      <c r="N687" s="1"/>
      <c r="O687" s="1"/>
      <c r="P687" s="1"/>
      <c r="Q687" s="1"/>
      <c r="R687" s="1"/>
      <c r="S687" s="1"/>
      <c r="T687" s="1"/>
    </row>
    <row r="688" ht="15.75" customHeight="1">
      <c r="A688" s="36"/>
      <c r="B688" s="37"/>
      <c r="C688" s="37"/>
      <c r="D688" s="37"/>
      <c r="E688" s="37"/>
      <c r="F688" s="37"/>
      <c r="G688" s="1"/>
      <c r="H688" s="1"/>
      <c r="I688" s="1"/>
      <c r="J688" s="1"/>
      <c r="K688" s="1"/>
      <c r="L688" s="1"/>
      <c r="M688" s="1"/>
      <c r="N688" s="1"/>
      <c r="O688" s="1"/>
      <c r="P688" s="1"/>
      <c r="Q688" s="1"/>
      <c r="R688" s="1"/>
      <c r="S688" s="1"/>
      <c r="T688" s="1"/>
    </row>
    <row r="689" ht="15.75" customHeight="1">
      <c r="A689" s="36"/>
      <c r="B689" s="37"/>
      <c r="C689" s="37"/>
      <c r="D689" s="37"/>
      <c r="E689" s="37"/>
      <c r="F689" s="37"/>
      <c r="G689" s="1"/>
      <c r="H689" s="1"/>
      <c r="I689" s="1"/>
      <c r="J689" s="1"/>
      <c r="K689" s="1"/>
      <c r="L689" s="1"/>
      <c r="M689" s="1"/>
      <c r="N689" s="1"/>
      <c r="O689" s="1"/>
      <c r="P689" s="1"/>
      <c r="Q689" s="1"/>
      <c r="R689" s="1"/>
      <c r="S689" s="1"/>
      <c r="T689" s="1"/>
    </row>
    <row r="690" ht="15.75" customHeight="1">
      <c r="A690" s="36"/>
      <c r="B690" s="37"/>
      <c r="C690" s="37"/>
      <c r="D690" s="37"/>
      <c r="E690" s="37"/>
      <c r="F690" s="37"/>
      <c r="G690" s="1"/>
      <c r="H690" s="1"/>
      <c r="I690" s="1"/>
      <c r="J690" s="1"/>
      <c r="K690" s="1"/>
      <c r="L690" s="1"/>
      <c r="M690" s="1"/>
      <c r="N690" s="1"/>
      <c r="O690" s="1"/>
      <c r="P690" s="1"/>
      <c r="Q690" s="1"/>
      <c r="R690" s="1"/>
      <c r="S690" s="1"/>
      <c r="T690" s="1"/>
    </row>
    <row r="691" ht="15.75" customHeight="1">
      <c r="A691" s="36"/>
      <c r="B691" s="37"/>
      <c r="C691" s="37"/>
      <c r="D691" s="37"/>
      <c r="E691" s="37"/>
      <c r="F691" s="37"/>
      <c r="G691" s="1"/>
      <c r="H691" s="1"/>
      <c r="I691" s="1"/>
      <c r="J691" s="1"/>
      <c r="K691" s="1"/>
      <c r="L691" s="1"/>
      <c r="M691" s="1"/>
      <c r="N691" s="1"/>
      <c r="O691" s="1"/>
      <c r="P691" s="1"/>
      <c r="Q691" s="1"/>
      <c r="R691" s="1"/>
      <c r="S691" s="1"/>
      <c r="T691" s="1"/>
    </row>
    <row r="692" ht="15.75" customHeight="1">
      <c r="A692" s="36"/>
      <c r="B692" s="37"/>
      <c r="C692" s="37"/>
      <c r="D692" s="37"/>
      <c r="E692" s="37"/>
      <c r="F692" s="37"/>
      <c r="G692" s="1"/>
      <c r="H692" s="1"/>
      <c r="I692" s="1"/>
      <c r="J692" s="1"/>
      <c r="K692" s="1"/>
      <c r="L692" s="1"/>
      <c r="M692" s="1"/>
      <c r="N692" s="1"/>
      <c r="O692" s="1"/>
      <c r="P692" s="1"/>
      <c r="Q692" s="1"/>
      <c r="R692" s="1"/>
      <c r="S692" s="1"/>
      <c r="T692" s="1"/>
    </row>
    <row r="693" ht="15.75" customHeight="1">
      <c r="A693" s="36"/>
      <c r="B693" s="37"/>
      <c r="C693" s="37"/>
      <c r="D693" s="37"/>
      <c r="E693" s="37"/>
      <c r="F693" s="37"/>
      <c r="G693" s="1"/>
      <c r="H693" s="1"/>
      <c r="I693" s="1"/>
      <c r="J693" s="1"/>
      <c r="K693" s="1"/>
      <c r="L693" s="1"/>
      <c r="M693" s="1"/>
      <c r="N693" s="1"/>
      <c r="O693" s="1"/>
      <c r="P693" s="1"/>
      <c r="Q693" s="1"/>
      <c r="R693" s="1"/>
      <c r="S693" s="1"/>
      <c r="T693" s="1"/>
    </row>
    <row r="694" ht="15.75" customHeight="1">
      <c r="A694" s="36"/>
      <c r="B694" s="37"/>
      <c r="C694" s="37"/>
      <c r="D694" s="37"/>
      <c r="E694" s="37"/>
      <c r="F694" s="37"/>
      <c r="G694" s="1"/>
      <c r="H694" s="1"/>
      <c r="I694" s="1"/>
      <c r="J694" s="1"/>
      <c r="K694" s="1"/>
      <c r="L694" s="1"/>
      <c r="M694" s="1"/>
      <c r="N694" s="1"/>
      <c r="O694" s="1"/>
      <c r="P694" s="1"/>
      <c r="Q694" s="1"/>
      <c r="R694" s="1"/>
      <c r="S694" s="1"/>
      <c r="T694" s="1"/>
    </row>
    <row r="695" ht="15.75" customHeight="1">
      <c r="A695" s="36"/>
      <c r="B695" s="37"/>
      <c r="C695" s="37"/>
      <c r="D695" s="37"/>
      <c r="E695" s="37"/>
      <c r="F695" s="37"/>
      <c r="G695" s="1"/>
      <c r="H695" s="1"/>
      <c r="I695" s="1"/>
      <c r="J695" s="1"/>
      <c r="K695" s="1"/>
      <c r="L695" s="1"/>
      <c r="M695" s="1"/>
      <c r="N695" s="1"/>
      <c r="O695" s="1"/>
      <c r="P695" s="1"/>
      <c r="Q695" s="1"/>
      <c r="R695" s="1"/>
      <c r="S695" s="1"/>
      <c r="T695" s="1"/>
    </row>
    <row r="696" ht="15.75" customHeight="1">
      <c r="A696" s="36"/>
      <c r="B696" s="37"/>
      <c r="C696" s="37"/>
      <c r="D696" s="37"/>
      <c r="E696" s="37"/>
      <c r="F696" s="37"/>
      <c r="G696" s="1"/>
      <c r="H696" s="1"/>
      <c r="I696" s="1"/>
      <c r="J696" s="1"/>
      <c r="K696" s="1"/>
      <c r="L696" s="1"/>
      <c r="M696" s="1"/>
      <c r="N696" s="1"/>
      <c r="O696" s="1"/>
      <c r="P696" s="1"/>
      <c r="Q696" s="1"/>
      <c r="R696" s="1"/>
      <c r="S696" s="1"/>
      <c r="T696" s="1"/>
    </row>
    <row r="697" ht="15.75" customHeight="1">
      <c r="A697" s="36"/>
      <c r="B697" s="37"/>
      <c r="C697" s="37"/>
      <c r="D697" s="37"/>
      <c r="E697" s="37"/>
      <c r="F697" s="37"/>
      <c r="G697" s="1"/>
      <c r="H697" s="1"/>
      <c r="I697" s="1"/>
      <c r="J697" s="1"/>
      <c r="K697" s="1"/>
      <c r="L697" s="1"/>
      <c r="M697" s="1"/>
      <c r="N697" s="1"/>
      <c r="O697" s="1"/>
      <c r="P697" s="1"/>
      <c r="Q697" s="1"/>
      <c r="R697" s="1"/>
      <c r="S697" s="1"/>
      <c r="T697" s="1"/>
    </row>
    <row r="698" ht="15.75" customHeight="1">
      <c r="A698" s="36"/>
      <c r="B698" s="37"/>
      <c r="C698" s="37"/>
      <c r="D698" s="37"/>
      <c r="E698" s="37"/>
      <c r="F698" s="37"/>
      <c r="G698" s="1"/>
      <c r="H698" s="1"/>
      <c r="I698" s="1"/>
      <c r="J698" s="1"/>
      <c r="K698" s="1"/>
      <c r="L698" s="1"/>
      <c r="M698" s="1"/>
      <c r="N698" s="1"/>
      <c r="O698" s="1"/>
      <c r="P698" s="1"/>
      <c r="Q698" s="1"/>
      <c r="R698" s="1"/>
      <c r="S698" s="1"/>
      <c r="T698" s="1"/>
    </row>
    <row r="699" ht="15.75" customHeight="1">
      <c r="A699" s="36"/>
      <c r="B699" s="37"/>
      <c r="C699" s="37"/>
      <c r="D699" s="37"/>
      <c r="E699" s="37"/>
      <c r="F699" s="37"/>
      <c r="G699" s="1"/>
      <c r="H699" s="1"/>
      <c r="I699" s="1"/>
      <c r="J699" s="1"/>
      <c r="K699" s="1"/>
      <c r="L699" s="1"/>
      <c r="M699" s="1"/>
      <c r="N699" s="1"/>
      <c r="O699" s="1"/>
      <c r="P699" s="1"/>
      <c r="Q699" s="1"/>
      <c r="R699" s="1"/>
      <c r="S699" s="1"/>
      <c r="T699" s="1"/>
    </row>
    <row r="700" ht="15.75" customHeight="1">
      <c r="A700" s="36"/>
      <c r="B700" s="37"/>
      <c r="C700" s="37"/>
      <c r="D700" s="37"/>
      <c r="E700" s="37"/>
      <c r="F700" s="37"/>
      <c r="G700" s="1"/>
      <c r="H700" s="1"/>
      <c r="I700" s="1"/>
      <c r="J700" s="1"/>
      <c r="K700" s="1"/>
      <c r="L700" s="1"/>
      <c r="M700" s="1"/>
      <c r="N700" s="1"/>
      <c r="O700" s="1"/>
      <c r="P700" s="1"/>
      <c r="Q700" s="1"/>
      <c r="R700" s="1"/>
      <c r="S700" s="1"/>
      <c r="T700" s="1"/>
    </row>
    <row r="701" ht="15.75" customHeight="1">
      <c r="A701" s="36"/>
      <c r="B701" s="37"/>
      <c r="C701" s="37"/>
      <c r="D701" s="37"/>
      <c r="E701" s="37"/>
      <c r="F701" s="37"/>
      <c r="G701" s="1"/>
      <c r="H701" s="1"/>
      <c r="I701" s="1"/>
      <c r="J701" s="1"/>
      <c r="K701" s="1"/>
      <c r="L701" s="1"/>
      <c r="M701" s="1"/>
      <c r="N701" s="1"/>
      <c r="O701" s="1"/>
      <c r="P701" s="1"/>
      <c r="Q701" s="1"/>
      <c r="R701" s="1"/>
      <c r="S701" s="1"/>
      <c r="T701" s="1"/>
    </row>
    <row r="702" ht="15.75" customHeight="1">
      <c r="A702" s="36"/>
      <c r="B702" s="37"/>
      <c r="C702" s="37"/>
      <c r="D702" s="37"/>
      <c r="E702" s="37"/>
      <c r="F702" s="37"/>
      <c r="G702" s="1"/>
      <c r="H702" s="1"/>
      <c r="I702" s="1"/>
      <c r="J702" s="1"/>
      <c r="K702" s="1"/>
      <c r="L702" s="1"/>
      <c r="M702" s="1"/>
      <c r="N702" s="1"/>
      <c r="O702" s="1"/>
      <c r="P702" s="1"/>
      <c r="Q702" s="1"/>
      <c r="R702" s="1"/>
      <c r="S702" s="1"/>
      <c r="T702" s="1"/>
    </row>
    <row r="703" ht="15.75" customHeight="1">
      <c r="A703" s="36"/>
      <c r="B703" s="37"/>
      <c r="C703" s="37"/>
      <c r="D703" s="37"/>
      <c r="E703" s="37"/>
      <c r="F703" s="37"/>
      <c r="G703" s="1"/>
      <c r="H703" s="1"/>
      <c r="I703" s="1"/>
      <c r="J703" s="1"/>
      <c r="K703" s="1"/>
      <c r="L703" s="1"/>
      <c r="M703" s="1"/>
      <c r="N703" s="1"/>
      <c r="O703" s="1"/>
      <c r="P703" s="1"/>
      <c r="Q703" s="1"/>
      <c r="R703" s="1"/>
      <c r="S703" s="1"/>
      <c r="T703" s="1"/>
    </row>
    <row r="704" ht="15.75" customHeight="1">
      <c r="A704" s="36"/>
      <c r="B704" s="37"/>
      <c r="C704" s="37"/>
      <c r="D704" s="37"/>
      <c r="E704" s="37"/>
      <c r="F704" s="37"/>
      <c r="G704" s="1"/>
      <c r="H704" s="1"/>
      <c r="I704" s="1"/>
      <c r="J704" s="1"/>
      <c r="K704" s="1"/>
      <c r="L704" s="1"/>
      <c r="M704" s="1"/>
      <c r="N704" s="1"/>
      <c r="O704" s="1"/>
      <c r="P704" s="1"/>
      <c r="Q704" s="1"/>
      <c r="R704" s="1"/>
      <c r="S704" s="1"/>
      <c r="T704" s="1"/>
    </row>
    <row r="705" ht="15.75" customHeight="1">
      <c r="A705" s="36"/>
      <c r="B705" s="37"/>
      <c r="C705" s="37"/>
      <c r="D705" s="37"/>
      <c r="E705" s="37"/>
      <c r="F705" s="37"/>
      <c r="G705" s="1"/>
      <c r="H705" s="1"/>
      <c r="I705" s="1"/>
      <c r="J705" s="1"/>
      <c r="K705" s="1"/>
      <c r="L705" s="1"/>
      <c r="M705" s="1"/>
      <c r="N705" s="1"/>
      <c r="O705" s="1"/>
      <c r="P705" s="1"/>
      <c r="Q705" s="1"/>
      <c r="R705" s="1"/>
      <c r="S705" s="1"/>
      <c r="T705" s="1"/>
    </row>
    <row r="706" ht="15.75" customHeight="1">
      <c r="A706" s="36"/>
      <c r="B706" s="37"/>
      <c r="C706" s="37"/>
      <c r="D706" s="37"/>
      <c r="E706" s="37"/>
      <c r="F706" s="37"/>
      <c r="G706" s="1"/>
      <c r="H706" s="1"/>
      <c r="I706" s="1"/>
      <c r="J706" s="1"/>
      <c r="K706" s="1"/>
      <c r="L706" s="1"/>
      <c r="M706" s="1"/>
      <c r="N706" s="1"/>
      <c r="O706" s="1"/>
      <c r="P706" s="1"/>
      <c r="Q706" s="1"/>
      <c r="R706" s="1"/>
      <c r="S706" s="1"/>
      <c r="T706" s="1"/>
    </row>
    <row r="707" ht="15.75" customHeight="1">
      <c r="A707" s="36"/>
      <c r="B707" s="37"/>
      <c r="C707" s="37"/>
      <c r="D707" s="37"/>
      <c r="E707" s="37"/>
      <c r="F707" s="37"/>
      <c r="G707" s="1"/>
      <c r="H707" s="1"/>
      <c r="I707" s="1"/>
      <c r="J707" s="1"/>
      <c r="K707" s="1"/>
      <c r="L707" s="1"/>
      <c r="M707" s="1"/>
      <c r="N707" s="1"/>
      <c r="O707" s="1"/>
      <c r="P707" s="1"/>
      <c r="Q707" s="1"/>
      <c r="R707" s="1"/>
      <c r="S707" s="1"/>
      <c r="T707" s="1"/>
    </row>
    <row r="708" ht="15.75" customHeight="1">
      <c r="A708" s="36"/>
      <c r="B708" s="37"/>
      <c r="C708" s="37"/>
      <c r="D708" s="37"/>
      <c r="E708" s="37"/>
      <c r="F708" s="37"/>
      <c r="G708" s="1"/>
      <c r="H708" s="1"/>
      <c r="I708" s="1"/>
      <c r="J708" s="1"/>
      <c r="K708" s="1"/>
      <c r="L708" s="1"/>
      <c r="M708" s="1"/>
      <c r="N708" s="1"/>
      <c r="O708" s="1"/>
      <c r="P708" s="1"/>
      <c r="Q708" s="1"/>
      <c r="R708" s="1"/>
      <c r="S708" s="1"/>
      <c r="T708" s="1"/>
    </row>
    <row r="709" ht="15.75" customHeight="1">
      <c r="A709" s="36"/>
      <c r="B709" s="37"/>
      <c r="C709" s="37"/>
      <c r="D709" s="37"/>
      <c r="E709" s="37"/>
      <c r="F709" s="37"/>
      <c r="G709" s="1"/>
      <c r="H709" s="1"/>
      <c r="I709" s="1"/>
      <c r="J709" s="1"/>
      <c r="K709" s="1"/>
      <c r="L709" s="1"/>
      <c r="M709" s="1"/>
      <c r="N709" s="1"/>
      <c r="O709" s="1"/>
      <c r="P709" s="1"/>
      <c r="Q709" s="1"/>
      <c r="R709" s="1"/>
      <c r="S709" s="1"/>
      <c r="T709" s="1"/>
    </row>
    <row r="710" ht="15.75" customHeight="1">
      <c r="A710" s="36"/>
      <c r="B710" s="37"/>
      <c r="C710" s="37"/>
      <c r="D710" s="37"/>
      <c r="E710" s="37"/>
      <c r="F710" s="37"/>
      <c r="G710" s="1"/>
      <c r="H710" s="1"/>
      <c r="I710" s="1"/>
      <c r="J710" s="1"/>
      <c r="K710" s="1"/>
      <c r="L710" s="1"/>
      <c r="M710" s="1"/>
      <c r="N710" s="1"/>
      <c r="O710" s="1"/>
      <c r="P710" s="1"/>
      <c r="Q710" s="1"/>
      <c r="R710" s="1"/>
      <c r="S710" s="1"/>
      <c r="T710" s="1"/>
    </row>
    <row r="711" ht="15.75" customHeight="1">
      <c r="A711" s="36"/>
      <c r="B711" s="37"/>
      <c r="C711" s="37"/>
      <c r="D711" s="37"/>
      <c r="E711" s="37"/>
      <c r="F711" s="37"/>
      <c r="G711" s="1"/>
      <c r="H711" s="1"/>
      <c r="I711" s="1"/>
      <c r="J711" s="1"/>
      <c r="K711" s="1"/>
      <c r="L711" s="1"/>
      <c r="M711" s="1"/>
      <c r="N711" s="1"/>
      <c r="O711" s="1"/>
      <c r="P711" s="1"/>
      <c r="Q711" s="1"/>
      <c r="R711" s="1"/>
      <c r="S711" s="1"/>
      <c r="T711" s="1"/>
    </row>
    <row r="712" ht="15.75" customHeight="1">
      <c r="A712" s="36"/>
      <c r="B712" s="37"/>
      <c r="C712" s="37"/>
      <c r="D712" s="37"/>
      <c r="E712" s="37"/>
      <c r="F712" s="37"/>
      <c r="G712" s="1"/>
      <c r="H712" s="1"/>
      <c r="I712" s="1"/>
      <c r="J712" s="1"/>
      <c r="K712" s="1"/>
      <c r="L712" s="1"/>
      <c r="M712" s="1"/>
      <c r="N712" s="1"/>
      <c r="O712" s="1"/>
      <c r="P712" s="1"/>
      <c r="Q712" s="1"/>
      <c r="R712" s="1"/>
      <c r="S712" s="1"/>
      <c r="T712" s="1"/>
    </row>
    <row r="713" ht="15.75" customHeight="1">
      <c r="A713" s="36"/>
      <c r="B713" s="37"/>
      <c r="C713" s="37"/>
      <c r="D713" s="37"/>
      <c r="E713" s="37"/>
      <c r="F713" s="37"/>
      <c r="G713" s="1"/>
      <c r="H713" s="1"/>
      <c r="I713" s="1"/>
      <c r="J713" s="1"/>
      <c r="K713" s="1"/>
      <c r="L713" s="1"/>
      <c r="M713" s="1"/>
      <c r="N713" s="1"/>
      <c r="O713" s="1"/>
      <c r="P713" s="1"/>
      <c r="Q713" s="1"/>
      <c r="R713" s="1"/>
      <c r="S713" s="1"/>
      <c r="T713" s="1"/>
    </row>
    <row r="714" ht="15.75" customHeight="1">
      <c r="A714" s="36"/>
      <c r="B714" s="37"/>
      <c r="C714" s="37"/>
      <c r="D714" s="37"/>
      <c r="E714" s="37"/>
      <c r="F714" s="37"/>
      <c r="G714" s="1"/>
      <c r="H714" s="1"/>
      <c r="I714" s="1"/>
      <c r="J714" s="1"/>
      <c r="K714" s="1"/>
      <c r="L714" s="1"/>
      <c r="M714" s="1"/>
      <c r="N714" s="1"/>
      <c r="O714" s="1"/>
      <c r="P714" s="1"/>
      <c r="Q714" s="1"/>
      <c r="R714" s="1"/>
      <c r="S714" s="1"/>
      <c r="T714" s="1"/>
    </row>
    <row r="715" ht="15.75" customHeight="1">
      <c r="A715" s="36"/>
      <c r="B715" s="37"/>
      <c r="C715" s="37"/>
      <c r="D715" s="37"/>
      <c r="E715" s="37"/>
      <c r="F715" s="37"/>
      <c r="G715" s="1"/>
      <c r="H715" s="1"/>
      <c r="I715" s="1"/>
      <c r="J715" s="1"/>
      <c r="K715" s="1"/>
      <c r="L715" s="1"/>
      <c r="M715" s="1"/>
      <c r="N715" s="1"/>
      <c r="O715" s="1"/>
      <c r="P715" s="1"/>
      <c r="Q715" s="1"/>
      <c r="R715" s="1"/>
      <c r="S715" s="1"/>
      <c r="T715" s="1"/>
    </row>
    <row r="716" ht="15.75" customHeight="1">
      <c r="A716" s="36"/>
      <c r="B716" s="37"/>
      <c r="C716" s="37"/>
      <c r="D716" s="37"/>
      <c r="E716" s="37"/>
      <c r="F716" s="37"/>
      <c r="G716" s="1"/>
      <c r="H716" s="1"/>
      <c r="I716" s="1"/>
      <c r="J716" s="1"/>
      <c r="K716" s="1"/>
      <c r="L716" s="1"/>
      <c r="M716" s="1"/>
      <c r="N716" s="1"/>
      <c r="O716" s="1"/>
      <c r="P716" s="1"/>
      <c r="Q716" s="1"/>
      <c r="R716" s="1"/>
      <c r="S716" s="1"/>
      <c r="T716" s="1"/>
    </row>
    <row r="717" ht="15.75" customHeight="1">
      <c r="A717" s="36"/>
      <c r="B717" s="37"/>
      <c r="C717" s="37"/>
      <c r="D717" s="37"/>
      <c r="E717" s="37"/>
      <c r="F717" s="37"/>
      <c r="G717" s="1"/>
      <c r="H717" s="1"/>
      <c r="I717" s="1"/>
      <c r="J717" s="1"/>
      <c r="K717" s="1"/>
      <c r="L717" s="1"/>
      <c r="M717" s="1"/>
      <c r="N717" s="1"/>
      <c r="O717" s="1"/>
      <c r="P717" s="1"/>
      <c r="Q717" s="1"/>
      <c r="R717" s="1"/>
      <c r="S717" s="1"/>
      <c r="T717" s="1"/>
    </row>
    <row r="718" ht="15.75" customHeight="1">
      <c r="A718" s="36"/>
      <c r="B718" s="37"/>
      <c r="C718" s="37"/>
      <c r="D718" s="37"/>
      <c r="E718" s="37"/>
      <c r="F718" s="37"/>
      <c r="G718" s="1"/>
      <c r="H718" s="1"/>
      <c r="I718" s="1"/>
      <c r="J718" s="1"/>
      <c r="K718" s="1"/>
      <c r="L718" s="1"/>
      <c r="M718" s="1"/>
      <c r="N718" s="1"/>
      <c r="O718" s="1"/>
      <c r="P718" s="1"/>
      <c r="Q718" s="1"/>
      <c r="R718" s="1"/>
      <c r="S718" s="1"/>
      <c r="T718" s="1"/>
    </row>
    <row r="719" ht="15.75" customHeight="1">
      <c r="A719" s="36"/>
      <c r="B719" s="37"/>
      <c r="C719" s="37"/>
      <c r="D719" s="37"/>
      <c r="E719" s="37"/>
      <c r="F719" s="37"/>
      <c r="G719" s="1"/>
      <c r="H719" s="1"/>
      <c r="I719" s="1"/>
      <c r="J719" s="1"/>
      <c r="K719" s="1"/>
      <c r="L719" s="1"/>
      <c r="M719" s="1"/>
      <c r="N719" s="1"/>
      <c r="O719" s="1"/>
      <c r="P719" s="1"/>
      <c r="Q719" s="1"/>
      <c r="R719" s="1"/>
      <c r="S719" s="1"/>
      <c r="T719" s="1"/>
    </row>
    <row r="720" ht="15.75" customHeight="1">
      <c r="A720" s="36"/>
      <c r="B720" s="37"/>
      <c r="C720" s="37"/>
      <c r="D720" s="37"/>
      <c r="E720" s="37"/>
      <c r="F720" s="37"/>
      <c r="G720" s="1"/>
      <c r="H720" s="1"/>
      <c r="I720" s="1"/>
      <c r="J720" s="1"/>
      <c r="K720" s="1"/>
      <c r="L720" s="1"/>
      <c r="M720" s="1"/>
      <c r="N720" s="1"/>
      <c r="O720" s="1"/>
      <c r="P720" s="1"/>
      <c r="Q720" s="1"/>
      <c r="R720" s="1"/>
      <c r="S720" s="1"/>
      <c r="T720" s="1"/>
    </row>
    <row r="721" ht="15.75" customHeight="1">
      <c r="A721" s="36"/>
      <c r="B721" s="37"/>
      <c r="C721" s="37"/>
      <c r="D721" s="37"/>
      <c r="E721" s="37"/>
      <c r="F721" s="37"/>
      <c r="G721" s="1"/>
      <c r="H721" s="1"/>
      <c r="I721" s="1"/>
      <c r="J721" s="1"/>
      <c r="K721" s="1"/>
      <c r="L721" s="1"/>
      <c r="M721" s="1"/>
      <c r="N721" s="1"/>
      <c r="O721" s="1"/>
      <c r="P721" s="1"/>
      <c r="Q721" s="1"/>
      <c r="R721" s="1"/>
      <c r="S721" s="1"/>
      <c r="T721" s="1"/>
    </row>
    <row r="722" ht="15.75" customHeight="1">
      <c r="A722" s="36"/>
      <c r="B722" s="37"/>
      <c r="C722" s="37"/>
      <c r="D722" s="37"/>
      <c r="E722" s="37"/>
      <c r="F722" s="37"/>
      <c r="G722" s="1"/>
      <c r="H722" s="1"/>
      <c r="I722" s="1"/>
      <c r="J722" s="1"/>
      <c r="K722" s="1"/>
      <c r="L722" s="1"/>
      <c r="M722" s="1"/>
      <c r="N722" s="1"/>
      <c r="O722" s="1"/>
      <c r="P722" s="1"/>
      <c r="Q722" s="1"/>
      <c r="R722" s="1"/>
      <c r="S722" s="1"/>
      <c r="T722" s="1"/>
    </row>
    <row r="723" ht="15.75" customHeight="1">
      <c r="A723" s="36"/>
      <c r="B723" s="37"/>
      <c r="C723" s="37"/>
      <c r="D723" s="37"/>
      <c r="E723" s="37"/>
      <c r="F723" s="37"/>
      <c r="G723" s="1"/>
      <c r="H723" s="1"/>
      <c r="I723" s="1"/>
      <c r="J723" s="1"/>
      <c r="K723" s="1"/>
      <c r="L723" s="1"/>
      <c r="M723" s="1"/>
      <c r="N723" s="1"/>
      <c r="O723" s="1"/>
      <c r="P723" s="1"/>
      <c r="Q723" s="1"/>
      <c r="R723" s="1"/>
      <c r="S723" s="1"/>
      <c r="T723" s="1"/>
    </row>
    <row r="724" ht="15.75" customHeight="1">
      <c r="A724" s="36"/>
      <c r="B724" s="37"/>
      <c r="C724" s="37"/>
      <c r="D724" s="37"/>
      <c r="E724" s="37"/>
      <c r="F724" s="37"/>
      <c r="G724" s="1"/>
      <c r="H724" s="1"/>
      <c r="I724" s="1"/>
      <c r="J724" s="1"/>
      <c r="K724" s="1"/>
      <c r="L724" s="1"/>
      <c r="M724" s="1"/>
      <c r="N724" s="1"/>
      <c r="O724" s="1"/>
      <c r="P724" s="1"/>
      <c r="Q724" s="1"/>
      <c r="R724" s="1"/>
      <c r="S724" s="1"/>
      <c r="T724" s="1"/>
    </row>
    <row r="725" ht="15.75" customHeight="1">
      <c r="A725" s="36"/>
      <c r="B725" s="37"/>
      <c r="C725" s="37"/>
      <c r="D725" s="37"/>
      <c r="E725" s="37"/>
      <c r="F725" s="37"/>
      <c r="G725" s="1"/>
      <c r="H725" s="1"/>
      <c r="I725" s="1"/>
      <c r="J725" s="1"/>
      <c r="K725" s="1"/>
      <c r="L725" s="1"/>
      <c r="M725" s="1"/>
      <c r="N725" s="1"/>
      <c r="O725" s="1"/>
      <c r="P725" s="1"/>
      <c r="Q725" s="1"/>
      <c r="R725" s="1"/>
      <c r="S725" s="1"/>
      <c r="T725" s="1"/>
    </row>
    <row r="726" ht="15.75" customHeight="1">
      <c r="A726" s="36"/>
      <c r="B726" s="37"/>
      <c r="C726" s="37"/>
      <c r="D726" s="37"/>
      <c r="E726" s="37"/>
      <c r="F726" s="37"/>
      <c r="G726" s="1"/>
      <c r="H726" s="1"/>
      <c r="I726" s="1"/>
      <c r="J726" s="1"/>
      <c r="K726" s="1"/>
      <c r="L726" s="1"/>
      <c r="M726" s="1"/>
      <c r="N726" s="1"/>
      <c r="O726" s="1"/>
      <c r="P726" s="1"/>
      <c r="Q726" s="1"/>
      <c r="R726" s="1"/>
      <c r="S726" s="1"/>
      <c r="T726" s="1"/>
    </row>
    <row r="727" ht="15.75" customHeight="1">
      <c r="A727" s="36"/>
      <c r="B727" s="37"/>
      <c r="C727" s="37"/>
      <c r="D727" s="37"/>
      <c r="E727" s="37"/>
      <c r="F727" s="37"/>
      <c r="G727" s="1"/>
      <c r="H727" s="1"/>
      <c r="I727" s="1"/>
      <c r="J727" s="1"/>
      <c r="K727" s="1"/>
      <c r="L727" s="1"/>
      <c r="M727" s="1"/>
      <c r="N727" s="1"/>
      <c r="O727" s="1"/>
      <c r="P727" s="1"/>
      <c r="Q727" s="1"/>
      <c r="R727" s="1"/>
      <c r="S727" s="1"/>
      <c r="T727" s="1"/>
    </row>
    <row r="728" ht="15.75" customHeight="1">
      <c r="A728" s="36"/>
      <c r="B728" s="37"/>
      <c r="C728" s="37"/>
      <c r="D728" s="37"/>
      <c r="E728" s="37"/>
      <c r="F728" s="37"/>
      <c r="G728" s="1"/>
      <c r="H728" s="1"/>
      <c r="I728" s="1"/>
      <c r="J728" s="1"/>
      <c r="K728" s="1"/>
      <c r="L728" s="1"/>
      <c r="M728" s="1"/>
      <c r="N728" s="1"/>
      <c r="O728" s="1"/>
      <c r="P728" s="1"/>
      <c r="Q728" s="1"/>
      <c r="R728" s="1"/>
      <c r="S728" s="1"/>
      <c r="T728" s="1"/>
    </row>
    <row r="729" ht="15.75" customHeight="1">
      <c r="A729" s="36"/>
      <c r="B729" s="37"/>
      <c r="C729" s="37"/>
      <c r="D729" s="37"/>
      <c r="E729" s="37"/>
      <c r="F729" s="37"/>
      <c r="G729" s="1"/>
      <c r="H729" s="1"/>
      <c r="I729" s="1"/>
      <c r="J729" s="1"/>
      <c r="K729" s="1"/>
      <c r="L729" s="1"/>
      <c r="M729" s="1"/>
      <c r="N729" s="1"/>
      <c r="O729" s="1"/>
      <c r="P729" s="1"/>
      <c r="Q729" s="1"/>
      <c r="R729" s="1"/>
      <c r="S729" s="1"/>
      <c r="T729" s="1"/>
    </row>
    <row r="730" ht="15.75" customHeight="1">
      <c r="A730" s="36"/>
      <c r="B730" s="37"/>
      <c r="C730" s="37"/>
      <c r="D730" s="37"/>
      <c r="E730" s="37"/>
      <c r="F730" s="37"/>
      <c r="G730" s="1"/>
      <c r="H730" s="1"/>
      <c r="I730" s="1"/>
      <c r="J730" s="1"/>
      <c r="K730" s="1"/>
      <c r="L730" s="1"/>
      <c r="M730" s="1"/>
      <c r="N730" s="1"/>
      <c r="O730" s="1"/>
      <c r="P730" s="1"/>
      <c r="Q730" s="1"/>
      <c r="R730" s="1"/>
      <c r="S730" s="1"/>
      <c r="T730" s="1"/>
    </row>
    <row r="731" ht="15.75" customHeight="1">
      <c r="A731" s="36"/>
      <c r="B731" s="37"/>
      <c r="C731" s="37"/>
      <c r="D731" s="37"/>
      <c r="E731" s="37"/>
      <c r="F731" s="37"/>
      <c r="G731" s="1"/>
      <c r="H731" s="1"/>
      <c r="I731" s="1"/>
      <c r="J731" s="1"/>
      <c r="K731" s="1"/>
      <c r="L731" s="1"/>
      <c r="M731" s="1"/>
      <c r="N731" s="1"/>
      <c r="O731" s="1"/>
      <c r="P731" s="1"/>
      <c r="Q731" s="1"/>
      <c r="R731" s="1"/>
      <c r="S731" s="1"/>
      <c r="T731" s="1"/>
    </row>
    <row r="732" ht="15.75" customHeight="1">
      <c r="A732" s="36"/>
      <c r="B732" s="37"/>
      <c r="C732" s="37"/>
      <c r="D732" s="37"/>
      <c r="E732" s="37"/>
      <c r="F732" s="37"/>
      <c r="G732" s="1"/>
      <c r="H732" s="1"/>
      <c r="I732" s="1"/>
      <c r="J732" s="1"/>
      <c r="K732" s="1"/>
      <c r="L732" s="1"/>
      <c r="M732" s="1"/>
      <c r="N732" s="1"/>
      <c r="O732" s="1"/>
      <c r="P732" s="1"/>
      <c r="Q732" s="1"/>
      <c r="R732" s="1"/>
      <c r="S732" s="1"/>
      <c r="T732" s="1"/>
    </row>
    <row r="733" ht="15.75" customHeight="1">
      <c r="A733" s="36"/>
      <c r="B733" s="37"/>
      <c r="C733" s="37"/>
      <c r="D733" s="37"/>
      <c r="E733" s="37"/>
      <c r="F733" s="37"/>
      <c r="G733" s="1"/>
      <c r="H733" s="1"/>
      <c r="I733" s="1"/>
      <c r="J733" s="1"/>
      <c r="K733" s="1"/>
      <c r="L733" s="1"/>
      <c r="M733" s="1"/>
      <c r="N733" s="1"/>
      <c r="O733" s="1"/>
      <c r="P733" s="1"/>
      <c r="Q733" s="1"/>
      <c r="R733" s="1"/>
      <c r="S733" s="1"/>
      <c r="T733" s="1"/>
    </row>
    <row r="734" ht="15.75" customHeight="1">
      <c r="A734" s="36"/>
      <c r="B734" s="37"/>
      <c r="C734" s="37"/>
      <c r="D734" s="37"/>
      <c r="E734" s="37"/>
      <c r="F734" s="37"/>
      <c r="G734" s="1"/>
      <c r="H734" s="1"/>
      <c r="I734" s="1"/>
      <c r="J734" s="1"/>
      <c r="K734" s="1"/>
      <c r="L734" s="1"/>
      <c r="M734" s="1"/>
      <c r="N734" s="1"/>
      <c r="O734" s="1"/>
      <c r="P734" s="1"/>
      <c r="Q734" s="1"/>
      <c r="R734" s="1"/>
      <c r="S734" s="1"/>
      <c r="T734" s="1"/>
    </row>
    <row r="735" ht="15.75" customHeight="1">
      <c r="A735" s="36"/>
      <c r="B735" s="37"/>
      <c r="C735" s="37"/>
      <c r="D735" s="37"/>
      <c r="E735" s="37"/>
      <c r="F735" s="37"/>
      <c r="G735" s="1"/>
      <c r="H735" s="1"/>
      <c r="I735" s="1"/>
      <c r="J735" s="1"/>
      <c r="K735" s="1"/>
      <c r="L735" s="1"/>
      <c r="M735" s="1"/>
      <c r="N735" s="1"/>
      <c r="O735" s="1"/>
      <c r="P735" s="1"/>
      <c r="Q735" s="1"/>
      <c r="R735" s="1"/>
      <c r="S735" s="1"/>
      <c r="T735" s="1"/>
    </row>
    <row r="736" ht="15.75" customHeight="1">
      <c r="A736" s="36"/>
      <c r="B736" s="37"/>
      <c r="C736" s="37"/>
      <c r="D736" s="37"/>
      <c r="E736" s="37"/>
      <c r="F736" s="37"/>
      <c r="G736" s="1"/>
      <c r="H736" s="1"/>
      <c r="I736" s="1"/>
      <c r="J736" s="1"/>
      <c r="K736" s="1"/>
      <c r="L736" s="1"/>
      <c r="M736" s="1"/>
      <c r="N736" s="1"/>
      <c r="O736" s="1"/>
      <c r="P736" s="1"/>
      <c r="Q736" s="1"/>
      <c r="R736" s="1"/>
      <c r="S736" s="1"/>
      <c r="T736" s="1"/>
    </row>
    <row r="737" ht="15.75" customHeight="1">
      <c r="A737" s="36"/>
      <c r="B737" s="37"/>
      <c r="C737" s="37"/>
      <c r="D737" s="37"/>
      <c r="E737" s="37"/>
      <c r="F737" s="37"/>
      <c r="G737" s="1"/>
      <c r="H737" s="1"/>
      <c r="I737" s="1"/>
      <c r="J737" s="1"/>
      <c r="K737" s="1"/>
      <c r="L737" s="1"/>
      <c r="M737" s="1"/>
      <c r="N737" s="1"/>
      <c r="O737" s="1"/>
      <c r="P737" s="1"/>
      <c r="Q737" s="1"/>
      <c r="R737" s="1"/>
      <c r="S737" s="1"/>
      <c r="T737" s="1"/>
    </row>
    <row r="738" ht="15.75" customHeight="1">
      <c r="A738" s="36"/>
      <c r="B738" s="37"/>
      <c r="C738" s="37"/>
      <c r="D738" s="37"/>
      <c r="E738" s="37"/>
      <c r="F738" s="37"/>
      <c r="G738" s="1"/>
      <c r="H738" s="1"/>
      <c r="I738" s="1"/>
      <c r="J738" s="1"/>
      <c r="K738" s="1"/>
      <c r="L738" s="1"/>
      <c r="M738" s="1"/>
      <c r="N738" s="1"/>
      <c r="O738" s="1"/>
      <c r="P738" s="1"/>
      <c r="Q738" s="1"/>
      <c r="R738" s="1"/>
      <c r="S738" s="1"/>
      <c r="T738" s="1"/>
    </row>
    <row r="739" ht="15.75" customHeight="1">
      <c r="A739" s="36"/>
      <c r="B739" s="37"/>
      <c r="C739" s="37"/>
      <c r="D739" s="37"/>
      <c r="E739" s="37"/>
      <c r="F739" s="37"/>
      <c r="G739" s="1"/>
      <c r="H739" s="1"/>
      <c r="I739" s="1"/>
      <c r="J739" s="1"/>
      <c r="K739" s="1"/>
      <c r="L739" s="1"/>
      <c r="M739" s="1"/>
      <c r="N739" s="1"/>
      <c r="O739" s="1"/>
      <c r="P739" s="1"/>
      <c r="Q739" s="1"/>
      <c r="R739" s="1"/>
      <c r="S739" s="1"/>
      <c r="T739" s="1"/>
    </row>
    <row r="740" ht="15.75" customHeight="1">
      <c r="A740" s="36"/>
      <c r="B740" s="37"/>
      <c r="C740" s="37"/>
      <c r="D740" s="37"/>
      <c r="E740" s="37"/>
      <c r="F740" s="37"/>
      <c r="G740" s="1"/>
      <c r="H740" s="1"/>
      <c r="I740" s="1"/>
      <c r="J740" s="1"/>
      <c r="K740" s="1"/>
      <c r="L740" s="1"/>
      <c r="M740" s="1"/>
      <c r="N740" s="1"/>
      <c r="O740" s="1"/>
      <c r="P740" s="1"/>
      <c r="Q740" s="1"/>
      <c r="R740" s="1"/>
      <c r="S740" s="1"/>
      <c r="T740" s="1"/>
    </row>
    <row r="741" ht="15.75" customHeight="1">
      <c r="A741" s="36"/>
      <c r="B741" s="37"/>
      <c r="C741" s="37"/>
      <c r="D741" s="37"/>
      <c r="E741" s="37"/>
      <c r="F741" s="37"/>
      <c r="G741" s="1"/>
      <c r="H741" s="1"/>
      <c r="I741" s="1"/>
      <c r="J741" s="1"/>
      <c r="K741" s="1"/>
      <c r="L741" s="1"/>
      <c r="M741" s="1"/>
      <c r="N741" s="1"/>
      <c r="O741" s="1"/>
      <c r="P741" s="1"/>
      <c r="Q741" s="1"/>
      <c r="R741" s="1"/>
      <c r="S741" s="1"/>
      <c r="T741" s="1"/>
    </row>
    <row r="742" ht="15.75" customHeight="1">
      <c r="A742" s="36"/>
      <c r="B742" s="37"/>
      <c r="C742" s="37"/>
      <c r="D742" s="37"/>
      <c r="E742" s="37"/>
      <c r="F742" s="37"/>
      <c r="G742" s="1"/>
      <c r="H742" s="1"/>
      <c r="I742" s="1"/>
      <c r="J742" s="1"/>
      <c r="K742" s="1"/>
      <c r="L742" s="1"/>
      <c r="M742" s="1"/>
      <c r="N742" s="1"/>
      <c r="O742" s="1"/>
      <c r="P742" s="1"/>
      <c r="Q742" s="1"/>
      <c r="R742" s="1"/>
      <c r="S742" s="1"/>
      <c r="T742" s="1"/>
    </row>
    <row r="743" ht="15.75" customHeight="1">
      <c r="A743" s="36"/>
      <c r="B743" s="37"/>
      <c r="C743" s="37"/>
      <c r="D743" s="37"/>
      <c r="E743" s="37"/>
      <c r="F743" s="37"/>
      <c r="G743" s="1"/>
      <c r="H743" s="1"/>
      <c r="I743" s="1"/>
      <c r="J743" s="1"/>
      <c r="K743" s="1"/>
      <c r="L743" s="1"/>
      <c r="M743" s="1"/>
      <c r="N743" s="1"/>
      <c r="O743" s="1"/>
      <c r="P743" s="1"/>
      <c r="Q743" s="1"/>
      <c r="R743" s="1"/>
      <c r="S743" s="1"/>
      <c r="T743" s="1"/>
    </row>
    <row r="744" ht="15.75" customHeight="1">
      <c r="A744" s="36"/>
      <c r="B744" s="37"/>
      <c r="C744" s="37"/>
      <c r="D744" s="37"/>
      <c r="E744" s="37"/>
      <c r="F744" s="37"/>
      <c r="G744" s="1"/>
      <c r="H744" s="1"/>
      <c r="I744" s="1"/>
      <c r="J744" s="1"/>
      <c r="K744" s="1"/>
      <c r="L744" s="1"/>
      <c r="M744" s="1"/>
      <c r="N744" s="1"/>
      <c r="O744" s="1"/>
      <c r="P744" s="1"/>
      <c r="Q744" s="1"/>
      <c r="R744" s="1"/>
      <c r="S744" s="1"/>
      <c r="T744" s="1"/>
    </row>
    <row r="745" ht="15.75" customHeight="1">
      <c r="A745" s="36"/>
      <c r="B745" s="37"/>
      <c r="C745" s="37"/>
      <c r="D745" s="37"/>
      <c r="E745" s="37"/>
      <c r="F745" s="37"/>
      <c r="G745" s="1"/>
      <c r="H745" s="1"/>
      <c r="I745" s="1"/>
      <c r="J745" s="1"/>
      <c r="K745" s="1"/>
      <c r="L745" s="1"/>
      <c r="M745" s="1"/>
      <c r="N745" s="1"/>
      <c r="O745" s="1"/>
      <c r="P745" s="1"/>
      <c r="Q745" s="1"/>
      <c r="R745" s="1"/>
      <c r="S745" s="1"/>
      <c r="T745" s="1"/>
    </row>
    <row r="746" ht="15.75" customHeight="1">
      <c r="A746" s="36"/>
      <c r="B746" s="37"/>
      <c r="C746" s="37"/>
      <c r="D746" s="37"/>
      <c r="E746" s="37"/>
      <c r="F746" s="37"/>
      <c r="G746" s="1"/>
      <c r="H746" s="1"/>
      <c r="I746" s="1"/>
      <c r="J746" s="1"/>
      <c r="K746" s="1"/>
      <c r="L746" s="1"/>
      <c r="M746" s="1"/>
      <c r="N746" s="1"/>
      <c r="O746" s="1"/>
      <c r="P746" s="1"/>
      <c r="Q746" s="1"/>
      <c r="R746" s="1"/>
      <c r="S746" s="1"/>
      <c r="T746" s="1"/>
    </row>
    <row r="747" ht="15.75" customHeight="1">
      <c r="A747" s="36"/>
      <c r="B747" s="37"/>
      <c r="C747" s="37"/>
      <c r="D747" s="37"/>
      <c r="E747" s="37"/>
      <c r="F747" s="37"/>
      <c r="G747" s="1"/>
      <c r="H747" s="1"/>
      <c r="I747" s="1"/>
      <c r="J747" s="1"/>
      <c r="K747" s="1"/>
      <c r="L747" s="1"/>
      <c r="M747" s="1"/>
      <c r="N747" s="1"/>
      <c r="O747" s="1"/>
      <c r="P747" s="1"/>
      <c r="Q747" s="1"/>
      <c r="R747" s="1"/>
      <c r="S747" s="1"/>
      <c r="T747" s="1"/>
    </row>
    <row r="748" ht="15.75" customHeight="1">
      <c r="A748" s="36"/>
      <c r="B748" s="37"/>
      <c r="C748" s="37"/>
      <c r="D748" s="37"/>
      <c r="E748" s="37"/>
      <c r="F748" s="37"/>
      <c r="G748" s="1"/>
      <c r="H748" s="1"/>
      <c r="I748" s="1"/>
      <c r="J748" s="1"/>
      <c r="K748" s="1"/>
      <c r="L748" s="1"/>
      <c r="M748" s="1"/>
      <c r="N748" s="1"/>
      <c r="O748" s="1"/>
      <c r="P748" s="1"/>
      <c r="Q748" s="1"/>
      <c r="R748" s="1"/>
      <c r="S748" s="1"/>
      <c r="T748" s="1"/>
    </row>
    <row r="749" ht="15.75" customHeight="1">
      <c r="A749" s="36"/>
      <c r="B749" s="37"/>
      <c r="C749" s="37"/>
      <c r="D749" s="37"/>
      <c r="E749" s="37"/>
      <c r="F749" s="37"/>
      <c r="G749" s="1"/>
      <c r="H749" s="1"/>
      <c r="I749" s="1"/>
      <c r="J749" s="1"/>
      <c r="K749" s="1"/>
      <c r="L749" s="1"/>
      <c r="M749" s="1"/>
      <c r="N749" s="1"/>
      <c r="O749" s="1"/>
      <c r="P749" s="1"/>
      <c r="Q749" s="1"/>
      <c r="R749" s="1"/>
      <c r="S749" s="1"/>
      <c r="T749" s="1"/>
    </row>
    <row r="750" ht="15.75" customHeight="1">
      <c r="A750" s="36"/>
      <c r="B750" s="37"/>
      <c r="C750" s="37"/>
      <c r="D750" s="37"/>
      <c r="E750" s="37"/>
      <c r="F750" s="37"/>
      <c r="G750" s="1"/>
      <c r="H750" s="1"/>
      <c r="I750" s="1"/>
      <c r="J750" s="1"/>
      <c r="K750" s="1"/>
      <c r="L750" s="1"/>
      <c r="M750" s="1"/>
      <c r="N750" s="1"/>
      <c r="O750" s="1"/>
      <c r="P750" s="1"/>
      <c r="Q750" s="1"/>
      <c r="R750" s="1"/>
      <c r="S750" s="1"/>
      <c r="T750" s="1"/>
    </row>
    <row r="751" ht="15.75" customHeight="1">
      <c r="A751" s="36"/>
      <c r="B751" s="37"/>
      <c r="C751" s="37"/>
      <c r="D751" s="37"/>
      <c r="E751" s="37"/>
      <c r="F751" s="37"/>
      <c r="G751" s="1"/>
      <c r="H751" s="1"/>
      <c r="I751" s="1"/>
      <c r="J751" s="1"/>
      <c r="K751" s="1"/>
      <c r="L751" s="1"/>
      <c r="M751" s="1"/>
      <c r="N751" s="1"/>
      <c r="O751" s="1"/>
      <c r="P751" s="1"/>
      <c r="Q751" s="1"/>
      <c r="R751" s="1"/>
      <c r="S751" s="1"/>
      <c r="T751" s="1"/>
    </row>
    <row r="752" ht="15.75" customHeight="1">
      <c r="A752" s="36"/>
      <c r="B752" s="37"/>
      <c r="C752" s="37"/>
      <c r="D752" s="37"/>
      <c r="E752" s="37"/>
      <c r="F752" s="37"/>
      <c r="G752" s="1"/>
      <c r="H752" s="1"/>
      <c r="I752" s="1"/>
      <c r="J752" s="1"/>
      <c r="K752" s="1"/>
      <c r="L752" s="1"/>
      <c r="M752" s="1"/>
      <c r="N752" s="1"/>
      <c r="O752" s="1"/>
      <c r="P752" s="1"/>
      <c r="Q752" s="1"/>
      <c r="R752" s="1"/>
      <c r="S752" s="1"/>
      <c r="T752" s="1"/>
    </row>
    <row r="753" ht="15.75" customHeight="1">
      <c r="A753" s="36"/>
      <c r="B753" s="37"/>
      <c r="C753" s="37"/>
      <c r="D753" s="37"/>
      <c r="E753" s="37"/>
      <c r="F753" s="37"/>
      <c r="G753" s="1"/>
      <c r="H753" s="1"/>
      <c r="I753" s="1"/>
      <c r="J753" s="1"/>
      <c r="K753" s="1"/>
      <c r="L753" s="1"/>
      <c r="M753" s="1"/>
      <c r="N753" s="1"/>
      <c r="O753" s="1"/>
      <c r="P753" s="1"/>
      <c r="Q753" s="1"/>
      <c r="R753" s="1"/>
      <c r="S753" s="1"/>
      <c r="T753" s="1"/>
    </row>
    <row r="754" ht="15.75" customHeight="1">
      <c r="A754" s="36"/>
      <c r="B754" s="37"/>
      <c r="C754" s="37"/>
      <c r="D754" s="37"/>
      <c r="E754" s="37"/>
      <c r="F754" s="37"/>
      <c r="G754" s="1"/>
      <c r="H754" s="1"/>
      <c r="I754" s="1"/>
      <c r="J754" s="1"/>
      <c r="K754" s="1"/>
      <c r="L754" s="1"/>
      <c r="M754" s="1"/>
      <c r="N754" s="1"/>
      <c r="O754" s="1"/>
      <c r="P754" s="1"/>
      <c r="Q754" s="1"/>
      <c r="R754" s="1"/>
      <c r="S754" s="1"/>
      <c r="T754" s="1"/>
    </row>
    <row r="755" ht="15.75" customHeight="1">
      <c r="A755" s="36"/>
      <c r="B755" s="37"/>
      <c r="C755" s="37"/>
      <c r="D755" s="37"/>
      <c r="E755" s="37"/>
      <c r="F755" s="37"/>
      <c r="G755" s="1"/>
      <c r="H755" s="1"/>
      <c r="I755" s="1"/>
      <c r="J755" s="1"/>
      <c r="K755" s="1"/>
      <c r="L755" s="1"/>
      <c r="M755" s="1"/>
      <c r="N755" s="1"/>
      <c r="O755" s="1"/>
      <c r="P755" s="1"/>
      <c r="Q755" s="1"/>
      <c r="R755" s="1"/>
      <c r="S755" s="1"/>
      <c r="T755" s="1"/>
    </row>
    <row r="756" ht="15.75" customHeight="1">
      <c r="A756" s="36"/>
      <c r="B756" s="37"/>
      <c r="C756" s="37"/>
      <c r="D756" s="37"/>
      <c r="E756" s="37"/>
      <c r="F756" s="37"/>
      <c r="G756" s="1"/>
      <c r="H756" s="1"/>
      <c r="I756" s="1"/>
      <c r="J756" s="1"/>
      <c r="K756" s="1"/>
      <c r="L756" s="1"/>
      <c r="M756" s="1"/>
      <c r="N756" s="1"/>
      <c r="O756" s="1"/>
      <c r="P756" s="1"/>
      <c r="Q756" s="1"/>
      <c r="R756" s="1"/>
      <c r="S756" s="1"/>
      <c r="T756" s="1"/>
    </row>
    <row r="757" ht="15.75" customHeight="1">
      <c r="A757" s="36"/>
      <c r="B757" s="37"/>
      <c r="C757" s="37"/>
      <c r="D757" s="37"/>
      <c r="E757" s="37"/>
      <c r="F757" s="37"/>
      <c r="G757" s="1"/>
      <c r="H757" s="1"/>
      <c r="I757" s="1"/>
      <c r="J757" s="1"/>
      <c r="K757" s="1"/>
      <c r="L757" s="1"/>
      <c r="M757" s="1"/>
      <c r="N757" s="1"/>
      <c r="O757" s="1"/>
      <c r="P757" s="1"/>
      <c r="Q757" s="1"/>
      <c r="R757" s="1"/>
      <c r="S757" s="1"/>
      <c r="T757" s="1"/>
    </row>
    <row r="758" ht="15.75" customHeight="1">
      <c r="A758" s="36"/>
      <c r="B758" s="37"/>
      <c r="C758" s="37"/>
      <c r="D758" s="37"/>
      <c r="E758" s="37"/>
      <c r="F758" s="37"/>
      <c r="G758" s="1"/>
      <c r="H758" s="1"/>
      <c r="I758" s="1"/>
      <c r="J758" s="1"/>
      <c r="K758" s="1"/>
      <c r="L758" s="1"/>
      <c r="M758" s="1"/>
      <c r="N758" s="1"/>
      <c r="O758" s="1"/>
      <c r="P758" s="1"/>
      <c r="Q758" s="1"/>
      <c r="R758" s="1"/>
      <c r="S758" s="1"/>
      <c r="T758" s="1"/>
    </row>
    <row r="759" ht="15.75" customHeight="1">
      <c r="A759" s="36"/>
      <c r="B759" s="37"/>
      <c r="C759" s="37"/>
      <c r="D759" s="37"/>
      <c r="E759" s="37"/>
      <c r="F759" s="37"/>
      <c r="G759" s="1"/>
      <c r="H759" s="1"/>
      <c r="I759" s="1"/>
      <c r="J759" s="1"/>
      <c r="K759" s="1"/>
      <c r="L759" s="1"/>
      <c r="M759" s="1"/>
      <c r="N759" s="1"/>
      <c r="O759" s="1"/>
      <c r="P759" s="1"/>
      <c r="Q759" s="1"/>
      <c r="R759" s="1"/>
      <c r="S759" s="1"/>
      <c r="T759" s="1"/>
    </row>
    <row r="760" ht="15.75" customHeight="1">
      <c r="A760" s="36"/>
      <c r="B760" s="37"/>
      <c r="C760" s="37"/>
      <c r="D760" s="37"/>
      <c r="E760" s="37"/>
      <c r="F760" s="37"/>
      <c r="G760" s="1"/>
      <c r="H760" s="1"/>
      <c r="I760" s="1"/>
      <c r="J760" s="1"/>
      <c r="K760" s="1"/>
      <c r="L760" s="1"/>
      <c r="M760" s="1"/>
      <c r="N760" s="1"/>
      <c r="O760" s="1"/>
      <c r="P760" s="1"/>
      <c r="Q760" s="1"/>
      <c r="R760" s="1"/>
      <c r="S760" s="1"/>
      <c r="T760" s="1"/>
    </row>
    <row r="761" ht="15.75" customHeight="1">
      <c r="A761" s="36"/>
      <c r="B761" s="37"/>
      <c r="C761" s="37"/>
      <c r="D761" s="37"/>
      <c r="E761" s="37"/>
      <c r="F761" s="37"/>
      <c r="G761" s="1"/>
      <c r="H761" s="1"/>
      <c r="I761" s="1"/>
      <c r="J761" s="1"/>
      <c r="K761" s="1"/>
      <c r="L761" s="1"/>
      <c r="M761" s="1"/>
      <c r="N761" s="1"/>
      <c r="O761" s="1"/>
      <c r="P761" s="1"/>
      <c r="Q761" s="1"/>
      <c r="R761" s="1"/>
      <c r="S761" s="1"/>
      <c r="T761" s="1"/>
    </row>
    <row r="762" ht="15.75" customHeight="1">
      <c r="A762" s="36"/>
      <c r="B762" s="37"/>
      <c r="C762" s="37"/>
      <c r="D762" s="37"/>
      <c r="E762" s="37"/>
      <c r="F762" s="37"/>
      <c r="G762" s="1"/>
      <c r="H762" s="1"/>
      <c r="I762" s="1"/>
      <c r="J762" s="1"/>
      <c r="K762" s="1"/>
      <c r="L762" s="1"/>
      <c r="M762" s="1"/>
      <c r="N762" s="1"/>
      <c r="O762" s="1"/>
      <c r="P762" s="1"/>
      <c r="Q762" s="1"/>
      <c r="R762" s="1"/>
      <c r="S762" s="1"/>
      <c r="T762" s="1"/>
    </row>
    <row r="763" ht="15.75" customHeight="1">
      <c r="A763" s="36"/>
      <c r="B763" s="37"/>
      <c r="C763" s="37"/>
      <c r="D763" s="37"/>
      <c r="E763" s="37"/>
      <c r="F763" s="37"/>
      <c r="G763" s="1"/>
      <c r="H763" s="1"/>
      <c r="I763" s="1"/>
      <c r="J763" s="1"/>
      <c r="K763" s="1"/>
      <c r="L763" s="1"/>
      <c r="M763" s="1"/>
      <c r="N763" s="1"/>
      <c r="O763" s="1"/>
      <c r="P763" s="1"/>
      <c r="Q763" s="1"/>
      <c r="R763" s="1"/>
      <c r="S763" s="1"/>
      <c r="T763" s="1"/>
    </row>
    <row r="764" ht="15.75" customHeight="1">
      <c r="A764" s="36"/>
      <c r="B764" s="37"/>
      <c r="C764" s="37"/>
      <c r="D764" s="37"/>
      <c r="E764" s="37"/>
      <c r="F764" s="37"/>
      <c r="G764" s="1"/>
      <c r="H764" s="1"/>
      <c r="I764" s="1"/>
      <c r="J764" s="1"/>
      <c r="K764" s="1"/>
      <c r="L764" s="1"/>
      <c r="M764" s="1"/>
      <c r="N764" s="1"/>
      <c r="O764" s="1"/>
      <c r="P764" s="1"/>
      <c r="Q764" s="1"/>
      <c r="R764" s="1"/>
      <c r="S764" s="1"/>
      <c r="T764" s="1"/>
    </row>
    <row r="765" ht="15.75" customHeight="1">
      <c r="A765" s="36"/>
      <c r="B765" s="37"/>
      <c r="C765" s="37"/>
      <c r="D765" s="37"/>
      <c r="E765" s="37"/>
      <c r="F765" s="37"/>
      <c r="G765" s="1"/>
      <c r="H765" s="1"/>
      <c r="I765" s="1"/>
      <c r="J765" s="1"/>
      <c r="K765" s="1"/>
      <c r="L765" s="1"/>
      <c r="M765" s="1"/>
      <c r="N765" s="1"/>
      <c r="O765" s="1"/>
      <c r="P765" s="1"/>
      <c r="Q765" s="1"/>
      <c r="R765" s="1"/>
      <c r="S765" s="1"/>
      <c r="T765" s="1"/>
    </row>
    <row r="766" ht="15.75" customHeight="1">
      <c r="A766" s="36"/>
      <c r="B766" s="37"/>
      <c r="C766" s="37"/>
      <c r="D766" s="37"/>
      <c r="E766" s="37"/>
      <c r="F766" s="37"/>
      <c r="G766" s="1"/>
      <c r="H766" s="1"/>
      <c r="I766" s="1"/>
      <c r="J766" s="1"/>
      <c r="K766" s="1"/>
      <c r="L766" s="1"/>
      <c r="M766" s="1"/>
      <c r="N766" s="1"/>
      <c r="O766" s="1"/>
      <c r="P766" s="1"/>
      <c r="Q766" s="1"/>
      <c r="R766" s="1"/>
      <c r="S766" s="1"/>
      <c r="T766" s="1"/>
    </row>
    <row r="767" ht="15.75" customHeight="1">
      <c r="A767" s="36"/>
      <c r="B767" s="37"/>
      <c r="C767" s="37"/>
      <c r="D767" s="37"/>
      <c r="E767" s="37"/>
      <c r="F767" s="37"/>
      <c r="G767" s="1"/>
      <c r="H767" s="1"/>
      <c r="I767" s="1"/>
      <c r="J767" s="1"/>
      <c r="K767" s="1"/>
      <c r="L767" s="1"/>
      <c r="M767" s="1"/>
      <c r="N767" s="1"/>
      <c r="O767" s="1"/>
      <c r="P767" s="1"/>
      <c r="Q767" s="1"/>
      <c r="R767" s="1"/>
      <c r="S767" s="1"/>
      <c r="T767" s="1"/>
    </row>
    <row r="768" ht="15.75" customHeight="1">
      <c r="A768" s="36"/>
      <c r="B768" s="37"/>
      <c r="C768" s="37"/>
      <c r="D768" s="37"/>
      <c r="E768" s="37"/>
      <c r="F768" s="37"/>
      <c r="G768" s="1"/>
      <c r="H768" s="1"/>
      <c r="I768" s="1"/>
      <c r="J768" s="1"/>
      <c r="K768" s="1"/>
      <c r="L768" s="1"/>
      <c r="M768" s="1"/>
      <c r="N768" s="1"/>
      <c r="O768" s="1"/>
      <c r="P768" s="1"/>
      <c r="Q768" s="1"/>
      <c r="R768" s="1"/>
      <c r="S768" s="1"/>
      <c r="T768" s="1"/>
    </row>
    <row r="769" ht="15.75" customHeight="1">
      <c r="A769" s="36"/>
      <c r="B769" s="37"/>
      <c r="C769" s="37"/>
      <c r="D769" s="37"/>
      <c r="E769" s="37"/>
      <c r="F769" s="37"/>
      <c r="G769" s="1"/>
      <c r="H769" s="1"/>
      <c r="I769" s="1"/>
      <c r="J769" s="1"/>
      <c r="K769" s="1"/>
      <c r="L769" s="1"/>
      <c r="M769" s="1"/>
      <c r="N769" s="1"/>
      <c r="O769" s="1"/>
      <c r="P769" s="1"/>
      <c r="Q769" s="1"/>
      <c r="R769" s="1"/>
      <c r="S769" s="1"/>
      <c r="T769" s="1"/>
    </row>
    <row r="770" ht="15.75" customHeight="1">
      <c r="A770" s="36"/>
      <c r="B770" s="37"/>
      <c r="C770" s="37"/>
      <c r="D770" s="37"/>
      <c r="E770" s="37"/>
      <c r="F770" s="37"/>
      <c r="G770" s="1"/>
      <c r="H770" s="1"/>
      <c r="I770" s="1"/>
      <c r="J770" s="1"/>
      <c r="K770" s="1"/>
      <c r="L770" s="1"/>
      <c r="M770" s="1"/>
      <c r="N770" s="1"/>
      <c r="O770" s="1"/>
      <c r="P770" s="1"/>
      <c r="Q770" s="1"/>
      <c r="R770" s="1"/>
      <c r="S770" s="1"/>
      <c r="T770" s="1"/>
    </row>
    <row r="771" ht="15.75" customHeight="1">
      <c r="A771" s="36"/>
      <c r="B771" s="37"/>
      <c r="C771" s="37"/>
      <c r="D771" s="37"/>
      <c r="E771" s="37"/>
      <c r="F771" s="37"/>
      <c r="G771" s="1"/>
      <c r="H771" s="1"/>
      <c r="I771" s="1"/>
      <c r="J771" s="1"/>
      <c r="K771" s="1"/>
      <c r="L771" s="1"/>
      <c r="M771" s="1"/>
      <c r="N771" s="1"/>
      <c r="O771" s="1"/>
      <c r="P771" s="1"/>
      <c r="Q771" s="1"/>
      <c r="R771" s="1"/>
      <c r="S771" s="1"/>
      <c r="T771" s="1"/>
    </row>
    <row r="772" ht="15.75" customHeight="1">
      <c r="A772" s="36"/>
      <c r="B772" s="37"/>
      <c r="C772" s="37"/>
      <c r="D772" s="37"/>
      <c r="E772" s="37"/>
      <c r="F772" s="37"/>
      <c r="G772" s="1"/>
      <c r="H772" s="1"/>
      <c r="I772" s="1"/>
      <c r="J772" s="1"/>
      <c r="K772" s="1"/>
      <c r="L772" s="1"/>
      <c r="M772" s="1"/>
      <c r="N772" s="1"/>
      <c r="O772" s="1"/>
      <c r="P772" s="1"/>
      <c r="Q772" s="1"/>
      <c r="R772" s="1"/>
      <c r="S772" s="1"/>
      <c r="T772" s="1"/>
    </row>
    <row r="773" ht="15.75" customHeight="1">
      <c r="A773" s="36"/>
      <c r="B773" s="37"/>
      <c r="C773" s="37"/>
      <c r="D773" s="37"/>
      <c r="E773" s="37"/>
      <c r="F773" s="37"/>
      <c r="G773" s="1"/>
      <c r="H773" s="1"/>
      <c r="I773" s="1"/>
      <c r="J773" s="1"/>
      <c r="K773" s="1"/>
      <c r="L773" s="1"/>
      <c r="M773" s="1"/>
      <c r="N773" s="1"/>
      <c r="O773" s="1"/>
      <c r="P773" s="1"/>
      <c r="Q773" s="1"/>
      <c r="R773" s="1"/>
      <c r="S773" s="1"/>
      <c r="T773" s="1"/>
    </row>
    <row r="774" ht="15.75" customHeight="1">
      <c r="A774" s="36"/>
      <c r="B774" s="37"/>
      <c r="C774" s="37"/>
      <c r="D774" s="37"/>
      <c r="E774" s="37"/>
      <c r="F774" s="37"/>
      <c r="G774" s="1"/>
      <c r="H774" s="1"/>
      <c r="I774" s="1"/>
      <c r="J774" s="1"/>
      <c r="K774" s="1"/>
      <c r="L774" s="1"/>
      <c r="M774" s="1"/>
      <c r="N774" s="1"/>
      <c r="O774" s="1"/>
      <c r="P774" s="1"/>
      <c r="Q774" s="1"/>
      <c r="R774" s="1"/>
      <c r="S774" s="1"/>
      <c r="T774" s="1"/>
    </row>
    <row r="775" ht="15.75" customHeight="1">
      <c r="A775" s="36"/>
      <c r="B775" s="37"/>
      <c r="C775" s="37"/>
      <c r="D775" s="37"/>
      <c r="E775" s="37"/>
      <c r="F775" s="37"/>
      <c r="G775" s="1"/>
      <c r="H775" s="1"/>
      <c r="I775" s="1"/>
      <c r="J775" s="1"/>
      <c r="K775" s="1"/>
      <c r="L775" s="1"/>
      <c r="M775" s="1"/>
      <c r="N775" s="1"/>
      <c r="O775" s="1"/>
      <c r="P775" s="1"/>
      <c r="Q775" s="1"/>
      <c r="R775" s="1"/>
      <c r="S775" s="1"/>
      <c r="T775" s="1"/>
    </row>
    <row r="776" ht="15.75" customHeight="1">
      <c r="A776" s="36"/>
      <c r="B776" s="37"/>
      <c r="C776" s="37"/>
      <c r="D776" s="37"/>
      <c r="E776" s="37"/>
      <c r="F776" s="37"/>
      <c r="G776" s="1"/>
      <c r="H776" s="1"/>
      <c r="I776" s="1"/>
      <c r="J776" s="1"/>
      <c r="K776" s="1"/>
      <c r="L776" s="1"/>
      <c r="M776" s="1"/>
      <c r="N776" s="1"/>
      <c r="O776" s="1"/>
      <c r="P776" s="1"/>
      <c r="Q776" s="1"/>
      <c r="R776" s="1"/>
      <c r="S776" s="1"/>
      <c r="T776" s="1"/>
    </row>
    <row r="777" ht="15.75" customHeight="1">
      <c r="A777" s="36"/>
      <c r="B777" s="37"/>
      <c r="C777" s="37"/>
      <c r="D777" s="37"/>
      <c r="E777" s="37"/>
      <c r="F777" s="37"/>
      <c r="G777" s="1"/>
      <c r="H777" s="1"/>
      <c r="I777" s="1"/>
      <c r="J777" s="1"/>
      <c r="K777" s="1"/>
      <c r="L777" s="1"/>
      <c r="M777" s="1"/>
      <c r="N777" s="1"/>
      <c r="O777" s="1"/>
      <c r="P777" s="1"/>
      <c r="Q777" s="1"/>
      <c r="R777" s="1"/>
      <c r="S777" s="1"/>
      <c r="T777" s="1"/>
    </row>
    <row r="778" ht="15.75" customHeight="1">
      <c r="A778" s="36"/>
      <c r="B778" s="37"/>
      <c r="C778" s="37"/>
      <c r="D778" s="37"/>
      <c r="E778" s="37"/>
      <c r="F778" s="37"/>
      <c r="G778" s="1"/>
      <c r="H778" s="1"/>
      <c r="I778" s="1"/>
      <c r="J778" s="1"/>
      <c r="K778" s="1"/>
      <c r="L778" s="1"/>
      <c r="M778" s="1"/>
      <c r="N778" s="1"/>
      <c r="O778" s="1"/>
      <c r="P778" s="1"/>
      <c r="Q778" s="1"/>
      <c r="R778" s="1"/>
      <c r="S778" s="1"/>
      <c r="T778" s="1"/>
    </row>
    <row r="779" ht="15.75" customHeight="1">
      <c r="A779" s="36"/>
      <c r="B779" s="37"/>
      <c r="C779" s="37"/>
      <c r="D779" s="37"/>
      <c r="E779" s="37"/>
      <c r="F779" s="37"/>
      <c r="G779" s="1"/>
      <c r="H779" s="1"/>
      <c r="I779" s="1"/>
      <c r="J779" s="1"/>
      <c r="K779" s="1"/>
      <c r="L779" s="1"/>
      <c r="M779" s="1"/>
      <c r="N779" s="1"/>
      <c r="O779" s="1"/>
      <c r="P779" s="1"/>
      <c r="Q779" s="1"/>
      <c r="R779" s="1"/>
      <c r="S779" s="1"/>
      <c r="T779" s="1"/>
    </row>
    <row r="780" ht="15.75" customHeight="1">
      <c r="A780" s="36"/>
      <c r="B780" s="37"/>
      <c r="C780" s="37"/>
      <c r="D780" s="37"/>
      <c r="E780" s="37"/>
      <c r="F780" s="37"/>
      <c r="G780" s="1"/>
      <c r="H780" s="1"/>
      <c r="I780" s="1"/>
      <c r="J780" s="1"/>
      <c r="K780" s="1"/>
      <c r="L780" s="1"/>
      <c r="M780" s="1"/>
      <c r="N780" s="1"/>
      <c r="O780" s="1"/>
      <c r="P780" s="1"/>
      <c r="Q780" s="1"/>
      <c r="R780" s="1"/>
      <c r="S780" s="1"/>
      <c r="T780" s="1"/>
    </row>
    <row r="781" ht="15.75" customHeight="1">
      <c r="A781" s="36"/>
      <c r="B781" s="37"/>
      <c r="C781" s="37"/>
      <c r="D781" s="37"/>
      <c r="E781" s="37"/>
      <c r="F781" s="37"/>
      <c r="G781" s="1"/>
      <c r="H781" s="1"/>
      <c r="I781" s="1"/>
      <c r="J781" s="1"/>
      <c r="K781" s="1"/>
      <c r="L781" s="1"/>
      <c r="M781" s="1"/>
      <c r="N781" s="1"/>
      <c r="O781" s="1"/>
      <c r="P781" s="1"/>
      <c r="Q781" s="1"/>
      <c r="R781" s="1"/>
      <c r="S781" s="1"/>
      <c r="T781" s="1"/>
    </row>
    <row r="782" ht="15.75" customHeight="1">
      <c r="A782" s="36"/>
      <c r="B782" s="37"/>
      <c r="C782" s="37"/>
      <c r="D782" s="37"/>
      <c r="E782" s="37"/>
      <c r="F782" s="37"/>
      <c r="G782" s="1"/>
      <c r="H782" s="1"/>
      <c r="I782" s="1"/>
      <c r="J782" s="1"/>
      <c r="K782" s="1"/>
      <c r="L782" s="1"/>
      <c r="M782" s="1"/>
      <c r="N782" s="1"/>
      <c r="O782" s="1"/>
      <c r="P782" s="1"/>
      <c r="Q782" s="1"/>
      <c r="R782" s="1"/>
      <c r="S782" s="1"/>
      <c r="T782" s="1"/>
    </row>
    <row r="783" ht="15.75" customHeight="1">
      <c r="A783" s="36"/>
      <c r="B783" s="37"/>
      <c r="C783" s="37"/>
      <c r="D783" s="37"/>
      <c r="E783" s="37"/>
      <c r="F783" s="37"/>
      <c r="G783" s="1"/>
      <c r="H783" s="1"/>
      <c r="I783" s="1"/>
      <c r="J783" s="1"/>
      <c r="K783" s="1"/>
      <c r="L783" s="1"/>
      <c r="M783" s="1"/>
      <c r="N783" s="1"/>
      <c r="O783" s="1"/>
      <c r="P783" s="1"/>
      <c r="Q783" s="1"/>
      <c r="R783" s="1"/>
      <c r="S783" s="1"/>
      <c r="T783" s="1"/>
    </row>
    <row r="784" ht="15.75" customHeight="1">
      <c r="A784" s="36"/>
      <c r="B784" s="37"/>
      <c r="C784" s="37"/>
      <c r="D784" s="37"/>
      <c r="E784" s="37"/>
      <c r="F784" s="37"/>
      <c r="G784" s="1"/>
      <c r="H784" s="1"/>
      <c r="I784" s="1"/>
      <c r="J784" s="1"/>
      <c r="K784" s="1"/>
      <c r="L784" s="1"/>
      <c r="M784" s="1"/>
      <c r="N784" s="1"/>
      <c r="O784" s="1"/>
      <c r="P784" s="1"/>
      <c r="Q784" s="1"/>
      <c r="R784" s="1"/>
      <c r="S784" s="1"/>
      <c r="T784" s="1"/>
    </row>
    <row r="785" ht="15.75" customHeight="1">
      <c r="A785" s="36"/>
      <c r="B785" s="37"/>
      <c r="C785" s="37"/>
      <c r="D785" s="37"/>
      <c r="E785" s="37"/>
      <c r="F785" s="37"/>
      <c r="G785" s="1"/>
      <c r="H785" s="1"/>
      <c r="I785" s="1"/>
      <c r="J785" s="1"/>
      <c r="K785" s="1"/>
      <c r="L785" s="1"/>
      <c r="M785" s="1"/>
      <c r="N785" s="1"/>
      <c r="O785" s="1"/>
      <c r="P785" s="1"/>
      <c r="Q785" s="1"/>
      <c r="R785" s="1"/>
      <c r="S785" s="1"/>
      <c r="T785" s="1"/>
    </row>
    <row r="786" ht="15.75" customHeight="1">
      <c r="A786" s="36"/>
      <c r="B786" s="37"/>
      <c r="C786" s="37"/>
      <c r="D786" s="37"/>
      <c r="E786" s="37"/>
      <c r="F786" s="37"/>
      <c r="G786" s="1"/>
      <c r="H786" s="1"/>
      <c r="I786" s="1"/>
      <c r="J786" s="1"/>
      <c r="K786" s="1"/>
      <c r="L786" s="1"/>
      <c r="M786" s="1"/>
      <c r="N786" s="1"/>
      <c r="O786" s="1"/>
      <c r="P786" s="1"/>
      <c r="Q786" s="1"/>
      <c r="R786" s="1"/>
      <c r="S786" s="1"/>
      <c r="T786" s="1"/>
    </row>
    <row r="787" ht="15.75" customHeight="1">
      <c r="A787" s="36"/>
      <c r="B787" s="37"/>
      <c r="C787" s="37"/>
      <c r="D787" s="37"/>
      <c r="E787" s="37"/>
      <c r="F787" s="37"/>
      <c r="G787" s="1"/>
      <c r="H787" s="1"/>
      <c r="I787" s="1"/>
      <c r="J787" s="1"/>
      <c r="K787" s="1"/>
      <c r="L787" s="1"/>
      <c r="M787" s="1"/>
      <c r="N787" s="1"/>
      <c r="O787" s="1"/>
      <c r="P787" s="1"/>
      <c r="Q787" s="1"/>
      <c r="R787" s="1"/>
      <c r="S787" s="1"/>
      <c r="T787" s="1"/>
    </row>
    <row r="788" ht="15.75" customHeight="1">
      <c r="A788" s="36"/>
      <c r="B788" s="37"/>
      <c r="C788" s="37"/>
      <c r="D788" s="37"/>
      <c r="E788" s="37"/>
      <c r="F788" s="37"/>
      <c r="G788" s="1"/>
      <c r="H788" s="1"/>
      <c r="I788" s="1"/>
      <c r="J788" s="1"/>
      <c r="K788" s="1"/>
      <c r="L788" s="1"/>
      <c r="M788" s="1"/>
      <c r="N788" s="1"/>
      <c r="O788" s="1"/>
      <c r="P788" s="1"/>
      <c r="Q788" s="1"/>
      <c r="R788" s="1"/>
      <c r="S788" s="1"/>
      <c r="T788" s="1"/>
    </row>
    <row r="789" ht="15.75" customHeight="1">
      <c r="A789" s="36"/>
      <c r="B789" s="37"/>
      <c r="C789" s="37"/>
      <c r="D789" s="37"/>
      <c r="E789" s="37"/>
      <c r="F789" s="37"/>
      <c r="G789" s="1"/>
      <c r="H789" s="1"/>
      <c r="I789" s="1"/>
      <c r="J789" s="1"/>
      <c r="K789" s="1"/>
      <c r="L789" s="1"/>
      <c r="M789" s="1"/>
      <c r="N789" s="1"/>
      <c r="O789" s="1"/>
      <c r="P789" s="1"/>
      <c r="Q789" s="1"/>
      <c r="R789" s="1"/>
      <c r="S789" s="1"/>
      <c r="T789" s="1"/>
    </row>
    <row r="790" ht="15.75" customHeight="1">
      <c r="A790" s="36"/>
      <c r="B790" s="37"/>
      <c r="C790" s="37"/>
      <c r="D790" s="37"/>
      <c r="E790" s="37"/>
      <c r="F790" s="37"/>
      <c r="G790" s="1"/>
      <c r="H790" s="1"/>
      <c r="I790" s="1"/>
      <c r="J790" s="1"/>
      <c r="K790" s="1"/>
      <c r="L790" s="1"/>
      <c r="M790" s="1"/>
      <c r="N790" s="1"/>
      <c r="O790" s="1"/>
      <c r="P790" s="1"/>
      <c r="Q790" s="1"/>
      <c r="R790" s="1"/>
      <c r="S790" s="1"/>
      <c r="T790" s="1"/>
    </row>
    <row r="791" ht="15.75" customHeight="1">
      <c r="A791" s="36"/>
      <c r="B791" s="37"/>
      <c r="C791" s="37"/>
      <c r="D791" s="37"/>
      <c r="E791" s="37"/>
      <c r="F791" s="37"/>
      <c r="G791" s="1"/>
      <c r="H791" s="1"/>
      <c r="I791" s="1"/>
      <c r="J791" s="1"/>
      <c r="K791" s="1"/>
      <c r="L791" s="1"/>
      <c r="M791" s="1"/>
      <c r="N791" s="1"/>
      <c r="O791" s="1"/>
      <c r="P791" s="1"/>
      <c r="Q791" s="1"/>
      <c r="R791" s="1"/>
      <c r="S791" s="1"/>
      <c r="T791" s="1"/>
    </row>
    <row r="792" ht="15.75" customHeight="1">
      <c r="A792" s="36"/>
      <c r="B792" s="37"/>
      <c r="C792" s="37"/>
      <c r="D792" s="37"/>
      <c r="E792" s="37"/>
      <c r="F792" s="37"/>
      <c r="G792" s="1"/>
      <c r="H792" s="1"/>
      <c r="I792" s="1"/>
      <c r="J792" s="1"/>
      <c r="K792" s="1"/>
      <c r="L792" s="1"/>
      <c r="M792" s="1"/>
      <c r="N792" s="1"/>
      <c r="O792" s="1"/>
      <c r="P792" s="1"/>
      <c r="Q792" s="1"/>
      <c r="R792" s="1"/>
      <c r="S792" s="1"/>
      <c r="T792" s="1"/>
    </row>
    <row r="793" ht="15.75" customHeight="1">
      <c r="A793" s="36"/>
      <c r="B793" s="37"/>
      <c r="C793" s="37"/>
      <c r="D793" s="37"/>
      <c r="E793" s="37"/>
      <c r="F793" s="37"/>
      <c r="G793" s="1"/>
      <c r="H793" s="1"/>
      <c r="I793" s="1"/>
      <c r="J793" s="1"/>
      <c r="K793" s="1"/>
      <c r="L793" s="1"/>
      <c r="M793" s="1"/>
      <c r="N793" s="1"/>
      <c r="O793" s="1"/>
      <c r="P793" s="1"/>
      <c r="Q793" s="1"/>
      <c r="R793" s="1"/>
      <c r="S793" s="1"/>
      <c r="T793" s="1"/>
    </row>
    <row r="794" ht="15.75" customHeight="1">
      <c r="A794" s="36"/>
      <c r="B794" s="37"/>
      <c r="C794" s="37"/>
      <c r="D794" s="37"/>
      <c r="E794" s="37"/>
      <c r="F794" s="37"/>
      <c r="G794" s="1"/>
      <c r="H794" s="1"/>
      <c r="I794" s="1"/>
      <c r="J794" s="1"/>
      <c r="K794" s="1"/>
      <c r="L794" s="1"/>
      <c r="M794" s="1"/>
      <c r="N794" s="1"/>
      <c r="O794" s="1"/>
      <c r="P794" s="1"/>
      <c r="Q794" s="1"/>
      <c r="R794" s="1"/>
      <c r="S794" s="1"/>
      <c r="T794" s="1"/>
    </row>
    <row r="795" ht="15.75" customHeight="1">
      <c r="A795" s="36"/>
      <c r="B795" s="37"/>
      <c r="C795" s="37"/>
      <c r="D795" s="37"/>
      <c r="E795" s="37"/>
      <c r="F795" s="37"/>
      <c r="G795" s="1"/>
      <c r="H795" s="1"/>
      <c r="I795" s="1"/>
      <c r="J795" s="1"/>
      <c r="K795" s="1"/>
      <c r="L795" s="1"/>
      <c r="M795" s="1"/>
      <c r="N795" s="1"/>
      <c r="O795" s="1"/>
      <c r="P795" s="1"/>
      <c r="Q795" s="1"/>
      <c r="R795" s="1"/>
      <c r="S795" s="1"/>
      <c r="T795" s="1"/>
    </row>
    <row r="796" ht="15.75" customHeight="1">
      <c r="A796" s="36"/>
      <c r="B796" s="37"/>
      <c r="C796" s="37"/>
      <c r="D796" s="37"/>
      <c r="E796" s="37"/>
      <c r="F796" s="37"/>
      <c r="G796" s="1"/>
      <c r="H796" s="1"/>
      <c r="I796" s="1"/>
      <c r="J796" s="1"/>
      <c r="K796" s="1"/>
      <c r="L796" s="1"/>
      <c r="M796" s="1"/>
      <c r="N796" s="1"/>
      <c r="O796" s="1"/>
      <c r="P796" s="1"/>
      <c r="Q796" s="1"/>
      <c r="R796" s="1"/>
      <c r="S796" s="1"/>
      <c r="T796" s="1"/>
    </row>
    <row r="797" ht="15.75" customHeight="1">
      <c r="A797" s="36"/>
      <c r="B797" s="37"/>
      <c r="C797" s="37"/>
      <c r="D797" s="37"/>
      <c r="E797" s="37"/>
      <c r="F797" s="37"/>
      <c r="G797" s="1"/>
      <c r="H797" s="1"/>
      <c r="I797" s="1"/>
      <c r="J797" s="1"/>
      <c r="K797" s="1"/>
      <c r="L797" s="1"/>
      <c r="M797" s="1"/>
      <c r="N797" s="1"/>
      <c r="O797" s="1"/>
      <c r="P797" s="1"/>
      <c r="Q797" s="1"/>
      <c r="R797" s="1"/>
      <c r="S797" s="1"/>
      <c r="T797" s="1"/>
    </row>
    <row r="798" ht="15.75" customHeight="1">
      <c r="A798" s="36"/>
      <c r="B798" s="37"/>
      <c r="C798" s="37"/>
      <c r="D798" s="37"/>
      <c r="E798" s="37"/>
      <c r="F798" s="37"/>
      <c r="G798" s="1"/>
      <c r="H798" s="1"/>
      <c r="I798" s="1"/>
      <c r="J798" s="1"/>
      <c r="K798" s="1"/>
      <c r="L798" s="1"/>
      <c r="M798" s="1"/>
      <c r="N798" s="1"/>
      <c r="O798" s="1"/>
      <c r="P798" s="1"/>
      <c r="Q798" s="1"/>
      <c r="R798" s="1"/>
      <c r="S798" s="1"/>
      <c r="T798" s="1"/>
    </row>
    <row r="799" ht="15.75" customHeight="1">
      <c r="A799" s="36"/>
      <c r="B799" s="37"/>
      <c r="C799" s="37"/>
      <c r="D799" s="37"/>
      <c r="E799" s="37"/>
      <c r="F799" s="37"/>
      <c r="G799" s="1"/>
      <c r="H799" s="1"/>
      <c r="I799" s="1"/>
      <c r="J799" s="1"/>
      <c r="K799" s="1"/>
      <c r="L799" s="1"/>
      <c r="M799" s="1"/>
      <c r="N799" s="1"/>
      <c r="O799" s="1"/>
      <c r="P799" s="1"/>
      <c r="Q799" s="1"/>
      <c r="R799" s="1"/>
      <c r="S799" s="1"/>
      <c r="T799" s="1"/>
    </row>
    <row r="800" ht="15.75" customHeight="1">
      <c r="A800" s="36"/>
      <c r="B800" s="37"/>
      <c r="C800" s="37"/>
      <c r="D800" s="37"/>
      <c r="E800" s="37"/>
      <c r="F800" s="37"/>
      <c r="G800" s="1"/>
      <c r="H800" s="1"/>
      <c r="I800" s="1"/>
      <c r="J800" s="1"/>
      <c r="K800" s="1"/>
      <c r="L800" s="1"/>
      <c r="M800" s="1"/>
      <c r="N800" s="1"/>
      <c r="O800" s="1"/>
      <c r="P800" s="1"/>
      <c r="Q800" s="1"/>
      <c r="R800" s="1"/>
      <c r="S800" s="1"/>
      <c r="T800" s="1"/>
    </row>
    <row r="801" ht="15.75" customHeight="1">
      <c r="A801" s="36"/>
      <c r="B801" s="37"/>
      <c r="C801" s="37"/>
      <c r="D801" s="37"/>
      <c r="E801" s="37"/>
      <c r="F801" s="37"/>
      <c r="G801" s="1"/>
      <c r="H801" s="1"/>
      <c r="I801" s="1"/>
      <c r="J801" s="1"/>
      <c r="K801" s="1"/>
      <c r="L801" s="1"/>
      <c r="M801" s="1"/>
      <c r="N801" s="1"/>
      <c r="O801" s="1"/>
      <c r="P801" s="1"/>
      <c r="Q801" s="1"/>
      <c r="R801" s="1"/>
      <c r="S801" s="1"/>
      <c r="T801" s="1"/>
    </row>
    <row r="802" ht="15.75" customHeight="1">
      <c r="A802" s="36"/>
      <c r="B802" s="37"/>
      <c r="C802" s="37"/>
      <c r="D802" s="37"/>
      <c r="E802" s="37"/>
      <c r="F802" s="37"/>
      <c r="G802" s="1"/>
      <c r="H802" s="1"/>
      <c r="I802" s="1"/>
      <c r="J802" s="1"/>
      <c r="K802" s="1"/>
      <c r="L802" s="1"/>
      <c r="M802" s="1"/>
      <c r="N802" s="1"/>
      <c r="O802" s="1"/>
      <c r="P802" s="1"/>
      <c r="Q802" s="1"/>
      <c r="R802" s="1"/>
      <c r="S802" s="1"/>
      <c r="T802" s="1"/>
    </row>
    <row r="803" ht="15.75" customHeight="1">
      <c r="A803" s="36"/>
      <c r="B803" s="37"/>
      <c r="C803" s="37"/>
      <c r="D803" s="37"/>
      <c r="E803" s="37"/>
      <c r="F803" s="37"/>
      <c r="G803" s="1"/>
      <c r="H803" s="1"/>
      <c r="I803" s="1"/>
      <c r="J803" s="1"/>
      <c r="K803" s="1"/>
      <c r="L803" s="1"/>
      <c r="M803" s="1"/>
      <c r="N803" s="1"/>
      <c r="O803" s="1"/>
      <c r="P803" s="1"/>
      <c r="Q803" s="1"/>
      <c r="R803" s="1"/>
      <c r="S803" s="1"/>
      <c r="T803" s="1"/>
    </row>
    <row r="804" ht="15.75" customHeight="1">
      <c r="A804" s="36"/>
      <c r="B804" s="37"/>
      <c r="C804" s="37"/>
      <c r="D804" s="37"/>
      <c r="E804" s="37"/>
      <c r="F804" s="37"/>
      <c r="G804" s="1"/>
      <c r="H804" s="1"/>
      <c r="I804" s="1"/>
      <c r="J804" s="1"/>
      <c r="K804" s="1"/>
      <c r="L804" s="1"/>
      <c r="M804" s="1"/>
      <c r="N804" s="1"/>
      <c r="O804" s="1"/>
      <c r="P804" s="1"/>
      <c r="Q804" s="1"/>
      <c r="R804" s="1"/>
      <c r="S804" s="1"/>
      <c r="T804" s="1"/>
    </row>
    <row r="805" ht="15.75" customHeight="1">
      <c r="A805" s="36"/>
      <c r="B805" s="37"/>
      <c r="C805" s="37"/>
      <c r="D805" s="37"/>
      <c r="E805" s="37"/>
      <c r="F805" s="37"/>
      <c r="G805" s="1"/>
      <c r="H805" s="1"/>
      <c r="I805" s="1"/>
      <c r="J805" s="1"/>
      <c r="K805" s="1"/>
      <c r="L805" s="1"/>
      <c r="M805" s="1"/>
      <c r="N805" s="1"/>
      <c r="O805" s="1"/>
      <c r="P805" s="1"/>
      <c r="Q805" s="1"/>
      <c r="R805" s="1"/>
      <c r="S805" s="1"/>
      <c r="T805" s="1"/>
    </row>
    <row r="806" ht="15.75" customHeight="1">
      <c r="A806" s="36"/>
      <c r="B806" s="37"/>
      <c r="C806" s="37"/>
      <c r="D806" s="37"/>
      <c r="E806" s="37"/>
      <c r="F806" s="37"/>
      <c r="G806" s="1"/>
      <c r="H806" s="1"/>
      <c r="I806" s="1"/>
      <c r="J806" s="1"/>
      <c r="K806" s="1"/>
      <c r="L806" s="1"/>
      <c r="M806" s="1"/>
      <c r="N806" s="1"/>
      <c r="O806" s="1"/>
      <c r="P806" s="1"/>
      <c r="Q806" s="1"/>
      <c r="R806" s="1"/>
      <c r="S806" s="1"/>
      <c r="T806" s="1"/>
    </row>
    <row r="807" ht="15.75" customHeight="1">
      <c r="A807" s="36"/>
      <c r="B807" s="37"/>
      <c r="C807" s="37"/>
      <c r="D807" s="37"/>
      <c r="E807" s="37"/>
      <c r="F807" s="37"/>
      <c r="G807" s="1"/>
      <c r="H807" s="1"/>
      <c r="I807" s="1"/>
      <c r="J807" s="1"/>
      <c r="K807" s="1"/>
      <c r="L807" s="1"/>
      <c r="M807" s="1"/>
      <c r="N807" s="1"/>
      <c r="O807" s="1"/>
      <c r="P807" s="1"/>
      <c r="Q807" s="1"/>
      <c r="R807" s="1"/>
      <c r="S807" s="1"/>
      <c r="T807" s="1"/>
    </row>
    <row r="808" ht="15.75" customHeight="1">
      <c r="A808" s="36"/>
      <c r="B808" s="37"/>
      <c r="C808" s="37"/>
      <c r="D808" s="37"/>
      <c r="E808" s="37"/>
      <c r="F808" s="37"/>
      <c r="G808" s="1"/>
      <c r="H808" s="1"/>
      <c r="I808" s="1"/>
      <c r="J808" s="1"/>
      <c r="K808" s="1"/>
      <c r="L808" s="1"/>
      <c r="M808" s="1"/>
      <c r="N808" s="1"/>
      <c r="O808" s="1"/>
      <c r="P808" s="1"/>
      <c r="Q808" s="1"/>
      <c r="R808" s="1"/>
      <c r="S808" s="1"/>
      <c r="T808" s="1"/>
    </row>
    <row r="809" ht="15.75" customHeight="1">
      <c r="A809" s="36"/>
      <c r="B809" s="37"/>
      <c r="C809" s="37"/>
      <c r="D809" s="37"/>
      <c r="E809" s="37"/>
      <c r="F809" s="37"/>
      <c r="G809" s="1"/>
      <c r="H809" s="1"/>
      <c r="I809" s="1"/>
      <c r="J809" s="1"/>
      <c r="K809" s="1"/>
      <c r="L809" s="1"/>
      <c r="M809" s="1"/>
      <c r="N809" s="1"/>
      <c r="O809" s="1"/>
      <c r="P809" s="1"/>
      <c r="Q809" s="1"/>
      <c r="R809" s="1"/>
      <c r="S809" s="1"/>
      <c r="T809" s="1"/>
    </row>
    <row r="810" ht="15.75" customHeight="1">
      <c r="A810" s="36"/>
      <c r="B810" s="37"/>
      <c r="C810" s="37"/>
      <c r="D810" s="37"/>
      <c r="E810" s="37"/>
      <c r="F810" s="37"/>
      <c r="G810" s="1"/>
      <c r="H810" s="1"/>
      <c r="I810" s="1"/>
      <c r="J810" s="1"/>
      <c r="K810" s="1"/>
      <c r="L810" s="1"/>
      <c r="M810" s="1"/>
      <c r="N810" s="1"/>
      <c r="O810" s="1"/>
      <c r="P810" s="1"/>
      <c r="Q810" s="1"/>
      <c r="R810" s="1"/>
      <c r="S810" s="1"/>
      <c r="T810" s="1"/>
    </row>
    <row r="811" ht="15.75" customHeight="1">
      <c r="A811" s="36"/>
      <c r="B811" s="37"/>
      <c r="C811" s="37"/>
      <c r="D811" s="37"/>
      <c r="E811" s="37"/>
      <c r="F811" s="37"/>
      <c r="G811" s="1"/>
      <c r="H811" s="1"/>
      <c r="I811" s="1"/>
      <c r="J811" s="1"/>
      <c r="K811" s="1"/>
      <c r="L811" s="1"/>
      <c r="M811" s="1"/>
      <c r="N811" s="1"/>
      <c r="O811" s="1"/>
      <c r="P811" s="1"/>
      <c r="Q811" s="1"/>
      <c r="R811" s="1"/>
      <c r="S811" s="1"/>
      <c r="T811" s="1"/>
    </row>
    <row r="812" ht="15.75" customHeight="1">
      <c r="A812" s="36"/>
      <c r="B812" s="37"/>
      <c r="C812" s="37"/>
      <c r="D812" s="37"/>
      <c r="E812" s="37"/>
      <c r="F812" s="37"/>
      <c r="G812" s="1"/>
      <c r="H812" s="1"/>
      <c r="I812" s="1"/>
      <c r="J812" s="1"/>
      <c r="K812" s="1"/>
      <c r="L812" s="1"/>
      <c r="M812" s="1"/>
      <c r="N812" s="1"/>
      <c r="O812" s="1"/>
      <c r="P812" s="1"/>
      <c r="Q812" s="1"/>
      <c r="R812" s="1"/>
      <c r="S812" s="1"/>
      <c r="T812" s="1"/>
    </row>
    <row r="813" ht="15.75" customHeight="1">
      <c r="A813" s="36"/>
      <c r="B813" s="37"/>
      <c r="C813" s="37"/>
      <c r="D813" s="37"/>
      <c r="E813" s="37"/>
      <c r="F813" s="37"/>
      <c r="G813" s="1"/>
      <c r="H813" s="1"/>
      <c r="I813" s="1"/>
      <c r="J813" s="1"/>
      <c r="K813" s="1"/>
      <c r="L813" s="1"/>
      <c r="M813" s="1"/>
      <c r="N813" s="1"/>
      <c r="O813" s="1"/>
      <c r="P813" s="1"/>
      <c r="Q813" s="1"/>
      <c r="R813" s="1"/>
      <c r="S813" s="1"/>
      <c r="T813" s="1"/>
    </row>
    <row r="814" ht="15.75" customHeight="1">
      <c r="A814" s="36"/>
      <c r="B814" s="37"/>
      <c r="C814" s="37"/>
      <c r="D814" s="37"/>
      <c r="E814" s="37"/>
      <c r="F814" s="37"/>
      <c r="G814" s="1"/>
      <c r="H814" s="1"/>
      <c r="I814" s="1"/>
      <c r="J814" s="1"/>
      <c r="K814" s="1"/>
      <c r="L814" s="1"/>
      <c r="M814" s="1"/>
      <c r="N814" s="1"/>
      <c r="O814" s="1"/>
      <c r="P814" s="1"/>
      <c r="Q814" s="1"/>
      <c r="R814" s="1"/>
      <c r="S814" s="1"/>
      <c r="T814" s="1"/>
    </row>
    <row r="815" ht="15.75" customHeight="1">
      <c r="A815" s="36"/>
      <c r="B815" s="37"/>
      <c r="C815" s="37"/>
      <c r="D815" s="37"/>
      <c r="E815" s="37"/>
      <c r="F815" s="37"/>
      <c r="G815" s="1"/>
      <c r="H815" s="1"/>
      <c r="I815" s="1"/>
      <c r="J815" s="1"/>
      <c r="K815" s="1"/>
      <c r="L815" s="1"/>
      <c r="M815" s="1"/>
      <c r="N815" s="1"/>
      <c r="O815" s="1"/>
      <c r="P815" s="1"/>
      <c r="Q815" s="1"/>
      <c r="R815" s="1"/>
      <c r="S815" s="1"/>
      <c r="T815" s="1"/>
    </row>
    <row r="816" ht="15.75" customHeight="1">
      <c r="A816" s="36"/>
      <c r="B816" s="37"/>
      <c r="C816" s="37"/>
      <c r="D816" s="37"/>
      <c r="E816" s="37"/>
      <c r="F816" s="37"/>
      <c r="G816" s="1"/>
      <c r="H816" s="1"/>
      <c r="I816" s="1"/>
      <c r="J816" s="1"/>
      <c r="K816" s="1"/>
      <c r="L816" s="1"/>
      <c r="M816" s="1"/>
      <c r="N816" s="1"/>
      <c r="O816" s="1"/>
      <c r="P816" s="1"/>
      <c r="Q816" s="1"/>
      <c r="R816" s="1"/>
      <c r="S816" s="1"/>
      <c r="T816" s="1"/>
    </row>
    <row r="817" ht="15.75" customHeight="1">
      <c r="A817" s="36"/>
      <c r="B817" s="37"/>
      <c r="C817" s="37"/>
      <c r="D817" s="37"/>
      <c r="E817" s="37"/>
      <c r="F817" s="37"/>
      <c r="G817" s="1"/>
      <c r="H817" s="1"/>
      <c r="I817" s="1"/>
      <c r="J817" s="1"/>
      <c r="K817" s="1"/>
      <c r="L817" s="1"/>
      <c r="M817" s="1"/>
      <c r="N817" s="1"/>
      <c r="O817" s="1"/>
      <c r="P817" s="1"/>
      <c r="Q817" s="1"/>
      <c r="R817" s="1"/>
      <c r="S817" s="1"/>
      <c r="T817" s="1"/>
    </row>
    <row r="818" ht="15.75" customHeight="1">
      <c r="A818" s="36"/>
      <c r="B818" s="37"/>
      <c r="C818" s="37"/>
      <c r="D818" s="37"/>
      <c r="E818" s="37"/>
      <c r="F818" s="37"/>
      <c r="G818" s="1"/>
      <c r="H818" s="1"/>
      <c r="I818" s="1"/>
      <c r="J818" s="1"/>
      <c r="K818" s="1"/>
      <c r="L818" s="1"/>
      <c r="M818" s="1"/>
      <c r="N818" s="1"/>
      <c r="O818" s="1"/>
      <c r="P818" s="1"/>
      <c r="Q818" s="1"/>
      <c r="R818" s="1"/>
      <c r="S818" s="1"/>
      <c r="T818" s="1"/>
    </row>
    <row r="819" ht="15.75" customHeight="1">
      <c r="A819" s="36"/>
      <c r="B819" s="37"/>
      <c r="C819" s="37"/>
      <c r="D819" s="37"/>
      <c r="E819" s="37"/>
      <c r="F819" s="37"/>
      <c r="G819" s="1"/>
      <c r="H819" s="1"/>
      <c r="I819" s="1"/>
      <c r="J819" s="1"/>
      <c r="K819" s="1"/>
      <c r="L819" s="1"/>
      <c r="M819" s="1"/>
      <c r="N819" s="1"/>
      <c r="O819" s="1"/>
      <c r="P819" s="1"/>
      <c r="Q819" s="1"/>
      <c r="R819" s="1"/>
      <c r="S819" s="1"/>
      <c r="T819" s="1"/>
    </row>
    <row r="820" ht="15.75" customHeight="1">
      <c r="A820" s="36"/>
      <c r="B820" s="37"/>
      <c r="C820" s="37"/>
      <c r="D820" s="37"/>
      <c r="E820" s="37"/>
      <c r="F820" s="37"/>
      <c r="G820" s="1"/>
      <c r="H820" s="1"/>
      <c r="I820" s="1"/>
      <c r="J820" s="1"/>
      <c r="K820" s="1"/>
      <c r="L820" s="1"/>
      <c r="M820" s="1"/>
      <c r="N820" s="1"/>
      <c r="O820" s="1"/>
      <c r="P820" s="1"/>
      <c r="Q820" s="1"/>
      <c r="R820" s="1"/>
      <c r="S820" s="1"/>
      <c r="T820" s="1"/>
    </row>
    <row r="821" ht="15.75" customHeight="1">
      <c r="A821" s="36"/>
      <c r="B821" s="37"/>
      <c r="C821" s="37"/>
      <c r="D821" s="37"/>
      <c r="E821" s="37"/>
      <c r="F821" s="37"/>
      <c r="G821" s="1"/>
      <c r="H821" s="1"/>
      <c r="I821" s="1"/>
      <c r="J821" s="1"/>
      <c r="K821" s="1"/>
      <c r="L821" s="1"/>
      <c r="M821" s="1"/>
      <c r="N821" s="1"/>
      <c r="O821" s="1"/>
      <c r="P821" s="1"/>
      <c r="Q821" s="1"/>
      <c r="R821" s="1"/>
      <c r="S821" s="1"/>
      <c r="T821" s="1"/>
    </row>
    <row r="822" ht="15.75" customHeight="1">
      <c r="A822" s="36"/>
      <c r="B822" s="37"/>
      <c r="C822" s="37"/>
      <c r="D822" s="37"/>
      <c r="E822" s="37"/>
      <c r="F822" s="37"/>
      <c r="G822" s="1"/>
      <c r="H822" s="1"/>
      <c r="I822" s="1"/>
      <c r="J822" s="1"/>
      <c r="K822" s="1"/>
      <c r="L822" s="1"/>
      <c r="M822" s="1"/>
      <c r="N822" s="1"/>
      <c r="O822" s="1"/>
      <c r="P822" s="1"/>
      <c r="Q822" s="1"/>
      <c r="R822" s="1"/>
      <c r="S822" s="1"/>
      <c r="T822" s="1"/>
    </row>
    <row r="823" ht="15.75" customHeight="1">
      <c r="A823" s="36"/>
      <c r="B823" s="37"/>
      <c r="C823" s="37"/>
      <c r="D823" s="37"/>
      <c r="E823" s="37"/>
      <c r="F823" s="37"/>
      <c r="G823" s="1"/>
      <c r="H823" s="1"/>
      <c r="I823" s="1"/>
      <c r="J823" s="1"/>
      <c r="K823" s="1"/>
      <c r="L823" s="1"/>
      <c r="M823" s="1"/>
      <c r="N823" s="1"/>
      <c r="O823" s="1"/>
      <c r="P823" s="1"/>
      <c r="Q823" s="1"/>
      <c r="R823" s="1"/>
      <c r="S823" s="1"/>
      <c r="T823" s="1"/>
    </row>
    <row r="824" ht="15.75" customHeight="1">
      <c r="A824" s="36"/>
      <c r="B824" s="37"/>
      <c r="C824" s="37"/>
      <c r="D824" s="37"/>
      <c r="E824" s="37"/>
      <c r="F824" s="37"/>
      <c r="G824" s="1"/>
      <c r="H824" s="1"/>
      <c r="I824" s="1"/>
      <c r="J824" s="1"/>
      <c r="K824" s="1"/>
      <c r="L824" s="1"/>
      <c r="M824" s="1"/>
      <c r="N824" s="1"/>
      <c r="O824" s="1"/>
      <c r="P824" s="1"/>
      <c r="Q824" s="1"/>
      <c r="R824" s="1"/>
      <c r="S824" s="1"/>
      <c r="T824" s="1"/>
    </row>
    <row r="825" ht="15.75" customHeight="1">
      <c r="A825" s="36"/>
      <c r="B825" s="37"/>
      <c r="C825" s="37"/>
      <c r="D825" s="37"/>
      <c r="E825" s="37"/>
      <c r="F825" s="37"/>
      <c r="G825" s="1"/>
      <c r="H825" s="1"/>
      <c r="I825" s="1"/>
      <c r="J825" s="1"/>
      <c r="K825" s="1"/>
      <c r="L825" s="1"/>
      <c r="M825" s="1"/>
      <c r="N825" s="1"/>
      <c r="O825" s="1"/>
      <c r="P825" s="1"/>
      <c r="Q825" s="1"/>
      <c r="R825" s="1"/>
      <c r="S825" s="1"/>
      <c r="T825" s="1"/>
    </row>
    <row r="826" ht="15.75" customHeight="1">
      <c r="A826" s="36"/>
      <c r="B826" s="37"/>
      <c r="C826" s="37"/>
      <c r="D826" s="37"/>
      <c r="E826" s="37"/>
      <c r="F826" s="37"/>
      <c r="G826" s="1"/>
      <c r="H826" s="1"/>
      <c r="I826" s="1"/>
      <c r="J826" s="1"/>
      <c r="K826" s="1"/>
      <c r="L826" s="1"/>
      <c r="M826" s="1"/>
      <c r="N826" s="1"/>
      <c r="O826" s="1"/>
      <c r="P826" s="1"/>
      <c r="Q826" s="1"/>
      <c r="R826" s="1"/>
      <c r="S826" s="1"/>
      <c r="T826" s="1"/>
    </row>
    <row r="827" ht="15.75" customHeight="1">
      <c r="A827" s="36"/>
      <c r="B827" s="37"/>
      <c r="C827" s="37"/>
      <c r="D827" s="37"/>
      <c r="E827" s="37"/>
      <c r="F827" s="37"/>
      <c r="G827" s="1"/>
      <c r="H827" s="1"/>
      <c r="I827" s="1"/>
      <c r="J827" s="1"/>
      <c r="K827" s="1"/>
      <c r="L827" s="1"/>
      <c r="M827" s="1"/>
      <c r="N827" s="1"/>
      <c r="O827" s="1"/>
      <c r="P827" s="1"/>
      <c r="Q827" s="1"/>
      <c r="R827" s="1"/>
      <c r="S827" s="1"/>
      <c r="T827" s="1"/>
    </row>
    <row r="828" ht="15.75" customHeight="1">
      <c r="A828" s="36"/>
      <c r="B828" s="37"/>
      <c r="C828" s="37"/>
      <c r="D828" s="37"/>
      <c r="E828" s="37"/>
      <c r="F828" s="37"/>
      <c r="G828" s="1"/>
      <c r="H828" s="1"/>
      <c r="I828" s="1"/>
      <c r="J828" s="1"/>
      <c r="K828" s="1"/>
      <c r="L828" s="1"/>
      <c r="M828" s="1"/>
      <c r="N828" s="1"/>
      <c r="O828" s="1"/>
      <c r="P828" s="1"/>
      <c r="Q828" s="1"/>
      <c r="R828" s="1"/>
      <c r="S828" s="1"/>
      <c r="T828" s="1"/>
    </row>
    <row r="829" ht="15.75" customHeight="1">
      <c r="A829" s="36"/>
      <c r="B829" s="37"/>
      <c r="C829" s="37"/>
      <c r="D829" s="37"/>
      <c r="E829" s="37"/>
      <c r="F829" s="37"/>
      <c r="G829" s="1"/>
      <c r="H829" s="1"/>
      <c r="I829" s="1"/>
      <c r="J829" s="1"/>
      <c r="K829" s="1"/>
      <c r="L829" s="1"/>
      <c r="M829" s="1"/>
      <c r="N829" s="1"/>
      <c r="O829" s="1"/>
      <c r="P829" s="1"/>
      <c r="Q829" s="1"/>
      <c r="R829" s="1"/>
      <c r="S829" s="1"/>
      <c r="T829" s="1"/>
    </row>
    <row r="830" ht="15.75" customHeight="1">
      <c r="A830" s="36"/>
      <c r="B830" s="37"/>
      <c r="C830" s="37"/>
      <c r="D830" s="37"/>
      <c r="E830" s="37"/>
      <c r="F830" s="37"/>
      <c r="G830" s="1"/>
      <c r="H830" s="1"/>
      <c r="I830" s="1"/>
      <c r="J830" s="1"/>
      <c r="K830" s="1"/>
      <c r="L830" s="1"/>
      <c r="M830" s="1"/>
      <c r="N830" s="1"/>
      <c r="O830" s="1"/>
      <c r="P830" s="1"/>
      <c r="Q830" s="1"/>
      <c r="R830" s="1"/>
      <c r="S830" s="1"/>
      <c r="T830" s="1"/>
    </row>
    <row r="831" ht="15.75" customHeight="1">
      <c r="A831" s="36"/>
      <c r="B831" s="37"/>
      <c r="C831" s="37"/>
      <c r="D831" s="37"/>
      <c r="E831" s="37"/>
      <c r="F831" s="37"/>
      <c r="G831" s="1"/>
      <c r="H831" s="1"/>
      <c r="I831" s="1"/>
      <c r="J831" s="1"/>
      <c r="K831" s="1"/>
      <c r="L831" s="1"/>
      <c r="M831" s="1"/>
      <c r="N831" s="1"/>
      <c r="O831" s="1"/>
      <c r="P831" s="1"/>
      <c r="Q831" s="1"/>
      <c r="R831" s="1"/>
      <c r="S831" s="1"/>
      <c r="T831" s="1"/>
    </row>
    <row r="832" ht="15.75" customHeight="1">
      <c r="A832" s="36"/>
      <c r="B832" s="37"/>
      <c r="C832" s="37"/>
      <c r="D832" s="37"/>
      <c r="E832" s="37"/>
      <c r="F832" s="37"/>
      <c r="G832" s="1"/>
      <c r="H832" s="1"/>
      <c r="I832" s="1"/>
      <c r="J832" s="1"/>
      <c r="K832" s="1"/>
      <c r="L832" s="1"/>
      <c r="M832" s="1"/>
      <c r="N832" s="1"/>
      <c r="O832" s="1"/>
      <c r="P832" s="1"/>
      <c r="Q832" s="1"/>
      <c r="R832" s="1"/>
      <c r="S832" s="1"/>
      <c r="T832" s="1"/>
    </row>
    <row r="833" ht="15.75" customHeight="1">
      <c r="A833" s="36"/>
      <c r="B833" s="37"/>
      <c r="C833" s="37"/>
      <c r="D833" s="37"/>
      <c r="E833" s="37"/>
      <c r="F833" s="37"/>
      <c r="G833" s="1"/>
      <c r="H833" s="1"/>
      <c r="I833" s="1"/>
      <c r="J833" s="1"/>
      <c r="K833" s="1"/>
      <c r="L833" s="1"/>
      <c r="M833" s="1"/>
      <c r="N833" s="1"/>
      <c r="O833" s="1"/>
      <c r="P833" s="1"/>
      <c r="Q833" s="1"/>
      <c r="R833" s="1"/>
      <c r="S833" s="1"/>
      <c r="T833" s="1"/>
    </row>
    <row r="834" ht="15.75" customHeight="1">
      <c r="A834" s="36"/>
      <c r="B834" s="37"/>
      <c r="C834" s="37"/>
      <c r="D834" s="37"/>
      <c r="E834" s="37"/>
      <c r="F834" s="37"/>
      <c r="G834" s="1"/>
      <c r="H834" s="1"/>
      <c r="I834" s="1"/>
      <c r="J834" s="1"/>
      <c r="K834" s="1"/>
      <c r="L834" s="1"/>
      <c r="M834" s="1"/>
      <c r="N834" s="1"/>
      <c r="O834" s="1"/>
      <c r="P834" s="1"/>
      <c r="Q834" s="1"/>
      <c r="R834" s="1"/>
      <c r="S834" s="1"/>
      <c r="T834" s="1"/>
    </row>
    <row r="835" ht="15.75" customHeight="1">
      <c r="A835" s="36"/>
      <c r="B835" s="37"/>
      <c r="C835" s="37"/>
      <c r="D835" s="37"/>
      <c r="E835" s="37"/>
      <c r="F835" s="37"/>
      <c r="G835" s="1"/>
      <c r="H835" s="1"/>
      <c r="I835" s="1"/>
      <c r="J835" s="1"/>
      <c r="K835" s="1"/>
      <c r="L835" s="1"/>
      <c r="M835" s="1"/>
      <c r="N835" s="1"/>
      <c r="O835" s="1"/>
      <c r="P835" s="1"/>
      <c r="Q835" s="1"/>
      <c r="R835" s="1"/>
      <c r="S835" s="1"/>
      <c r="T835" s="1"/>
    </row>
    <row r="836" ht="15.75" customHeight="1">
      <c r="A836" s="36"/>
      <c r="B836" s="37"/>
      <c r="C836" s="37"/>
      <c r="D836" s="37"/>
      <c r="E836" s="37"/>
      <c r="F836" s="37"/>
      <c r="G836" s="1"/>
      <c r="H836" s="1"/>
      <c r="I836" s="1"/>
      <c r="J836" s="1"/>
      <c r="K836" s="1"/>
      <c r="L836" s="1"/>
      <c r="M836" s="1"/>
      <c r="N836" s="1"/>
      <c r="O836" s="1"/>
      <c r="P836" s="1"/>
      <c r="Q836" s="1"/>
      <c r="R836" s="1"/>
      <c r="S836" s="1"/>
      <c r="T836" s="1"/>
    </row>
    <row r="837" ht="15.75" customHeight="1">
      <c r="A837" s="36"/>
      <c r="B837" s="37"/>
      <c r="C837" s="37"/>
      <c r="D837" s="37"/>
      <c r="E837" s="37"/>
      <c r="F837" s="37"/>
      <c r="G837" s="1"/>
      <c r="H837" s="1"/>
      <c r="I837" s="1"/>
      <c r="J837" s="1"/>
      <c r="K837" s="1"/>
      <c r="L837" s="1"/>
      <c r="M837" s="1"/>
      <c r="N837" s="1"/>
      <c r="O837" s="1"/>
      <c r="P837" s="1"/>
      <c r="Q837" s="1"/>
      <c r="R837" s="1"/>
      <c r="S837" s="1"/>
      <c r="T837" s="1"/>
    </row>
    <row r="838" ht="15.75" customHeight="1">
      <c r="A838" s="36"/>
      <c r="B838" s="37"/>
      <c r="C838" s="37"/>
      <c r="D838" s="37"/>
      <c r="E838" s="37"/>
      <c r="F838" s="37"/>
      <c r="G838" s="1"/>
      <c r="H838" s="1"/>
      <c r="I838" s="1"/>
      <c r="J838" s="1"/>
      <c r="K838" s="1"/>
      <c r="L838" s="1"/>
      <c r="M838" s="1"/>
      <c r="N838" s="1"/>
      <c r="O838" s="1"/>
      <c r="P838" s="1"/>
      <c r="Q838" s="1"/>
      <c r="R838" s="1"/>
      <c r="S838" s="1"/>
      <c r="T838" s="1"/>
    </row>
    <row r="839" ht="15.75" customHeight="1">
      <c r="A839" s="36"/>
      <c r="B839" s="37"/>
      <c r="C839" s="37"/>
      <c r="D839" s="37"/>
      <c r="E839" s="37"/>
      <c r="F839" s="37"/>
      <c r="G839" s="1"/>
      <c r="H839" s="1"/>
      <c r="I839" s="1"/>
      <c r="J839" s="1"/>
      <c r="K839" s="1"/>
      <c r="L839" s="1"/>
      <c r="M839" s="1"/>
      <c r="N839" s="1"/>
      <c r="O839" s="1"/>
      <c r="P839" s="1"/>
      <c r="Q839" s="1"/>
      <c r="R839" s="1"/>
      <c r="S839" s="1"/>
      <c r="T839" s="1"/>
    </row>
    <row r="840" ht="15.75" customHeight="1">
      <c r="A840" s="36"/>
      <c r="B840" s="37"/>
      <c r="C840" s="37"/>
      <c r="D840" s="37"/>
      <c r="E840" s="37"/>
      <c r="F840" s="37"/>
      <c r="G840" s="1"/>
      <c r="H840" s="1"/>
      <c r="I840" s="1"/>
      <c r="J840" s="1"/>
      <c r="K840" s="1"/>
      <c r="L840" s="1"/>
      <c r="M840" s="1"/>
      <c r="N840" s="1"/>
      <c r="O840" s="1"/>
      <c r="P840" s="1"/>
      <c r="Q840" s="1"/>
      <c r="R840" s="1"/>
      <c r="S840" s="1"/>
      <c r="T840" s="1"/>
    </row>
    <row r="841" ht="15.75" customHeight="1">
      <c r="A841" s="36"/>
      <c r="B841" s="37"/>
      <c r="C841" s="37"/>
      <c r="D841" s="37"/>
      <c r="E841" s="37"/>
      <c r="F841" s="37"/>
      <c r="G841" s="1"/>
      <c r="H841" s="1"/>
      <c r="I841" s="1"/>
      <c r="J841" s="1"/>
      <c r="K841" s="1"/>
      <c r="L841" s="1"/>
      <c r="M841" s="1"/>
      <c r="N841" s="1"/>
      <c r="O841" s="1"/>
      <c r="P841" s="1"/>
      <c r="Q841" s="1"/>
      <c r="R841" s="1"/>
      <c r="S841" s="1"/>
      <c r="T841" s="1"/>
    </row>
    <row r="842" ht="15.75" customHeight="1">
      <c r="A842" s="36"/>
      <c r="B842" s="37"/>
      <c r="C842" s="37"/>
      <c r="D842" s="37"/>
      <c r="E842" s="37"/>
      <c r="F842" s="37"/>
      <c r="G842" s="1"/>
      <c r="H842" s="1"/>
      <c r="I842" s="1"/>
      <c r="J842" s="1"/>
      <c r="K842" s="1"/>
      <c r="L842" s="1"/>
      <c r="M842" s="1"/>
      <c r="N842" s="1"/>
      <c r="O842" s="1"/>
      <c r="P842" s="1"/>
      <c r="Q842" s="1"/>
      <c r="R842" s="1"/>
      <c r="S842" s="1"/>
      <c r="T842" s="1"/>
    </row>
    <row r="843" ht="15.75" customHeight="1">
      <c r="A843" s="36"/>
      <c r="B843" s="37"/>
      <c r="C843" s="37"/>
      <c r="D843" s="37"/>
      <c r="E843" s="37"/>
      <c r="F843" s="37"/>
      <c r="G843" s="1"/>
      <c r="H843" s="1"/>
      <c r="I843" s="1"/>
      <c r="J843" s="1"/>
      <c r="K843" s="1"/>
      <c r="L843" s="1"/>
      <c r="M843" s="1"/>
      <c r="N843" s="1"/>
      <c r="O843" s="1"/>
      <c r="P843" s="1"/>
      <c r="Q843" s="1"/>
      <c r="R843" s="1"/>
      <c r="S843" s="1"/>
      <c r="T843" s="1"/>
    </row>
    <row r="844" ht="15.75" customHeight="1">
      <c r="A844" s="36"/>
      <c r="B844" s="37"/>
      <c r="C844" s="37"/>
      <c r="D844" s="37"/>
      <c r="E844" s="37"/>
      <c r="F844" s="37"/>
      <c r="G844" s="1"/>
      <c r="H844" s="1"/>
      <c r="I844" s="1"/>
      <c r="J844" s="1"/>
      <c r="K844" s="1"/>
      <c r="L844" s="1"/>
      <c r="M844" s="1"/>
      <c r="N844" s="1"/>
      <c r="O844" s="1"/>
      <c r="P844" s="1"/>
      <c r="Q844" s="1"/>
      <c r="R844" s="1"/>
      <c r="S844" s="1"/>
      <c r="T844" s="1"/>
    </row>
    <row r="845" ht="15.75" customHeight="1">
      <c r="A845" s="36"/>
      <c r="B845" s="37"/>
      <c r="C845" s="37"/>
      <c r="D845" s="37"/>
      <c r="E845" s="37"/>
      <c r="F845" s="37"/>
      <c r="G845" s="1"/>
      <c r="H845" s="1"/>
      <c r="I845" s="1"/>
      <c r="J845" s="1"/>
      <c r="K845" s="1"/>
      <c r="L845" s="1"/>
      <c r="M845" s="1"/>
      <c r="N845" s="1"/>
      <c r="O845" s="1"/>
      <c r="P845" s="1"/>
      <c r="Q845" s="1"/>
      <c r="R845" s="1"/>
      <c r="S845" s="1"/>
      <c r="T845" s="1"/>
    </row>
    <row r="846" ht="15.75" customHeight="1">
      <c r="A846" s="36"/>
      <c r="B846" s="37"/>
      <c r="C846" s="37"/>
      <c r="D846" s="37"/>
      <c r="E846" s="37"/>
      <c r="F846" s="37"/>
      <c r="G846" s="1"/>
      <c r="H846" s="1"/>
      <c r="I846" s="1"/>
      <c r="J846" s="1"/>
      <c r="K846" s="1"/>
      <c r="L846" s="1"/>
      <c r="M846" s="1"/>
      <c r="N846" s="1"/>
      <c r="O846" s="1"/>
      <c r="P846" s="1"/>
      <c r="Q846" s="1"/>
      <c r="R846" s="1"/>
      <c r="S846" s="1"/>
      <c r="T846" s="1"/>
    </row>
    <row r="847" ht="15.75" customHeight="1">
      <c r="A847" s="36"/>
      <c r="B847" s="37"/>
      <c r="C847" s="37"/>
      <c r="D847" s="37"/>
      <c r="E847" s="37"/>
      <c r="F847" s="37"/>
      <c r="G847" s="1"/>
      <c r="H847" s="1"/>
      <c r="I847" s="1"/>
      <c r="J847" s="1"/>
      <c r="K847" s="1"/>
      <c r="L847" s="1"/>
      <c r="M847" s="1"/>
      <c r="N847" s="1"/>
      <c r="O847" s="1"/>
      <c r="P847" s="1"/>
      <c r="Q847" s="1"/>
      <c r="R847" s="1"/>
      <c r="S847" s="1"/>
      <c r="T847" s="1"/>
    </row>
    <row r="848" ht="15.75" customHeight="1">
      <c r="A848" s="36"/>
      <c r="B848" s="37"/>
      <c r="C848" s="37"/>
      <c r="D848" s="37"/>
      <c r="E848" s="37"/>
      <c r="F848" s="37"/>
      <c r="G848" s="1"/>
      <c r="H848" s="1"/>
      <c r="I848" s="1"/>
      <c r="J848" s="1"/>
      <c r="K848" s="1"/>
      <c r="L848" s="1"/>
      <c r="M848" s="1"/>
      <c r="N848" s="1"/>
      <c r="O848" s="1"/>
      <c r="P848" s="1"/>
      <c r="Q848" s="1"/>
      <c r="R848" s="1"/>
      <c r="S848" s="1"/>
      <c r="T848" s="1"/>
    </row>
    <row r="849" ht="15.75" customHeight="1">
      <c r="A849" s="36"/>
      <c r="B849" s="37"/>
      <c r="C849" s="37"/>
      <c r="D849" s="37"/>
      <c r="E849" s="37"/>
      <c r="F849" s="37"/>
      <c r="G849" s="1"/>
      <c r="H849" s="1"/>
      <c r="I849" s="1"/>
      <c r="J849" s="1"/>
      <c r="K849" s="1"/>
      <c r="L849" s="1"/>
      <c r="M849" s="1"/>
      <c r="N849" s="1"/>
      <c r="O849" s="1"/>
      <c r="P849" s="1"/>
      <c r="Q849" s="1"/>
      <c r="R849" s="1"/>
      <c r="S849" s="1"/>
      <c r="T849" s="1"/>
    </row>
    <row r="850" ht="15.75" customHeight="1">
      <c r="A850" s="36"/>
      <c r="B850" s="37"/>
      <c r="C850" s="37"/>
      <c r="D850" s="37"/>
      <c r="E850" s="37"/>
      <c r="F850" s="37"/>
      <c r="G850" s="1"/>
      <c r="H850" s="1"/>
      <c r="I850" s="1"/>
      <c r="J850" s="1"/>
      <c r="K850" s="1"/>
      <c r="L850" s="1"/>
      <c r="M850" s="1"/>
      <c r="N850" s="1"/>
      <c r="O850" s="1"/>
      <c r="P850" s="1"/>
      <c r="Q850" s="1"/>
      <c r="R850" s="1"/>
      <c r="S850" s="1"/>
      <c r="T850" s="1"/>
    </row>
    <row r="851" ht="15.75" customHeight="1">
      <c r="A851" s="36"/>
      <c r="B851" s="37"/>
      <c r="C851" s="37"/>
      <c r="D851" s="37"/>
      <c r="E851" s="37"/>
      <c r="F851" s="37"/>
      <c r="G851" s="1"/>
      <c r="H851" s="1"/>
      <c r="I851" s="1"/>
      <c r="J851" s="1"/>
      <c r="K851" s="1"/>
      <c r="L851" s="1"/>
      <c r="M851" s="1"/>
      <c r="N851" s="1"/>
      <c r="O851" s="1"/>
      <c r="P851" s="1"/>
      <c r="Q851" s="1"/>
      <c r="R851" s="1"/>
      <c r="S851" s="1"/>
      <c r="T851" s="1"/>
    </row>
    <row r="852" ht="15.75" customHeight="1">
      <c r="A852" s="36"/>
      <c r="B852" s="37"/>
      <c r="C852" s="37"/>
      <c r="D852" s="37"/>
      <c r="E852" s="37"/>
      <c r="F852" s="37"/>
      <c r="G852" s="1"/>
      <c r="H852" s="1"/>
      <c r="I852" s="1"/>
      <c r="J852" s="1"/>
      <c r="K852" s="1"/>
      <c r="L852" s="1"/>
      <c r="M852" s="1"/>
      <c r="N852" s="1"/>
      <c r="O852" s="1"/>
      <c r="P852" s="1"/>
      <c r="Q852" s="1"/>
      <c r="R852" s="1"/>
      <c r="S852" s="1"/>
      <c r="T852" s="1"/>
    </row>
    <row r="853" ht="15.75" customHeight="1">
      <c r="A853" s="36"/>
      <c r="B853" s="37"/>
      <c r="C853" s="37"/>
      <c r="D853" s="37"/>
      <c r="E853" s="37"/>
      <c r="F853" s="37"/>
      <c r="G853" s="1"/>
      <c r="H853" s="1"/>
      <c r="I853" s="1"/>
      <c r="J853" s="1"/>
      <c r="K853" s="1"/>
      <c r="L853" s="1"/>
      <c r="M853" s="1"/>
      <c r="N853" s="1"/>
      <c r="O853" s="1"/>
      <c r="P853" s="1"/>
      <c r="Q853" s="1"/>
      <c r="R853" s="1"/>
      <c r="S853" s="1"/>
      <c r="T853" s="1"/>
    </row>
    <row r="854" ht="15.75" customHeight="1">
      <c r="A854" s="36"/>
      <c r="B854" s="37"/>
      <c r="C854" s="37"/>
      <c r="D854" s="37"/>
      <c r="E854" s="37"/>
      <c r="F854" s="37"/>
      <c r="G854" s="1"/>
      <c r="H854" s="1"/>
      <c r="I854" s="1"/>
      <c r="J854" s="1"/>
      <c r="K854" s="1"/>
      <c r="L854" s="1"/>
      <c r="M854" s="1"/>
      <c r="N854" s="1"/>
      <c r="O854" s="1"/>
      <c r="P854" s="1"/>
      <c r="Q854" s="1"/>
      <c r="R854" s="1"/>
      <c r="S854" s="1"/>
      <c r="T854" s="1"/>
    </row>
    <row r="855" ht="15.75" customHeight="1">
      <c r="A855" s="36"/>
      <c r="B855" s="37"/>
      <c r="C855" s="37"/>
      <c r="D855" s="37"/>
      <c r="E855" s="37"/>
      <c r="F855" s="37"/>
      <c r="G855" s="1"/>
      <c r="H855" s="1"/>
      <c r="I855" s="1"/>
      <c r="J855" s="1"/>
      <c r="K855" s="1"/>
      <c r="L855" s="1"/>
      <c r="M855" s="1"/>
      <c r="N855" s="1"/>
      <c r="O855" s="1"/>
      <c r="P855" s="1"/>
      <c r="Q855" s="1"/>
      <c r="R855" s="1"/>
      <c r="S855" s="1"/>
      <c r="T855" s="1"/>
    </row>
    <row r="856" ht="15.75" customHeight="1">
      <c r="A856" s="36"/>
      <c r="B856" s="37"/>
      <c r="C856" s="37"/>
      <c r="D856" s="37"/>
      <c r="E856" s="37"/>
      <c r="F856" s="37"/>
      <c r="G856" s="1"/>
      <c r="H856" s="1"/>
      <c r="I856" s="1"/>
      <c r="J856" s="1"/>
      <c r="K856" s="1"/>
      <c r="L856" s="1"/>
      <c r="M856" s="1"/>
      <c r="N856" s="1"/>
      <c r="O856" s="1"/>
      <c r="P856" s="1"/>
      <c r="Q856" s="1"/>
      <c r="R856" s="1"/>
      <c r="S856" s="1"/>
      <c r="T856" s="1"/>
    </row>
    <row r="857" ht="15.75" customHeight="1">
      <c r="A857" s="36"/>
      <c r="B857" s="37"/>
      <c r="C857" s="37"/>
      <c r="D857" s="37"/>
      <c r="E857" s="37"/>
      <c r="F857" s="37"/>
      <c r="G857" s="1"/>
      <c r="H857" s="1"/>
      <c r="I857" s="1"/>
      <c r="J857" s="1"/>
      <c r="K857" s="1"/>
      <c r="L857" s="1"/>
      <c r="M857" s="1"/>
      <c r="N857" s="1"/>
      <c r="O857" s="1"/>
      <c r="P857" s="1"/>
      <c r="Q857" s="1"/>
      <c r="R857" s="1"/>
      <c r="S857" s="1"/>
      <c r="T857" s="1"/>
    </row>
    <row r="858" ht="15.75" customHeight="1">
      <c r="A858" s="36"/>
      <c r="B858" s="37"/>
      <c r="C858" s="37"/>
      <c r="D858" s="37"/>
      <c r="E858" s="37"/>
      <c r="F858" s="37"/>
      <c r="G858" s="1"/>
      <c r="H858" s="1"/>
      <c r="I858" s="1"/>
      <c r="J858" s="1"/>
      <c r="K858" s="1"/>
      <c r="L858" s="1"/>
      <c r="M858" s="1"/>
      <c r="N858" s="1"/>
      <c r="O858" s="1"/>
      <c r="P858" s="1"/>
      <c r="Q858" s="1"/>
      <c r="R858" s="1"/>
      <c r="S858" s="1"/>
      <c r="T858" s="1"/>
    </row>
    <row r="859" ht="15.75" customHeight="1">
      <c r="A859" s="36"/>
      <c r="B859" s="37"/>
      <c r="C859" s="37"/>
      <c r="D859" s="37"/>
      <c r="E859" s="37"/>
      <c r="F859" s="37"/>
      <c r="G859" s="1"/>
      <c r="H859" s="1"/>
      <c r="I859" s="1"/>
      <c r="J859" s="1"/>
      <c r="K859" s="1"/>
      <c r="L859" s="1"/>
      <c r="M859" s="1"/>
      <c r="N859" s="1"/>
      <c r="O859" s="1"/>
      <c r="P859" s="1"/>
      <c r="Q859" s="1"/>
      <c r="R859" s="1"/>
      <c r="S859" s="1"/>
      <c r="T859" s="1"/>
    </row>
    <row r="860" ht="15.75" customHeight="1">
      <c r="A860" s="36"/>
      <c r="B860" s="37"/>
      <c r="C860" s="37"/>
      <c r="D860" s="37"/>
      <c r="E860" s="37"/>
      <c r="F860" s="37"/>
      <c r="G860" s="1"/>
      <c r="H860" s="1"/>
      <c r="I860" s="1"/>
      <c r="J860" s="1"/>
      <c r="K860" s="1"/>
      <c r="L860" s="1"/>
      <c r="M860" s="1"/>
      <c r="N860" s="1"/>
      <c r="O860" s="1"/>
      <c r="P860" s="1"/>
      <c r="Q860" s="1"/>
      <c r="R860" s="1"/>
      <c r="S860" s="1"/>
      <c r="T860" s="1"/>
    </row>
    <row r="861" ht="15.75" customHeight="1">
      <c r="A861" s="36"/>
      <c r="B861" s="37"/>
      <c r="C861" s="37"/>
      <c r="D861" s="37"/>
      <c r="E861" s="37"/>
      <c r="F861" s="37"/>
      <c r="G861" s="1"/>
      <c r="H861" s="1"/>
      <c r="I861" s="1"/>
      <c r="J861" s="1"/>
      <c r="K861" s="1"/>
      <c r="L861" s="1"/>
      <c r="M861" s="1"/>
      <c r="N861" s="1"/>
      <c r="O861" s="1"/>
      <c r="P861" s="1"/>
      <c r="Q861" s="1"/>
      <c r="R861" s="1"/>
      <c r="S861" s="1"/>
      <c r="T861" s="1"/>
    </row>
    <row r="862" ht="15.75" customHeight="1">
      <c r="A862" s="36"/>
      <c r="B862" s="37"/>
      <c r="C862" s="37"/>
      <c r="D862" s="37"/>
      <c r="E862" s="37"/>
      <c r="F862" s="37"/>
      <c r="G862" s="1"/>
      <c r="H862" s="1"/>
      <c r="I862" s="1"/>
      <c r="J862" s="1"/>
      <c r="K862" s="1"/>
      <c r="L862" s="1"/>
      <c r="M862" s="1"/>
      <c r="N862" s="1"/>
      <c r="O862" s="1"/>
      <c r="P862" s="1"/>
      <c r="Q862" s="1"/>
      <c r="R862" s="1"/>
      <c r="S862" s="1"/>
      <c r="T862" s="1"/>
    </row>
    <row r="863" ht="15.75" customHeight="1">
      <c r="A863" s="36"/>
      <c r="B863" s="37"/>
      <c r="C863" s="37"/>
      <c r="D863" s="37"/>
      <c r="E863" s="37"/>
      <c r="F863" s="37"/>
      <c r="G863" s="1"/>
      <c r="H863" s="1"/>
      <c r="I863" s="1"/>
      <c r="J863" s="1"/>
      <c r="K863" s="1"/>
      <c r="L863" s="1"/>
      <c r="M863" s="1"/>
      <c r="N863" s="1"/>
      <c r="O863" s="1"/>
      <c r="P863" s="1"/>
      <c r="Q863" s="1"/>
      <c r="R863" s="1"/>
      <c r="S863" s="1"/>
      <c r="T863" s="1"/>
    </row>
    <row r="864" ht="15.75" customHeight="1">
      <c r="A864" s="36"/>
      <c r="B864" s="37"/>
      <c r="C864" s="37"/>
      <c r="D864" s="37"/>
      <c r="E864" s="37"/>
      <c r="F864" s="37"/>
      <c r="G864" s="1"/>
      <c r="H864" s="1"/>
      <c r="I864" s="1"/>
      <c r="J864" s="1"/>
      <c r="K864" s="1"/>
      <c r="L864" s="1"/>
      <c r="M864" s="1"/>
      <c r="N864" s="1"/>
      <c r="O864" s="1"/>
      <c r="P864" s="1"/>
      <c r="Q864" s="1"/>
      <c r="R864" s="1"/>
      <c r="S864" s="1"/>
      <c r="T864" s="1"/>
    </row>
    <row r="865" ht="15.75" customHeight="1">
      <c r="A865" s="36"/>
      <c r="B865" s="37"/>
      <c r="C865" s="37"/>
      <c r="D865" s="37"/>
      <c r="E865" s="37"/>
      <c r="F865" s="37"/>
      <c r="G865" s="1"/>
      <c r="H865" s="1"/>
      <c r="I865" s="1"/>
      <c r="J865" s="1"/>
      <c r="K865" s="1"/>
      <c r="L865" s="1"/>
      <c r="M865" s="1"/>
      <c r="N865" s="1"/>
      <c r="O865" s="1"/>
      <c r="P865" s="1"/>
      <c r="Q865" s="1"/>
      <c r="R865" s="1"/>
      <c r="S865" s="1"/>
      <c r="T865" s="1"/>
    </row>
    <row r="866" ht="15.75" customHeight="1">
      <c r="A866" s="36"/>
      <c r="B866" s="37"/>
      <c r="C866" s="37"/>
      <c r="D866" s="37"/>
      <c r="E866" s="37"/>
      <c r="F866" s="37"/>
      <c r="G866" s="1"/>
      <c r="H866" s="1"/>
      <c r="I866" s="1"/>
      <c r="J866" s="1"/>
      <c r="K866" s="1"/>
      <c r="L866" s="1"/>
      <c r="M866" s="1"/>
      <c r="N866" s="1"/>
      <c r="O866" s="1"/>
      <c r="P866" s="1"/>
      <c r="Q866" s="1"/>
      <c r="R866" s="1"/>
      <c r="S866" s="1"/>
      <c r="T866" s="1"/>
    </row>
    <row r="867" ht="15.75" customHeight="1">
      <c r="A867" s="36"/>
      <c r="B867" s="37"/>
      <c r="C867" s="37"/>
      <c r="D867" s="37"/>
      <c r="E867" s="37"/>
      <c r="F867" s="37"/>
      <c r="G867" s="1"/>
      <c r="H867" s="1"/>
      <c r="I867" s="1"/>
      <c r="J867" s="1"/>
      <c r="K867" s="1"/>
      <c r="L867" s="1"/>
      <c r="M867" s="1"/>
      <c r="N867" s="1"/>
      <c r="O867" s="1"/>
      <c r="P867" s="1"/>
      <c r="Q867" s="1"/>
      <c r="R867" s="1"/>
      <c r="S867" s="1"/>
      <c r="T867" s="1"/>
    </row>
    <row r="868" ht="15.75" customHeight="1">
      <c r="A868" s="36"/>
      <c r="B868" s="37"/>
      <c r="C868" s="37"/>
      <c r="D868" s="37"/>
      <c r="E868" s="37"/>
      <c r="F868" s="37"/>
      <c r="G868" s="1"/>
      <c r="H868" s="1"/>
      <c r="I868" s="1"/>
      <c r="J868" s="1"/>
      <c r="K868" s="1"/>
      <c r="L868" s="1"/>
      <c r="M868" s="1"/>
      <c r="N868" s="1"/>
      <c r="O868" s="1"/>
      <c r="P868" s="1"/>
      <c r="Q868" s="1"/>
      <c r="R868" s="1"/>
      <c r="S868" s="1"/>
      <c r="T868" s="1"/>
    </row>
    <row r="869" ht="15.75" customHeight="1">
      <c r="A869" s="36"/>
      <c r="B869" s="37"/>
      <c r="C869" s="37"/>
      <c r="D869" s="37"/>
      <c r="E869" s="37"/>
      <c r="F869" s="37"/>
      <c r="G869" s="1"/>
      <c r="H869" s="1"/>
      <c r="I869" s="1"/>
      <c r="J869" s="1"/>
      <c r="K869" s="1"/>
      <c r="L869" s="1"/>
      <c r="M869" s="1"/>
      <c r="N869" s="1"/>
      <c r="O869" s="1"/>
      <c r="P869" s="1"/>
      <c r="Q869" s="1"/>
      <c r="R869" s="1"/>
      <c r="S869" s="1"/>
      <c r="T869" s="1"/>
    </row>
    <row r="870" ht="15.75" customHeight="1">
      <c r="A870" s="36"/>
      <c r="B870" s="37"/>
      <c r="C870" s="37"/>
      <c r="D870" s="37"/>
      <c r="E870" s="37"/>
      <c r="F870" s="37"/>
      <c r="G870" s="1"/>
      <c r="H870" s="1"/>
      <c r="I870" s="1"/>
      <c r="J870" s="1"/>
      <c r="K870" s="1"/>
      <c r="L870" s="1"/>
      <c r="M870" s="1"/>
      <c r="N870" s="1"/>
      <c r="O870" s="1"/>
      <c r="P870" s="1"/>
      <c r="Q870" s="1"/>
      <c r="R870" s="1"/>
      <c r="S870" s="1"/>
      <c r="T870" s="1"/>
    </row>
    <row r="871" ht="15.75" customHeight="1">
      <c r="A871" s="36"/>
      <c r="B871" s="37"/>
      <c r="C871" s="37"/>
      <c r="D871" s="37"/>
      <c r="E871" s="37"/>
      <c r="F871" s="37"/>
      <c r="G871" s="1"/>
      <c r="H871" s="1"/>
      <c r="I871" s="1"/>
      <c r="J871" s="1"/>
      <c r="K871" s="1"/>
      <c r="L871" s="1"/>
      <c r="M871" s="1"/>
      <c r="N871" s="1"/>
      <c r="O871" s="1"/>
      <c r="P871" s="1"/>
      <c r="Q871" s="1"/>
      <c r="R871" s="1"/>
      <c r="S871" s="1"/>
      <c r="T871" s="1"/>
    </row>
    <row r="872" ht="15.75" customHeight="1">
      <c r="A872" s="36"/>
      <c r="B872" s="37"/>
      <c r="C872" s="37"/>
      <c r="D872" s="37"/>
      <c r="E872" s="37"/>
      <c r="F872" s="37"/>
      <c r="G872" s="1"/>
      <c r="H872" s="1"/>
      <c r="I872" s="1"/>
      <c r="J872" s="1"/>
      <c r="K872" s="1"/>
      <c r="L872" s="1"/>
      <c r="M872" s="1"/>
      <c r="N872" s="1"/>
      <c r="O872" s="1"/>
      <c r="P872" s="1"/>
      <c r="Q872" s="1"/>
      <c r="R872" s="1"/>
      <c r="S872" s="1"/>
      <c r="T872" s="1"/>
    </row>
    <row r="873" ht="15.75" customHeight="1">
      <c r="A873" s="36"/>
      <c r="B873" s="37"/>
      <c r="C873" s="37"/>
      <c r="D873" s="37"/>
      <c r="E873" s="37"/>
      <c r="F873" s="37"/>
      <c r="G873" s="1"/>
      <c r="H873" s="1"/>
      <c r="I873" s="1"/>
      <c r="J873" s="1"/>
      <c r="K873" s="1"/>
      <c r="L873" s="1"/>
      <c r="M873" s="1"/>
      <c r="N873" s="1"/>
      <c r="O873" s="1"/>
      <c r="P873" s="1"/>
      <c r="Q873" s="1"/>
      <c r="R873" s="1"/>
      <c r="S873" s="1"/>
      <c r="T873" s="1"/>
    </row>
    <row r="874" ht="15.75" customHeight="1">
      <c r="A874" s="36"/>
      <c r="B874" s="37"/>
      <c r="C874" s="37"/>
      <c r="D874" s="37"/>
      <c r="E874" s="37"/>
      <c r="F874" s="37"/>
      <c r="G874" s="1"/>
      <c r="H874" s="1"/>
      <c r="I874" s="1"/>
      <c r="J874" s="1"/>
      <c r="K874" s="1"/>
      <c r="L874" s="1"/>
      <c r="M874" s="1"/>
      <c r="N874" s="1"/>
      <c r="O874" s="1"/>
      <c r="P874" s="1"/>
      <c r="Q874" s="1"/>
      <c r="R874" s="1"/>
      <c r="S874" s="1"/>
      <c r="T874" s="1"/>
    </row>
    <row r="875" ht="15.75" customHeight="1">
      <c r="A875" s="36"/>
      <c r="B875" s="37"/>
      <c r="C875" s="37"/>
      <c r="D875" s="37"/>
      <c r="E875" s="37"/>
      <c r="F875" s="37"/>
      <c r="G875" s="1"/>
      <c r="H875" s="1"/>
      <c r="I875" s="1"/>
      <c r="J875" s="1"/>
      <c r="K875" s="1"/>
      <c r="L875" s="1"/>
      <c r="M875" s="1"/>
      <c r="N875" s="1"/>
      <c r="O875" s="1"/>
      <c r="P875" s="1"/>
      <c r="Q875" s="1"/>
      <c r="R875" s="1"/>
      <c r="S875" s="1"/>
      <c r="T875" s="1"/>
    </row>
    <row r="876" ht="15.75" customHeight="1">
      <c r="A876" s="36"/>
      <c r="B876" s="37"/>
      <c r="C876" s="37"/>
      <c r="D876" s="37"/>
      <c r="E876" s="37"/>
      <c r="F876" s="37"/>
      <c r="G876" s="1"/>
      <c r="H876" s="1"/>
      <c r="I876" s="1"/>
      <c r="J876" s="1"/>
      <c r="K876" s="1"/>
      <c r="L876" s="1"/>
      <c r="M876" s="1"/>
      <c r="N876" s="1"/>
      <c r="O876" s="1"/>
      <c r="P876" s="1"/>
      <c r="Q876" s="1"/>
      <c r="R876" s="1"/>
      <c r="S876" s="1"/>
      <c r="T876" s="1"/>
    </row>
    <row r="877" ht="15.75" customHeight="1">
      <c r="A877" s="36"/>
      <c r="B877" s="37"/>
      <c r="C877" s="37"/>
      <c r="D877" s="37"/>
      <c r="E877" s="37"/>
      <c r="F877" s="37"/>
      <c r="G877" s="1"/>
      <c r="H877" s="1"/>
      <c r="I877" s="1"/>
      <c r="J877" s="1"/>
      <c r="K877" s="1"/>
      <c r="L877" s="1"/>
      <c r="M877" s="1"/>
      <c r="N877" s="1"/>
      <c r="O877" s="1"/>
      <c r="P877" s="1"/>
      <c r="Q877" s="1"/>
      <c r="R877" s="1"/>
      <c r="S877" s="1"/>
      <c r="T877" s="1"/>
    </row>
    <row r="878" ht="15.75" customHeight="1">
      <c r="A878" s="36"/>
      <c r="B878" s="37"/>
      <c r="C878" s="37"/>
      <c r="D878" s="37"/>
      <c r="E878" s="37"/>
      <c r="F878" s="37"/>
      <c r="G878" s="1"/>
      <c r="H878" s="1"/>
      <c r="I878" s="1"/>
      <c r="J878" s="1"/>
      <c r="K878" s="1"/>
      <c r="L878" s="1"/>
      <c r="M878" s="1"/>
      <c r="N878" s="1"/>
      <c r="O878" s="1"/>
      <c r="P878" s="1"/>
      <c r="Q878" s="1"/>
      <c r="R878" s="1"/>
      <c r="S878" s="1"/>
      <c r="T878" s="1"/>
    </row>
    <row r="879" ht="15.75" customHeight="1">
      <c r="A879" s="36"/>
      <c r="B879" s="37"/>
      <c r="C879" s="37"/>
      <c r="D879" s="37"/>
      <c r="E879" s="37"/>
      <c r="F879" s="37"/>
      <c r="G879" s="1"/>
      <c r="H879" s="1"/>
      <c r="I879" s="1"/>
      <c r="J879" s="1"/>
      <c r="K879" s="1"/>
      <c r="L879" s="1"/>
      <c r="M879" s="1"/>
      <c r="N879" s="1"/>
      <c r="O879" s="1"/>
      <c r="P879" s="1"/>
      <c r="Q879" s="1"/>
      <c r="R879" s="1"/>
      <c r="S879" s="1"/>
      <c r="T879" s="1"/>
    </row>
    <row r="880" ht="15.75" customHeight="1">
      <c r="A880" s="36"/>
      <c r="B880" s="37"/>
      <c r="C880" s="37"/>
      <c r="D880" s="37"/>
      <c r="E880" s="37"/>
      <c r="F880" s="37"/>
      <c r="G880" s="1"/>
      <c r="H880" s="1"/>
      <c r="I880" s="1"/>
      <c r="J880" s="1"/>
      <c r="K880" s="1"/>
      <c r="L880" s="1"/>
      <c r="M880" s="1"/>
      <c r="N880" s="1"/>
      <c r="O880" s="1"/>
      <c r="P880" s="1"/>
      <c r="Q880" s="1"/>
      <c r="R880" s="1"/>
      <c r="S880" s="1"/>
      <c r="T880" s="1"/>
    </row>
    <row r="881" ht="15.75" customHeight="1">
      <c r="A881" s="36"/>
      <c r="B881" s="37"/>
      <c r="C881" s="37"/>
      <c r="D881" s="37"/>
      <c r="E881" s="37"/>
      <c r="F881" s="37"/>
      <c r="G881" s="1"/>
      <c r="H881" s="1"/>
      <c r="I881" s="1"/>
      <c r="J881" s="1"/>
      <c r="K881" s="1"/>
      <c r="L881" s="1"/>
      <c r="M881" s="1"/>
      <c r="N881" s="1"/>
      <c r="O881" s="1"/>
      <c r="P881" s="1"/>
      <c r="Q881" s="1"/>
      <c r="R881" s="1"/>
      <c r="S881" s="1"/>
      <c r="T881" s="1"/>
    </row>
    <row r="882" ht="15.75" customHeight="1">
      <c r="A882" s="36"/>
      <c r="B882" s="37"/>
      <c r="C882" s="37"/>
      <c r="D882" s="37"/>
      <c r="E882" s="37"/>
      <c r="F882" s="37"/>
      <c r="G882" s="1"/>
      <c r="H882" s="1"/>
      <c r="I882" s="1"/>
      <c r="J882" s="1"/>
      <c r="K882" s="1"/>
      <c r="L882" s="1"/>
      <c r="M882" s="1"/>
      <c r="N882" s="1"/>
      <c r="O882" s="1"/>
      <c r="P882" s="1"/>
      <c r="Q882" s="1"/>
      <c r="R882" s="1"/>
      <c r="S882" s="1"/>
      <c r="T882" s="1"/>
    </row>
    <row r="883" ht="15.75" customHeight="1">
      <c r="A883" s="36"/>
      <c r="B883" s="37"/>
      <c r="C883" s="37"/>
      <c r="D883" s="37"/>
      <c r="E883" s="37"/>
      <c r="F883" s="37"/>
      <c r="G883" s="1"/>
      <c r="H883" s="1"/>
      <c r="I883" s="1"/>
      <c r="J883" s="1"/>
      <c r="K883" s="1"/>
      <c r="L883" s="1"/>
      <c r="M883" s="1"/>
      <c r="N883" s="1"/>
      <c r="O883" s="1"/>
      <c r="P883" s="1"/>
      <c r="Q883" s="1"/>
      <c r="R883" s="1"/>
      <c r="S883" s="1"/>
      <c r="T883" s="1"/>
    </row>
    <row r="884" ht="15.75" customHeight="1">
      <c r="A884" s="36"/>
      <c r="B884" s="37"/>
      <c r="C884" s="37"/>
      <c r="D884" s="37"/>
      <c r="E884" s="37"/>
      <c r="F884" s="37"/>
      <c r="G884" s="1"/>
      <c r="H884" s="1"/>
      <c r="I884" s="1"/>
      <c r="J884" s="1"/>
      <c r="K884" s="1"/>
      <c r="L884" s="1"/>
      <c r="M884" s="1"/>
      <c r="N884" s="1"/>
      <c r="O884" s="1"/>
      <c r="P884" s="1"/>
      <c r="Q884" s="1"/>
      <c r="R884" s="1"/>
      <c r="S884" s="1"/>
      <c r="T884" s="1"/>
    </row>
    <row r="885" ht="15.75" customHeight="1">
      <c r="A885" s="36"/>
      <c r="B885" s="37"/>
      <c r="C885" s="37"/>
      <c r="D885" s="37"/>
      <c r="E885" s="37"/>
      <c r="F885" s="37"/>
      <c r="G885" s="1"/>
      <c r="H885" s="1"/>
      <c r="I885" s="1"/>
      <c r="J885" s="1"/>
      <c r="K885" s="1"/>
      <c r="L885" s="1"/>
      <c r="M885" s="1"/>
      <c r="N885" s="1"/>
      <c r="O885" s="1"/>
      <c r="P885" s="1"/>
      <c r="Q885" s="1"/>
      <c r="R885" s="1"/>
      <c r="S885" s="1"/>
      <c r="T885" s="1"/>
    </row>
    <row r="886" ht="15.75" customHeight="1">
      <c r="A886" s="36"/>
      <c r="B886" s="37"/>
      <c r="C886" s="37"/>
      <c r="D886" s="37"/>
      <c r="E886" s="37"/>
      <c r="F886" s="37"/>
      <c r="G886" s="1"/>
      <c r="H886" s="1"/>
      <c r="I886" s="1"/>
      <c r="J886" s="1"/>
      <c r="K886" s="1"/>
      <c r="L886" s="1"/>
      <c r="M886" s="1"/>
      <c r="N886" s="1"/>
      <c r="O886" s="1"/>
      <c r="P886" s="1"/>
      <c r="Q886" s="1"/>
      <c r="R886" s="1"/>
      <c r="S886" s="1"/>
      <c r="T886" s="1"/>
    </row>
    <row r="887" ht="15.75" customHeight="1">
      <c r="A887" s="36"/>
      <c r="B887" s="37"/>
      <c r="C887" s="37"/>
      <c r="D887" s="37"/>
      <c r="E887" s="37"/>
      <c r="F887" s="37"/>
      <c r="G887" s="1"/>
      <c r="H887" s="1"/>
      <c r="I887" s="1"/>
      <c r="J887" s="1"/>
      <c r="K887" s="1"/>
      <c r="L887" s="1"/>
      <c r="M887" s="1"/>
      <c r="N887" s="1"/>
      <c r="O887" s="1"/>
      <c r="P887" s="1"/>
      <c r="Q887" s="1"/>
      <c r="R887" s="1"/>
      <c r="S887" s="1"/>
      <c r="T887" s="1"/>
    </row>
    <row r="888" ht="15.75" customHeight="1">
      <c r="A888" s="36"/>
      <c r="B888" s="37"/>
      <c r="C888" s="37"/>
      <c r="D888" s="37"/>
      <c r="E888" s="37"/>
      <c r="F888" s="37"/>
      <c r="G888" s="1"/>
      <c r="H888" s="1"/>
      <c r="I888" s="1"/>
      <c r="J888" s="1"/>
      <c r="K888" s="1"/>
      <c r="L888" s="1"/>
      <c r="M888" s="1"/>
      <c r="N888" s="1"/>
      <c r="O888" s="1"/>
      <c r="P888" s="1"/>
      <c r="Q888" s="1"/>
      <c r="R888" s="1"/>
      <c r="S888" s="1"/>
      <c r="T888" s="1"/>
    </row>
    <row r="889" ht="15.75" customHeight="1">
      <c r="A889" s="36"/>
      <c r="B889" s="37"/>
      <c r="C889" s="37"/>
      <c r="D889" s="37"/>
      <c r="E889" s="37"/>
      <c r="F889" s="37"/>
      <c r="G889" s="1"/>
      <c r="H889" s="1"/>
      <c r="I889" s="1"/>
      <c r="J889" s="1"/>
      <c r="K889" s="1"/>
      <c r="L889" s="1"/>
      <c r="M889" s="1"/>
      <c r="N889" s="1"/>
      <c r="O889" s="1"/>
      <c r="P889" s="1"/>
      <c r="Q889" s="1"/>
      <c r="R889" s="1"/>
      <c r="S889" s="1"/>
      <c r="T889" s="1"/>
    </row>
    <row r="890" ht="15.75" customHeight="1">
      <c r="A890" s="36"/>
      <c r="B890" s="37"/>
      <c r="C890" s="37"/>
      <c r="D890" s="37"/>
      <c r="E890" s="37"/>
      <c r="F890" s="37"/>
      <c r="G890" s="1"/>
      <c r="H890" s="1"/>
      <c r="I890" s="1"/>
      <c r="J890" s="1"/>
      <c r="K890" s="1"/>
      <c r="L890" s="1"/>
      <c r="M890" s="1"/>
      <c r="N890" s="1"/>
      <c r="O890" s="1"/>
      <c r="P890" s="1"/>
      <c r="Q890" s="1"/>
      <c r="R890" s="1"/>
      <c r="S890" s="1"/>
      <c r="T890" s="1"/>
    </row>
    <row r="891" ht="15.75" customHeight="1">
      <c r="A891" s="36"/>
      <c r="B891" s="37"/>
      <c r="C891" s="37"/>
      <c r="D891" s="37"/>
      <c r="E891" s="37"/>
      <c r="F891" s="37"/>
      <c r="G891" s="1"/>
      <c r="H891" s="1"/>
      <c r="I891" s="1"/>
      <c r="J891" s="1"/>
      <c r="K891" s="1"/>
      <c r="L891" s="1"/>
      <c r="M891" s="1"/>
      <c r="N891" s="1"/>
      <c r="O891" s="1"/>
      <c r="P891" s="1"/>
      <c r="Q891" s="1"/>
      <c r="R891" s="1"/>
      <c r="S891" s="1"/>
      <c r="T891" s="1"/>
    </row>
    <row r="892" ht="15.75" customHeight="1">
      <c r="A892" s="36"/>
      <c r="B892" s="37"/>
      <c r="C892" s="37"/>
      <c r="D892" s="37"/>
      <c r="E892" s="37"/>
      <c r="F892" s="37"/>
      <c r="G892" s="1"/>
      <c r="H892" s="1"/>
      <c r="I892" s="1"/>
      <c r="J892" s="1"/>
      <c r="K892" s="1"/>
      <c r="L892" s="1"/>
      <c r="M892" s="1"/>
      <c r="N892" s="1"/>
      <c r="O892" s="1"/>
      <c r="P892" s="1"/>
      <c r="Q892" s="1"/>
      <c r="R892" s="1"/>
      <c r="S892" s="1"/>
      <c r="T892" s="1"/>
    </row>
    <row r="893" ht="15.75" customHeight="1">
      <c r="A893" s="36"/>
      <c r="B893" s="37"/>
      <c r="C893" s="37"/>
      <c r="D893" s="37"/>
      <c r="E893" s="37"/>
      <c r="F893" s="37"/>
      <c r="G893" s="1"/>
      <c r="H893" s="1"/>
      <c r="I893" s="1"/>
      <c r="J893" s="1"/>
      <c r="K893" s="1"/>
      <c r="L893" s="1"/>
      <c r="M893" s="1"/>
      <c r="N893" s="1"/>
      <c r="O893" s="1"/>
      <c r="P893" s="1"/>
      <c r="Q893" s="1"/>
      <c r="R893" s="1"/>
      <c r="S893" s="1"/>
      <c r="T893" s="1"/>
    </row>
    <row r="894" ht="15.75" customHeight="1">
      <c r="A894" s="36"/>
      <c r="B894" s="37"/>
      <c r="C894" s="37"/>
      <c r="D894" s="37"/>
      <c r="E894" s="37"/>
      <c r="F894" s="37"/>
      <c r="G894" s="1"/>
      <c r="H894" s="1"/>
      <c r="I894" s="1"/>
      <c r="J894" s="1"/>
      <c r="K894" s="1"/>
      <c r="L894" s="1"/>
      <c r="M894" s="1"/>
      <c r="N894" s="1"/>
      <c r="O894" s="1"/>
      <c r="P894" s="1"/>
      <c r="Q894" s="1"/>
      <c r="R894" s="1"/>
      <c r="S894" s="1"/>
      <c r="T894" s="1"/>
    </row>
    <row r="895" ht="15.75" customHeight="1">
      <c r="A895" s="36"/>
      <c r="B895" s="37"/>
      <c r="C895" s="37"/>
      <c r="D895" s="37"/>
      <c r="E895" s="37"/>
      <c r="F895" s="37"/>
      <c r="G895" s="1"/>
      <c r="H895" s="1"/>
      <c r="I895" s="1"/>
      <c r="J895" s="1"/>
      <c r="K895" s="1"/>
      <c r="L895" s="1"/>
      <c r="M895" s="1"/>
      <c r="N895" s="1"/>
      <c r="O895" s="1"/>
      <c r="P895" s="1"/>
      <c r="Q895" s="1"/>
      <c r="R895" s="1"/>
      <c r="S895" s="1"/>
      <c r="T895" s="1"/>
    </row>
    <row r="896" ht="15.75" customHeight="1">
      <c r="A896" s="36"/>
      <c r="B896" s="37"/>
      <c r="C896" s="37"/>
      <c r="D896" s="37"/>
      <c r="E896" s="37"/>
      <c r="F896" s="37"/>
      <c r="G896" s="1"/>
      <c r="H896" s="1"/>
      <c r="I896" s="1"/>
      <c r="J896" s="1"/>
      <c r="K896" s="1"/>
      <c r="L896" s="1"/>
      <c r="M896" s="1"/>
      <c r="N896" s="1"/>
      <c r="O896" s="1"/>
      <c r="P896" s="1"/>
      <c r="Q896" s="1"/>
      <c r="R896" s="1"/>
      <c r="S896" s="1"/>
      <c r="T896" s="1"/>
    </row>
    <row r="897" ht="15.75" customHeight="1">
      <c r="A897" s="36"/>
      <c r="B897" s="37"/>
      <c r="C897" s="37"/>
      <c r="D897" s="37"/>
      <c r="E897" s="37"/>
      <c r="F897" s="37"/>
      <c r="G897" s="1"/>
      <c r="H897" s="1"/>
      <c r="I897" s="1"/>
      <c r="J897" s="1"/>
      <c r="K897" s="1"/>
      <c r="L897" s="1"/>
      <c r="M897" s="1"/>
      <c r="N897" s="1"/>
      <c r="O897" s="1"/>
      <c r="P897" s="1"/>
      <c r="Q897" s="1"/>
      <c r="R897" s="1"/>
      <c r="S897" s="1"/>
      <c r="T897" s="1"/>
    </row>
    <row r="898" ht="15.75" customHeight="1">
      <c r="A898" s="36"/>
      <c r="B898" s="37"/>
      <c r="C898" s="37"/>
      <c r="D898" s="37"/>
      <c r="E898" s="37"/>
      <c r="F898" s="37"/>
      <c r="G898" s="1"/>
      <c r="H898" s="1"/>
      <c r="I898" s="1"/>
      <c r="J898" s="1"/>
      <c r="K898" s="1"/>
      <c r="L898" s="1"/>
      <c r="M898" s="1"/>
      <c r="N898" s="1"/>
      <c r="O898" s="1"/>
      <c r="P898" s="1"/>
      <c r="Q898" s="1"/>
      <c r="R898" s="1"/>
      <c r="S898" s="1"/>
      <c r="T898" s="1"/>
    </row>
    <row r="899" ht="15.75" customHeight="1">
      <c r="A899" s="36"/>
      <c r="B899" s="37"/>
      <c r="C899" s="37"/>
      <c r="D899" s="37"/>
      <c r="E899" s="37"/>
      <c r="F899" s="37"/>
      <c r="G899" s="1"/>
      <c r="H899" s="1"/>
      <c r="I899" s="1"/>
      <c r="J899" s="1"/>
      <c r="K899" s="1"/>
      <c r="L899" s="1"/>
      <c r="M899" s="1"/>
      <c r="N899" s="1"/>
      <c r="O899" s="1"/>
      <c r="P899" s="1"/>
      <c r="Q899" s="1"/>
      <c r="R899" s="1"/>
      <c r="S899" s="1"/>
      <c r="T899" s="1"/>
    </row>
    <row r="900" ht="15.75" customHeight="1">
      <c r="A900" s="36"/>
      <c r="B900" s="37"/>
      <c r="C900" s="37"/>
      <c r="D900" s="37"/>
      <c r="E900" s="37"/>
      <c r="F900" s="37"/>
      <c r="G900" s="1"/>
      <c r="H900" s="1"/>
      <c r="I900" s="1"/>
      <c r="J900" s="1"/>
      <c r="K900" s="1"/>
      <c r="L900" s="1"/>
      <c r="M900" s="1"/>
      <c r="N900" s="1"/>
      <c r="O900" s="1"/>
      <c r="P900" s="1"/>
      <c r="Q900" s="1"/>
      <c r="R900" s="1"/>
      <c r="S900" s="1"/>
      <c r="T900" s="1"/>
    </row>
    <row r="901" ht="15.75" customHeight="1">
      <c r="A901" s="36"/>
      <c r="B901" s="37"/>
      <c r="C901" s="37"/>
      <c r="D901" s="37"/>
      <c r="E901" s="37"/>
      <c r="F901" s="37"/>
      <c r="G901" s="1"/>
      <c r="H901" s="1"/>
      <c r="I901" s="1"/>
      <c r="J901" s="1"/>
      <c r="K901" s="1"/>
      <c r="L901" s="1"/>
      <c r="M901" s="1"/>
      <c r="N901" s="1"/>
      <c r="O901" s="1"/>
      <c r="P901" s="1"/>
      <c r="Q901" s="1"/>
      <c r="R901" s="1"/>
      <c r="S901" s="1"/>
      <c r="T901" s="1"/>
    </row>
    <row r="902" ht="15.75" customHeight="1">
      <c r="A902" s="36"/>
      <c r="B902" s="37"/>
      <c r="C902" s="37"/>
      <c r="D902" s="37"/>
      <c r="E902" s="37"/>
      <c r="F902" s="37"/>
      <c r="G902" s="1"/>
      <c r="H902" s="1"/>
      <c r="I902" s="1"/>
      <c r="J902" s="1"/>
      <c r="K902" s="1"/>
      <c r="L902" s="1"/>
      <c r="M902" s="1"/>
      <c r="N902" s="1"/>
      <c r="O902" s="1"/>
      <c r="P902" s="1"/>
      <c r="Q902" s="1"/>
      <c r="R902" s="1"/>
      <c r="S902" s="1"/>
      <c r="T902" s="1"/>
    </row>
    <row r="903" ht="15.75" customHeight="1">
      <c r="A903" s="36"/>
      <c r="B903" s="37"/>
      <c r="C903" s="37"/>
      <c r="D903" s="37"/>
      <c r="E903" s="37"/>
      <c r="F903" s="37"/>
      <c r="G903" s="1"/>
      <c r="H903" s="1"/>
      <c r="I903" s="1"/>
      <c r="J903" s="1"/>
      <c r="K903" s="1"/>
      <c r="L903" s="1"/>
      <c r="M903" s="1"/>
      <c r="N903" s="1"/>
      <c r="O903" s="1"/>
      <c r="P903" s="1"/>
      <c r="Q903" s="1"/>
      <c r="R903" s="1"/>
      <c r="S903" s="1"/>
      <c r="T903" s="1"/>
    </row>
    <row r="904" ht="15.75" customHeight="1">
      <c r="A904" s="36"/>
      <c r="B904" s="37"/>
      <c r="C904" s="37"/>
      <c r="D904" s="37"/>
      <c r="E904" s="37"/>
      <c r="F904" s="37"/>
      <c r="G904" s="1"/>
      <c r="H904" s="1"/>
      <c r="I904" s="1"/>
      <c r="J904" s="1"/>
      <c r="K904" s="1"/>
      <c r="L904" s="1"/>
      <c r="M904" s="1"/>
      <c r="N904" s="1"/>
      <c r="O904" s="1"/>
      <c r="P904" s="1"/>
      <c r="Q904" s="1"/>
      <c r="R904" s="1"/>
      <c r="S904" s="1"/>
      <c r="T904" s="1"/>
    </row>
    <row r="905" ht="15.75" customHeight="1">
      <c r="A905" s="36"/>
      <c r="B905" s="37"/>
      <c r="C905" s="37"/>
      <c r="D905" s="37"/>
      <c r="E905" s="37"/>
      <c r="F905" s="37"/>
      <c r="G905" s="1"/>
      <c r="H905" s="1"/>
      <c r="I905" s="1"/>
      <c r="J905" s="1"/>
      <c r="K905" s="1"/>
      <c r="L905" s="1"/>
      <c r="M905" s="1"/>
      <c r="N905" s="1"/>
      <c r="O905" s="1"/>
      <c r="P905" s="1"/>
      <c r="Q905" s="1"/>
      <c r="R905" s="1"/>
      <c r="S905" s="1"/>
      <c r="T905" s="1"/>
    </row>
    <row r="906" ht="15.75" customHeight="1">
      <c r="A906" s="36"/>
      <c r="B906" s="37"/>
      <c r="C906" s="37"/>
      <c r="D906" s="37"/>
      <c r="E906" s="37"/>
      <c r="F906" s="37"/>
      <c r="G906" s="1"/>
      <c r="H906" s="1"/>
      <c r="I906" s="1"/>
      <c r="J906" s="1"/>
      <c r="K906" s="1"/>
      <c r="L906" s="1"/>
      <c r="M906" s="1"/>
      <c r="N906" s="1"/>
      <c r="O906" s="1"/>
      <c r="P906" s="1"/>
      <c r="Q906" s="1"/>
      <c r="R906" s="1"/>
      <c r="S906" s="1"/>
      <c r="T906" s="1"/>
    </row>
    <row r="907" ht="15.75" customHeight="1">
      <c r="A907" s="36"/>
      <c r="B907" s="37"/>
      <c r="C907" s="37"/>
      <c r="D907" s="37"/>
      <c r="E907" s="37"/>
      <c r="F907" s="37"/>
      <c r="G907" s="1"/>
      <c r="H907" s="1"/>
      <c r="I907" s="1"/>
      <c r="J907" s="1"/>
      <c r="K907" s="1"/>
      <c r="L907" s="1"/>
      <c r="M907" s="1"/>
      <c r="N907" s="1"/>
      <c r="O907" s="1"/>
      <c r="P907" s="1"/>
      <c r="Q907" s="1"/>
      <c r="R907" s="1"/>
      <c r="S907" s="1"/>
      <c r="T907" s="1"/>
    </row>
    <row r="908" ht="15.75" customHeight="1">
      <c r="A908" s="36"/>
      <c r="B908" s="37"/>
      <c r="C908" s="37"/>
      <c r="D908" s="37"/>
      <c r="E908" s="37"/>
      <c r="F908" s="37"/>
      <c r="G908" s="1"/>
      <c r="H908" s="1"/>
      <c r="I908" s="1"/>
      <c r="J908" s="1"/>
      <c r="K908" s="1"/>
      <c r="L908" s="1"/>
      <c r="M908" s="1"/>
      <c r="N908" s="1"/>
      <c r="O908" s="1"/>
      <c r="P908" s="1"/>
      <c r="Q908" s="1"/>
      <c r="R908" s="1"/>
      <c r="S908" s="1"/>
      <c r="T908" s="1"/>
    </row>
    <row r="909" ht="15.75" customHeight="1">
      <c r="A909" s="36"/>
      <c r="B909" s="37"/>
      <c r="C909" s="37"/>
      <c r="D909" s="37"/>
      <c r="E909" s="37"/>
      <c r="F909" s="37"/>
      <c r="G909" s="1"/>
      <c r="H909" s="1"/>
      <c r="I909" s="1"/>
      <c r="J909" s="1"/>
      <c r="K909" s="1"/>
      <c r="L909" s="1"/>
      <c r="M909" s="1"/>
      <c r="N909" s="1"/>
      <c r="O909" s="1"/>
      <c r="P909" s="1"/>
      <c r="Q909" s="1"/>
      <c r="R909" s="1"/>
      <c r="S909" s="1"/>
      <c r="T909" s="1"/>
    </row>
    <row r="910" ht="15.75" customHeight="1">
      <c r="A910" s="36"/>
      <c r="B910" s="37"/>
      <c r="C910" s="37"/>
      <c r="D910" s="37"/>
      <c r="E910" s="37"/>
      <c r="F910" s="37"/>
      <c r="G910" s="1"/>
      <c r="H910" s="1"/>
      <c r="I910" s="1"/>
      <c r="J910" s="1"/>
      <c r="K910" s="1"/>
      <c r="L910" s="1"/>
      <c r="M910" s="1"/>
      <c r="N910" s="1"/>
      <c r="O910" s="1"/>
      <c r="P910" s="1"/>
      <c r="Q910" s="1"/>
      <c r="R910" s="1"/>
      <c r="S910" s="1"/>
      <c r="T910" s="1"/>
    </row>
    <row r="911" ht="15.75" customHeight="1">
      <c r="A911" s="36"/>
      <c r="B911" s="37"/>
      <c r="C911" s="37"/>
      <c r="D911" s="37"/>
      <c r="E911" s="37"/>
      <c r="F911" s="37"/>
      <c r="G911" s="1"/>
      <c r="H911" s="1"/>
      <c r="I911" s="1"/>
      <c r="J911" s="1"/>
      <c r="K911" s="1"/>
      <c r="L911" s="1"/>
      <c r="M911" s="1"/>
      <c r="N911" s="1"/>
      <c r="O911" s="1"/>
      <c r="P911" s="1"/>
      <c r="Q911" s="1"/>
      <c r="R911" s="1"/>
      <c r="S911" s="1"/>
      <c r="T911" s="1"/>
    </row>
    <row r="912" ht="15.75" customHeight="1">
      <c r="A912" s="36"/>
      <c r="B912" s="37"/>
      <c r="C912" s="37"/>
      <c r="D912" s="37"/>
      <c r="E912" s="37"/>
      <c r="F912" s="37"/>
      <c r="G912" s="1"/>
      <c r="H912" s="1"/>
      <c r="I912" s="1"/>
      <c r="J912" s="1"/>
      <c r="K912" s="1"/>
      <c r="L912" s="1"/>
      <c r="M912" s="1"/>
      <c r="N912" s="1"/>
      <c r="O912" s="1"/>
      <c r="P912" s="1"/>
      <c r="Q912" s="1"/>
      <c r="R912" s="1"/>
      <c r="S912" s="1"/>
      <c r="T912" s="1"/>
    </row>
    <row r="913" ht="15.75" customHeight="1">
      <c r="A913" s="36"/>
      <c r="B913" s="37"/>
      <c r="C913" s="37"/>
      <c r="D913" s="37"/>
      <c r="E913" s="37"/>
      <c r="F913" s="37"/>
      <c r="G913" s="1"/>
      <c r="H913" s="1"/>
      <c r="I913" s="1"/>
      <c r="J913" s="1"/>
      <c r="K913" s="1"/>
      <c r="L913" s="1"/>
      <c r="M913" s="1"/>
      <c r="N913" s="1"/>
      <c r="O913" s="1"/>
      <c r="P913" s="1"/>
      <c r="Q913" s="1"/>
      <c r="R913" s="1"/>
      <c r="S913" s="1"/>
      <c r="T913" s="1"/>
    </row>
    <row r="914" ht="15.75" customHeight="1">
      <c r="A914" s="36"/>
      <c r="B914" s="37"/>
      <c r="C914" s="37"/>
      <c r="D914" s="37"/>
      <c r="E914" s="37"/>
      <c r="F914" s="37"/>
      <c r="G914" s="1"/>
      <c r="H914" s="1"/>
      <c r="I914" s="1"/>
      <c r="J914" s="1"/>
      <c r="K914" s="1"/>
      <c r="L914" s="1"/>
      <c r="M914" s="1"/>
      <c r="N914" s="1"/>
      <c r="O914" s="1"/>
      <c r="P914" s="1"/>
      <c r="Q914" s="1"/>
      <c r="R914" s="1"/>
      <c r="S914" s="1"/>
      <c r="T914" s="1"/>
    </row>
    <row r="915" ht="15.75" customHeight="1">
      <c r="A915" s="36"/>
      <c r="B915" s="37"/>
      <c r="C915" s="37"/>
      <c r="D915" s="37"/>
      <c r="E915" s="37"/>
      <c r="F915" s="37"/>
      <c r="G915" s="1"/>
      <c r="H915" s="1"/>
      <c r="I915" s="1"/>
      <c r="J915" s="1"/>
      <c r="K915" s="1"/>
      <c r="L915" s="1"/>
      <c r="M915" s="1"/>
      <c r="N915" s="1"/>
      <c r="O915" s="1"/>
      <c r="P915" s="1"/>
      <c r="Q915" s="1"/>
      <c r="R915" s="1"/>
      <c r="S915" s="1"/>
      <c r="T915" s="1"/>
    </row>
    <row r="916" ht="15.75" customHeight="1">
      <c r="A916" s="36"/>
      <c r="B916" s="37"/>
      <c r="C916" s="37"/>
      <c r="D916" s="37"/>
      <c r="E916" s="37"/>
      <c r="F916" s="37"/>
      <c r="G916" s="1"/>
      <c r="H916" s="1"/>
      <c r="I916" s="1"/>
      <c r="J916" s="1"/>
      <c r="K916" s="1"/>
      <c r="L916" s="1"/>
      <c r="M916" s="1"/>
      <c r="N916" s="1"/>
      <c r="O916" s="1"/>
      <c r="P916" s="1"/>
      <c r="Q916" s="1"/>
      <c r="R916" s="1"/>
      <c r="S916" s="1"/>
      <c r="T916" s="1"/>
    </row>
    <row r="917" ht="15.75" customHeight="1">
      <c r="A917" s="36"/>
      <c r="B917" s="37"/>
      <c r="C917" s="37"/>
      <c r="D917" s="37"/>
      <c r="E917" s="37"/>
      <c r="F917" s="37"/>
      <c r="G917" s="1"/>
      <c r="H917" s="1"/>
      <c r="I917" s="1"/>
      <c r="J917" s="1"/>
      <c r="K917" s="1"/>
      <c r="L917" s="1"/>
      <c r="M917" s="1"/>
      <c r="N917" s="1"/>
      <c r="O917" s="1"/>
      <c r="P917" s="1"/>
      <c r="Q917" s="1"/>
      <c r="R917" s="1"/>
      <c r="S917" s="1"/>
      <c r="T917" s="1"/>
    </row>
    <row r="918" ht="15.75" customHeight="1">
      <c r="A918" s="36"/>
      <c r="B918" s="37"/>
      <c r="C918" s="37"/>
      <c r="D918" s="37"/>
      <c r="E918" s="37"/>
      <c r="F918" s="37"/>
      <c r="G918" s="1"/>
      <c r="H918" s="1"/>
      <c r="I918" s="1"/>
      <c r="J918" s="1"/>
      <c r="K918" s="1"/>
      <c r="L918" s="1"/>
      <c r="M918" s="1"/>
      <c r="N918" s="1"/>
      <c r="O918" s="1"/>
      <c r="P918" s="1"/>
      <c r="Q918" s="1"/>
      <c r="R918" s="1"/>
      <c r="S918" s="1"/>
      <c r="T918" s="1"/>
    </row>
    <row r="919" ht="15.75" customHeight="1">
      <c r="A919" s="36"/>
      <c r="B919" s="37"/>
      <c r="C919" s="37"/>
      <c r="D919" s="37"/>
      <c r="E919" s="37"/>
      <c r="F919" s="37"/>
      <c r="G919" s="1"/>
      <c r="H919" s="1"/>
      <c r="I919" s="1"/>
      <c r="J919" s="1"/>
      <c r="K919" s="1"/>
      <c r="L919" s="1"/>
      <c r="M919" s="1"/>
      <c r="N919" s="1"/>
      <c r="O919" s="1"/>
      <c r="P919" s="1"/>
      <c r="Q919" s="1"/>
      <c r="R919" s="1"/>
      <c r="S919" s="1"/>
      <c r="T919" s="1"/>
    </row>
    <row r="920" ht="15.75" customHeight="1">
      <c r="A920" s="36"/>
      <c r="B920" s="37"/>
      <c r="C920" s="37"/>
      <c r="D920" s="37"/>
      <c r="E920" s="37"/>
      <c r="F920" s="37"/>
      <c r="G920" s="1"/>
      <c r="H920" s="1"/>
      <c r="I920" s="1"/>
      <c r="J920" s="1"/>
      <c r="K920" s="1"/>
      <c r="L920" s="1"/>
      <c r="M920" s="1"/>
      <c r="N920" s="1"/>
      <c r="O920" s="1"/>
      <c r="P920" s="1"/>
      <c r="Q920" s="1"/>
      <c r="R920" s="1"/>
      <c r="S920" s="1"/>
      <c r="T920" s="1"/>
    </row>
    <row r="921" ht="15.75" customHeight="1">
      <c r="A921" s="36"/>
      <c r="B921" s="37"/>
      <c r="C921" s="37"/>
      <c r="D921" s="37"/>
      <c r="E921" s="37"/>
      <c r="F921" s="37"/>
      <c r="G921" s="1"/>
      <c r="H921" s="1"/>
      <c r="I921" s="1"/>
      <c r="J921" s="1"/>
      <c r="K921" s="1"/>
      <c r="L921" s="1"/>
      <c r="M921" s="1"/>
      <c r="N921" s="1"/>
      <c r="O921" s="1"/>
      <c r="P921" s="1"/>
      <c r="Q921" s="1"/>
      <c r="R921" s="1"/>
      <c r="S921" s="1"/>
      <c r="T921" s="1"/>
    </row>
    <row r="922" ht="15.75" customHeight="1">
      <c r="A922" s="36"/>
      <c r="B922" s="37"/>
      <c r="C922" s="37"/>
      <c r="D922" s="37"/>
      <c r="E922" s="37"/>
      <c r="F922" s="37"/>
      <c r="G922" s="1"/>
      <c r="H922" s="1"/>
      <c r="I922" s="1"/>
      <c r="J922" s="1"/>
      <c r="K922" s="1"/>
      <c r="L922" s="1"/>
      <c r="M922" s="1"/>
      <c r="N922" s="1"/>
      <c r="O922" s="1"/>
      <c r="P922" s="1"/>
      <c r="Q922" s="1"/>
      <c r="R922" s="1"/>
      <c r="S922" s="1"/>
      <c r="T922" s="1"/>
    </row>
    <row r="923" ht="15.75" customHeight="1">
      <c r="A923" s="36"/>
      <c r="B923" s="37"/>
      <c r="C923" s="37"/>
      <c r="D923" s="37"/>
      <c r="E923" s="37"/>
      <c r="F923" s="37"/>
      <c r="G923" s="1"/>
      <c r="H923" s="1"/>
      <c r="I923" s="1"/>
      <c r="J923" s="1"/>
      <c r="K923" s="1"/>
      <c r="L923" s="1"/>
      <c r="M923" s="1"/>
      <c r="N923" s="1"/>
      <c r="O923" s="1"/>
      <c r="P923" s="1"/>
      <c r="Q923" s="1"/>
      <c r="R923" s="1"/>
      <c r="S923" s="1"/>
      <c r="T923" s="1"/>
    </row>
    <row r="924" ht="15.75" customHeight="1">
      <c r="A924" s="36"/>
      <c r="B924" s="37"/>
      <c r="C924" s="37"/>
      <c r="D924" s="37"/>
      <c r="E924" s="37"/>
      <c r="F924" s="37"/>
      <c r="G924" s="1"/>
      <c r="H924" s="1"/>
      <c r="I924" s="1"/>
      <c r="J924" s="1"/>
      <c r="K924" s="1"/>
      <c r="L924" s="1"/>
      <c r="M924" s="1"/>
      <c r="N924" s="1"/>
      <c r="O924" s="1"/>
      <c r="P924" s="1"/>
      <c r="Q924" s="1"/>
      <c r="R924" s="1"/>
      <c r="S924" s="1"/>
      <c r="T924" s="1"/>
    </row>
    <row r="925" ht="15.75" customHeight="1">
      <c r="A925" s="36"/>
      <c r="B925" s="37"/>
      <c r="C925" s="37"/>
      <c r="D925" s="37"/>
      <c r="E925" s="37"/>
      <c r="F925" s="37"/>
      <c r="G925" s="1"/>
      <c r="H925" s="1"/>
      <c r="I925" s="1"/>
      <c r="J925" s="1"/>
      <c r="K925" s="1"/>
      <c r="L925" s="1"/>
      <c r="M925" s="1"/>
      <c r="N925" s="1"/>
      <c r="O925" s="1"/>
      <c r="P925" s="1"/>
      <c r="Q925" s="1"/>
      <c r="R925" s="1"/>
      <c r="S925" s="1"/>
      <c r="T925" s="1"/>
    </row>
    <row r="926" ht="15.75" customHeight="1">
      <c r="A926" s="36"/>
      <c r="B926" s="37"/>
      <c r="C926" s="37"/>
      <c r="D926" s="37"/>
      <c r="E926" s="37"/>
      <c r="F926" s="37"/>
      <c r="G926" s="1"/>
      <c r="H926" s="1"/>
      <c r="I926" s="1"/>
      <c r="J926" s="1"/>
      <c r="K926" s="1"/>
      <c r="L926" s="1"/>
      <c r="M926" s="1"/>
      <c r="N926" s="1"/>
      <c r="O926" s="1"/>
      <c r="P926" s="1"/>
      <c r="Q926" s="1"/>
      <c r="R926" s="1"/>
      <c r="S926" s="1"/>
      <c r="T926" s="1"/>
    </row>
    <row r="927" ht="15.75" customHeight="1">
      <c r="A927" s="36"/>
      <c r="B927" s="37"/>
      <c r="C927" s="37"/>
      <c r="D927" s="37"/>
      <c r="E927" s="37"/>
      <c r="F927" s="37"/>
      <c r="G927" s="1"/>
      <c r="H927" s="1"/>
      <c r="I927" s="1"/>
      <c r="J927" s="1"/>
      <c r="K927" s="1"/>
      <c r="L927" s="1"/>
      <c r="M927" s="1"/>
      <c r="N927" s="1"/>
      <c r="O927" s="1"/>
      <c r="P927" s="1"/>
      <c r="Q927" s="1"/>
      <c r="R927" s="1"/>
      <c r="S927" s="1"/>
      <c r="T927" s="1"/>
    </row>
    <row r="928" ht="15.75" customHeight="1">
      <c r="A928" s="36"/>
      <c r="B928" s="37"/>
      <c r="C928" s="37"/>
      <c r="D928" s="37"/>
      <c r="E928" s="37"/>
      <c r="F928" s="37"/>
      <c r="G928" s="1"/>
      <c r="H928" s="1"/>
      <c r="I928" s="1"/>
      <c r="J928" s="1"/>
      <c r="K928" s="1"/>
      <c r="L928" s="1"/>
      <c r="M928" s="1"/>
      <c r="N928" s="1"/>
      <c r="O928" s="1"/>
      <c r="P928" s="1"/>
      <c r="Q928" s="1"/>
      <c r="R928" s="1"/>
      <c r="S928" s="1"/>
      <c r="T928" s="1"/>
    </row>
    <row r="929" ht="15.75" customHeight="1">
      <c r="A929" s="36"/>
      <c r="B929" s="37"/>
      <c r="C929" s="37"/>
      <c r="D929" s="37"/>
      <c r="E929" s="37"/>
      <c r="F929" s="37"/>
      <c r="G929" s="1"/>
      <c r="H929" s="1"/>
      <c r="I929" s="1"/>
      <c r="J929" s="1"/>
      <c r="K929" s="1"/>
      <c r="L929" s="1"/>
      <c r="M929" s="1"/>
      <c r="N929" s="1"/>
      <c r="O929" s="1"/>
      <c r="P929" s="1"/>
      <c r="Q929" s="1"/>
      <c r="R929" s="1"/>
      <c r="S929" s="1"/>
      <c r="T929" s="1"/>
    </row>
    <row r="930" ht="15.75" customHeight="1">
      <c r="A930" s="36"/>
      <c r="B930" s="37"/>
      <c r="C930" s="37"/>
      <c r="D930" s="37"/>
      <c r="E930" s="37"/>
      <c r="F930" s="37"/>
      <c r="G930" s="1"/>
      <c r="H930" s="1"/>
      <c r="I930" s="1"/>
      <c r="J930" s="1"/>
      <c r="K930" s="1"/>
      <c r="L930" s="1"/>
      <c r="M930" s="1"/>
      <c r="N930" s="1"/>
      <c r="O930" s="1"/>
      <c r="P930" s="1"/>
      <c r="Q930" s="1"/>
      <c r="R930" s="1"/>
      <c r="S930" s="1"/>
      <c r="T930" s="1"/>
    </row>
    <row r="931" ht="15.75" customHeight="1">
      <c r="A931" s="36"/>
      <c r="B931" s="37"/>
      <c r="C931" s="37"/>
      <c r="D931" s="37"/>
      <c r="E931" s="37"/>
      <c r="F931" s="37"/>
      <c r="G931" s="1"/>
      <c r="H931" s="1"/>
      <c r="I931" s="1"/>
      <c r="J931" s="1"/>
      <c r="K931" s="1"/>
      <c r="L931" s="1"/>
      <c r="M931" s="1"/>
      <c r="N931" s="1"/>
      <c r="O931" s="1"/>
      <c r="P931" s="1"/>
      <c r="Q931" s="1"/>
      <c r="R931" s="1"/>
      <c r="S931" s="1"/>
      <c r="T931" s="1"/>
    </row>
    <row r="932" ht="15.75" customHeight="1">
      <c r="A932" s="36"/>
      <c r="B932" s="37"/>
      <c r="C932" s="37"/>
      <c r="D932" s="37"/>
      <c r="E932" s="37"/>
      <c r="F932" s="37"/>
      <c r="G932" s="1"/>
      <c r="H932" s="1"/>
      <c r="I932" s="1"/>
      <c r="J932" s="1"/>
      <c r="K932" s="1"/>
      <c r="L932" s="1"/>
      <c r="M932" s="1"/>
      <c r="N932" s="1"/>
      <c r="O932" s="1"/>
      <c r="P932" s="1"/>
      <c r="Q932" s="1"/>
      <c r="R932" s="1"/>
      <c r="S932" s="1"/>
      <c r="T932" s="1"/>
    </row>
    <row r="933" ht="15.75" customHeight="1">
      <c r="A933" s="36"/>
      <c r="B933" s="37"/>
      <c r="C933" s="37"/>
      <c r="D933" s="37"/>
      <c r="E933" s="37"/>
      <c r="F933" s="37"/>
      <c r="G933" s="1"/>
      <c r="H933" s="1"/>
      <c r="I933" s="1"/>
      <c r="J933" s="1"/>
      <c r="K933" s="1"/>
      <c r="L933" s="1"/>
      <c r="M933" s="1"/>
      <c r="N933" s="1"/>
      <c r="O933" s="1"/>
      <c r="P933" s="1"/>
      <c r="Q933" s="1"/>
      <c r="R933" s="1"/>
      <c r="S933" s="1"/>
      <c r="T933" s="1"/>
    </row>
    <row r="934" ht="15.75" customHeight="1">
      <c r="A934" s="36"/>
      <c r="B934" s="37"/>
      <c r="C934" s="37"/>
      <c r="D934" s="37"/>
      <c r="E934" s="37"/>
      <c r="F934" s="37"/>
      <c r="G934" s="1"/>
      <c r="H934" s="1"/>
      <c r="I934" s="1"/>
      <c r="J934" s="1"/>
      <c r="K934" s="1"/>
      <c r="L934" s="1"/>
      <c r="M934" s="1"/>
      <c r="N934" s="1"/>
      <c r="O934" s="1"/>
      <c r="P934" s="1"/>
      <c r="Q934" s="1"/>
      <c r="R934" s="1"/>
      <c r="S934" s="1"/>
      <c r="T934" s="1"/>
    </row>
    <row r="935" ht="15.75" customHeight="1">
      <c r="A935" s="36"/>
      <c r="B935" s="37"/>
      <c r="C935" s="37"/>
      <c r="D935" s="37"/>
      <c r="E935" s="37"/>
      <c r="F935" s="37"/>
      <c r="G935" s="1"/>
      <c r="H935" s="1"/>
      <c r="I935" s="1"/>
      <c r="J935" s="1"/>
      <c r="K935" s="1"/>
      <c r="L935" s="1"/>
      <c r="M935" s="1"/>
      <c r="N935" s="1"/>
      <c r="O935" s="1"/>
      <c r="P935" s="1"/>
      <c r="Q935" s="1"/>
      <c r="R935" s="1"/>
      <c r="S935" s="1"/>
      <c r="T935" s="1"/>
    </row>
    <row r="936" ht="15.75" customHeight="1">
      <c r="A936" s="36"/>
      <c r="B936" s="37"/>
      <c r="C936" s="37"/>
      <c r="D936" s="37"/>
      <c r="E936" s="37"/>
      <c r="F936" s="37"/>
      <c r="G936" s="1"/>
      <c r="H936" s="1"/>
      <c r="I936" s="1"/>
      <c r="J936" s="1"/>
      <c r="K936" s="1"/>
      <c r="L936" s="1"/>
      <c r="M936" s="1"/>
      <c r="N936" s="1"/>
      <c r="O936" s="1"/>
      <c r="P936" s="1"/>
      <c r="Q936" s="1"/>
      <c r="R936" s="1"/>
      <c r="S936" s="1"/>
      <c r="T936" s="1"/>
    </row>
    <row r="937" ht="15.75" customHeight="1">
      <c r="A937" s="36"/>
      <c r="B937" s="37"/>
      <c r="C937" s="37"/>
      <c r="D937" s="37"/>
      <c r="E937" s="37"/>
      <c r="F937" s="37"/>
      <c r="G937" s="1"/>
      <c r="H937" s="1"/>
      <c r="I937" s="1"/>
      <c r="J937" s="1"/>
      <c r="K937" s="1"/>
      <c r="L937" s="1"/>
      <c r="M937" s="1"/>
      <c r="N937" s="1"/>
      <c r="O937" s="1"/>
      <c r="P937" s="1"/>
      <c r="Q937" s="1"/>
      <c r="R937" s="1"/>
      <c r="S937" s="1"/>
      <c r="T937" s="1"/>
    </row>
    <row r="938" ht="15.75" customHeight="1">
      <c r="A938" s="36"/>
      <c r="B938" s="37"/>
      <c r="C938" s="37"/>
      <c r="D938" s="37"/>
      <c r="E938" s="37"/>
      <c r="F938" s="37"/>
      <c r="G938" s="1"/>
      <c r="H938" s="1"/>
      <c r="I938" s="1"/>
      <c r="J938" s="1"/>
      <c r="K938" s="1"/>
      <c r="L938" s="1"/>
      <c r="M938" s="1"/>
      <c r="N938" s="1"/>
      <c r="O938" s="1"/>
      <c r="P938" s="1"/>
      <c r="Q938" s="1"/>
      <c r="R938" s="1"/>
      <c r="S938" s="1"/>
      <c r="T938" s="1"/>
    </row>
    <row r="939" ht="15.75" customHeight="1">
      <c r="A939" s="36"/>
      <c r="B939" s="37"/>
      <c r="C939" s="37"/>
      <c r="D939" s="37"/>
      <c r="E939" s="37"/>
      <c r="F939" s="37"/>
      <c r="G939" s="1"/>
      <c r="H939" s="1"/>
      <c r="I939" s="1"/>
      <c r="J939" s="1"/>
      <c r="K939" s="1"/>
      <c r="L939" s="1"/>
      <c r="M939" s="1"/>
      <c r="N939" s="1"/>
      <c r="O939" s="1"/>
      <c r="P939" s="1"/>
      <c r="Q939" s="1"/>
      <c r="R939" s="1"/>
      <c r="S939" s="1"/>
      <c r="T939" s="1"/>
    </row>
    <row r="940" ht="15.75" customHeight="1">
      <c r="A940" s="36"/>
      <c r="B940" s="37"/>
      <c r="C940" s="37"/>
      <c r="D940" s="37"/>
      <c r="E940" s="37"/>
      <c r="F940" s="37"/>
      <c r="G940" s="1"/>
      <c r="H940" s="1"/>
      <c r="I940" s="1"/>
      <c r="J940" s="1"/>
      <c r="K940" s="1"/>
      <c r="L940" s="1"/>
      <c r="M940" s="1"/>
      <c r="N940" s="1"/>
      <c r="O940" s="1"/>
      <c r="P940" s="1"/>
      <c r="Q940" s="1"/>
      <c r="R940" s="1"/>
      <c r="S940" s="1"/>
      <c r="T940" s="1"/>
    </row>
    <row r="941" ht="15.75" customHeight="1">
      <c r="A941" s="36"/>
      <c r="B941" s="37"/>
      <c r="C941" s="37"/>
      <c r="D941" s="37"/>
      <c r="E941" s="37"/>
      <c r="F941" s="37"/>
      <c r="G941" s="1"/>
      <c r="H941" s="1"/>
      <c r="I941" s="1"/>
      <c r="J941" s="1"/>
      <c r="K941" s="1"/>
      <c r="L941" s="1"/>
      <c r="M941" s="1"/>
      <c r="N941" s="1"/>
      <c r="O941" s="1"/>
      <c r="P941" s="1"/>
      <c r="Q941" s="1"/>
      <c r="R941" s="1"/>
      <c r="S941" s="1"/>
      <c r="T941" s="1"/>
    </row>
    <row r="942" ht="15.75" customHeight="1">
      <c r="A942" s="36"/>
      <c r="B942" s="37"/>
      <c r="C942" s="37"/>
      <c r="D942" s="37"/>
      <c r="E942" s="37"/>
      <c r="F942" s="37"/>
      <c r="G942" s="1"/>
      <c r="H942" s="1"/>
      <c r="I942" s="1"/>
      <c r="J942" s="1"/>
      <c r="K942" s="1"/>
      <c r="L942" s="1"/>
      <c r="M942" s="1"/>
      <c r="N942" s="1"/>
      <c r="O942" s="1"/>
      <c r="P942" s="1"/>
      <c r="Q942" s="1"/>
      <c r="R942" s="1"/>
      <c r="S942" s="1"/>
      <c r="T942" s="1"/>
    </row>
    <row r="943" ht="15.75" customHeight="1">
      <c r="A943" s="36"/>
      <c r="B943" s="37"/>
      <c r="C943" s="37"/>
      <c r="D943" s="37"/>
      <c r="E943" s="37"/>
      <c r="F943" s="37"/>
      <c r="G943" s="1"/>
      <c r="H943" s="1"/>
      <c r="I943" s="1"/>
      <c r="J943" s="1"/>
      <c r="K943" s="1"/>
      <c r="L943" s="1"/>
      <c r="M943" s="1"/>
      <c r="N943" s="1"/>
      <c r="O943" s="1"/>
      <c r="P943" s="1"/>
      <c r="Q943" s="1"/>
      <c r="R943" s="1"/>
      <c r="S943" s="1"/>
      <c r="T943" s="1"/>
    </row>
    <row r="944" ht="15.75" customHeight="1">
      <c r="A944" s="36"/>
      <c r="B944" s="37"/>
      <c r="C944" s="37"/>
      <c r="D944" s="37"/>
      <c r="E944" s="37"/>
      <c r="F944" s="37"/>
      <c r="G944" s="1"/>
      <c r="H944" s="1"/>
      <c r="I944" s="1"/>
      <c r="J944" s="1"/>
      <c r="K944" s="1"/>
      <c r="L944" s="1"/>
      <c r="M944" s="1"/>
      <c r="N944" s="1"/>
      <c r="O944" s="1"/>
      <c r="P944" s="1"/>
      <c r="Q944" s="1"/>
      <c r="R944" s="1"/>
      <c r="S944" s="1"/>
      <c r="T944" s="1"/>
    </row>
    <row r="945" ht="15.75" customHeight="1">
      <c r="A945" s="36"/>
      <c r="B945" s="37"/>
      <c r="C945" s="37"/>
      <c r="D945" s="37"/>
      <c r="E945" s="37"/>
      <c r="F945" s="37"/>
      <c r="G945" s="1"/>
      <c r="H945" s="1"/>
      <c r="I945" s="1"/>
      <c r="J945" s="1"/>
      <c r="K945" s="1"/>
      <c r="L945" s="1"/>
      <c r="M945" s="1"/>
      <c r="N945" s="1"/>
      <c r="O945" s="1"/>
      <c r="P945" s="1"/>
      <c r="Q945" s="1"/>
      <c r="R945" s="1"/>
      <c r="S945" s="1"/>
      <c r="T945" s="1"/>
    </row>
    <row r="946" ht="15.75" customHeight="1">
      <c r="A946" s="36"/>
      <c r="B946" s="37"/>
      <c r="C946" s="37"/>
      <c r="D946" s="37"/>
      <c r="E946" s="37"/>
      <c r="F946" s="37"/>
      <c r="G946" s="1"/>
      <c r="H946" s="1"/>
      <c r="I946" s="1"/>
      <c r="J946" s="1"/>
      <c r="K946" s="1"/>
      <c r="L946" s="1"/>
      <c r="M946" s="1"/>
      <c r="N946" s="1"/>
      <c r="O946" s="1"/>
      <c r="P946" s="1"/>
      <c r="Q946" s="1"/>
      <c r="R946" s="1"/>
      <c r="S946" s="1"/>
      <c r="T946" s="1"/>
    </row>
    <row r="947" ht="15.75" customHeight="1">
      <c r="A947" s="36"/>
      <c r="B947" s="37"/>
      <c r="C947" s="37"/>
      <c r="D947" s="37"/>
      <c r="E947" s="37"/>
      <c r="F947" s="37"/>
      <c r="G947" s="1"/>
      <c r="H947" s="1"/>
      <c r="I947" s="1"/>
      <c r="J947" s="1"/>
      <c r="K947" s="1"/>
      <c r="L947" s="1"/>
      <c r="M947" s="1"/>
      <c r="N947" s="1"/>
      <c r="O947" s="1"/>
      <c r="P947" s="1"/>
      <c r="Q947" s="1"/>
      <c r="R947" s="1"/>
      <c r="S947" s="1"/>
      <c r="T947" s="1"/>
    </row>
    <row r="948" ht="15.75" customHeight="1">
      <c r="A948" s="36"/>
      <c r="B948" s="37"/>
      <c r="C948" s="37"/>
      <c r="D948" s="37"/>
      <c r="E948" s="37"/>
      <c r="F948" s="37"/>
      <c r="G948" s="1"/>
      <c r="H948" s="1"/>
      <c r="I948" s="1"/>
      <c r="J948" s="1"/>
      <c r="K948" s="1"/>
      <c r="L948" s="1"/>
      <c r="M948" s="1"/>
      <c r="N948" s="1"/>
      <c r="O948" s="1"/>
      <c r="P948" s="1"/>
      <c r="Q948" s="1"/>
      <c r="R948" s="1"/>
      <c r="S948" s="1"/>
      <c r="T948" s="1"/>
    </row>
    <row r="949" ht="15.75" customHeight="1">
      <c r="A949" s="36"/>
      <c r="B949" s="37"/>
      <c r="C949" s="37"/>
      <c r="D949" s="37"/>
      <c r="E949" s="37"/>
      <c r="F949" s="37"/>
      <c r="G949" s="1"/>
      <c r="H949" s="1"/>
      <c r="I949" s="1"/>
      <c r="J949" s="1"/>
      <c r="K949" s="1"/>
      <c r="L949" s="1"/>
      <c r="M949" s="1"/>
      <c r="N949" s="1"/>
      <c r="O949" s="1"/>
      <c r="P949" s="1"/>
      <c r="Q949" s="1"/>
      <c r="R949" s="1"/>
      <c r="S949" s="1"/>
      <c r="T949" s="1"/>
    </row>
    <row r="950" ht="15.75" customHeight="1">
      <c r="A950" s="36"/>
      <c r="B950" s="37"/>
      <c r="C950" s="37"/>
      <c r="D950" s="37"/>
      <c r="E950" s="37"/>
      <c r="F950" s="37"/>
      <c r="G950" s="1"/>
      <c r="H950" s="1"/>
      <c r="I950" s="1"/>
      <c r="J950" s="1"/>
      <c r="K950" s="1"/>
      <c r="L950" s="1"/>
      <c r="M950" s="1"/>
      <c r="N950" s="1"/>
      <c r="O950" s="1"/>
      <c r="P950" s="1"/>
      <c r="Q950" s="1"/>
      <c r="R950" s="1"/>
      <c r="S950" s="1"/>
      <c r="T950" s="1"/>
    </row>
    <row r="951" ht="15.75" customHeight="1">
      <c r="A951" s="36"/>
      <c r="B951" s="37"/>
      <c r="C951" s="37"/>
      <c r="D951" s="37"/>
      <c r="E951" s="37"/>
      <c r="F951" s="37"/>
      <c r="G951" s="1"/>
      <c r="H951" s="1"/>
      <c r="I951" s="1"/>
      <c r="J951" s="1"/>
      <c r="K951" s="1"/>
      <c r="L951" s="1"/>
      <c r="M951" s="1"/>
      <c r="N951" s="1"/>
      <c r="O951" s="1"/>
      <c r="P951" s="1"/>
      <c r="Q951" s="1"/>
      <c r="R951" s="1"/>
      <c r="S951" s="1"/>
      <c r="T951" s="1"/>
    </row>
    <row r="952" ht="15.75" customHeight="1">
      <c r="A952" s="36"/>
      <c r="B952" s="37"/>
      <c r="C952" s="37"/>
      <c r="D952" s="37"/>
      <c r="E952" s="37"/>
      <c r="F952" s="37"/>
      <c r="G952" s="1"/>
      <c r="H952" s="1"/>
      <c r="I952" s="1"/>
      <c r="J952" s="1"/>
      <c r="K952" s="1"/>
      <c r="L952" s="1"/>
      <c r="M952" s="1"/>
      <c r="N952" s="1"/>
      <c r="O952" s="1"/>
      <c r="P952" s="1"/>
      <c r="Q952" s="1"/>
      <c r="R952" s="1"/>
      <c r="S952" s="1"/>
      <c r="T952" s="1"/>
    </row>
    <row r="953" ht="15.75" customHeight="1">
      <c r="A953" s="36"/>
      <c r="B953" s="37"/>
      <c r="C953" s="37"/>
      <c r="D953" s="37"/>
      <c r="E953" s="37"/>
      <c r="F953" s="37"/>
      <c r="G953" s="1"/>
      <c r="H953" s="1"/>
      <c r="I953" s="1"/>
      <c r="J953" s="1"/>
      <c r="K953" s="1"/>
      <c r="L953" s="1"/>
      <c r="M953" s="1"/>
      <c r="N953" s="1"/>
      <c r="O953" s="1"/>
      <c r="P953" s="1"/>
      <c r="Q953" s="1"/>
      <c r="R953" s="1"/>
      <c r="S953" s="1"/>
      <c r="T953" s="1"/>
    </row>
    <row r="954" ht="15.75" customHeight="1">
      <c r="A954" s="36"/>
      <c r="B954" s="37"/>
      <c r="C954" s="37"/>
      <c r="D954" s="37"/>
      <c r="E954" s="37"/>
      <c r="F954" s="37"/>
      <c r="G954" s="1"/>
      <c r="H954" s="1"/>
      <c r="I954" s="1"/>
      <c r="J954" s="1"/>
      <c r="K954" s="1"/>
      <c r="L954" s="1"/>
      <c r="M954" s="1"/>
      <c r="N954" s="1"/>
      <c r="O954" s="1"/>
      <c r="P954" s="1"/>
      <c r="Q954" s="1"/>
      <c r="R954" s="1"/>
      <c r="S954" s="1"/>
      <c r="T954" s="1"/>
    </row>
    <row r="955" ht="15.75" customHeight="1">
      <c r="A955" s="36"/>
      <c r="B955" s="37"/>
      <c r="C955" s="37"/>
      <c r="D955" s="37"/>
      <c r="E955" s="37"/>
      <c r="F955" s="37"/>
      <c r="G955" s="1"/>
      <c r="H955" s="1"/>
      <c r="I955" s="1"/>
      <c r="J955" s="1"/>
      <c r="K955" s="1"/>
      <c r="L955" s="1"/>
      <c r="M955" s="1"/>
      <c r="N955" s="1"/>
      <c r="O955" s="1"/>
      <c r="P955" s="1"/>
      <c r="Q955" s="1"/>
      <c r="R955" s="1"/>
      <c r="S955" s="1"/>
      <c r="T955" s="1"/>
    </row>
    <row r="956" ht="15.75" customHeight="1">
      <c r="A956" s="36"/>
      <c r="B956" s="37"/>
      <c r="C956" s="37"/>
      <c r="D956" s="37"/>
      <c r="E956" s="37"/>
      <c r="F956" s="37"/>
      <c r="G956" s="1"/>
      <c r="H956" s="1"/>
      <c r="I956" s="1"/>
      <c r="J956" s="1"/>
      <c r="K956" s="1"/>
      <c r="L956" s="1"/>
      <c r="M956" s="1"/>
      <c r="N956" s="1"/>
      <c r="O956" s="1"/>
      <c r="P956" s="1"/>
      <c r="Q956" s="1"/>
      <c r="R956" s="1"/>
      <c r="S956" s="1"/>
      <c r="T956" s="1"/>
    </row>
    <row r="957" ht="15.75" customHeight="1">
      <c r="A957" s="36"/>
      <c r="B957" s="37"/>
      <c r="C957" s="37"/>
      <c r="D957" s="37"/>
      <c r="E957" s="37"/>
      <c r="F957" s="37"/>
      <c r="G957" s="1"/>
      <c r="H957" s="1"/>
      <c r="I957" s="1"/>
      <c r="J957" s="1"/>
      <c r="K957" s="1"/>
      <c r="L957" s="1"/>
      <c r="M957" s="1"/>
      <c r="N957" s="1"/>
      <c r="O957" s="1"/>
      <c r="P957" s="1"/>
      <c r="Q957" s="1"/>
      <c r="R957" s="1"/>
      <c r="S957" s="1"/>
      <c r="T957" s="1"/>
    </row>
    <row r="958" ht="15.75" customHeight="1">
      <c r="A958" s="36"/>
      <c r="B958" s="37"/>
      <c r="C958" s="37"/>
      <c r="D958" s="37"/>
      <c r="E958" s="37"/>
      <c r="F958" s="37"/>
      <c r="G958" s="1"/>
      <c r="H958" s="1"/>
      <c r="I958" s="1"/>
      <c r="J958" s="1"/>
      <c r="K958" s="1"/>
      <c r="L958" s="1"/>
      <c r="M958" s="1"/>
      <c r="N958" s="1"/>
      <c r="O958" s="1"/>
      <c r="P958" s="1"/>
      <c r="Q958" s="1"/>
      <c r="R958" s="1"/>
      <c r="S958" s="1"/>
      <c r="T958" s="1"/>
    </row>
    <row r="959" ht="15.75" customHeight="1">
      <c r="A959" s="36"/>
      <c r="B959" s="37"/>
      <c r="C959" s="37"/>
      <c r="D959" s="37"/>
      <c r="E959" s="37"/>
      <c r="F959" s="37"/>
      <c r="G959" s="1"/>
      <c r="H959" s="1"/>
      <c r="I959" s="1"/>
      <c r="J959" s="1"/>
      <c r="K959" s="1"/>
      <c r="L959" s="1"/>
      <c r="M959" s="1"/>
      <c r="N959" s="1"/>
      <c r="O959" s="1"/>
      <c r="P959" s="1"/>
      <c r="Q959" s="1"/>
      <c r="R959" s="1"/>
      <c r="S959" s="1"/>
      <c r="T959" s="1"/>
    </row>
    <row r="960" ht="15.75" customHeight="1">
      <c r="A960" s="36"/>
      <c r="B960" s="37"/>
      <c r="C960" s="37"/>
      <c r="D960" s="37"/>
      <c r="E960" s="37"/>
      <c r="F960" s="37"/>
      <c r="G960" s="1"/>
      <c r="H960" s="1"/>
      <c r="I960" s="1"/>
      <c r="J960" s="1"/>
      <c r="K960" s="1"/>
      <c r="L960" s="1"/>
      <c r="M960" s="1"/>
      <c r="N960" s="1"/>
      <c r="O960" s="1"/>
      <c r="P960" s="1"/>
      <c r="Q960" s="1"/>
      <c r="R960" s="1"/>
      <c r="S960" s="1"/>
      <c r="T960" s="1"/>
    </row>
    <row r="961" ht="15.75" customHeight="1">
      <c r="A961" s="36"/>
      <c r="B961" s="37"/>
      <c r="C961" s="37"/>
      <c r="D961" s="37"/>
      <c r="E961" s="37"/>
      <c r="F961" s="37"/>
      <c r="G961" s="1"/>
      <c r="H961" s="1"/>
      <c r="I961" s="1"/>
      <c r="J961" s="1"/>
      <c r="K961" s="1"/>
      <c r="L961" s="1"/>
      <c r="M961" s="1"/>
      <c r="N961" s="1"/>
      <c r="O961" s="1"/>
      <c r="P961" s="1"/>
      <c r="Q961" s="1"/>
      <c r="R961" s="1"/>
      <c r="S961" s="1"/>
      <c r="T961" s="1"/>
    </row>
    <row r="962" ht="15.75" customHeight="1">
      <c r="A962" s="36"/>
      <c r="B962" s="37"/>
      <c r="C962" s="37"/>
      <c r="D962" s="37"/>
      <c r="E962" s="37"/>
      <c r="F962" s="37"/>
      <c r="G962" s="1"/>
      <c r="H962" s="1"/>
      <c r="I962" s="1"/>
      <c r="J962" s="1"/>
      <c r="K962" s="1"/>
      <c r="L962" s="1"/>
      <c r="M962" s="1"/>
      <c r="N962" s="1"/>
      <c r="O962" s="1"/>
      <c r="P962" s="1"/>
      <c r="Q962" s="1"/>
      <c r="R962" s="1"/>
      <c r="S962" s="1"/>
      <c r="T962" s="1"/>
    </row>
    <row r="963" ht="15.75" customHeight="1">
      <c r="A963" s="36"/>
      <c r="B963" s="37"/>
      <c r="C963" s="37"/>
      <c r="D963" s="37"/>
      <c r="E963" s="37"/>
      <c r="F963" s="37"/>
      <c r="G963" s="1"/>
      <c r="H963" s="1"/>
      <c r="I963" s="1"/>
      <c r="J963" s="1"/>
      <c r="K963" s="1"/>
      <c r="L963" s="1"/>
      <c r="M963" s="1"/>
      <c r="N963" s="1"/>
      <c r="O963" s="1"/>
      <c r="P963" s="1"/>
      <c r="Q963" s="1"/>
      <c r="R963" s="1"/>
      <c r="S963" s="1"/>
      <c r="T963" s="1"/>
    </row>
    <row r="964" ht="15.75" customHeight="1">
      <c r="A964" s="36"/>
      <c r="B964" s="37"/>
      <c r="C964" s="37"/>
      <c r="D964" s="37"/>
      <c r="E964" s="37"/>
      <c r="F964" s="37"/>
      <c r="G964" s="1"/>
      <c r="H964" s="1"/>
      <c r="I964" s="1"/>
      <c r="J964" s="1"/>
      <c r="K964" s="1"/>
      <c r="L964" s="1"/>
      <c r="M964" s="1"/>
      <c r="N964" s="1"/>
      <c r="O964" s="1"/>
      <c r="P964" s="1"/>
      <c r="Q964" s="1"/>
      <c r="R964" s="1"/>
      <c r="S964" s="1"/>
      <c r="T964" s="1"/>
    </row>
    <row r="965" ht="15.75" customHeight="1">
      <c r="A965" s="36"/>
      <c r="B965" s="37"/>
      <c r="C965" s="37"/>
      <c r="D965" s="37"/>
      <c r="E965" s="37"/>
      <c r="F965" s="37"/>
      <c r="G965" s="1"/>
      <c r="H965" s="1"/>
      <c r="I965" s="1"/>
      <c r="J965" s="1"/>
      <c r="K965" s="1"/>
      <c r="L965" s="1"/>
      <c r="M965" s="1"/>
      <c r="N965" s="1"/>
      <c r="O965" s="1"/>
      <c r="P965" s="1"/>
      <c r="Q965" s="1"/>
      <c r="R965" s="1"/>
      <c r="S965" s="1"/>
      <c r="T965" s="1"/>
    </row>
    <row r="966" ht="15.75" customHeight="1">
      <c r="A966" s="36"/>
      <c r="B966" s="37"/>
      <c r="C966" s="37"/>
      <c r="D966" s="37"/>
      <c r="E966" s="37"/>
      <c r="F966" s="37"/>
      <c r="G966" s="1"/>
      <c r="H966" s="1"/>
      <c r="I966" s="1"/>
      <c r="J966" s="1"/>
      <c r="K966" s="1"/>
      <c r="L966" s="1"/>
      <c r="M966" s="1"/>
      <c r="N966" s="1"/>
      <c r="O966" s="1"/>
      <c r="P966" s="1"/>
      <c r="Q966" s="1"/>
      <c r="R966" s="1"/>
      <c r="S966" s="1"/>
      <c r="T966" s="1"/>
    </row>
    <row r="967" ht="15.75" customHeight="1">
      <c r="A967" s="36"/>
      <c r="B967" s="37"/>
      <c r="C967" s="37"/>
      <c r="D967" s="37"/>
      <c r="E967" s="37"/>
      <c r="F967" s="37"/>
      <c r="G967" s="1"/>
      <c r="H967" s="1"/>
      <c r="I967" s="1"/>
      <c r="J967" s="1"/>
      <c r="K967" s="1"/>
      <c r="L967" s="1"/>
      <c r="M967" s="1"/>
      <c r="N967" s="1"/>
      <c r="O967" s="1"/>
      <c r="P967" s="1"/>
      <c r="Q967" s="1"/>
      <c r="R967" s="1"/>
      <c r="S967" s="1"/>
      <c r="T967" s="1"/>
    </row>
    <row r="968" ht="15.75" customHeight="1">
      <c r="A968" s="36"/>
      <c r="B968" s="37"/>
      <c r="C968" s="37"/>
      <c r="D968" s="37"/>
      <c r="E968" s="37"/>
      <c r="F968" s="37"/>
      <c r="G968" s="1"/>
      <c r="H968" s="1"/>
      <c r="I968" s="1"/>
      <c r="J968" s="1"/>
      <c r="K968" s="1"/>
      <c r="L968" s="1"/>
      <c r="M968" s="1"/>
      <c r="N968" s="1"/>
      <c r="O968" s="1"/>
      <c r="P968" s="1"/>
      <c r="Q968" s="1"/>
      <c r="R968" s="1"/>
      <c r="S968" s="1"/>
      <c r="T968" s="1"/>
    </row>
    <row r="969" ht="15.75" customHeight="1">
      <c r="A969" s="36"/>
      <c r="B969" s="37"/>
      <c r="C969" s="37"/>
      <c r="D969" s="37"/>
      <c r="E969" s="37"/>
      <c r="F969" s="37"/>
      <c r="G969" s="1"/>
      <c r="H969" s="1"/>
      <c r="I969" s="1"/>
      <c r="J969" s="1"/>
      <c r="K969" s="1"/>
      <c r="L969" s="1"/>
      <c r="M969" s="1"/>
      <c r="N969" s="1"/>
      <c r="O969" s="1"/>
      <c r="P969" s="1"/>
      <c r="Q969" s="1"/>
      <c r="R969" s="1"/>
      <c r="S969" s="1"/>
      <c r="T969" s="1"/>
    </row>
    <row r="970" ht="15.75" customHeight="1">
      <c r="A970" s="36"/>
      <c r="B970" s="37"/>
      <c r="C970" s="37"/>
      <c r="D970" s="37"/>
      <c r="E970" s="37"/>
      <c r="F970" s="37"/>
      <c r="G970" s="1"/>
      <c r="H970" s="1"/>
      <c r="I970" s="1"/>
      <c r="J970" s="1"/>
      <c r="K970" s="1"/>
      <c r="L970" s="1"/>
      <c r="M970" s="1"/>
      <c r="N970" s="1"/>
      <c r="O970" s="1"/>
      <c r="P970" s="1"/>
      <c r="Q970" s="1"/>
      <c r="R970" s="1"/>
      <c r="S970" s="1"/>
      <c r="T970" s="1"/>
    </row>
    <row r="971" ht="15.75" customHeight="1">
      <c r="A971" s="36"/>
      <c r="B971" s="37"/>
      <c r="C971" s="37"/>
      <c r="D971" s="37"/>
      <c r="E971" s="37"/>
      <c r="F971" s="37"/>
      <c r="G971" s="1"/>
      <c r="H971" s="1"/>
      <c r="I971" s="1"/>
      <c r="J971" s="1"/>
      <c r="K971" s="1"/>
      <c r="L971" s="1"/>
      <c r="M971" s="1"/>
      <c r="N971" s="1"/>
      <c r="O971" s="1"/>
      <c r="P971" s="1"/>
      <c r="Q971" s="1"/>
      <c r="R971" s="1"/>
      <c r="S971" s="1"/>
      <c r="T971" s="1"/>
    </row>
    <row r="972" ht="15.75" customHeight="1">
      <c r="A972" s="36"/>
      <c r="B972" s="37"/>
      <c r="C972" s="37"/>
      <c r="D972" s="37"/>
      <c r="E972" s="37"/>
      <c r="F972" s="37"/>
      <c r="G972" s="1"/>
      <c r="H972" s="1"/>
      <c r="I972" s="1"/>
      <c r="J972" s="1"/>
      <c r="K972" s="1"/>
      <c r="L972" s="1"/>
      <c r="M972" s="1"/>
      <c r="N972" s="1"/>
      <c r="O972" s="1"/>
      <c r="P972" s="1"/>
      <c r="Q972" s="1"/>
      <c r="R972" s="1"/>
      <c r="S972" s="1"/>
      <c r="T972" s="1"/>
    </row>
    <row r="973" ht="15.75" customHeight="1">
      <c r="A973" s="36"/>
      <c r="B973" s="37"/>
      <c r="C973" s="37"/>
      <c r="D973" s="37"/>
      <c r="E973" s="37"/>
      <c r="F973" s="37"/>
      <c r="G973" s="1"/>
      <c r="H973" s="1"/>
      <c r="I973" s="1"/>
      <c r="J973" s="1"/>
      <c r="K973" s="1"/>
      <c r="L973" s="1"/>
      <c r="M973" s="1"/>
      <c r="N973" s="1"/>
      <c r="O973" s="1"/>
      <c r="P973" s="1"/>
      <c r="Q973" s="1"/>
      <c r="R973" s="1"/>
      <c r="S973" s="1"/>
      <c r="T973" s="1"/>
    </row>
    <row r="974" ht="15.75" customHeight="1">
      <c r="A974" s="36"/>
      <c r="B974" s="37"/>
      <c r="C974" s="37"/>
      <c r="D974" s="37"/>
      <c r="E974" s="37"/>
      <c r="F974" s="37"/>
      <c r="G974" s="1"/>
      <c r="H974" s="1"/>
      <c r="I974" s="1"/>
      <c r="J974" s="1"/>
      <c r="K974" s="1"/>
      <c r="L974" s="1"/>
      <c r="M974" s="1"/>
      <c r="N974" s="1"/>
      <c r="O974" s="1"/>
      <c r="P974" s="1"/>
      <c r="Q974" s="1"/>
      <c r="R974" s="1"/>
      <c r="S974" s="1"/>
      <c r="T974" s="1"/>
    </row>
    <row r="975" ht="15.75" customHeight="1">
      <c r="A975" s="36"/>
      <c r="B975" s="37"/>
      <c r="C975" s="37"/>
      <c r="D975" s="37"/>
      <c r="E975" s="37"/>
      <c r="F975" s="37"/>
      <c r="G975" s="1"/>
      <c r="H975" s="1"/>
      <c r="I975" s="1"/>
      <c r="J975" s="1"/>
      <c r="K975" s="1"/>
      <c r="L975" s="1"/>
      <c r="M975" s="1"/>
      <c r="N975" s="1"/>
      <c r="O975" s="1"/>
      <c r="P975" s="1"/>
      <c r="Q975" s="1"/>
      <c r="R975" s="1"/>
      <c r="S975" s="1"/>
      <c r="T975" s="1"/>
    </row>
    <row r="976" ht="15.75" customHeight="1">
      <c r="A976" s="36"/>
      <c r="B976" s="37"/>
      <c r="C976" s="37"/>
      <c r="D976" s="37"/>
      <c r="E976" s="37"/>
      <c r="F976" s="37"/>
      <c r="G976" s="1"/>
      <c r="H976" s="1"/>
      <c r="I976" s="1"/>
      <c r="J976" s="1"/>
      <c r="K976" s="1"/>
      <c r="L976" s="1"/>
      <c r="M976" s="1"/>
      <c r="N976" s="1"/>
      <c r="O976" s="1"/>
      <c r="P976" s="1"/>
      <c r="Q976" s="1"/>
      <c r="R976" s="1"/>
      <c r="S976" s="1"/>
      <c r="T976" s="1"/>
    </row>
    <row r="977" ht="15.75" customHeight="1">
      <c r="A977" s="36"/>
      <c r="B977" s="37"/>
      <c r="C977" s="37"/>
      <c r="D977" s="37"/>
      <c r="E977" s="37"/>
      <c r="F977" s="37"/>
      <c r="G977" s="1"/>
      <c r="H977" s="1"/>
      <c r="I977" s="1"/>
      <c r="J977" s="1"/>
      <c r="K977" s="1"/>
      <c r="L977" s="1"/>
      <c r="M977" s="1"/>
      <c r="N977" s="1"/>
      <c r="O977" s="1"/>
      <c r="P977" s="1"/>
      <c r="Q977" s="1"/>
      <c r="R977" s="1"/>
      <c r="S977" s="1"/>
      <c r="T977" s="1"/>
    </row>
    <row r="978" ht="15.75" customHeight="1">
      <c r="A978" s="36"/>
      <c r="B978" s="37"/>
      <c r="C978" s="37"/>
      <c r="D978" s="37"/>
      <c r="E978" s="37"/>
      <c r="F978" s="37"/>
      <c r="G978" s="1"/>
      <c r="H978" s="1"/>
      <c r="I978" s="1"/>
      <c r="J978" s="1"/>
      <c r="K978" s="1"/>
      <c r="L978" s="1"/>
      <c r="M978" s="1"/>
      <c r="N978" s="1"/>
      <c r="O978" s="1"/>
      <c r="P978" s="1"/>
      <c r="Q978" s="1"/>
      <c r="R978" s="1"/>
      <c r="S978" s="1"/>
      <c r="T978" s="1"/>
    </row>
    <row r="979" ht="15.75" customHeight="1">
      <c r="A979" s="36"/>
      <c r="B979" s="37"/>
      <c r="C979" s="37"/>
      <c r="D979" s="37"/>
      <c r="E979" s="37"/>
      <c r="F979" s="37"/>
      <c r="G979" s="1"/>
      <c r="H979" s="1"/>
      <c r="I979" s="1"/>
      <c r="J979" s="1"/>
      <c r="K979" s="1"/>
      <c r="L979" s="1"/>
      <c r="M979" s="1"/>
      <c r="N979" s="1"/>
      <c r="O979" s="1"/>
      <c r="P979" s="1"/>
      <c r="Q979" s="1"/>
      <c r="R979" s="1"/>
      <c r="S979" s="1"/>
      <c r="T979" s="1"/>
    </row>
    <row r="980" ht="15.75" customHeight="1">
      <c r="A980" s="36"/>
      <c r="B980" s="37"/>
      <c r="C980" s="37"/>
      <c r="D980" s="37"/>
      <c r="E980" s="37"/>
      <c r="F980" s="37"/>
      <c r="G980" s="1"/>
      <c r="H980" s="1"/>
      <c r="I980" s="1"/>
      <c r="J980" s="1"/>
      <c r="K980" s="1"/>
      <c r="L980" s="1"/>
      <c r="M980" s="1"/>
      <c r="N980" s="1"/>
      <c r="O980" s="1"/>
      <c r="P980" s="1"/>
      <c r="Q980" s="1"/>
      <c r="R980" s="1"/>
      <c r="S980" s="1"/>
      <c r="T980" s="1"/>
    </row>
    <row r="981" ht="15.75" customHeight="1">
      <c r="A981" s="36"/>
      <c r="B981" s="37"/>
      <c r="C981" s="37"/>
      <c r="D981" s="37"/>
      <c r="E981" s="37"/>
      <c r="F981" s="37"/>
      <c r="G981" s="1"/>
      <c r="H981" s="1"/>
      <c r="I981" s="1"/>
      <c r="J981" s="1"/>
      <c r="K981" s="1"/>
      <c r="L981" s="1"/>
      <c r="M981" s="1"/>
      <c r="N981" s="1"/>
      <c r="O981" s="1"/>
      <c r="P981" s="1"/>
      <c r="Q981" s="1"/>
      <c r="R981" s="1"/>
      <c r="S981" s="1"/>
      <c r="T981" s="1"/>
    </row>
    <row r="982" ht="15.75" customHeight="1">
      <c r="A982" s="36"/>
      <c r="B982" s="37"/>
      <c r="C982" s="37"/>
      <c r="D982" s="37"/>
      <c r="E982" s="37"/>
      <c r="F982" s="37"/>
      <c r="G982" s="1"/>
      <c r="H982" s="1"/>
      <c r="I982" s="1"/>
      <c r="J982" s="1"/>
      <c r="K982" s="1"/>
      <c r="L982" s="1"/>
      <c r="M982" s="1"/>
      <c r="N982" s="1"/>
      <c r="O982" s="1"/>
      <c r="P982" s="1"/>
      <c r="Q982" s="1"/>
      <c r="R982" s="1"/>
      <c r="S982" s="1"/>
      <c r="T982" s="1"/>
    </row>
    <row r="983" ht="15.75" customHeight="1">
      <c r="A983" s="36"/>
      <c r="B983" s="37"/>
      <c r="C983" s="37"/>
      <c r="D983" s="37"/>
      <c r="E983" s="37"/>
      <c r="F983" s="37"/>
      <c r="G983" s="1"/>
      <c r="H983" s="1"/>
      <c r="I983" s="1"/>
      <c r="J983" s="1"/>
      <c r="K983" s="1"/>
      <c r="L983" s="1"/>
      <c r="M983" s="1"/>
      <c r="N983" s="1"/>
      <c r="O983" s="1"/>
      <c r="P983" s="1"/>
      <c r="Q983" s="1"/>
      <c r="R983" s="1"/>
      <c r="S983" s="1"/>
      <c r="T983" s="1"/>
    </row>
    <row r="984" ht="15.75" customHeight="1">
      <c r="A984" s="36"/>
      <c r="B984" s="37"/>
      <c r="C984" s="37"/>
      <c r="D984" s="37"/>
      <c r="E984" s="37"/>
      <c r="F984" s="37"/>
      <c r="G984" s="1"/>
      <c r="H984" s="1"/>
      <c r="I984" s="1"/>
      <c r="J984" s="1"/>
      <c r="K984" s="1"/>
      <c r="L984" s="1"/>
      <c r="M984" s="1"/>
      <c r="N984" s="1"/>
      <c r="O984" s="1"/>
      <c r="P984" s="1"/>
      <c r="Q984" s="1"/>
      <c r="R984" s="1"/>
      <c r="S984" s="1"/>
      <c r="T984" s="1"/>
    </row>
    <row r="985" ht="15.75" customHeight="1">
      <c r="A985" s="36"/>
      <c r="B985" s="37"/>
      <c r="C985" s="37"/>
      <c r="D985" s="37"/>
      <c r="E985" s="37"/>
      <c r="F985" s="37"/>
      <c r="G985" s="1"/>
      <c r="H985" s="1"/>
      <c r="I985" s="1"/>
      <c r="J985" s="1"/>
      <c r="K985" s="1"/>
      <c r="L985" s="1"/>
      <c r="M985" s="1"/>
      <c r="N985" s="1"/>
      <c r="O985" s="1"/>
      <c r="P985" s="1"/>
      <c r="Q985" s="1"/>
      <c r="R985" s="1"/>
      <c r="S985" s="1"/>
      <c r="T985" s="1"/>
    </row>
    <row r="986" ht="15.75" customHeight="1">
      <c r="A986" s="36"/>
      <c r="B986" s="37"/>
      <c r="C986" s="37"/>
      <c r="D986" s="37"/>
      <c r="E986" s="37"/>
      <c r="F986" s="37"/>
      <c r="G986" s="1"/>
      <c r="H986" s="1"/>
      <c r="I986" s="1"/>
      <c r="J986" s="1"/>
      <c r="K986" s="1"/>
      <c r="L986" s="1"/>
      <c r="M986" s="1"/>
      <c r="N986" s="1"/>
      <c r="O986" s="1"/>
      <c r="P986" s="1"/>
      <c r="Q986" s="1"/>
      <c r="R986" s="1"/>
      <c r="S986" s="1"/>
      <c r="T986" s="1"/>
    </row>
    <row r="987" ht="15.75" customHeight="1">
      <c r="A987" s="36"/>
      <c r="B987" s="37"/>
      <c r="C987" s="37"/>
      <c r="D987" s="37"/>
      <c r="E987" s="37"/>
      <c r="F987" s="37"/>
      <c r="G987" s="1"/>
      <c r="H987" s="1"/>
      <c r="I987" s="1"/>
      <c r="J987" s="1"/>
      <c r="K987" s="1"/>
      <c r="L987" s="1"/>
      <c r="M987" s="1"/>
      <c r="N987" s="1"/>
      <c r="O987" s="1"/>
      <c r="P987" s="1"/>
      <c r="Q987" s="1"/>
      <c r="R987" s="1"/>
      <c r="S987" s="1"/>
      <c r="T987" s="1"/>
    </row>
    <row r="988" ht="15.75" customHeight="1">
      <c r="A988" s="36"/>
      <c r="B988" s="37"/>
      <c r="C988" s="37"/>
      <c r="D988" s="37"/>
      <c r="E988" s="37"/>
      <c r="F988" s="37"/>
      <c r="G988" s="1"/>
      <c r="H988" s="1"/>
      <c r="I988" s="1"/>
      <c r="J988" s="1"/>
      <c r="K988" s="1"/>
      <c r="L988" s="1"/>
      <c r="M988" s="1"/>
      <c r="N988" s="1"/>
      <c r="O988" s="1"/>
      <c r="P988" s="1"/>
      <c r="Q988" s="1"/>
      <c r="R988" s="1"/>
      <c r="S988" s="1"/>
      <c r="T988" s="1"/>
    </row>
    <row r="989" ht="15.75" customHeight="1">
      <c r="A989" s="36"/>
      <c r="B989" s="37"/>
      <c r="C989" s="37"/>
      <c r="D989" s="37"/>
      <c r="E989" s="37"/>
      <c r="F989" s="37"/>
      <c r="G989" s="1"/>
      <c r="H989" s="1"/>
      <c r="I989" s="1"/>
      <c r="J989" s="1"/>
      <c r="K989" s="1"/>
      <c r="L989" s="1"/>
      <c r="M989" s="1"/>
      <c r="N989" s="1"/>
      <c r="O989" s="1"/>
      <c r="P989" s="1"/>
      <c r="Q989" s="1"/>
      <c r="R989" s="1"/>
      <c r="S989" s="1"/>
      <c r="T989" s="1"/>
    </row>
    <row r="990" ht="15.75" customHeight="1">
      <c r="A990" s="36"/>
      <c r="B990" s="37"/>
      <c r="C990" s="37"/>
      <c r="D990" s="37"/>
      <c r="E990" s="37"/>
      <c r="F990" s="37"/>
      <c r="G990" s="1"/>
      <c r="H990" s="1"/>
      <c r="I990" s="1"/>
      <c r="J990" s="1"/>
      <c r="K990" s="1"/>
      <c r="L990" s="1"/>
      <c r="M990" s="1"/>
      <c r="N990" s="1"/>
      <c r="O990" s="1"/>
      <c r="P990" s="1"/>
      <c r="Q990" s="1"/>
      <c r="R990" s="1"/>
      <c r="S990" s="1"/>
      <c r="T990" s="1"/>
    </row>
    <row r="991" ht="15.75" customHeight="1">
      <c r="A991" s="36"/>
      <c r="B991" s="37"/>
      <c r="C991" s="37"/>
      <c r="D991" s="37"/>
      <c r="E991" s="37"/>
      <c r="F991" s="37"/>
      <c r="G991" s="1"/>
      <c r="H991" s="1"/>
      <c r="I991" s="1"/>
      <c r="J991" s="1"/>
      <c r="K991" s="1"/>
      <c r="L991" s="1"/>
      <c r="M991" s="1"/>
      <c r="N991" s="1"/>
      <c r="O991" s="1"/>
      <c r="P991" s="1"/>
      <c r="Q991" s="1"/>
      <c r="R991" s="1"/>
      <c r="S991" s="1"/>
      <c r="T991" s="1"/>
    </row>
    <row r="992" ht="15.75" customHeight="1">
      <c r="A992" s="36"/>
      <c r="B992" s="37"/>
      <c r="C992" s="37"/>
      <c r="D992" s="37"/>
      <c r="E992" s="37"/>
      <c r="F992" s="37"/>
      <c r="G992" s="1"/>
      <c r="H992" s="1"/>
      <c r="I992" s="1"/>
      <c r="J992" s="1"/>
      <c r="K992" s="1"/>
      <c r="L992" s="1"/>
      <c r="M992" s="1"/>
      <c r="N992" s="1"/>
      <c r="O992" s="1"/>
      <c r="P992" s="1"/>
      <c r="Q992" s="1"/>
      <c r="R992" s="1"/>
      <c r="S992" s="1"/>
      <c r="T992" s="1"/>
    </row>
    <row r="993" ht="15.75" customHeight="1">
      <c r="A993" s="36"/>
      <c r="B993" s="37"/>
      <c r="C993" s="37"/>
      <c r="D993" s="37"/>
      <c r="E993" s="37"/>
      <c r="F993" s="37"/>
      <c r="G993" s="1"/>
      <c r="H993" s="1"/>
      <c r="I993" s="1"/>
      <c r="J993" s="1"/>
      <c r="K993" s="1"/>
      <c r="L993" s="1"/>
      <c r="M993" s="1"/>
      <c r="N993" s="1"/>
      <c r="O993" s="1"/>
      <c r="P993" s="1"/>
      <c r="Q993" s="1"/>
      <c r="R993" s="1"/>
      <c r="S993" s="1"/>
      <c r="T993" s="1"/>
    </row>
    <row r="994" ht="15.75" customHeight="1">
      <c r="A994" s="36"/>
      <c r="B994" s="37"/>
      <c r="C994" s="37"/>
      <c r="D994" s="37"/>
      <c r="E994" s="37"/>
      <c r="F994" s="37"/>
      <c r="G994" s="1"/>
      <c r="H994" s="1"/>
      <c r="I994" s="1"/>
      <c r="J994" s="1"/>
      <c r="K994" s="1"/>
      <c r="L994" s="1"/>
      <c r="M994" s="1"/>
      <c r="N994" s="1"/>
      <c r="O994" s="1"/>
      <c r="P994" s="1"/>
      <c r="Q994" s="1"/>
      <c r="R994" s="1"/>
      <c r="S994" s="1"/>
      <c r="T994" s="1"/>
    </row>
    <row r="995" ht="15.75" customHeight="1">
      <c r="A995" s="36"/>
      <c r="B995" s="37"/>
      <c r="C995" s="37"/>
      <c r="D995" s="37"/>
      <c r="E995" s="37"/>
      <c r="F995" s="37"/>
      <c r="G995" s="1"/>
      <c r="H995" s="1"/>
      <c r="I995" s="1"/>
      <c r="J995" s="1"/>
      <c r="K995" s="1"/>
      <c r="L995" s="1"/>
      <c r="M995" s="1"/>
      <c r="N995" s="1"/>
      <c r="O995" s="1"/>
      <c r="P995" s="1"/>
      <c r="Q995" s="1"/>
      <c r="R995" s="1"/>
      <c r="S995" s="1"/>
      <c r="T995" s="1"/>
    </row>
    <row r="996" ht="15.75" customHeight="1">
      <c r="A996" s="36"/>
      <c r="B996" s="37"/>
      <c r="C996" s="37"/>
      <c r="D996" s="37"/>
      <c r="E996" s="37"/>
      <c r="F996" s="37"/>
      <c r="G996" s="1"/>
      <c r="H996" s="1"/>
      <c r="I996" s="1"/>
      <c r="J996" s="1"/>
      <c r="K996" s="1"/>
      <c r="L996" s="1"/>
      <c r="M996" s="1"/>
      <c r="N996" s="1"/>
      <c r="O996" s="1"/>
      <c r="P996" s="1"/>
      <c r="Q996" s="1"/>
      <c r="R996" s="1"/>
      <c r="S996" s="1"/>
      <c r="T996" s="1"/>
    </row>
    <row r="997" ht="15.75" customHeight="1">
      <c r="A997" s="36"/>
      <c r="B997" s="37"/>
      <c r="C997" s="37"/>
      <c r="D997" s="37"/>
      <c r="E997" s="37"/>
      <c r="F997" s="37"/>
      <c r="G997" s="1"/>
      <c r="H997" s="1"/>
      <c r="I997" s="1"/>
      <c r="J997" s="1"/>
      <c r="K997" s="1"/>
      <c r="L997" s="1"/>
      <c r="M997" s="1"/>
      <c r="N997" s="1"/>
      <c r="O997" s="1"/>
      <c r="P997" s="1"/>
      <c r="Q997" s="1"/>
      <c r="R997" s="1"/>
      <c r="S997" s="1"/>
      <c r="T997" s="1"/>
    </row>
    <row r="998" ht="15.75" customHeight="1">
      <c r="A998" s="36"/>
      <c r="B998" s="37"/>
      <c r="C998" s="37"/>
      <c r="D998" s="37"/>
      <c r="E998" s="37"/>
      <c r="F998" s="37"/>
      <c r="G998" s="1"/>
      <c r="H998" s="1"/>
      <c r="I998" s="1"/>
      <c r="J998" s="1"/>
      <c r="K998" s="1"/>
      <c r="L998" s="1"/>
      <c r="M998" s="1"/>
      <c r="N998" s="1"/>
      <c r="O998" s="1"/>
      <c r="P998" s="1"/>
      <c r="Q998" s="1"/>
      <c r="R998" s="1"/>
      <c r="S998" s="1"/>
      <c r="T998" s="1"/>
    </row>
    <row r="999" ht="15.75" customHeight="1">
      <c r="A999" s="36"/>
      <c r="B999" s="37"/>
      <c r="C999" s="37"/>
      <c r="D999" s="37"/>
      <c r="E999" s="37"/>
      <c r="F999" s="37"/>
      <c r="G999" s="1"/>
      <c r="H999" s="1"/>
      <c r="I999" s="1"/>
      <c r="J999" s="1"/>
      <c r="K999" s="1"/>
      <c r="L999" s="1"/>
      <c r="M999" s="1"/>
      <c r="N999" s="1"/>
      <c r="O999" s="1"/>
      <c r="P999" s="1"/>
      <c r="Q999" s="1"/>
      <c r="R999" s="1"/>
      <c r="S999" s="1"/>
      <c r="T999" s="1"/>
    </row>
    <row r="1000" ht="15.75" customHeight="1">
      <c r="A1000" s="36"/>
      <c r="B1000" s="37"/>
      <c r="C1000" s="37"/>
      <c r="D1000" s="37"/>
      <c r="E1000" s="37"/>
      <c r="F1000" s="37"/>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hyperlinks>
    <hyperlink r:id="rId1" ref="H11"/>
    <hyperlink r:id="rId2" ref="H12"/>
    <hyperlink r:id="rId3" ref="H13"/>
    <hyperlink r:id="rId4" ref="I13"/>
    <hyperlink r:id="rId5" ref="H14"/>
    <hyperlink r:id="rId6" ref="I14"/>
    <hyperlink r:id="rId7" ref="H15"/>
    <hyperlink r:id="rId8" ref="I15"/>
    <hyperlink r:id="rId9" ref="H16"/>
    <hyperlink r:id="rId10" ref="H17"/>
    <hyperlink r:id="rId11" ref="I17"/>
    <hyperlink r:id="rId12" ref="H18"/>
    <hyperlink r:id="rId13" ref="I18"/>
  </hyperlinks>
  <printOptions/>
  <pageMargins bottom="0.75" footer="0.0" header="0.0" left="0.7" right="0.7" top="0.75"/>
  <pageSetup orientation="landscape"/>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
    <col customWidth="1" min="3" max="3" width="10.43"/>
    <col customWidth="1" min="4" max="4" width="12.71"/>
    <col customWidth="1" min="5" max="6" width="5.71"/>
    <col customWidth="1" min="7" max="7" width="7.14"/>
    <col customWidth="1" min="8" max="8" width="9.14"/>
    <col customWidth="1" min="9" max="11" width="10.14"/>
    <col customWidth="1" min="12" max="13" width="8.0"/>
    <col customWidth="1" min="14" max="14" width="10.43"/>
    <col customWidth="1" min="15" max="15" width="8.71"/>
    <col customWidth="1" min="16" max="16" width="9.14"/>
    <col customWidth="1" min="17" max="17" width="21.0"/>
    <col customWidth="1" min="18" max="20" width="9.14"/>
    <col customWidth="1" min="21" max="26" width="8.0"/>
  </cols>
  <sheetData>
    <row r="1">
      <c r="A1" s="36"/>
      <c r="B1" s="37"/>
      <c r="C1" s="37"/>
      <c r="D1" s="37"/>
      <c r="E1" s="37"/>
      <c r="F1" s="37"/>
      <c r="G1" s="1"/>
      <c r="H1" s="1"/>
      <c r="I1" s="1"/>
      <c r="J1" s="1"/>
      <c r="K1" s="1"/>
      <c r="L1" s="1"/>
      <c r="M1" s="1"/>
      <c r="N1" s="1"/>
      <c r="O1" s="1"/>
      <c r="P1" s="1"/>
      <c r="Q1" s="1"/>
      <c r="R1" s="1"/>
      <c r="S1" s="1"/>
      <c r="T1" s="1"/>
    </row>
    <row r="2" ht="15.75" customHeight="1">
      <c r="A2" s="38" t="s">
        <v>179</v>
      </c>
      <c r="B2" s="39"/>
      <c r="C2" s="39"/>
      <c r="D2" s="39"/>
      <c r="E2" s="39"/>
      <c r="F2" s="39"/>
      <c r="G2" s="39"/>
      <c r="H2" s="39"/>
      <c r="I2" s="39"/>
      <c r="J2" s="39"/>
      <c r="K2" s="39"/>
      <c r="L2" s="39"/>
      <c r="M2" s="39"/>
      <c r="N2" s="39"/>
      <c r="O2" s="39"/>
      <c r="P2" s="40"/>
      <c r="Q2" s="41"/>
      <c r="R2" s="41"/>
      <c r="S2" s="41"/>
      <c r="T2" s="41"/>
      <c r="U2" s="42"/>
      <c r="V2" s="42"/>
      <c r="W2" s="42"/>
      <c r="X2" s="42"/>
      <c r="Y2" s="42"/>
      <c r="Z2" s="42"/>
    </row>
    <row r="3">
      <c r="A3" s="42"/>
      <c r="B3" s="42"/>
      <c r="C3" s="42"/>
      <c r="D3" s="42"/>
      <c r="E3" s="42"/>
      <c r="F3" s="42"/>
      <c r="G3" s="42"/>
      <c r="H3" s="41"/>
      <c r="I3" s="42"/>
      <c r="J3" s="42"/>
      <c r="K3" s="42"/>
      <c r="L3" s="42"/>
      <c r="M3" s="42"/>
      <c r="N3" s="42"/>
      <c r="O3" s="42"/>
      <c r="P3" s="42"/>
      <c r="Q3" s="41"/>
      <c r="R3" s="41"/>
      <c r="S3" s="41"/>
      <c r="T3" s="41"/>
      <c r="U3" s="42"/>
      <c r="V3" s="42"/>
      <c r="W3" s="42"/>
      <c r="X3" s="42"/>
      <c r="Y3" s="42"/>
      <c r="Z3" s="42"/>
    </row>
    <row r="4" ht="44.25" customHeight="1">
      <c r="A4" s="43" t="s">
        <v>180</v>
      </c>
      <c r="B4" s="39"/>
      <c r="C4" s="39"/>
      <c r="D4" s="39"/>
      <c r="E4" s="39"/>
      <c r="F4" s="39"/>
      <c r="G4" s="39"/>
      <c r="H4" s="39"/>
      <c r="I4" s="39"/>
      <c r="J4" s="39"/>
      <c r="K4" s="39"/>
      <c r="L4" s="39"/>
      <c r="M4" s="39"/>
      <c r="N4" s="39"/>
      <c r="O4" s="39"/>
      <c r="P4" s="40"/>
      <c r="Q4" s="41"/>
      <c r="R4" s="41"/>
      <c r="S4" s="41"/>
      <c r="T4" s="41"/>
      <c r="U4" s="42"/>
      <c r="V4" s="42"/>
      <c r="W4" s="42"/>
      <c r="X4" s="42"/>
      <c r="Y4" s="42"/>
      <c r="Z4" s="42"/>
    </row>
    <row r="5">
      <c r="A5" s="43" t="s">
        <v>181</v>
      </c>
      <c r="B5" s="39"/>
      <c r="C5" s="39"/>
      <c r="D5" s="39"/>
      <c r="E5" s="39"/>
      <c r="F5" s="39"/>
      <c r="G5" s="39"/>
      <c r="H5" s="39"/>
      <c r="I5" s="39"/>
      <c r="J5" s="39"/>
      <c r="K5" s="39"/>
      <c r="L5" s="39"/>
      <c r="M5" s="39"/>
      <c r="N5" s="39"/>
      <c r="O5" s="39"/>
      <c r="P5" s="40"/>
      <c r="Q5" s="41"/>
      <c r="R5" s="41"/>
      <c r="S5" s="41"/>
      <c r="T5" s="41"/>
      <c r="U5" s="42"/>
      <c r="V5" s="42"/>
      <c r="W5" s="42"/>
      <c r="X5" s="42"/>
      <c r="Y5" s="42"/>
      <c r="Z5" s="42"/>
    </row>
    <row r="6" ht="27.75" customHeight="1">
      <c r="A6" s="43" t="s">
        <v>99</v>
      </c>
      <c r="B6" s="39"/>
      <c r="C6" s="39"/>
      <c r="D6" s="39"/>
      <c r="E6" s="39"/>
      <c r="F6" s="39"/>
      <c r="G6" s="39"/>
      <c r="H6" s="39"/>
      <c r="I6" s="39"/>
      <c r="J6" s="39"/>
      <c r="K6" s="39"/>
      <c r="L6" s="39"/>
      <c r="M6" s="39"/>
      <c r="N6" s="39"/>
      <c r="O6" s="39"/>
      <c r="P6" s="40"/>
      <c r="Q6" s="41"/>
      <c r="R6" s="41"/>
      <c r="S6" s="41"/>
      <c r="T6" s="41"/>
      <c r="U6" s="42"/>
      <c r="V6" s="42"/>
      <c r="W6" s="42"/>
      <c r="X6" s="42"/>
      <c r="Y6" s="42"/>
      <c r="Z6" s="42"/>
    </row>
    <row r="7">
      <c r="A7" s="43" t="s">
        <v>100</v>
      </c>
      <c r="B7" s="39"/>
      <c r="C7" s="39"/>
      <c r="D7" s="39"/>
      <c r="E7" s="39"/>
      <c r="F7" s="39"/>
      <c r="G7" s="39"/>
      <c r="H7" s="39"/>
      <c r="I7" s="39"/>
      <c r="J7" s="39"/>
      <c r="K7" s="39"/>
      <c r="L7" s="39"/>
      <c r="M7" s="39"/>
      <c r="N7" s="39"/>
      <c r="O7" s="39"/>
      <c r="P7" s="40"/>
      <c r="Q7" s="41"/>
      <c r="R7" s="41"/>
      <c r="S7" s="41"/>
      <c r="T7" s="41"/>
      <c r="U7" s="42"/>
      <c r="V7" s="42"/>
      <c r="W7" s="42"/>
      <c r="X7" s="42"/>
      <c r="Y7" s="42"/>
      <c r="Z7" s="42"/>
    </row>
    <row r="8" ht="57.75" customHeight="1">
      <c r="A8" s="44" t="s">
        <v>182</v>
      </c>
      <c r="B8" s="39"/>
      <c r="C8" s="39"/>
      <c r="D8" s="39"/>
      <c r="E8" s="39"/>
      <c r="F8" s="39"/>
      <c r="G8" s="39"/>
      <c r="H8" s="39"/>
      <c r="I8" s="39"/>
      <c r="J8" s="39"/>
      <c r="K8" s="39"/>
      <c r="L8" s="39"/>
      <c r="M8" s="39"/>
      <c r="N8" s="39"/>
      <c r="O8" s="39"/>
      <c r="P8" s="40"/>
      <c r="Q8" s="41"/>
      <c r="R8" s="41"/>
      <c r="S8" s="41"/>
      <c r="T8" s="41"/>
      <c r="U8" s="42"/>
      <c r="V8" s="42"/>
      <c r="W8" s="42"/>
      <c r="X8" s="42"/>
      <c r="Y8" s="42"/>
      <c r="Z8" s="42"/>
    </row>
    <row r="9">
      <c r="A9" s="45"/>
      <c r="B9" s="46"/>
      <c r="C9" s="46"/>
      <c r="D9" s="46"/>
      <c r="E9" s="46"/>
      <c r="F9" s="46"/>
      <c r="G9" s="45"/>
      <c r="H9" s="42"/>
      <c r="I9" s="45"/>
      <c r="J9" s="45"/>
      <c r="K9" s="45"/>
      <c r="L9" s="45"/>
      <c r="M9" s="45"/>
      <c r="N9" s="45"/>
      <c r="O9" s="45"/>
      <c r="P9" s="45"/>
      <c r="Q9" s="41"/>
      <c r="R9" s="41"/>
      <c r="S9" s="41"/>
      <c r="T9" s="41"/>
      <c r="U9" s="42"/>
      <c r="V9" s="42"/>
      <c r="W9" s="42"/>
      <c r="X9" s="42"/>
      <c r="Y9" s="42"/>
      <c r="Z9" s="42"/>
    </row>
    <row r="10" ht="76.5" customHeight="1">
      <c r="A10" s="47" t="s">
        <v>102</v>
      </c>
      <c r="B10" s="47" t="s">
        <v>103</v>
      </c>
      <c r="C10" s="47" t="s">
        <v>104</v>
      </c>
      <c r="D10" s="48" t="s">
        <v>105</v>
      </c>
      <c r="E10" s="48" t="s">
        <v>106</v>
      </c>
      <c r="F10" s="48" t="s">
        <v>107</v>
      </c>
      <c r="G10" s="47" t="s">
        <v>108</v>
      </c>
      <c r="H10" s="48" t="s">
        <v>109</v>
      </c>
      <c r="I10" s="48" t="s">
        <v>110</v>
      </c>
      <c r="J10" s="48" t="s">
        <v>111</v>
      </c>
      <c r="K10" s="48" t="s">
        <v>112</v>
      </c>
      <c r="L10" s="48" t="s">
        <v>113</v>
      </c>
      <c r="M10" s="48" t="s">
        <v>183</v>
      </c>
      <c r="N10" s="48" t="s">
        <v>184</v>
      </c>
      <c r="O10" s="47" t="s">
        <v>116</v>
      </c>
      <c r="P10" s="47" t="s">
        <v>117</v>
      </c>
      <c r="Q10" s="49" t="s">
        <v>118</v>
      </c>
      <c r="R10" s="50"/>
      <c r="S10" s="50"/>
      <c r="T10" s="50"/>
      <c r="U10" s="51"/>
      <c r="V10" s="51"/>
      <c r="W10" s="51"/>
      <c r="X10" s="51"/>
      <c r="Y10" s="51"/>
      <c r="Z10" s="51"/>
    </row>
    <row r="11" ht="63.75" customHeight="1">
      <c r="A11" s="54" t="s">
        <v>185</v>
      </c>
      <c r="B11" s="54" t="s">
        <v>186</v>
      </c>
      <c r="C11" s="53" t="s">
        <v>38</v>
      </c>
      <c r="D11" s="54" t="s">
        <v>187</v>
      </c>
      <c r="E11" s="55">
        <v>25.0</v>
      </c>
      <c r="F11" s="56">
        <v>5.0</v>
      </c>
      <c r="G11" s="53" t="s">
        <v>188</v>
      </c>
      <c r="H11" s="87" t="s">
        <v>189</v>
      </c>
      <c r="I11" s="68" t="s">
        <v>190</v>
      </c>
      <c r="J11" s="68" t="s">
        <v>191</v>
      </c>
      <c r="K11" s="59" t="s">
        <v>192</v>
      </c>
      <c r="L11" s="60">
        <v>2020.0</v>
      </c>
      <c r="M11" s="60" t="s">
        <v>193</v>
      </c>
      <c r="N11" s="60">
        <v>0.765</v>
      </c>
      <c r="O11" s="61">
        <v>500.0</v>
      </c>
      <c r="P11" s="62">
        <f>O11/2</f>
        <v>250</v>
      </c>
      <c r="Q11" s="62" t="s">
        <v>194</v>
      </c>
      <c r="R11" s="1"/>
      <c r="S11" s="1"/>
      <c r="T11" s="1"/>
    </row>
    <row r="12" ht="165.0" customHeight="1">
      <c r="A12" s="93" t="s">
        <v>195</v>
      </c>
      <c r="B12" s="54" t="s">
        <v>196</v>
      </c>
      <c r="C12" s="53"/>
      <c r="D12" s="54" t="s">
        <v>197</v>
      </c>
      <c r="E12" s="55">
        <v>49.0</v>
      </c>
      <c r="F12" s="56">
        <v>2.0</v>
      </c>
      <c r="G12" s="53" t="s">
        <v>198</v>
      </c>
      <c r="H12" s="67" t="s">
        <v>199</v>
      </c>
      <c r="I12" s="94" t="s">
        <v>200</v>
      </c>
      <c r="J12" s="68" t="s">
        <v>201</v>
      </c>
      <c r="K12" s="59" t="s">
        <v>202</v>
      </c>
      <c r="L12" s="60">
        <v>2020.0</v>
      </c>
      <c r="M12" s="60" t="s">
        <v>193</v>
      </c>
      <c r="N12" s="60">
        <v>0.547</v>
      </c>
      <c r="O12" s="66">
        <v>500.0</v>
      </c>
      <c r="P12" s="62">
        <v>166.67</v>
      </c>
      <c r="Q12" s="62" t="s">
        <v>203</v>
      </c>
      <c r="R12" s="1"/>
      <c r="S12" s="1"/>
      <c r="T12" s="1"/>
    </row>
    <row r="13" ht="90.0" customHeight="1">
      <c r="A13" s="57" t="s">
        <v>204</v>
      </c>
      <c r="B13" s="63" t="s">
        <v>205</v>
      </c>
      <c r="C13" s="53"/>
      <c r="D13" s="57" t="s">
        <v>206</v>
      </c>
      <c r="E13" s="53">
        <v>59.0</v>
      </c>
      <c r="F13" s="53">
        <v>2.0</v>
      </c>
      <c r="G13" s="95" t="s">
        <v>207</v>
      </c>
      <c r="H13" s="70" t="s">
        <v>208</v>
      </c>
      <c r="I13" s="96"/>
      <c r="J13" s="54" t="s">
        <v>209</v>
      </c>
      <c r="K13" s="65" t="s">
        <v>210</v>
      </c>
      <c r="L13" s="60">
        <v>2020.0</v>
      </c>
      <c r="M13" s="60" t="s">
        <v>193</v>
      </c>
      <c r="N13" s="60" t="s">
        <v>211</v>
      </c>
      <c r="O13" s="66">
        <v>500.0</v>
      </c>
      <c r="P13" s="62">
        <f t="shared" ref="P13:P15" si="1">O13/4</f>
        <v>125</v>
      </c>
      <c r="Q13" s="62" t="s">
        <v>203</v>
      </c>
      <c r="R13" s="1"/>
      <c r="S13" s="1"/>
      <c r="T13" s="1"/>
    </row>
    <row r="14" ht="140.25" customHeight="1">
      <c r="A14" s="54" t="s">
        <v>212</v>
      </c>
      <c r="B14" s="54" t="s">
        <v>213</v>
      </c>
      <c r="C14" s="53" t="s">
        <v>38</v>
      </c>
      <c r="D14" s="54" t="s">
        <v>214</v>
      </c>
      <c r="E14" s="55">
        <v>25.0</v>
      </c>
      <c r="F14" s="56" t="s">
        <v>215</v>
      </c>
      <c r="G14" s="53" t="s">
        <v>216</v>
      </c>
      <c r="H14" s="67" t="s">
        <v>217</v>
      </c>
      <c r="I14" s="68" t="s">
        <v>218</v>
      </c>
      <c r="J14" s="68"/>
      <c r="K14" s="59" t="s">
        <v>219</v>
      </c>
      <c r="L14" s="60" t="s">
        <v>220</v>
      </c>
      <c r="M14" s="60" t="s">
        <v>221</v>
      </c>
      <c r="N14" s="60">
        <v>0.823</v>
      </c>
      <c r="O14" s="61">
        <v>500.0</v>
      </c>
      <c r="P14" s="62">
        <f t="shared" si="1"/>
        <v>125</v>
      </c>
      <c r="Q14" s="62" t="s">
        <v>222</v>
      </c>
      <c r="R14" s="1"/>
      <c r="S14" s="1"/>
      <c r="T14" s="1"/>
    </row>
    <row r="15" ht="140.25" customHeight="1">
      <c r="A15" s="54" t="s">
        <v>212</v>
      </c>
      <c r="B15" s="54" t="s">
        <v>213</v>
      </c>
      <c r="C15" s="53" t="s">
        <v>38</v>
      </c>
      <c r="D15" s="54" t="s">
        <v>214</v>
      </c>
      <c r="E15" s="55">
        <v>25.0</v>
      </c>
      <c r="F15" s="56" t="s">
        <v>215</v>
      </c>
      <c r="G15" s="53" t="s">
        <v>216</v>
      </c>
      <c r="H15" s="67" t="s">
        <v>217</v>
      </c>
      <c r="I15" s="68" t="s">
        <v>218</v>
      </c>
      <c r="J15" s="68"/>
      <c r="K15" s="59" t="s">
        <v>219</v>
      </c>
      <c r="L15" s="60" t="s">
        <v>220</v>
      </c>
      <c r="M15" s="60" t="s">
        <v>221</v>
      </c>
      <c r="N15" s="60">
        <v>0.823</v>
      </c>
      <c r="O15" s="61">
        <v>500.0</v>
      </c>
      <c r="P15" s="62">
        <f t="shared" si="1"/>
        <v>125</v>
      </c>
      <c r="Q15" s="62" t="s">
        <v>223</v>
      </c>
      <c r="R15" s="1"/>
      <c r="S15" s="1"/>
      <c r="T15" s="1"/>
    </row>
    <row r="16" ht="105.0" customHeight="1">
      <c r="A16" s="97" t="s">
        <v>224</v>
      </c>
      <c r="B16" s="97" t="s">
        <v>225</v>
      </c>
      <c r="C16" s="98" t="s">
        <v>38</v>
      </c>
      <c r="D16" s="97" t="s">
        <v>226</v>
      </c>
      <c r="E16" s="55">
        <v>25.0</v>
      </c>
      <c r="F16" s="56">
        <v>2.0</v>
      </c>
      <c r="G16" s="98" t="s">
        <v>188</v>
      </c>
      <c r="H16" s="67" t="s">
        <v>227</v>
      </c>
      <c r="I16" s="68" t="s">
        <v>228</v>
      </c>
      <c r="J16" s="68">
        <v>5.39565000002E11</v>
      </c>
      <c r="K16" s="59" t="s">
        <v>229</v>
      </c>
      <c r="L16" s="60">
        <v>2020.0</v>
      </c>
      <c r="M16" s="60" t="s">
        <v>193</v>
      </c>
      <c r="N16" s="60">
        <v>0.765</v>
      </c>
      <c r="O16" s="61">
        <v>500.0</v>
      </c>
      <c r="P16" s="62">
        <f t="shared" ref="P16:P17" si="2">O16/3</f>
        <v>166.6666667</v>
      </c>
      <c r="Q16" s="62" t="s">
        <v>230</v>
      </c>
      <c r="R16" s="1"/>
      <c r="S16" s="1"/>
      <c r="T16" s="1"/>
    </row>
    <row r="17" ht="135.0" customHeight="1">
      <c r="A17" s="97" t="s">
        <v>231</v>
      </c>
      <c r="B17" s="97" t="s">
        <v>232</v>
      </c>
      <c r="C17" s="98" t="s">
        <v>38</v>
      </c>
      <c r="D17" s="97" t="s">
        <v>233</v>
      </c>
      <c r="E17" s="98">
        <v>85.0</v>
      </c>
      <c r="F17" s="98">
        <v>7.0</v>
      </c>
      <c r="G17" s="98" t="s">
        <v>234</v>
      </c>
      <c r="H17" s="70" t="s">
        <v>235</v>
      </c>
      <c r="I17" s="97" t="s">
        <v>236</v>
      </c>
      <c r="J17" s="97">
        <v>5.50645700002E11</v>
      </c>
      <c r="K17" s="65" t="s">
        <v>237</v>
      </c>
      <c r="L17" s="60">
        <v>2020.0</v>
      </c>
      <c r="M17" s="60" t="s">
        <v>193</v>
      </c>
      <c r="N17" s="60">
        <v>1.097</v>
      </c>
      <c r="O17" s="66">
        <v>500.0</v>
      </c>
      <c r="P17" s="62">
        <f t="shared" si="2"/>
        <v>166.6666667</v>
      </c>
      <c r="Q17" s="62" t="s">
        <v>230</v>
      </c>
      <c r="R17" s="1"/>
      <c r="S17" s="1"/>
      <c r="T17" s="1"/>
    </row>
    <row r="18" ht="165.0" customHeight="1">
      <c r="A18" s="52" t="s">
        <v>204</v>
      </c>
      <c r="B18" s="60" t="s">
        <v>238</v>
      </c>
      <c r="C18" s="98" t="s">
        <v>38</v>
      </c>
      <c r="D18" s="60" t="s">
        <v>239</v>
      </c>
      <c r="E18" s="60">
        <v>59.0</v>
      </c>
      <c r="F18" s="60">
        <v>2.0</v>
      </c>
      <c r="G18" s="60" t="s">
        <v>240</v>
      </c>
      <c r="H18" s="70" t="s">
        <v>241</v>
      </c>
      <c r="I18" s="52"/>
      <c r="J18" s="52">
        <v>5.41970600002E11</v>
      </c>
      <c r="K18" s="74" t="s">
        <v>210</v>
      </c>
      <c r="L18" s="60">
        <v>2020.0</v>
      </c>
      <c r="M18" s="60" t="s">
        <v>193</v>
      </c>
      <c r="N18" s="60">
        <v>0.756</v>
      </c>
      <c r="O18" s="61">
        <v>500.0</v>
      </c>
      <c r="P18" s="62">
        <f>O18/4</f>
        <v>125</v>
      </c>
      <c r="Q18" s="62" t="s">
        <v>230</v>
      </c>
      <c r="R18" s="1"/>
      <c r="S18" s="1"/>
      <c r="T18" s="1"/>
    </row>
    <row r="19" ht="120.0" customHeight="1">
      <c r="A19" s="52" t="s">
        <v>242</v>
      </c>
      <c r="B19" s="37" t="s">
        <v>243</v>
      </c>
      <c r="C19" s="98" t="s">
        <v>38</v>
      </c>
      <c r="D19" s="60" t="s">
        <v>244</v>
      </c>
      <c r="E19" s="60">
        <v>49.0</v>
      </c>
      <c r="F19" s="60">
        <v>2.0</v>
      </c>
      <c r="G19" s="60" t="s">
        <v>245</v>
      </c>
      <c r="H19" s="70" t="s">
        <v>199</v>
      </c>
      <c r="I19" s="52" t="s">
        <v>246</v>
      </c>
      <c r="J19" s="52">
        <v>5.9016970001E11</v>
      </c>
      <c r="K19" s="74" t="s">
        <v>247</v>
      </c>
      <c r="L19" s="60">
        <v>2020.0</v>
      </c>
      <c r="M19" s="60" t="s">
        <v>193</v>
      </c>
      <c r="N19" s="60">
        <v>0.458</v>
      </c>
      <c r="O19" s="61">
        <v>500.0</v>
      </c>
      <c r="P19" s="62">
        <f>O19/3</f>
        <v>166.6666667</v>
      </c>
      <c r="Q19" s="62" t="s">
        <v>230</v>
      </c>
      <c r="R19" s="1"/>
      <c r="S19" s="1"/>
      <c r="T19" s="1"/>
    </row>
    <row r="20" ht="150.0" customHeight="1">
      <c r="A20" s="52" t="s">
        <v>248</v>
      </c>
      <c r="B20" s="60" t="s">
        <v>249</v>
      </c>
      <c r="C20" s="98" t="s">
        <v>38</v>
      </c>
      <c r="D20" s="60" t="s">
        <v>250</v>
      </c>
      <c r="E20" s="60">
        <v>65.0</v>
      </c>
      <c r="F20" s="60">
        <v>4.0</v>
      </c>
      <c r="G20" s="60" t="s">
        <v>251</v>
      </c>
      <c r="H20" s="70" t="s">
        <v>252</v>
      </c>
      <c r="I20" s="52" t="s">
        <v>253</v>
      </c>
      <c r="J20" s="52">
        <v>6.01368800013E11</v>
      </c>
      <c r="K20" s="74" t="s">
        <v>254</v>
      </c>
      <c r="L20" s="60">
        <v>2020.0</v>
      </c>
      <c r="M20" s="60" t="s">
        <v>193</v>
      </c>
      <c r="N20" s="60">
        <v>0.494</v>
      </c>
      <c r="O20" s="66">
        <v>500.0</v>
      </c>
      <c r="P20" s="62">
        <f>O20/5</f>
        <v>100</v>
      </c>
      <c r="Q20" s="62" t="s">
        <v>230</v>
      </c>
      <c r="R20" s="1"/>
      <c r="S20" s="1"/>
      <c r="T20" s="1"/>
    </row>
    <row r="21" ht="15.75" customHeight="1">
      <c r="A21" s="54"/>
      <c r="B21" s="54"/>
      <c r="C21" s="53"/>
      <c r="D21" s="54"/>
      <c r="E21" s="55"/>
      <c r="F21" s="56"/>
      <c r="G21" s="53"/>
      <c r="H21" s="87"/>
      <c r="I21" s="68"/>
      <c r="J21" s="68"/>
      <c r="K21" s="59"/>
      <c r="L21" s="60"/>
      <c r="M21" s="60"/>
      <c r="N21" s="60"/>
      <c r="O21" s="61"/>
      <c r="P21" s="62"/>
      <c r="Q21" s="62"/>
      <c r="R21" s="1"/>
      <c r="S21" s="1"/>
      <c r="T21" s="1"/>
    </row>
    <row r="22" ht="15.75" customHeight="1">
      <c r="A22" s="54"/>
      <c r="B22" s="54"/>
      <c r="C22" s="53"/>
      <c r="D22" s="54"/>
      <c r="E22" s="55"/>
      <c r="F22" s="56"/>
      <c r="G22" s="53"/>
      <c r="H22" s="87"/>
      <c r="I22" s="68"/>
      <c r="J22" s="68"/>
      <c r="K22" s="59"/>
      <c r="L22" s="60"/>
      <c r="M22" s="60"/>
      <c r="N22" s="60"/>
      <c r="O22" s="61"/>
      <c r="P22" s="62"/>
      <c r="Q22" s="62"/>
      <c r="R22" s="1"/>
      <c r="S22" s="1"/>
      <c r="T22" s="1"/>
    </row>
    <row r="23" ht="15.75" customHeight="1">
      <c r="A23" s="54"/>
      <c r="B23" s="54"/>
      <c r="C23" s="53"/>
      <c r="D23" s="54"/>
      <c r="E23" s="55"/>
      <c r="F23" s="56"/>
      <c r="G23" s="53"/>
      <c r="H23" s="87"/>
      <c r="I23" s="68"/>
      <c r="J23" s="68"/>
      <c r="K23" s="59"/>
      <c r="L23" s="60"/>
      <c r="M23" s="60"/>
      <c r="N23" s="60"/>
      <c r="O23" s="61"/>
      <c r="P23" s="62"/>
      <c r="Q23" s="62"/>
      <c r="R23" s="1"/>
      <c r="S23" s="1"/>
      <c r="T23" s="1"/>
    </row>
    <row r="24" ht="15.75" customHeight="1">
      <c r="A24" s="54"/>
      <c r="B24" s="54"/>
      <c r="C24" s="53"/>
      <c r="D24" s="54"/>
      <c r="E24" s="55"/>
      <c r="F24" s="56"/>
      <c r="G24" s="53"/>
      <c r="H24" s="87"/>
      <c r="I24" s="68"/>
      <c r="J24" s="68"/>
      <c r="K24" s="59"/>
      <c r="L24" s="60"/>
      <c r="M24" s="60"/>
      <c r="N24" s="60"/>
      <c r="O24" s="61"/>
      <c r="P24" s="62"/>
      <c r="Q24" s="62"/>
      <c r="R24" s="1"/>
      <c r="S24" s="1"/>
      <c r="T24" s="1"/>
    </row>
    <row r="25" ht="15.75" customHeight="1">
      <c r="A25" s="54"/>
      <c r="B25" s="54"/>
      <c r="C25" s="53"/>
      <c r="D25" s="54"/>
      <c r="E25" s="55"/>
      <c r="F25" s="56"/>
      <c r="G25" s="53"/>
      <c r="H25" s="87"/>
      <c r="I25" s="68"/>
      <c r="J25" s="68"/>
      <c r="K25" s="59"/>
      <c r="L25" s="60"/>
      <c r="M25" s="60"/>
      <c r="N25" s="60"/>
      <c r="O25" s="61"/>
      <c r="P25" s="62"/>
      <c r="Q25" s="62"/>
      <c r="R25" s="1"/>
      <c r="S25" s="1"/>
      <c r="T25" s="1"/>
    </row>
    <row r="26" ht="15.75" customHeight="1">
      <c r="A26" s="54"/>
      <c r="B26" s="54"/>
      <c r="C26" s="53"/>
      <c r="D26" s="54"/>
      <c r="E26" s="55"/>
      <c r="F26" s="56"/>
      <c r="G26" s="53"/>
      <c r="H26" s="87"/>
      <c r="I26" s="68"/>
      <c r="J26" s="68"/>
      <c r="K26" s="59"/>
      <c r="L26" s="60"/>
      <c r="M26" s="60"/>
      <c r="N26" s="60"/>
      <c r="O26" s="61"/>
      <c r="P26" s="62"/>
      <c r="Q26" s="62"/>
      <c r="R26" s="1"/>
      <c r="S26" s="1"/>
      <c r="T26" s="1"/>
    </row>
    <row r="27" ht="15.75" customHeight="1">
      <c r="A27" s="54"/>
      <c r="B27" s="54"/>
      <c r="C27" s="53"/>
      <c r="D27" s="54"/>
      <c r="E27" s="55"/>
      <c r="F27" s="56"/>
      <c r="G27" s="53"/>
      <c r="H27" s="87"/>
      <c r="I27" s="68"/>
      <c r="J27" s="68"/>
      <c r="K27" s="59"/>
      <c r="L27" s="60"/>
      <c r="M27" s="60"/>
      <c r="N27" s="60"/>
      <c r="O27" s="61"/>
      <c r="P27" s="62"/>
      <c r="Q27" s="62"/>
      <c r="R27" s="1"/>
      <c r="S27" s="1"/>
      <c r="T27" s="1"/>
    </row>
    <row r="28" ht="15.75" customHeight="1">
      <c r="A28" s="54"/>
      <c r="B28" s="54"/>
      <c r="C28" s="53"/>
      <c r="D28" s="54"/>
      <c r="E28" s="55"/>
      <c r="F28" s="56"/>
      <c r="G28" s="53"/>
      <c r="H28" s="87"/>
      <c r="I28" s="68"/>
      <c r="J28" s="68"/>
      <c r="K28" s="59"/>
      <c r="L28" s="60"/>
      <c r="M28" s="60"/>
      <c r="N28" s="60"/>
      <c r="O28" s="61"/>
      <c r="P28" s="62"/>
      <c r="Q28" s="62"/>
      <c r="R28" s="1"/>
      <c r="S28" s="1"/>
      <c r="T28" s="1"/>
    </row>
    <row r="29" ht="15.75" customHeight="1">
      <c r="A29" s="54"/>
      <c r="B29" s="54"/>
      <c r="C29" s="53"/>
      <c r="D29" s="54"/>
      <c r="E29" s="55"/>
      <c r="F29" s="56"/>
      <c r="G29" s="53"/>
      <c r="H29" s="87"/>
      <c r="I29" s="68"/>
      <c r="J29" s="68"/>
      <c r="K29" s="59"/>
      <c r="L29" s="60"/>
      <c r="M29" s="60"/>
      <c r="N29" s="60"/>
      <c r="O29" s="61"/>
      <c r="P29" s="62"/>
      <c r="Q29" s="62"/>
      <c r="R29" s="1"/>
      <c r="S29" s="1"/>
      <c r="T29" s="1"/>
    </row>
    <row r="30" ht="15.75" customHeight="1">
      <c r="A30" s="54"/>
      <c r="B30" s="54"/>
      <c r="C30" s="53"/>
      <c r="D30" s="54"/>
      <c r="E30" s="55"/>
      <c r="F30" s="56"/>
      <c r="G30" s="53"/>
      <c r="H30" s="87"/>
      <c r="I30" s="68"/>
      <c r="J30" s="68"/>
      <c r="K30" s="59"/>
      <c r="L30" s="60"/>
      <c r="M30" s="60"/>
      <c r="N30" s="60"/>
      <c r="O30" s="61"/>
      <c r="P30" s="62"/>
      <c r="Q30" s="62"/>
      <c r="R30" s="1"/>
      <c r="S30" s="1"/>
      <c r="T30" s="1"/>
    </row>
    <row r="31" ht="15.75" customHeight="1">
      <c r="A31" s="54"/>
      <c r="B31" s="54"/>
      <c r="C31" s="53"/>
      <c r="D31" s="54"/>
      <c r="E31" s="55"/>
      <c r="F31" s="56"/>
      <c r="G31" s="53"/>
      <c r="H31" s="87"/>
      <c r="I31" s="68"/>
      <c r="J31" s="68"/>
      <c r="K31" s="59"/>
      <c r="L31" s="60"/>
      <c r="M31" s="60"/>
      <c r="N31" s="60"/>
      <c r="O31" s="61"/>
      <c r="P31" s="62"/>
      <c r="Q31" s="62"/>
      <c r="R31" s="1"/>
      <c r="S31" s="1"/>
      <c r="T31" s="1"/>
    </row>
    <row r="32" ht="15.75" customHeight="1">
      <c r="A32" s="54"/>
      <c r="B32" s="54"/>
      <c r="C32" s="53"/>
      <c r="D32" s="54"/>
      <c r="E32" s="55"/>
      <c r="F32" s="56"/>
      <c r="G32" s="53"/>
      <c r="H32" s="87"/>
      <c r="I32" s="68"/>
      <c r="J32" s="68"/>
      <c r="K32" s="59"/>
      <c r="L32" s="60"/>
      <c r="M32" s="60"/>
      <c r="N32" s="60"/>
      <c r="O32" s="61"/>
      <c r="P32" s="62"/>
      <c r="Q32" s="62"/>
      <c r="R32" s="1"/>
      <c r="S32" s="1"/>
      <c r="T32" s="1"/>
    </row>
    <row r="33" ht="15.75" customHeight="1">
      <c r="A33" s="54"/>
      <c r="B33" s="54"/>
      <c r="C33" s="53"/>
      <c r="D33" s="54"/>
      <c r="E33" s="55"/>
      <c r="F33" s="56"/>
      <c r="G33" s="53"/>
      <c r="H33" s="87"/>
      <c r="I33" s="68"/>
      <c r="J33" s="68"/>
      <c r="K33" s="59"/>
      <c r="L33" s="60"/>
      <c r="M33" s="60"/>
      <c r="N33" s="60"/>
      <c r="O33" s="61"/>
      <c r="P33" s="62"/>
      <c r="Q33" s="62"/>
      <c r="R33" s="1"/>
      <c r="S33" s="1"/>
      <c r="T33" s="1"/>
    </row>
    <row r="34" ht="15.75" customHeight="1">
      <c r="A34" s="54"/>
      <c r="B34" s="54"/>
      <c r="C34" s="53"/>
      <c r="D34" s="54"/>
      <c r="E34" s="55"/>
      <c r="F34" s="56"/>
      <c r="G34" s="53"/>
      <c r="H34" s="87"/>
      <c r="I34" s="68"/>
      <c r="J34" s="68"/>
      <c r="K34" s="59"/>
      <c r="L34" s="60"/>
      <c r="M34" s="60"/>
      <c r="N34" s="60"/>
      <c r="O34" s="61"/>
      <c r="P34" s="62"/>
      <c r="Q34" s="62"/>
      <c r="R34" s="1"/>
      <c r="S34" s="1"/>
      <c r="T34" s="1"/>
    </row>
    <row r="35" ht="15.75" customHeight="1">
      <c r="A35" s="54"/>
      <c r="B35" s="54"/>
      <c r="C35" s="53"/>
      <c r="D35" s="54"/>
      <c r="E35" s="55"/>
      <c r="F35" s="56"/>
      <c r="G35" s="53"/>
      <c r="H35" s="87"/>
      <c r="I35" s="68"/>
      <c r="J35" s="68"/>
      <c r="K35" s="59"/>
      <c r="L35" s="60"/>
      <c r="M35" s="60"/>
      <c r="N35" s="60"/>
      <c r="O35" s="61"/>
      <c r="P35" s="62"/>
      <c r="Q35" s="62"/>
      <c r="R35" s="1"/>
      <c r="S35" s="1"/>
      <c r="T35" s="1"/>
    </row>
    <row r="36" ht="15.75" customHeight="1">
      <c r="A36" s="54"/>
      <c r="B36" s="54"/>
      <c r="C36" s="53"/>
      <c r="D36" s="54"/>
      <c r="E36" s="55"/>
      <c r="F36" s="56"/>
      <c r="G36" s="53"/>
      <c r="H36" s="87"/>
      <c r="I36" s="68"/>
      <c r="J36" s="68"/>
      <c r="K36" s="59"/>
      <c r="L36" s="60"/>
      <c r="M36" s="60"/>
      <c r="N36" s="60"/>
      <c r="O36" s="61"/>
      <c r="P36" s="62"/>
      <c r="Q36" s="62"/>
      <c r="R36" s="1"/>
      <c r="S36" s="1"/>
      <c r="T36" s="1"/>
    </row>
    <row r="37" ht="15.75" customHeight="1">
      <c r="A37" s="54"/>
      <c r="B37" s="54"/>
      <c r="C37" s="53"/>
      <c r="D37" s="54"/>
      <c r="E37" s="55"/>
      <c r="F37" s="56"/>
      <c r="G37" s="53"/>
      <c r="H37" s="87"/>
      <c r="I37" s="68"/>
      <c r="J37" s="68"/>
      <c r="K37" s="59"/>
      <c r="L37" s="60"/>
      <c r="M37" s="60"/>
      <c r="N37" s="60"/>
      <c r="O37" s="61"/>
      <c r="P37" s="62"/>
      <c r="Q37" s="62"/>
      <c r="R37" s="1"/>
      <c r="S37" s="1"/>
      <c r="T37" s="1"/>
    </row>
    <row r="38" ht="15.75" customHeight="1">
      <c r="A38" s="54"/>
      <c r="B38" s="54"/>
      <c r="C38" s="53"/>
      <c r="D38" s="54"/>
      <c r="E38" s="55"/>
      <c r="F38" s="56"/>
      <c r="G38" s="53"/>
      <c r="H38" s="87"/>
      <c r="I38" s="68"/>
      <c r="J38" s="68"/>
      <c r="K38" s="59"/>
      <c r="L38" s="60"/>
      <c r="M38" s="60"/>
      <c r="N38" s="60"/>
      <c r="O38" s="61"/>
      <c r="P38" s="62"/>
      <c r="Q38" s="62"/>
      <c r="R38" s="1"/>
      <c r="S38" s="1"/>
      <c r="T38" s="1"/>
    </row>
    <row r="39" ht="15.75" customHeight="1">
      <c r="A39" s="54"/>
      <c r="B39" s="54"/>
      <c r="C39" s="53"/>
      <c r="D39" s="54"/>
      <c r="E39" s="55"/>
      <c r="F39" s="56"/>
      <c r="G39" s="53"/>
      <c r="H39" s="87"/>
      <c r="I39" s="68"/>
      <c r="J39" s="68"/>
      <c r="K39" s="59"/>
      <c r="L39" s="60"/>
      <c r="M39" s="60"/>
      <c r="N39" s="60"/>
      <c r="O39" s="61"/>
      <c r="P39" s="62"/>
      <c r="Q39" s="62"/>
      <c r="R39" s="1"/>
      <c r="S39" s="1"/>
      <c r="T39" s="1"/>
    </row>
    <row r="40" ht="15.75" customHeight="1">
      <c r="A40" s="54"/>
      <c r="B40" s="54"/>
      <c r="C40" s="53"/>
      <c r="D40" s="54"/>
      <c r="E40" s="55"/>
      <c r="F40" s="56"/>
      <c r="G40" s="53"/>
      <c r="H40" s="87"/>
      <c r="I40" s="68"/>
      <c r="J40" s="68"/>
      <c r="K40" s="59"/>
      <c r="L40" s="60"/>
      <c r="M40" s="60"/>
      <c r="N40" s="60"/>
      <c r="O40" s="61"/>
      <c r="P40" s="62"/>
      <c r="Q40" s="62"/>
      <c r="R40" s="1"/>
      <c r="S40" s="1"/>
      <c r="T40" s="1"/>
    </row>
    <row r="41" ht="15.75" customHeight="1">
      <c r="A41" s="54"/>
      <c r="B41" s="54"/>
      <c r="C41" s="53"/>
      <c r="D41" s="54"/>
      <c r="E41" s="55"/>
      <c r="F41" s="56"/>
      <c r="G41" s="53"/>
      <c r="H41" s="87"/>
      <c r="I41" s="68"/>
      <c r="J41" s="68"/>
      <c r="K41" s="59"/>
      <c r="L41" s="60"/>
      <c r="M41" s="60"/>
      <c r="N41" s="60"/>
      <c r="O41" s="61"/>
      <c r="P41" s="62"/>
      <c r="Q41" s="62"/>
      <c r="R41" s="1"/>
      <c r="S41" s="1"/>
      <c r="T41" s="1"/>
    </row>
    <row r="42" ht="15.75" customHeight="1">
      <c r="A42" s="54"/>
      <c r="B42" s="54"/>
      <c r="C42" s="53"/>
      <c r="D42" s="54"/>
      <c r="E42" s="55"/>
      <c r="F42" s="56"/>
      <c r="G42" s="53"/>
      <c r="H42" s="87"/>
      <c r="I42" s="68"/>
      <c r="J42" s="68"/>
      <c r="K42" s="59"/>
      <c r="L42" s="60"/>
      <c r="M42" s="60"/>
      <c r="N42" s="60"/>
      <c r="O42" s="61"/>
      <c r="P42" s="62"/>
      <c r="Q42" s="62"/>
      <c r="R42" s="1"/>
      <c r="S42" s="1"/>
      <c r="T42" s="1"/>
    </row>
    <row r="43" ht="15.75" customHeight="1">
      <c r="A43" s="54"/>
      <c r="B43" s="54"/>
      <c r="C43" s="53"/>
      <c r="D43" s="54"/>
      <c r="E43" s="55"/>
      <c r="F43" s="56"/>
      <c r="G43" s="53"/>
      <c r="H43" s="87"/>
      <c r="I43" s="68"/>
      <c r="J43" s="68"/>
      <c r="K43" s="59"/>
      <c r="L43" s="60"/>
      <c r="M43" s="60"/>
      <c r="N43" s="60"/>
      <c r="O43" s="61"/>
      <c r="P43" s="62"/>
      <c r="Q43" s="62"/>
      <c r="R43" s="1"/>
      <c r="S43" s="1"/>
      <c r="T43" s="1"/>
    </row>
    <row r="44" ht="15.75" customHeight="1">
      <c r="A44" s="54"/>
      <c r="B44" s="54"/>
      <c r="C44" s="53"/>
      <c r="D44" s="54"/>
      <c r="E44" s="55"/>
      <c r="F44" s="56"/>
      <c r="G44" s="53"/>
      <c r="H44" s="87"/>
      <c r="I44" s="68"/>
      <c r="J44" s="68"/>
      <c r="K44" s="59"/>
      <c r="L44" s="60"/>
      <c r="M44" s="60"/>
      <c r="N44" s="60"/>
      <c r="O44" s="61"/>
      <c r="P44" s="62"/>
      <c r="Q44" s="62"/>
      <c r="R44" s="1"/>
      <c r="S44" s="1"/>
      <c r="T44" s="1"/>
    </row>
    <row r="45" ht="15.75" customHeight="1">
      <c r="A45" s="54"/>
      <c r="B45" s="54"/>
      <c r="C45" s="53"/>
      <c r="D45" s="54"/>
      <c r="E45" s="55"/>
      <c r="F45" s="56"/>
      <c r="G45" s="53"/>
      <c r="H45" s="87"/>
      <c r="I45" s="68"/>
      <c r="J45" s="68"/>
      <c r="K45" s="59"/>
      <c r="L45" s="60"/>
      <c r="M45" s="60"/>
      <c r="N45" s="60"/>
      <c r="O45" s="61"/>
      <c r="P45" s="62"/>
      <c r="Q45" s="62"/>
      <c r="R45" s="1"/>
      <c r="S45" s="1"/>
      <c r="T45" s="1"/>
    </row>
    <row r="46" ht="15.75" customHeight="1">
      <c r="A46" s="54"/>
      <c r="B46" s="54"/>
      <c r="C46" s="53"/>
      <c r="D46" s="54"/>
      <c r="E46" s="55"/>
      <c r="F46" s="56"/>
      <c r="G46" s="53"/>
      <c r="H46" s="87"/>
      <c r="I46" s="68"/>
      <c r="J46" s="68"/>
      <c r="K46" s="59"/>
      <c r="L46" s="60"/>
      <c r="M46" s="60"/>
      <c r="N46" s="60"/>
      <c r="O46" s="61"/>
      <c r="P46" s="62"/>
      <c r="Q46" s="62"/>
      <c r="R46" s="1"/>
      <c r="S46" s="1"/>
      <c r="T46" s="1"/>
    </row>
    <row r="47" ht="15.75" customHeight="1">
      <c r="A47" s="54"/>
      <c r="B47" s="54"/>
      <c r="C47" s="53"/>
      <c r="D47" s="54"/>
      <c r="E47" s="55"/>
      <c r="F47" s="56"/>
      <c r="G47" s="53"/>
      <c r="H47" s="87"/>
      <c r="I47" s="68"/>
      <c r="J47" s="68"/>
      <c r="K47" s="59"/>
      <c r="L47" s="60"/>
      <c r="M47" s="60"/>
      <c r="N47" s="60"/>
      <c r="O47" s="61"/>
      <c r="P47" s="62"/>
      <c r="Q47" s="62"/>
      <c r="R47" s="1"/>
      <c r="S47" s="1"/>
      <c r="T47" s="1"/>
    </row>
    <row r="48" ht="15.75" customHeight="1">
      <c r="A48" s="54"/>
      <c r="B48" s="54"/>
      <c r="C48" s="53"/>
      <c r="D48" s="54"/>
      <c r="E48" s="55"/>
      <c r="F48" s="56"/>
      <c r="G48" s="53"/>
      <c r="H48" s="87"/>
      <c r="I48" s="68"/>
      <c r="J48" s="68"/>
      <c r="K48" s="59"/>
      <c r="L48" s="60"/>
      <c r="M48" s="60"/>
      <c r="N48" s="60"/>
      <c r="O48" s="61"/>
      <c r="P48" s="62"/>
      <c r="Q48" s="62"/>
      <c r="R48" s="1"/>
      <c r="S48" s="1"/>
      <c r="T48" s="1"/>
    </row>
    <row r="49" ht="15.75" customHeight="1">
      <c r="A49" s="54"/>
      <c r="B49" s="54"/>
      <c r="C49" s="53"/>
      <c r="D49" s="54"/>
      <c r="E49" s="55"/>
      <c r="F49" s="56"/>
      <c r="G49" s="53"/>
      <c r="H49" s="87"/>
      <c r="I49" s="68"/>
      <c r="J49" s="68"/>
      <c r="K49" s="59"/>
      <c r="L49" s="60"/>
      <c r="M49" s="60"/>
      <c r="N49" s="60"/>
      <c r="O49" s="61"/>
      <c r="P49" s="62"/>
      <c r="Q49" s="62"/>
      <c r="R49" s="1"/>
      <c r="S49" s="1"/>
      <c r="T49" s="1"/>
    </row>
    <row r="50" ht="15.75" customHeight="1">
      <c r="A50" s="54"/>
      <c r="B50" s="54"/>
      <c r="C50" s="53"/>
      <c r="D50" s="54"/>
      <c r="E50" s="55"/>
      <c r="F50" s="56"/>
      <c r="G50" s="53"/>
      <c r="H50" s="87"/>
      <c r="I50" s="68"/>
      <c r="J50" s="68"/>
      <c r="K50" s="59"/>
      <c r="L50" s="60"/>
      <c r="M50" s="60"/>
      <c r="N50" s="60"/>
      <c r="O50" s="61"/>
      <c r="P50" s="62"/>
      <c r="Q50" s="62"/>
      <c r="R50" s="1"/>
      <c r="S50" s="1"/>
      <c r="T50" s="1"/>
    </row>
    <row r="51" ht="15.75" customHeight="1">
      <c r="A51" s="54"/>
      <c r="B51" s="54"/>
      <c r="C51" s="53"/>
      <c r="D51" s="54"/>
      <c r="E51" s="55"/>
      <c r="F51" s="56"/>
      <c r="G51" s="53"/>
      <c r="H51" s="87"/>
      <c r="I51" s="68"/>
      <c r="J51" s="68"/>
      <c r="K51" s="59"/>
      <c r="L51" s="60"/>
      <c r="M51" s="60"/>
      <c r="N51" s="60"/>
      <c r="O51" s="61"/>
      <c r="P51" s="62"/>
      <c r="Q51" s="62"/>
      <c r="R51" s="1"/>
      <c r="S51" s="1"/>
      <c r="T51" s="1"/>
    </row>
    <row r="52" ht="15.75" customHeight="1">
      <c r="A52" s="54"/>
      <c r="B52" s="54"/>
      <c r="C52" s="53"/>
      <c r="D52" s="54"/>
      <c r="E52" s="55"/>
      <c r="F52" s="56"/>
      <c r="G52" s="53"/>
      <c r="H52" s="87"/>
      <c r="I52" s="68"/>
      <c r="J52" s="68"/>
      <c r="K52" s="59"/>
      <c r="L52" s="60"/>
      <c r="M52" s="60"/>
      <c r="N52" s="60"/>
      <c r="O52" s="61"/>
      <c r="P52" s="62"/>
      <c r="Q52" s="62"/>
      <c r="R52" s="1"/>
      <c r="S52" s="1"/>
      <c r="T52" s="1"/>
    </row>
    <row r="53" ht="15.75" customHeight="1">
      <c r="A53" s="54"/>
      <c r="B53" s="54"/>
      <c r="C53" s="53"/>
      <c r="D53" s="54"/>
      <c r="E53" s="55"/>
      <c r="F53" s="56"/>
      <c r="G53" s="53"/>
      <c r="H53" s="87"/>
      <c r="I53" s="68"/>
      <c r="J53" s="68"/>
      <c r="K53" s="59"/>
      <c r="L53" s="60"/>
      <c r="M53" s="60"/>
      <c r="N53" s="60"/>
      <c r="O53" s="61"/>
      <c r="P53" s="62"/>
      <c r="Q53" s="62"/>
      <c r="R53" s="1"/>
      <c r="S53" s="1"/>
      <c r="T53" s="1"/>
    </row>
    <row r="54" ht="15.75" customHeight="1">
      <c r="A54" s="54"/>
      <c r="B54" s="54"/>
      <c r="C54" s="53"/>
      <c r="D54" s="54"/>
      <c r="E54" s="55"/>
      <c r="F54" s="56"/>
      <c r="G54" s="53"/>
      <c r="H54" s="87"/>
      <c r="I54" s="68"/>
      <c r="J54" s="68"/>
      <c r="K54" s="59"/>
      <c r="L54" s="60"/>
      <c r="M54" s="60"/>
      <c r="N54" s="60"/>
      <c r="O54" s="61"/>
      <c r="P54" s="62"/>
      <c r="Q54" s="62"/>
      <c r="R54" s="1"/>
      <c r="S54" s="1"/>
      <c r="T54" s="1"/>
    </row>
    <row r="55" ht="15.75" customHeight="1">
      <c r="A55" s="54"/>
      <c r="B55" s="54"/>
      <c r="C55" s="53"/>
      <c r="D55" s="54"/>
      <c r="E55" s="55"/>
      <c r="F55" s="56"/>
      <c r="G55" s="53"/>
      <c r="H55" s="87"/>
      <c r="I55" s="68"/>
      <c r="J55" s="68"/>
      <c r="K55" s="59"/>
      <c r="L55" s="60"/>
      <c r="M55" s="60"/>
      <c r="N55" s="60"/>
      <c r="O55" s="61"/>
      <c r="P55" s="62"/>
      <c r="Q55" s="62"/>
      <c r="R55" s="1"/>
      <c r="S55" s="1"/>
      <c r="T55" s="1"/>
    </row>
    <row r="56" ht="15.75" customHeight="1">
      <c r="A56" s="54"/>
      <c r="B56" s="54"/>
      <c r="C56" s="53"/>
      <c r="D56" s="54"/>
      <c r="E56" s="55"/>
      <c r="F56" s="56"/>
      <c r="G56" s="53"/>
      <c r="H56" s="87"/>
      <c r="I56" s="68"/>
      <c r="J56" s="68"/>
      <c r="K56" s="59"/>
      <c r="L56" s="60"/>
      <c r="M56" s="60"/>
      <c r="N56" s="60"/>
      <c r="O56" s="61"/>
      <c r="P56" s="62"/>
      <c r="Q56" s="62"/>
      <c r="R56" s="1"/>
      <c r="S56" s="1"/>
      <c r="T56" s="1"/>
    </row>
    <row r="57" ht="15.75" customHeight="1">
      <c r="A57" s="54"/>
      <c r="B57" s="54"/>
      <c r="C57" s="53"/>
      <c r="D57" s="54"/>
      <c r="E57" s="55"/>
      <c r="F57" s="56"/>
      <c r="G57" s="53"/>
      <c r="H57" s="87"/>
      <c r="I57" s="68"/>
      <c r="J57" s="68"/>
      <c r="K57" s="59"/>
      <c r="L57" s="60"/>
      <c r="M57" s="60"/>
      <c r="N57" s="60"/>
      <c r="O57" s="61"/>
      <c r="P57" s="62"/>
      <c r="Q57" s="62"/>
      <c r="R57" s="1"/>
      <c r="S57" s="1"/>
      <c r="T57" s="1"/>
    </row>
    <row r="58" ht="15.75" customHeight="1">
      <c r="A58" s="54"/>
      <c r="B58" s="54"/>
      <c r="C58" s="53"/>
      <c r="D58" s="54"/>
      <c r="E58" s="55"/>
      <c r="F58" s="56"/>
      <c r="G58" s="53"/>
      <c r="H58" s="87"/>
      <c r="I58" s="68"/>
      <c r="J58" s="68"/>
      <c r="K58" s="59"/>
      <c r="L58" s="60"/>
      <c r="M58" s="60"/>
      <c r="N58" s="60"/>
      <c r="O58" s="61"/>
      <c r="P58" s="62"/>
      <c r="Q58" s="62"/>
      <c r="R58" s="1"/>
      <c r="S58" s="1"/>
      <c r="T58" s="1"/>
    </row>
    <row r="59" ht="15.75" customHeight="1">
      <c r="A59" s="54"/>
      <c r="B59" s="54"/>
      <c r="C59" s="53"/>
      <c r="D59" s="54"/>
      <c r="E59" s="55"/>
      <c r="F59" s="56"/>
      <c r="G59" s="53"/>
      <c r="H59" s="87"/>
      <c r="I59" s="68"/>
      <c r="J59" s="68"/>
      <c r="K59" s="59"/>
      <c r="L59" s="60"/>
      <c r="M59" s="60"/>
      <c r="N59" s="60"/>
      <c r="O59" s="61"/>
      <c r="P59" s="62"/>
      <c r="Q59" s="62"/>
      <c r="R59" s="1"/>
      <c r="S59" s="1"/>
      <c r="T59" s="1"/>
    </row>
    <row r="60" ht="15.75" customHeight="1">
      <c r="A60" s="54"/>
      <c r="B60" s="54"/>
      <c r="C60" s="53"/>
      <c r="D60" s="54"/>
      <c r="E60" s="99"/>
      <c r="F60" s="100"/>
      <c r="G60" s="53"/>
      <c r="H60" s="101"/>
      <c r="I60" s="102"/>
      <c r="J60" s="102"/>
      <c r="K60" s="103"/>
      <c r="L60" s="60"/>
      <c r="M60" s="60"/>
      <c r="N60" s="60"/>
      <c r="O60" s="61"/>
      <c r="P60" s="62"/>
      <c r="Q60" s="62"/>
      <c r="R60" s="1"/>
      <c r="S60" s="1"/>
      <c r="T60" s="1"/>
    </row>
    <row r="61" ht="15.75" customHeight="1">
      <c r="A61" s="88" t="s">
        <v>88</v>
      </c>
      <c r="B61" s="37"/>
      <c r="C61" s="37"/>
      <c r="D61" s="37"/>
      <c r="E61" s="37"/>
      <c r="F61" s="37"/>
      <c r="G61" s="1"/>
      <c r="H61" s="1"/>
      <c r="I61" s="1"/>
      <c r="J61" s="1"/>
      <c r="K61" s="1"/>
      <c r="L61" s="1"/>
      <c r="M61" s="1"/>
      <c r="N61" s="1"/>
      <c r="O61" s="41"/>
      <c r="P61" s="89">
        <f>SUM(P11:P60)</f>
        <v>1516.67</v>
      </c>
      <c r="Q61" s="1"/>
      <c r="R61" s="1"/>
      <c r="S61" s="1"/>
      <c r="T61" s="1"/>
    </row>
    <row r="62" ht="15.75" customHeight="1">
      <c r="A62" s="36"/>
      <c r="B62" s="37"/>
      <c r="C62" s="37"/>
      <c r="D62" s="37"/>
      <c r="E62" s="37"/>
      <c r="F62" s="37"/>
      <c r="G62" s="1"/>
      <c r="H62" s="1"/>
      <c r="I62" s="1"/>
      <c r="J62" s="1"/>
      <c r="K62" s="1"/>
      <c r="L62" s="1"/>
      <c r="M62" s="1"/>
      <c r="N62" s="1"/>
      <c r="O62" s="1"/>
      <c r="P62" s="1"/>
      <c r="Q62" s="1"/>
      <c r="R62" s="1"/>
      <c r="S62" s="1"/>
      <c r="T62" s="1"/>
    </row>
    <row r="63" ht="15.75" customHeight="1">
      <c r="A63" s="90" t="s">
        <v>178</v>
      </c>
      <c r="B63" s="91"/>
      <c r="C63" s="91"/>
      <c r="D63" s="91"/>
      <c r="E63" s="91"/>
      <c r="F63" s="91"/>
      <c r="G63" s="91"/>
      <c r="H63" s="91"/>
      <c r="I63" s="91"/>
      <c r="J63" s="91"/>
      <c r="K63" s="91"/>
      <c r="L63" s="91"/>
      <c r="M63" s="91"/>
      <c r="N63" s="91"/>
      <c r="O63" s="91"/>
      <c r="P63" s="92"/>
      <c r="Q63" s="1"/>
      <c r="R63" s="1"/>
      <c r="S63" s="1"/>
      <c r="T63" s="1"/>
    </row>
    <row r="64" ht="15.75" customHeight="1">
      <c r="A64" s="36"/>
      <c r="B64" s="37"/>
      <c r="C64" s="37"/>
      <c r="D64" s="37"/>
      <c r="E64" s="37"/>
      <c r="F64" s="37"/>
      <c r="G64" s="1"/>
      <c r="H64" s="1"/>
      <c r="I64" s="1"/>
      <c r="J64" s="1"/>
      <c r="K64" s="1"/>
      <c r="L64" s="1"/>
      <c r="M64" s="1"/>
      <c r="N64" s="1"/>
      <c r="O64" s="1"/>
      <c r="P64" s="1"/>
      <c r="Q64" s="1"/>
      <c r="R64" s="1"/>
      <c r="S64" s="1"/>
      <c r="T64" s="1"/>
    </row>
    <row r="65" ht="15.75" customHeight="1">
      <c r="A65" s="36"/>
      <c r="B65" s="37"/>
      <c r="C65" s="37"/>
      <c r="D65" s="37"/>
      <c r="E65" s="37"/>
      <c r="F65" s="37"/>
      <c r="G65" s="1"/>
      <c r="H65" s="1"/>
      <c r="I65" s="1"/>
      <c r="J65" s="1"/>
      <c r="K65" s="1"/>
      <c r="L65" s="1"/>
      <c r="M65" s="1"/>
      <c r="N65" s="1"/>
      <c r="O65" s="1"/>
      <c r="P65" s="1"/>
      <c r="Q65" s="1"/>
      <c r="R65" s="1"/>
      <c r="S65" s="1"/>
      <c r="T65" s="1"/>
    </row>
    <row r="66" ht="15.75" customHeight="1">
      <c r="A66" s="36"/>
      <c r="B66" s="37"/>
      <c r="C66" s="37"/>
      <c r="D66" s="37"/>
      <c r="E66" s="37"/>
      <c r="F66" s="37"/>
      <c r="G66" s="1"/>
      <c r="H66" s="1"/>
      <c r="I66" s="1"/>
      <c r="J66" s="1"/>
      <c r="K66" s="1"/>
      <c r="L66" s="1"/>
      <c r="M66" s="1"/>
      <c r="N66" s="1"/>
      <c r="O66" s="1"/>
      <c r="P66" s="1"/>
      <c r="Q66" s="1"/>
      <c r="R66" s="1"/>
      <c r="S66" s="1"/>
      <c r="T66" s="1"/>
    </row>
    <row r="67" ht="15.75" customHeight="1">
      <c r="A67" s="36"/>
      <c r="B67" s="37"/>
      <c r="C67" s="37"/>
      <c r="D67" s="37"/>
      <c r="E67" s="37"/>
      <c r="F67" s="37"/>
      <c r="G67" s="1"/>
      <c r="H67" s="1"/>
      <c r="I67" s="1"/>
      <c r="J67" s="1"/>
      <c r="K67" s="1"/>
      <c r="L67" s="1"/>
      <c r="M67" s="1"/>
      <c r="N67" s="1"/>
      <c r="O67" s="1"/>
      <c r="P67" s="1"/>
      <c r="Q67" s="1"/>
      <c r="R67" s="1"/>
      <c r="S67" s="1"/>
      <c r="T67" s="1"/>
    </row>
    <row r="68" ht="15.75" customHeight="1">
      <c r="A68" s="36"/>
      <c r="B68" s="37"/>
      <c r="C68" s="37"/>
      <c r="D68" s="37"/>
      <c r="E68" s="37"/>
      <c r="F68" s="37"/>
      <c r="G68" s="1"/>
      <c r="H68" s="1"/>
      <c r="I68" s="1"/>
      <c r="J68" s="1"/>
      <c r="K68" s="1"/>
      <c r="L68" s="1"/>
      <c r="M68" s="1"/>
      <c r="N68" s="1"/>
      <c r="O68" s="1"/>
      <c r="P68" s="1"/>
      <c r="Q68" s="1"/>
      <c r="R68" s="1"/>
      <c r="S68" s="1"/>
      <c r="T68" s="1"/>
    </row>
    <row r="69" ht="15.75" customHeight="1">
      <c r="A69" s="36"/>
      <c r="B69" s="37"/>
      <c r="C69" s="37"/>
      <c r="D69" s="37"/>
      <c r="E69" s="37"/>
      <c r="F69" s="37"/>
      <c r="G69" s="1"/>
      <c r="H69" s="1"/>
      <c r="I69" s="1"/>
      <c r="J69" s="1"/>
      <c r="K69" s="1"/>
      <c r="L69" s="1"/>
      <c r="M69" s="1"/>
      <c r="N69" s="1"/>
      <c r="O69" s="1"/>
      <c r="P69" s="1"/>
      <c r="Q69" s="1"/>
      <c r="R69" s="1"/>
      <c r="S69" s="1"/>
      <c r="T69" s="1"/>
    </row>
    <row r="70" ht="15.75" customHeight="1">
      <c r="A70" s="36"/>
      <c r="B70" s="37"/>
      <c r="C70" s="37"/>
      <c r="D70" s="37"/>
      <c r="E70" s="37"/>
      <c r="F70" s="37"/>
      <c r="G70" s="1"/>
      <c r="H70" s="1"/>
      <c r="I70" s="1"/>
      <c r="J70" s="1"/>
      <c r="K70" s="1"/>
      <c r="L70" s="1"/>
      <c r="M70" s="1"/>
      <c r="N70" s="1"/>
      <c r="O70" s="1"/>
      <c r="P70" s="1"/>
      <c r="Q70" s="1"/>
      <c r="R70" s="1"/>
      <c r="S70" s="1"/>
      <c r="T70" s="1"/>
    </row>
    <row r="71" ht="15.75" customHeight="1">
      <c r="A71" s="36"/>
      <c r="B71" s="37"/>
      <c r="C71" s="37"/>
      <c r="D71" s="37"/>
      <c r="E71" s="37"/>
      <c r="F71" s="37"/>
      <c r="G71" s="1"/>
      <c r="H71" s="1"/>
      <c r="I71" s="1"/>
      <c r="J71" s="1"/>
      <c r="K71" s="1"/>
      <c r="L71" s="1"/>
      <c r="M71" s="1"/>
      <c r="N71" s="1"/>
      <c r="O71" s="1"/>
      <c r="P71" s="1"/>
      <c r="Q71" s="1"/>
      <c r="R71" s="1"/>
      <c r="S71" s="1"/>
      <c r="T71" s="1"/>
    </row>
    <row r="72" ht="15.75" customHeight="1">
      <c r="A72" s="36"/>
      <c r="B72" s="37"/>
      <c r="C72" s="37"/>
      <c r="D72" s="37"/>
      <c r="E72" s="37"/>
      <c r="F72" s="37"/>
      <c r="G72" s="1"/>
      <c r="H72" s="1"/>
      <c r="I72" s="1"/>
      <c r="J72" s="1"/>
      <c r="K72" s="1"/>
      <c r="L72" s="1"/>
      <c r="M72" s="1"/>
      <c r="N72" s="1"/>
      <c r="O72" s="1"/>
      <c r="P72" s="1"/>
      <c r="Q72" s="1"/>
      <c r="R72" s="1"/>
      <c r="S72" s="1"/>
      <c r="T72" s="1"/>
    </row>
    <row r="73" ht="15.75" customHeight="1">
      <c r="A73" s="36"/>
      <c r="B73" s="37"/>
      <c r="C73" s="37"/>
      <c r="D73" s="37"/>
      <c r="E73" s="37"/>
      <c r="F73" s="37"/>
      <c r="G73" s="1"/>
      <c r="H73" s="1"/>
      <c r="I73" s="1"/>
      <c r="J73" s="1"/>
      <c r="K73" s="1"/>
      <c r="L73" s="1"/>
      <c r="M73" s="1"/>
      <c r="N73" s="1"/>
      <c r="O73" s="1"/>
      <c r="P73" s="1"/>
      <c r="Q73" s="1"/>
      <c r="R73" s="1"/>
      <c r="S73" s="1"/>
      <c r="T73" s="1"/>
    </row>
    <row r="74" ht="15.75" customHeight="1">
      <c r="A74" s="36"/>
      <c r="B74" s="37"/>
      <c r="C74" s="37"/>
      <c r="D74" s="37"/>
      <c r="E74" s="37"/>
      <c r="F74" s="37"/>
      <c r="G74" s="1"/>
      <c r="H74" s="1"/>
      <c r="I74" s="1"/>
      <c r="J74" s="1"/>
      <c r="K74" s="1"/>
      <c r="L74" s="1"/>
      <c r="M74" s="1"/>
      <c r="N74" s="1"/>
      <c r="O74" s="1"/>
      <c r="P74" s="1"/>
      <c r="Q74" s="1"/>
      <c r="R74" s="1"/>
      <c r="S74" s="1"/>
      <c r="T74" s="1"/>
    </row>
    <row r="75" ht="15.75" customHeight="1">
      <c r="A75" s="36"/>
      <c r="B75" s="37"/>
      <c r="C75" s="37"/>
      <c r="D75" s="37"/>
      <c r="E75" s="37"/>
      <c r="F75" s="37"/>
      <c r="G75" s="1"/>
      <c r="H75" s="1"/>
      <c r="I75" s="1"/>
      <c r="J75" s="1"/>
      <c r="K75" s="1"/>
      <c r="L75" s="1"/>
      <c r="M75" s="1"/>
      <c r="N75" s="1"/>
      <c r="O75" s="1"/>
      <c r="P75" s="1"/>
      <c r="Q75" s="1"/>
      <c r="R75" s="1"/>
      <c r="S75" s="1"/>
      <c r="T75" s="1"/>
    </row>
    <row r="76" ht="15.75" customHeight="1">
      <c r="A76" s="36"/>
      <c r="B76" s="37"/>
      <c r="C76" s="37"/>
      <c r="D76" s="37"/>
      <c r="E76" s="37"/>
      <c r="F76" s="37"/>
      <c r="G76" s="1"/>
      <c r="H76" s="1"/>
      <c r="I76" s="1"/>
      <c r="J76" s="1"/>
      <c r="K76" s="1"/>
      <c r="L76" s="1"/>
      <c r="M76" s="1"/>
      <c r="N76" s="1"/>
      <c r="O76" s="1"/>
      <c r="P76" s="1"/>
      <c r="Q76" s="1"/>
      <c r="R76" s="1"/>
      <c r="S76" s="1"/>
      <c r="T76" s="1"/>
    </row>
    <row r="77" ht="15.75" customHeight="1">
      <c r="A77" s="36"/>
      <c r="B77" s="37"/>
      <c r="C77" s="37"/>
      <c r="D77" s="37"/>
      <c r="E77" s="37"/>
      <c r="F77" s="37"/>
      <c r="G77" s="1"/>
      <c r="H77" s="1"/>
      <c r="I77" s="1"/>
      <c r="J77" s="1"/>
      <c r="K77" s="1"/>
      <c r="L77" s="1"/>
      <c r="M77" s="1"/>
      <c r="N77" s="1"/>
      <c r="O77" s="1"/>
      <c r="P77" s="1"/>
      <c r="Q77" s="1"/>
      <c r="R77" s="1"/>
      <c r="S77" s="1"/>
      <c r="T77" s="1"/>
    </row>
    <row r="78" ht="15.75" customHeight="1">
      <c r="A78" s="36"/>
      <c r="B78" s="37"/>
      <c r="C78" s="37"/>
      <c r="D78" s="37"/>
      <c r="E78" s="37"/>
      <c r="F78" s="37"/>
      <c r="G78" s="1"/>
      <c r="H78" s="1"/>
      <c r="I78" s="1"/>
      <c r="J78" s="1"/>
      <c r="K78" s="1"/>
      <c r="L78" s="1"/>
      <c r="M78" s="1"/>
      <c r="N78" s="1"/>
      <c r="O78" s="1"/>
      <c r="P78" s="1"/>
      <c r="Q78" s="1"/>
      <c r="R78" s="1"/>
      <c r="S78" s="1"/>
      <c r="T78" s="1"/>
    </row>
    <row r="79" ht="15.75" customHeight="1">
      <c r="A79" s="36"/>
      <c r="B79" s="37"/>
      <c r="C79" s="37"/>
      <c r="D79" s="37"/>
      <c r="E79" s="37"/>
      <c r="F79" s="37"/>
      <c r="G79" s="1"/>
      <c r="H79" s="1"/>
      <c r="I79" s="1"/>
      <c r="J79" s="1"/>
      <c r="K79" s="1"/>
      <c r="L79" s="1"/>
      <c r="M79" s="1"/>
      <c r="N79" s="1"/>
      <c r="O79" s="1"/>
      <c r="P79" s="1"/>
      <c r="Q79" s="1"/>
      <c r="R79" s="1"/>
      <c r="S79" s="1"/>
      <c r="T79" s="1"/>
    </row>
    <row r="80" ht="15.75" customHeight="1">
      <c r="A80" s="36"/>
      <c r="B80" s="37"/>
      <c r="C80" s="37"/>
      <c r="D80" s="37"/>
      <c r="E80" s="37"/>
      <c r="F80" s="37"/>
      <c r="G80" s="1"/>
      <c r="H80" s="1"/>
      <c r="I80" s="1"/>
      <c r="J80" s="1"/>
      <c r="K80" s="1"/>
      <c r="L80" s="1"/>
      <c r="M80" s="1"/>
      <c r="N80" s="1"/>
      <c r="O80" s="1"/>
      <c r="P80" s="1"/>
      <c r="Q80" s="1"/>
      <c r="R80" s="1"/>
      <c r="S80" s="1"/>
      <c r="T80" s="1"/>
    </row>
    <row r="81" ht="15.75" customHeight="1">
      <c r="A81" s="36"/>
      <c r="B81" s="37"/>
      <c r="C81" s="37"/>
      <c r="D81" s="37"/>
      <c r="E81" s="37"/>
      <c r="F81" s="37"/>
      <c r="G81" s="1"/>
      <c r="H81" s="1"/>
      <c r="I81" s="1"/>
      <c r="J81" s="1"/>
      <c r="K81" s="1"/>
      <c r="L81" s="1"/>
      <c r="M81" s="1"/>
      <c r="N81" s="1"/>
      <c r="O81" s="1"/>
      <c r="P81" s="1"/>
      <c r="Q81" s="1"/>
      <c r="R81" s="1"/>
      <c r="S81" s="1"/>
      <c r="T81" s="1"/>
    </row>
    <row r="82" ht="15.75" customHeight="1">
      <c r="A82" s="36"/>
      <c r="B82" s="37"/>
      <c r="C82" s="37"/>
      <c r="D82" s="37"/>
      <c r="E82" s="37"/>
      <c r="F82" s="37"/>
      <c r="G82" s="1"/>
      <c r="H82" s="1"/>
      <c r="I82" s="1"/>
      <c r="J82" s="1"/>
      <c r="K82" s="1"/>
      <c r="L82" s="1"/>
      <c r="M82" s="1"/>
      <c r="N82" s="1"/>
      <c r="O82" s="1"/>
      <c r="P82" s="1"/>
      <c r="Q82" s="1"/>
      <c r="R82" s="1"/>
      <c r="S82" s="1"/>
      <c r="T82" s="1"/>
    </row>
    <row r="83" ht="15.75" customHeight="1">
      <c r="A83" s="36"/>
      <c r="B83" s="37"/>
      <c r="C83" s="37"/>
      <c r="D83" s="37"/>
      <c r="E83" s="37"/>
      <c r="F83" s="37"/>
      <c r="G83" s="1"/>
      <c r="H83" s="1"/>
      <c r="I83" s="1"/>
      <c r="J83" s="1"/>
      <c r="K83" s="1"/>
      <c r="L83" s="1"/>
      <c r="M83" s="1"/>
      <c r="N83" s="1"/>
      <c r="O83" s="1"/>
      <c r="P83" s="1"/>
      <c r="Q83" s="1"/>
      <c r="R83" s="1"/>
      <c r="S83" s="1"/>
      <c r="T83" s="1"/>
    </row>
    <row r="84" ht="15.75" customHeight="1">
      <c r="A84" s="36"/>
      <c r="B84" s="37"/>
      <c r="C84" s="37"/>
      <c r="D84" s="37"/>
      <c r="E84" s="37"/>
      <c r="F84" s="37"/>
      <c r="G84" s="1"/>
      <c r="H84" s="1"/>
      <c r="I84" s="1"/>
      <c r="J84" s="1"/>
      <c r="K84" s="1"/>
      <c r="L84" s="1"/>
      <c r="M84" s="1"/>
      <c r="N84" s="1"/>
      <c r="O84" s="1"/>
      <c r="P84" s="1"/>
      <c r="Q84" s="1"/>
      <c r="R84" s="1"/>
      <c r="S84" s="1"/>
      <c r="T84" s="1"/>
    </row>
    <row r="85" ht="15.75" customHeight="1">
      <c r="A85" s="36"/>
      <c r="B85" s="37"/>
      <c r="C85" s="37"/>
      <c r="D85" s="37"/>
      <c r="E85" s="37"/>
      <c r="F85" s="37"/>
      <c r="G85" s="1"/>
      <c r="H85" s="1"/>
      <c r="I85" s="1"/>
      <c r="J85" s="1"/>
      <c r="K85" s="1"/>
      <c r="L85" s="1"/>
      <c r="M85" s="1"/>
      <c r="N85" s="1"/>
      <c r="O85" s="1"/>
      <c r="P85" s="1"/>
      <c r="Q85" s="1"/>
      <c r="R85" s="1"/>
      <c r="S85" s="1"/>
      <c r="T85" s="1"/>
    </row>
    <row r="86" ht="15.75" customHeight="1">
      <c r="A86" s="36"/>
      <c r="B86" s="37"/>
      <c r="C86" s="37"/>
      <c r="D86" s="37"/>
      <c r="E86" s="37"/>
      <c r="F86" s="37"/>
      <c r="G86" s="1"/>
      <c r="H86" s="1"/>
      <c r="I86" s="1"/>
      <c r="J86" s="1"/>
      <c r="K86" s="1"/>
      <c r="L86" s="1"/>
      <c r="M86" s="1"/>
      <c r="N86" s="1"/>
      <c r="O86" s="1"/>
      <c r="P86" s="1"/>
      <c r="Q86" s="1"/>
      <c r="R86" s="1"/>
      <c r="S86" s="1"/>
      <c r="T86" s="1"/>
    </row>
    <row r="87" ht="15.75" customHeight="1">
      <c r="A87" s="36"/>
      <c r="B87" s="37"/>
      <c r="C87" s="37"/>
      <c r="D87" s="37"/>
      <c r="E87" s="37"/>
      <c r="F87" s="37"/>
      <c r="G87" s="1"/>
      <c r="H87" s="1"/>
      <c r="I87" s="1"/>
      <c r="J87" s="1"/>
      <c r="K87" s="1"/>
      <c r="L87" s="1"/>
      <c r="M87" s="1"/>
      <c r="N87" s="1"/>
      <c r="O87" s="1"/>
      <c r="P87" s="1"/>
      <c r="Q87" s="1"/>
      <c r="R87" s="1"/>
      <c r="S87" s="1"/>
      <c r="T87" s="1"/>
    </row>
    <row r="88" ht="15.75" customHeight="1">
      <c r="A88" s="36"/>
      <c r="B88" s="37"/>
      <c r="C88" s="37"/>
      <c r="D88" s="37"/>
      <c r="E88" s="37"/>
      <c r="F88" s="37"/>
      <c r="G88" s="1"/>
      <c r="H88" s="1"/>
      <c r="I88" s="1"/>
      <c r="J88" s="1"/>
      <c r="K88" s="1"/>
      <c r="L88" s="1"/>
      <c r="M88" s="1"/>
      <c r="N88" s="1"/>
      <c r="O88" s="1"/>
      <c r="P88" s="1"/>
      <c r="Q88" s="1"/>
      <c r="R88" s="1"/>
      <c r="S88" s="1"/>
      <c r="T88" s="1"/>
    </row>
    <row r="89" ht="15.75" customHeight="1">
      <c r="A89" s="36"/>
      <c r="B89" s="37"/>
      <c r="C89" s="37"/>
      <c r="D89" s="37"/>
      <c r="E89" s="37"/>
      <c r="F89" s="37"/>
      <c r="G89" s="1"/>
      <c r="H89" s="1"/>
      <c r="I89" s="1"/>
      <c r="J89" s="1"/>
      <c r="K89" s="1"/>
      <c r="L89" s="1"/>
      <c r="M89" s="1"/>
      <c r="N89" s="1"/>
      <c r="O89" s="1"/>
      <c r="P89" s="1"/>
      <c r="Q89" s="1"/>
      <c r="R89" s="1"/>
      <c r="S89" s="1"/>
      <c r="T89" s="1"/>
    </row>
    <row r="90" ht="15.75" customHeight="1">
      <c r="A90" s="36"/>
      <c r="B90" s="37"/>
      <c r="C90" s="37"/>
      <c r="D90" s="37"/>
      <c r="E90" s="37"/>
      <c r="F90" s="37"/>
      <c r="G90" s="1"/>
      <c r="H90" s="1"/>
      <c r="I90" s="1"/>
      <c r="J90" s="1"/>
      <c r="K90" s="1"/>
      <c r="L90" s="1"/>
      <c r="M90" s="1"/>
      <c r="N90" s="1"/>
      <c r="O90" s="1"/>
      <c r="P90" s="1"/>
      <c r="Q90" s="1"/>
      <c r="R90" s="1"/>
      <c r="S90" s="1"/>
      <c r="T90" s="1"/>
    </row>
    <row r="91" ht="15.75" customHeight="1">
      <c r="A91" s="36"/>
      <c r="B91" s="37"/>
      <c r="C91" s="37"/>
      <c r="D91" s="37"/>
      <c r="E91" s="37"/>
      <c r="F91" s="37"/>
      <c r="G91" s="1"/>
      <c r="H91" s="1"/>
      <c r="I91" s="1"/>
      <c r="J91" s="1"/>
      <c r="K91" s="1"/>
      <c r="L91" s="1"/>
      <c r="M91" s="1"/>
      <c r="N91" s="1"/>
      <c r="O91" s="1"/>
      <c r="P91" s="1"/>
      <c r="Q91" s="1"/>
      <c r="R91" s="1"/>
      <c r="S91" s="1"/>
      <c r="T91" s="1"/>
    </row>
    <row r="92" ht="15.75" customHeight="1">
      <c r="A92" s="36"/>
      <c r="B92" s="37"/>
      <c r="C92" s="37"/>
      <c r="D92" s="37"/>
      <c r="E92" s="37"/>
      <c r="F92" s="37"/>
      <c r="G92" s="1"/>
      <c r="H92" s="1"/>
      <c r="I92" s="1"/>
      <c r="J92" s="1"/>
      <c r="K92" s="1"/>
      <c r="L92" s="1"/>
      <c r="M92" s="1"/>
      <c r="N92" s="1"/>
      <c r="O92" s="1"/>
      <c r="P92" s="1"/>
      <c r="Q92" s="1"/>
      <c r="R92" s="1"/>
      <c r="S92" s="1"/>
      <c r="T92" s="1"/>
    </row>
    <row r="93" ht="15.75" customHeight="1">
      <c r="A93" s="36"/>
      <c r="B93" s="37"/>
      <c r="C93" s="37"/>
      <c r="D93" s="37"/>
      <c r="E93" s="37"/>
      <c r="F93" s="37"/>
      <c r="G93" s="1"/>
      <c r="H93" s="1"/>
      <c r="I93" s="1"/>
      <c r="J93" s="1"/>
      <c r="K93" s="1"/>
      <c r="L93" s="1"/>
      <c r="M93" s="1"/>
      <c r="N93" s="1"/>
      <c r="O93" s="1"/>
      <c r="P93" s="1"/>
      <c r="Q93" s="1"/>
      <c r="R93" s="1"/>
      <c r="S93" s="1"/>
      <c r="T93" s="1"/>
    </row>
    <row r="94" ht="15.75" customHeight="1">
      <c r="A94" s="36"/>
      <c r="B94" s="37"/>
      <c r="C94" s="37"/>
      <c r="D94" s="37"/>
      <c r="E94" s="37"/>
      <c r="F94" s="37"/>
      <c r="G94" s="1"/>
      <c r="H94" s="1"/>
      <c r="I94" s="1"/>
      <c r="J94" s="1"/>
      <c r="K94" s="1"/>
      <c r="L94" s="1"/>
      <c r="M94" s="1"/>
      <c r="N94" s="1"/>
      <c r="O94" s="1"/>
      <c r="P94" s="1"/>
      <c r="Q94" s="1"/>
      <c r="R94" s="1"/>
      <c r="S94" s="1"/>
      <c r="T94" s="1"/>
    </row>
    <row r="95" ht="15.75" customHeight="1">
      <c r="A95" s="36"/>
      <c r="B95" s="37"/>
      <c r="C95" s="37"/>
      <c r="D95" s="37"/>
      <c r="E95" s="37"/>
      <c r="F95" s="37"/>
      <c r="G95" s="1"/>
      <c r="H95" s="1"/>
      <c r="I95" s="1"/>
      <c r="J95" s="1"/>
      <c r="K95" s="1"/>
      <c r="L95" s="1"/>
      <c r="M95" s="1"/>
      <c r="N95" s="1"/>
      <c r="O95" s="1"/>
      <c r="P95" s="1"/>
      <c r="Q95" s="1"/>
      <c r="R95" s="1"/>
      <c r="S95" s="1"/>
      <c r="T95" s="1"/>
    </row>
    <row r="96" ht="15.75" customHeight="1">
      <c r="A96" s="36"/>
      <c r="B96" s="37"/>
      <c r="C96" s="37"/>
      <c r="D96" s="37"/>
      <c r="E96" s="37"/>
      <c r="F96" s="37"/>
      <c r="G96" s="1"/>
      <c r="H96" s="1"/>
      <c r="I96" s="1"/>
      <c r="J96" s="1"/>
      <c r="K96" s="1"/>
      <c r="L96" s="1"/>
      <c r="M96" s="1"/>
      <c r="N96" s="1"/>
      <c r="O96" s="1"/>
      <c r="P96" s="1"/>
      <c r="Q96" s="1"/>
      <c r="R96" s="1"/>
      <c r="S96" s="1"/>
      <c r="T96" s="1"/>
    </row>
    <row r="97" ht="15.75" customHeight="1">
      <c r="A97" s="36"/>
      <c r="B97" s="37"/>
      <c r="C97" s="37"/>
      <c r="D97" s="37"/>
      <c r="E97" s="37"/>
      <c r="F97" s="37"/>
      <c r="G97" s="1"/>
      <c r="H97" s="1"/>
      <c r="I97" s="1"/>
      <c r="J97" s="1"/>
      <c r="K97" s="1"/>
      <c r="L97" s="1"/>
      <c r="M97" s="1"/>
      <c r="N97" s="1"/>
      <c r="O97" s="1"/>
      <c r="P97" s="1"/>
      <c r="Q97" s="1"/>
      <c r="R97" s="1"/>
      <c r="S97" s="1"/>
      <c r="T97" s="1"/>
    </row>
    <row r="98" ht="15.75" customHeight="1">
      <c r="A98" s="36"/>
      <c r="B98" s="37"/>
      <c r="C98" s="37"/>
      <c r="D98" s="37"/>
      <c r="E98" s="37"/>
      <c r="F98" s="37"/>
      <c r="G98" s="1"/>
      <c r="H98" s="1"/>
      <c r="I98" s="1"/>
      <c r="J98" s="1"/>
      <c r="K98" s="1"/>
      <c r="L98" s="1"/>
      <c r="M98" s="1"/>
      <c r="N98" s="1"/>
      <c r="O98" s="1"/>
      <c r="P98" s="1"/>
      <c r="Q98" s="1"/>
      <c r="R98" s="1"/>
      <c r="S98" s="1"/>
      <c r="T98" s="1"/>
    </row>
    <row r="99" ht="15.75" customHeight="1">
      <c r="A99" s="36"/>
      <c r="B99" s="37"/>
      <c r="C99" s="37"/>
      <c r="D99" s="37"/>
      <c r="E99" s="37"/>
      <c r="F99" s="37"/>
      <c r="G99" s="1"/>
      <c r="H99" s="1"/>
      <c r="I99" s="1"/>
      <c r="J99" s="1"/>
      <c r="K99" s="1"/>
      <c r="L99" s="1"/>
      <c r="M99" s="1"/>
      <c r="N99" s="1"/>
      <c r="O99" s="1"/>
      <c r="P99" s="1"/>
      <c r="Q99" s="1"/>
      <c r="R99" s="1"/>
      <c r="S99" s="1"/>
      <c r="T99" s="1"/>
    </row>
    <row r="100" ht="15.75" customHeight="1">
      <c r="A100" s="36"/>
      <c r="B100" s="37"/>
      <c r="C100" s="37"/>
      <c r="D100" s="37"/>
      <c r="E100" s="37"/>
      <c r="F100" s="37"/>
      <c r="G100" s="1"/>
      <c r="H100" s="1"/>
      <c r="I100" s="1"/>
      <c r="J100" s="1"/>
      <c r="K100" s="1"/>
      <c r="L100" s="1"/>
      <c r="M100" s="1"/>
      <c r="N100" s="1"/>
      <c r="O100" s="1"/>
      <c r="P100" s="1"/>
      <c r="Q100" s="1"/>
      <c r="R100" s="1"/>
      <c r="S100" s="1"/>
      <c r="T100" s="1"/>
    </row>
    <row r="101" ht="15.75" customHeight="1">
      <c r="A101" s="36"/>
      <c r="B101" s="37"/>
      <c r="C101" s="37"/>
      <c r="D101" s="37"/>
      <c r="E101" s="37"/>
      <c r="F101" s="37"/>
      <c r="G101" s="1"/>
      <c r="H101" s="1"/>
      <c r="I101" s="1"/>
      <c r="J101" s="1"/>
      <c r="K101" s="1"/>
      <c r="L101" s="1"/>
      <c r="M101" s="1"/>
      <c r="N101" s="1"/>
      <c r="O101" s="1"/>
      <c r="P101" s="1"/>
      <c r="Q101" s="1"/>
      <c r="R101" s="1"/>
      <c r="S101" s="1"/>
      <c r="T101" s="1"/>
    </row>
    <row r="102" ht="15.75" customHeight="1">
      <c r="A102" s="36"/>
      <c r="B102" s="37"/>
      <c r="C102" s="37"/>
      <c r="D102" s="37"/>
      <c r="E102" s="37"/>
      <c r="F102" s="37"/>
      <c r="G102" s="1"/>
      <c r="H102" s="1"/>
      <c r="I102" s="1"/>
      <c r="J102" s="1"/>
      <c r="K102" s="1"/>
      <c r="L102" s="1"/>
      <c r="M102" s="1"/>
      <c r="N102" s="1"/>
      <c r="O102" s="1"/>
      <c r="P102" s="1"/>
      <c r="Q102" s="1"/>
      <c r="R102" s="1"/>
      <c r="S102" s="1"/>
      <c r="T102" s="1"/>
    </row>
    <row r="103" ht="15.75" customHeight="1">
      <c r="A103" s="36"/>
      <c r="B103" s="37"/>
      <c r="C103" s="37"/>
      <c r="D103" s="37"/>
      <c r="E103" s="37"/>
      <c r="F103" s="37"/>
      <c r="G103" s="1"/>
      <c r="H103" s="1"/>
      <c r="I103" s="1"/>
      <c r="J103" s="1"/>
      <c r="K103" s="1"/>
      <c r="L103" s="1"/>
      <c r="M103" s="1"/>
      <c r="N103" s="1"/>
      <c r="O103" s="1"/>
      <c r="P103" s="1"/>
      <c r="Q103" s="1"/>
      <c r="R103" s="1"/>
      <c r="S103" s="1"/>
      <c r="T103" s="1"/>
    </row>
    <row r="104" ht="15.75" customHeight="1">
      <c r="A104" s="36"/>
      <c r="B104" s="37"/>
      <c r="C104" s="37"/>
      <c r="D104" s="37"/>
      <c r="E104" s="37"/>
      <c r="F104" s="37"/>
      <c r="G104" s="1"/>
      <c r="H104" s="1"/>
      <c r="I104" s="1"/>
      <c r="J104" s="1"/>
      <c r="K104" s="1"/>
      <c r="L104" s="1"/>
      <c r="M104" s="1"/>
      <c r="N104" s="1"/>
      <c r="O104" s="1"/>
      <c r="P104" s="1"/>
      <c r="Q104" s="1"/>
      <c r="R104" s="1"/>
      <c r="S104" s="1"/>
      <c r="T104" s="1"/>
    </row>
    <row r="105" ht="15.75" customHeight="1">
      <c r="A105" s="36"/>
      <c r="B105" s="37"/>
      <c r="C105" s="37"/>
      <c r="D105" s="37"/>
      <c r="E105" s="37"/>
      <c r="F105" s="37"/>
      <c r="G105" s="1"/>
      <c r="H105" s="1"/>
      <c r="I105" s="1"/>
      <c r="J105" s="1"/>
      <c r="K105" s="1"/>
      <c r="L105" s="1"/>
      <c r="M105" s="1"/>
      <c r="N105" s="1"/>
      <c r="O105" s="1"/>
      <c r="P105" s="1"/>
      <c r="Q105" s="1"/>
      <c r="R105" s="1"/>
      <c r="S105" s="1"/>
      <c r="T105" s="1"/>
    </row>
    <row r="106" ht="15.75" customHeight="1">
      <c r="A106" s="36"/>
      <c r="B106" s="37"/>
      <c r="C106" s="37"/>
      <c r="D106" s="37"/>
      <c r="E106" s="37"/>
      <c r="F106" s="37"/>
      <c r="G106" s="1"/>
      <c r="H106" s="1"/>
      <c r="I106" s="1"/>
      <c r="J106" s="1"/>
      <c r="K106" s="1"/>
      <c r="L106" s="1"/>
      <c r="M106" s="1"/>
      <c r="N106" s="1"/>
      <c r="O106" s="1"/>
      <c r="P106" s="1"/>
      <c r="Q106" s="1"/>
      <c r="R106" s="1"/>
      <c r="S106" s="1"/>
      <c r="T106" s="1"/>
    </row>
    <row r="107" ht="15.75" customHeight="1">
      <c r="A107" s="36"/>
      <c r="B107" s="37"/>
      <c r="C107" s="37"/>
      <c r="D107" s="37"/>
      <c r="E107" s="37"/>
      <c r="F107" s="37"/>
      <c r="G107" s="1"/>
      <c r="H107" s="1"/>
      <c r="I107" s="1"/>
      <c r="J107" s="1"/>
      <c r="K107" s="1"/>
      <c r="L107" s="1"/>
      <c r="M107" s="1"/>
      <c r="N107" s="1"/>
      <c r="O107" s="1"/>
      <c r="P107" s="1"/>
      <c r="Q107" s="1"/>
      <c r="R107" s="1"/>
      <c r="S107" s="1"/>
      <c r="T107" s="1"/>
    </row>
    <row r="108" ht="15.75" customHeight="1">
      <c r="A108" s="36"/>
      <c r="B108" s="37"/>
      <c r="C108" s="37"/>
      <c r="D108" s="37"/>
      <c r="E108" s="37"/>
      <c r="F108" s="37"/>
      <c r="G108" s="1"/>
      <c r="H108" s="1"/>
      <c r="I108" s="1"/>
      <c r="J108" s="1"/>
      <c r="K108" s="1"/>
      <c r="L108" s="1"/>
      <c r="M108" s="1"/>
      <c r="N108" s="1"/>
      <c r="O108" s="1"/>
      <c r="P108" s="1"/>
      <c r="Q108" s="1"/>
      <c r="R108" s="1"/>
      <c r="S108" s="1"/>
      <c r="T108" s="1"/>
    </row>
    <row r="109" ht="15.75" customHeight="1">
      <c r="A109" s="36"/>
      <c r="B109" s="37"/>
      <c r="C109" s="37"/>
      <c r="D109" s="37"/>
      <c r="E109" s="37"/>
      <c r="F109" s="37"/>
      <c r="G109" s="1"/>
      <c r="H109" s="1"/>
      <c r="I109" s="1"/>
      <c r="J109" s="1"/>
      <c r="K109" s="1"/>
      <c r="L109" s="1"/>
      <c r="M109" s="1"/>
      <c r="N109" s="1"/>
      <c r="O109" s="1"/>
      <c r="P109" s="1"/>
      <c r="Q109" s="1"/>
      <c r="R109" s="1"/>
      <c r="S109" s="1"/>
      <c r="T109" s="1"/>
    </row>
    <row r="110" ht="15.75" customHeight="1">
      <c r="A110" s="36"/>
      <c r="B110" s="37"/>
      <c r="C110" s="37"/>
      <c r="D110" s="37"/>
      <c r="E110" s="37"/>
      <c r="F110" s="37"/>
      <c r="G110" s="1"/>
      <c r="H110" s="1"/>
      <c r="I110" s="1"/>
      <c r="J110" s="1"/>
      <c r="K110" s="1"/>
      <c r="L110" s="1"/>
      <c r="M110" s="1"/>
      <c r="N110" s="1"/>
      <c r="O110" s="1"/>
      <c r="P110" s="1"/>
      <c r="Q110" s="1"/>
      <c r="R110" s="1"/>
      <c r="S110" s="1"/>
      <c r="T110" s="1"/>
    </row>
    <row r="111" ht="15.75" customHeight="1">
      <c r="A111" s="36"/>
      <c r="B111" s="37"/>
      <c r="C111" s="37"/>
      <c r="D111" s="37"/>
      <c r="E111" s="37"/>
      <c r="F111" s="37"/>
      <c r="G111" s="1"/>
      <c r="H111" s="1"/>
      <c r="I111" s="1"/>
      <c r="J111" s="1"/>
      <c r="K111" s="1"/>
      <c r="L111" s="1"/>
      <c r="M111" s="1"/>
      <c r="N111" s="1"/>
      <c r="O111" s="1"/>
      <c r="P111" s="1"/>
      <c r="Q111" s="1"/>
      <c r="R111" s="1"/>
      <c r="S111" s="1"/>
      <c r="T111" s="1"/>
    </row>
    <row r="112" ht="15.75" customHeight="1">
      <c r="A112" s="36"/>
      <c r="B112" s="37"/>
      <c r="C112" s="37"/>
      <c r="D112" s="37"/>
      <c r="E112" s="37"/>
      <c r="F112" s="37"/>
      <c r="G112" s="1"/>
      <c r="H112" s="1"/>
      <c r="I112" s="1"/>
      <c r="J112" s="1"/>
      <c r="K112" s="1"/>
      <c r="L112" s="1"/>
      <c r="M112" s="1"/>
      <c r="N112" s="1"/>
      <c r="O112" s="1"/>
      <c r="P112" s="1"/>
      <c r="Q112" s="1"/>
      <c r="R112" s="1"/>
      <c r="S112" s="1"/>
      <c r="T112" s="1"/>
    </row>
    <row r="113" ht="15.75" customHeight="1">
      <c r="A113" s="36"/>
      <c r="B113" s="37"/>
      <c r="C113" s="37"/>
      <c r="D113" s="37"/>
      <c r="E113" s="37"/>
      <c r="F113" s="37"/>
      <c r="G113" s="1"/>
      <c r="H113" s="1"/>
      <c r="I113" s="1"/>
      <c r="J113" s="1"/>
      <c r="K113" s="1"/>
      <c r="L113" s="1"/>
      <c r="M113" s="1"/>
      <c r="N113" s="1"/>
      <c r="O113" s="1"/>
      <c r="P113" s="1"/>
      <c r="Q113" s="1"/>
      <c r="R113" s="1"/>
      <c r="S113" s="1"/>
      <c r="T113" s="1"/>
    </row>
    <row r="114" ht="15.75" customHeight="1">
      <c r="A114" s="36"/>
      <c r="B114" s="37"/>
      <c r="C114" s="37"/>
      <c r="D114" s="37"/>
      <c r="E114" s="37"/>
      <c r="F114" s="37"/>
      <c r="G114" s="1"/>
      <c r="H114" s="1"/>
      <c r="I114" s="1"/>
      <c r="J114" s="1"/>
      <c r="K114" s="1"/>
      <c r="L114" s="1"/>
      <c r="M114" s="1"/>
      <c r="N114" s="1"/>
      <c r="O114" s="1"/>
      <c r="P114" s="1"/>
      <c r="Q114" s="1"/>
      <c r="R114" s="1"/>
      <c r="S114" s="1"/>
      <c r="T114" s="1"/>
    </row>
    <row r="115" ht="15.75" customHeight="1">
      <c r="A115" s="36"/>
      <c r="B115" s="37"/>
      <c r="C115" s="37"/>
      <c r="D115" s="37"/>
      <c r="E115" s="37"/>
      <c r="F115" s="37"/>
      <c r="G115" s="1"/>
      <c r="H115" s="1"/>
      <c r="I115" s="1"/>
      <c r="J115" s="1"/>
      <c r="K115" s="1"/>
      <c r="L115" s="1"/>
      <c r="M115" s="1"/>
      <c r="N115" s="1"/>
      <c r="O115" s="1"/>
      <c r="P115" s="1"/>
      <c r="Q115" s="1"/>
      <c r="R115" s="1"/>
      <c r="S115" s="1"/>
      <c r="T115" s="1"/>
    </row>
    <row r="116" ht="15.75" customHeight="1">
      <c r="A116" s="36"/>
      <c r="B116" s="37"/>
      <c r="C116" s="37"/>
      <c r="D116" s="37"/>
      <c r="E116" s="37"/>
      <c r="F116" s="37"/>
      <c r="G116" s="1"/>
      <c r="H116" s="1"/>
      <c r="I116" s="1"/>
      <c r="J116" s="1"/>
      <c r="K116" s="1"/>
      <c r="L116" s="1"/>
      <c r="M116" s="1"/>
      <c r="N116" s="1"/>
      <c r="O116" s="1"/>
      <c r="P116" s="1"/>
      <c r="Q116" s="1"/>
      <c r="R116" s="1"/>
      <c r="S116" s="1"/>
      <c r="T116" s="1"/>
    </row>
    <row r="117" ht="15.75" customHeight="1">
      <c r="A117" s="36"/>
      <c r="B117" s="37"/>
      <c r="C117" s="37"/>
      <c r="D117" s="37"/>
      <c r="E117" s="37"/>
      <c r="F117" s="37"/>
      <c r="G117" s="1"/>
      <c r="H117" s="1"/>
      <c r="I117" s="1"/>
      <c r="J117" s="1"/>
      <c r="K117" s="1"/>
      <c r="L117" s="1"/>
      <c r="M117" s="1"/>
      <c r="N117" s="1"/>
      <c r="O117" s="1"/>
      <c r="P117" s="1"/>
      <c r="Q117" s="1"/>
      <c r="R117" s="1"/>
      <c r="S117" s="1"/>
      <c r="T117" s="1"/>
    </row>
    <row r="118" ht="15.75" customHeight="1">
      <c r="A118" s="36"/>
      <c r="B118" s="37"/>
      <c r="C118" s="37"/>
      <c r="D118" s="37"/>
      <c r="E118" s="37"/>
      <c r="F118" s="37"/>
      <c r="G118" s="1"/>
      <c r="H118" s="1"/>
      <c r="I118" s="1"/>
      <c r="J118" s="1"/>
      <c r="K118" s="1"/>
      <c r="L118" s="1"/>
      <c r="M118" s="1"/>
      <c r="N118" s="1"/>
      <c r="O118" s="1"/>
      <c r="P118" s="1"/>
      <c r="Q118" s="1"/>
      <c r="R118" s="1"/>
      <c r="S118" s="1"/>
      <c r="T118" s="1"/>
    </row>
    <row r="119" ht="15.75" customHeight="1">
      <c r="A119" s="36"/>
      <c r="B119" s="37"/>
      <c r="C119" s="37"/>
      <c r="D119" s="37"/>
      <c r="E119" s="37"/>
      <c r="F119" s="37"/>
      <c r="G119" s="1"/>
      <c r="H119" s="1"/>
      <c r="I119" s="1"/>
      <c r="J119" s="1"/>
      <c r="K119" s="1"/>
      <c r="L119" s="1"/>
      <c r="M119" s="1"/>
      <c r="N119" s="1"/>
      <c r="O119" s="1"/>
      <c r="P119" s="1"/>
      <c r="Q119" s="1"/>
      <c r="R119" s="1"/>
      <c r="S119" s="1"/>
      <c r="T119" s="1"/>
    </row>
    <row r="120" ht="15.75" customHeight="1">
      <c r="A120" s="36"/>
      <c r="B120" s="37"/>
      <c r="C120" s="37"/>
      <c r="D120" s="37"/>
      <c r="E120" s="37"/>
      <c r="F120" s="37"/>
      <c r="G120" s="1"/>
      <c r="H120" s="1"/>
      <c r="I120" s="1"/>
      <c r="J120" s="1"/>
      <c r="K120" s="1"/>
      <c r="L120" s="1"/>
      <c r="M120" s="1"/>
      <c r="N120" s="1"/>
      <c r="O120" s="1"/>
      <c r="P120" s="1"/>
      <c r="Q120" s="1"/>
      <c r="R120" s="1"/>
      <c r="S120" s="1"/>
      <c r="T120" s="1"/>
    </row>
    <row r="121" ht="15.75" customHeight="1">
      <c r="A121" s="36"/>
      <c r="B121" s="37"/>
      <c r="C121" s="37"/>
      <c r="D121" s="37"/>
      <c r="E121" s="37"/>
      <c r="F121" s="37"/>
      <c r="G121" s="1"/>
      <c r="H121" s="1"/>
      <c r="I121" s="1"/>
      <c r="J121" s="1"/>
      <c r="K121" s="1"/>
      <c r="L121" s="1"/>
      <c r="M121" s="1"/>
      <c r="N121" s="1"/>
      <c r="O121" s="1"/>
      <c r="P121" s="1"/>
      <c r="Q121" s="1"/>
      <c r="R121" s="1"/>
      <c r="S121" s="1"/>
      <c r="T121" s="1"/>
    </row>
    <row r="122" ht="15.75" customHeight="1">
      <c r="A122" s="36"/>
      <c r="B122" s="37"/>
      <c r="C122" s="37"/>
      <c r="D122" s="37"/>
      <c r="E122" s="37"/>
      <c r="F122" s="37"/>
      <c r="G122" s="1"/>
      <c r="H122" s="1"/>
      <c r="I122" s="1"/>
      <c r="J122" s="1"/>
      <c r="K122" s="1"/>
      <c r="L122" s="1"/>
      <c r="M122" s="1"/>
      <c r="N122" s="1"/>
      <c r="O122" s="1"/>
      <c r="P122" s="1"/>
      <c r="Q122" s="1"/>
      <c r="R122" s="1"/>
      <c r="S122" s="1"/>
      <c r="T122" s="1"/>
    </row>
    <row r="123" ht="15.75" customHeight="1">
      <c r="A123" s="36"/>
      <c r="B123" s="37"/>
      <c r="C123" s="37"/>
      <c r="D123" s="37"/>
      <c r="E123" s="37"/>
      <c r="F123" s="37"/>
      <c r="G123" s="1"/>
      <c r="H123" s="1"/>
      <c r="I123" s="1"/>
      <c r="J123" s="1"/>
      <c r="K123" s="1"/>
      <c r="L123" s="1"/>
      <c r="M123" s="1"/>
      <c r="N123" s="1"/>
      <c r="O123" s="1"/>
      <c r="P123" s="1"/>
      <c r="Q123" s="1"/>
      <c r="R123" s="1"/>
      <c r="S123" s="1"/>
      <c r="T123" s="1"/>
    </row>
    <row r="124" ht="15.75" customHeight="1">
      <c r="A124" s="36"/>
      <c r="B124" s="37"/>
      <c r="C124" s="37"/>
      <c r="D124" s="37"/>
      <c r="E124" s="37"/>
      <c r="F124" s="37"/>
      <c r="G124" s="1"/>
      <c r="H124" s="1"/>
      <c r="I124" s="1"/>
      <c r="J124" s="1"/>
      <c r="K124" s="1"/>
      <c r="L124" s="1"/>
      <c r="M124" s="1"/>
      <c r="N124" s="1"/>
      <c r="O124" s="1"/>
      <c r="P124" s="1"/>
      <c r="Q124" s="1"/>
      <c r="R124" s="1"/>
      <c r="S124" s="1"/>
      <c r="T124" s="1"/>
    </row>
    <row r="125" ht="15.75" customHeight="1">
      <c r="A125" s="36"/>
      <c r="B125" s="37"/>
      <c r="C125" s="37"/>
      <c r="D125" s="37"/>
      <c r="E125" s="37"/>
      <c r="F125" s="37"/>
      <c r="G125" s="1"/>
      <c r="H125" s="1"/>
      <c r="I125" s="1"/>
      <c r="J125" s="1"/>
      <c r="K125" s="1"/>
      <c r="L125" s="1"/>
      <c r="M125" s="1"/>
      <c r="N125" s="1"/>
      <c r="O125" s="1"/>
      <c r="P125" s="1"/>
      <c r="Q125" s="1"/>
      <c r="R125" s="1"/>
      <c r="S125" s="1"/>
      <c r="T125" s="1"/>
    </row>
    <row r="126" ht="15.75" customHeight="1">
      <c r="A126" s="36"/>
      <c r="B126" s="37"/>
      <c r="C126" s="37"/>
      <c r="D126" s="37"/>
      <c r="E126" s="37"/>
      <c r="F126" s="37"/>
      <c r="G126" s="1"/>
      <c r="H126" s="1"/>
      <c r="I126" s="1"/>
      <c r="J126" s="1"/>
      <c r="K126" s="1"/>
      <c r="L126" s="1"/>
      <c r="M126" s="1"/>
      <c r="N126" s="1"/>
      <c r="O126" s="1"/>
      <c r="P126" s="1"/>
      <c r="Q126" s="1"/>
      <c r="R126" s="1"/>
      <c r="S126" s="1"/>
      <c r="T126" s="1"/>
    </row>
    <row r="127" ht="15.75" customHeight="1">
      <c r="A127" s="36"/>
      <c r="B127" s="37"/>
      <c r="C127" s="37"/>
      <c r="D127" s="37"/>
      <c r="E127" s="37"/>
      <c r="F127" s="37"/>
      <c r="G127" s="1"/>
      <c r="H127" s="1"/>
      <c r="I127" s="1"/>
      <c r="J127" s="1"/>
      <c r="K127" s="1"/>
      <c r="L127" s="1"/>
      <c r="M127" s="1"/>
      <c r="N127" s="1"/>
      <c r="O127" s="1"/>
      <c r="P127" s="1"/>
      <c r="Q127" s="1"/>
      <c r="R127" s="1"/>
      <c r="S127" s="1"/>
      <c r="T127" s="1"/>
    </row>
    <row r="128" ht="15.75" customHeight="1">
      <c r="A128" s="36"/>
      <c r="B128" s="37"/>
      <c r="C128" s="37"/>
      <c r="D128" s="37"/>
      <c r="E128" s="37"/>
      <c r="F128" s="37"/>
      <c r="G128" s="1"/>
      <c r="H128" s="1"/>
      <c r="I128" s="1"/>
      <c r="J128" s="1"/>
      <c r="K128" s="1"/>
      <c r="L128" s="1"/>
      <c r="M128" s="1"/>
      <c r="N128" s="1"/>
      <c r="O128" s="1"/>
      <c r="P128" s="1"/>
      <c r="Q128" s="1"/>
      <c r="R128" s="1"/>
      <c r="S128" s="1"/>
      <c r="T128" s="1"/>
    </row>
    <row r="129" ht="15.75" customHeight="1">
      <c r="A129" s="36"/>
      <c r="B129" s="37"/>
      <c r="C129" s="37"/>
      <c r="D129" s="37"/>
      <c r="E129" s="37"/>
      <c r="F129" s="37"/>
      <c r="G129" s="1"/>
      <c r="H129" s="1"/>
      <c r="I129" s="1"/>
      <c r="J129" s="1"/>
      <c r="K129" s="1"/>
      <c r="L129" s="1"/>
      <c r="M129" s="1"/>
      <c r="N129" s="1"/>
      <c r="O129" s="1"/>
      <c r="P129" s="1"/>
      <c r="Q129" s="1"/>
      <c r="R129" s="1"/>
      <c r="S129" s="1"/>
      <c r="T129" s="1"/>
    </row>
    <row r="130" ht="15.75" customHeight="1">
      <c r="A130" s="36"/>
      <c r="B130" s="37"/>
      <c r="C130" s="37"/>
      <c r="D130" s="37"/>
      <c r="E130" s="37"/>
      <c r="F130" s="37"/>
      <c r="G130" s="1"/>
      <c r="H130" s="1"/>
      <c r="I130" s="1"/>
      <c r="J130" s="1"/>
      <c r="K130" s="1"/>
      <c r="L130" s="1"/>
      <c r="M130" s="1"/>
      <c r="N130" s="1"/>
      <c r="O130" s="1"/>
      <c r="P130" s="1"/>
      <c r="Q130" s="1"/>
      <c r="R130" s="1"/>
      <c r="S130" s="1"/>
      <c r="T130" s="1"/>
    </row>
    <row r="131" ht="15.75" customHeight="1">
      <c r="A131" s="36"/>
      <c r="B131" s="37"/>
      <c r="C131" s="37"/>
      <c r="D131" s="37"/>
      <c r="E131" s="37"/>
      <c r="F131" s="37"/>
      <c r="G131" s="1"/>
      <c r="H131" s="1"/>
      <c r="I131" s="1"/>
      <c r="J131" s="1"/>
      <c r="K131" s="1"/>
      <c r="L131" s="1"/>
      <c r="M131" s="1"/>
      <c r="N131" s="1"/>
      <c r="O131" s="1"/>
      <c r="P131" s="1"/>
      <c r="Q131" s="1"/>
      <c r="R131" s="1"/>
      <c r="S131" s="1"/>
      <c r="T131" s="1"/>
    </row>
    <row r="132" ht="15.75" customHeight="1">
      <c r="A132" s="36"/>
      <c r="B132" s="37"/>
      <c r="C132" s="37"/>
      <c r="D132" s="37"/>
      <c r="E132" s="37"/>
      <c r="F132" s="37"/>
      <c r="G132" s="1"/>
      <c r="H132" s="1"/>
      <c r="I132" s="1"/>
      <c r="J132" s="1"/>
      <c r="K132" s="1"/>
      <c r="L132" s="1"/>
      <c r="M132" s="1"/>
      <c r="N132" s="1"/>
      <c r="O132" s="1"/>
      <c r="P132" s="1"/>
      <c r="Q132" s="1"/>
      <c r="R132" s="1"/>
      <c r="S132" s="1"/>
      <c r="T132" s="1"/>
    </row>
    <row r="133" ht="15.75" customHeight="1">
      <c r="A133" s="36"/>
      <c r="B133" s="37"/>
      <c r="C133" s="37"/>
      <c r="D133" s="37"/>
      <c r="E133" s="37"/>
      <c r="F133" s="37"/>
      <c r="G133" s="1"/>
      <c r="H133" s="1"/>
      <c r="I133" s="1"/>
      <c r="J133" s="1"/>
      <c r="K133" s="1"/>
      <c r="L133" s="1"/>
      <c r="M133" s="1"/>
      <c r="N133" s="1"/>
      <c r="O133" s="1"/>
      <c r="P133" s="1"/>
      <c r="Q133" s="1"/>
      <c r="R133" s="1"/>
      <c r="S133" s="1"/>
      <c r="T133" s="1"/>
    </row>
    <row r="134" ht="15.75" customHeight="1">
      <c r="A134" s="36"/>
      <c r="B134" s="37"/>
      <c r="C134" s="37"/>
      <c r="D134" s="37"/>
      <c r="E134" s="37"/>
      <c r="F134" s="37"/>
      <c r="G134" s="1"/>
      <c r="H134" s="1"/>
      <c r="I134" s="1"/>
      <c r="J134" s="1"/>
      <c r="K134" s="1"/>
      <c r="L134" s="1"/>
      <c r="M134" s="1"/>
      <c r="N134" s="1"/>
      <c r="O134" s="1"/>
      <c r="P134" s="1"/>
      <c r="Q134" s="1"/>
      <c r="R134" s="1"/>
      <c r="S134" s="1"/>
      <c r="T134" s="1"/>
    </row>
    <row r="135" ht="15.75" customHeight="1">
      <c r="A135" s="36"/>
      <c r="B135" s="37"/>
      <c r="C135" s="37"/>
      <c r="D135" s="37"/>
      <c r="E135" s="37"/>
      <c r="F135" s="37"/>
      <c r="G135" s="1"/>
      <c r="H135" s="1"/>
      <c r="I135" s="1"/>
      <c r="J135" s="1"/>
      <c r="K135" s="1"/>
      <c r="L135" s="1"/>
      <c r="M135" s="1"/>
      <c r="N135" s="1"/>
      <c r="O135" s="1"/>
      <c r="P135" s="1"/>
      <c r="Q135" s="1"/>
      <c r="R135" s="1"/>
      <c r="S135" s="1"/>
      <c r="T135" s="1"/>
    </row>
    <row r="136" ht="15.75" customHeight="1">
      <c r="A136" s="36"/>
      <c r="B136" s="37"/>
      <c r="C136" s="37"/>
      <c r="D136" s="37"/>
      <c r="E136" s="37"/>
      <c r="F136" s="37"/>
      <c r="G136" s="1"/>
      <c r="H136" s="1"/>
      <c r="I136" s="1"/>
      <c r="J136" s="1"/>
      <c r="K136" s="1"/>
      <c r="L136" s="1"/>
      <c r="M136" s="1"/>
      <c r="N136" s="1"/>
      <c r="O136" s="1"/>
      <c r="P136" s="1"/>
      <c r="Q136" s="1"/>
      <c r="R136" s="1"/>
      <c r="S136" s="1"/>
      <c r="T136" s="1"/>
    </row>
    <row r="137" ht="15.75" customHeight="1">
      <c r="A137" s="36"/>
      <c r="B137" s="37"/>
      <c r="C137" s="37"/>
      <c r="D137" s="37"/>
      <c r="E137" s="37"/>
      <c r="F137" s="37"/>
      <c r="G137" s="1"/>
      <c r="H137" s="1"/>
      <c r="I137" s="1"/>
      <c r="J137" s="1"/>
      <c r="K137" s="1"/>
      <c r="L137" s="1"/>
      <c r="M137" s="1"/>
      <c r="N137" s="1"/>
      <c r="O137" s="1"/>
      <c r="P137" s="1"/>
      <c r="Q137" s="1"/>
      <c r="R137" s="1"/>
      <c r="S137" s="1"/>
      <c r="T137" s="1"/>
    </row>
    <row r="138" ht="15.75" customHeight="1">
      <c r="A138" s="36"/>
      <c r="B138" s="37"/>
      <c r="C138" s="37"/>
      <c r="D138" s="37"/>
      <c r="E138" s="37"/>
      <c r="F138" s="37"/>
      <c r="G138" s="1"/>
      <c r="H138" s="1"/>
      <c r="I138" s="1"/>
      <c r="J138" s="1"/>
      <c r="K138" s="1"/>
      <c r="L138" s="1"/>
      <c r="M138" s="1"/>
      <c r="N138" s="1"/>
      <c r="O138" s="1"/>
      <c r="P138" s="1"/>
      <c r="Q138" s="1"/>
      <c r="R138" s="1"/>
      <c r="S138" s="1"/>
      <c r="T138" s="1"/>
    </row>
    <row r="139" ht="15.75" customHeight="1">
      <c r="A139" s="36"/>
      <c r="B139" s="37"/>
      <c r="C139" s="37"/>
      <c r="D139" s="37"/>
      <c r="E139" s="37"/>
      <c r="F139" s="37"/>
      <c r="G139" s="1"/>
      <c r="H139" s="1"/>
      <c r="I139" s="1"/>
      <c r="J139" s="1"/>
      <c r="K139" s="1"/>
      <c r="L139" s="1"/>
      <c r="M139" s="1"/>
      <c r="N139" s="1"/>
      <c r="O139" s="1"/>
      <c r="P139" s="1"/>
      <c r="Q139" s="1"/>
      <c r="R139" s="1"/>
      <c r="S139" s="1"/>
      <c r="T139" s="1"/>
    </row>
    <row r="140" ht="15.75" customHeight="1">
      <c r="A140" s="36"/>
      <c r="B140" s="37"/>
      <c r="C140" s="37"/>
      <c r="D140" s="37"/>
      <c r="E140" s="37"/>
      <c r="F140" s="37"/>
      <c r="G140" s="1"/>
      <c r="H140" s="1"/>
      <c r="I140" s="1"/>
      <c r="J140" s="1"/>
      <c r="K140" s="1"/>
      <c r="L140" s="1"/>
      <c r="M140" s="1"/>
      <c r="N140" s="1"/>
      <c r="O140" s="1"/>
      <c r="P140" s="1"/>
      <c r="Q140" s="1"/>
      <c r="R140" s="1"/>
      <c r="S140" s="1"/>
      <c r="T140" s="1"/>
    </row>
    <row r="141" ht="15.75" customHeight="1">
      <c r="A141" s="36"/>
      <c r="B141" s="37"/>
      <c r="C141" s="37"/>
      <c r="D141" s="37"/>
      <c r="E141" s="37"/>
      <c r="F141" s="37"/>
      <c r="G141" s="1"/>
      <c r="H141" s="1"/>
      <c r="I141" s="1"/>
      <c r="J141" s="1"/>
      <c r="K141" s="1"/>
      <c r="L141" s="1"/>
      <c r="M141" s="1"/>
      <c r="N141" s="1"/>
      <c r="O141" s="1"/>
      <c r="P141" s="1"/>
      <c r="Q141" s="1"/>
      <c r="R141" s="1"/>
      <c r="S141" s="1"/>
      <c r="T141" s="1"/>
    </row>
    <row r="142" ht="15.75" customHeight="1">
      <c r="A142" s="36"/>
      <c r="B142" s="37"/>
      <c r="C142" s="37"/>
      <c r="D142" s="37"/>
      <c r="E142" s="37"/>
      <c r="F142" s="37"/>
      <c r="G142" s="1"/>
      <c r="H142" s="1"/>
      <c r="I142" s="1"/>
      <c r="J142" s="1"/>
      <c r="K142" s="1"/>
      <c r="L142" s="1"/>
      <c r="M142" s="1"/>
      <c r="N142" s="1"/>
      <c r="O142" s="1"/>
      <c r="P142" s="1"/>
      <c r="Q142" s="1"/>
      <c r="R142" s="1"/>
      <c r="S142" s="1"/>
      <c r="T142" s="1"/>
    </row>
    <row r="143" ht="15.75" customHeight="1">
      <c r="A143" s="36"/>
      <c r="B143" s="37"/>
      <c r="C143" s="37"/>
      <c r="D143" s="37"/>
      <c r="E143" s="37"/>
      <c r="F143" s="37"/>
      <c r="G143" s="1"/>
      <c r="H143" s="1"/>
      <c r="I143" s="1"/>
      <c r="J143" s="1"/>
      <c r="K143" s="1"/>
      <c r="L143" s="1"/>
      <c r="M143" s="1"/>
      <c r="N143" s="1"/>
      <c r="O143" s="1"/>
      <c r="P143" s="1"/>
      <c r="Q143" s="1"/>
      <c r="R143" s="1"/>
      <c r="S143" s="1"/>
      <c r="T143" s="1"/>
    </row>
    <row r="144" ht="15.75" customHeight="1">
      <c r="A144" s="36"/>
      <c r="B144" s="37"/>
      <c r="C144" s="37"/>
      <c r="D144" s="37"/>
      <c r="E144" s="37"/>
      <c r="F144" s="37"/>
      <c r="G144" s="1"/>
      <c r="H144" s="1"/>
      <c r="I144" s="1"/>
      <c r="J144" s="1"/>
      <c r="K144" s="1"/>
      <c r="L144" s="1"/>
      <c r="M144" s="1"/>
      <c r="N144" s="1"/>
      <c r="O144" s="1"/>
      <c r="P144" s="1"/>
      <c r="Q144" s="1"/>
      <c r="R144" s="1"/>
      <c r="S144" s="1"/>
      <c r="T144" s="1"/>
    </row>
    <row r="145" ht="15.75" customHeight="1">
      <c r="A145" s="36"/>
      <c r="B145" s="37"/>
      <c r="C145" s="37"/>
      <c r="D145" s="37"/>
      <c r="E145" s="37"/>
      <c r="F145" s="37"/>
      <c r="G145" s="1"/>
      <c r="H145" s="1"/>
      <c r="I145" s="1"/>
      <c r="J145" s="1"/>
      <c r="K145" s="1"/>
      <c r="L145" s="1"/>
      <c r="M145" s="1"/>
      <c r="N145" s="1"/>
      <c r="O145" s="1"/>
      <c r="P145" s="1"/>
      <c r="Q145" s="1"/>
      <c r="R145" s="1"/>
      <c r="S145" s="1"/>
      <c r="T145" s="1"/>
    </row>
    <row r="146" ht="15.75" customHeight="1">
      <c r="A146" s="36"/>
      <c r="B146" s="37"/>
      <c r="C146" s="37"/>
      <c r="D146" s="37"/>
      <c r="E146" s="37"/>
      <c r="F146" s="37"/>
      <c r="G146" s="1"/>
      <c r="H146" s="1"/>
      <c r="I146" s="1"/>
      <c r="J146" s="1"/>
      <c r="K146" s="1"/>
      <c r="L146" s="1"/>
      <c r="M146" s="1"/>
      <c r="N146" s="1"/>
      <c r="O146" s="1"/>
      <c r="P146" s="1"/>
      <c r="Q146" s="1"/>
      <c r="R146" s="1"/>
      <c r="S146" s="1"/>
      <c r="T146" s="1"/>
    </row>
    <row r="147" ht="15.75" customHeight="1">
      <c r="A147" s="36"/>
      <c r="B147" s="37"/>
      <c r="C147" s="37"/>
      <c r="D147" s="37"/>
      <c r="E147" s="37"/>
      <c r="F147" s="37"/>
      <c r="G147" s="1"/>
      <c r="H147" s="1"/>
      <c r="I147" s="1"/>
      <c r="J147" s="1"/>
      <c r="K147" s="1"/>
      <c r="L147" s="1"/>
      <c r="M147" s="1"/>
      <c r="N147" s="1"/>
      <c r="O147" s="1"/>
      <c r="P147" s="1"/>
      <c r="Q147" s="1"/>
      <c r="R147" s="1"/>
      <c r="S147" s="1"/>
      <c r="T147" s="1"/>
    </row>
    <row r="148" ht="15.75" customHeight="1">
      <c r="A148" s="36"/>
      <c r="B148" s="37"/>
      <c r="C148" s="37"/>
      <c r="D148" s="37"/>
      <c r="E148" s="37"/>
      <c r="F148" s="37"/>
      <c r="G148" s="1"/>
      <c r="H148" s="1"/>
      <c r="I148" s="1"/>
      <c r="J148" s="1"/>
      <c r="K148" s="1"/>
      <c r="L148" s="1"/>
      <c r="M148" s="1"/>
      <c r="N148" s="1"/>
      <c r="O148" s="1"/>
      <c r="P148" s="1"/>
      <c r="Q148" s="1"/>
      <c r="R148" s="1"/>
      <c r="S148" s="1"/>
      <c r="T148" s="1"/>
    </row>
    <row r="149" ht="15.75" customHeight="1">
      <c r="A149" s="36"/>
      <c r="B149" s="37"/>
      <c r="C149" s="37"/>
      <c r="D149" s="37"/>
      <c r="E149" s="37"/>
      <c r="F149" s="37"/>
      <c r="G149" s="1"/>
      <c r="H149" s="1"/>
      <c r="I149" s="1"/>
      <c r="J149" s="1"/>
      <c r="K149" s="1"/>
      <c r="L149" s="1"/>
      <c r="M149" s="1"/>
      <c r="N149" s="1"/>
      <c r="O149" s="1"/>
      <c r="P149" s="1"/>
      <c r="Q149" s="1"/>
      <c r="R149" s="1"/>
      <c r="S149" s="1"/>
      <c r="T149" s="1"/>
    </row>
    <row r="150" ht="15.75" customHeight="1">
      <c r="A150" s="36"/>
      <c r="B150" s="37"/>
      <c r="C150" s="37"/>
      <c r="D150" s="37"/>
      <c r="E150" s="37"/>
      <c r="F150" s="37"/>
      <c r="G150" s="1"/>
      <c r="H150" s="1"/>
      <c r="I150" s="1"/>
      <c r="J150" s="1"/>
      <c r="K150" s="1"/>
      <c r="L150" s="1"/>
      <c r="M150" s="1"/>
      <c r="N150" s="1"/>
      <c r="O150" s="1"/>
      <c r="P150" s="1"/>
      <c r="Q150" s="1"/>
      <c r="R150" s="1"/>
      <c r="S150" s="1"/>
      <c r="T150" s="1"/>
    </row>
    <row r="151" ht="15.75" customHeight="1">
      <c r="A151" s="36"/>
      <c r="B151" s="37"/>
      <c r="C151" s="37"/>
      <c r="D151" s="37"/>
      <c r="E151" s="37"/>
      <c r="F151" s="37"/>
      <c r="G151" s="1"/>
      <c r="H151" s="1"/>
      <c r="I151" s="1"/>
      <c r="J151" s="1"/>
      <c r="K151" s="1"/>
      <c r="L151" s="1"/>
      <c r="M151" s="1"/>
      <c r="N151" s="1"/>
      <c r="O151" s="1"/>
      <c r="P151" s="1"/>
      <c r="Q151" s="1"/>
      <c r="R151" s="1"/>
      <c r="S151" s="1"/>
      <c r="T151" s="1"/>
    </row>
    <row r="152" ht="15.75" customHeight="1">
      <c r="A152" s="36"/>
      <c r="B152" s="37"/>
      <c r="C152" s="37"/>
      <c r="D152" s="37"/>
      <c r="E152" s="37"/>
      <c r="F152" s="37"/>
      <c r="G152" s="1"/>
      <c r="H152" s="1"/>
      <c r="I152" s="1"/>
      <c r="J152" s="1"/>
      <c r="K152" s="1"/>
      <c r="L152" s="1"/>
      <c r="M152" s="1"/>
      <c r="N152" s="1"/>
      <c r="O152" s="1"/>
      <c r="P152" s="1"/>
      <c r="Q152" s="1"/>
      <c r="R152" s="1"/>
      <c r="S152" s="1"/>
      <c r="T152" s="1"/>
    </row>
    <row r="153" ht="15.75" customHeight="1">
      <c r="A153" s="36"/>
      <c r="B153" s="37"/>
      <c r="C153" s="37"/>
      <c r="D153" s="37"/>
      <c r="E153" s="37"/>
      <c r="F153" s="37"/>
      <c r="G153" s="1"/>
      <c r="H153" s="1"/>
      <c r="I153" s="1"/>
      <c r="J153" s="1"/>
      <c r="K153" s="1"/>
      <c r="L153" s="1"/>
      <c r="M153" s="1"/>
      <c r="N153" s="1"/>
      <c r="O153" s="1"/>
      <c r="P153" s="1"/>
      <c r="Q153" s="1"/>
      <c r="R153" s="1"/>
      <c r="S153" s="1"/>
      <c r="T153" s="1"/>
    </row>
    <row r="154" ht="15.75" customHeight="1">
      <c r="A154" s="36"/>
      <c r="B154" s="37"/>
      <c r="C154" s="37"/>
      <c r="D154" s="37"/>
      <c r="E154" s="37"/>
      <c r="F154" s="37"/>
      <c r="G154" s="1"/>
      <c r="H154" s="1"/>
      <c r="I154" s="1"/>
      <c r="J154" s="1"/>
      <c r="K154" s="1"/>
      <c r="L154" s="1"/>
      <c r="M154" s="1"/>
      <c r="N154" s="1"/>
      <c r="O154" s="1"/>
      <c r="P154" s="1"/>
      <c r="Q154" s="1"/>
      <c r="R154" s="1"/>
      <c r="S154" s="1"/>
      <c r="T154" s="1"/>
    </row>
    <row r="155" ht="15.75" customHeight="1">
      <c r="A155" s="36"/>
      <c r="B155" s="37"/>
      <c r="C155" s="37"/>
      <c r="D155" s="37"/>
      <c r="E155" s="37"/>
      <c r="F155" s="37"/>
      <c r="G155" s="1"/>
      <c r="H155" s="1"/>
      <c r="I155" s="1"/>
      <c r="J155" s="1"/>
      <c r="K155" s="1"/>
      <c r="L155" s="1"/>
      <c r="M155" s="1"/>
      <c r="N155" s="1"/>
      <c r="O155" s="1"/>
      <c r="P155" s="1"/>
      <c r="Q155" s="1"/>
      <c r="R155" s="1"/>
      <c r="S155" s="1"/>
      <c r="T155" s="1"/>
    </row>
    <row r="156" ht="15.75" customHeight="1">
      <c r="A156" s="36"/>
      <c r="B156" s="37"/>
      <c r="C156" s="37"/>
      <c r="D156" s="37"/>
      <c r="E156" s="37"/>
      <c r="F156" s="37"/>
      <c r="G156" s="1"/>
      <c r="H156" s="1"/>
      <c r="I156" s="1"/>
      <c r="J156" s="1"/>
      <c r="K156" s="1"/>
      <c r="L156" s="1"/>
      <c r="M156" s="1"/>
      <c r="N156" s="1"/>
      <c r="O156" s="1"/>
      <c r="P156" s="1"/>
      <c r="Q156" s="1"/>
      <c r="R156" s="1"/>
      <c r="S156" s="1"/>
      <c r="T156" s="1"/>
    </row>
    <row r="157" ht="15.75" customHeight="1">
      <c r="A157" s="36"/>
      <c r="B157" s="37"/>
      <c r="C157" s="37"/>
      <c r="D157" s="37"/>
      <c r="E157" s="37"/>
      <c r="F157" s="37"/>
      <c r="G157" s="1"/>
      <c r="H157" s="1"/>
      <c r="I157" s="1"/>
      <c r="J157" s="1"/>
      <c r="K157" s="1"/>
      <c r="L157" s="1"/>
      <c r="M157" s="1"/>
      <c r="N157" s="1"/>
      <c r="O157" s="1"/>
      <c r="P157" s="1"/>
      <c r="Q157" s="1"/>
      <c r="R157" s="1"/>
      <c r="S157" s="1"/>
      <c r="T157" s="1"/>
    </row>
    <row r="158" ht="15.75" customHeight="1">
      <c r="A158" s="36"/>
      <c r="B158" s="37"/>
      <c r="C158" s="37"/>
      <c r="D158" s="37"/>
      <c r="E158" s="37"/>
      <c r="F158" s="37"/>
      <c r="G158" s="1"/>
      <c r="H158" s="1"/>
      <c r="I158" s="1"/>
      <c r="J158" s="1"/>
      <c r="K158" s="1"/>
      <c r="L158" s="1"/>
      <c r="M158" s="1"/>
      <c r="N158" s="1"/>
      <c r="O158" s="1"/>
      <c r="P158" s="1"/>
      <c r="Q158" s="1"/>
      <c r="R158" s="1"/>
      <c r="S158" s="1"/>
      <c r="T158" s="1"/>
    </row>
    <row r="159" ht="15.75" customHeight="1">
      <c r="A159" s="36"/>
      <c r="B159" s="37"/>
      <c r="C159" s="37"/>
      <c r="D159" s="37"/>
      <c r="E159" s="37"/>
      <c r="F159" s="37"/>
      <c r="G159" s="1"/>
      <c r="H159" s="1"/>
      <c r="I159" s="1"/>
      <c r="J159" s="1"/>
      <c r="K159" s="1"/>
      <c r="L159" s="1"/>
      <c r="M159" s="1"/>
      <c r="N159" s="1"/>
      <c r="O159" s="1"/>
      <c r="P159" s="1"/>
      <c r="Q159" s="1"/>
      <c r="R159" s="1"/>
      <c r="S159" s="1"/>
      <c r="T159" s="1"/>
    </row>
    <row r="160" ht="15.75" customHeight="1">
      <c r="A160" s="36"/>
      <c r="B160" s="37"/>
      <c r="C160" s="37"/>
      <c r="D160" s="37"/>
      <c r="E160" s="37"/>
      <c r="F160" s="37"/>
      <c r="G160" s="1"/>
      <c r="H160" s="1"/>
      <c r="I160" s="1"/>
      <c r="J160" s="1"/>
      <c r="K160" s="1"/>
      <c r="L160" s="1"/>
      <c r="M160" s="1"/>
      <c r="N160" s="1"/>
      <c r="O160" s="1"/>
      <c r="P160" s="1"/>
      <c r="Q160" s="1"/>
      <c r="R160" s="1"/>
      <c r="S160" s="1"/>
      <c r="T160" s="1"/>
    </row>
    <row r="161" ht="15.75" customHeight="1">
      <c r="A161" s="36"/>
      <c r="B161" s="37"/>
      <c r="C161" s="37"/>
      <c r="D161" s="37"/>
      <c r="E161" s="37"/>
      <c r="F161" s="37"/>
      <c r="G161" s="1"/>
      <c r="H161" s="1"/>
      <c r="I161" s="1"/>
      <c r="J161" s="1"/>
      <c r="K161" s="1"/>
      <c r="L161" s="1"/>
      <c r="M161" s="1"/>
      <c r="N161" s="1"/>
      <c r="O161" s="1"/>
      <c r="P161" s="1"/>
      <c r="Q161" s="1"/>
      <c r="R161" s="1"/>
      <c r="S161" s="1"/>
      <c r="T161" s="1"/>
    </row>
    <row r="162" ht="15.75" customHeight="1">
      <c r="A162" s="36"/>
      <c r="B162" s="37"/>
      <c r="C162" s="37"/>
      <c r="D162" s="37"/>
      <c r="E162" s="37"/>
      <c r="F162" s="37"/>
      <c r="G162" s="1"/>
      <c r="H162" s="1"/>
      <c r="I162" s="1"/>
      <c r="J162" s="1"/>
      <c r="K162" s="1"/>
      <c r="L162" s="1"/>
      <c r="M162" s="1"/>
      <c r="N162" s="1"/>
      <c r="O162" s="1"/>
      <c r="P162" s="1"/>
      <c r="Q162" s="1"/>
      <c r="R162" s="1"/>
      <c r="S162" s="1"/>
      <c r="T162" s="1"/>
    </row>
    <row r="163" ht="15.75" customHeight="1">
      <c r="A163" s="36"/>
      <c r="B163" s="37"/>
      <c r="C163" s="37"/>
      <c r="D163" s="37"/>
      <c r="E163" s="37"/>
      <c r="F163" s="37"/>
      <c r="G163" s="1"/>
      <c r="H163" s="1"/>
      <c r="I163" s="1"/>
      <c r="J163" s="1"/>
      <c r="K163" s="1"/>
      <c r="L163" s="1"/>
      <c r="M163" s="1"/>
      <c r="N163" s="1"/>
      <c r="O163" s="1"/>
      <c r="P163" s="1"/>
      <c r="Q163" s="1"/>
      <c r="R163" s="1"/>
      <c r="S163" s="1"/>
      <c r="T163" s="1"/>
    </row>
    <row r="164" ht="15.75" customHeight="1">
      <c r="A164" s="36"/>
      <c r="B164" s="37"/>
      <c r="C164" s="37"/>
      <c r="D164" s="37"/>
      <c r="E164" s="37"/>
      <c r="F164" s="37"/>
      <c r="G164" s="1"/>
      <c r="H164" s="1"/>
      <c r="I164" s="1"/>
      <c r="J164" s="1"/>
      <c r="K164" s="1"/>
      <c r="L164" s="1"/>
      <c r="M164" s="1"/>
      <c r="N164" s="1"/>
      <c r="O164" s="1"/>
      <c r="P164" s="1"/>
      <c r="Q164" s="1"/>
      <c r="R164" s="1"/>
      <c r="S164" s="1"/>
      <c r="T164" s="1"/>
    </row>
    <row r="165" ht="15.75" customHeight="1">
      <c r="A165" s="36"/>
      <c r="B165" s="37"/>
      <c r="C165" s="37"/>
      <c r="D165" s="37"/>
      <c r="E165" s="37"/>
      <c r="F165" s="37"/>
      <c r="G165" s="1"/>
      <c r="H165" s="1"/>
      <c r="I165" s="1"/>
      <c r="J165" s="1"/>
      <c r="K165" s="1"/>
      <c r="L165" s="1"/>
      <c r="M165" s="1"/>
      <c r="N165" s="1"/>
      <c r="O165" s="1"/>
      <c r="P165" s="1"/>
      <c r="Q165" s="1"/>
      <c r="R165" s="1"/>
      <c r="S165" s="1"/>
      <c r="T165" s="1"/>
    </row>
    <row r="166" ht="15.75" customHeight="1">
      <c r="A166" s="36"/>
      <c r="B166" s="37"/>
      <c r="C166" s="37"/>
      <c r="D166" s="37"/>
      <c r="E166" s="37"/>
      <c r="F166" s="37"/>
      <c r="G166" s="1"/>
      <c r="H166" s="1"/>
      <c r="I166" s="1"/>
      <c r="J166" s="1"/>
      <c r="K166" s="1"/>
      <c r="L166" s="1"/>
      <c r="M166" s="1"/>
      <c r="N166" s="1"/>
      <c r="O166" s="1"/>
      <c r="P166" s="1"/>
      <c r="Q166" s="1"/>
      <c r="R166" s="1"/>
      <c r="S166" s="1"/>
      <c r="T166" s="1"/>
    </row>
    <row r="167" ht="15.75" customHeight="1">
      <c r="A167" s="36"/>
      <c r="B167" s="37"/>
      <c r="C167" s="37"/>
      <c r="D167" s="37"/>
      <c r="E167" s="37"/>
      <c r="F167" s="37"/>
      <c r="G167" s="1"/>
      <c r="H167" s="1"/>
      <c r="I167" s="1"/>
      <c r="J167" s="1"/>
      <c r="K167" s="1"/>
      <c r="L167" s="1"/>
      <c r="M167" s="1"/>
      <c r="N167" s="1"/>
      <c r="O167" s="1"/>
      <c r="P167" s="1"/>
      <c r="Q167" s="1"/>
      <c r="R167" s="1"/>
      <c r="S167" s="1"/>
      <c r="T167" s="1"/>
    </row>
    <row r="168" ht="15.75" customHeight="1">
      <c r="A168" s="36"/>
      <c r="B168" s="37"/>
      <c r="C168" s="37"/>
      <c r="D168" s="37"/>
      <c r="E168" s="37"/>
      <c r="F168" s="37"/>
      <c r="G168" s="1"/>
      <c r="H168" s="1"/>
      <c r="I168" s="1"/>
      <c r="J168" s="1"/>
      <c r="K168" s="1"/>
      <c r="L168" s="1"/>
      <c r="M168" s="1"/>
      <c r="N168" s="1"/>
      <c r="O168" s="1"/>
      <c r="P168" s="1"/>
      <c r="Q168" s="1"/>
      <c r="R168" s="1"/>
      <c r="S168" s="1"/>
      <c r="T168" s="1"/>
    </row>
    <row r="169" ht="15.75" customHeight="1">
      <c r="A169" s="36"/>
      <c r="B169" s="37"/>
      <c r="C169" s="37"/>
      <c r="D169" s="37"/>
      <c r="E169" s="37"/>
      <c r="F169" s="37"/>
      <c r="G169" s="1"/>
      <c r="H169" s="1"/>
      <c r="I169" s="1"/>
      <c r="J169" s="1"/>
      <c r="K169" s="1"/>
      <c r="L169" s="1"/>
      <c r="M169" s="1"/>
      <c r="N169" s="1"/>
      <c r="O169" s="1"/>
      <c r="P169" s="1"/>
      <c r="Q169" s="1"/>
      <c r="R169" s="1"/>
      <c r="S169" s="1"/>
      <c r="T169" s="1"/>
    </row>
    <row r="170" ht="15.75" customHeight="1">
      <c r="A170" s="36"/>
      <c r="B170" s="37"/>
      <c r="C170" s="37"/>
      <c r="D170" s="37"/>
      <c r="E170" s="37"/>
      <c r="F170" s="37"/>
      <c r="G170" s="1"/>
      <c r="H170" s="1"/>
      <c r="I170" s="1"/>
      <c r="J170" s="1"/>
      <c r="K170" s="1"/>
      <c r="L170" s="1"/>
      <c r="M170" s="1"/>
      <c r="N170" s="1"/>
      <c r="O170" s="1"/>
      <c r="P170" s="1"/>
      <c r="Q170" s="1"/>
      <c r="R170" s="1"/>
      <c r="S170" s="1"/>
      <c r="T170" s="1"/>
    </row>
    <row r="171" ht="15.75" customHeight="1">
      <c r="A171" s="36"/>
      <c r="B171" s="37"/>
      <c r="C171" s="37"/>
      <c r="D171" s="37"/>
      <c r="E171" s="37"/>
      <c r="F171" s="37"/>
      <c r="G171" s="1"/>
      <c r="H171" s="1"/>
      <c r="I171" s="1"/>
      <c r="J171" s="1"/>
      <c r="K171" s="1"/>
      <c r="L171" s="1"/>
      <c r="M171" s="1"/>
      <c r="N171" s="1"/>
      <c r="O171" s="1"/>
      <c r="P171" s="1"/>
      <c r="Q171" s="1"/>
      <c r="R171" s="1"/>
      <c r="S171" s="1"/>
      <c r="T171" s="1"/>
    </row>
    <row r="172" ht="15.75" customHeight="1">
      <c r="A172" s="36"/>
      <c r="B172" s="37"/>
      <c r="C172" s="37"/>
      <c r="D172" s="37"/>
      <c r="E172" s="37"/>
      <c r="F172" s="37"/>
      <c r="G172" s="1"/>
      <c r="H172" s="1"/>
      <c r="I172" s="1"/>
      <c r="J172" s="1"/>
      <c r="K172" s="1"/>
      <c r="L172" s="1"/>
      <c r="M172" s="1"/>
      <c r="N172" s="1"/>
      <c r="O172" s="1"/>
      <c r="P172" s="1"/>
      <c r="Q172" s="1"/>
      <c r="R172" s="1"/>
      <c r="S172" s="1"/>
      <c r="T172" s="1"/>
    </row>
    <row r="173" ht="15.75" customHeight="1">
      <c r="A173" s="36"/>
      <c r="B173" s="37"/>
      <c r="C173" s="37"/>
      <c r="D173" s="37"/>
      <c r="E173" s="37"/>
      <c r="F173" s="37"/>
      <c r="G173" s="1"/>
      <c r="H173" s="1"/>
      <c r="I173" s="1"/>
      <c r="J173" s="1"/>
      <c r="K173" s="1"/>
      <c r="L173" s="1"/>
      <c r="M173" s="1"/>
      <c r="N173" s="1"/>
      <c r="O173" s="1"/>
      <c r="P173" s="1"/>
      <c r="Q173" s="1"/>
      <c r="R173" s="1"/>
      <c r="S173" s="1"/>
      <c r="T173" s="1"/>
    </row>
    <row r="174" ht="15.75" customHeight="1">
      <c r="A174" s="36"/>
      <c r="B174" s="37"/>
      <c r="C174" s="37"/>
      <c r="D174" s="37"/>
      <c r="E174" s="37"/>
      <c r="F174" s="37"/>
      <c r="G174" s="1"/>
      <c r="H174" s="1"/>
      <c r="I174" s="1"/>
      <c r="J174" s="1"/>
      <c r="K174" s="1"/>
      <c r="L174" s="1"/>
      <c r="M174" s="1"/>
      <c r="N174" s="1"/>
      <c r="O174" s="1"/>
      <c r="P174" s="1"/>
      <c r="Q174" s="1"/>
      <c r="R174" s="1"/>
      <c r="S174" s="1"/>
      <c r="T174" s="1"/>
    </row>
    <row r="175" ht="15.75" customHeight="1">
      <c r="A175" s="36"/>
      <c r="B175" s="37"/>
      <c r="C175" s="37"/>
      <c r="D175" s="37"/>
      <c r="E175" s="37"/>
      <c r="F175" s="37"/>
      <c r="G175" s="1"/>
      <c r="H175" s="1"/>
      <c r="I175" s="1"/>
      <c r="J175" s="1"/>
      <c r="K175" s="1"/>
      <c r="L175" s="1"/>
      <c r="M175" s="1"/>
      <c r="N175" s="1"/>
      <c r="O175" s="1"/>
      <c r="P175" s="1"/>
      <c r="Q175" s="1"/>
      <c r="R175" s="1"/>
      <c r="S175" s="1"/>
      <c r="T175" s="1"/>
    </row>
    <row r="176" ht="15.75" customHeight="1">
      <c r="A176" s="36"/>
      <c r="B176" s="37"/>
      <c r="C176" s="37"/>
      <c r="D176" s="37"/>
      <c r="E176" s="37"/>
      <c r="F176" s="37"/>
      <c r="G176" s="1"/>
      <c r="H176" s="1"/>
      <c r="I176" s="1"/>
      <c r="J176" s="1"/>
      <c r="K176" s="1"/>
      <c r="L176" s="1"/>
      <c r="M176" s="1"/>
      <c r="N176" s="1"/>
      <c r="O176" s="1"/>
      <c r="P176" s="1"/>
      <c r="Q176" s="1"/>
      <c r="R176" s="1"/>
      <c r="S176" s="1"/>
      <c r="T176" s="1"/>
    </row>
    <row r="177" ht="15.75" customHeight="1">
      <c r="A177" s="36"/>
      <c r="B177" s="37"/>
      <c r="C177" s="37"/>
      <c r="D177" s="37"/>
      <c r="E177" s="37"/>
      <c r="F177" s="37"/>
      <c r="G177" s="1"/>
      <c r="H177" s="1"/>
      <c r="I177" s="1"/>
      <c r="J177" s="1"/>
      <c r="K177" s="1"/>
      <c r="L177" s="1"/>
      <c r="M177" s="1"/>
      <c r="N177" s="1"/>
      <c r="O177" s="1"/>
      <c r="P177" s="1"/>
      <c r="Q177" s="1"/>
      <c r="R177" s="1"/>
      <c r="S177" s="1"/>
      <c r="T177" s="1"/>
    </row>
    <row r="178" ht="15.75" customHeight="1">
      <c r="A178" s="36"/>
      <c r="B178" s="37"/>
      <c r="C178" s="37"/>
      <c r="D178" s="37"/>
      <c r="E178" s="37"/>
      <c r="F178" s="37"/>
      <c r="G178" s="1"/>
      <c r="H178" s="1"/>
      <c r="I178" s="1"/>
      <c r="J178" s="1"/>
      <c r="K178" s="1"/>
      <c r="L178" s="1"/>
      <c r="M178" s="1"/>
      <c r="N178" s="1"/>
      <c r="O178" s="1"/>
      <c r="P178" s="1"/>
      <c r="Q178" s="1"/>
      <c r="R178" s="1"/>
      <c r="S178" s="1"/>
      <c r="T178" s="1"/>
    </row>
    <row r="179" ht="15.75" customHeight="1">
      <c r="A179" s="36"/>
      <c r="B179" s="37"/>
      <c r="C179" s="37"/>
      <c r="D179" s="37"/>
      <c r="E179" s="37"/>
      <c r="F179" s="37"/>
      <c r="G179" s="1"/>
      <c r="H179" s="1"/>
      <c r="I179" s="1"/>
      <c r="J179" s="1"/>
      <c r="K179" s="1"/>
      <c r="L179" s="1"/>
      <c r="M179" s="1"/>
      <c r="N179" s="1"/>
      <c r="O179" s="1"/>
      <c r="P179" s="1"/>
      <c r="Q179" s="1"/>
      <c r="R179" s="1"/>
      <c r="S179" s="1"/>
      <c r="T179" s="1"/>
    </row>
    <row r="180" ht="15.75" customHeight="1">
      <c r="A180" s="36"/>
      <c r="B180" s="37"/>
      <c r="C180" s="37"/>
      <c r="D180" s="37"/>
      <c r="E180" s="37"/>
      <c r="F180" s="37"/>
      <c r="G180" s="1"/>
      <c r="H180" s="1"/>
      <c r="I180" s="1"/>
      <c r="J180" s="1"/>
      <c r="K180" s="1"/>
      <c r="L180" s="1"/>
      <c r="M180" s="1"/>
      <c r="N180" s="1"/>
      <c r="O180" s="1"/>
      <c r="P180" s="1"/>
      <c r="Q180" s="1"/>
      <c r="R180" s="1"/>
      <c r="S180" s="1"/>
      <c r="T180" s="1"/>
    </row>
    <row r="181" ht="15.75" customHeight="1">
      <c r="A181" s="36"/>
      <c r="B181" s="37"/>
      <c r="C181" s="37"/>
      <c r="D181" s="37"/>
      <c r="E181" s="37"/>
      <c r="F181" s="37"/>
      <c r="G181" s="1"/>
      <c r="H181" s="1"/>
      <c r="I181" s="1"/>
      <c r="J181" s="1"/>
      <c r="K181" s="1"/>
      <c r="L181" s="1"/>
      <c r="M181" s="1"/>
      <c r="N181" s="1"/>
      <c r="O181" s="1"/>
      <c r="P181" s="1"/>
      <c r="Q181" s="1"/>
      <c r="R181" s="1"/>
      <c r="S181" s="1"/>
      <c r="T181" s="1"/>
    </row>
    <row r="182" ht="15.75" customHeight="1">
      <c r="A182" s="36"/>
      <c r="B182" s="37"/>
      <c r="C182" s="37"/>
      <c r="D182" s="37"/>
      <c r="E182" s="37"/>
      <c r="F182" s="37"/>
      <c r="G182" s="1"/>
      <c r="H182" s="1"/>
      <c r="I182" s="1"/>
      <c r="J182" s="1"/>
      <c r="K182" s="1"/>
      <c r="L182" s="1"/>
      <c r="M182" s="1"/>
      <c r="N182" s="1"/>
      <c r="O182" s="1"/>
      <c r="P182" s="1"/>
      <c r="Q182" s="1"/>
      <c r="R182" s="1"/>
      <c r="S182" s="1"/>
      <c r="T182" s="1"/>
    </row>
    <row r="183" ht="15.75" customHeight="1">
      <c r="A183" s="36"/>
      <c r="B183" s="37"/>
      <c r="C183" s="37"/>
      <c r="D183" s="37"/>
      <c r="E183" s="37"/>
      <c r="F183" s="37"/>
      <c r="G183" s="1"/>
      <c r="H183" s="1"/>
      <c r="I183" s="1"/>
      <c r="J183" s="1"/>
      <c r="K183" s="1"/>
      <c r="L183" s="1"/>
      <c r="M183" s="1"/>
      <c r="N183" s="1"/>
      <c r="O183" s="1"/>
      <c r="P183" s="1"/>
      <c r="Q183" s="1"/>
      <c r="R183" s="1"/>
      <c r="S183" s="1"/>
      <c r="T183" s="1"/>
    </row>
    <row r="184" ht="15.75" customHeight="1">
      <c r="A184" s="36"/>
      <c r="B184" s="37"/>
      <c r="C184" s="37"/>
      <c r="D184" s="37"/>
      <c r="E184" s="37"/>
      <c r="F184" s="37"/>
      <c r="G184" s="1"/>
      <c r="H184" s="1"/>
      <c r="I184" s="1"/>
      <c r="J184" s="1"/>
      <c r="K184" s="1"/>
      <c r="L184" s="1"/>
      <c r="M184" s="1"/>
      <c r="N184" s="1"/>
      <c r="O184" s="1"/>
      <c r="P184" s="1"/>
      <c r="Q184" s="1"/>
      <c r="R184" s="1"/>
      <c r="S184" s="1"/>
      <c r="T184" s="1"/>
    </row>
    <row r="185" ht="15.75" customHeight="1">
      <c r="A185" s="36"/>
      <c r="B185" s="37"/>
      <c r="C185" s="37"/>
      <c r="D185" s="37"/>
      <c r="E185" s="37"/>
      <c r="F185" s="37"/>
      <c r="G185" s="1"/>
      <c r="H185" s="1"/>
      <c r="I185" s="1"/>
      <c r="J185" s="1"/>
      <c r="K185" s="1"/>
      <c r="L185" s="1"/>
      <c r="M185" s="1"/>
      <c r="N185" s="1"/>
      <c r="O185" s="1"/>
      <c r="P185" s="1"/>
      <c r="Q185" s="1"/>
      <c r="R185" s="1"/>
      <c r="S185" s="1"/>
      <c r="T185" s="1"/>
    </row>
    <row r="186" ht="15.75" customHeight="1">
      <c r="A186" s="36"/>
      <c r="B186" s="37"/>
      <c r="C186" s="37"/>
      <c r="D186" s="37"/>
      <c r="E186" s="37"/>
      <c r="F186" s="37"/>
      <c r="G186" s="1"/>
      <c r="H186" s="1"/>
      <c r="I186" s="1"/>
      <c r="J186" s="1"/>
      <c r="K186" s="1"/>
      <c r="L186" s="1"/>
      <c r="M186" s="1"/>
      <c r="N186" s="1"/>
      <c r="O186" s="1"/>
      <c r="P186" s="1"/>
      <c r="Q186" s="1"/>
      <c r="R186" s="1"/>
      <c r="S186" s="1"/>
      <c r="T186" s="1"/>
    </row>
    <row r="187" ht="15.75" customHeight="1">
      <c r="A187" s="36"/>
      <c r="B187" s="37"/>
      <c r="C187" s="37"/>
      <c r="D187" s="37"/>
      <c r="E187" s="37"/>
      <c r="F187" s="37"/>
      <c r="G187" s="1"/>
      <c r="H187" s="1"/>
      <c r="I187" s="1"/>
      <c r="J187" s="1"/>
      <c r="K187" s="1"/>
      <c r="L187" s="1"/>
      <c r="M187" s="1"/>
      <c r="N187" s="1"/>
      <c r="O187" s="1"/>
      <c r="P187" s="1"/>
      <c r="Q187" s="1"/>
      <c r="R187" s="1"/>
      <c r="S187" s="1"/>
      <c r="T187" s="1"/>
    </row>
    <row r="188" ht="15.75" customHeight="1">
      <c r="A188" s="36"/>
      <c r="B188" s="37"/>
      <c r="C188" s="37"/>
      <c r="D188" s="37"/>
      <c r="E188" s="37"/>
      <c r="F188" s="37"/>
      <c r="G188" s="1"/>
      <c r="H188" s="1"/>
      <c r="I188" s="1"/>
      <c r="J188" s="1"/>
      <c r="K188" s="1"/>
      <c r="L188" s="1"/>
      <c r="M188" s="1"/>
      <c r="N188" s="1"/>
      <c r="O188" s="1"/>
      <c r="P188" s="1"/>
      <c r="Q188" s="1"/>
      <c r="R188" s="1"/>
      <c r="S188" s="1"/>
      <c r="T188" s="1"/>
    </row>
    <row r="189" ht="15.75" customHeight="1">
      <c r="A189" s="36"/>
      <c r="B189" s="37"/>
      <c r="C189" s="37"/>
      <c r="D189" s="37"/>
      <c r="E189" s="37"/>
      <c r="F189" s="37"/>
      <c r="G189" s="1"/>
      <c r="H189" s="1"/>
      <c r="I189" s="1"/>
      <c r="J189" s="1"/>
      <c r="K189" s="1"/>
      <c r="L189" s="1"/>
      <c r="M189" s="1"/>
      <c r="N189" s="1"/>
      <c r="O189" s="1"/>
      <c r="P189" s="1"/>
      <c r="Q189" s="1"/>
      <c r="R189" s="1"/>
      <c r="S189" s="1"/>
      <c r="T189" s="1"/>
    </row>
    <row r="190" ht="15.75" customHeight="1">
      <c r="A190" s="36"/>
      <c r="B190" s="37"/>
      <c r="C190" s="37"/>
      <c r="D190" s="37"/>
      <c r="E190" s="37"/>
      <c r="F190" s="37"/>
      <c r="G190" s="1"/>
      <c r="H190" s="1"/>
      <c r="I190" s="1"/>
      <c r="J190" s="1"/>
      <c r="K190" s="1"/>
      <c r="L190" s="1"/>
      <c r="M190" s="1"/>
      <c r="N190" s="1"/>
      <c r="O190" s="1"/>
      <c r="P190" s="1"/>
      <c r="Q190" s="1"/>
      <c r="R190" s="1"/>
      <c r="S190" s="1"/>
      <c r="T190" s="1"/>
    </row>
    <row r="191" ht="15.75" customHeight="1">
      <c r="A191" s="36"/>
      <c r="B191" s="37"/>
      <c r="C191" s="37"/>
      <c r="D191" s="37"/>
      <c r="E191" s="37"/>
      <c r="F191" s="37"/>
      <c r="G191" s="1"/>
      <c r="H191" s="1"/>
      <c r="I191" s="1"/>
      <c r="J191" s="1"/>
      <c r="K191" s="1"/>
      <c r="L191" s="1"/>
      <c r="M191" s="1"/>
      <c r="N191" s="1"/>
      <c r="O191" s="1"/>
      <c r="P191" s="1"/>
      <c r="Q191" s="1"/>
      <c r="R191" s="1"/>
      <c r="S191" s="1"/>
      <c r="T191" s="1"/>
    </row>
    <row r="192" ht="15.75" customHeight="1">
      <c r="A192" s="36"/>
      <c r="B192" s="37"/>
      <c r="C192" s="37"/>
      <c r="D192" s="37"/>
      <c r="E192" s="37"/>
      <c r="F192" s="37"/>
      <c r="G192" s="1"/>
      <c r="H192" s="1"/>
      <c r="I192" s="1"/>
      <c r="J192" s="1"/>
      <c r="K192" s="1"/>
      <c r="L192" s="1"/>
      <c r="M192" s="1"/>
      <c r="N192" s="1"/>
      <c r="O192" s="1"/>
      <c r="P192" s="1"/>
      <c r="Q192" s="1"/>
      <c r="R192" s="1"/>
      <c r="S192" s="1"/>
      <c r="T192" s="1"/>
    </row>
    <row r="193" ht="15.75" customHeight="1">
      <c r="A193" s="36"/>
      <c r="B193" s="37"/>
      <c r="C193" s="37"/>
      <c r="D193" s="37"/>
      <c r="E193" s="37"/>
      <c r="F193" s="37"/>
      <c r="G193" s="1"/>
      <c r="H193" s="1"/>
      <c r="I193" s="1"/>
      <c r="J193" s="1"/>
      <c r="K193" s="1"/>
      <c r="L193" s="1"/>
      <c r="M193" s="1"/>
      <c r="N193" s="1"/>
      <c r="O193" s="1"/>
      <c r="P193" s="1"/>
      <c r="Q193" s="1"/>
      <c r="R193" s="1"/>
      <c r="S193" s="1"/>
      <c r="T193" s="1"/>
    </row>
    <row r="194" ht="15.75" customHeight="1">
      <c r="A194" s="36"/>
      <c r="B194" s="37"/>
      <c r="C194" s="37"/>
      <c r="D194" s="37"/>
      <c r="E194" s="37"/>
      <c r="F194" s="37"/>
      <c r="G194" s="1"/>
      <c r="H194" s="1"/>
      <c r="I194" s="1"/>
      <c r="J194" s="1"/>
      <c r="K194" s="1"/>
      <c r="L194" s="1"/>
      <c r="M194" s="1"/>
      <c r="N194" s="1"/>
      <c r="O194" s="1"/>
      <c r="P194" s="1"/>
      <c r="Q194" s="1"/>
      <c r="R194" s="1"/>
      <c r="S194" s="1"/>
      <c r="T194" s="1"/>
    </row>
    <row r="195" ht="15.75" customHeight="1">
      <c r="A195" s="36"/>
      <c r="B195" s="37"/>
      <c r="C195" s="37"/>
      <c r="D195" s="37"/>
      <c r="E195" s="37"/>
      <c r="F195" s="37"/>
      <c r="G195" s="1"/>
      <c r="H195" s="1"/>
      <c r="I195" s="1"/>
      <c r="J195" s="1"/>
      <c r="K195" s="1"/>
      <c r="L195" s="1"/>
      <c r="M195" s="1"/>
      <c r="N195" s="1"/>
      <c r="O195" s="1"/>
      <c r="P195" s="1"/>
      <c r="Q195" s="1"/>
      <c r="R195" s="1"/>
      <c r="S195" s="1"/>
      <c r="T195" s="1"/>
    </row>
    <row r="196" ht="15.75" customHeight="1">
      <c r="A196" s="36"/>
      <c r="B196" s="37"/>
      <c r="C196" s="37"/>
      <c r="D196" s="37"/>
      <c r="E196" s="37"/>
      <c r="F196" s="37"/>
      <c r="G196" s="1"/>
      <c r="H196" s="1"/>
      <c r="I196" s="1"/>
      <c r="J196" s="1"/>
      <c r="K196" s="1"/>
      <c r="L196" s="1"/>
      <c r="M196" s="1"/>
      <c r="N196" s="1"/>
      <c r="O196" s="1"/>
      <c r="P196" s="1"/>
      <c r="Q196" s="1"/>
      <c r="R196" s="1"/>
      <c r="S196" s="1"/>
      <c r="T196" s="1"/>
    </row>
    <row r="197" ht="15.75" customHeight="1">
      <c r="A197" s="36"/>
      <c r="B197" s="37"/>
      <c r="C197" s="37"/>
      <c r="D197" s="37"/>
      <c r="E197" s="37"/>
      <c r="F197" s="37"/>
      <c r="G197" s="1"/>
      <c r="H197" s="1"/>
      <c r="I197" s="1"/>
      <c r="J197" s="1"/>
      <c r="K197" s="1"/>
      <c r="L197" s="1"/>
      <c r="M197" s="1"/>
      <c r="N197" s="1"/>
      <c r="O197" s="1"/>
      <c r="P197" s="1"/>
      <c r="Q197" s="1"/>
      <c r="R197" s="1"/>
      <c r="S197" s="1"/>
      <c r="T197" s="1"/>
    </row>
    <row r="198" ht="15.75" customHeight="1">
      <c r="A198" s="36"/>
      <c r="B198" s="37"/>
      <c r="C198" s="37"/>
      <c r="D198" s="37"/>
      <c r="E198" s="37"/>
      <c r="F198" s="37"/>
      <c r="G198" s="1"/>
      <c r="H198" s="1"/>
      <c r="I198" s="1"/>
      <c r="J198" s="1"/>
      <c r="K198" s="1"/>
      <c r="L198" s="1"/>
      <c r="M198" s="1"/>
      <c r="N198" s="1"/>
      <c r="O198" s="1"/>
      <c r="P198" s="1"/>
      <c r="Q198" s="1"/>
      <c r="R198" s="1"/>
      <c r="S198" s="1"/>
      <c r="T198" s="1"/>
    </row>
    <row r="199" ht="15.75" customHeight="1">
      <c r="A199" s="36"/>
      <c r="B199" s="37"/>
      <c r="C199" s="37"/>
      <c r="D199" s="37"/>
      <c r="E199" s="37"/>
      <c r="F199" s="37"/>
      <c r="G199" s="1"/>
      <c r="H199" s="1"/>
      <c r="I199" s="1"/>
      <c r="J199" s="1"/>
      <c r="K199" s="1"/>
      <c r="L199" s="1"/>
      <c r="M199" s="1"/>
      <c r="N199" s="1"/>
      <c r="O199" s="1"/>
      <c r="P199" s="1"/>
      <c r="Q199" s="1"/>
      <c r="R199" s="1"/>
      <c r="S199" s="1"/>
      <c r="T199" s="1"/>
    </row>
    <row r="200" ht="15.75" customHeight="1">
      <c r="A200" s="36"/>
      <c r="B200" s="37"/>
      <c r="C200" s="37"/>
      <c r="D200" s="37"/>
      <c r="E200" s="37"/>
      <c r="F200" s="37"/>
      <c r="G200" s="1"/>
      <c r="H200" s="1"/>
      <c r="I200" s="1"/>
      <c r="J200" s="1"/>
      <c r="K200" s="1"/>
      <c r="L200" s="1"/>
      <c r="M200" s="1"/>
      <c r="N200" s="1"/>
      <c r="O200" s="1"/>
      <c r="P200" s="1"/>
      <c r="Q200" s="1"/>
      <c r="R200" s="1"/>
      <c r="S200" s="1"/>
      <c r="T200" s="1"/>
    </row>
    <row r="201" ht="15.75" customHeight="1">
      <c r="A201" s="36"/>
      <c r="B201" s="37"/>
      <c r="C201" s="37"/>
      <c r="D201" s="37"/>
      <c r="E201" s="37"/>
      <c r="F201" s="37"/>
      <c r="G201" s="1"/>
      <c r="H201" s="1"/>
      <c r="I201" s="1"/>
      <c r="J201" s="1"/>
      <c r="K201" s="1"/>
      <c r="L201" s="1"/>
      <c r="M201" s="1"/>
      <c r="N201" s="1"/>
      <c r="O201" s="1"/>
      <c r="P201" s="1"/>
      <c r="Q201" s="1"/>
      <c r="R201" s="1"/>
      <c r="S201" s="1"/>
      <c r="T201" s="1"/>
    </row>
    <row r="202" ht="15.75" customHeight="1">
      <c r="A202" s="36"/>
      <c r="B202" s="37"/>
      <c r="C202" s="37"/>
      <c r="D202" s="37"/>
      <c r="E202" s="37"/>
      <c r="F202" s="37"/>
      <c r="G202" s="1"/>
      <c r="H202" s="1"/>
      <c r="I202" s="1"/>
      <c r="J202" s="1"/>
      <c r="K202" s="1"/>
      <c r="L202" s="1"/>
      <c r="M202" s="1"/>
      <c r="N202" s="1"/>
      <c r="O202" s="1"/>
      <c r="P202" s="1"/>
      <c r="Q202" s="1"/>
      <c r="R202" s="1"/>
      <c r="S202" s="1"/>
      <c r="T202" s="1"/>
    </row>
    <row r="203" ht="15.75" customHeight="1">
      <c r="A203" s="36"/>
      <c r="B203" s="37"/>
      <c r="C203" s="37"/>
      <c r="D203" s="37"/>
      <c r="E203" s="37"/>
      <c r="F203" s="37"/>
      <c r="G203" s="1"/>
      <c r="H203" s="1"/>
      <c r="I203" s="1"/>
      <c r="J203" s="1"/>
      <c r="K203" s="1"/>
      <c r="L203" s="1"/>
      <c r="M203" s="1"/>
      <c r="N203" s="1"/>
      <c r="O203" s="1"/>
      <c r="P203" s="1"/>
      <c r="Q203" s="1"/>
      <c r="R203" s="1"/>
      <c r="S203" s="1"/>
      <c r="T203" s="1"/>
    </row>
    <row r="204" ht="15.75" customHeight="1">
      <c r="A204" s="36"/>
      <c r="B204" s="37"/>
      <c r="C204" s="37"/>
      <c r="D204" s="37"/>
      <c r="E204" s="37"/>
      <c r="F204" s="37"/>
      <c r="G204" s="1"/>
      <c r="H204" s="1"/>
      <c r="I204" s="1"/>
      <c r="J204" s="1"/>
      <c r="K204" s="1"/>
      <c r="L204" s="1"/>
      <c r="M204" s="1"/>
      <c r="N204" s="1"/>
      <c r="O204" s="1"/>
      <c r="P204" s="1"/>
      <c r="Q204" s="1"/>
      <c r="R204" s="1"/>
      <c r="S204" s="1"/>
      <c r="T204" s="1"/>
    </row>
    <row r="205" ht="15.75" customHeight="1">
      <c r="A205" s="36"/>
      <c r="B205" s="37"/>
      <c r="C205" s="37"/>
      <c r="D205" s="37"/>
      <c r="E205" s="37"/>
      <c r="F205" s="37"/>
      <c r="G205" s="1"/>
      <c r="H205" s="1"/>
      <c r="I205" s="1"/>
      <c r="J205" s="1"/>
      <c r="K205" s="1"/>
      <c r="L205" s="1"/>
      <c r="M205" s="1"/>
      <c r="N205" s="1"/>
      <c r="O205" s="1"/>
      <c r="P205" s="1"/>
      <c r="Q205" s="1"/>
      <c r="R205" s="1"/>
      <c r="S205" s="1"/>
      <c r="T205" s="1"/>
    </row>
    <row r="206" ht="15.75" customHeight="1">
      <c r="A206" s="36"/>
      <c r="B206" s="37"/>
      <c r="C206" s="37"/>
      <c r="D206" s="37"/>
      <c r="E206" s="37"/>
      <c r="F206" s="37"/>
      <c r="G206" s="1"/>
      <c r="H206" s="1"/>
      <c r="I206" s="1"/>
      <c r="J206" s="1"/>
      <c r="K206" s="1"/>
      <c r="L206" s="1"/>
      <c r="M206" s="1"/>
      <c r="N206" s="1"/>
      <c r="O206" s="1"/>
      <c r="P206" s="1"/>
      <c r="Q206" s="1"/>
      <c r="R206" s="1"/>
      <c r="S206" s="1"/>
      <c r="T206" s="1"/>
    </row>
    <row r="207" ht="15.75" customHeight="1">
      <c r="A207" s="36"/>
      <c r="B207" s="37"/>
      <c r="C207" s="37"/>
      <c r="D207" s="37"/>
      <c r="E207" s="37"/>
      <c r="F207" s="37"/>
      <c r="G207" s="1"/>
      <c r="H207" s="1"/>
      <c r="I207" s="1"/>
      <c r="J207" s="1"/>
      <c r="K207" s="1"/>
      <c r="L207" s="1"/>
      <c r="M207" s="1"/>
      <c r="N207" s="1"/>
      <c r="O207" s="1"/>
      <c r="P207" s="1"/>
      <c r="Q207" s="1"/>
      <c r="R207" s="1"/>
      <c r="S207" s="1"/>
      <c r="T207" s="1"/>
    </row>
    <row r="208" ht="15.75" customHeight="1">
      <c r="A208" s="36"/>
      <c r="B208" s="37"/>
      <c r="C208" s="37"/>
      <c r="D208" s="37"/>
      <c r="E208" s="37"/>
      <c r="F208" s="37"/>
      <c r="G208" s="1"/>
      <c r="H208" s="1"/>
      <c r="I208" s="1"/>
      <c r="J208" s="1"/>
      <c r="K208" s="1"/>
      <c r="L208" s="1"/>
      <c r="M208" s="1"/>
      <c r="N208" s="1"/>
      <c r="O208" s="1"/>
      <c r="P208" s="1"/>
      <c r="Q208" s="1"/>
      <c r="R208" s="1"/>
      <c r="S208" s="1"/>
      <c r="T208" s="1"/>
    </row>
    <row r="209" ht="15.75" customHeight="1">
      <c r="A209" s="36"/>
      <c r="B209" s="37"/>
      <c r="C209" s="37"/>
      <c r="D209" s="37"/>
      <c r="E209" s="37"/>
      <c r="F209" s="37"/>
      <c r="G209" s="1"/>
      <c r="H209" s="1"/>
      <c r="I209" s="1"/>
      <c r="J209" s="1"/>
      <c r="K209" s="1"/>
      <c r="L209" s="1"/>
      <c r="M209" s="1"/>
      <c r="N209" s="1"/>
      <c r="O209" s="1"/>
      <c r="P209" s="1"/>
      <c r="Q209" s="1"/>
      <c r="R209" s="1"/>
      <c r="S209" s="1"/>
      <c r="T209" s="1"/>
    </row>
    <row r="210" ht="15.75" customHeight="1">
      <c r="A210" s="36"/>
      <c r="B210" s="37"/>
      <c r="C210" s="37"/>
      <c r="D210" s="37"/>
      <c r="E210" s="37"/>
      <c r="F210" s="37"/>
      <c r="G210" s="1"/>
      <c r="H210" s="1"/>
      <c r="I210" s="1"/>
      <c r="J210" s="1"/>
      <c r="K210" s="1"/>
      <c r="L210" s="1"/>
      <c r="M210" s="1"/>
      <c r="N210" s="1"/>
      <c r="O210" s="1"/>
      <c r="P210" s="1"/>
      <c r="Q210" s="1"/>
      <c r="R210" s="1"/>
      <c r="S210" s="1"/>
      <c r="T210" s="1"/>
    </row>
    <row r="211" ht="15.75" customHeight="1">
      <c r="A211" s="36"/>
      <c r="B211" s="37"/>
      <c r="C211" s="37"/>
      <c r="D211" s="37"/>
      <c r="E211" s="37"/>
      <c r="F211" s="37"/>
      <c r="G211" s="1"/>
      <c r="H211" s="1"/>
      <c r="I211" s="1"/>
      <c r="J211" s="1"/>
      <c r="K211" s="1"/>
      <c r="L211" s="1"/>
      <c r="M211" s="1"/>
      <c r="N211" s="1"/>
      <c r="O211" s="1"/>
      <c r="P211" s="1"/>
      <c r="Q211" s="1"/>
      <c r="R211" s="1"/>
      <c r="S211" s="1"/>
      <c r="T211" s="1"/>
    </row>
    <row r="212" ht="15.75" customHeight="1">
      <c r="A212" s="36"/>
      <c r="B212" s="37"/>
      <c r="C212" s="37"/>
      <c r="D212" s="37"/>
      <c r="E212" s="37"/>
      <c r="F212" s="37"/>
      <c r="G212" s="1"/>
      <c r="H212" s="1"/>
      <c r="I212" s="1"/>
      <c r="J212" s="1"/>
      <c r="K212" s="1"/>
      <c r="L212" s="1"/>
      <c r="M212" s="1"/>
      <c r="N212" s="1"/>
      <c r="O212" s="1"/>
      <c r="P212" s="1"/>
      <c r="Q212" s="1"/>
      <c r="R212" s="1"/>
      <c r="S212" s="1"/>
      <c r="T212" s="1"/>
    </row>
    <row r="213" ht="15.75" customHeight="1">
      <c r="A213" s="36"/>
      <c r="B213" s="37"/>
      <c r="C213" s="37"/>
      <c r="D213" s="37"/>
      <c r="E213" s="37"/>
      <c r="F213" s="37"/>
      <c r="G213" s="1"/>
      <c r="H213" s="1"/>
      <c r="I213" s="1"/>
      <c r="J213" s="1"/>
      <c r="K213" s="1"/>
      <c r="L213" s="1"/>
      <c r="M213" s="1"/>
      <c r="N213" s="1"/>
      <c r="O213" s="1"/>
      <c r="P213" s="1"/>
      <c r="Q213" s="1"/>
      <c r="R213" s="1"/>
      <c r="S213" s="1"/>
      <c r="T213" s="1"/>
    </row>
    <row r="214" ht="15.75" customHeight="1">
      <c r="A214" s="36"/>
      <c r="B214" s="37"/>
      <c r="C214" s="37"/>
      <c r="D214" s="37"/>
      <c r="E214" s="37"/>
      <c r="F214" s="37"/>
      <c r="G214" s="1"/>
      <c r="H214" s="1"/>
      <c r="I214" s="1"/>
      <c r="J214" s="1"/>
      <c r="K214" s="1"/>
      <c r="L214" s="1"/>
      <c r="M214" s="1"/>
      <c r="N214" s="1"/>
      <c r="O214" s="1"/>
      <c r="P214" s="1"/>
      <c r="Q214" s="1"/>
      <c r="R214" s="1"/>
      <c r="S214" s="1"/>
      <c r="T214" s="1"/>
    </row>
    <row r="215" ht="15.75" customHeight="1">
      <c r="A215" s="36"/>
      <c r="B215" s="37"/>
      <c r="C215" s="37"/>
      <c r="D215" s="37"/>
      <c r="E215" s="37"/>
      <c r="F215" s="37"/>
      <c r="G215" s="1"/>
      <c r="H215" s="1"/>
      <c r="I215" s="1"/>
      <c r="J215" s="1"/>
      <c r="K215" s="1"/>
      <c r="L215" s="1"/>
      <c r="M215" s="1"/>
      <c r="N215" s="1"/>
      <c r="O215" s="1"/>
      <c r="P215" s="1"/>
      <c r="Q215" s="1"/>
      <c r="R215" s="1"/>
      <c r="S215" s="1"/>
      <c r="T215" s="1"/>
    </row>
    <row r="216" ht="15.75" customHeight="1">
      <c r="A216" s="36"/>
      <c r="B216" s="37"/>
      <c r="C216" s="37"/>
      <c r="D216" s="37"/>
      <c r="E216" s="37"/>
      <c r="F216" s="37"/>
      <c r="G216" s="1"/>
      <c r="H216" s="1"/>
      <c r="I216" s="1"/>
      <c r="J216" s="1"/>
      <c r="K216" s="1"/>
      <c r="L216" s="1"/>
      <c r="M216" s="1"/>
      <c r="N216" s="1"/>
      <c r="O216" s="1"/>
      <c r="P216" s="1"/>
      <c r="Q216" s="1"/>
      <c r="R216" s="1"/>
      <c r="S216" s="1"/>
      <c r="T216" s="1"/>
    </row>
    <row r="217" ht="15.75" customHeight="1">
      <c r="A217" s="36"/>
      <c r="B217" s="37"/>
      <c r="C217" s="37"/>
      <c r="D217" s="37"/>
      <c r="E217" s="37"/>
      <c r="F217" s="37"/>
      <c r="G217" s="1"/>
      <c r="H217" s="1"/>
      <c r="I217" s="1"/>
      <c r="J217" s="1"/>
      <c r="K217" s="1"/>
      <c r="L217" s="1"/>
      <c r="M217" s="1"/>
      <c r="N217" s="1"/>
      <c r="O217" s="1"/>
      <c r="P217" s="1"/>
      <c r="Q217" s="1"/>
      <c r="R217" s="1"/>
      <c r="S217" s="1"/>
      <c r="T217" s="1"/>
    </row>
    <row r="218" ht="15.75" customHeight="1">
      <c r="A218" s="36"/>
      <c r="B218" s="37"/>
      <c r="C218" s="37"/>
      <c r="D218" s="37"/>
      <c r="E218" s="37"/>
      <c r="F218" s="37"/>
      <c r="G218" s="1"/>
      <c r="H218" s="1"/>
      <c r="I218" s="1"/>
      <c r="J218" s="1"/>
      <c r="K218" s="1"/>
      <c r="L218" s="1"/>
      <c r="M218" s="1"/>
      <c r="N218" s="1"/>
      <c r="O218" s="1"/>
      <c r="P218" s="1"/>
      <c r="Q218" s="1"/>
      <c r="R218" s="1"/>
      <c r="S218" s="1"/>
      <c r="T218" s="1"/>
    </row>
    <row r="219" ht="15.75" customHeight="1">
      <c r="A219" s="36"/>
      <c r="B219" s="37"/>
      <c r="C219" s="37"/>
      <c r="D219" s="37"/>
      <c r="E219" s="37"/>
      <c r="F219" s="37"/>
      <c r="G219" s="1"/>
      <c r="H219" s="1"/>
      <c r="I219" s="1"/>
      <c r="J219" s="1"/>
      <c r="K219" s="1"/>
      <c r="L219" s="1"/>
      <c r="M219" s="1"/>
      <c r="N219" s="1"/>
      <c r="O219" s="1"/>
      <c r="P219" s="1"/>
      <c r="Q219" s="1"/>
      <c r="R219" s="1"/>
      <c r="S219" s="1"/>
      <c r="T219" s="1"/>
    </row>
    <row r="220" ht="15.75" customHeight="1">
      <c r="A220" s="36"/>
      <c r="B220" s="37"/>
      <c r="C220" s="37"/>
      <c r="D220" s="37"/>
      <c r="E220" s="37"/>
      <c r="F220" s="37"/>
      <c r="G220" s="1"/>
      <c r="H220" s="1"/>
      <c r="I220" s="1"/>
      <c r="J220" s="1"/>
      <c r="K220" s="1"/>
      <c r="L220" s="1"/>
      <c r="M220" s="1"/>
      <c r="N220" s="1"/>
      <c r="O220" s="1"/>
      <c r="P220" s="1"/>
      <c r="Q220" s="1"/>
      <c r="R220" s="1"/>
      <c r="S220" s="1"/>
      <c r="T220" s="1"/>
    </row>
    <row r="221" ht="15.75" customHeight="1">
      <c r="A221" s="36"/>
      <c r="B221" s="37"/>
      <c r="C221" s="37"/>
      <c r="D221" s="37"/>
      <c r="E221" s="37"/>
      <c r="F221" s="37"/>
      <c r="G221" s="1"/>
      <c r="H221" s="1"/>
      <c r="I221" s="1"/>
      <c r="J221" s="1"/>
      <c r="K221" s="1"/>
      <c r="L221" s="1"/>
      <c r="M221" s="1"/>
      <c r="N221" s="1"/>
      <c r="O221" s="1"/>
      <c r="P221" s="1"/>
      <c r="Q221" s="1"/>
      <c r="R221" s="1"/>
      <c r="S221" s="1"/>
      <c r="T221" s="1"/>
    </row>
    <row r="222" ht="15.75" customHeight="1">
      <c r="A222" s="36"/>
      <c r="B222" s="37"/>
      <c r="C222" s="37"/>
      <c r="D222" s="37"/>
      <c r="E222" s="37"/>
      <c r="F222" s="37"/>
      <c r="G222" s="1"/>
      <c r="H222" s="1"/>
      <c r="I222" s="1"/>
      <c r="J222" s="1"/>
      <c r="K222" s="1"/>
      <c r="L222" s="1"/>
      <c r="M222" s="1"/>
      <c r="N222" s="1"/>
      <c r="O222" s="1"/>
      <c r="P222" s="1"/>
      <c r="Q222" s="1"/>
      <c r="R222" s="1"/>
      <c r="S222" s="1"/>
      <c r="T222" s="1"/>
    </row>
    <row r="223" ht="15.75" customHeight="1">
      <c r="A223" s="36"/>
      <c r="B223" s="37"/>
      <c r="C223" s="37"/>
      <c r="D223" s="37"/>
      <c r="E223" s="37"/>
      <c r="F223" s="37"/>
      <c r="G223" s="1"/>
      <c r="H223" s="1"/>
      <c r="I223" s="1"/>
      <c r="J223" s="1"/>
      <c r="K223" s="1"/>
      <c r="L223" s="1"/>
      <c r="M223" s="1"/>
      <c r="N223" s="1"/>
      <c r="O223" s="1"/>
      <c r="P223" s="1"/>
      <c r="Q223" s="1"/>
      <c r="R223" s="1"/>
      <c r="S223" s="1"/>
      <c r="T223" s="1"/>
    </row>
    <row r="224" ht="15.75" customHeight="1">
      <c r="A224" s="36"/>
      <c r="B224" s="37"/>
      <c r="C224" s="37"/>
      <c r="D224" s="37"/>
      <c r="E224" s="37"/>
      <c r="F224" s="37"/>
      <c r="G224" s="1"/>
      <c r="H224" s="1"/>
      <c r="I224" s="1"/>
      <c r="J224" s="1"/>
      <c r="K224" s="1"/>
      <c r="L224" s="1"/>
      <c r="M224" s="1"/>
      <c r="N224" s="1"/>
      <c r="O224" s="1"/>
      <c r="P224" s="1"/>
      <c r="Q224" s="1"/>
      <c r="R224" s="1"/>
      <c r="S224" s="1"/>
      <c r="T224" s="1"/>
    </row>
    <row r="225" ht="15.75" customHeight="1">
      <c r="A225" s="36"/>
      <c r="B225" s="37"/>
      <c r="C225" s="37"/>
      <c r="D225" s="37"/>
      <c r="E225" s="37"/>
      <c r="F225" s="37"/>
      <c r="G225" s="1"/>
      <c r="H225" s="1"/>
      <c r="I225" s="1"/>
      <c r="J225" s="1"/>
      <c r="K225" s="1"/>
      <c r="L225" s="1"/>
      <c r="M225" s="1"/>
      <c r="N225" s="1"/>
      <c r="O225" s="1"/>
      <c r="P225" s="1"/>
      <c r="Q225" s="1"/>
      <c r="R225" s="1"/>
      <c r="S225" s="1"/>
      <c r="T225" s="1"/>
    </row>
    <row r="226" ht="15.75" customHeight="1">
      <c r="A226" s="36"/>
      <c r="B226" s="37"/>
      <c r="C226" s="37"/>
      <c r="D226" s="37"/>
      <c r="E226" s="37"/>
      <c r="F226" s="37"/>
      <c r="G226" s="1"/>
      <c r="H226" s="1"/>
      <c r="I226" s="1"/>
      <c r="J226" s="1"/>
      <c r="K226" s="1"/>
      <c r="L226" s="1"/>
      <c r="M226" s="1"/>
      <c r="N226" s="1"/>
      <c r="O226" s="1"/>
      <c r="P226" s="1"/>
      <c r="Q226" s="1"/>
      <c r="R226" s="1"/>
      <c r="S226" s="1"/>
      <c r="T226" s="1"/>
    </row>
    <row r="227" ht="15.75" customHeight="1">
      <c r="A227" s="36"/>
      <c r="B227" s="37"/>
      <c r="C227" s="37"/>
      <c r="D227" s="37"/>
      <c r="E227" s="37"/>
      <c r="F227" s="37"/>
      <c r="G227" s="1"/>
      <c r="H227" s="1"/>
      <c r="I227" s="1"/>
      <c r="J227" s="1"/>
      <c r="K227" s="1"/>
      <c r="L227" s="1"/>
      <c r="M227" s="1"/>
      <c r="N227" s="1"/>
      <c r="O227" s="1"/>
      <c r="P227" s="1"/>
      <c r="Q227" s="1"/>
      <c r="R227" s="1"/>
      <c r="S227" s="1"/>
      <c r="T227" s="1"/>
    </row>
    <row r="228" ht="15.75" customHeight="1">
      <c r="A228" s="36"/>
      <c r="B228" s="37"/>
      <c r="C228" s="37"/>
      <c r="D228" s="37"/>
      <c r="E228" s="37"/>
      <c r="F228" s="37"/>
      <c r="G228" s="1"/>
      <c r="H228" s="1"/>
      <c r="I228" s="1"/>
      <c r="J228" s="1"/>
      <c r="K228" s="1"/>
      <c r="L228" s="1"/>
      <c r="M228" s="1"/>
      <c r="N228" s="1"/>
      <c r="O228" s="1"/>
      <c r="P228" s="1"/>
      <c r="Q228" s="1"/>
      <c r="R228" s="1"/>
      <c r="S228" s="1"/>
      <c r="T228" s="1"/>
    </row>
    <row r="229" ht="15.75" customHeight="1">
      <c r="A229" s="36"/>
      <c r="B229" s="37"/>
      <c r="C229" s="37"/>
      <c r="D229" s="37"/>
      <c r="E229" s="37"/>
      <c r="F229" s="37"/>
      <c r="G229" s="1"/>
      <c r="H229" s="1"/>
      <c r="I229" s="1"/>
      <c r="J229" s="1"/>
      <c r="K229" s="1"/>
      <c r="L229" s="1"/>
      <c r="M229" s="1"/>
      <c r="N229" s="1"/>
      <c r="O229" s="1"/>
      <c r="P229" s="1"/>
      <c r="Q229" s="1"/>
      <c r="R229" s="1"/>
      <c r="S229" s="1"/>
      <c r="T229" s="1"/>
    </row>
    <row r="230" ht="15.75" customHeight="1">
      <c r="A230" s="36"/>
      <c r="B230" s="37"/>
      <c r="C230" s="37"/>
      <c r="D230" s="37"/>
      <c r="E230" s="37"/>
      <c r="F230" s="37"/>
      <c r="G230" s="1"/>
      <c r="H230" s="1"/>
      <c r="I230" s="1"/>
      <c r="J230" s="1"/>
      <c r="K230" s="1"/>
      <c r="L230" s="1"/>
      <c r="M230" s="1"/>
      <c r="N230" s="1"/>
      <c r="O230" s="1"/>
      <c r="P230" s="1"/>
      <c r="Q230" s="1"/>
      <c r="R230" s="1"/>
      <c r="S230" s="1"/>
      <c r="T230" s="1"/>
    </row>
    <row r="231" ht="15.75" customHeight="1">
      <c r="A231" s="36"/>
      <c r="B231" s="37"/>
      <c r="C231" s="37"/>
      <c r="D231" s="37"/>
      <c r="E231" s="37"/>
      <c r="F231" s="37"/>
      <c r="G231" s="1"/>
      <c r="H231" s="1"/>
      <c r="I231" s="1"/>
      <c r="J231" s="1"/>
      <c r="K231" s="1"/>
      <c r="L231" s="1"/>
      <c r="M231" s="1"/>
      <c r="N231" s="1"/>
      <c r="O231" s="1"/>
      <c r="P231" s="1"/>
      <c r="Q231" s="1"/>
      <c r="R231" s="1"/>
      <c r="S231" s="1"/>
      <c r="T231" s="1"/>
    </row>
    <row r="232" ht="15.75" customHeight="1">
      <c r="A232" s="36"/>
      <c r="B232" s="37"/>
      <c r="C232" s="37"/>
      <c r="D232" s="37"/>
      <c r="E232" s="37"/>
      <c r="F232" s="37"/>
      <c r="G232" s="1"/>
      <c r="H232" s="1"/>
      <c r="I232" s="1"/>
      <c r="J232" s="1"/>
      <c r="K232" s="1"/>
      <c r="L232" s="1"/>
      <c r="M232" s="1"/>
      <c r="N232" s="1"/>
      <c r="O232" s="1"/>
      <c r="P232" s="1"/>
      <c r="Q232" s="1"/>
      <c r="R232" s="1"/>
      <c r="S232" s="1"/>
      <c r="T232" s="1"/>
    </row>
    <row r="233" ht="15.75" customHeight="1">
      <c r="A233" s="36"/>
      <c r="B233" s="37"/>
      <c r="C233" s="37"/>
      <c r="D233" s="37"/>
      <c r="E233" s="37"/>
      <c r="F233" s="37"/>
      <c r="G233" s="1"/>
      <c r="H233" s="1"/>
      <c r="I233" s="1"/>
      <c r="J233" s="1"/>
      <c r="K233" s="1"/>
      <c r="L233" s="1"/>
      <c r="M233" s="1"/>
      <c r="N233" s="1"/>
      <c r="O233" s="1"/>
      <c r="P233" s="1"/>
      <c r="Q233" s="1"/>
      <c r="R233" s="1"/>
      <c r="S233" s="1"/>
      <c r="T233" s="1"/>
    </row>
    <row r="234" ht="15.75" customHeight="1">
      <c r="A234" s="36"/>
      <c r="B234" s="37"/>
      <c r="C234" s="37"/>
      <c r="D234" s="37"/>
      <c r="E234" s="37"/>
      <c r="F234" s="37"/>
      <c r="G234" s="1"/>
      <c r="H234" s="1"/>
      <c r="I234" s="1"/>
      <c r="J234" s="1"/>
      <c r="K234" s="1"/>
      <c r="L234" s="1"/>
      <c r="M234" s="1"/>
      <c r="N234" s="1"/>
      <c r="O234" s="1"/>
      <c r="P234" s="1"/>
      <c r="Q234" s="1"/>
      <c r="R234" s="1"/>
      <c r="S234" s="1"/>
      <c r="T234" s="1"/>
    </row>
    <row r="235" ht="15.75" customHeight="1">
      <c r="A235" s="36"/>
      <c r="B235" s="37"/>
      <c r="C235" s="37"/>
      <c r="D235" s="37"/>
      <c r="E235" s="37"/>
      <c r="F235" s="37"/>
      <c r="G235" s="1"/>
      <c r="H235" s="1"/>
      <c r="I235" s="1"/>
      <c r="J235" s="1"/>
      <c r="K235" s="1"/>
      <c r="L235" s="1"/>
      <c r="M235" s="1"/>
      <c r="N235" s="1"/>
      <c r="O235" s="1"/>
      <c r="P235" s="1"/>
      <c r="Q235" s="1"/>
      <c r="R235" s="1"/>
      <c r="S235" s="1"/>
      <c r="T235" s="1"/>
    </row>
    <row r="236" ht="15.75" customHeight="1">
      <c r="A236" s="36"/>
      <c r="B236" s="37"/>
      <c r="C236" s="37"/>
      <c r="D236" s="37"/>
      <c r="E236" s="37"/>
      <c r="F236" s="37"/>
      <c r="G236" s="1"/>
      <c r="H236" s="1"/>
      <c r="I236" s="1"/>
      <c r="J236" s="1"/>
      <c r="K236" s="1"/>
      <c r="L236" s="1"/>
      <c r="M236" s="1"/>
      <c r="N236" s="1"/>
      <c r="O236" s="1"/>
      <c r="P236" s="1"/>
      <c r="Q236" s="1"/>
      <c r="R236" s="1"/>
      <c r="S236" s="1"/>
      <c r="T236" s="1"/>
    </row>
    <row r="237" ht="15.75" customHeight="1">
      <c r="A237" s="36"/>
      <c r="B237" s="37"/>
      <c r="C237" s="37"/>
      <c r="D237" s="37"/>
      <c r="E237" s="37"/>
      <c r="F237" s="37"/>
      <c r="G237" s="1"/>
      <c r="H237" s="1"/>
      <c r="I237" s="1"/>
      <c r="J237" s="1"/>
      <c r="K237" s="1"/>
      <c r="L237" s="1"/>
      <c r="M237" s="1"/>
      <c r="N237" s="1"/>
      <c r="O237" s="1"/>
      <c r="P237" s="1"/>
      <c r="Q237" s="1"/>
      <c r="R237" s="1"/>
      <c r="S237" s="1"/>
      <c r="T237" s="1"/>
    </row>
    <row r="238" ht="15.75" customHeight="1">
      <c r="A238" s="36"/>
      <c r="B238" s="37"/>
      <c r="C238" s="37"/>
      <c r="D238" s="37"/>
      <c r="E238" s="37"/>
      <c r="F238" s="37"/>
      <c r="G238" s="1"/>
      <c r="H238" s="1"/>
      <c r="I238" s="1"/>
      <c r="J238" s="1"/>
      <c r="K238" s="1"/>
      <c r="L238" s="1"/>
      <c r="M238" s="1"/>
      <c r="N238" s="1"/>
      <c r="O238" s="1"/>
      <c r="P238" s="1"/>
      <c r="Q238" s="1"/>
      <c r="R238" s="1"/>
      <c r="S238" s="1"/>
      <c r="T238" s="1"/>
    </row>
    <row r="239" ht="15.75" customHeight="1">
      <c r="A239" s="36"/>
      <c r="B239" s="37"/>
      <c r="C239" s="37"/>
      <c r="D239" s="37"/>
      <c r="E239" s="37"/>
      <c r="F239" s="37"/>
      <c r="G239" s="1"/>
      <c r="H239" s="1"/>
      <c r="I239" s="1"/>
      <c r="J239" s="1"/>
      <c r="K239" s="1"/>
      <c r="L239" s="1"/>
      <c r="M239" s="1"/>
      <c r="N239" s="1"/>
      <c r="O239" s="1"/>
      <c r="P239" s="1"/>
      <c r="Q239" s="1"/>
      <c r="R239" s="1"/>
      <c r="S239" s="1"/>
      <c r="T239" s="1"/>
    </row>
    <row r="240" ht="15.75" customHeight="1">
      <c r="A240" s="36"/>
      <c r="B240" s="37"/>
      <c r="C240" s="37"/>
      <c r="D240" s="37"/>
      <c r="E240" s="37"/>
      <c r="F240" s="37"/>
      <c r="G240" s="1"/>
      <c r="H240" s="1"/>
      <c r="I240" s="1"/>
      <c r="J240" s="1"/>
      <c r="K240" s="1"/>
      <c r="L240" s="1"/>
      <c r="M240" s="1"/>
      <c r="N240" s="1"/>
      <c r="O240" s="1"/>
      <c r="P240" s="1"/>
      <c r="Q240" s="1"/>
      <c r="R240" s="1"/>
      <c r="S240" s="1"/>
      <c r="T240" s="1"/>
    </row>
    <row r="241" ht="15.75" customHeight="1">
      <c r="A241" s="36"/>
      <c r="B241" s="37"/>
      <c r="C241" s="37"/>
      <c r="D241" s="37"/>
      <c r="E241" s="37"/>
      <c r="F241" s="37"/>
      <c r="G241" s="1"/>
      <c r="H241" s="1"/>
      <c r="I241" s="1"/>
      <c r="J241" s="1"/>
      <c r="K241" s="1"/>
      <c r="L241" s="1"/>
      <c r="M241" s="1"/>
      <c r="N241" s="1"/>
      <c r="O241" s="1"/>
      <c r="P241" s="1"/>
      <c r="Q241" s="1"/>
      <c r="R241" s="1"/>
      <c r="S241" s="1"/>
      <c r="T241" s="1"/>
    </row>
    <row r="242" ht="15.75" customHeight="1">
      <c r="A242" s="36"/>
      <c r="B242" s="37"/>
      <c r="C242" s="37"/>
      <c r="D242" s="37"/>
      <c r="E242" s="37"/>
      <c r="F242" s="37"/>
      <c r="G242" s="1"/>
      <c r="H242" s="1"/>
      <c r="I242" s="1"/>
      <c r="J242" s="1"/>
      <c r="K242" s="1"/>
      <c r="L242" s="1"/>
      <c r="M242" s="1"/>
      <c r="N242" s="1"/>
      <c r="O242" s="1"/>
      <c r="P242" s="1"/>
      <c r="Q242" s="1"/>
      <c r="R242" s="1"/>
      <c r="S242" s="1"/>
      <c r="T242" s="1"/>
    </row>
    <row r="243" ht="15.75" customHeight="1">
      <c r="A243" s="36"/>
      <c r="B243" s="37"/>
      <c r="C243" s="37"/>
      <c r="D243" s="37"/>
      <c r="E243" s="37"/>
      <c r="F243" s="37"/>
      <c r="G243" s="1"/>
      <c r="H243" s="1"/>
      <c r="I243" s="1"/>
      <c r="J243" s="1"/>
      <c r="K243" s="1"/>
      <c r="L243" s="1"/>
      <c r="M243" s="1"/>
      <c r="N243" s="1"/>
      <c r="O243" s="1"/>
      <c r="P243" s="1"/>
      <c r="Q243" s="1"/>
      <c r="R243" s="1"/>
      <c r="S243" s="1"/>
      <c r="T243" s="1"/>
    </row>
    <row r="244" ht="15.75" customHeight="1">
      <c r="A244" s="36"/>
      <c r="B244" s="37"/>
      <c r="C244" s="37"/>
      <c r="D244" s="37"/>
      <c r="E244" s="37"/>
      <c r="F244" s="37"/>
      <c r="G244" s="1"/>
      <c r="H244" s="1"/>
      <c r="I244" s="1"/>
      <c r="J244" s="1"/>
      <c r="K244" s="1"/>
      <c r="L244" s="1"/>
      <c r="M244" s="1"/>
      <c r="N244" s="1"/>
      <c r="O244" s="1"/>
      <c r="P244" s="1"/>
      <c r="Q244" s="1"/>
      <c r="R244" s="1"/>
      <c r="S244" s="1"/>
      <c r="T244" s="1"/>
    </row>
    <row r="245" ht="15.75" customHeight="1">
      <c r="A245" s="36"/>
      <c r="B245" s="37"/>
      <c r="C245" s="37"/>
      <c r="D245" s="37"/>
      <c r="E245" s="37"/>
      <c r="F245" s="37"/>
      <c r="G245" s="1"/>
      <c r="H245" s="1"/>
      <c r="I245" s="1"/>
      <c r="J245" s="1"/>
      <c r="K245" s="1"/>
      <c r="L245" s="1"/>
      <c r="M245" s="1"/>
      <c r="N245" s="1"/>
      <c r="O245" s="1"/>
      <c r="P245" s="1"/>
      <c r="Q245" s="1"/>
      <c r="R245" s="1"/>
      <c r="S245" s="1"/>
      <c r="T245" s="1"/>
    </row>
    <row r="246" ht="15.75" customHeight="1">
      <c r="A246" s="36"/>
      <c r="B246" s="37"/>
      <c r="C246" s="37"/>
      <c r="D246" s="37"/>
      <c r="E246" s="37"/>
      <c r="F246" s="37"/>
      <c r="G246" s="1"/>
      <c r="H246" s="1"/>
      <c r="I246" s="1"/>
      <c r="J246" s="1"/>
      <c r="K246" s="1"/>
      <c r="L246" s="1"/>
      <c r="M246" s="1"/>
      <c r="N246" s="1"/>
      <c r="O246" s="1"/>
      <c r="P246" s="1"/>
      <c r="Q246" s="1"/>
      <c r="R246" s="1"/>
      <c r="S246" s="1"/>
      <c r="T246" s="1"/>
    </row>
    <row r="247" ht="15.75" customHeight="1">
      <c r="A247" s="36"/>
      <c r="B247" s="37"/>
      <c r="C247" s="37"/>
      <c r="D247" s="37"/>
      <c r="E247" s="37"/>
      <c r="F247" s="37"/>
      <c r="G247" s="1"/>
      <c r="H247" s="1"/>
      <c r="I247" s="1"/>
      <c r="J247" s="1"/>
      <c r="K247" s="1"/>
      <c r="L247" s="1"/>
      <c r="M247" s="1"/>
      <c r="N247" s="1"/>
      <c r="O247" s="1"/>
      <c r="P247" s="1"/>
      <c r="Q247" s="1"/>
      <c r="R247" s="1"/>
      <c r="S247" s="1"/>
      <c r="T247" s="1"/>
    </row>
    <row r="248" ht="15.75" customHeight="1">
      <c r="A248" s="36"/>
      <c r="B248" s="37"/>
      <c r="C248" s="37"/>
      <c r="D248" s="37"/>
      <c r="E248" s="37"/>
      <c r="F248" s="37"/>
      <c r="G248" s="1"/>
      <c r="H248" s="1"/>
      <c r="I248" s="1"/>
      <c r="J248" s="1"/>
      <c r="K248" s="1"/>
      <c r="L248" s="1"/>
      <c r="M248" s="1"/>
      <c r="N248" s="1"/>
      <c r="O248" s="1"/>
      <c r="P248" s="1"/>
      <c r="Q248" s="1"/>
      <c r="R248" s="1"/>
      <c r="S248" s="1"/>
      <c r="T248" s="1"/>
    </row>
    <row r="249" ht="15.75" customHeight="1">
      <c r="A249" s="36"/>
      <c r="B249" s="37"/>
      <c r="C249" s="37"/>
      <c r="D249" s="37"/>
      <c r="E249" s="37"/>
      <c r="F249" s="37"/>
      <c r="G249" s="1"/>
      <c r="H249" s="1"/>
      <c r="I249" s="1"/>
      <c r="J249" s="1"/>
      <c r="K249" s="1"/>
      <c r="L249" s="1"/>
      <c r="M249" s="1"/>
      <c r="N249" s="1"/>
      <c r="O249" s="1"/>
      <c r="P249" s="1"/>
      <c r="Q249" s="1"/>
      <c r="R249" s="1"/>
      <c r="S249" s="1"/>
      <c r="T249" s="1"/>
    </row>
    <row r="250" ht="15.75" customHeight="1">
      <c r="A250" s="36"/>
      <c r="B250" s="37"/>
      <c r="C250" s="37"/>
      <c r="D250" s="37"/>
      <c r="E250" s="37"/>
      <c r="F250" s="37"/>
      <c r="G250" s="1"/>
      <c r="H250" s="1"/>
      <c r="I250" s="1"/>
      <c r="J250" s="1"/>
      <c r="K250" s="1"/>
      <c r="L250" s="1"/>
      <c r="M250" s="1"/>
      <c r="N250" s="1"/>
      <c r="O250" s="1"/>
      <c r="P250" s="1"/>
      <c r="Q250" s="1"/>
      <c r="R250" s="1"/>
      <c r="S250" s="1"/>
      <c r="T250" s="1"/>
    </row>
    <row r="251" ht="15.75" customHeight="1">
      <c r="A251" s="36"/>
      <c r="B251" s="37"/>
      <c r="C251" s="37"/>
      <c r="D251" s="37"/>
      <c r="E251" s="37"/>
      <c r="F251" s="37"/>
      <c r="G251" s="1"/>
      <c r="H251" s="1"/>
      <c r="I251" s="1"/>
      <c r="J251" s="1"/>
      <c r="K251" s="1"/>
      <c r="L251" s="1"/>
      <c r="M251" s="1"/>
      <c r="N251" s="1"/>
      <c r="O251" s="1"/>
      <c r="P251" s="1"/>
      <c r="Q251" s="1"/>
      <c r="R251" s="1"/>
      <c r="S251" s="1"/>
      <c r="T251" s="1"/>
    </row>
    <row r="252" ht="15.75" customHeight="1">
      <c r="A252" s="36"/>
      <c r="B252" s="37"/>
      <c r="C252" s="37"/>
      <c r="D252" s="37"/>
      <c r="E252" s="37"/>
      <c r="F252" s="37"/>
      <c r="G252" s="1"/>
      <c r="H252" s="1"/>
      <c r="I252" s="1"/>
      <c r="J252" s="1"/>
      <c r="K252" s="1"/>
      <c r="L252" s="1"/>
      <c r="M252" s="1"/>
      <c r="N252" s="1"/>
      <c r="O252" s="1"/>
      <c r="P252" s="1"/>
      <c r="Q252" s="1"/>
      <c r="R252" s="1"/>
      <c r="S252" s="1"/>
      <c r="T252" s="1"/>
    </row>
    <row r="253" ht="15.75" customHeight="1">
      <c r="A253" s="36"/>
      <c r="B253" s="37"/>
      <c r="C253" s="37"/>
      <c r="D253" s="37"/>
      <c r="E253" s="37"/>
      <c r="F253" s="37"/>
      <c r="G253" s="1"/>
      <c r="H253" s="1"/>
      <c r="I253" s="1"/>
      <c r="J253" s="1"/>
      <c r="K253" s="1"/>
      <c r="L253" s="1"/>
      <c r="M253" s="1"/>
      <c r="N253" s="1"/>
      <c r="O253" s="1"/>
      <c r="P253" s="1"/>
      <c r="Q253" s="1"/>
      <c r="R253" s="1"/>
      <c r="S253" s="1"/>
      <c r="T253" s="1"/>
    </row>
    <row r="254" ht="15.75" customHeight="1">
      <c r="A254" s="36"/>
      <c r="B254" s="37"/>
      <c r="C254" s="37"/>
      <c r="D254" s="37"/>
      <c r="E254" s="37"/>
      <c r="F254" s="37"/>
      <c r="G254" s="1"/>
      <c r="H254" s="1"/>
      <c r="I254" s="1"/>
      <c r="J254" s="1"/>
      <c r="K254" s="1"/>
      <c r="L254" s="1"/>
      <c r="M254" s="1"/>
      <c r="N254" s="1"/>
      <c r="O254" s="1"/>
      <c r="P254" s="1"/>
      <c r="Q254" s="1"/>
      <c r="R254" s="1"/>
      <c r="S254" s="1"/>
      <c r="T254" s="1"/>
    </row>
    <row r="255" ht="15.75" customHeight="1">
      <c r="A255" s="36"/>
      <c r="B255" s="37"/>
      <c r="C255" s="37"/>
      <c r="D255" s="37"/>
      <c r="E255" s="37"/>
      <c r="F255" s="37"/>
      <c r="G255" s="1"/>
      <c r="H255" s="1"/>
      <c r="I255" s="1"/>
      <c r="J255" s="1"/>
      <c r="K255" s="1"/>
      <c r="L255" s="1"/>
      <c r="M255" s="1"/>
      <c r="N255" s="1"/>
      <c r="O255" s="1"/>
      <c r="P255" s="1"/>
      <c r="Q255" s="1"/>
      <c r="R255" s="1"/>
      <c r="S255" s="1"/>
      <c r="T255" s="1"/>
    </row>
    <row r="256" ht="15.75" customHeight="1">
      <c r="A256" s="36"/>
      <c r="B256" s="37"/>
      <c r="C256" s="37"/>
      <c r="D256" s="37"/>
      <c r="E256" s="37"/>
      <c r="F256" s="37"/>
      <c r="G256" s="1"/>
      <c r="H256" s="1"/>
      <c r="I256" s="1"/>
      <c r="J256" s="1"/>
      <c r="K256" s="1"/>
      <c r="L256" s="1"/>
      <c r="M256" s="1"/>
      <c r="N256" s="1"/>
      <c r="O256" s="1"/>
      <c r="P256" s="1"/>
      <c r="Q256" s="1"/>
      <c r="R256" s="1"/>
      <c r="S256" s="1"/>
      <c r="T256" s="1"/>
    </row>
    <row r="257" ht="15.75" customHeight="1">
      <c r="A257" s="36"/>
      <c r="B257" s="37"/>
      <c r="C257" s="37"/>
      <c r="D257" s="37"/>
      <c r="E257" s="37"/>
      <c r="F257" s="37"/>
      <c r="G257" s="1"/>
      <c r="H257" s="1"/>
      <c r="I257" s="1"/>
      <c r="J257" s="1"/>
      <c r="K257" s="1"/>
      <c r="L257" s="1"/>
      <c r="M257" s="1"/>
      <c r="N257" s="1"/>
      <c r="O257" s="1"/>
      <c r="P257" s="1"/>
      <c r="Q257" s="1"/>
      <c r="R257" s="1"/>
      <c r="S257" s="1"/>
      <c r="T257" s="1"/>
    </row>
    <row r="258" ht="15.75" customHeight="1">
      <c r="A258" s="36"/>
      <c r="B258" s="37"/>
      <c r="C258" s="37"/>
      <c r="D258" s="37"/>
      <c r="E258" s="37"/>
      <c r="F258" s="37"/>
      <c r="G258" s="1"/>
      <c r="H258" s="1"/>
      <c r="I258" s="1"/>
      <c r="J258" s="1"/>
      <c r="K258" s="1"/>
      <c r="L258" s="1"/>
      <c r="M258" s="1"/>
      <c r="N258" s="1"/>
      <c r="O258" s="1"/>
      <c r="P258" s="1"/>
      <c r="Q258" s="1"/>
      <c r="R258" s="1"/>
      <c r="S258" s="1"/>
      <c r="T258" s="1"/>
    </row>
    <row r="259" ht="15.75" customHeight="1">
      <c r="A259" s="36"/>
      <c r="B259" s="37"/>
      <c r="C259" s="37"/>
      <c r="D259" s="37"/>
      <c r="E259" s="37"/>
      <c r="F259" s="37"/>
      <c r="G259" s="1"/>
      <c r="H259" s="1"/>
      <c r="I259" s="1"/>
      <c r="J259" s="1"/>
      <c r="K259" s="1"/>
      <c r="L259" s="1"/>
      <c r="M259" s="1"/>
      <c r="N259" s="1"/>
      <c r="O259" s="1"/>
      <c r="P259" s="1"/>
      <c r="Q259" s="1"/>
      <c r="R259" s="1"/>
      <c r="S259" s="1"/>
      <c r="T259" s="1"/>
    </row>
    <row r="260" ht="15.75" customHeight="1">
      <c r="A260" s="36"/>
      <c r="B260" s="37"/>
      <c r="C260" s="37"/>
      <c r="D260" s="37"/>
      <c r="E260" s="37"/>
      <c r="F260" s="37"/>
      <c r="G260" s="1"/>
      <c r="H260" s="1"/>
      <c r="I260" s="1"/>
      <c r="J260" s="1"/>
      <c r="K260" s="1"/>
      <c r="L260" s="1"/>
      <c r="M260" s="1"/>
      <c r="N260" s="1"/>
      <c r="O260" s="1"/>
      <c r="P260" s="1"/>
      <c r="Q260" s="1"/>
      <c r="R260" s="1"/>
      <c r="S260" s="1"/>
      <c r="T260" s="1"/>
    </row>
    <row r="261" ht="15.75" customHeight="1">
      <c r="A261" s="36"/>
      <c r="B261" s="37"/>
      <c r="C261" s="37"/>
      <c r="D261" s="37"/>
      <c r="E261" s="37"/>
      <c r="F261" s="37"/>
      <c r="G261" s="1"/>
      <c r="H261" s="1"/>
      <c r="I261" s="1"/>
      <c r="J261" s="1"/>
      <c r="K261" s="1"/>
      <c r="L261" s="1"/>
      <c r="M261" s="1"/>
      <c r="N261" s="1"/>
      <c r="O261" s="1"/>
      <c r="P261" s="1"/>
      <c r="Q261" s="1"/>
      <c r="R261" s="1"/>
      <c r="S261" s="1"/>
      <c r="T261" s="1"/>
    </row>
    <row r="262" ht="15.75" customHeight="1">
      <c r="A262" s="36"/>
      <c r="B262" s="37"/>
      <c r="C262" s="37"/>
      <c r="D262" s="37"/>
      <c r="E262" s="37"/>
      <c r="F262" s="37"/>
      <c r="G262" s="1"/>
      <c r="H262" s="1"/>
      <c r="I262" s="1"/>
      <c r="J262" s="1"/>
      <c r="K262" s="1"/>
      <c r="L262" s="1"/>
      <c r="M262" s="1"/>
      <c r="N262" s="1"/>
      <c r="O262" s="1"/>
      <c r="P262" s="1"/>
      <c r="Q262" s="1"/>
      <c r="R262" s="1"/>
      <c r="S262" s="1"/>
      <c r="T262" s="1"/>
    </row>
    <row r="263" ht="15.75" customHeight="1">
      <c r="A263" s="36"/>
      <c r="B263" s="37"/>
      <c r="C263" s="37"/>
      <c r="D263" s="37"/>
      <c r="E263" s="37"/>
      <c r="F263" s="37"/>
      <c r="G263" s="1"/>
      <c r="H263" s="1"/>
      <c r="I263" s="1"/>
      <c r="J263" s="1"/>
      <c r="K263" s="1"/>
      <c r="L263" s="1"/>
      <c r="M263" s="1"/>
      <c r="N263" s="1"/>
      <c r="O263" s="1"/>
      <c r="P263" s="1"/>
      <c r="Q263" s="1"/>
      <c r="R263" s="1"/>
      <c r="S263" s="1"/>
      <c r="T263" s="1"/>
    </row>
    <row r="264" ht="15.75" customHeight="1">
      <c r="A264" s="36"/>
      <c r="B264" s="37"/>
      <c r="C264" s="37"/>
      <c r="D264" s="37"/>
      <c r="E264" s="37"/>
      <c r="F264" s="37"/>
      <c r="G264" s="1"/>
      <c r="H264" s="1"/>
      <c r="I264" s="1"/>
      <c r="J264" s="1"/>
      <c r="K264" s="1"/>
      <c r="L264" s="1"/>
      <c r="M264" s="1"/>
      <c r="N264" s="1"/>
      <c r="O264" s="1"/>
      <c r="P264" s="1"/>
      <c r="Q264" s="1"/>
      <c r="R264" s="1"/>
      <c r="S264" s="1"/>
      <c r="T264" s="1"/>
    </row>
    <row r="265" ht="15.75" customHeight="1">
      <c r="A265" s="36"/>
      <c r="B265" s="37"/>
      <c r="C265" s="37"/>
      <c r="D265" s="37"/>
      <c r="E265" s="37"/>
      <c r="F265" s="37"/>
      <c r="G265" s="1"/>
      <c r="H265" s="1"/>
      <c r="I265" s="1"/>
      <c r="J265" s="1"/>
      <c r="K265" s="1"/>
      <c r="L265" s="1"/>
      <c r="M265" s="1"/>
      <c r="N265" s="1"/>
      <c r="O265" s="1"/>
      <c r="P265" s="1"/>
      <c r="Q265" s="1"/>
      <c r="R265" s="1"/>
      <c r="S265" s="1"/>
      <c r="T265" s="1"/>
    </row>
    <row r="266" ht="15.75" customHeight="1">
      <c r="A266" s="36"/>
      <c r="B266" s="37"/>
      <c r="C266" s="37"/>
      <c r="D266" s="37"/>
      <c r="E266" s="37"/>
      <c r="F266" s="37"/>
      <c r="G266" s="1"/>
      <c r="H266" s="1"/>
      <c r="I266" s="1"/>
      <c r="J266" s="1"/>
      <c r="K266" s="1"/>
      <c r="L266" s="1"/>
      <c r="M266" s="1"/>
      <c r="N266" s="1"/>
      <c r="O266" s="1"/>
      <c r="P266" s="1"/>
      <c r="Q266" s="1"/>
      <c r="R266" s="1"/>
      <c r="S266" s="1"/>
      <c r="T266" s="1"/>
    </row>
    <row r="267" ht="15.75" customHeight="1">
      <c r="A267" s="36"/>
      <c r="B267" s="37"/>
      <c r="C267" s="37"/>
      <c r="D267" s="37"/>
      <c r="E267" s="37"/>
      <c r="F267" s="37"/>
      <c r="G267" s="1"/>
      <c r="H267" s="1"/>
      <c r="I267" s="1"/>
      <c r="J267" s="1"/>
      <c r="K267" s="1"/>
      <c r="L267" s="1"/>
      <c r="M267" s="1"/>
      <c r="N267" s="1"/>
      <c r="O267" s="1"/>
      <c r="P267" s="1"/>
      <c r="Q267" s="1"/>
      <c r="R267" s="1"/>
      <c r="S267" s="1"/>
      <c r="T267" s="1"/>
    </row>
    <row r="268" ht="15.75" customHeight="1">
      <c r="A268" s="36"/>
      <c r="B268" s="37"/>
      <c r="C268" s="37"/>
      <c r="D268" s="37"/>
      <c r="E268" s="37"/>
      <c r="F268" s="37"/>
      <c r="G268" s="1"/>
      <c r="H268" s="1"/>
      <c r="I268" s="1"/>
      <c r="J268" s="1"/>
      <c r="K268" s="1"/>
      <c r="L268" s="1"/>
      <c r="M268" s="1"/>
      <c r="N268" s="1"/>
      <c r="O268" s="1"/>
      <c r="P268" s="1"/>
      <c r="Q268" s="1"/>
      <c r="R268" s="1"/>
      <c r="S268" s="1"/>
      <c r="T268" s="1"/>
    </row>
    <row r="269" ht="15.75" customHeight="1">
      <c r="A269" s="36"/>
      <c r="B269" s="37"/>
      <c r="C269" s="37"/>
      <c r="D269" s="37"/>
      <c r="E269" s="37"/>
      <c r="F269" s="37"/>
      <c r="G269" s="1"/>
      <c r="H269" s="1"/>
      <c r="I269" s="1"/>
      <c r="J269" s="1"/>
      <c r="K269" s="1"/>
      <c r="L269" s="1"/>
      <c r="M269" s="1"/>
      <c r="N269" s="1"/>
      <c r="O269" s="1"/>
      <c r="P269" s="1"/>
      <c r="Q269" s="1"/>
      <c r="R269" s="1"/>
      <c r="S269" s="1"/>
      <c r="T269" s="1"/>
    </row>
    <row r="270" ht="15.75" customHeight="1">
      <c r="A270" s="36"/>
      <c r="B270" s="37"/>
      <c r="C270" s="37"/>
      <c r="D270" s="37"/>
      <c r="E270" s="37"/>
      <c r="F270" s="37"/>
      <c r="G270" s="1"/>
      <c r="H270" s="1"/>
      <c r="I270" s="1"/>
      <c r="J270" s="1"/>
      <c r="K270" s="1"/>
      <c r="L270" s="1"/>
      <c r="M270" s="1"/>
      <c r="N270" s="1"/>
      <c r="O270" s="1"/>
      <c r="P270" s="1"/>
      <c r="Q270" s="1"/>
      <c r="R270" s="1"/>
      <c r="S270" s="1"/>
      <c r="T270" s="1"/>
    </row>
    <row r="271" ht="15.75" customHeight="1">
      <c r="A271" s="36"/>
      <c r="B271" s="37"/>
      <c r="C271" s="37"/>
      <c r="D271" s="37"/>
      <c r="E271" s="37"/>
      <c r="F271" s="37"/>
      <c r="G271" s="1"/>
      <c r="H271" s="1"/>
      <c r="I271" s="1"/>
      <c r="J271" s="1"/>
      <c r="K271" s="1"/>
      <c r="L271" s="1"/>
      <c r="M271" s="1"/>
      <c r="N271" s="1"/>
      <c r="O271" s="1"/>
      <c r="P271" s="1"/>
      <c r="Q271" s="1"/>
      <c r="R271" s="1"/>
      <c r="S271" s="1"/>
      <c r="T271" s="1"/>
    </row>
    <row r="272" ht="15.75" customHeight="1">
      <c r="A272" s="36"/>
      <c r="B272" s="37"/>
      <c r="C272" s="37"/>
      <c r="D272" s="37"/>
      <c r="E272" s="37"/>
      <c r="F272" s="37"/>
      <c r="G272" s="1"/>
      <c r="H272" s="1"/>
      <c r="I272" s="1"/>
      <c r="J272" s="1"/>
      <c r="K272" s="1"/>
      <c r="L272" s="1"/>
      <c r="M272" s="1"/>
      <c r="N272" s="1"/>
      <c r="O272" s="1"/>
      <c r="P272" s="1"/>
      <c r="Q272" s="1"/>
      <c r="R272" s="1"/>
      <c r="S272" s="1"/>
      <c r="T272" s="1"/>
    </row>
    <row r="273" ht="15.75" customHeight="1">
      <c r="A273" s="36"/>
      <c r="B273" s="37"/>
      <c r="C273" s="37"/>
      <c r="D273" s="37"/>
      <c r="E273" s="37"/>
      <c r="F273" s="37"/>
      <c r="G273" s="1"/>
      <c r="H273" s="1"/>
      <c r="I273" s="1"/>
      <c r="J273" s="1"/>
      <c r="K273" s="1"/>
      <c r="L273" s="1"/>
      <c r="M273" s="1"/>
      <c r="N273" s="1"/>
      <c r="O273" s="1"/>
      <c r="P273" s="1"/>
      <c r="Q273" s="1"/>
      <c r="R273" s="1"/>
      <c r="S273" s="1"/>
      <c r="T273" s="1"/>
    </row>
    <row r="274" ht="15.75" customHeight="1">
      <c r="A274" s="36"/>
      <c r="B274" s="37"/>
      <c r="C274" s="37"/>
      <c r="D274" s="37"/>
      <c r="E274" s="37"/>
      <c r="F274" s="37"/>
      <c r="G274" s="1"/>
      <c r="H274" s="1"/>
      <c r="I274" s="1"/>
      <c r="J274" s="1"/>
      <c r="K274" s="1"/>
      <c r="L274" s="1"/>
      <c r="M274" s="1"/>
      <c r="N274" s="1"/>
      <c r="O274" s="1"/>
      <c r="P274" s="1"/>
      <c r="Q274" s="1"/>
      <c r="R274" s="1"/>
      <c r="S274" s="1"/>
      <c r="T274" s="1"/>
    </row>
    <row r="275" ht="15.75" customHeight="1">
      <c r="A275" s="36"/>
      <c r="B275" s="37"/>
      <c r="C275" s="37"/>
      <c r="D275" s="37"/>
      <c r="E275" s="37"/>
      <c r="F275" s="37"/>
      <c r="G275" s="1"/>
      <c r="H275" s="1"/>
      <c r="I275" s="1"/>
      <c r="J275" s="1"/>
      <c r="K275" s="1"/>
      <c r="L275" s="1"/>
      <c r="M275" s="1"/>
      <c r="N275" s="1"/>
      <c r="O275" s="1"/>
      <c r="P275" s="1"/>
      <c r="Q275" s="1"/>
      <c r="R275" s="1"/>
      <c r="S275" s="1"/>
      <c r="T275" s="1"/>
    </row>
    <row r="276" ht="15.75" customHeight="1">
      <c r="A276" s="36"/>
      <c r="B276" s="37"/>
      <c r="C276" s="37"/>
      <c r="D276" s="37"/>
      <c r="E276" s="37"/>
      <c r="F276" s="37"/>
      <c r="G276" s="1"/>
      <c r="H276" s="1"/>
      <c r="I276" s="1"/>
      <c r="J276" s="1"/>
      <c r="K276" s="1"/>
      <c r="L276" s="1"/>
      <c r="M276" s="1"/>
      <c r="N276" s="1"/>
      <c r="O276" s="1"/>
      <c r="P276" s="1"/>
      <c r="Q276" s="1"/>
      <c r="R276" s="1"/>
      <c r="S276" s="1"/>
      <c r="T276" s="1"/>
    </row>
    <row r="277" ht="15.75" customHeight="1">
      <c r="A277" s="36"/>
      <c r="B277" s="37"/>
      <c r="C277" s="37"/>
      <c r="D277" s="37"/>
      <c r="E277" s="37"/>
      <c r="F277" s="37"/>
      <c r="G277" s="1"/>
      <c r="H277" s="1"/>
      <c r="I277" s="1"/>
      <c r="J277" s="1"/>
      <c r="K277" s="1"/>
      <c r="L277" s="1"/>
      <c r="M277" s="1"/>
      <c r="N277" s="1"/>
      <c r="O277" s="1"/>
      <c r="P277" s="1"/>
      <c r="Q277" s="1"/>
      <c r="R277" s="1"/>
      <c r="S277" s="1"/>
      <c r="T277" s="1"/>
    </row>
    <row r="278" ht="15.75" customHeight="1">
      <c r="A278" s="36"/>
      <c r="B278" s="37"/>
      <c r="C278" s="37"/>
      <c r="D278" s="37"/>
      <c r="E278" s="37"/>
      <c r="F278" s="37"/>
      <c r="G278" s="1"/>
      <c r="H278" s="1"/>
      <c r="I278" s="1"/>
      <c r="J278" s="1"/>
      <c r="K278" s="1"/>
      <c r="L278" s="1"/>
      <c r="M278" s="1"/>
      <c r="N278" s="1"/>
      <c r="O278" s="1"/>
      <c r="P278" s="1"/>
      <c r="Q278" s="1"/>
      <c r="R278" s="1"/>
      <c r="S278" s="1"/>
      <c r="T278" s="1"/>
    </row>
    <row r="279" ht="15.75" customHeight="1">
      <c r="A279" s="36"/>
      <c r="B279" s="37"/>
      <c r="C279" s="37"/>
      <c r="D279" s="37"/>
      <c r="E279" s="37"/>
      <c r="F279" s="37"/>
      <c r="G279" s="1"/>
      <c r="H279" s="1"/>
      <c r="I279" s="1"/>
      <c r="J279" s="1"/>
      <c r="K279" s="1"/>
      <c r="L279" s="1"/>
      <c r="M279" s="1"/>
      <c r="N279" s="1"/>
      <c r="O279" s="1"/>
      <c r="P279" s="1"/>
      <c r="Q279" s="1"/>
      <c r="R279" s="1"/>
      <c r="S279" s="1"/>
      <c r="T279" s="1"/>
    </row>
    <row r="280" ht="15.75" customHeight="1">
      <c r="A280" s="36"/>
      <c r="B280" s="37"/>
      <c r="C280" s="37"/>
      <c r="D280" s="37"/>
      <c r="E280" s="37"/>
      <c r="F280" s="37"/>
      <c r="G280" s="1"/>
      <c r="H280" s="1"/>
      <c r="I280" s="1"/>
      <c r="J280" s="1"/>
      <c r="K280" s="1"/>
      <c r="L280" s="1"/>
      <c r="M280" s="1"/>
      <c r="N280" s="1"/>
      <c r="O280" s="1"/>
      <c r="P280" s="1"/>
      <c r="Q280" s="1"/>
      <c r="R280" s="1"/>
      <c r="S280" s="1"/>
      <c r="T280" s="1"/>
    </row>
    <row r="281" ht="15.75" customHeight="1">
      <c r="A281" s="36"/>
      <c r="B281" s="37"/>
      <c r="C281" s="37"/>
      <c r="D281" s="37"/>
      <c r="E281" s="37"/>
      <c r="F281" s="37"/>
      <c r="G281" s="1"/>
      <c r="H281" s="1"/>
      <c r="I281" s="1"/>
      <c r="J281" s="1"/>
      <c r="K281" s="1"/>
      <c r="L281" s="1"/>
      <c r="M281" s="1"/>
      <c r="N281" s="1"/>
      <c r="O281" s="1"/>
      <c r="P281" s="1"/>
      <c r="Q281" s="1"/>
      <c r="R281" s="1"/>
      <c r="S281" s="1"/>
      <c r="T281" s="1"/>
    </row>
    <row r="282" ht="15.75" customHeight="1">
      <c r="A282" s="36"/>
      <c r="B282" s="37"/>
      <c r="C282" s="37"/>
      <c r="D282" s="37"/>
      <c r="E282" s="37"/>
      <c r="F282" s="37"/>
      <c r="G282" s="1"/>
      <c r="H282" s="1"/>
      <c r="I282" s="1"/>
      <c r="J282" s="1"/>
      <c r="K282" s="1"/>
      <c r="L282" s="1"/>
      <c r="M282" s="1"/>
      <c r="N282" s="1"/>
      <c r="O282" s="1"/>
      <c r="P282" s="1"/>
      <c r="Q282" s="1"/>
      <c r="R282" s="1"/>
      <c r="S282" s="1"/>
      <c r="T282" s="1"/>
    </row>
    <row r="283" ht="15.75" customHeight="1">
      <c r="A283" s="36"/>
      <c r="B283" s="37"/>
      <c r="C283" s="37"/>
      <c r="D283" s="37"/>
      <c r="E283" s="37"/>
      <c r="F283" s="37"/>
      <c r="G283" s="1"/>
      <c r="H283" s="1"/>
      <c r="I283" s="1"/>
      <c r="J283" s="1"/>
      <c r="K283" s="1"/>
      <c r="L283" s="1"/>
      <c r="M283" s="1"/>
      <c r="N283" s="1"/>
      <c r="O283" s="1"/>
      <c r="P283" s="1"/>
      <c r="Q283" s="1"/>
      <c r="R283" s="1"/>
      <c r="S283" s="1"/>
      <c r="T283" s="1"/>
    </row>
    <row r="284" ht="15.75" customHeight="1">
      <c r="A284" s="36"/>
      <c r="B284" s="37"/>
      <c r="C284" s="37"/>
      <c r="D284" s="37"/>
      <c r="E284" s="37"/>
      <c r="F284" s="37"/>
      <c r="G284" s="1"/>
      <c r="H284" s="1"/>
      <c r="I284" s="1"/>
      <c r="J284" s="1"/>
      <c r="K284" s="1"/>
      <c r="L284" s="1"/>
      <c r="M284" s="1"/>
      <c r="N284" s="1"/>
      <c r="O284" s="1"/>
      <c r="P284" s="1"/>
      <c r="Q284" s="1"/>
      <c r="R284" s="1"/>
      <c r="S284" s="1"/>
      <c r="T284" s="1"/>
    </row>
    <row r="285" ht="15.75" customHeight="1">
      <c r="A285" s="36"/>
      <c r="B285" s="37"/>
      <c r="C285" s="37"/>
      <c r="D285" s="37"/>
      <c r="E285" s="37"/>
      <c r="F285" s="37"/>
      <c r="G285" s="1"/>
      <c r="H285" s="1"/>
      <c r="I285" s="1"/>
      <c r="J285" s="1"/>
      <c r="K285" s="1"/>
      <c r="L285" s="1"/>
      <c r="M285" s="1"/>
      <c r="N285" s="1"/>
      <c r="O285" s="1"/>
      <c r="P285" s="1"/>
      <c r="Q285" s="1"/>
      <c r="R285" s="1"/>
      <c r="S285" s="1"/>
      <c r="T285" s="1"/>
    </row>
    <row r="286" ht="15.75" customHeight="1">
      <c r="A286" s="36"/>
      <c r="B286" s="37"/>
      <c r="C286" s="37"/>
      <c r="D286" s="37"/>
      <c r="E286" s="37"/>
      <c r="F286" s="37"/>
      <c r="G286" s="1"/>
      <c r="H286" s="1"/>
      <c r="I286" s="1"/>
      <c r="J286" s="1"/>
      <c r="K286" s="1"/>
      <c r="L286" s="1"/>
      <c r="M286" s="1"/>
      <c r="N286" s="1"/>
      <c r="O286" s="1"/>
      <c r="P286" s="1"/>
      <c r="Q286" s="1"/>
      <c r="R286" s="1"/>
      <c r="S286" s="1"/>
      <c r="T286" s="1"/>
    </row>
    <row r="287" ht="15.75" customHeight="1">
      <c r="A287" s="36"/>
      <c r="B287" s="37"/>
      <c r="C287" s="37"/>
      <c r="D287" s="37"/>
      <c r="E287" s="37"/>
      <c r="F287" s="37"/>
      <c r="G287" s="1"/>
      <c r="H287" s="1"/>
      <c r="I287" s="1"/>
      <c r="J287" s="1"/>
      <c r="K287" s="1"/>
      <c r="L287" s="1"/>
      <c r="M287" s="1"/>
      <c r="N287" s="1"/>
      <c r="O287" s="1"/>
      <c r="P287" s="1"/>
      <c r="Q287" s="1"/>
      <c r="R287" s="1"/>
      <c r="S287" s="1"/>
      <c r="T287" s="1"/>
    </row>
    <row r="288" ht="15.75" customHeight="1">
      <c r="A288" s="36"/>
      <c r="B288" s="37"/>
      <c r="C288" s="37"/>
      <c r="D288" s="37"/>
      <c r="E288" s="37"/>
      <c r="F288" s="37"/>
      <c r="G288" s="1"/>
      <c r="H288" s="1"/>
      <c r="I288" s="1"/>
      <c r="J288" s="1"/>
      <c r="K288" s="1"/>
      <c r="L288" s="1"/>
      <c r="M288" s="1"/>
      <c r="N288" s="1"/>
      <c r="O288" s="1"/>
      <c r="P288" s="1"/>
      <c r="Q288" s="1"/>
      <c r="R288" s="1"/>
      <c r="S288" s="1"/>
      <c r="T288" s="1"/>
    </row>
    <row r="289" ht="15.75" customHeight="1">
      <c r="A289" s="36"/>
      <c r="B289" s="37"/>
      <c r="C289" s="37"/>
      <c r="D289" s="37"/>
      <c r="E289" s="37"/>
      <c r="F289" s="37"/>
      <c r="G289" s="1"/>
      <c r="H289" s="1"/>
      <c r="I289" s="1"/>
      <c r="J289" s="1"/>
      <c r="K289" s="1"/>
      <c r="L289" s="1"/>
      <c r="M289" s="1"/>
      <c r="N289" s="1"/>
      <c r="O289" s="1"/>
      <c r="P289" s="1"/>
      <c r="Q289" s="1"/>
      <c r="R289" s="1"/>
      <c r="S289" s="1"/>
      <c r="T289" s="1"/>
    </row>
    <row r="290" ht="15.75" customHeight="1">
      <c r="A290" s="36"/>
      <c r="B290" s="37"/>
      <c r="C290" s="37"/>
      <c r="D290" s="37"/>
      <c r="E290" s="37"/>
      <c r="F290" s="37"/>
      <c r="G290" s="1"/>
      <c r="H290" s="1"/>
      <c r="I290" s="1"/>
      <c r="J290" s="1"/>
      <c r="K290" s="1"/>
      <c r="L290" s="1"/>
      <c r="M290" s="1"/>
      <c r="N290" s="1"/>
      <c r="O290" s="1"/>
      <c r="P290" s="1"/>
      <c r="Q290" s="1"/>
      <c r="R290" s="1"/>
      <c r="S290" s="1"/>
      <c r="T290" s="1"/>
    </row>
    <row r="291" ht="15.75" customHeight="1">
      <c r="A291" s="36"/>
      <c r="B291" s="37"/>
      <c r="C291" s="37"/>
      <c r="D291" s="37"/>
      <c r="E291" s="37"/>
      <c r="F291" s="37"/>
      <c r="G291" s="1"/>
      <c r="H291" s="1"/>
      <c r="I291" s="1"/>
      <c r="J291" s="1"/>
      <c r="K291" s="1"/>
      <c r="L291" s="1"/>
      <c r="M291" s="1"/>
      <c r="N291" s="1"/>
      <c r="O291" s="1"/>
      <c r="P291" s="1"/>
      <c r="Q291" s="1"/>
      <c r="R291" s="1"/>
      <c r="S291" s="1"/>
      <c r="T291" s="1"/>
    </row>
    <row r="292" ht="15.75" customHeight="1">
      <c r="A292" s="36"/>
      <c r="B292" s="37"/>
      <c r="C292" s="37"/>
      <c r="D292" s="37"/>
      <c r="E292" s="37"/>
      <c r="F292" s="37"/>
      <c r="G292" s="1"/>
      <c r="H292" s="1"/>
      <c r="I292" s="1"/>
      <c r="J292" s="1"/>
      <c r="K292" s="1"/>
      <c r="L292" s="1"/>
      <c r="M292" s="1"/>
      <c r="N292" s="1"/>
      <c r="O292" s="1"/>
      <c r="P292" s="1"/>
      <c r="Q292" s="1"/>
      <c r="R292" s="1"/>
      <c r="S292" s="1"/>
      <c r="T292" s="1"/>
    </row>
    <row r="293" ht="15.75" customHeight="1">
      <c r="A293" s="36"/>
      <c r="B293" s="37"/>
      <c r="C293" s="37"/>
      <c r="D293" s="37"/>
      <c r="E293" s="37"/>
      <c r="F293" s="37"/>
      <c r="G293" s="1"/>
      <c r="H293" s="1"/>
      <c r="I293" s="1"/>
      <c r="J293" s="1"/>
      <c r="K293" s="1"/>
      <c r="L293" s="1"/>
      <c r="M293" s="1"/>
      <c r="N293" s="1"/>
      <c r="O293" s="1"/>
      <c r="P293" s="1"/>
      <c r="Q293" s="1"/>
      <c r="R293" s="1"/>
      <c r="S293" s="1"/>
      <c r="T293" s="1"/>
    </row>
    <row r="294" ht="15.75" customHeight="1">
      <c r="A294" s="36"/>
      <c r="B294" s="37"/>
      <c r="C294" s="37"/>
      <c r="D294" s="37"/>
      <c r="E294" s="37"/>
      <c r="F294" s="37"/>
      <c r="G294" s="1"/>
      <c r="H294" s="1"/>
      <c r="I294" s="1"/>
      <c r="J294" s="1"/>
      <c r="K294" s="1"/>
      <c r="L294" s="1"/>
      <c r="M294" s="1"/>
      <c r="N294" s="1"/>
      <c r="O294" s="1"/>
      <c r="P294" s="1"/>
      <c r="Q294" s="1"/>
      <c r="R294" s="1"/>
      <c r="S294" s="1"/>
      <c r="T294" s="1"/>
    </row>
    <row r="295" ht="15.75" customHeight="1">
      <c r="A295" s="36"/>
      <c r="B295" s="37"/>
      <c r="C295" s="37"/>
      <c r="D295" s="37"/>
      <c r="E295" s="37"/>
      <c r="F295" s="37"/>
      <c r="G295" s="1"/>
      <c r="H295" s="1"/>
      <c r="I295" s="1"/>
      <c r="J295" s="1"/>
      <c r="K295" s="1"/>
      <c r="L295" s="1"/>
      <c r="M295" s="1"/>
      <c r="N295" s="1"/>
      <c r="O295" s="1"/>
      <c r="P295" s="1"/>
      <c r="Q295" s="1"/>
      <c r="R295" s="1"/>
      <c r="S295" s="1"/>
      <c r="T295" s="1"/>
    </row>
    <row r="296" ht="15.75" customHeight="1">
      <c r="A296" s="36"/>
      <c r="B296" s="37"/>
      <c r="C296" s="37"/>
      <c r="D296" s="37"/>
      <c r="E296" s="37"/>
      <c r="F296" s="37"/>
      <c r="G296" s="1"/>
      <c r="H296" s="1"/>
      <c r="I296" s="1"/>
      <c r="J296" s="1"/>
      <c r="K296" s="1"/>
      <c r="L296" s="1"/>
      <c r="M296" s="1"/>
      <c r="N296" s="1"/>
      <c r="O296" s="1"/>
      <c r="P296" s="1"/>
      <c r="Q296" s="1"/>
      <c r="R296" s="1"/>
      <c r="S296" s="1"/>
      <c r="T296" s="1"/>
    </row>
    <row r="297" ht="15.75" customHeight="1">
      <c r="A297" s="36"/>
      <c r="B297" s="37"/>
      <c r="C297" s="37"/>
      <c r="D297" s="37"/>
      <c r="E297" s="37"/>
      <c r="F297" s="37"/>
      <c r="G297" s="1"/>
      <c r="H297" s="1"/>
      <c r="I297" s="1"/>
      <c r="J297" s="1"/>
      <c r="K297" s="1"/>
      <c r="L297" s="1"/>
      <c r="M297" s="1"/>
      <c r="N297" s="1"/>
      <c r="O297" s="1"/>
      <c r="P297" s="1"/>
      <c r="Q297" s="1"/>
      <c r="R297" s="1"/>
      <c r="S297" s="1"/>
      <c r="T297" s="1"/>
    </row>
    <row r="298" ht="15.75" customHeight="1">
      <c r="A298" s="36"/>
      <c r="B298" s="37"/>
      <c r="C298" s="37"/>
      <c r="D298" s="37"/>
      <c r="E298" s="37"/>
      <c r="F298" s="37"/>
      <c r="G298" s="1"/>
      <c r="H298" s="1"/>
      <c r="I298" s="1"/>
      <c r="J298" s="1"/>
      <c r="K298" s="1"/>
      <c r="L298" s="1"/>
      <c r="M298" s="1"/>
      <c r="N298" s="1"/>
      <c r="O298" s="1"/>
      <c r="P298" s="1"/>
      <c r="Q298" s="1"/>
      <c r="R298" s="1"/>
      <c r="S298" s="1"/>
      <c r="T298" s="1"/>
    </row>
    <row r="299" ht="15.75" customHeight="1">
      <c r="A299" s="36"/>
      <c r="B299" s="37"/>
      <c r="C299" s="37"/>
      <c r="D299" s="37"/>
      <c r="E299" s="37"/>
      <c r="F299" s="37"/>
      <c r="G299" s="1"/>
      <c r="H299" s="1"/>
      <c r="I299" s="1"/>
      <c r="J299" s="1"/>
      <c r="K299" s="1"/>
      <c r="L299" s="1"/>
      <c r="M299" s="1"/>
      <c r="N299" s="1"/>
      <c r="O299" s="1"/>
      <c r="P299" s="1"/>
      <c r="Q299" s="1"/>
      <c r="R299" s="1"/>
      <c r="S299" s="1"/>
      <c r="T299" s="1"/>
    </row>
    <row r="300" ht="15.75" customHeight="1">
      <c r="A300" s="36"/>
      <c r="B300" s="37"/>
      <c r="C300" s="37"/>
      <c r="D300" s="37"/>
      <c r="E300" s="37"/>
      <c r="F300" s="37"/>
      <c r="G300" s="1"/>
      <c r="H300" s="1"/>
      <c r="I300" s="1"/>
      <c r="J300" s="1"/>
      <c r="K300" s="1"/>
      <c r="L300" s="1"/>
      <c r="M300" s="1"/>
      <c r="N300" s="1"/>
      <c r="O300" s="1"/>
      <c r="P300" s="1"/>
      <c r="Q300" s="1"/>
      <c r="R300" s="1"/>
      <c r="S300" s="1"/>
      <c r="T300" s="1"/>
    </row>
    <row r="301" ht="15.75" customHeight="1">
      <c r="A301" s="36"/>
      <c r="B301" s="37"/>
      <c r="C301" s="37"/>
      <c r="D301" s="37"/>
      <c r="E301" s="37"/>
      <c r="F301" s="37"/>
      <c r="G301" s="1"/>
      <c r="H301" s="1"/>
      <c r="I301" s="1"/>
      <c r="J301" s="1"/>
      <c r="K301" s="1"/>
      <c r="L301" s="1"/>
      <c r="M301" s="1"/>
      <c r="N301" s="1"/>
      <c r="O301" s="1"/>
      <c r="P301" s="1"/>
      <c r="Q301" s="1"/>
      <c r="R301" s="1"/>
      <c r="S301" s="1"/>
      <c r="T301" s="1"/>
    </row>
    <row r="302" ht="15.75" customHeight="1">
      <c r="A302" s="36"/>
      <c r="B302" s="37"/>
      <c r="C302" s="37"/>
      <c r="D302" s="37"/>
      <c r="E302" s="37"/>
      <c r="F302" s="37"/>
      <c r="G302" s="1"/>
      <c r="H302" s="1"/>
      <c r="I302" s="1"/>
      <c r="J302" s="1"/>
      <c r="K302" s="1"/>
      <c r="L302" s="1"/>
      <c r="M302" s="1"/>
      <c r="N302" s="1"/>
      <c r="O302" s="1"/>
      <c r="P302" s="1"/>
      <c r="Q302" s="1"/>
      <c r="R302" s="1"/>
      <c r="S302" s="1"/>
      <c r="T302" s="1"/>
    </row>
    <row r="303" ht="15.75" customHeight="1">
      <c r="A303" s="36"/>
      <c r="B303" s="37"/>
      <c r="C303" s="37"/>
      <c r="D303" s="37"/>
      <c r="E303" s="37"/>
      <c r="F303" s="37"/>
      <c r="G303" s="1"/>
      <c r="H303" s="1"/>
      <c r="I303" s="1"/>
      <c r="J303" s="1"/>
      <c r="K303" s="1"/>
      <c r="L303" s="1"/>
      <c r="M303" s="1"/>
      <c r="N303" s="1"/>
      <c r="O303" s="1"/>
      <c r="P303" s="1"/>
      <c r="Q303" s="1"/>
      <c r="R303" s="1"/>
      <c r="S303" s="1"/>
      <c r="T303" s="1"/>
    </row>
    <row r="304" ht="15.75" customHeight="1">
      <c r="A304" s="36"/>
      <c r="B304" s="37"/>
      <c r="C304" s="37"/>
      <c r="D304" s="37"/>
      <c r="E304" s="37"/>
      <c r="F304" s="37"/>
      <c r="G304" s="1"/>
      <c r="H304" s="1"/>
      <c r="I304" s="1"/>
      <c r="J304" s="1"/>
      <c r="K304" s="1"/>
      <c r="L304" s="1"/>
      <c r="M304" s="1"/>
      <c r="N304" s="1"/>
      <c r="O304" s="1"/>
      <c r="P304" s="1"/>
      <c r="Q304" s="1"/>
      <c r="R304" s="1"/>
      <c r="S304" s="1"/>
      <c r="T304" s="1"/>
    </row>
    <row r="305" ht="15.75" customHeight="1">
      <c r="A305" s="36"/>
      <c r="B305" s="37"/>
      <c r="C305" s="37"/>
      <c r="D305" s="37"/>
      <c r="E305" s="37"/>
      <c r="F305" s="37"/>
      <c r="G305" s="1"/>
      <c r="H305" s="1"/>
      <c r="I305" s="1"/>
      <c r="J305" s="1"/>
      <c r="K305" s="1"/>
      <c r="L305" s="1"/>
      <c r="M305" s="1"/>
      <c r="N305" s="1"/>
      <c r="O305" s="1"/>
      <c r="P305" s="1"/>
      <c r="Q305" s="1"/>
      <c r="R305" s="1"/>
      <c r="S305" s="1"/>
      <c r="T305" s="1"/>
    </row>
    <row r="306" ht="15.75" customHeight="1">
      <c r="A306" s="36"/>
      <c r="B306" s="37"/>
      <c r="C306" s="37"/>
      <c r="D306" s="37"/>
      <c r="E306" s="37"/>
      <c r="F306" s="37"/>
      <c r="G306" s="1"/>
      <c r="H306" s="1"/>
      <c r="I306" s="1"/>
      <c r="J306" s="1"/>
      <c r="K306" s="1"/>
      <c r="L306" s="1"/>
      <c r="M306" s="1"/>
      <c r="N306" s="1"/>
      <c r="O306" s="1"/>
      <c r="P306" s="1"/>
      <c r="Q306" s="1"/>
      <c r="R306" s="1"/>
      <c r="S306" s="1"/>
      <c r="T306" s="1"/>
    </row>
    <row r="307" ht="15.75" customHeight="1">
      <c r="A307" s="36"/>
      <c r="B307" s="37"/>
      <c r="C307" s="37"/>
      <c r="D307" s="37"/>
      <c r="E307" s="37"/>
      <c r="F307" s="37"/>
      <c r="G307" s="1"/>
      <c r="H307" s="1"/>
      <c r="I307" s="1"/>
      <c r="J307" s="1"/>
      <c r="K307" s="1"/>
      <c r="L307" s="1"/>
      <c r="M307" s="1"/>
      <c r="N307" s="1"/>
      <c r="O307" s="1"/>
      <c r="P307" s="1"/>
      <c r="Q307" s="1"/>
      <c r="R307" s="1"/>
      <c r="S307" s="1"/>
      <c r="T307" s="1"/>
    </row>
    <row r="308" ht="15.75" customHeight="1">
      <c r="A308" s="36"/>
      <c r="B308" s="37"/>
      <c r="C308" s="37"/>
      <c r="D308" s="37"/>
      <c r="E308" s="37"/>
      <c r="F308" s="37"/>
      <c r="G308" s="1"/>
      <c r="H308" s="1"/>
      <c r="I308" s="1"/>
      <c r="J308" s="1"/>
      <c r="K308" s="1"/>
      <c r="L308" s="1"/>
      <c r="M308" s="1"/>
      <c r="N308" s="1"/>
      <c r="O308" s="1"/>
      <c r="P308" s="1"/>
      <c r="Q308" s="1"/>
      <c r="R308" s="1"/>
      <c r="S308" s="1"/>
      <c r="T308" s="1"/>
    </row>
    <row r="309" ht="15.75" customHeight="1">
      <c r="A309" s="36"/>
      <c r="B309" s="37"/>
      <c r="C309" s="37"/>
      <c r="D309" s="37"/>
      <c r="E309" s="37"/>
      <c r="F309" s="37"/>
      <c r="G309" s="1"/>
      <c r="H309" s="1"/>
      <c r="I309" s="1"/>
      <c r="J309" s="1"/>
      <c r="K309" s="1"/>
      <c r="L309" s="1"/>
      <c r="M309" s="1"/>
      <c r="N309" s="1"/>
      <c r="O309" s="1"/>
      <c r="P309" s="1"/>
      <c r="Q309" s="1"/>
      <c r="R309" s="1"/>
      <c r="S309" s="1"/>
      <c r="T309" s="1"/>
    </row>
    <row r="310" ht="15.75" customHeight="1">
      <c r="A310" s="36"/>
      <c r="B310" s="37"/>
      <c r="C310" s="37"/>
      <c r="D310" s="37"/>
      <c r="E310" s="37"/>
      <c r="F310" s="37"/>
      <c r="G310" s="1"/>
      <c r="H310" s="1"/>
      <c r="I310" s="1"/>
      <c r="J310" s="1"/>
      <c r="K310" s="1"/>
      <c r="L310" s="1"/>
      <c r="M310" s="1"/>
      <c r="N310" s="1"/>
      <c r="O310" s="1"/>
      <c r="P310" s="1"/>
      <c r="Q310" s="1"/>
      <c r="R310" s="1"/>
      <c r="S310" s="1"/>
      <c r="T310" s="1"/>
    </row>
    <row r="311" ht="15.75" customHeight="1">
      <c r="A311" s="36"/>
      <c r="B311" s="37"/>
      <c r="C311" s="37"/>
      <c r="D311" s="37"/>
      <c r="E311" s="37"/>
      <c r="F311" s="37"/>
      <c r="G311" s="1"/>
      <c r="H311" s="1"/>
      <c r="I311" s="1"/>
      <c r="J311" s="1"/>
      <c r="K311" s="1"/>
      <c r="L311" s="1"/>
      <c r="M311" s="1"/>
      <c r="N311" s="1"/>
      <c r="O311" s="1"/>
      <c r="P311" s="1"/>
      <c r="Q311" s="1"/>
      <c r="R311" s="1"/>
      <c r="S311" s="1"/>
      <c r="T311" s="1"/>
    </row>
    <row r="312" ht="15.75" customHeight="1">
      <c r="A312" s="36"/>
      <c r="B312" s="37"/>
      <c r="C312" s="37"/>
      <c r="D312" s="37"/>
      <c r="E312" s="37"/>
      <c r="F312" s="37"/>
      <c r="G312" s="1"/>
      <c r="H312" s="1"/>
      <c r="I312" s="1"/>
      <c r="J312" s="1"/>
      <c r="K312" s="1"/>
      <c r="L312" s="1"/>
      <c r="M312" s="1"/>
      <c r="N312" s="1"/>
      <c r="O312" s="1"/>
      <c r="P312" s="1"/>
      <c r="Q312" s="1"/>
      <c r="R312" s="1"/>
      <c r="S312" s="1"/>
      <c r="T312" s="1"/>
    </row>
    <row r="313" ht="15.75" customHeight="1">
      <c r="A313" s="36"/>
      <c r="B313" s="37"/>
      <c r="C313" s="37"/>
      <c r="D313" s="37"/>
      <c r="E313" s="37"/>
      <c r="F313" s="37"/>
      <c r="G313" s="1"/>
      <c r="H313" s="1"/>
      <c r="I313" s="1"/>
      <c r="J313" s="1"/>
      <c r="K313" s="1"/>
      <c r="L313" s="1"/>
      <c r="M313" s="1"/>
      <c r="N313" s="1"/>
      <c r="O313" s="1"/>
      <c r="P313" s="1"/>
      <c r="Q313" s="1"/>
      <c r="R313" s="1"/>
      <c r="S313" s="1"/>
      <c r="T313" s="1"/>
    </row>
    <row r="314" ht="15.75" customHeight="1">
      <c r="A314" s="36"/>
      <c r="B314" s="37"/>
      <c r="C314" s="37"/>
      <c r="D314" s="37"/>
      <c r="E314" s="37"/>
      <c r="F314" s="37"/>
      <c r="G314" s="1"/>
      <c r="H314" s="1"/>
      <c r="I314" s="1"/>
      <c r="J314" s="1"/>
      <c r="K314" s="1"/>
      <c r="L314" s="1"/>
      <c r="M314" s="1"/>
      <c r="N314" s="1"/>
      <c r="O314" s="1"/>
      <c r="P314" s="1"/>
      <c r="Q314" s="1"/>
      <c r="R314" s="1"/>
      <c r="S314" s="1"/>
      <c r="T314" s="1"/>
    </row>
    <row r="315" ht="15.75" customHeight="1">
      <c r="A315" s="36"/>
      <c r="B315" s="37"/>
      <c r="C315" s="37"/>
      <c r="D315" s="37"/>
      <c r="E315" s="37"/>
      <c r="F315" s="37"/>
      <c r="G315" s="1"/>
      <c r="H315" s="1"/>
      <c r="I315" s="1"/>
      <c r="J315" s="1"/>
      <c r="K315" s="1"/>
      <c r="L315" s="1"/>
      <c r="M315" s="1"/>
      <c r="N315" s="1"/>
      <c r="O315" s="1"/>
      <c r="P315" s="1"/>
      <c r="Q315" s="1"/>
      <c r="R315" s="1"/>
      <c r="S315" s="1"/>
      <c r="T315" s="1"/>
    </row>
    <row r="316" ht="15.75" customHeight="1">
      <c r="A316" s="36"/>
      <c r="B316" s="37"/>
      <c r="C316" s="37"/>
      <c r="D316" s="37"/>
      <c r="E316" s="37"/>
      <c r="F316" s="37"/>
      <c r="G316" s="1"/>
      <c r="H316" s="1"/>
      <c r="I316" s="1"/>
      <c r="J316" s="1"/>
      <c r="K316" s="1"/>
      <c r="L316" s="1"/>
      <c r="M316" s="1"/>
      <c r="N316" s="1"/>
      <c r="O316" s="1"/>
      <c r="P316" s="1"/>
      <c r="Q316" s="1"/>
      <c r="R316" s="1"/>
      <c r="S316" s="1"/>
      <c r="T316" s="1"/>
    </row>
    <row r="317" ht="15.75" customHeight="1">
      <c r="A317" s="36"/>
      <c r="B317" s="37"/>
      <c r="C317" s="37"/>
      <c r="D317" s="37"/>
      <c r="E317" s="37"/>
      <c r="F317" s="37"/>
      <c r="G317" s="1"/>
      <c r="H317" s="1"/>
      <c r="I317" s="1"/>
      <c r="J317" s="1"/>
      <c r="K317" s="1"/>
      <c r="L317" s="1"/>
      <c r="M317" s="1"/>
      <c r="N317" s="1"/>
      <c r="O317" s="1"/>
      <c r="P317" s="1"/>
      <c r="Q317" s="1"/>
      <c r="R317" s="1"/>
      <c r="S317" s="1"/>
      <c r="T317" s="1"/>
    </row>
    <row r="318" ht="15.75" customHeight="1">
      <c r="A318" s="36"/>
      <c r="B318" s="37"/>
      <c r="C318" s="37"/>
      <c r="D318" s="37"/>
      <c r="E318" s="37"/>
      <c r="F318" s="37"/>
      <c r="G318" s="1"/>
      <c r="H318" s="1"/>
      <c r="I318" s="1"/>
      <c r="J318" s="1"/>
      <c r="K318" s="1"/>
      <c r="L318" s="1"/>
      <c r="M318" s="1"/>
      <c r="N318" s="1"/>
      <c r="O318" s="1"/>
      <c r="P318" s="1"/>
      <c r="Q318" s="1"/>
      <c r="R318" s="1"/>
      <c r="S318" s="1"/>
      <c r="T318" s="1"/>
    </row>
    <row r="319" ht="15.75" customHeight="1">
      <c r="A319" s="36"/>
      <c r="B319" s="37"/>
      <c r="C319" s="37"/>
      <c r="D319" s="37"/>
      <c r="E319" s="37"/>
      <c r="F319" s="37"/>
      <c r="G319" s="1"/>
      <c r="H319" s="1"/>
      <c r="I319" s="1"/>
      <c r="J319" s="1"/>
      <c r="K319" s="1"/>
      <c r="L319" s="1"/>
      <c r="M319" s="1"/>
      <c r="N319" s="1"/>
      <c r="O319" s="1"/>
      <c r="P319" s="1"/>
      <c r="Q319" s="1"/>
      <c r="R319" s="1"/>
      <c r="S319" s="1"/>
      <c r="T319" s="1"/>
    </row>
    <row r="320" ht="15.75" customHeight="1">
      <c r="A320" s="36"/>
      <c r="B320" s="37"/>
      <c r="C320" s="37"/>
      <c r="D320" s="37"/>
      <c r="E320" s="37"/>
      <c r="F320" s="37"/>
      <c r="G320" s="1"/>
      <c r="H320" s="1"/>
      <c r="I320" s="1"/>
      <c r="J320" s="1"/>
      <c r="K320" s="1"/>
      <c r="L320" s="1"/>
      <c r="M320" s="1"/>
      <c r="N320" s="1"/>
      <c r="O320" s="1"/>
      <c r="P320" s="1"/>
      <c r="Q320" s="1"/>
      <c r="R320" s="1"/>
      <c r="S320" s="1"/>
      <c r="T320" s="1"/>
    </row>
    <row r="321" ht="15.75" customHeight="1">
      <c r="A321" s="36"/>
      <c r="B321" s="37"/>
      <c r="C321" s="37"/>
      <c r="D321" s="37"/>
      <c r="E321" s="37"/>
      <c r="F321" s="37"/>
      <c r="G321" s="1"/>
      <c r="H321" s="1"/>
      <c r="I321" s="1"/>
      <c r="J321" s="1"/>
      <c r="K321" s="1"/>
      <c r="L321" s="1"/>
      <c r="M321" s="1"/>
      <c r="N321" s="1"/>
      <c r="O321" s="1"/>
      <c r="P321" s="1"/>
      <c r="Q321" s="1"/>
      <c r="R321" s="1"/>
      <c r="S321" s="1"/>
      <c r="T321" s="1"/>
    </row>
    <row r="322" ht="15.75" customHeight="1">
      <c r="A322" s="36"/>
      <c r="B322" s="37"/>
      <c r="C322" s="37"/>
      <c r="D322" s="37"/>
      <c r="E322" s="37"/>
      <c r="F322" s="37"/>
      <c r="G322" s="1"/>
      <c r="H322" s="1"/>
      <c r="I322" s="1"/>
      <c r="J322" s="1"/>
      <c r="K322" s="1"/>
      <c r="L322" s="1"/>
      <c r="M322" s="1"/>
      <c r="N322" s="1"/>
      <c r="O322" s="1"/>
      <c r="P322" s="1"/>
      <c r="Q322" s="1"/>
      <c r="R322" s="1"/>
      <c r="S322" s="1"/>
      <c r="T322" s="1"/>
    </row>
    <row r="323" ht="15.75" customHeight="1">
      <c r="A323" s="36"/>
      <c r="B323" s="37"/>
      <c r="C323" s="37"/>
      <c r="D323" s="37"/>
      <c r="E323" s="37"/>
      <c r="F323" s="37"/>
      <c r="G323" s="1"/>
      <c r="H323" s="1"/>
      <c r="I323" s="1"/>
      <c r="J323" s="1"/>
      <c r="K323" s="1"/>
      <c r="L323" s="1"/>
      <c r="M323" s="1"/>
      <c r="N323" s="1"/>
      <c r="O323" s="1"/>
      <c r="P323" s="1"/>
      <c r="Q323" s="1"/>
      <c r="R323" s="1"/>
      <c r="S323" s="1"/>
      <c r="T323" s="1"/>
    </row>
    <row r="324" ht="15.75" customHeight="1">
      <c r="A324" s="36"/>
      <c r="B324" s="37"/>
      <c r="C324" s="37"/>
      <c r="D324" s="37"/>
      <c r="E324" s="37"/>
      <c r="F324" s="37"/>
      <c r="G324" s="1"/>
      <c r="H324" s="1"/>
      <c r="I324" s="1"/>
      <c r="J324" s="1"/>
      <c r="K324" s="1"/>
      <c r="L324" s="1"/>
      <c r="M324" s="1"/>
      <c r="N324" s="1"/>
      <c r="O324" s="1"/>
      <c r="P324" s="1"/>
      <c r="Q324" s="1"/>
      <c r="R324" s="1"/>
      <c r="S324" s="1"/>
      <c r="T324" s="1"/>
    </row>
    <row r="325" ht="15.75" customHeight="1">
      <c r="A325" s="36"/>
      <c r="B325" s="37"/>
      <c r="C325" s="37"/>
      <c r="D325" s="37"/>
      <c r="E325" s="37"/>
      <c r="F325" s="37"/>
      <c r="G325" s="1"/>
      <c r="H325" s="1"/>
      <c r="I325" s="1"/>
      <c r="J325" s="1"/>
      <c r="K325" s="1"/>
      <c r="L325" s="1"/>
      <c r="M325" s="1"/>
      <c r="N325" s="1"/>
      <c r="O325" s="1"/>
      <c r="P325" s="1"/>
      <c r="Q325" s="1"/>
      <c r="R325" s="1"/>
      <c r="S325" s="1"/>
      <c r="T325" s="1"/>
    </row>
    <row r="326" ht="15.75" customHeight="1">
      <c r="A326" s="36"/>
      <c r="B326" s="37"/>
      <c r="C326" s="37"/>
      <c r="D326" s="37"/>
      <c r="E326" s="37"/>
      <c r="F326" s="37"/>
      <c r="G326" s="1"/>
      <c r="H326" s="1"/>
      <c r="I326" s="1"/>
      <c r="J326" s="1"/>
      <c r="K326" s="1"/>
      <c r="L326" s="1"/>
      <c r="M326" s="1"/>
      <c r="N326" s="1"/>
      <c r="O326" s="1"/>
      <c r="P326" s="1"/>
      <c r="Q326" s="1"/>
      <c r="R326" s="1"/>
      <c r="S326" s="1"/>
      <c r="T326" s="1"/>
    </row>
    <row r="327" ht="15.75" customHeight="1">
      <c r="A327" s="36"/>
      <c r="B327" s="37"/>
      <c r="C327" s="37"/>
      <c r="D327" s="37"/>
      <c r="E327" s="37"/>
      <c r="F327" s="37"/>
      <c r="G327" s="1"/>
      <c r="H327" s="1"/>
      <c r="I327" s="1"/>
      <c r="J327" s="1"/>
      <c r="K327" s="1"/>
      <c r="L327" s="1"/>
      <c r="M327" s="1"/>
      <c r="N327" s="1"/>
      <c r="O327" s="1"/>
      <c r="P327" s="1"/>
      <c r="Q327" s="1"/>
      <c r="R327" s="1"/>
      <c r="S327" s="1"/>
      <c r="T327" s="1"/>
    </row>
    <row r="328" ht="15.75" customHeight="1">
      <c r="A328" s="36"/>
      <c r="B328" s="37"/>
      <c r="C328" s="37"/>
      <c r="D328" s="37"/>
      <c r="E328" s="37"/>
      <c r="F328" s="37"/>
      <c r="G328" s="1"/>
      <c r="H328" s="1"/>
      <c r="I328" s="1"/>
      <c r="J328" s="1"/>
      <c r="K328" s="1"/>
      <c r="L328" s="1"/>
      <c r="M328" s="1"/>
      <c r="N328" s="1"/>
      <c r="O328" s="1"/>
      <c r="P328" s="1"/>
      <c r="Q328" s="1"/>
      <c r="R328" s="1"/>
      <c r="S328" s="1"/>
      <c r="T328" s="1"/>
    </row>
    <row r="329" ht="15.75" customHeight="1">
      <c r="A329" s="36"/>
      <c r="B329" s="37"/>
      <c r="C329" s="37"/>
      <c r="D329" s="37"/>
      <c r="E329" s="37"/>
      <c r="F329" s="37"/>
      <c r="G329" s="1"/>
      <c r="H329" s="1"/>
      <c r="I329" s="1"/>
      <c r="J329" s="1"/>
      <c r="K329" s="1"/>
      <c r="L329" s="1"/>
      <c r="M329" s="1"/>
      <c r="N329" s="1"/>
      <c r="O329" s="1"/>
      <c r="P329" s="1"/>
      <c r="Q329" s="1"/>
      <c r="R329" s="1"/>
      <c r="S329" s="1"/>
      <c r="T329" s="1"/>
    </row>
    <row r="330" ht="15.75" customHeight="1">
      <c r="A330" s="36"/>
      <c r="B330" s="37"/>
      <c r="C330" s="37"/>
      <c r="D330" s="37"/>
      <c r="E330" s="37"/>
      <c r="F330" s="37"/>
      <c r="G330" s="1"/>
      <c r="H330" s="1"/>
      <c r="I330" s="1"/>
      <c r="J330" s="1"/>
      <c r="K330" s="1"/>
      <c r="L330" s="1"/>
      <c r="M330" s="1"/>
      <c r="N330" s="1"/>
      <c r="O330" s="1"/>
      <c r="P330" s="1"/>
      <c r="Q330" s="1"/>
      <c r="R330" s="1"/>
      <c r="S330" s="1"/>
      <c r="T330" s="1"/>
    </row>
    <row r="331" ht="15.75" customHeight="1">
      <c r="A331" s="36"/>
      <c r="B331" s="37"/>
      <c r="C331" s="37"/>
      <c r="D331" s="37"/>
      <c r="E331" s="37"/>
      <c r="F331" s="37"/>
      <c r="G331" s="1"/>
      <c r="H331" s="1"/>
      <c r="I331" s="1"/>
      <c r="J331" s="1"/>
      <c r="K331" s="1"/>
      <c r="L331" s="1"/>
      <c r="M331" s="1"/>
      <c r="N331" s="1"/>
      <c r="O331" s="1"/>
      <c r="P331" s="1"/>
      <c r="Q331" s="1"/>
      <c r="R331" s="1"/>
      <c r="S331" s="1"/>
      <c r="T331" s="1"/>
    </row>
    <row r="332" ht="15.75" customHeight="1">
      <c r="A332" s="36"/>
      <c r="B332" s="37"/>
      <c r="C332" s="37"/>
      <c r="D332" s="37"/>
      <c r="E332" s="37"/>
      <c r="F332" s="37"/>
      <c r="G332" s="1"/>
      <c r="H332" s="1"/>
      <c r="I332" s="1"/>
      <c r="J332" s="1"/>
      <c r="K332" s="1"/>
      <c r="L332" s="1"/>
      <c r="M332" s="1"/>
      <c r="N332" s="1"/>
      <c r="O332" s="1"/>
      <c r="P332" s="1"/>
      <c r="Q332" s="1"/>
      <c r="R332" s="1"/>
      <c r="S332" s="1"/>
      <c r="T332" s="1"/>
    </row>
    <row r="333" ht="15.75" customHeight="1">
      <c r="A333" s="36"/>
      <c r="B333" s="37"/>
      <c r="C333" s="37"/>
      <c r="D333" s="37"/>
      <c r="E333" s="37"/>
      <c r="F333" s="37"/>
      <c r="G333" s="1"/>
      <c r="H333" s="1"/>
      <c r="I333" s="1"/>
      <c r="J333" s="1"/>
      <c r="K333" s="1"/>
      <c r="L333" s="1"/>
      <c r="M333" s="1"/>
      <c r="N333" s="1"/>
      <c r="O333" s="1"/>
      <c r="P333" s="1"/>
      <c r="Q333" s="1"/>
      <c r="R333" s="1"/>
      <c r="S333" s="1"/>
      <c r="T333" s="1"/>
    </row>
    <row r="334" ht="15.75" customHeight="1">
      <c r="A334" s="36"/>
      <c r="B334" s="37"/>
      <c r="C334" s="37"/>
      <c r="D334" s="37"/>
      <c r="E334" s="37"/>
      <c r="F334" s="37"/>
      <c r="G334" s="1"/>
      <c r="H334" s="1"/>
      <c r="I334" s="1"/>
      <c r="J334" s="1"/>
      <c r="K334" s="1"/>
      <c r="L334" s="1"/>
      <c r="M334" s="1"/>
      <c r="N334" s="1"/>
      <c r="O334" s="1"/>
      <c r="P334" s="1"/>
      <c r="Q334" s="1"/>
      <c r="R334" s="1"/>
      <c r="S334" s="1"/>
      <c r="T334" s="1"/>
    </row>
    <row r="335" ht="15.75" customHeight="1">
      <c r="A335" s="36"/>
      <c r="B335" s="37"/>
      <c r="C335" s="37"/>
      <c r="D335" s="37"/>
      <c r="E335" s="37"/>
      <c r="F335" s="37"/>
      <c r="G335" s="1"/>
      <c r="H335" s="1"/>
      <c r="I335" s="1"/>
      <c r="J335" s="1"/>
      <c r="K335" s="1"/>
      <c r="L335" s="1"/>
      <c r="M335" s="1"/>
      <c r="N335" s="1"/>
      <c r="O335" s="1"/>
      <c r="P335" s="1"/>
      <c r="Q335" s="1"/>
      <c r="R335" s="1"/>
      <c r="S335" s="1"/>
      <c r="T335" s="1"/>
    </row>
    <row r="336" ht="15.75" customHeight="1">
      <c r="A336" s="36"/>
      <c r="B336" s="37"/>
      <c r="C336" s="37"/>
      <c r="D336" s="37"/>
      <c r="E336" s="37"/>
      <c r="F336" s="37"/>
      <c r="G336" s="1"/>
      <c r="H336" s="1"/>
      <c r="I336" s="1"/>
      <c r="J336" s="1"/>
      <c r="K336" s="1"/>
      <c r="L336" s="1"/>
      <c r="M336" s="1"/>
      <c r="N336" s="1"/>
      <c r="O336" s="1"/>
      <c r="P336" s="1"/>
      <c r="Q336" s="1"/>
      <c r="R336" s="1"/>
      <c r="S336" s="1"/>
      <c r="T336" s="1"/>
    </row>
    <row r="337" ht="15.75" customHeight="1">
      <c r="A337" s="36"/>
      <c r="B337" s="37"/>
      <c r="C337" s="37"/>
      <c r="D337" s="37"/>
      <c r="E337" s="37"/>
      <c r="F337" s="37"/>
      <c r="G337" s="1"/>
      <c r="H337" s="1"/>
      <c r="I337" s="1"/>
      <c r="J337" s="1"/>
      <c r="K337" s="1"/>
      <c r="L337" s="1"/>
      <c r="M337" s="1"/>
      <c r="N337" s="1"/>
      <c r="O337" s="1"/>
      <c r="P337" s="1"/>
      <c r="Q337" s="1"/>
      <c r="R337" s="1"/>
      <c r="S337" s="1"/>
      <c r="T337" s="1"/>
    </row>
    <row r="338" ht="15.75" customHeight="1">
      <c r="A338" s="36"/>
      <c r="B338" s="37"/>
      <c r="C338" s="37"/>
      <c r="D338" s="37"/>
      <c r="E338" s="37"/>
      <c r="F338" s="37"/>
      <c r="G338" s="1"/>
      <c r="H338" s="1"/>
      <c r="I338" s="1"/>
      <c r="J338" s="1"/>
      <c r="K338" s="1"/>
      <c r="L338" s="1"/>
      <c r="M338" s="1"/>
      <c r="N338" s="1"/>
      <c r="O338" s="1"/>
      <c r="P338" s="1"/>
      <c r="Q338" s="1"/>
      <c r="R338" s="1"/>
      <c r="S338" s="1"/>
      <c r="T338" s="1"/>
    </row>
    <row r="339" ht="15.75" customHeight="1">
      <c r="A339" s="36"/>
      <c r="B339" s="37"/>
      <c r="C339" s="37"/>
      <c r="D339" s="37"/>
      <c r="E339" s="37"/>
      <c r="F339" s="37"/>
      <c r="G339" s="1"/>
      <c r="H339" s="1"/>
      <c r="I339" s="1"/>
      <c r="J339" s="1"/>
      <c r="K339" s="1"/>
      <c r="L339" s="1"/>
      <c r="M339" s="1"/>
      <c r="N339" s="1"/>
      <c r="O339" s="1"/>
      <c r="P339" s="1"/>
      <c r="Q339" s="1"/>
      <c r="R339" s="1"/>
      <c r="S339" s="1"/>
      <c r="T339" s="1"/>
    </row>
    <row r="340" ht="15.75" customHeight="1">
      <c r="A340" s="36"/>
      <c r="B340" s="37"/>
      <c r="C340" s="37"/>
      <c r="D340" s="37"/>
      <c r="E340" s="37"/>
      <c r="F340" s="37"/>
      <c r="G340" s="1"/>
      <c r="H340" s="1"/>
      <c r="I340" s="1"/>
      <c r="J340" s="1"/>
      <c r="K340" s="1"/>
      <c r="L340" s="1"/>
      <c r="M340" s="1"/>
      <c r="N340" s="1"/>
      <c r="O340" s="1"/>
      <c r="P340" s="1"/>
      <c r="Q340" s="1"/>
      <c r="R340" s="1"/>
      <c r="S340" s="1"/>
      <c r="T340" s="1"/>
    </row>
    <row r="341" ht="15.75" customHeight="1">
      <c r="A341" s="36"/>
      <c r="B341" s="37"/>
      <c r="C341" s="37"/>
      <c r="D341" s="37"/>
      <c r="E341" s="37"/>
      <c r="F341" s="37"/>
      <c r="G341" s="1"/>
      <c r="H341" s="1"/>
      <c r="I341" s="1"/>
      <c r="J341" s="1"/>
      <c r="K341" s="1"/>
      <c r="L341" s="1"/>
      <c r="M341" s="1"/>
      <c r="N341" s="1"/>
      <c r="O341" s="1"/>
      <c r="P341" s="1"/>
      <c r="Q341" s="1"/>
      <c r="R341" s="1"/>
      <c r="S341" s="1"/>
      <c r="T341" s="1"/>
    </row>
    <row r="342" ht="15.75" customHeight="1">
      <c r="A342" s="36"/>
      <c r="B342" s="37"/>
      <c r="C342" s="37"/>
      <c r="D342" s="37"/>
      <c r="E342" s="37"/>
      <c r="F342" s="37"/>
      <c r="G342" s="1"/>
      <c r="H342" s="1"/>
      <c r="I342" s="1"/>
      <c r="J342" s="1"/>
      <c r="K342" s="1"/>
      <c r="L342" s="1"/>
      <c r="M342" s="1"/>
      <c r="N342" s="1"/>
      <c r="O342" s="1"/>
      <c r="P342" s="1"/>
      <c r="Q342" s="1"/>
      <c r="R342" s="1"/>
      <c r="S342" s="1"/>
      <c r="T342" s="1"/>
    </row>
    <row r="343" ht="15.75" customHeight="1">
      <c r="A343" s="36"/>
      <c r="B343" s="37"/>
      <c r="C343" s="37"/>
      <c r="D343" s="37"/>
      <c r="E343" s="37"/>
      <c r="F343" s="37"/>
      <c r="G343" s="1"/>
      <c r="H343" s="1"/>
      <c r="I343" s="1"/>
      <c r="J343" s="1"/>
      <c r="K343" s="1"/>
      <c r="L343" s="1"/>
      <c r="M343" s="1"/>
      <c r="N343" s="1"/>
      <c r="O343" s="1"/>
      <c r="P343" s="1"/>
      <c r="Q343" s="1"/>
      <c r="R343" s="1"/>
      <c r="S343" s="1"/>
      <c r="T343" s="1"/>
    </row>
    <row r="344" ht="15.75" customHeight="1">
      <c r="A344" s="36"/>
      <c r="B344" s="37"/>
      <c r="C344" s="37"/>
      <c r="D344" s="37"/>
      <c r="E344" s="37"/>
      <c r="F344" s="37"/>
      <c r="G344" s="1"/>
      <c r="H344" s="1"/>
      <c r="I344" s="1"/>
      <c r="J344" s="1"/>
      <c r="K344" s="1"/>
      <c r="L344" s="1"/>
      <c r="M344" s="1"/>
      <c r="N344" s="1"/>
      <c r="O344" s="1"/>
      <c r="P344" s="1"/>
      <c r="Q344" s="1"/>
      <c r="R344" s="1"/>
      <c r="S344" s="1"/>
      <c r="T344" s="1"/>
    </row>
    <row r="345" ht="15.75" customHeight="1">
      <c r="A345" s="36"/>
      <c r="B345" s="37"/>
      <c r="C345" s="37"/>
      <c r="D345" s="37"/>
      <c r="E345" s="37"/>
      <c r="F345" s="37"/>
      <c r="G345" s="1"/>
      <c r="H345" s="1"/>
      <c r="I345" s="1"/>
      <c r="J345" s="1"/>
      <c r="K345" s="1"/>
      <c r="L345" s="1"/>
      <c r="M345" s="1"/>
      <c r="N345" s="1"/>
      <c r="O345" s="1"/>
      <c r="P345" s="1"/>
      <c r="Q345" s="1"/>
      <c r="R345" s="1"/>
      <c r="S345" s="1"/>
      <c r="T345" s="1"/>
    </row>
    <row r="346" ht="15.75" customHeight="1">
      <c r="A346" s="36"/>
      <c r="B346" s="37"/>
      <c r="C346" s="37"/>
      <c r="D346" s="37"/>
      <c r="E346" s="37"/>
      <c r="F346" s="37"/>
      <c r="G346" s="1"/>
      <c r="H346" s="1"/>
      <c r="I346" s="1"/>
      <c r="J346" s="1"/>
      <c r="K346" s="1"/>
      <c r="L346" s="1"/>
      <c r="M346" s="1"/>
      <c r="N346" s="1"/>
      <c r="O346" s="1"/>
      <c r="P346" s="1"/>
      <c r="Q346" s="1"/>
      <c r="R346" s="1"/>
      <c r="S346" s="1"/>
      <c r="T346" s="1"/>
    </row>
    <row r="347" ht="15.75" customHeight="1">
      <c r="A347" s="36"/>
      <c r="B347" s="37"/>
      <c r="C347" s="37"/>
      <c r="D347" s="37"/>
      <c r="E347" s="37"/>
      <c r="F347" s="37"/>
      <c r="G347" s="1"/>
      <c r="H347" s="1"/>
      <c r="I347" s="1"/>
      <c r="J347" s="1"/>
      <c r="K347" s="1"/>
      <c r="L347" s="1"/>
      <c r="M347" s="1"/>
      <c r="N347" s="1"/>
      <c r="O347" s="1"/>
      <c r="P347" s="1"/>
      <c r="Q347" s="1"/>
      <c r="R347" s="1"/>
      <c r="S347" s="1"/>
      <c r="T347" s="1"/>
    </row>
    <row r="348" ht="15.75" customHeight="1">
      <c r="A348" s="36"/>
      <c r="B348" s="37"/>
      <c r="C348" s="37"/>
      <c r="D348" s="37"/>
      <c r="E348" s="37"/>
      <c r="F348" s="37"/>
      <c r="G348" s="1"/>
      <c r="H348" s="1"/>
      <c r="I348" s="1"/>
      <c r="J348" s="1"/>
      <c r="K348" s="1"/>
      <c r="L348" s="1"/>
      <c r="M348" s="1"/>
      <c r="N348" s="1"/>
      <c r="O348" s="1"/>
      <c r="P348" s="1"/>
      <c r="Q348" s="1"/>
      <c r="R348" s="1"/>
      <c r="S348" s="1"/>
      <c r="T348" s="1"/>
    </row>
    <row r="349" ht="15.75" customHeight="1">
      <c r="A349" s="36"/>
      <c r="B349" s="37"/>
      <c r="C349" s="37"/>
      <c r="D349" s="37"/>
      <c r="E349" s="37"/>
      <c r="F349" s="37"/>
      <c r="G349" s="1"/>
      <c r="H349" s="1"/>
      <c r="I349" s="1"/>
      <c r="J349" s="1"/>
      <c r="K349" s="1"/>
      <c r="L349" s="1"/>
      <c r="M349" s="1"/>
      <c r="N349" s="1"/>
      <c r="O349" s="1"/>
      <c r="P349" s="1"/>
      <c r="Q349" s="1"/>
      <c r="R349" s="1"/>
      <c r="S349" s="1"/>
      <c r="T349" s="1"/>
    </row>
    <row r="350" ht="15.75" customHeight="1">
      <c r="A350" s="36"/>
      <c r="B350" s="37"/>
      <c r="C350" s="37"/>
      <c r="D350" s="37"/>
      <c r="E350" s="37"/>
      <c r="F350" s="37"/>
      <c r="G350" s="1"/>
      <c r="H350" s="1"/>
      <c r="I350" s="1"/>
      <c r="J350" s="1"/>
      <c r="K350" s="1"/>
      <c r="L350" s="1"/>
      <c r="M350" s="1"/>
      <c r="N350" s="1"/>
      <c r="O350" s="1"/>
      <c r="P350" s="1"/>
      <c r="Q350" s="1"/>
      <c r="R350" s="1"/>
      <c r="S350" s="1"/>
      <c r="T350" s="1"/>
    </row>
    <row r="351" ht="15.75" customHeight="1">
      <c r="A351" s="36"/>
      <c r="B351" s="37"/>
      <c r="C351" s="37"/>
      <c r="D351" s="37"/>
      <c r="E351" s="37"/>
      <c r="F351" s="37"/>
      <c r="G351" s="1"/>
      <c r="H351" s="1"/>
      <c r="I351" s="1"/>
      <c r="J351" s="1"/>
      <c r="K351" s="1"/>
      <c r="L351" s="1"/>
      <c r="M351" s="1"/>
      <c r="N351" s="1"/>
      <c r="O351" s="1"/>
      <c r="P351" s="1"/>
      <c r="Q351" s="1"/>
      <c r="R351" s="1"/>
      <c r="S351" s="1"/>
      <c r="T351" s="1"/>
    </row>
    <row r="352" ht="15.75" customHeight="1">
      <c r="A352" s="36"/>
      <c r="B352" s="37"/>
      <c r="C352" s="37"/>
      <c r="D352" s="37"/>
      <c r="E352" s="37"/>
      <c r="F352" s="37"/>
      <c r="G352" s="1"/>
      <c r="H352" s="1"/>
      <c r="I352" s="1"/>
      <c r="J352" s="1"/>
      <c r="K352" s="1"/>
      <c r="L352" s="1"/>
      <c r="M352" s="1"/>
      <c r="N352" s="1"/>
      <c r="O352" s="1"/>
      <c r="P352" s="1"/>
      <c r="Q352" s="1"/>
      <c r="R352" s="1"/>
      <c r="S352" s="1"/>
      <c r="T352" s="1"/>
    </row>
    <row r="353" ht="15.75" customHeight="1">
      <c r="A353" s="36"/>
      <c r="B353" s="37"/>
      <c r="C353" s="37"/>
      <c r="D353" s="37"/>
      <c r="E353" s="37"/>
      <c r="F353" s="37"/>
      <c r="G353" s="1"/>
      <c r="H353" s="1"/>
      <c r="I353" s="1"/>
      <c r="J353" s="1"/>
      <c r="K353" s="1"/>
      <c r="L353" s="1"/>
      <c r="M353" s="1"/>
      <c r="N353" s="1"/>
      <c r="O353" s="1"/>
      <c r="P353" s="1"/>
      <c r="Q353" s="1"/>
      <c r="R353" s="1"/>
      <c r="S353" s="1"/>
      <c r="T353" s="1"/>
    </row>
    <row r="354" ht="15.75" customHeight="1">
      <c r="A354" s="36"/>
      <c r="B354" s="37"/>
      <c r="C354" s="37"/>
      <c r="D354" s="37"/>
      <c r="E354" s="37"/>
      <c r="F354" s="37"/>
      <c r="G354" s="1"/>
      <c r="H354" s="1"/>
      <c r="I354" s="1"/>
      <c r="J354" s="1"/>
      <c r="K354" s="1"/>
      <c r="L354" s="1"/>
      <c r="M354" s="1"/>
      <c r="N354" s="1"/>
      <c r="O354" s="1"/>
      <c r="P354" s="1"/>
      <c r="Q354" s="1"/>
      <c r="R354" s="1"/>
      <c r="S354" s="1"/>
      <c r="T354" s="1"/>
    </row>
    <row r="355" ht="15.75" customHeight="1">
      <c r="A355" s="36"/>
      <c r="B355" s="37"/>
      <c r="C355" s="37"/>
      <c r="D355" s="37"/>
      <c r="E355" s="37"/>
      <c r="F355" s="37"/>
      <c r="G355" s="1"/>
      <c r="H355" s="1"/>
      <c r="I355" s="1"/>
      <c r="J355" s="1"/>
      <c r="K355" s="1"/>
      <c r="L355" s="1"/>
      <c r="M355" s="1"/>
      <c r="N355" s="1"/>
      <c r="O355" s="1"/>
      <c r="P355" s="1"/>
      <c r="Q355" s="1"/>
      <c r="R355" s="1"/>
      <c r="S355" s="1"/>
      <c r="T355" s="1"/>
    </row>
    <row r="356" ht="15.75" customHeight="1">
      <c r="A356" s="36"/>
      <c r="B356" s="37"/>
      <c r="C356" s="37"/>
      <c r="D356" s="37"/>
      <c r="E356" s="37"/>
      <c r="F356" s="37"/>
      <c r="G356" s="1"/>
      <c r="H356" s="1"/>
      <c r="I356" s="1"/>
      <c r="J356" s="1"/>
      <c r="K356" s="1"/>
      <c r="L356" s="1"/>
      <c r="M356" s="1"/>
      <c r="N356" s="1"/>
      <c r="O356" s="1"/>
      <c r="P356" s="1"/>
      <c r="Q356" s="1"/>
      <c r="R356" s="1"/>
      <c r="S356" s="1"/>
      <c r="T356" s="1"/>
    </row>
    <row r="357" ht="15.75" customHeight="1">
      <c r="A357" s="36"/>
      <c r="B357" s="37"/>
      <c r="C357" s="37"/>
      <c r="D357" s="37"/>
      <c r="E357" s="37"/>
      <c r="F357" s="37"/>
      <c r="G357" s="1"/>
      <c r="H357" s="1"/>
      <c r="I357" s="1"/>
      <c r="J357" s="1"/>
      <c r="K357" s="1"/>
      <c r="L357" s="1"/>
      <c r="M357" s="1"/>
      <c r="N357" s="1"/>
      <c r="O357" s="1"/>
      <c r="P357" s="1"/>
      <c r="Q357" s="1"/>
      <c r="R357" s="1"/>
      <c r="S357" s="1"/>
      <c r="T357" s="1"/>
    </row>
    <row r="358" ht="15.75" customHeight="1">
      <c r="A358" s="36"/>
      <c r="B358" s="37"/>
      <c r="C358" s="37"/>
      <c r="D358" s="37"/>
      <c r="E358" s="37"/>
      <c r="F358" s="37"/>
      <c r="G358" s="1"/>
      <c r="H358" s="1"/>
      <c r="I358" s="1"/>
      <c r="J358" s="1"/>
      <c r="K358" s="1"/>
      <c r="L358" s="1"/>
      <c r="M358" s="1"/>
      <c r="N358" s="1"/>
      <c r="O358" s="1"/>
      <c r="P358" s="1"/>
      <c r="Q358" s="1"/>
      <c r="R358" s="1"/>
      <c r="S358" s="1"/>
      <c r="T358" s="1"/>
    </row>
    <row r="359" ht="15.75" customHeight="1">
      <c r="A359" s="36"/>
      <c r="B359" s="37"/>
      <c r="C359" s="37"/>
      <c r="D359" s="37"/>
      <c r="E359" s="37"/>
      <c r="F359" s="37"/>
      <c r="G359" s="1"/>
      <c r="H359" s="1"/>
      <c r="I359" s="1"/>
      <c r="J359" s="1"/>
      <c r="K359" s="1"/>
      <c r="L359" s="1"/>
      <c r="M359" s="1"/>
      <c r="N359" s="1"/>
      <c r="O359" s="1"/>
      <c r="P359" s="1"/>
      <c r="Q359" s="1"/>
      <c r="R359" s="1"/>
      <c r="S359" s="1"/>
      <c r="T359" s="1"/>
    </row>
    <row r="360" ht="15.75" customHeight="1">
      <c r="A360" s="36"/>
      <c r="B360" s="37"/>
      <c r="C360" s="37"/>
      <c r="D360" s="37"/>
      <c r="E360" s="37"/>
      <c r="F360" s="37"/>
      <c r="G360" s="1"/>
      <c r="H360" s="1"/>
      <c r="I360" s="1"/>
      <c r="J360" s="1"/>
      <c r="K360" s="1"/>
      <c r="L360" s="1"/>
      <c r="M360" s="1"/>
      <c r="N360" s="1"/>
      <c r="O360" s="1"/>
      <c r="P360" s="1"/>
      <c r="Q360" s="1"/>
      <c r="R360" s="1"/>
      <c r="S360" s="1"/>
      <c r="T360" s="1"/>
    </row>
    <row r="361" ht="15.75" customHeight="1">
      <c r="A361" s="36"/>
      <c r="B361" s="37"/>
      <c r="C361" s="37"/>
      <c r="D361" s="37"/>
      <c r="E361" s="37"/>
      <c r="F361" s="37"/>
      <c r="G361" s="1"/>
      <c r="H361" s="1"/>
      <c r="I361" s="1"/>
      <c r="J361" s="1"/>
      <c r="K361" s="1"/>
      <c r="L361" s="1"/>
      <c r="M361" s="1"/>
      <c r="N361" s="1"/>
      <c r="O361" s="1"/>
      <c r="P361" s="1"/>
      <c r="Q361" s="1"/>
      <c r="R361" s="1"/>
      <c r="S361" s="1"/>
      <c r="T361" s="1"/>
    </row>
    <row r="362" ht="15.75" customHeight="1">
      <c r="A362" s="36"/>
      <c r="B362" s="37"/>
      <c r="C362" s="37"/>
      <c r="D362" s="37"/>
      <c r="E362" s="37"/>
      <c r="F362" s="37"/>
      <c r="G362" s="1"/>
      <c r="H362" s="1"/>
      <c r="I362" s="1"/>
      <c r="J362" s="1"/>
      <c r="K362" s="1"/>
      <c r="L362" s="1"/>
      <c r="M362" s="1"/>
      <c r="N362" s="1"/>
      <c r="O362" s="1"/>
      <c r="P362" s="1"/>
      <c r="Q362" s="1"/>
      <c r="R362" s="1"/>
      <c r="S362" s="1"/>
      <c r="T362" s="1"/>
    </row>
    <row r="363" ht="15.75" customHeight="1">
      <c r="A363" s="36"/>
      <c r="B363" s="37"/>
      <c r="C363" s="37"/>
      <c r="D363" s="37"/>
      <c r="E363" s="37"/>
      <c r="F363" s="37"/>
      <c r="G363" s="1"/>
      <c r="H363" s="1"/>
      <c r="I363" s="1"/>
      <c r="J363" s="1"/>
      <c r="K363" s="1"/>
      <c r="L363" s="1"/>
      <c r="M363" s="1"/>
      <c r="N363" s="1"/>
      <c r="O363" s="1"/>
      <c r="P363" s="1"/>
      <c r="Q363" s="1"/>
      <c r="R363" s="1"/>
      <c r="S363" s="1"/>
      <c r="T363" s="1"/>
    </row>
    <row r="364" ht="15.75" customHeight="1">
      <c r="A364" s="36"/>
      <c r="B364" s="37"/>
      <c r="C364" s="37"/>
      <c r="D364" s="37"/>
      <c r="E364" s="37"/>
      <c r="F364" s="37"/>
      <c r="G364" s="1"/>
      <c r="H364" s="1"/>
      <c r="I364" s="1"/>
      <c r="J364" s="1"/>
      <c r="K364" s="1"/>
      <c r="L364" s="1"/>
      <c r="M364" s="1"/>
      <c r="N364" s="1"/>
      <c r="O364" s="1"/>
      <c r="P364" s="1"/>
      <c r="Q364" s="1"/>
      <c r="R364" s="1"/>
      <c r="S364" s="1"/>
      <c r="T364" s="1"/>
    </row>
    <row r="365" ht="15.75" customHeight="1">
      <c r="A365" s="36"/>
      <c r="B365" s="37"/>
      <c r="C365" s="37"/>
      <c r="D365" s="37"/>
      <c r="E365" s="37"/>
      <c r="F365" s="37"/>
      <c r="G365" s="1"/>
      <c r="H365" s="1"/>
      <c r="I365" s="1"/>
      <c r="J365" s="1"/>
      <c r="K365" s="1"/>
      <c r="L365" s="1"/>
      <c r="M365" s="1"/>
      <c r="N365" s="1"/>
      <c r="O365" s="1"/>
      <c r="P365" s="1"/>
      <c r="Q365" s="1"/>
      <c r="R365" s="1"/>
      <c r="S365" s="1"/>
      <c r="T365" s="1"/>
    </row>
    <row r="366" ht="15.75" customHeight="1">
      <c r="A366" s="36"/>
      <c r="B366" s="37"/>
      <c r="C366" s="37"/>
      <c r="D366" s="37"/>
      <c r="E366" s="37"/>
      <c r="F366" s="37"/>
      <c r="G366" s="1"/>
      <c r="H366" s="1"/>
      <c r="I366" s="1"/>
      <c r="J366" s="1"/>
      <c r="K366" s="1"/>
      <c r="L366" s="1"/>
      <c r="M366" s="1"/>
      <c r="N366" s="1"/>
      <c r="O366" s="1"/>
      <c r="P366" s="1"/>
      <c r="Q366" s="1"/>
      <c r="R366" s="1"/>
      <c r="S366" s="1"/>
      <c r="T366" s="1"/>
    </row>
    <row r="367" ht="15.75" customHeight="1">
      <c r="A367" s="36"/>
      <c r="B367" s="37"/>
      <c r="C367" s="37"/>
      <c r="D367" s="37"/>
      <c r="E367" s="37"/>
      <c r="F367" s="37"/>
      <c r="G367" s="1"/>
      <c r="H367" s="1"/>
      <c r="I367" s="1"/>
      <c r="J367" s="1"/>
      <c r="K367" s="1"/>
      <c r="L367" s="1"/>
      <c r="M367" s="1"/>
      <c r="N367" s="1"/>
      <c r="O367" s="1"/>
      <c r="P367" s="1"/>
      <c r="Q367" s="1"/>
      <c r="R367" s="1"/>
      <c r="S367" s="1"/>
      <c r="T367" s="1"/>
    </row>
    <row r="368" ht="15.75" customHeight="1">
      <c r="A368" s="36"/>
      <c r="B368" s="37"/>
      <c r="C368" s="37"/>
      <c r="D368" s="37"/>
      <c r="E368" s="37"/>
      <c r="F368" s="37"/>
      <c r="G368" s="1"/>
      <c r="H368" s="1"/>
      <c r="I368" s="1"/>
      <c r="J368" s="1"/>
      <c r="K368" s="1"/>
      <c r="L368" s="1"/>
      <c r="M368" s="1"/>
      <c r="N368" s="1"/>
      <c r="O368" s="1"/>
      <c r="P368" s="1"/>
      <c r="Q368" s="1"/>
      <c r="R368" s="1"/>
      <c r="S368" s="1"/>
      <c r="T368" s="1"/>
    </row>
    <row r="369" ht="15.75" customHeight="1">
      <c r="A369" s="36"/>
      <c r="B369" s="37"/>
      <c r="C369" s="37"/>
      <c r="D369" s="37"/>
      <c r="E369" s="37"/>
      <c r="F369" s="37"/>
      <c r="G369" s="1"/>
      <c r="H369" s="1"/>
      <c r="I369" s="1"/>
      <c r="J369" s="1"/>
      <c r="K369" s="1"/>
      <c r="L369" s="1"/>
      <c r="M369" s="1"/>
      <c r="N369" s="1"/>
      <c r="O369" s="1"/>
      <c r="P369" s="1"/>
      <c r="Q369" s="1"/>
      <c r="R369" s="1"/>
      <c r="S369" s="1"/>
      <c r="T369" s="1"/>
    </row>
    <row r="370" ht="15.75" customHeight="1">
      <c r="A370" s="36"/>
      <c r="B370" s="37"/>
      <c r="C370" s="37"/>
      <c r="D370" s="37"/>
      <c r="E370" s="37"/>
      <c r="F370" s="37"/>
      <c r="G370" s="1"/>
      <c r="H370" s="1"/>
      <c r="I370" s="1"/>
      <c r="J370" s="1"/>
      <c r="K370" s="1"/>
      <c r="L370" s="1"/>
      <c r="M370" s="1"/>
      <c r="N370" s="1"/>
      <c r="O370" s="1"/>
      <c r="P370" s="1"/>
      <c r="Q370" s="1"/>
      <c r="R370" s="1"/>
      <c r="S370" s="1"/>
      <c r="T370" s="1"/>
    </row>
    <row r="371" ht="15.75" customHeight="1">
      <c r="A371" s="36"/>
      <c r="B371" s="37"/>
      <c r="C371" s="37"/>
      <c r="D371" s="37"/>
      <c r="E371" s="37"/>
      <c r="F371" s="37"/>
      <c r="G371" s="1"/>
      <c r="H371" s="1"/>
      <c r="I371" s="1"/>
      <c r="J371" s="1"/>
      <c r="K371" s="1"/>
      <c r="L371" s="1"/>
      <c r="M371" s="1"/>
      <c r="N371" s="1"/>
      <c r="O371" s="1"/>
      <c r="P371" s="1"/>
      <c r="Q371" s="1"/>
      <c r="R371" s="1"/>
      <c r="S371" s="1"/>
      <c r="T371" s="1"/>
    </row>
    <row r="372" ht="15.75" customHeight="1">
      <c r="A372" s="36"/>
      <c r="B372" s="37"/>
      <c r="C372" s="37"/>
      <c r="D372" s="37"/>
      <c r="E372" s="37"/>
      <c r="F372" s="37"/>
      <c r="G372" s="1"/>
      <c r="H372" s="1"/>
      <c r="I372" s="1"/>
      <c r="J372" s="1"/>
      <c r="K372" s="1"/>
      <c r="L372" s="1"/>
      <c r="M372" s="1"/>
      <c r="N372" s="1"/>
      <c r="O372" s="1"/>
      <c r="P372" s="1"/>
      <c r="Q372" s="1"/>
      <c r="R372" s="1"/>
      <c r="S372" s="1"/>
      <c r="T372" s="1"/>
    </row>
    <row r="373" ht="15.75" customHeight="1">
      <c r="A373" s="36"/>
      <c r="B373" s="37"/>
      <c r="C373" s="37"/>
      <c r="D373" s="37"/>
      <c r="E373" s="37"/>
      <c r="F373" s="37"/>
      <c r="G373" s="1"/>
      <c r="H373" s="1"/>
      <c r="I373" s="1"/>
      <c r="J373" s="1"/>
      <c r="K373" s="1"/>
      <c r="L373" s="1"/>
      <c r="M373" s="1"/>
      <c r="N373" s="1"/>
      <c r="O373" s="1"/>
      <c r="P373" s="1"/>
      <c r="Q373" s="1"/>
      <c r="R373" s="1"/>
      <c r="S373" s="1"/>
      <c r="T373" s="1"/>
    </row>
    <row r="374" ht="15.75" customHeight="1">
      <c r="A374" s="36"/>
      <c r="B374" s="37"/>
      <c r="C374" s="37"/>
      <c r="D374" s="37"/>
      <c r="E374" s="37"/>
      <c r="F374" s="37"/>
      <c r="G374" s="1"/>
      <c r="H374" s="1"/>
      <c r="I374" s="1"/>
      <c r="J374" s="1"/>
      <c r="K374" s="1"/>
      <c r="L374" s="1"/>
      <c r="M374" s="1"/>
      <c r="N374" s="1"/>
      <c r="O374" s="1"/>
      <c r="P374" s="1"/>
      <c r="Q374" s="1"/>
      <c r="R374" s="1"/>
      <c r="S374" s="1"/>
      <c r="T374" s="1"/>
    </row>
    <row r="375" ht="15.75" customHeight="1">
      <c r="A375" s="36"/>
      <c r="B375" s="37"/>
      <c r="C375" s="37"/>
      <c r="D375" s="37"/>
      <c r="E375" s="37"/>
      <c r="F375" s="37"/>
      <c r="G375" s="1"/>
      <c r="H375" s="1"/>
      <c r="I375" s="1"/>
      <c r="J375" s="1"/>
      <c r="K375" s="1"/>
      <c r="L375" s="1"/>
      <c r="M375" s="1"/>
      <c r="N375" s="1"/>
      <c r="O375" s="1"/>
      <c r="P375" s="1"/>
      <c r="Q375" s="1"/>
      <c r="R375" s="1"/>
      <c r="S375" s="1"/>
      <c r="T375" s="1"/>
    </row>
    <row r="376" ht="15.75" customHeight="1">
      <c r="A376" s="36"/>
      <c r="B376" s="37"/>
      <c r="C376" s="37"/>
      <c r="D376" s="37"/>
      <c r="E376" s="37"/>
      <c r="F376" s="37"/>
      <c r="G376" s="1"/>
      <c r="H376" s="1"/>
      <c r="I376" s="1"/>
      <c r="J376" s="1"/>
      <c r="K376" s="1"/>
      <c r="L376" s="1"/>
      <c r="M376" s="1"/>
      <c r="N376" s="1"/>
      <c r="O376" s="1"/>
      <c r="P376" s="1"/>
      <c r="Q376" s="1"/>
      <c r="R376" s="1"/>
      <c r="S376" s="1"/>
      <c r="T376" s="1"/>
    </row>
    <row r="377" ht="15.75" customHeight="1">
      <c r="A377" s="36"/>
      <c r="B377" s="37"/>
      <c r="C377" s="37"/>
      <c r="D377" s="37"/>
      <c r="E377" s="37"/>
      <c r="F377" s="37"/>
      <c r="G377" s="1"/>
      <c r="H377" s="1"/>
      <c r="I377" s="1"/>
      <c r="J377" s="1"/>
      <c r="K377" s="1"/>
      <c r="L377" s="1"/>
      <c r="M377" s="1"/>
      <c r="N377" s="1"/>
      <c r="O377" s="1"/>
      <c r="P377" s="1"/>
      <c r="Q377" s="1"/>
      <c r="R377" s="1"/>
      <c r="S377" s="1"/>
      <c r="T377" s="1"/>
    </row>
    <row r="378" ht="15.75" customHeight="1">
      <c r="A378" s="36"/>
      <c r="B378" s="37"/>
      <c r="C378" s="37"/>
      <c r="D378" s="37"/>
      <c r="E378" s="37"/>
      <c r="F378" s="37"/>
      <c r="G378" s="1"/>
      <c r="H378" s="1"/>
      <c r="I378" s="1"/>
      <c r="J378" s="1"/>
      <c r="K378" s="1"/>
      <c r="L378" s="1"/>
      <c r="M378" s="1"/>
      <c r="N378" s="1"/>
      <c r="O378" s="1"/>
      <c r="P378" s="1"/>
      <c r="Q378" s="1"/>
      <c r="R378" s="1"/>
      <c r="S378" s="1"/>
      <c r="T378" s="1"/>
    </row>
    <row r="379" ht="15.75" customHeight="1">
      <c r="A379" s="36"/>
      <c r="B379" s="37"/>
      <c r="C379" s="37"/>
      <c r="D379" s="37"/>
      <c r="E379" s="37"/>
      <c r="F379" s="37"/>
      <c r="G379" s="1"/>
      <c r="H379" s="1"/>
      <c r="I379" s="1"/>
      <c r="J379" s="1"/>
      <c r="K379" s="1"/>
      <c r="L379" s="1"/>
      <c r="M379" s="1"/>
      <c r="N379" s="1"/>
      <c r="O379" s="1"/>
      <c r="P379" s="1"/>
      <c r="Q379" s="1"/>
      <c r="R379" s="1"/>
      <c r="S379" s="1"/>
      <c r="T379" s="1"/>
    </row>
    <row r="380" ht="15.75" customHeight="1">
      <c r="A380" s="36"/>
      <c r="B380" s="37"/>
      <c r="C380" s="37"/>
      <c r="D380" s="37"/>
      <c r="E380" s="37"/>
      <c r="F380" s="37"/>
      <c r="G380" s="1"/>
      <c r="H380" s="1"/>
      <c r="I380" s="1"/>
      <c r="J380" s="1"/>
      <c r="K380" s="1"/>
      <c r="L380" s="1"/>
      <c r="M380" s="1"/>
      <c r="N380" s="1"/>
      <c r="O380" s="1"/>
      <c r="P380" s="1"/>
      <c r="Q380" s="1"/>
      <c r="R380" s="1"/>
      <c r="S380" s="1"/>
      <c r="T380" s="1"/>
    </row>
    <row r="381" ht="15.75" customHeight="1">
      <c r="A381" s="36"/>
      <c r="B381" s="37"/>
      <c r="C381" s="37"/>
      <c r="D381" s="37"/>
      <c r="E381" s="37"/>
      <c r="F381" s="37"/>
      <c r="G381" s="1"/>
      <c r="H381" s="1"/>
      <c r="I381" s="1"/>
      <c r="J381" s="1"/>
      <c r="K381" s="1"/>
      <c r="L381" s="1"/>
      <c r="M381" s="1"/>
      <c r="N381" s="1"/>
      <c r="O381" s="1"/>
      <c r="P381" s="1"/>
      <c r="Q381" s="1"/>
      <c r="R381" s="1"/>
      <c r="S381" s="1"/>
      <c r="T381" s="1"/>
    </row>
    <row r="382" ht="15.75" customHeight="1">
      <c r="A382" s="36"/>
      <c r="B382" s="37"/>
      <c r="C382" s="37"/>
      <c r="D382" s="37"/>
      <c r="E382" s="37"/>
      <c r="F382" s="37"/>
      <c r="G382" s="1"/>
      <c r="H382" s="1"/>
      <c r="I382" s="1"/>
      <c r="J382" s="1"/>
      <c r="K382" s="1"/>
      <c r="L382" s="1"/>
      <c r="M382" s="1"/>
      <c r="N382" s="1"/>
      <c r="O382" s="1"/>
      <c r="P382" s="1"/>
      <c r="Q382" s="1"/>
      <c r="R382" s="1"/>
      <c r="S382" s="1"/>
      <c r="T382" s="1"/>
    </row>
    <row r="383" ht="15.75" customHeight="1">
      <c r="A383" s="36"/>
      <c r="B383" s="37"/>
      <c r="C383" s="37"/>
      <c r="D383" s="37"/>
      <c r="E383" s="37"/>
      <c r="F383" s="37"/>
      <c r="G383" s="1"/>
      <c r="H383" s="1"/>
      <c r="I383" s="1"/>
      <c r="J383" s="1"/>
      <c r="K383" s="1"/>
      <c r="L383" s="1"/>
      <c r="M383" s="1"/>
      <c r="N383" s="1"/>
      <c r="O383" s="1"/>
      <c r="P383" s="1"/>
      <c r="Q383" s="1"/>
      <c r="R383" s="1"/>
      <c r="S383" s="1"/>
      <c r="T383" s="1"/>
    </row>
    <row r="384" ht="15.75" customHeight="1">
      <c r="A384" s="36"/>
      <c r="B384" s="37"/>
      <c r="C384" s="37"/>
      <c r="D384" s="37"/>
      <c r="E384" s="37"/>
      <c r="F384" s="37"/>
      <c r="G384" s="1"/>
      <c r="H384" s="1"/>
      <c r="I384" s="1"/>
      <c r="J384" s="1"/>
      <c r="K384" s="1"/>
      <c r="L384" s="1"/>
      <c r="M384" s="1"/>
      <c r="N384" s="1"/>
      <c r="O384" s="1"/>
      <c r="P384" s="1"/>
      <c r="Q384" s="1"/>
      <c r="R384" s="1"/>
      <c r="S384" s="1"/>
      <c r="T384" s="1"/>
    </row>
    <row r="385" ht="15.75" customHeight="1">
      <c r="A385" s="36"/>
      <c r="B385" s="37"/>
      <c r="C385" s="37"/>
      <c r="D385" s="37"/>
      <c r="E385" s="37"/>
      <c r="F385" s="37"/>
      <c r="G385" s="1"/>
      <c r="H385" s="1"/>
      <c r="I385" s="1"/>
      <c r="J385" s="1"/>
      <c r="K385" s="1"/>
      <c r="L385" s="1"/>
      <c r="M385" s="1"/>
      <c r="N385" s="1"/>
      <c r="O385" s="1"/>
      <c r="P385" s="1"/>
      <c r="Q385" s="1"/>
      <c r="R385" s="1"/>
      <c r="S385" s="1"/>
      <c r="T385" s="1"/>
    </row>
    <row r="386" ht="15.75" customHeight="1">
      <c r="A386" s="36"/>
      <c r="B386" s="37"/>
      <c r="C386" s="37"/>
      <c r="D386" s="37"/>
      <c r="E386" s="37"/>
      <c r="F386" s="37"/>
      <c r="G386" s="1"/>
      <c r="H386" s="1"/>
      <c r="I386" s="1"/>
      <c r="J386" s="1"/>
      <c r="K386" s="1"/>
      <c r="L386" s="1"/>
      <c r="M386" s="1"/>
      <c r="N386" s="1"/>
      <c r="O386" s="1"/>
      <c r="P386" s="1"/>
      <c r="Q386" s="1"/>
      <c r="R386" s="1"/>
      <c r="S386" s="1"/>
      <c r="T386" s="1"/>
    </row>
    <row r="387" ht="15.75" customHeight="1">
      <c r="A387" s="36"/>
      <c r="B387" s="37"/>
      <c r="C387" s="37"/>
      <c r="D387" s="37"/>
      <c r="E387" s="37"/>
      <c r="F387" s="37"/>
      <c r="G387" s="1"/>
      <c r="H387" s="1"/>
      <c r="I387" s="1"/>
      <c r="J387" s="1"/>
      <c r="K387" s="1"/>
      <c r="L387" s="1"/>
      <c r="M387" s="1"/>
      <c r="N387" s="1"/>
      <c r="O387" s="1"/>
      <c r="P387" s="1"/>
      <c r="Q387" s="1"/>
      <c r="R387" s="1"/>
      <c r="S387" s="1"/>
      <c r="T387" s="1"/>
    </row>
    <row r="388" ht="15.75" customHeight="1">
      <c r="A388" s="36"/>
      <c r="B388" s="37"/>
      <c r="C388" s="37"/>
      <c r="D388" s="37"/>
      <c r="E388" s="37"/>
      <c r="F388" s="37"/>
      <c r="G388" s="1"/>
      <c r="H388" s="1"/>
      <c r="I388" s="1"/>
      <c r="J388" s="1"/>
      <c r="K388" s="1"/>
      <c r="L388" s="1"/>
      <c r="M388" s="1"/>
      <c r="N388" s="1"/>
      <c r="O388" s="1"/>
      <c r="P388" s="1"/>
      <c r="Q388" s="1"/>
      <c r="R388" s="1"/>
      <c r="S388" s="1"/>
      <c r="T388" s="1"/>
    </row>
    <row r="389" ht="15.75" customHeight="1">
      <c r="A389" s="36"/>
      <c r="B389" s="37"/>
      <c r="C389" s="37"/>
      <c r="D389" s="37"/>
      <c r="E389" s="37"/>
      <c r="F389" s="37"/>
      <c r="G389" s="1"/>
      <c r="H389" s="1"/>
      <c r="I389" s="1"/>
      <c r="J389" s="1"/>
      <c r="K389" s="1"/>
      <c r="L389" s="1"/>
      <c r="M389" s="1"/>
      <c r="N389" s="1"/>
      <c r="O389" s="1"/>
      <c r="P389" s="1"/>
      <c r="Q389" s="1"/>
      <c r="R389" s="1"/>
      <c r="S389" s="1"/>
      <c r="T389" s="1"/>
    </row>
    <row r="390" ht="15.75" customHeight="1">
      <c r="A390" s="36"/>
      <c r="B390" s="37"/>
      <c r="C390" s="37"/>
      <c r="D390" s="37"/>
      <c r="E390" s="37"/>
      <c r="F390" s="37"/>
      <c r="G390" s="1"/>
      <c r="H390" s="1"/>
      <c r="I390" s="1"/>
      <c r="J390" s="1"/>
      <c r="K390" s="1"/>
      <c r="L390" s="1"/>
      <c r="M390" s="1"/>
      <c r="N390" s="1"/>
      <c r="O390" s="1"/>
      <c r="P390" s="1"/>
      <c r="Q390" s="1"/>
      <c r="R390" s="1"/>
      <c r="S390" s="1"/>
      <c r="T390" s="1"/>
    </row>
    <row r="391" ht="15.75" customHeight="1">
      <c r="A391" s="36"/>
      <c r="B391" s="37"/>
      <c r="C391" s="37"/>
      <c r="D391" s="37"/>
      <c r="E391" s="37"/>
      <c r="F391" s="37"/>
      <c r="G391" s="1"/>
      <c r="H391" s="1"/>
      <c r="I391" s="1"/>
      <c r="J391" s="1"/>
      <c r="K391" s="1"/>
      <c r="L391" s="1"/>
      <c r="M391" s="1"/>
      <c r="N391" s="1"/>
      <c r="O391" s="1"/>
      <c r="P391" s="1"/>
      <c r="Q391" s="1"/>
      <c r="R391" s="1"/>
      <c r="S391" s="1"/>
      <c r="T391" s="1"/>
    </row>
    <row r="392" ht="15.75" customHeight="1">
      <c r="A392" s="36"/>
      <c r="B392" s="37"/>
      <c r="C392" s="37"/>
      <c r="D392" s="37"/>
      <c r="E392" s="37"/>
      <c r="F392" s="37"/>
      <c r="G392" s="1"/>
      <c r="H392" s="1"/>
      <c r="I392" s="1"/>
      <c r="J392" s="1"/>
      <c r="K392" s="1"/>
      <c r="L392" s="1"/>
      <c r="M392" s="1"/>
      <c r="N392" s="1"/>
      <c r="O392" s="1"/>
      <c r="P392" s="1"/>
      <c r="Q392" s="1"/>
      <c r="R392" s="1"/>
      <c r="S392" s="1"/>
      <c r="T392" s="1"/>
    </row>
    <row r="393" ht="15.75" customHeight="1">
      <c r="A393" s="36"/>
      <c r="B393" s="37"/>
      <c r="C393" s="37"/>
      <c r="D393" s="37"/>
      <c r="E393" s="37"/>
      <c r="F393" s="37"/>
      <c r="G393" s="1"/>
      <c r="H393" s="1"/>
      <c r="I393" s="1"/>
      <c r="J393" s="1"/>
      <c r="K393" s="1"/>
      <c r="L393" s="1"/>
      <c r="M393" s="1"/>
      <c r="N393" s="1"/>
      <c r="O393" s="1"/>
      <c r="P393" s="1"/>
      <c r="Q393" s="1"/>
      <c r="R393" s="1"/>
      <c r="S393" s="1"/>
      <c r="T393" s="1"/>
    </row>
    <row r="394" ht="15.75" customHeight="1">
      <c r="A394" s="36"/>
      <c r="B394" s="37"/>
      <c r="C394" s="37"/>
      <c r="D394" s="37"/>
      <c r="E394" s="37"/>
      <c r="F394" s="37"/>
      <c r="G394" s="1"/>
      <c r="H394" s="1"/>
      <c r="I394" s="1"/>
      <c r="J394" s="1"/>
      <c r="K394" s="1"/>
      <c r="L394" s="1"/>
      <c r="M394" s="1"/>
      <c r="N394" s="1"/>
      <c r="O394" s="1"/>
      <c r="P394" s="1"/>
      <c r="Q394" s="1"/>
      <c r="R394" s="1"/>
      <c r="S394" s="1"/>
      <c r="T394" s="1"/>
    </row>
    <row r="395" ht="15.75" customHeight="1">
      <c r="A395" s="36"/>
      <c r="B395" s="37"/>
      <c r="C395" s="37"/>
      <c r="D395" s="37"/>
      <c r="E395" s="37"/>
      <c r="F395" s="37"/>
      <c r="G395" s="1"/>
      <c r="H395" s="1"/>
      <c r="I395" s="1"/>
      <c r="J395" s="1"/>
      <c r="K395" s="1"/>
      <c r="L395" s="1"/>
      <c r="M395" s="1"/>
      <c r="N395" s="1"/>
      <c r="O395" s="1"/>
      <c r="P395" s="1"/>
      <c r="Q395" s="1"/>
      <c r="R395" s="1"/>
      <c r="S395" s="1"/>
      <c r="T395" s="1"/>
    </row>
    <row r="396" ht="15.75" customHeight="1">
      <c r="A396" s="36"/>
      <c r="B396" s="37"/>
      <c r="C396" s="37"/>
      <c r="D396" s="37"/>
      <c r="E396" s="37"/>
      <c r="F396" s="37"/>
      <c r="G396" s="1"/>
      <c r="H396" s="1"/>
      <c r="I396" s="1"/>
      <c r="J396" s="1"/>
      <c r="K396" s="1"/>
      <c r="L396" s="1"/>
      <c r="M396" s="1"/>
      <c r="N396" s="1"/>
      <c r="O396" s="1"/>
      <c r="P396" s="1"/>
      <c r="Q396" s="1"/>
      <c r="R396" s="1"/>
      <c r="S396" s="1"/>
      <c r="T396" s="1"/>
    </row>
    <row r="397" ht="15.75" customHeight="1">
      <c r="A397" s="36"/>
      <c r="B397" s="37"/>
      <c r="C397" s="37"/>
      <c r="D397" s="37"/>
      <c r="E397" s="37"/>
      <c r="F397" s="37"/>
      <c r="G397" s="1"/>
      <c r="H397" s="1"/>
      <c r="I397" s="1"/>
      <c r="J397" s="1"/>
      <c r="K397" s="1"/>
      <c r="L397" s="1"/>
      <c r="M397" s="1"/>
      <c r="N397" s="1"/>
      <c r="O397" s="1"/>
      <c r="P397" s="1"/>
      <c r="Q397" s="1"/>
      <c r="R397" s="1"/>
      <c r="S397" s="1"/>
      <c r="T397" s="1"/>
    </row>
    <row r="398" ht="15.75" customHeight="1">
      <c r="A398" s="36"/>
      <c r="B398" s="37"/>
      <c r="C398" s="37"/>
      <c r="D398" s="37"/>
      <c r="E398" s="37"/>
      <c r="F398" s="37"/>
      <c r="G398" s="1"/>
      <c r="H398" s="1"/>
      <c r="I398" s="1"/>
      <c r="J398" s="1"/>
      <c r="K398" s="1"/>
      <c r="L398" s="1"/>
      <c r="M398" s="1"/>
      <c r="N398" s="1"/>
      <c r="O398" s="1"/>
      <c r="P398" s="1"/>
      <c r="Q398" s="1"/>
      <c r="R398" s="1"/>
      <c r="S398" s="1"/>
      <c r="T398" s="1"/>
    </row>
    <row r="399" ht="15.75" customHeight="1">
      <c r="A399" s="36"/>
      <c r="B399" s="37"/>
      <c r="C399" s="37"/>
      <c r="D399" s="37"/>
      <c r="E399" s="37"/>
      <c r="F399" s="37"/>
      <c r="G399" s="1"/>
      <c r="H399" s="1"/>
      <c r="I399" s="1"/>
      <c r="J399" s="1"/>
      <c r="K399" s="1"/>
      <c r="L399" s="1"/>
      <c r="M399" s="1"/>
      <c r="N399" s="1"/>
      <c r="O399" s="1"/>
      <c r="P399" s="1"/>
      <c r="Q399" s="1"/>
      <c r="R399" s="1"/>
      <c r="S399" s="1"/>
      <c r="T399" s="1"/>
    </row>
    <row r="400" ht="15.75" customHeight="1">
      <c r="A400" s="36"/>
      <c r="B400" s="37"/>
      <c r="C400" s="37"/>
      <c r="D400" s="37"/>
      <c r="E400" s="37"/>
      <c r="F400" s="37"/>
      <c r="G400" s="1"/>
      <c r="H400" s="1"/>
      <c r="I400" s="1"/>
      <c r="J400" s="1"/>
      <c r="K400" s="1"/>
      <c r="L400" s="1"/>
      <c r="M400" s="1"/>
      <c r="N400" s="1"/>
      <c r="O400" s="1"/>
      <c r="P400" s="1"/>
      <c r="Q400" s="1"/>
      <c r="R400" s="1"/>
      <c r="S400" s="1"/>
      <c r="T400" s="1"/>
    </row>
    <row r="401" ht="15.75" customHeight="1">
      <c r="A401" s="36"/>
      <c r="B401" s="37"/>
      <c r="C401" s="37"/>
      <c r="D401" s="37"/>
      <c r="E401" s="37"/>
      <c r="F401" s="37"/>
      <c r="G401" s="1"/>
      <c r="H401" s="1"/>
      <c r="I401" s="1"/>
      <c r="J401" s="1"/>
      <c r="K401" s="1"/>
      <c r="L401" s="1"/>
      <c r="M401" s="1"/>
      <c r="N401" s="1"/>
      <c r="O401" s="1"/>
      <c r="P401" s="1"/>
      <c r="Q401" s="1"/>
      <c r="R401" s="1"/>
      <c r="S401" s="1"/>
      <c r="T401" s="1"/>
    </row>
    <row r="402" ht="15.75" customHeight="1">
      <c r="A402" s="36"/>
      <c r="B402" s="37"/>
      <c r="C402" s="37"/>
      <c r="D402" s="37"/>
      <c r="E402" s="37"/>
      <c r="F402" s="37"/>
      <c r="G402" s="1"/>
      <c r="H402" s="1"/>
      <c r="I402" s="1"/>
      <c r="J402" s="1"/>
      <c r="K402" s="1"/>
      <c r="L402" s="1"/>
      <c r="M402" s="1"/>
      <c r="N402" s="1"/>
      <c r="O402" s="1"/>
      <c r="P402" s="1"/>
      <c r="Q402" s="1"/>
      <c r="R402" s="1"/>
      <c r="S402" s="1"/>
      <c r="T402" s="1"/>
    </row>
    <row r="403" ht="15.75" customHeight="1">
      <c r="A403" s="36"/>
      <c r="B403" s="37"/>
      <c r="C403" s="37"/>
      <c r="D403" s="37"/>
      <c r="E403" s="37"/>
      <c r="F403" s="37"/>
      <c r="G403" s="1"/>
      <c r="H403" s="1"/>
      <c r="I403" s="1"/>
      <c r="J403" s="1"/>
      <c r="K403" s="1"/>
      <c r="L403" s="1"/>
      <c r="M403" s="1"/>
      <c r="N403" s="1"/>
      <c r="O403" s="1"/>
      <c r="P403" s="1"/>
      <c r="Q403" s="1"/>
      <c r="R403" s="1"/>
      <c r="S403" s="1"/>
      <c r="T403" s="1"/>
    </row>
    <row r="404" ht="15.75" customHeight="1">
      <c r="A404" s="36"/>
      <c r="B404" s="37"/>
      <c r="C404" s="37"/>
      <c r="D404" s="37"/>
      <c r="E404" s="37"/>
      <c r="F404" s="37"/>
      <c r="G404" s="1"/>
      <c r="H404" s="1"/>
      <c r="I404" s="1"/>
      <c r="J404" s="1"/>
      <c r="K404" s="1"/>
      <c r="L404" s="1"/>
      <c r="M404" s="1"/>
      <c r="N404" s="1"/>
      <c r="O404" s="1"/>
      <c r="P404" s="1"/>
      <c r="Q404" s="1"/>
      <c r="R404" s="1"/>
      <c r="S404" s="1"/>
      <c r="T404" s="1"/>
    </row>
    <row r="405" ht="15.75" customHeight="1">
      <c r="A405" s="36"/>
      <c r="B405" s="37"/>
      <c r="C405" s="37"/>
      <c r="D405" s="37"/>
      <c r="E405" s="37"/>
      <c r="F405" s="37"/>
      <c r="G405" s="1"/>
      <c r="H405" s="1"/>
      <c r="I405" s="1"/>
      <c r="J405" s="1"/>
      <c r="K405" s="1"/>
      <c r="L405" s="1"/>
      <c r="M405" s="1"/>
      <c r="N405" s="1"/>
      <c r="O405" s="1"/>
      <c r="P405" s="1"/>
      <c r="Q405" s="1"/>
      <c r="R405" s="1"/>
      <c r="S405" s="1"/>
      <c r="T405" s="1"/>
    </row>
    <row r="406" ht="15.75" customHeight="1">
      <c r="A406" s="36"/>
      <c r="B406" s="37"/>
      <c r="C406" s="37"/>
      <c r="D406" s="37"/>
      <c r="E406" s="37"/>
      <c r="F406" s="37"/>
      <c r="G406" s="1"/>
      <c r="H406" s="1"/>
      <c r="I406" s="1"/>
      <c r="J406" s="1"/>
      <c r="K406" s="1"/>
      <c r="L406" s="1"/>
      <c r="M406" s="1"/>
      <c r="N406" s="1"/>
      <c r="O406" s="1"/>
      <c r="P406" s="1"/>
      <c r="Q406" s="1"/>
      <c r="R406" s="1"/>
      <c r="S406" s="1"/>
      <c r="T406" s="1"/>
    </row>
    <row r="407" ht="15.75" customHeight="1">
      <c r="A407" s="36"/>
      <c r="B407" s="37"/>
      <c r="C407" s="37"/>
      <c r="D407" s="37"/>
      <c r="E407" s="37"/>
      <c r="F407" s="37"/>
      <c r="G407" s="1"/>
      <c r="H407" s="1"/>
      <c r="I407" s="1"/>
      <c r="J407" s="1"/>
      <c r="K407" s="1"/>
      <c r="L407" s="1"/>
      <c r="M407" s="1"/>
      <c r="N407" s="1"/>
      <c r="O407" s="1"/>
      <c r="P407" s="1"/>
      <c r="Q407" s="1"/>
      <c r="R407" s="1"/>
      <c r="S407" s="1"/>
      <c r="T407" s="1"/>
    </row>
    <row r="408" ht="15.75" customHeight="1">
      <c r="A408" s="36"/>
      <c r="B408" s="37"/>
      <c r="C408" s="37"/>
      <c r="D408" s="37"/>
      <c r="E408" s="37"/>
      <c r="F408" s="37"/>
      <c r="G408" s="1"/>
      <c r="H408" s="1"/>
      <c r="I408" s="1"/>
      <c r="J408" s="1"/>
      <c r="K408" s="1"/>
      <c r="L408" s="1"/>
      <c r="M408" s="1"/>
      <c r="N408" s="1"/>
      <c r="O408" s="1"/>
      <c r="P408" s="1"/>
      <c r="Q408" s="1"/>
      <c r="R408" s="1"/>
      <c r="S408" s="1"/>
      <c r="T408" s="1"/>
    </row>
    <row r="409" ht="15.75" customHeight="1">
      <c r="A409" s="36"/>
      <c r="B409" s="37"/>
      <c r="C409" s="37"/>
      <c r="D409" s="37"/>
      <c r="E409" s="37"/>
      <c r="F409" s="37"/>
      <c r="G409" s="1"/>
      <c r="H409" s="1"/>
      <c r="I409" s="1"/>
      <c r="J409" s="1"/>
      <c r="K409" s="1"/>
      <c r="L409" s="1"/>
      <c r="M409" s="1"/>
      <c r="N409" s="1"/>
      <c r="O409" s="1"/>
      <c r="P409" s="1"/>
      <c r="Q409" s="1"/>
      <c r="R409" s="1"/>
      <c r="S409" s="1"/>
      <c r="T409" s="1"/>
    </row>
    <row r="410" ht="15.75" customHeight="1">
      <c r="A410" s="36"/>
      <c r="B410" s="37"/>
      <c r="C410" s="37"/>
      <c r="D410" s="37"/>
      <c r="E410" s="37"/>
      <c r="F410" s="37"/>
      <c r="G410" s="1"/>
      <c r="H410" s="1"/>
      <c r="I410" s="1"/>
      <c r="J410" s="1"/>
      <c r="K410" s="1"/>
      <c r="L410" s="1"/>
      <c r="M410" s="1"/>
      <c r="N410" s="1"/>
      <c r="O410" s="1"/>
      <c r="P410" s="1"/>
      <c r="Q410" s="1"/>
      <c r="R410" s="1"/>
      <c r="S410" s="1"/>
      <c r="T410" s="1"/>
    </row>
    <row r="411" ht="15.75" customHeight="1">
      <c r="A411" s="36"/>
      <c r="B411" s="37"/>
      <c r="C411" s="37"/>
      <c r="D411" s="37"/>
      <c r="E411" s="37"/>
      <c r="F411" s="37"/>
      <c r="G411" s="1"/>
      <c r="H411" s="1"/>
      <c r="I411" s="1"/>
      <c r="J411" s="1"/>
      <c r="K411" s="1"/>
      <c r="L411" s="1"/>
      <c r="M411" s="1"/>
      <c r="N411" s="1"/>
      <c r="O411" s="1"/>
      <c r="P411" s="1"/>
      <c r="Q411" s="1"/>
      <c r="R411" s="1"/>
      <c r="S411" s="1"/>
      <c r="T411" s="1"/>
    </row>
    <row r="412" ht="15.75" customHeight="1">
      <c r="A412" s="36"/>
      <c r="B412" s="37"/>
      <c r="C412" s="37"/>
      <c r="D412" s="37"/>
      <c r="E412" s="37"/>
      <c r="F412" s="37"/>
      <c r="G412" s="1"/>
      <c r="H412" s="1"/>
      <c r="I412" s="1"/>
      <c r="J412" s="1"/>
      <c r="K412" s="1"/>
      <c r="L412" s="1"/>
      <c r="M412" s="1"/>
      <c r="N412" s="1"/>
      <c r="O412" s="1"/>
      <c r="P412" s="1"/>
      <c r="Q412" s="1"/>
      <c r="R412" s="1"/>
      <c r="S412" s="1"/>
      <c r="T412" s="1"/>
    </row>
    <row r="413" ht="15.75" customHeight="1">
      <c r="A413" s="36"/>
      <c r="B413" s="37"/>
      <c r="C413" s="37"/>
      <c r="D413" s="37"/>
      <c r="E413" s="37"/>
      <c r="F413" s="37"/>
      <c r="G413" s="1"/>
      <c r="H413" s="1"/>
      <c r="I413" s="1"/>
      <c r="J413" s="1"/>
      <c r="K413" s="1"/>
      <c r="L413" s="1"/>
      <c r="M413" s="1"/>
      <c r="N413" s="1"/>
      <c r="O413" s="1"/>
      <c r="P413" s="1"/>
      <c r="Q413" s="1"/>
      <c r="R413" s="1"/>
      <c r="S413" s="1"/>
      <c r="T413" s="1"/>
    </row>
    <row r="414" ht="15.75" customHeight="1">
      <c r="A414" s="36"/>
      <c r="B414" s="37"/>
      <c r="C414" s="37"/>
      <c r="D414" s="37"/>
      <c r="E414" s="37"/>
      <c r="F414" s="37"/>
      <c r="G414" s="1"/>
      <c r="H414" s="1"/>
      <c r="I414" s="1"/>
      <c r="J414" s="1"/>
      <c r="K414" s="1"/>
      <c r="L414" s="1"/>
      <c r="M414" s="1"/>
      <c r="N414" s="1"/>
      <c r="O414" s="1"/>
      <c r="P414" s="1"/>
      <c r="Q414" s="1"/>
      <c r="R414" s="1"/>
      <c r="S414" s="1"/>
      <c r="T414" s="1"/>
    </row>
    <row r="415" ht="15.75" customHeight="1">
      <c r="A415" s="36"/>
      <c r="B415" s="37"/>
      <c r="C415" s="37"/>
      <c r="D415" s="37"/>
      <c r="E415" s="37"/>
      <c r="F415" s="37"/>
      <c r="G415" s="1"/>
      <c r="H415" s="1"/>
      <c r="I415" s="1"/>
      <c r="J415" s="1"/>
      <c r="K415" s="1"/>
      <c r="L415" s="1"/>
      <c r="M415" s="1"/>
      <c r="N415" s="1"/>
      <c r="O415" s="1"/>
      <c r="P415" s="1"/>
      <c r="Q415" s="1"/>
      <c r="R415" s="1"/>
      <c r="S415" s="1"/>
      <c r="T415" s="1"/>
    </row>
    <row r="416" ht="15.75" customHeight="1">
      <c r="A416" s="36"/>
      <c r="B416" s="37"/>
      <c r="C416" s="37"/>
      <c r="D416" s="37"/>
      <c r="E416" s="37"/>
      <c r="F416" s="37"/>
      <c r="G416" s="1"/>
      <c r="H416" s="1"/>
      <c r="I416" s="1"/>
      <c r="J416" s="1"/>
      <c r="K416" s="1"/>
      <c r="L416" s="1"/>
      <c r="M416" s="1"/>
      <c r="N416" s="1"/>
      <c r="O416" s="1"/>
      <c r="P416" s="1"/>
      <c r="Q416" s="1"/>
      <c r="R416" s="1"/>
      <c r="S416" s="1"/>
      <c r="T416" s="1"/>
    </row>
    <row r="417" ht="15.75" customHeight="1">
      <c r="A417" s="36"/>
      <c r="B417" s="37"/>
      <c r="C417" s="37"/>
      <c r="D417" s="37"/>
      <c r="E417" s="37"/>
      <c r="F417" s="37"/>
      <c r="G417" s="1"/>
      <c r="H417" s="1"/>
      <c r="I417" s="1"/>
      <c r="J417" s="1"/>
      <c r="K417" s="1"/>
      <c r="L417" s="1"/>
      <c r="M417" s="1"/>
      <c r="N417" s="1"/>
      <c r="O417" s="1"/>
      <c r="P417" s="1"/>
      <c r="Q417" s="1"/>
      <c r="R417" s="1"/>
      <c r="S417" s="1"/>
      <c r="T417" s="1"/>
    </row>
    <row r="418" ht="15.75" customHeight="1">
      <c r="A418" s="36"/>
      <c r="B418" s="37"/>
      <c r="C418" s="37"/>
      <c r="D418" s="37"/>
      <c r="E418" s="37"/>
      <c r="F418" s="37"/>
      <c r="G418" s="1"/>
      <c r="H418" s="1"/>
      <c r="I418" s="1"/>
      <c r="J418" s="1"/>
      <c r="K418" s="1"/>
      <c r="L418" s="1"/>
      <c r="M418" s="1"/>
      <c r="N418" s="1"/>
      <c r="O418" s="1"/>
      <c r="P418" s="1"/>
      <c r="Q418" s="1"/>
      <c r="R418" s="1"/>
      <c r="S418" s="1"/>
      <c r="T418" s="1"/>
    </row>
    <row r="419" ht="15.75" customHeight="1">
      <c r="A419" s="36"/>
      <c r="B419" s="37"/>
      <c r="C419" s="37"/>
      <c r="D419" s="37"/>
      <c r="E419" s="37"/>
      <c r="F419" s="37"/>
      <c r="G419" s="1"/>
      <c r="H419" s="1"/>
      <c r="I419" s="1"/>
      <c r="J419" s="1"/>
      <c r="K419" s="1"/>
      <c r="L419" s="1"/>
      <c r="M419" s="1"/>
      <c r="N419" s="1"/>
      <c r="O419" s="1"/>
      <c r="P419" s="1"/>
      <c r="Q419" s="1"/>
      <c r="R419" s="1"/>
      <c r="S419" s="1"/>
      <c r="T419" s="1"/>
    </row>
    <row r="420" ht="15.75" customHeight="1">
      <c r="A420" s="36"/>
      <c r="B420" s="37"/>
      <c r="C420" s="37"/>
      <c r="D420" s="37"/>
      <c r="E420" s="37"/>
      <c r="F420" s="37"/>
      <c r="G420" s="1"/>
      <c r="H420" s="1"/>
      <c r="I420" s="1"/>
      <c r="J420" s="1"/>
      <c r="K420" s="1"/>
      <c r="L420" s="1"/>
      <c r="M420" s="1"/>
      <c r="N420" s="1"/>
      <c r="O420" s="1"/>
      <c r="P420" s="1"/>
      <c r="Q420" s="1"/>
      <c r="R420" s="1"/>
      <c r="S420" s="1"/>
      <c r="T420" s="1"/>
    </row>
    <row r="421" ht="15.75" customHeight="1">
      <c r="A421" s="36"/>
      <c r="B421" s="37"/>
      <c r="C421" s="37"/>
      <c r="D421" s="37"/>
      <c r="E421" s="37"/>
      <c r="F421" s="37"/>
      <c r="G421" s="1"/>
      <c r="H421" s="1"/>
      <c r="I421" s="1"/>
      <c r="J421" s="1"/>
      <c r="K421" s="1"/>
      <c r="L421" s="1"/>
      <c r="M421" s="1"/>
      <c r="N421" s="1"/>
      <c r="O421" s="1"/>
      <c r="P421" s="1"/>
      <c r="Q421" s="1"/>
      <c r="R421" s="1"/>
      <c r="S421" s="1"/>
      <c r="T421" s="1"/>
    </row>
    <row r="422" ht="15.75" customHeight="1">
      <c r="A422" s="36"/>
      <c r="B422" s="37"/>
      <c r="C422" s="37"/>
      <c r="D422" s="37"/>
      <c r="E422" s="37"/>
      <c r="F422" s="37"/>
      <c r="G422" s="1"/>
      <c r="H422" s="1"/>
      <c r="I422" s="1"/>
      <c r="J422" s="1"/>
      <c r="K422" s="1"/>
      <c r="L422" s="1"/>
      <c r="M422" s="1"/>
      <c r="N422" s="1"/>
      <c r="O422" s="1"/>
      <c r="P422" s="1"/>
      <c r="Q422" s="1"/>
      <c r="R422" s="1"/>
      <c r="S422" s="1"/>
      <c r="T422" s="1"/>
    </row>
    <row r="423" ht="15.75" customHeight="1">
      <c r="A423" s="36"/>
      <c r="B423" s="37"/>
      <c r="C423" s="37"/>
      <c r="D423" s="37"/>
      <c r="E423" s="37"/>
      <c r="F423" s="37"/>
      <c r="G423" s="1"/>
      <c r="H423" s="1"/>
      <c r="I423" s="1"/>
      <c r="J423" s="1"/>
      <c r="K423" s="1"/>
      <c r="L423" s="1"/>
      <c r="M423" s="1"/>
      <c r="N423" s="1"/>
      <c r="O423" s="1"/>
      <c r="P423" s="1"/>
      <c r="Q423" s="1"/>
      <c r="R423" s="1"/>
      <c r="S423" s="1"/>
      <c r="T423" s="1"/>
    </row>
    <row r="424" ht="15.75" customHeight="1">
      <c r="A424" s="36"/>
      <c r="B424" s="37"/>
      <c r="C424" s="37"/>
      <c r="D424" s="37"/>
      <c r="E424" s="37"/>
      <c r="F424" s="37"/>
      <c r="G424" s="1"/>
      <c r="H424" s="1"/>
      <c r="I424" s="1"/>
      <c r="J424" s="1"/>
      <c r="K424" s="1"/>
      <c r="L424" s="1"/>
      <c r="M424" s="1"/>
      <c r="N424" s="1"/>
      <c r="O424" s="1"/>
      <c r="P424" s="1"/>
      <c r="Q424" s="1"/>
      <c r="R424" s="1"/>
      <c r="S424" s="1"/>
      <c r="T424" s="1"/>
    </row>
    <row r="425" ht="15.75" customHeight="1">
      <c r="A425" s="36"/>
      <c r="B425" s="37"/>
      <c r="C425" s="37"/>
      <c r="D425" s="37"/>
      <c r="E425" s="37"/>
      <c r="F425" s="37"/>
      <c r="G425" s="1"/>
      <c r="H425" s="1"/>
      <c r="I425" s="1"/>
      <c r="J425" s="1"/>
      <c r="K425" s="1"/>
      <c r="L425" s="1"/>
      <c r="M425" s="1"/>
      <c r="N425" s="1"/>
      <c r="O425" s="1"/>
      <c r="P425" s="1"/>
      <c r="Q425" s="1"/>
      <c r="R425" s="1"/>
      <c r="S425" s="1"/>
      <c r="T425" s="1"/>
    </row>
    <row r="426" ht="15.75" customHeight="1">
      <c r="A426" s="36"/>
      <c r="B426" s="37"/>
      <c r="C426" s="37"/>
      <c r="D426" s="37"/>
      <c r="E426" s="37"/>
      <c r="F426" s="37"/>
      <c r="G426" s="1"/>
      <c r="H426" s="1"/>
      <c r="I426" s="1"/>
      <c r="J426" s="1"/>
      <c r="K426" s="1"/>
      <c r="L426" s="1"/>
      <c r="M426" s="1"/>
      <c r="N426" s="1"/>
      <c r="O426" s="1"/>
      <c r="P426" s="1"/>
      <c r="Q426" s="1"/>
      <c r="R426" s="1"/>
      <c r="S426" s="1"/>
      <c r="T426" s="1"/>
    </row>
    <row r="427" ht="15.75" customHeight="1">
      <c r="A427" s="36"/>
      <c r="B427" s="37"/>
      <c r="C427" s="37"/>
      <c r="D427" s="37"/>
      <c r="E427" s="37"/>
      <c r="F427" s="37"/>
      <c r="G427" s="1"/>
      <c r="H427" s="1"/>
      <c r="I427" s="1"/>
      <c r="J427" s="1"/>
      <c r="K427" s="1"/>
      <c r="L427" s="1"/>
      <c r="M427" s="1"/>
      <c r="N427" s="1"/>
      <c r="O427" s="1"/>
      <c r="P427" s="1"/>
      <c r="Q427" s="1"/>
      <c r="R427" s="1"/>
      <c r="S427" s="1"/>
      <c r="T427" s="1"/>
    </row>
    <row r="428" ht="15.75" customHeight="1">
      <c r="A428" s="36"/>
      <c r="B428" s="37"/>
      <c r="C428" s="37"/>
      <c r="D428" s="37"/>
      <c r="E428" s="37"/>
      <c r="F428" s="37"/>
      <c r="G428" s="1"/>
      <c r="H428" s="1"/>
      <c r="I428" s="1"/>
      <c r="J428" s="1"/>
      <c r="K428" s="1"/>
      <c r="L428" s="1"/>
      <c r="M428" s="1"/>
      <c r="N428" s="1"/>
      <c r="O428" s="1"/>
      <c r="P428" s="1"/>
      <c r="Q428" s="1"/>
      <c r="R428" s="1"/>
      <c r="S428" s="1"/>
      <c r="T428" s="1"/>
    </row>
    <row r="429" ht="15.75" customHeight="1">
      <c r="A429" s="36"/>
      <c r="B429" s="37"/>
      <c r="C429" s="37"/>
      <c r="D429" s="37"/>
      <c r="E429" s="37"/>
      <c r="F429" s="37"/>
      <c r="G429" s="1"/>
      <c r="H429" s="1"/>
      <c r="I429" s="1"/>
      <c r="J429" s="1"/>
      <c r="K429" s="1"/>
      <c r="L429" s="1"/>
      <c r="M429" s="1"/>
      <c r="N429" s="1"/>
      <c r="O429" s="1"/>
      <c r="P429" s="1"/>
      <c r="Q429" s="1"/>
      <c r="R429" s="1"/>
      <c r="S429" s="1"/>
      <c r="T429" s="1"/>
    </row>
    <row r="430" ht="15.75" customHeight="1">
      <c r="A430" s="36"/>
      <c r="B430" s="37"/>
      <c r="C430" s="37"/>
      <c r="D430" s="37"/>
      <c r="E430" s="37"/>
      <c r="F430" s="37"/>
      <c r="G430" s="1"/>
      <c r="H430" s="1"/>
      <c r="I430" s="1"/>
      <c r="J430" s="1"/>
      <c r="K430" s="1"/>
      <c r="L430" s="1"/>
      <c r="M430" s="1"/>
      <c r="N430" s="1"/>
      <c r="O430" s="1"/>
      <c r="P430" s="1"/>
      <c r="Q430" s="1"/>
      <c r="R430" s="1"/>
      <c r="S430" s="1"/>
      <c r="T430" s="1"/>
    </row>
    <row r="431" ht="15.75" customHeight="1">
      <c r="A431" s="36"/>
      <c r="B431" s="37"/>
      <c r="C431" s="37"/>
      <c r="D431" s="37"/>
      <c r="E431" s="37"/>
      <c r="F431" s="37"/>
      <c r="G431" s="1"/>
      <c r="H431" s="1"/>
      <c r="I431" s="1"/>
      <c r="J431" s="1"/>
      <c r="K431" s="1"/>
      <c r="L431" s="1"/>
      <c r="M431" s="1"/>
      <c r="N431" s="1"/>
      <c r="O431" s="1"/>
      <c r="P431" s="1"/>
      <c r="Q431" s="1"/>
      <c r="R431" s="1"/>
      <c r="S431" s="1"/>
      <c r="T431" s="1"/>
    </row>
    <row r="432" ht="15.75" customHeight="1">
      <c r="A432" s="36"/>
      <c r="B432" s="37"/>
      <c r="C432" s="37"/>
      <c r="D432" s="37"/>
      <c r="E432" s="37"/>
      <c r="F432" s="37"/>
      <c r="G432" s="1"/>
      <c r="H432" s="1"/>
      <c r="I432" s="1"/>
      <c r="J432" s="1"/>
      <c r="K432" s="1"/>
      <c r="L432" s="1"/>
      <c r="M432" s="1"/>
      <c r="N432" s="1"/>
      <c r="O432" s="1"/>
      <c r="P432" s="1"/>
      <c r="Q432" s="1"/>
      <c r="R432" s="1"/>
      <c r="S432" s="1"/>
      <c r="T432" s="1"/>
    </row>
    <row r="433" ht="15.75" customHeight="1">
      <c r="A433" s="36"/>
      <c r="B433" s="37"/>
      <c r="C433" s="37"/>
      <c r="D433" s="37"/>
      <c r="E433" s="37"/>
      <c r="F433" s="37"/>
      <c r="G433" s="1"/>
      <c r="H433" s="1"/>
      <c r="I433" s="1"/>
      <c r="J433" s="1"/>
      <c r="K433" s="1"/>
      <c r="L433" s="1"/>
      <c r="M433" s="1"/>
      <c r="N433" s="1"/>
      <c r="O433" s="1"/>
      <c r="P433" s="1"/>
      <c r="Q433" s="1"/>
      <c r="R433" s="1"/>
      <c r="S433" s="1"/>
      <c r="T433" s="1"/>
    </row>
    <row r="434" ht="15.75" customHeight="1">
      <c r="A434" s="36"/>
      <c r="B434" s="37"/>
      <c r="C434" s="37"/>
      <c r="D434" s="37"/>
      <c r="E434" s="37"/>
      <c r="F434" s="37"/>
      <c r="G434" s="1"/>
      <c r="H434" s="1"/>
      <c r="I434" s="1"/>
      <c r="J434" s="1"/>
      <c r="K434" s="1"/>
      <c r="L434" s="1"/>
      <c r="M434" s="1"/>
      <c r="N434" s="1"/>
      <c r="O434" s="1"/>
      <c r="P434" s="1"/>
      <c r="Q434" s="1"/>
      <c r="R434" s="1"/>
      <c r="S434" s="1"/>
      <c r="T434" s="1"/>
    </row>
    <row r="435" ht="15.75" customHeight="1">
      <c r="A435" s="36"/>
      <c r="B435" s="37"/>
      <c r="C435" s="37"/>
      <c r="D435" s="37"/>
      <c r="E435" s="37"/>
      <c r="F435" s="37"/>
      <c r="G435" s="1"/>
      <c r="H435" s="1"/>
      <c r="I435" s="1"/>
      <c r="J435" s="1"/>
      <c r="K435" s="1"/>
      <c r="L435" s="1"/>
      <c r="M435" s="1"/>
      <c r="N435" s="1"/>
      <c r="O435" s="1"/>
      <c r="P435" s="1"/>
      <c r="Q435" s="1"/>
      <c r="R435" s="1"/>
      <c r="S435" s="1"/>
      <c r="T435" s="1"/>
    </row>
    <row r="436" ht="15.75" customHeight="1">
      <c r="A436" s="36"/>
      <c r="B436" s="37"/>
      <c r="C436" s="37"/>
      <c r="D436" s="37"/>
      <c r="E436" s="37"/>
      <c r="F436" s="37"/>
      <c r="G436" s="1"/>
      <c r="H436" s="1"/>
      <c r="I436" s="1"/>
      <c r="J436" s="1"/>
      <c r="K436" s="1"/>
      <c r="L436" s="1"/>
      <c r="M436" s="1"/>
      <c r="N436" s="1"/>
      <c r="O436" s="1"/>
      <c r="P436" s="1"/>
      <c r="Q436" s="1"/>
      <c r="R436" s="1"/>
      <c r="S436" s="1"/>
      <c r="T436" s="1"/>
    </row>
    <row r="437" ht="15.75" customHeight="1">
      <c r="A437" s="36"/>
      <c r="B437" s="37"/>
      <c r="C437" s="37"/>
      <c r="D437" s="37"/>
      <c r="E437" s="37"/>
      <c r="F437" s="37"/>
      <c r="G437" s="1"/>
      <c r="H437" s="1"/>
      <c r="I437" s="1"/>
      <c r="J437" s="1"/>
      <c r="K437" s="1"/>
      <c r="L437" s="1"/>
      <c r="M437" s="1"/>
      <c r="N437" s="1"/>
      <c r="O437" s="1"/>
      <c r="P437" s="1"/>
      <c r="Q437" s="1"/>
      <c r="R437" s="1"/>
      <c r="S437" s="1"/>
      <c r="T437" s="1"/>
    </row>
    <row r="438" ht="15.75" customHeight="1">
      <c r="A438" s="36"/>
      <c r="B438" s="37"/>
      <c r="C438" s="37"/>
      <c r="D438" s="37"/>
      <c r="E438" s="37"/>
      <c r="F438" s="37"/>
      <c r="G438" s="1"/>
      <c r="H438" s="1"/>
      <c r="I438" s="1"/>
      <c r="J438" s="1"/>
      <c r="K438" s="1"/>
      <c r="L438" s="1"/>
      <c r="M438" s="1"/>
      <c r="N438" s="1"/>
      <c r="O438" s="1"/>
      <c r="P438" s="1"/>
      <c r="Q438" s="1"/>
      <c r="R438" s="1"/>
      <c r="S438" s="1"/>
      <c r="T438" s="1"/>
    </row>
    <row r="439" ht="15.75" customHeight="1">
      <c r="A439" s="36"/>
      <c r="B439" s="37"/>
      <c r="C439" s="37"/>
      <c r="D439" s="37"/>
      <c r="E439" s="37"/>
      <c r="F439" s="37"/>
      <c r="G439" s="1"/>
      <c r="H439" s="1"/>
      <c r="I439" s="1"/>
      <c r="J439" s="1"/>
      <c r="K439" s="1"/>
      <c r="L439" s="1"/>
      <c r="M439" s="1"/>
      <c r="N439" s="1"/>
      <c r="O439" s="1"/>
      <c r="P439" s="1"/>
      <c r="Q439" s="1"/>
      <c r="R439" s="1"/>
      <c r="S439" s="1"/>
      <c r="T439" s="1"/>
    </row>
    <row r="440" ht="15.75" customHeight="1">
      <c r="A440" s="36"/>
      <c r="B440" s="37"/>
      <c r="C440" s="37"/>
      <c r="D440" s="37"/>
      <c r="E440" s="37"/>
      <c r="F440" s="37"/>
      <c r="G440" s="1"/>
      <c r="H440" s="1"/>
      <c r="I440" s="1"/>
      <c r="J440" s="1"/>
      <c r="K440" s="1"/>
      <c r="L440" s="1"/>
      <c r="M440" s="1"/>
      <c r="N440" s="1"/>
      <c r="O440" s="1"/>
      <c r="P440" s="1"/>
      <c r="Q440" s="1"/>
      <c r="R440" s="1"/>
      <c r="S440" s="1"/>
      <c r="T440" s="1"/>
    </row>
    <row r="441" ht="15.75" customHeight="1">
      <c r="A441" s="36"/>
      <c r="B441" s="37"/>
      <c r="C441" s="37"/>
      <c r="D441" s="37"/>
      <c r="E441" s="37"/>
      <c r="F441" s="37"/>
      <c r="G441" s="1"/>
      <c r="H441" s="1"/>
      <c r="I441" s="1"/>
      <c r="J441" s="1"/>
      <c r="K441" s="1"/>
      <c r="L441" s="1"/>
      <c r="M441" s="1"/>
      <c r="N441" s="1"/>
      <c r="O441" s="1"/>
      <c r="P441" s="1"/>
      <c r="Q441" s="1"/>
      <c r="R441" s="1"/>
      <c r="S441" s="1"/>
      <c r="T441" s="1"/>
    </row>
    <row r="442" ht="15.75" customHeight="1">
      <c r="A442" s="36"/>
      <c r="B442" s="37"/>
      <c r="C442" s="37"/>
      <c r="D442" s="37"/>
      <c r="E442" s="37"/>
      <c r="F442" s="37"/>
      <c r="G442" s="1"/>
      <c r="H442" s="1"/>
      <c r="I442" s="1"/>
      <c r="J442" s="1"/>
      <c r="K442" s="1"/>
      <c r="L442" s="1"/>
      <c r="M442" s="1"/>
      <c r="N442" s="1"/>
      <c r="O442" s="1"/>
      <c r="P442" s="1"/>
      <c r="Q442" s="1"/>
      <c r="R442" s="1"/>
      <c r="S442" s="1"/>
      <c r="T442" s="1"/>
    </row>
    <row r="443" ht="15.75" customHeight="1">
      <c r="A443" s="36"/>
      <c r="B443" s="37"/>
      <c r="C443" s="37"/>
      <c r="D443" s="37"/>
      <c r="E443" s="37"/>
      <c r="F443" s="37"/>
      <c r="G443" s="1"/>
      <c r="H443" s="1"/>
      <c r="I443" s="1"/>
      <c r="J443" s="1"/>
      <c r="K443" s="1"/>
      <c r="L443" s="1"/>
      <c r="M443" s="1"/>
      <c r="N443" s="1"/>
      <c r="O443" s="1"/>
      <c r="P443" s="1"/>
      <c r="Q443" s="1"/>
      <c r="R443" s="1"/>
      <c r="S443" s="1"/>
      <c r="T443" s="1"/>
    </row>
    <row r="444" ht="15.75" customHeight="1">
      <c r="A444" s="36"/>
      <c r="B444" s="37"/>
      <c r="C444" s="37"/>
      <c r="D444" s="37"/>
      <c r="E444" s="37"/>
      <c r="F444" s="37"/>
      <c r="G444" s="1"/>
      <c r="H444" s="1"/>
      <c r="I444" s="1"/>
      <c r="J444" s="1"/>
      <c r="K444" s="1"/>
      <c r="L444" s="1"/>
      <c r="M444" s="1"/>
      <c r="N444" s="1"/>
      <c r="O444" s="1"/>
      <c r="P444" s="1"/>
      <c r="Q444" s="1"/>
      <c r="R444" s="1"/>
      <c r="S444" s="1"/>
      <c r="T444" s="1"/>
    </row>
    <row r="445" ht="15.75" customHeight="1">
      <c r="A445" s="36"/>
      <c r="B445" s="37"/>
      <c r="C445" s="37"/>
      <c r="D445" s="37"/>
      <c r="E445" s="37"/>
      <c r="F445" s="37"/>
      <c r="G445" s="1"/>
      <c r="H445" s="1"/>
      <c r="I445" s="1"/>
      <c r="J445" s="1"/>
      <c r="K445" s="1"/>
      <c r="L445" s="1"/>
      <c r="M445" s="1"/>
      <c r="N445" s="1"/>
      <c r="O445" s="1"/>
      <c r="P445" s="1"/>
      <c r="Q445" s="1"/>
      <c r="R445" s="1"/>
      <c r="S445" s="1"/>
      <c r="T445" s="1"/>
    </row>
    <row r="446" ht="15.75" customHeight="1">
      <c r="A446" s="36"/>
      <c r="B446" s="37"/>
      <c r="C446" s="37"/>
      <c r="D446" s="37"/>
      <c r="E446" s="37"/>
      <c r="F446" s="37"/>
      <c r="G446" s="1"/>
      <c r="H446" s="1"/>
      <c r="I446" s="1"/>
      <c r="J446" s="1"/>
      <c r="K446" s="1"/>
      <c r="L446" s="1"/>
      <c r="M446" s="1"/>
      <c r="N446" s="1"/>
      <c r="O446" s="1"/>
      <c r="P446" s="1"/>
      <c r="Q446" s="1"/>
      <c r="R446" s="1"/>
      <c r="S446" s="1"/>
      <c r="T446" s="1"/>
    </row>
    <row r="447" ht="15.75" customHeight="1">
      <c r="A447" s="36"/>
      <c r="B447" s="37"/>
      <c r="C447" s="37"/>
      <c r="D447" s="37"/>
      <c r="E447" s="37"/>
      <c r="F447" s="37"/>
      <c r="G447" s="1"/>
      <c r="H447" s="1"/>
      <c r="I447" s="1"/>
      <c r="J447" s="1"/>
      <c r="K447" s="1"/>
      <c r="L447" s="1"/>
      <c r="M447" s="1"/>
      <c r="N447" s="1"/>
      <c r="O447" s="1"/>
      <c r="P447" s="1"/>
      <c r="Q447" s="1"/>
      <c r="R447" s="1"/>
      <c r="S447" s="1"/>
      <c r="T447" s="1"/>
    </row>
    <row r="448" ht="15.75" customHeight="1">
      <c r="A448" s="36"/>
      <c r="B448" s="37"/>
      <c r="C448" s="37"/>
      <c r="D448" s="37"/>
      <c r="E448" s="37"/>
      <c r="F448" s="37"/>
      <c r="G448" s="1"/>
      <c r="H448" s="1"/>
      <c r="I448" s="1"/>
      <c r="J448" s="1"/>
      <c r="K448" s="1"/>
      <c r="L448" s="1"/>
      <c r="M448" s="1"/>
      <c r="N448" s="1"/>
      <c r="O448" s="1"/>
      <c r="P448" s="1"/>
      <c r="Q448" s="1"/>
      <c r="R448" s="1"/>
      <c r="S448" s="1"/>
      <c r="T448" s="1"/>
    </row>
    <row r="449" ht="15.75" customHeight="1">
      <c r="A449" s="36"/>
      <c r="B449" s="37"/>
      <c r="C449" s="37"/>
      <c r="D449" s="37"/>
      <c r="E449" s="37"/>
      <c r="F449" s="37"/>
      <c r="G449" s="1"/>
      <c r="H449" s="1"/>
      <c r="I449" s="1"/>
      <c r="J449" s="1"/>
      <c r="K449" s="1"/>
      <c r="L449" s="1"/>
      <c r="M449" s="1"/>
      <c r="N449" s="1"/>
      <c r="O449" s="1"/>
      <c r="P449" s="1"/>
      <c r="Q449" s="1"/>
      <c r="R449" s="1"/>
      <c r="S449" s="1"/>
      <c r="T449" s="1"/>
    </row>
    <row r="450" ht="15.75" customHeight="1">
      <c r="A450" s="36"/>
      <c r="B450" s="37"/>
      <c r="C450" s="37"/>
      <c r="D450" s="37"/>
      <c r="E450" s="37"/>
      <c r="F450" s="37"/>
      <c r="G450" s="1"/>
      <c r="H450" s="1"/>
      <c r="I450" s="1"/>
      <c r="J450" s="1"/>
      <c r="K450" s="1"/>
      <c r="L450" s="1"/>
      <c r="M450" s="1"/>
      <c r="N450" s="1"/>
      <c r="O450" s="1"/>
      <c r="P450" s="1"/>
      <c r="Q450" s="1"/>
      <c r="R450" s="1"/>
      <c r="S450" s="1"/>
      <c r="T450" s="1"/>
    </row>
    <row r="451" ht="15.75" customHeight="1">
      <c r="A451" s="36"/>
      <c r="B451" s="37"/>
      <c r="C451" s="37"/>
      <c r="D451" s="37"/>
      <c r="E451" s="37"/>
      <c r="F451" s="37"/>
      <c r="G451" s="1"/>
      <c r="H451" s="1"/>
      <c r="I451" s="1"/>
      <c r="J451" s="1"/>
      <c r="K451" s="1"/>
      <c r="L451" s="1"/>
      <c r="M451" s="1"/>
      <c r="N451" s="1"/>
      <c r="O451" s="1"/>
      <c r="P451" s="1"/>
      <c r="Q451" s="1"/>
      <c r="R451" s="1"/>
      <c r="S451" s="1"/>
      <c r="T451" s="1"/>
    </row>
    <row r="452" ht="15.75" customHeight="1">
      <c r="A452" s="36"/>
      <c r="B452" s="37"/>
      <c r="C452" s="37"/>
      <c r="D452" s="37"/>
      <c r="E452" s="37"/>
      <c r="F452" s="37"/>
      <c r="G452" s="1"/>
      <c r="H452" s="1"/>
      <c r="I452" s="1"/>
      <c r="J452" s="1"/>
      <c r="K452" s="1"/>
      <c r="L452" s="1"/>
      <c r="M452" s="1"/>
      <c r="N452" s="1"/>
      <c r="O452" s="1"/>
      <c r="P452" s="1"/>
      <c r="Q452" s="1"/>
      <c r="R452" s="1"/>
      <c r="S452" s="1"/>
      <c r="T452" s="1"/>
    </row>
    <row r="453" ht="15.75" customHeight="1">
      <c r="A453" s="36"/>
      <c r="B453" s="37"/>
      <c r="C453" s="37"/>
      <c r="D453" s="37"/>
      <c r="E453" s="37"/>
      <c r="F453" s="37"/>
      <c r="G453" s="1"/>
      <c r="H453" s="1"/>
      <c r="I453" s="1"/>
      <c r="J453" s="1"/>
      <c r="K453" s="1"/>
      <c r="L453" s="1"/>
      <c r="M453" s="1"/>
      <c r="N453" s="1"/>
      <c r="O453" s="1"/>
      <c r="P453" s="1"/>
      <c r="Q453" s="1"/>
      <c r="R453" s="1"/>
      <c r="S453" s="1"/>
      <c r="T453" s="1"/>
    </row>
    <row r="454" ht="15.75" customHeight="1">
      <c r="A454" s="36"/>
      <c r="B454" s="37"/>
      <c r="C454" s="37"/>
      <c r="D454" s="37"/>
      <c r="E454" s="37"/>
      <c r="F454" s="37"/>
      <c r="G454" s="1"/>
      <c r="H454" s="1"/>
      <c r="I454" s="1"/>
      <c r="J454" s="1"/>
      <c r="K454" s="1"/>
      <c r="L454" s="1"/>
      <c r="M454" s="1"/>
      <c r="N454" s="1"/>
      <c r="O454" s="1"/>
      <c r="P454" s="1"/>
      <c r="Q454" s="1"/>
      <c r="R454" s="1"/>
      <c r="S454" s="1"/>
      <c r="T454" s="1"/>
    </row>
    <row r="455" ht="15.75" customHeight="1">
      <c r="A455" s="36"/>
      <c r="B455" s="37"/>
      <c r="C455" s="37"/>
      <c r="D455" s="37"/>
      <c r="E455" s="37"/>
      <c r="F455" s="37"/>
      <c r="G455" s="1"/>
      <c r="H455" s="1"/>
      <c r="I455" s="1"/>
      <c r="J455" s="1"/>
      <c r="K455" s="1"/>
      <c r="L455" s="1"/>
      <c r="M455" s="1"/>
      <c r="N455" s="1"/>
      <c r="O455" s="1"/>
      <c r="P455" s="1"/>
      <c r="Q455" s="1"/>
      <c r="R455" s="1"/>
      <c r="S455" s="1"/>
      <c r="T455" s="1"/>
    </row>
    <row r="456" ht="15.75" customHeight="1">
      <c r="A456" s="36"/>
      <c r="B456" s="37"/>
      <c r="C456" s="37"/>
      <c r="D456" s="37"/>
      <c r="E456" s="37"/>
      <c r="F456" s="37"/>
      <c r="G456" s="1"/>
      <c r="H456" s="1"/>
      <c r="I456" s="1"/>
      <c r="J456" s="1"/>
      <c r="K456" s="1"/>
      <c r="L456" s="1"/>
      <c r="M456" s="1"/>
      <c r="N456" s="1"/>
      <c r="O456" s="1"/>
      <c r="P456" s="1"/>
      <c r="Q456" s="1"/>
      <c r="R456" s="1"/>
      <c r="S456" s="1"/>
      <c r="T456" s="1"/>
    </row>
    <row r="457" ht="15.75" customHeight="1">
      <c r="A457" s="36"/>
      <c r="B457" s="37"/>
      <c r="C457" s="37"/>
      <c r="D457" s="37"/>
      <c r="E457" s="37"/>
      <c r="F457" s="37"/>
      <c r="G457" s="1"/>
      <c r="H457" s="1"/>
      <c r="I457" s="1"/>
      <c r="J457" s="1"/>
      <c r="K457" s="1"/>
      <c r="L457" s="1"/>
      <c r="M457" s="1"/>
      <c r="N457" s="1"/>
      <c r="O457" s="1"/>
      <c r="P457" s="1"/>
      <c r="Q457" s="1"/>
      <c r="R457" s="1"/>
      <c r="S457" s="1"/>
      <c r="T457" s="1"/>
    </row>
    <row r="458" ht="15.75" customHeight="1">
      <c r="A458" s="36"/>
      <c r="B458" s="37"/>
      <c r="C458" s="37"/>
      <c r="D458" s="37"/>
      <c r="E458" s="37"/>
      <c r="F458" s="37"/>
      <c r="G458" s="1"/>
      <c r="H458" s="1"/>
      <c r="I458" s="1"/>
      <c r="J458" s="1"/>
      <c r="K458" s="1"/>
      <c r="L458" s="1"/>
      <c r="M458" s="1"/>
      <c r="N458" s="1"/>
      <c r="O458" s="1"/>
      <c r="P458" s="1"/>
      <c r="Q458" s="1"/>
      <c r="R458" s="1"/>
      <c r="S458" s="1"/>
      <c r="T458" s="1"/>
    </row>
    <row r="459" ht="15.75" customHeight="1">
      <c r="A459" s="36"/>
      <c r="B459" s="37"/>
      <c r="C459" s="37"/>
      <c r="D459" s="37"/>
      <c r="E459" s="37"/>
      <c r="F459" s="37"/>
      <c r="G459" s="1"/>
      <c r="H459" s="1"/>
      <c r="I459" s="1"/>
      <c r="J459" s="1"/>
      <c r="K459" s="1"/>
      <c r="L459" s="1"/>
      <c r="M459" s="1"/>
      <c r="N459" s="1"/>
      <c r="O459" s="1"/>
      <c r="P459" s="1"/>
      <c r="Q459" s="1"/>
      <c r="R459" s="1"/>
      <c r="S459" s="1"/>
      <c r="T459" s="1"/>
    </row>
    <row r="460" ht="15.75" customHeight="1">
      <c r="A460" s="36"/>
      <c r="B460" s="37"/>
      <c r="C460" s="37"/>
      <c r="D460" s="37"/>
      <c r="E460" s="37"/>
      <c r="F460" s="37"/>
      <c r="G460" s="1"/>
      <c r="H460" s="1"/>
      <c r="I460" s="1"/>
      <c r="J460" s="1"/>
      <c r="K460" s="1"/>
      <c r="L460" s="1"/>
      <c r="M460" s="1"/>
      <c r="N460" s="1"/>
      <c r="O460" s="1"/>
      <c r="P460" s="1"/>
      <c r="Q460" s="1"/>
      <c r="R460" s="1"/>
      <c r="S460" s="1"/>
      <c r="T460" s="1"/>
    </row>
    <row r="461" ht="15.75" customHeight="1">
      <c r="A461" s="36"/>
      <c r="B461" s="37"/>
      <c r="C461" s="37"/>
      <c r="D461" s="37"/>
      <c r="E461" s="37"/>
      <c r="F461" s="37"/>
      <c r="G461" s="1"/>
      <c r="H461" s="1"/>
      <c r="I461" s="1"/>
      <c r="J461" s="1"/>
      <c r="K461" s="1"/>
      <c r="L461" s="1"/>
      <c r="M461" s="1"/>
      <c r="N461" s="1"/>
      <c r="O461" s="1"/>
      <c r="P461" s="1"/>
      <c r="Q461" s="1"/>
      <c r="R461" s="1"/>
      <c r="S461" s="1"/>
      <c r="T461" s="1"/>
    </row>
    <row r="462" ht="15.75" customHeight="1">
      <c r="A462" s="36"/>
      <c r="B462" s="37"/>
      <c r="C462" s="37"/>
      <c r="D462" s="37"/>
      <c r="E462" s="37"/>
      <c r="F462" s="37"/>
      <c r="G462" s="1"/>
      <c r="H462" s="1"/>
      <c r="I462" s="1"/>
      <c r="J462" s="1"/>
      <c r="K462" s="1"/>
      <c r="L462" s="1"/>
      <c r="M462" s="1"/>
      <c r="N462" s="1"/>
      <c r="O462" s="1"/>
      <c r="P462" s="1"/>
      <c r="Q462" s="1"/>
      <c r="R462" s="1"/>
      <c r="S462" s="1"/>
      <c r="T462" s="1"/>
    </row>
    <row r="463" ht="15.75" customHeight="1">
      <c r="A463" s="36"/>
      <c r="B463" s="37"/>
      <c r="C463" s="37"/>
      <c r="D463" s="37"/>
      <c r="E463" s="37"/>
      <c r="F463" s="37"/>
      <c r="G463" s="1"/>
      <c r="H463" s="1"/>
      <c r="I463" s="1"/>
      <c r="J463" s="1"/>
      <c r="K463" s="1"/>
      <c r="L463" s="1"/>
      <c r="M463" s="1"/>
      <c r="N463" s="1"/>
      <c r="O463" s="1"/>
      <c r="P463" s="1"/>
      <c r="Q463" s="1"/>
      <c r="R463" s="1"/>
      <c r="S463" s="1"/>
      <c r="T463" s="1"/>
    </row>
    <row r="464" ht="15.75" customHeight="1">
      <c r="A464" s="36"/>
      <c r="B464" s="37"/>
      <c r="C464" s="37"/>
      <c r="D464" s="37"/>
      <c r="E464" s="37"/>
      <c r="F464" s="37"/>
      <c r="G464" s="1"/>
      <c r="H464" s="1"/>
      <c r="I464" s="1"/>
      <c r="J464" s="1"/>
      <c r="K464" s="1"/>
      <c r="L464" s="1"/>
      <c r="M464" s="1"/>
      <c r="N464" s="1"/>
      <c r="O464" s="1"/>
      <c r="P464" s="1"/>
      <c r="Q464" s="1"/>
      <c r="R464" s="1"/>
      <c r="S464" s="1"/>
      <c r="T464" s="1"/>
    </row>
    <row r="465" ht="15.75" customHeight="1">
      <c r="A465" s="36"/>
      <c r="B465" s="37"/>
      <c r="C465" s="37"/>
      <c r="D465" s="37"/>
      <c r="E465" s="37"/>
      <c r="F465" s="37"/>
      <c r="G465" s="1"/>
      <c r="H465" s="1"/>
      <c r="I465" s="1"/>
      <c r="J465" s="1"/>
      <c r="K465" s="1"/>
      <c r="L465" s="1"/>
      <c r="M465" s="1"/>
      <c r="N465" s="1"/>
      <c r="O465" s="1"/>
      <c r="P465" s="1"/>
      <c r="Q465" s="1"/>
      <c r="R465" s="1"/>
      <c r="S465" s="1"/>
      <c r="T465" s="1"/>
    </row>
    <row r="466" ht="15.75" customHeight="1">
      <c r="A466" s="36"/>
      <c r="B466" s="37"/>
      <c r="C466" s="37"/>
      <c r="D466" s="37"/>
      <c r="E466" s="37"/>
      <c r="F466" s="37"/>
      <c r="G466" s="1"/>
      <c r="H466" s="1"/>
      <c r="I466" s="1"/>
      <c r="J466" s="1"/>
      <c r="K466" s="1"/>
      <c r="L466" s="1"/>
      <c r="M466" s="1"/>
      <c r="N466" s="1"/>
      <c r="O466" s="1"/>
      <c r="P466" s="1"/>
      <c r="Q466" s="1"/>
      <c r="R466" s="1"/>
      <c r="S466" s="1"/>
      <c r="T466" s="1"/>
    </row>
    <row r="467" ht="15.75" customHeight="1">
      <c r="A467" s="36"/>
      <c r="B467" s="37"/>
      <c r="C467" s="37"/>
      <c r="D467" s="37"/>
      <c r="E467" s="37"/>
      <c r="F467" s="37"/>
      <c r="G467" s="1"/>
      <c r="H467" s="1"/>
      <c r="I467" s="1"/>
      <c r="J467" s="1"/>
      <c r="K467" s="1"/>
      <c r="L467" s="1"/>
      <c r="M467" s="1"/>
      <c r="N467" s="1"/>
      <c r="O467" s="1"/>
      <c r="P467" s="1"/>
      <c r="Q467" s="1"/>
      <c r="R467" s="1"/>
      <c r="S467" s="1"/>
      <c r="T467" s="1"/>
    </row>
    <row r="468" ht="15.75" customHeight="1">
      <c r="A468" s="36"/>
      <c r="B468" s="37"/>
      <c r="C468" s="37"/>
      <c r="D468" s="37"/>
      <c r="E468" s="37"/>
      <c r="F468" s="37"/>
      <c r="G468" s="1"/>
      <c r="H468" s="1"/>
      <c r="I468" s="1"/>
      <c r="J468" s="1"/>
      <c r="K468" s="1"/>
      <c r="L468" s="1"/>
      <c r="M468" s="1"/>
      <c r="N468" s="1"/>
      <c r="O468" s="1"/>
      <c r="P468" s="1"/>
      <c r="Q468" s="1"/>
      <c r="R468" s="1"/>
      <c r="S468" s="1"/>
      <c r="T468" s="1"/>
    </row>
    <row r="469" ht="15.75" customHeight="1">
      <c r="A469" s="36"/>
      <c r="B469" s="37"/>
      <c r="C469" s="37"/>
      <c r="D469" s="37"/>
      <c r="E469" s="37"/>
      <c r="F469" s="37"/>
      <c r="G469" s="1"/>
      <c r="H469" s="1"/>
      <c r="I469" s="1"/>
      <c r="J469" s="1"/>
      <c r="K469" s="1"/>
      <c r="L469" s="1"/>
      <c r="M469" s="1"/>
      <c r="N469" s="1"/>
      <c r="O469" s="1"/>
      <c r="P469" s="1"/>
      <c r="Q469" s="1"/>
      <c r="R469" s="1"/>
      <c r="S469" s="1"/>
      <c r="T469" s="1"/>
    </row>
    <row r="470" ht="15.75" customHeight="1">
      <c r="A470" s="36"/>
      <c r="B470" s="37"/>
      <c r="C470" s="37"/>
      <c r="D470" s="37"/>
      <c r="E470" s="37"/>
      <c r="F470" s="37"/>
      <c r="G470" s="1"/>
      <c r="H470" s="1"/>
      <c r="I470" s="1"/>
      <c r="J470" s="1"/>
      <c r="K470" s="1"/>
      <c r="L470" s="1"/>
      <c r="M470" s="1"/>
      <c r="N470" s="1"/>
      <c r="O470" s="1"/>
      <c r="P470" s="1"/>
      <c r="Q470" s="1"/>
      <c r="R470" s="1"/>
      <c r="S470" s="1"/>
      <c r="T470" s="1"/>
    </row>
    <row r="471" ht="15.75" customHeight="1">
      <c r="A471" s="36"/>
      <c r="B471" s="37"/>
      <c r="C471" s="37"/>
      <c r="D471" s="37"/>
      <c r="E471" s="37"/>
      <c r="F471" s="37"/>
      <c r="G471" s="1"/>
      <c r="H471" s="1"/>
      <c r="I471" s="1"/>
      <c r="J471" s="1"/>
      <c r="K471" s="1"/>
      <c r="L471" s="1"/>
      <c r="M471" s="1"/>
      <c r="N471" s="1"/>
      <c r="O471" s="1"/>
      <c r="P471" s="1"/>
      <c r="Q471" s="1"/>
      <c r="R471" s="1"/>
      <c r="S471" s="1"/>
      <c r="T471" s="1"/>
    </row>
    <row r="472" ht="15.75" customHeight="1">
      <c r="A472" s="36"/>
      <c r="B472" s="37"/>
      <c r="C472" s="37"/>
      <c r="D472" s="37"/>
      <c r="E472" s="37"/>
      <c r="F472" s="37"/>
      <c r="G472" s="1"/>
      <c r="H472" s="1"/>
      <c r="I472" s="1"/>
      <c r="J472" s="1"/>
      <c r="K472" s="1"/>
      <c r="L472" s="1"/>
      <c r="M472" s="1"/>
      <c r="N472" s="1"/>
      <c r="O472" s="1"/>
      <c r="P472" s="1"/>
      <c r="Q472" s="1"/>
      <c r="R472" s="1"/>
      <c r="S472" s="1"/>
      <c r="T472" s="1"/>
    </row>
    <row r="473" ht="15.75" customHeight="1">
      <c r="A473" s="36"/>
      <c r="B473" s="37"/>
      <c r="C473" s="37"/>
      <c r="D473" s="37"/>
      <c r="E473" s="37"/>
      <c r="F473" s="37"/>
      <c r="G473" s="1"/>
      <c r="H473" s="1"/>
      <c r="I473" s="1"/>
      <c r="J473" s="1"/>
      <c r="K473" s="1"/>
      <c r="L473" s="1"/>
      <c r="M473" s="1"/>
      <c r="N473" s="1"/>
      <c r="O473" s="1"/>
      <c r="P473" s="1"/>
      <c r="Q473" s="1"/>
      <c r="R473" s="1"/>
      <c r="S473" s="1"/>
      <c r="T473" s="1"/>
    </row>
    <row r="474" ht="15.75" customHeight="1">
      <c r="A474" s="36"/>
      <c r="B474" s="37"/>
      <c r="C474" s="37"/>
      <c r="D474" s="37"/>
      <c r="E474" s="37"/>
      <c r="F474" s="37"/>
      <c r="G474" s="1"/>
      <c r="H474" s="1"/>
      <c r="I474" s="1"/>
      <c r="J474" s="1"/>
      <c r="K474" s="1"/>
      <c r="L474" s="1"/>
      <c r="M474" s="1"/>
      <c r="N474" s="1"/>
      <c r="O474" s="1"/>
      <c r="P474" s="1"/>
      <c r="Q474" s="1"/>
      <c r="R474" s="1"/>
      <c r="S474" s="1"/>
      <c r="T474" s="1"/>
    </row>
    <row r="475" ht="15.75" customHeight="1">
      <c r="A475" s="36"/>
      <c r="B475" s="37"/>
      <c r="C475" s="37"/>
      <c r="D475" s="37"/>
      <c r="E475" s="37"/>
      <c r="F475" s="37"/>
      <c r="G475" s="1"/>
      <c r="H475" s="1"/>
      <c r="I475" s="1"/>
      <c r="J475" s="1"/>
      <c r="K475" s="1"/>
      <c r="L475" s="1"/>
      <c r="M475" s="1"/>
      <c r="N475" s="1"/>
      <c r="O475" s="1"/>
      <c r="P475" s="1"/>
      <c r="Q475" s="1"/>
      <c r="R475" s="1"/>
      <c r="S475" s="1"/>
      <c r="T475" s="1"/>
    </row>
    <row r="476" ht="15.75" customHeight="1">
      <c r="A476" s="36"/>
      <c r="B476" s="37"/>
      <c r="C476" s="37"/>
      <c r="D476" s="37"/>
      <c r="E476" s="37"/>
      <c r="F476" s="37"/>
      <c r="G476" s="1"/>
      <c r="H476" s="1"/>
      <c r="I476" s="1"/>
      <c r="J476" s="1"/>
      <c r="K476" s="1"/>
      <c r="L476" s="1"/>
      <c r="M476" s="1"/>
      <c r="N476" s="1"/>
      <c r="O476" s="1"/>
      <c r="P476" s="1"/>
      <c r="Q476" s="1"/>
      <c r="R476" s="1"/>
      <c r="S476" s="1"/>
      <c r="T476" s="1"/>
    </row>
    <row r="477" ht="15.75" customHeight="1">
      <c r="A477" s="36"/>
      <c r="B477" s="37"/>
      <c r="C477" s="37"/>
      <c r="D477" s="37"/>
      <c r="E477" s="37"/>
      <c r="F477" s="37"/>
      <c r="G477" s="1"/>
      <c r="H477" s="1"/>
      <c r="I477" s="1"/>
      <c r="J477" s="1"/>
      <c r="K477" s="1"/>
      <c r="L477" s="1"/>
      <c r="M477" s="1"/>
      <c r="N477" s="1"/>
      <c r="O477" s="1"/>
      <c r="P477" s="1"/>
      <c r="Q477" s="1"/>
      <c r="R477" s="1"/>
      <c r="S477" s="1"/>
      <c r="T477" s="1"/>
    </row>
    <row r="478" ht="15.75" customHeight="1">
      <c r="A478" s="36"/>
      <c r="B478" s="37"/>
      <c r="C478" s="37"/>
      <c r="D478" s="37"/>
      <c r="E478" s="37"/>
      <c r="F478" s="37"/>
      <c r="G478" s="1"/>
      <c r="H478" s="1"/>
      <c r="I478" s="1"/>
      <c r="J478" s="1"/>
      <c r="K478" s="1"/>
      <c r="L478" s="1"/>
      <c r="M478" s="1"/>
      <c r="N478" s="1"/>
      <c r="O478" s="1"/>
      <c r="P478" s="1"/>
      <c r="Q478" s="1"/>
      <c r="R478" s="1"/>
      <c r="S478" s="1"/>
      <c r="T478" s="1"/>
    </row>
    <row r="479" ht="15.75" customHeight="1">
      <c r="A479" s="36"/>
      <c r="B479" s="37"/>
      <c r="C479" s="37"/>
      <c r="D479" s="37"/>
      <c r="E479" s="37"/>
      <c r="F479" s="37"/>
      <c r="G479" s="1"/>
      <c r="H479" s="1"/>
      <c r="I479" s="1"/>
      <c r="J479" s="1"/>
      <c r="K479" s="1"/>
      <c r="L479" s="1"/>
      <c r="M479" s="1"/>
      <c r="N479" s="1"/>
      <c r="O479" s="1"/>
      <c r="P479" s="1"/>
      <c r="Q479" s="1"/>
      <c r="R479" s="1"/>
      <c r="S479" s="1"/>
      <c r="T479" s="1"/>
    </row>
    <row r="480" ht="15.75" customHeight="1">
      <c r="A480" s="36"/>
      <c r="B480" s="37"/>
      <c r="C480" s="37"/>
      <c r="D480" s="37"/>
      <c r="E480" s="37"/>
      <c r="F480" s="37"/>
      <c r="G480" s="1"/>
      <c r="H480" s="1"/>
      <c r="I480" s="1"/>
      <c r="J480" s="1"/>
      <c r="K480" s="1"/>
      <c r="L480" s="1"/>
      <c r="M480" s="1"/>
      <c r="N480" s="1"/>
      <c r="O480" s="1"/>
      <c r="P480" s="1"/>
      <c r="Q480" s="1"/>
      <c r="R480" s="1"/>
      <c r="S480" s="1"/>
      <c r="T480" s="1"/>
    </row>
    <row r="481" ht="15.75" customHeight="1">
      <c r="A481" s="36"/>
      <c r="B481" s="37"/>
      <c r="C481" s="37"/>
      <c r="D481" s="37"/>
      <c r="E481" s="37"/>
      <c r="F481" s="37"/>
      <c r="G481" s="1"/>
      <c r="H481" s="1"/>
      <c r="I481" s="1"/>
      <c r="J481" s="1"/>
      <c r="K481" s="1"/>
      <c r="L481" s="1"/>
      <c r="M481" s="1"/>
      <c r="N481" s="1"/>
      <c r="O481" s="1"/>
      <c r="P481" s="1"/>
      <c r="Q481" s="1"/>
      <c r="R481" s="1"/>
      <c r="S481" s="1"/>
      <c r="T481" s="1"/>
    </row>
    <row r="482" ht="15.75" customHeight="1">
      <c r="A482" s="36"/>
      <c r="B482" s="37"/>
      <c r="C482" s="37"/>
      <c r="D482" s="37"/>
      <c r="E482" s="37"/>
      <c r="F482" s="37"/>
      <c r="G482" s="1"/>
      <c r="H482" s="1"/>
      <c r="I482" s="1"/>
      <c r="J482" s="1"/>
      <c r="K482" s="1"/>
      <c r="L482" s="1"/>
      <c r="M482" s="1"/>
      <c r="N482" s="1"/>
      <c r="O482" s="1"/>
      <c r="P482" s="1"/>
      <c r="Q482" s="1"/>
      <c r="R482" s="1"/>
      <c r="S482" s="1"/>
      <c r="T482" s="1"/>
    </row>
    <row r="483" ht="15.75" customHeight="1">
      <c r="A483" s="36"/>
      <c r="B483" s="37"/>
      <c r="C483" s="37"/>
      <c r="D483" s="37"/>
      <c r="E483" s="37"/>
      <c r="F483" s="37"/>
      <c r="G483" s="1"/>
      <c r="H483" s="1"/>
      <c r="I483" s="1"/>
      <c r="J483" s="1"/>
      <c r="K483" s="1"/>
      <c r="L483" s="1"/>
      <c r="M483" s="1"/>
      <c r="N483" s="1"/>
      <c r="O483" s="1"/>
      <c r="P483" s="1"/>
      <c r="Q483" s="1"/>
      <c r="R483" s="1"/>
      <c r="S483" s="1"/>
      <c r="T483" s="1"/>
    </row>
    <row r="484" ht="15.75" customHeight="1">
      <c r="A484" s="36"/>
      <c r="B484" s="37"/>
      <c r="C484" s="37"/>
      <c r="D484" s="37"/>
      <c r="E484" s="37"/>
      <c r="F484" s="37"/>
      <c r="G484" s="1"/>
      <c r="H484" s="1"/>
      <c r="I484" s="1"/>
      <c r="J484" s="1"/>
      <c r="K484" s="1"/>
      <c r="L484" s="1"/>
      <c r="M484" s="1"/>
      <c r="N484" s="1"/>
      <c r="O484" s="1"/>
      <c r="P484" s="1"/>
      <c r="Q484" s="1"/>
      <c r="R484" s="1"/>
      <c r="S484" s="1"/>
      <c r="T484" s="1"/>
    </row>
    <row r="485" ht="15.75" customHeight="1">
      <c r="A485" s="36"/>
      <c r="B485" s="37"/>
      <c r="C485" s="37"/>
      <c r="D485" s="37"/>
      <c r="E485" s="37"/>
      <c r="F485" s="37"/>
      <c r="G485" s="1"/>
      <c r="H485" s="1"/>
      <c r="I485" s="1"/>
      <c r="J485" s="1"/>
      <c r="K485" s="1"/>
      <c r="L485" s="1"/>
      <c r="M485" s="1"/>
      <c r="N485" s="1"/>
      <c r="O485" s="1"/>
      <c r="P485" s="1"/>
      <c r="Q485" s="1"/>
      <c r="R485" s="1"/>
      <c r="S485" s="1"/>
      <c r="T485" s="1"/>
    </row>
    <row r="486" ht="15.75" customHeight="1">
      <c r="A486" s="36"/>
      <c r="B486" s="37"/>
      <c r="C486" s="37"/>
      <c r="D486" s="37"/>
      <c r="E486" s="37"/>
      <c r="F486" s="37"/>
      <c r="G486" s="1"/>
      <c r="H486" s="1"/>
      <c r="I486" s="1"/>
      <c r="J486" s="1"/>
      <c r="K486" s="1"/>
      <c r="L486" s="1"/>
      <c r="M486" s="1"/>
      <c r="N486" s="1"/>
      <c r="O486" s="1"/>
      <c r="P486" s="1"/>
      <c r="Q486" s="1"/>
      <c r="R486" s="1"/>
      <c r="S486" s="1"/>
      <c r="T486" s="1"/>
    </row>
    <row r="487" ht="15.75" customHeight="1">
      <c r="A487" s="36"/>
      <c r="B487" s="37"/>
      <c r="C487" s="37"/>
      <c r="D487" s="37"/>
      <c r="E487" s="37"/>
      <c r="F487" s="37"/>
      <c r="G487" s="1"/>
      <c r="H487" s="1"/>
      <c r="I487" s="1"/>
      <c r="J487" s="1"/>
      <c r="K487" s="1"/>
      <c r="L487" s="1"/>
      <c r="M487" s="1"/>
      <c r="N487" s="1"/>
      <c r="O487" s="1"/>
      <c r="P487" s="1"/>
      <c r="Q487" s="1"/>
      <c r="R487" s="1"/>
      <c r="S487" s="1"/>
      <c r="T487" s="1"/>
    </row>
    <row r="488" ht="15.75" customHeight="1">
      <c r="A488" s="36"/>
      <c r="B488" s="37"/>
      <c r="C488" s="37"/>
      <c r="D488" s="37"/>
      <c r="E488" s="37"/>
      <c r="F488" s="37"/>
      <c r="G488" s="1"/>
      <c r="H488" s="1"/>
      <c r="I488" s="1"/>
      <c r="J488" s="1"/>
      <c r="K488" s="1"/>
      <c r="L488" s="1"/>
      <c r="M488" s="1"/>
      <c r="N488" s="1"/>
      <c r="O488" s="1"/>
      <c r="P488" s="1"/>
      <c r="Q488" s="1"/>
      <c r="R488" s="1"/>
      <c r="S488" s="1"/>
      <c r="T488" s="1"/>
    </row>
    <row r="489" ht="15.75" customHeight="1">
      <c r="A489" s="36"/>
      <c r="B489" s="37"/>
      <c r="C489" s="37"/>
      <c r="D489" s="37"/>
      <c r="E489" s="37"/>
      <c r="F489" s="37"/>
      <c r="G489" s="1"/>
      <c r="H489" s="1"/>
      <c r="I489" s="1"/>
      <c r="J489" s="1"/>
      <c r="K489" s="1"/>
      <c r="L489" s="1"/>
      <c r="M489" s="1"/>
      <c r="N489" s="1"/>
      <c r="O489" s="1"/>
      <c r="P489" s="1"/>
      <c r="Q489" s="1"/>
      <c r="R489" s="1"/>
      <c r="S489" s="1"/>
      <c r="T489" s="1"/>
    </row>
    <row r="490" ht="15.75" customHeight="1">
      <c r="A490" s="36"/>
      <c r="B490" s="37"/>
      <c r="C490" s="37"/>
      <c r="D490" s="37"/>
      <c r="E490" s="37"/>
      <c r="F490" s="37"/>
      <c r="G490" s="1"/>
      <c r="H490" s="1"/>
      <c r="I490" s="1"/>
      <c r="J490" s="1"/>
      <c r="K490" s="1"/>
      <c r="L490" s="1"/>
      <c r="M490" s="1"/>
      <c r="N490" s="1"/>
      <c r="O490" s="1"/>
      <c r="P490" s="1"/>
      <c r="Q490" s="1"/>
      <c r="R490" s="1"/>
      <c r="S490" s="1"/>
      <c r="T490" s="1"/>
    </row>
    <row r="491" ht="15.75" customHeight="1">
      <c r="A491" s="36"/>
      <c r="B491" s="37"/>
      <c r="C491" s="37"/>
      <c r="D491" s="37"/>
      <c r="E491" s="37"/>
      <c r="F491" s="37"/>
      <c r="G491" s="1"/>
      <c r="H491" s="1"/>
      <c r="I491" s="1"/>
      <c r="J491" s="1"/>
      <c r="K491" s="1"/>
      <c r="L491" s="1"/>
      <c r="M491" s="1"/>
      <c r="N491" s="1"/>
      <c r="O491" s="1"/>
      <c r="P491" s="1"/>
      <c r="Q491" s="1"/>
      <c r="R491" s="1"/>
      <c r="S491" s="1"/>
      <c r="T491" s="1"/>
    </row>
    <row r="492" ht="15.75" customHeight="1">
      <c r="A492" s="36"/>
      <c r="B492" s="37"/>
      <c r="C492" s="37"/>
      <c r="D492" s="37"/>
      <c r="E492" s="37"/>
      <c r="F492" s="37"/>
      <c r="G492" s="1"/>
      <c r="H492" s="1"/>
      <c r="I492" s="1"/>
      <c r="J492" s="1"/>
      <c r="K492" s="1"/>
      <c r="L492" s="1"/>
      <c r="M492" s="1"/>
      <c r="N492" s="1"/>
      <c r="O492" s="1"/>
      <c r="P492" s="1"/>
      <c r="Q492" s="1"/>
      <c r="R492" s="1"/>
      <c r="S492" s="1"/>
      <c r="T492" s="1"/>
    </row>
    <row r="493" ht="15.75" customHeight="1">
      <c r="A493" s="36"/>
      <c r="B493" s="37"/>
      <c r="C493" s="37"/>
      <c r="D493" s="37"/>
      <c r="E493" s="37"/>
      <c r="F493" s="37"/>
      <c r="G493" s="1"/>
      <c r="H493" s="1"/>
      <c r="I493" s="1"/>
      <c r="J493" s="1"/>
      <c r="K493" s="1"/>
      <c r="L493" s="1"/>
      <c r="M493" s="1"/>
      <c r="N493" s="1"/>
      <c r="O493" s="1"/>
      <c r="P493" s="1"/>
      <c r="Q493" s="1"/>
      <c r="R493" s="1"/>
      <c r="S493" s="1"/>
      <c r="T493" s="1"/>
    </row>
    <row r="494" ht="15.75" customHeight="1">
      <c r="A494" s="36"/>
      <c r="B494" s="37"/>
      <c r="C494" s="37"/>
      <c r="D494" s="37"/>
      <c r="E494" s="37"/>
      <c r="F494" s="37"/>
      <c r="G494" s="1"/>
      <c r="H494" s="1"/>
      <c r="I494" s="1"/>
      <c r="J494" s="1"/>
      <c r="K494" s="1"/>
      <c r="L494" s="1"/>
      <c r="M494" s="1"/>
      <c r="N494" s="1"/>
      <c r="O494" s="1"/>
      <c r="P494" s="1"/>
      <c r="Q494" s="1"/>
      <c r="R494" s="1"/>
      <c r="S494" s="1"/>
      <c r="T494" s="1"/>
    </row>
    <row r="495" ht="15.75" customHeight="1">
      <c r="A495" s="36"/>
      <c r="B495" s="37"/>
      <c r="C495" s="37"/>
      <c r="D495" s="37"/>
      <c r="E495" s="37"/>
      <c r="F495" s="37"/>
      <c r="G495" s="1"/>
      <c r="H495" s="1"/>
      <c r="I495" s="1"/>
      <c r="J495" s="1"/>
      <c r="K495" s="1"/>
      <c r="L495" s="1"/>
      <c r="M495" s="1"/>
      <c r="N495" s="1"/>
      <c r="O495" s="1"/>
      <c r="P495" s="1"/>
      <c r="Q495" s="1"/>
      <c r="R495" s="1"/>
      <c r="S495" s="1"/>
      <c r="T495" s="1"/>
    </row>
    <row r="496" ht="15.75" customHeight="1">
      <c r="A496" s="36"/>
      <c r="B496" s="37"/>
      <c r="C496" s="37"/>
      <c r="D496" s="37"/>
      <c r="E496" s="37"/>
      <c r="F496" s="37"/>
      <c r="G496" s="1"/>
      <c r="H496" s="1"/>
      <c r="I496" s="1"/>
      <c r="J496" s="1"/>
      <c r="K496" s="1"/>
      <c r="L496" s="1"/>
      <c r="M496" s="1"/>
      <c r="N496" s="1"/>
      <c r="O496" s="1"/>
      <c r="P496" s="1"/>
      <c r="Q496" s="1"/>
      <c r="R496" s="1"/>
      <c r="S496" s="1"/>
      <c r="T496" s="1"/>
    </row>
    <row r="497" ht="15.75" customHeight="1">
      <c r="A497" s="36"/>
      <c r="B497" s="37"/>
      <c r="C497" s="37"/>
      <c r="D497" s="37"/>
      <c r="E497" s="37"/>
      <c r="F497" s="37"/>
      <c r="G497" s="1"/>
      <c r="H497" s="1"/>
      <c r="I497" s="1"/>
      <c r="J497" s="1"/>
      <c r="K497" s="1"/>
      <c r="L497" s="1"/>
      <c r="M497" s="1"/>
      <c r="N497" s="1"/>
      <c r="O497" s="1"/>
      <c r="P497" s="1"/>
      <c r="Q497" s="1"/>
      <c r="R497" s="1"/>
      <c r="S497" s="1"/>
      <c r="T497" s="1"/>
    </row>
    <row r="498" ht="15.75" customHeight="1">
      <c r="A498" s="36"/>
      <c r="B498" s="37"/>
      <c r="C498" s="37"/>
      <c r="D498" s="37"/>
      <c r="E498" s="37"/>
      <c r="F498" s="37"/>
      <c r="G498" s="1"/>
      <c r="H498" s="1"/>
      <c r="I498" s="1"/>
      <c r="J498" s="1"/>
      <c r="K498" s="1"/>
      <c r="L498" s="1"/>
      <c r="M498" s="1"/>
      <c r="N498" s="1"/>
      <c r="O498" s="1"/>
      <c r="P498" s="1"/>
      <c r="Q498" s="1"/>
      <c r="R498" s="1"/>
      <c r="S498" s="1"/>
      <c r="T498" s="1"/>
    </row>
    <row r="499" ht="15.75" customHeight="1">
      <c r="A499" s="36"/>
      <c r="B499" s="37"/>
      <c r="C499" s="37"/>
      <c r="D499" s="37"/>
      <c r="E499" s="37"/>
      <c r="F499" s="37"/>
      <c r="G499" s="1"/>
      <c r="H499" s="1"/>
      <c r="I499" s="1"/>
      <c r="J499" s="1"/>
      <c r="K499" s="1"/>
      <c r="L499" s="1"/>
      <c r="M499" s="1"/>
      <c r="N499" s="1"/>
      <c r="O499" s="1"/>
      <c r="P499" s="1"/>
      <c r="Q499" s="1"/>
      <c r="R499" s="1"/>
      <c r="S499" s="1"/>
      <c r="T499" s="1"/>
    </row>
    <row r="500" ht="15.75" customHeight="1">
      <c r="A500" s="36"/>
      <c r="B500" s="37"/>
      <c r="C500" s="37"/>
      <c r="D500" s="37"/>
      <c r="E500" s="37"/>
      <c r="F500" s="37"/>
      <c r="G500" s="1"/>
      <c r="H500" s="1"/>
      <c r="I500" s="1"/>
      <c r="J500" s="1"/>
      <c r="K500" s="1"/>
      <c r="L500" s="1"/>
      <c r="M500" s="1"/>
      <c r="N500" s="1"/>
      <c r="O500" s="1"/>
      <c r="P500" s="1"/>
      <c r="Q500" s="1"/>
      <c r="R500" s="1"/>
      <c r="S500" s="1"/>
      <c r="T500" s="1"/>
    </row>
    <row r="501" ht="15.75" customHeight="1">
      <c r="A501" s="36"/>
      <c r="B501" s="37"/>
      <c r="C501" s="37"/>
      <c r="D501" s="37"/>
      <c r="E501" s="37"/>
      <c r="F501" s="37"/>
      <c r="G501" s="1"/>
      <c r="H501" s="1"/>
      <c r="I501" s="1"/>
      <c r="J501" s="1"/>
      <c r="K501" s="1"/>
      <c r="L501" s="1"/>
      <c r="M501" s="1"/>
      <c r="N501" s="1"/>
      <c r="O501" s="1"/>
      <c r="P501" s="1"/>
      <c r="Q501" s="1"/>
      <c r="R501" s="1"/>
      <c r="S501" s="1"/>
      <c r="T501" s="1"/>
    </row>
    <row r="502" ht="15.75" customHeight="1">
      <c r="A502" s="36"/>
      <c r="B502" s="37"/>
      <c r="C502" s="37"/>
      <c r="D502" s="37"/>
      <c r="E502" s="37"/>
      <c r="F502" s="37"/>
      <c r="G502" s="1"/>
      <c r="H502" s="1"/>
      <c r="I502" s="1"/>
      <c r="J502" s="1"/>
      <c r="K502" s="1"/>
      <c r="L502" s="1"/>
      <c r="M502" s="1"/>
      <c r="N502" s="1"/>
      <c r="O502" s="1"/>
      <c r="P502" s="1"/>
      <c r="Q502" s="1"/>
      <c r="R502" s="1"/>
      <c r="S502" s="1"/>
      <c r="T502" s="1"/>
    </row>
    <row r="503" ht="15.75" customHeight="1">
      <c r="A503" s="36"/>
      <c r="B503" s="37"/>
      <c r="C503" s="37"/>
      <c r="D503" s="37"/>
      <c r="E503" s="37"/>
      <c r="F503" s="37"/>
      <c r="G503" s="1"/>
      <c r="H503" s="1"/>
      <c r="I503" s="1"/>
      <c r="J503" s="1"/>
      <c r="K503" s="1"/>
      <c r="L503" s="1"/>
      <c r="M503" s="1"/>
      <c r="N503" s="1"/>
      <c r="O503" s="1"/>
      <c r="P503" s="1"/>
      <c r="Q503" s="1"/>
      <c r="R503" s="1"/>
      <c r="S503" s="1"/>
      <c r="T503" s="1"/>
    </row>
    <row r="504" ht="15.75" customHeight="1">
      <c r="A504" s="36"/>
      <c r="B504" s="37"/>
      <c r="C504" s="37"/>
      <c r="D504" s="37"/>
      <c r="E504" s="37"/>
      <c r="F504" s="37"/>
      <c r="G504" s="1"/>
      <c r="H504" s="1"/>
      <c r="I504" s="1"/>
      <c r="J504" s="1"/>
      <c r="K504" s="1"/>
      <c r="L504" s="1"/>
      <c r="M504" s="1"/>
      <c r="N504" s="1"/>
      <c r="O504" s="1"/>
      <c r="P504" s="1"/>
      <c r="Q504" s="1"/>
      <c r="R504" s="1"/>
      <c r="S504" s="1"/>
      <c r="T504" s="1"/>
    </row>
    <row r="505" ht="15.75" customHeight="1">
      <c r="A505" s="36"/>
      <c r="B505" s="37"/>
      <c r="C505" s="37"/>
      <c r="D505" s="37"/>
      <c r="E505" s="37"/>
      <c r="F505" s="37"/>
      <c r="G505" s="1"/>
      <c r="H505" s="1"/>
      <c r="I505" s="1"/>
      <c r="J505" s="1"/>
      <c r="K505" s="1"/>
      <c r="L505" s="1"/>
      <c r="M505" s="1"/>
      <c r="N505" s="1"/>
      <c r="O505" s="1"/>
      <c r="P505" s="1"/>
      <c r="Q505" s="1"/>
      <c r="R505" s="1"/>
      <c r="S505" s="1"/>
      <c r="T505" s="1"/>
    </row>
    <row r="506" ht="15.75" customHeight="1">
      <c r="A506" s="36"/>
      <c r="B506" s="37"/>
      <c r="C506" s="37"/>
      <c r="D506" s="37"/>
      <c r="E506" s="37"/>
      <c r="F506" s="37"/>
      <c r="G506" s="1"/>
      <c r="H506" s="1"/>
      <c r="I506" s="1"/>
      <c r="J506" s="1"/>
      <c r="K506" s="1"/>
      <c r="L506" s="1"/>
      <c r="M506" s="1"/>
      <c r="N506" s="1"/>
      <c r="O506" s="1"/>
      <c r="P506" s="1"/>
      <c r="Q506" s="1"/>
      <c r="R506" s="1"/>
      <c r="S506" s="1"/>
      <c r="T506" s="1"/>
    </row>
    <row r="507" ht="15.75" customHeight="1">
      <c r="A507" s="36"/>
      <c r="B507" s="37"/>
      <c r="C507" s="37"/>
      <c r="D507" s="37"/>
      <c r="E507" s="37"/>
      <c r="F507" s="37"/>
      <c r="G507" s="1"/>
      <c r="H507" s="1"/>
      <c r="I507" s="1"/>
      <c r="J507" s="1"/>
      <c r="K507" s="1"/>
      <c r="L507" s="1"/>
      <c r="M507" s="1"/>
      <c r="N507" s="1"/>
      <c r="O507" s="1"/>
      <c r="P507" s="1"/>
      <c r="Q507" s="1"/>
      <c r="R507" s="1"/>
      <c r="S507" s="1"/>
      <c r="T507" s="1"/>
    </row>
    <row r="508" ht="15.75" customHeight="1">
      <c r="A508" s="36"/>
      <c r="B508" s="37"/>
      <c r="C508" s="37"/>
      <c r="D508" s="37"/>
      <c r="E508" s="37"/>
      <c r="F508" s="37"/>
      <c r="G508" s="1"/>
      <c r="H508" s="1"/>
      <c r="I508" s="1"/>
      <c r="J508" s="1"/>
      <c r="K508" s="1"/>
      <c r="L508" s="1"/>
      <c r="M508" s="1"/>
      <c r="N508" s="1"/>
      <c r="O508" s="1"/>
      <c r="P508" s="1"/>
      <c r="Q508" s="1"/>
      <c r="R508" s="1"/>
      <c r="S508" s="1"/>
      <c r="T508" s="1"/>
    </row>
    <row r="509" ht="15.75" customHeight="1">
      <c r="A509" s="36"/>
      <c r="B509" s="37"/>
      <c r="C509" s="37"/>
      <c r="D509" s="37"/>
      <c r="E509" s="37"/>
      <c r="F509" s="37"/>
      <c r="G509" s="1"/>
      <c r="H509" s="1"/>
      <c r="I509" s="1"/>
      <c r="J509" s="1"/>
      <c r="K509" s="1"/>
      <c r="L509" s="1"/>
      <c r="M509" s="1"/>
      <c r="N509" s="1"/>
      <c r="O509" s="1"/>
      <c r="P509" s="1"/>
      <c r="Q509" s="1"/>
      <c r="R509" s="1"/>
      <c r="S509" s="1"/>
      <c r="T509" s="1"/>
    </row>
    <row r="510" ht="15.75" customHeight="1">
      <c r="A510" s="36"/>
      <c r="B510" s="37"/>
      <c r="C510" s="37"/>
      <c r="D510" s="37"/>
      <c r="E510" s="37"/>
      <c r="F510" s="37"/>
      <c r="G510" s="1"/>
      <c r="H510" s="1"/>
      <c r="I510" s="1"/>
      <c r="J510" s="1"/>
      <c r="K510" s="1"/>
      <c r="L510" s="1"/>
      <c r="M510" s="1"/>
      <c r="N510" s="1"/>
      <c r="O510" s="1"/>
      <c r="P510" s="1"/>
      <c r="Q510" s="1"/>
      <c r="R510" s="1"/>
      <c r="S510" s="1"/>
      <c r="T510" s="1"/>
    </row>
    <row r="511" ht="15.75" customHeight="1">
      <c r="A511" s="36"/>
      <c r="B511" s="37"/>
      <c r="C511" s="37"/>
      <c r="D511" s="37"/>
      <c r="E511" s="37"/>
      <c r="F511" s="37"/>
      <c r="G511" s="1"/>
      <c r="H511" s="1"/>
      <c r="I511" s="1"/>
      <c r="J511" s="1"/>
      <c r="K511" s="1"/>
      <c r="L511" s="1"/>
      <c r="M511" s="1"/>
      <c r="N511" s="1"/>
      <c r="O511" s="1"/>
      <c r="P511" s="1"/>
      <c r="Q511" s="1"/>
      <c r="R511" s="1"/>
      <c r="S511" s="1"/>
      <c r="T511" s="1"/>
    </row>
    <row r="512" ht="15.75" customHeight="1">
      <c r="A512" s="36"/>
      <c r="B512" s="37"/>
      <c r="C512" s="37"/>
      <c r="D512" s="37"/>
      <c r="E512" s="37"/>
      <c r="F512" s="37"/>
      <c r="G512" s="1"/>
      <c r="H512" s="1"/>
      <c r="I512" s="1"/>
      <c r="J512" s="1"/>
      <c r="K512" s="1"/>
      <c r="L512" s="1"/>
      <c r="M512" s="1"/>
      <c r="N512" s="1"/>
      <c r="O512" s="1"/>
      <c r="P512" s="1"/>
      <c r="Q512" s="1"/>
      <c r="R512" s="1"/>
      <c r="S512" s="1"/>
      <c r="T512" s="1"/>
    </row>
    <row r="513" ht="15.75" customHeight="1">
      <c r="A513" s="36"/>
      <c r="B513" s="37"/>
      <c r="C513" s="37"/>
      <c r="D513" s="37"/>
      <c r="E513" s="37"/>
      <c r="F513" s="37"/>
      <c r="G513" s="1"/>
      <c r="H513" s="1"/>
      <c r="I513" s="1"/>
      <c r="J513" s="1"/>
      <c r="K513" s="1"/>
      <c r="L513" s="1"/>
      <c r="M513" s="1"/>
      <c r="N513" s="1"/>
      <c r="O513" s="1"/>
      <c r="P513" s="1"/>
      <c r="Q513" s="1"/>
      <c r="R513" s="1"/>
      <c r="S513" s="1"/>
      <c r="T513" s="1"/>
    </row>
    <row r="514" ht="15.75" customHeight="1">
      <c r="A514" s="36"/>
      <c r="B514" s="37"/>
      <c r="C514" s="37"/>
      <c r="D514" s="37"/>
      <c r="E514" s="37"/>
      <c r="F514" s="37"/>
      <c r="G514" s="1"/>
      <c r="H514" s="1"/>
      <c r="I514" s="1"/>
      <c r="J514" s="1"/>
      <c r="K514" s="1"/>
      <c r="L514" s="1"/>
      <c r="M514" s="1"/>
      <c r="N514" s="1"/>
      <c r="O514" s="1"/>
      <c r="P514" s="1"/>
      <c r="Q514" s="1"/>
      <c r="R514" s="1"/>
      <c r="S514" s="1"/>
      <c r="T514" s="1"/>
    </row>
    <row r="515" ht="15.75" customHeight="1">
      <c r="A515" s="36"/>
      <c r="B515" s="37"/>
      <c r="C515" s="37"/>
      <c r="D515" s="37"/>
      <c r="E515" s="37"/>
      <c r="F515" s="37"/>
      <c r="G515" s="1"/>
      <c r="H515" s="1"/>
      <c r="I515" s="1"/>
      <c r="J515" s="1"/>
      <c r="K515" s="1"/>
      <c r="L515" s="1"/>
      <c r="M515" s="1"/>
      <c r="N515" s="1"/>
      <c r="O515" s="1"/>
      <c r="P515" s="1"/>
      <c r="Q515" s="1"/>
      <c r="R515" s="1"/>
      <c r="S515" s="1"/>
      <c r="T515" s="1"/>
    </row>
    <row r="516" ht="15.75" customHeight="1">
      <c r="A516" s="36"/>
      <c r="B516" s="37"/>
      <c r="C516" s="37"/>
      <c r="D516" s="37"/>
      <c r="E516" s="37"/>
      <c r="F516" s="37"/>
      <c r="G516" s="1"/>
      <c r="H516" s="1"/>
      <c r="I516" s="1"/>
      <c r="J516" s="1"/>
      <c r="K516" s="1"/>
      <c r="L516" s="1"/>
      <c r="M516" s="1"/>
      <c r="N516" s="1"/>
      <c r="O516" s="1"/>
      <c r="P516" s="1"/>
      <c r="Q516" s="1"/>
      <c r="R516" s="1"/>
      <c r="S516" s="1"/>
      <c r="T516" s="1"/>
    </row>
    <row r="517" ht="15.75" customHeight="1">
      <c r="A517" s="36"/>
      <c r="B517" s="37"/>
      <c r="C517" s="37"/>
      <c r="D517" s="37"/>
      <c r="E517" s="37"/>
      <c r="F517" s="37"/>
      <c r="G517" s="1"/>
      <c r="H517" s="1"/>
      <c r="I517" s="1"/>
      <c r="J517" s="1"/>
      <c r="K517" s="1"/>
      <c r="L517" s="1"/>
      <c r="M517" s="1"/>
      <c r="N517" s="1"/>
      <c r="O517" s="1"/>
      <c r="P517" s="1"/>
      <c r="Q517" s="1"/>
      <c r="R517" s="1"/>
      <c r="S517" s="1"/>
      <c r="T517" s="1"/>
    </row>
    <row r="518" ht="15.75" customHeight="1">
      <c r="A518" s="36"/>
      <c r="B518" s="37"/>
      <c r="C518" s="37"/>
      <c r="D518" s="37"/>
      <c r="E518" s="37"/>
      <c r="F518" s="37"/>
      <c r="G518" s="1"/>
      <c r="H518" s="1"/>
      <c r="I518" s="1"/>
      <c r="J518" s="1"/>
      <c r="K518" s="1"/>
      <c r="L518" s="1"/>
      <c r="M518" s="1"/>
      <c r="N518" s="1"/>
      <c r="O518" s="1"/>
      <c r="P518" s="1"/>
      <c r="Q518" s="1"/>
      <c r="R518" s="1"/>
      <c r="S518" s="1"/>
      <c r="T518" s="1"/>
    </row>
    <row r="519" ht="15.75" customHeight="1">
      <c r="A519" s="36"/>
      <c r="B519" s="37"/>
      <c r="C519" s="37"/>
      <c r="D519" s="37"/>
      <c r="E519" s="37"/>
      <c r="F519" s="37"/>
      <c r="G519" s="1"/>
      <c r="H519" s="1"/>
      <c r="I519" s="1"/>
      <c r="J519" s="1"/>
      <c r="K519" s="1"/>
      <c r="L519" s="1"/>
      <c r="M519" s="1"/>
      <c r="N519" s="1"/>
      <c r="O519" s="1"/>
      <c r="P519" s="1"/>
      <c r="Q519" s="1"/>
      <c r="R519" s="1"/>
      <c r="S519" s="1"/>
      <c r="T519" s="1"/>
    </row>
    <row r="520" ht="15.75" customHeight="1">
      <c r="A520" s="36"/>
      <c r="B520" s="37"/>
      <c r="C520" s="37"/>
      <c r="D520" s="37"/>
      <c r="E520" s="37"/>
      <c r="F520" s="37"/>
      <c r="G520" s="1"/>
      <c r="H520" s="1"/>
      <c r="I520" s="1"/>
      <c r="J520" s="1"/>
      <c r="K520" s="1"/>
      <c r="L520" s="1"/>
      <c r="M520" s="1"/>
      <c r="N520" s="1"/>
      <c r="O520" s="1"/>
      <c r="P520" s="1"/>
      <c r="Q520" s="1"/>
      <c r="R520" s="1"/>
      <c r="S520" s="1"/>
      <c r="T520" s="1"/>
    </row>
    <row r="521" ht="15.75" customHeight="1">
      <c r="A521" s="36"/>
      <c r="B521" s="37"/>
      <c r="C521" s="37"/>
      <c r="D521" s="37"/>
      <c r="E521" s="37"/>
      <c r="F521" s="37"/>
      <c r="G521" s="1"/>
      <c r="H521" s="1"/>
      <c r="I521" s="1"/>
      <c r="J521" s="1"/>
      <c r="K521" s="1"/>
      <c r="L521" s="1"/>
      <c r="M521" s="1"/>
      <c r="N521" s="1"/>
      <c r="O521" s="1"/>
      <c r="P521" s="1"/>
      <c r="Q521" s="1"/>
      <c r="R521" s="1"/>
      <c r="S521" s="1"/>
      <c r="T521" s="1"/>
    </row>
    <row r="522" ht="15.75" customHeight="1">
      <c r="A522" s="36"/>
      <c r="B522" s="37"/>
      <c r="C522" s="37"/>
      <c r="D522" s="37"/>
      <c r="E522" s="37"/>
      <c r="F522" s="37"/>
      <c r="G522" s="1"/>
      <c r="H522" s="1"/>
      <c r="I522" s="1"/>
      <c r="J522" s="1"/>
      <c r="K522" s="1"/>
      <c r="L522" s="1"/>
      <c r="M522" s="1"/>
      <c r="N522" s="1"/>
      <c r="O522" s="1"/>
      <c r="P522" s="1"/>
      <c r="Q522" s="1"/>
      <c r="R522" s="1"/>
      <c r="S522" s="1"/>
      <c r="T522" s="1"/>
    </row>
    <row r="523" ht="15.75" customHeight="1">
      <c r="A523" s="36"/>
      <c r="B523" s="37"/>
      <c r="C523" s="37"/>
      <c r="D523" s="37"/>
      <c r="E523" s="37"/>
      <c r="F523" s="37"/>
      <c r="G523" s="1"/>
      <c r="H523" s="1"/>
      <c r="I523" s="1"/>
      <c r="J523" s="1"/>
      <c r="K523" s="1"/>
      <c r="L523" s="1"/>
      <c r="M523" s="1"/>
      <c r="N523" s="1"/>
      <c r="O523" s="1"/>
      <c r="P523" s="1"/>
      <c r="Q523" s="1"/>
      <c r="R523" s="1"/>
      <c r="S523" s="1"/>
      <c r="T523" s="1"/>
    </row>
    <row r="524" ht="15.75" customHeight="1">
      <c r="A524" s="36"/>
      <c r="B524" s="37"/>
      <c r="C524" s="37"/>
      <c r="D524" s="37"/>
      <c r="E524" s="37"/>
      <c r="F524" s="37"/>
      <c r="G524" s="1"/>
      <c r="H524" s="1"/>
      <c r="I524" s="1"/>
      <c r="J524" s="1"/>
      <c r="K524" s="1"/>
      <c r="L524" s="1"/>
      <c r="M524" s="1"/>
      <c r="N524" s="1"/>
      <c r="O524" s="1"/>
      <c r="P524" s="1"/>
      <c r="Q524" s="1"/>
      <c r="R524" s="1"/>
      <c r="S524" s="1"/>
      <c r="T524" s="1"/>
    </row>
    <row r="525" ht="15.75" customHeight="1">
      <c r="A525" s="36"/>
      <c r="B525" s="37"/>
      <c r="C525" s="37"/>
      <c r="D525" s="37"/>
      <c r="E525" s="37"/>
      <c r="F525" s="37"/>
      <c r="G525" s="1"/>
      <c r="H525" s="1"/>
      <c r="I525" s="1"/>
      <c r="J525" s="1"/>
      <c r="K525" s="1"/>
      <c r="L525" s="1"/>
      <c r="M525" s="1"/>
      <c r="N525" s="1"/>
      <c r="O525" s="1"/>
      <c r="P525" s="1"/>
      <c r="Q525" s="1"/>
      <c r="R525" s="1"/>
      <c r="S525" s="1"/>
      <c r="T525" s="1"/>
    </row>
    <row r="526" ht="15.75" customHeight="1">
      <c r="A526" s="36"/>
      <c r="B526" s="37"/>
      <c r="C526" s="37"/>
      <c r="D526" s="37"/>
      <c r="E526" s="37"/>
      <c r="F526" s="37"/>
      <c r="G526" s="1"/>
      <c r="H526" s="1"/>
      <c r="I526" s="1"/>
      <c r="J526" s="1"/>
      <c r="K526" s="1"/>
      <c r="L526" s="1"/>
      <c r="M526" s="1"/>
      <c r="N526" s="1"/>
      <c r="O526" s="1"/>
      <c r="P526" s="1"/>
      <c r="Q526" s="1"/>
      <c r="R526" s="1"/>
      <c r="S526" s="1"/>
      <c r="T526" s="1"/>
    </row>
    <row r="527" ht="15.75" customHeight="1">
      <c r="A527" s="36"/>
      <c r="B527" s="37"/>
      <c r="C527" s="37"/>
      <c r="D527" s="37"/>
      <c r="E527" s="37"/>
      <c r="F527" s="37"/>
      <c r="G527" s="1"/>
      <c r="H527" s="1"/>
      <c r="I527" s="1"/>
      <c r="J527" s="1"/>
      <c r="K527" s="1"/>
      <c r="L527" s="1"/>
      <c r="M527" s="1"/>
      <c r="N527" s="1"/>
      <c r="O527" s="1"/>
      <c r="P527" s="1"/>
      <c r="Q527" s="1"/>
      <c r="R527" s="1"/>
      <c r="S527" s="1"/>
      <c r="T527" s="1"/>
    </row>
    <row r="528" ht="15.75" customHeight="1">
      <c r="A528" s="36"/>
      <c r="B528" s="37"/>
      <c r="C528" s="37"/>
      <c r="D528" s="37"/>
      <c r="E528" s="37"/>
      <c r="F528" s="37"/>
      <c r="G528" s="1"/>
      <c r="H528" s="1"/>
      <c r="I528" s="1"/>
      <c r="J528" s="1"/>
      <c r="K528" s="1"/>
      <c r="L528" s="1"/>
      <c r="M528" s="1"/>
      <c r="N528" s="1"/>
      <c r="O528" s="1"/>
      <c r="P528" s="1"/>
      <c r="Q528" s="1"/>
      <c r="R528" s="1"/>
      <c r="S528" s="1"/>
      <c r="T528" s="1"/>
    </row>
    <row r="529" ht="15.75" customHeight="1">
      <c r="A529" s="36"/>
      <c r="B529" s="37"/>
      <c r="C529" s="37"/>
      <c r="D529" s="37"/>
      <c r="E529" s="37"/>
      <c r="F529" s="37"/>
      <c r="G529" s="1"/>
      <c r="H529" s="1"/>
      <c r="I529" s="1"/>
      <c r="J529" s="1"/>
      <c r="K529" s="1"/>
      <c r="L529" s="1"/>
      <c r="M529" s="1"/>
      <c r="N529" s="1"/>
      <c r="O529" s="1"/>
      <c r="P529" s="1"/>
      <c r="Q529" s="1"/>
      <c r="R529" s="1"/>
      <c r="S529" s="1"/>
      <c r="T529" s="1"/>
    </row>
    <row r="530" ht="15.75" customHeight="1">
      <c r="A530" s="36"/>
      <c r="B530" s="37"/>
      <c r="C530" s="37"/>
      <c r="D530" s="37"/>
      <c r="E530" s="37"/>
      <c r="F530" s="37"/>
      <c r="G530" s="1"/>
      <c r="H530" s="1"/>
      <c r="I530" s="1"/>
      <c r="J530" s="1"/>
      <c r="K530" s="1"/>
      <c r="L530" s="1"/>
      <c r="M530" s="1"/>
      <c r="N530" s="1"/>
      <c r="O530" s="1"/>
      <c r="P530" s="1"/>
      <c r="Q530" s="1"/>
      <c r="R530" s="1"/>
      <c r="S530" s="1"/>
      <c r="T530" s="1"/>
    </row>
    <row r="531" ht="15.75" customHeight="1">
      <c r="A531" s="36"/>
      <c r="B531" s="37"/>
      <c r="C531" s="37"/>
      <c r="D531" s="37"/>
      <c r="E531" s="37"/>
      <c r="F531" s="37"/>
      <c r="G531" s="1"/>
      <c r="H531" s="1"/>
      <c r="I531" s="1"/>
      <c r="J531" s="1"/>
      <c r="K531" s="1"/>
      <c r="L531" s="1"/>
      <c r="M531" s="1"/>
      <c r="N531" s="1"/>
      <c r="O531" s="1"/>
      <c r="P531" s="1"/>
      <c r="Q531" s="1"/>
      <c r="R531" s="1"/>
      <c r="S531" s="1"/>
      <c r="T531" s="1"/>
    </row>
    <row r="532" ht="15.75" customHeight="1">
      <c r="A532" s="36"/>
      <c r="B532" s="37"/>
      <c r="C532" s="37"/>
      <c r="D532" s="37"/>
      <c r="E532" s="37"/>
      <c r="F532" s="37"/>
      <c r="G532" s="1"/>
      <c r="H532" s="1"/>
      <c r="I532" s="1"/>
      <c r="J532" s="1"/>
      <c r="K532" s="1"/>
      <c r="L532" s="1"/>
      <c r="M532" s="1"/>
      <c r="N532" s="1"/>
      <c r="O532" s="1"/>
      <c r="P532" s="1"/>
      <c r="Q532" s="1"/>
      <c r="R532" s="1"/>
      <c r="S532" s="1"/>
      <c r="T532" s="1"/>
    </row>
    <row r="533" ht="15.75" customHeight="1">
      <c r="A533" s="36"/>
      <c r="B533" s="37"/>
      <c r="C533" s="37"/>
      <c r="D533" s="37"/>
      <c r="E533" s="37"/>
      <c r="F533" s="37"/>
      <c r="G533" s="1"/>
      <c r="H533" s="1"/>
      <c r="I533" s="1"/>
      <c r="J533" s="1"/>
      <c r="K533" s="1"/>
      <c r="L533" s="1"/>
      <c r="M533" s="1"/>
      <c r="N533" s="1"/>
      <c r="O533" s="1"/>
      <c r="P533" s="1"/>
      <c r="Q533" s="1"/>
      <c r="R533" s="1"/>
      <c r="S533" s="1"/>
      <c r="T533" s="1"/>
    </row>
    <row r="534" ht="15.75" customHeight="1">
      <c r="A534" s="36"/>
      <c r="B534" s="37"/>
      <c r="C534" s="37"/>
      <c r="D534" s="37"/>
      <c r="E534" s="37"/>
      <c r="F534" s="37"/>
      <c r="G534" s="1"/>
      <c r="H534" s="1"/>
      <c r="I534" s="1"/>
      <c r="J534" s="1"/>
      <c r="K534" s="1"/>
      <c r="L534" s="1"/>
      <c r="M534" s="1"/>
      <c r="N534" s="1"/>
      <c r="O534" s="1"/>
      <c r="P534" s="1"/>
      <c r="Q534" s="1"/>
      <c r="R534" s="1"/>
      <c r="S534" s="1"/>
      <c r="T534" s="1"/>
    </row>
    <row r="535" ht="15.75" customHeight="1">
      <c r="A535" s="36"/>
      <c r="B535" s="37"/>
      <c r="C535" s="37"/>
      <c r="D535" s="37"/>
      <c r="E535" s="37"/>
      <c r="F535" s="37"/>
      <c r="G535" s="1"/>
      <c r="H535" s="1"/>
      <c r="I535" s="1"/>
      <c r="J535" s="1"/>
      <c r="K535" s="1"/>
      <c r="L535" s="1"/>
      <c r="M535" s="1"/>
      <c r="N535" s="1"/>
      <c r="O535" s="1"/>
      <c r="P535" s="1"/>
      <c r="Q535" s="1"/>
      <c r="R535" s="1"/>
      <c r="S535" s="1"/>
      <c r="T535" s="1"/>
    </row>
    <row r="536" ht="15.75" customHeight="1">
      <c r="A536" s="36"/>
      <c r="B536" s="37"/>
      <c r="C536" s="37"/>
      <c r="D536" s="37"/>
      <c r="E536" s="37"/>
      <c r="F536" s="37"/>
      <c r="G536" s="1"/>
      <c r="H536" s="1"/>
      <c r="I536" s="1"/>
      <c r="J536" s="1"/>
      <c r="K536" s="1"/>
      <c r="L536" s="1"/>
      <c r="M536" s="1"/>
      <c r="N536" s="1"/>
      <c r="O536" s="1"/>
      <c r="P536" s="1"/>
      <c r="Q536" s="1"/>
      <c r="R536" s="1"/>
      <c r="S536" s="1"/>
      <c r="T536" s="1"/>
    </row>
    <row r="537" ht="15.75" customHeight="1">
      <c r="A537" s="36"/>
      <c r="B537" s="37"/>
      <c r="C537" s="37"/>
      <c r="D537" s="37"/>
      <c r="E537" s="37"/>
      <c r="F537" s="37"/>
      <c r="G537" s="1"/>
      <c r="H537" s="1"/>
      <c r="I537" s="1"/>
      <c r="J537" s="1"/>
      <c r="K537" s="1"/>
      <c r="L537" s="1"/>
      <c r="M537" s="1"/>
      <c r="N537" s="1"/>
      <c r="O537" s="1"/>
      <c r="P537" s="1"/>
      <c r="Q537" s="1"/>
      <c r="R537" s="1"/>
      <c r="S537" s="1"/>
      <c r="T537" s="1"/>
    </row>
    <row r="538" ht="15.75" customHeight="1">
      <c r="A538" s="36"/>
      <c r="B538" s="37"/>
      <c r="C538" s="37"/>
      <c r="D538" s="37"/>
      <c r="E538" s="37"/>
      <c r="F538" s="37"/>
      <c r="G538" s="1"/>
      <c r="H538" s="1"/>
      <c r="I538" s="1"/>
      <c r="J538" s="1"/>
      <c r="K538" s="1"/>
      <c r="L538" s="1"/>
      <c r="M538" s="1"/>
      <c r="N538" s="1"/>
      <c r="O538" s="1"/>
      <c r="P538" s="1"/>
      <c r="Q538" s="1"/>
      <c r="R538" s="1"/>
      <c r="S538" s="1"/>
      <c r="T538" s="1"/>
    </row>
    <row r="539" ht="15.75" customHeight="1">
      <c r="A539" s="36"/>
      <c r="B539" s="37"/>
      <c r="C539" s="37"/>
      <c r="D539" s="37"/>
      <c r="E539" s="37"/>
      <c r="F539" s="37"/>
      <c r="G539" s="1"/>
      <c r="H539" s="1"/>
      <c r="I539" s="1"/>
      <c r="J539" s="1"/>
      <c r="K539" s="1"/>
      <c r="L539" s="1"/>
      <c r="M539" s="1"/>
      <c r="N539" s="1"/>
      <c r="O539" s="1"/>
      <c r="P539" s="1"/>
      <c r="Q539" s="1"/>
      <c r="R539" s="1"/>
      <c r="S539" s="1"/>
      <c r="T539" s="1"/>
    </row>
    <row r="540" ht="15.75" customHeight="1">
      <c r="A540" s="36"/>
      <c r="B540" s="37"/>
      <c r="C540" s="37"/>
      <c r="D540" s="37"/>
      <c r="E540" s="37"/>
      <c r="F540" s="37"/>
      <c r="G540" s="1"/>
      <c r="H540" s="1"/>
      <c r="I540" s="1"/>
      <c r="J540" s="1"/>
      <c r="K540" s="1"/>
      <c r="L540" s="1"/>
      <c r="M540" s="1"/>
      <c r="N540" s="1"/>
      <c r="O540" s="1"/>
      <c r="P540" s="1"/>
      <c r="Q540" s="1"/>
      <c r="R540" s="1"/>
      <c r="S540" s="1"/>
      <c r="T540" s="1"/>
    </row>
    <row r="541" ht="15.75" customHeight="1">
      <c r="A541" s="36"/>
      <c r="B541" s="37"/>
      <c r="C541" s="37"/>
      <c r="D541" s="37"/>
      <c r="E541" s="37"/>
      <c r="F541" s="37"/>
      <c r="G541" s="1"/>
      <c r="H541" s="1"/>
      <c r="I541" s="1"/>
      <c r="J541" s="1"/>
      <c r="K541" s="1"/>
      <c r="L541" s="1"/>
      <c r="M541" s="1"/>
      <c r="N541" s="1"/>
      <c r="O541" s="1"/>
      <c r="P541" s="1"/>
      <c r="Q541" s="1"/>
      <c r="R541" s="1"/>
      <c r="S541" s="1"/>
      <c r="T541" s="1"/>
    </row>
    <row r="542" ht="15.75" customHeight="1">
      <c r="A542" s="36"/>
      <c r="B542" s="37"/>
      <c r="C542" s="37"/>
      <c r="D542" s="37"/>
      <c r="E542" s="37"/>
      <c r="F542" s="37"/>
      <c r="G542" s="1"/>
      <c r="H542" s="1"/>
      <c r="I542" s="1"/>
      <c r="J542" s="1"/>
      <c r="K542" s="1"/>
      <c r="L542" s="1"/>
      <c r="M542" s="1"/>
      <c r="N542" s="1"/>
      <c r="O542" s="1"/>
      <c r="P542" s="1"/>
      <c r="Q542" s="1"/>
      <c r="R542" s="1"/>
      <c r="S542" s="1"/>
      <c r="T542" s="1"/>
    </row>
    <row r="543" ht="15.75" customHeight="1">
      <c r="A543" s="36"/>
      <c r="B543" s="37"/>
      <c r="C543" s="37"/>
      <c r="D543" s="37"/>
      <c r="E543" s="37"/>
      <c r="F543" s="37"/>
      <c r="G543" s="1"/>
      <c r="H543" s="1"/>
      <c r="I543" s="1"/>
      <c r="J543" s="1"/>
      <c r="K543" s="1"/>
      <c r="L543" s="1"/>
      <c r="M543" s="1"/>
      <c r="N543" s="1"/>
      <c r="O543" s="1"/>
      <c r="P543" s="1"/>
      <c r="Q543" s="1"/>
      <c r="R543" s="1"/>
      <c r="S543" s="1"/>
      <c r="T543" s="1"/>
    </row>
    <row r="544" ht="15.75" customHeight="1">
      <c r="A544" s="36"/>
      <c r="B544" s="37"/>
      <c r="C544" s="37"/>
      <c r="D544" s="37"/>
      <c r="E544" s="37"/>
      <c r="F544" s="37"/>
      <c r="G544" s="1"/>
      <c r="H544" s="1"/>
      <c r="I544" s="1"/>
      <c r="J544" s="1"/>
      <c r="K544" s="1"/>
      <c r="L544" s="1"/>
      <c r="M544" s="1"/>
      <c r="N544" s="1"/>
      <c r="O544" s="1"/>
      <c r="P544" s="1"/>
      <c r="Q544" s="1"/>
      <c r="R544" s="1"/>
      <c r="S544" s="1"/>
      <c r="T544" s="1"/>
    </row>
    <row r="545" ht="15.75" customHeight="1">
      <c r="A545" s="36"/>
      <c r="B545" s="37"/>
      <c r="C545" s="37"/>
      <c r="D545" s="37"/>
      <c r="E545" s="37"/>
      <c r="F545" s="37"/>
      <c r="G545" s="1"/>
      <c r="H545" s="1"/>
      <c r="I545" s="1"/>
      <c r="J545" s="1"/>
      <c r="K545" s="1"/>
      <c r="L545" s="1"/>
      <c r="M545" s="1"/>
      <c r="N545" s="1"/>
      <c r="O545" s="1"/>
      <c r="P545" s="1"/>
      <c r="Q545" s="1"/>
      <c r="R545" s="1"/>
      <c r="S545" s="1"/>
      <c r="T545" s="1"/>
    </row>
    <row r="546" ht="15.75" customHeight="1">
      <c r="A546" s="36"/>
      <c r="B546" s="37"/>
      <c r="C546" s="37"/>
      <c r="D546" s="37"/>
      <c r="E546" s="37"/>
      <c r="F546" s="37"/>
      <c r="G546" s="1"/>
      <c r="H546" s="1"/>
      <c r="I546" s="1"/>
      <c r="J546" s="1"/>
      <c r="K546" s="1"/>
      <c r="L546" s="1"/>
      <c r="M546" s="1"/>
      <c r="N546" s="1"/>
      <c r="O546" s="1"/>
      <c r="P546" s="1"/>
      <c r="Q546" s="1"/>
      <c r="R546" s="1"/>
      <c r="S546" s="1"/>
      <c r="T546" s="1"/>
    </row>
    <row r="547" ht="15.75" customHeight="1">
      <c r="A547" s="36"/>
      <c r="B547" s="37"/>
      <c r="C547" s="37"/>
      <c r="D547" s="37"/>
      <c r="E547" s="37"/>
      <c r="F547" s="37"/>
      <c r="G547" s="1"/>
      <c r="H547" s="1"/>
      <c r="I547" s="1"/>
      <c r="J547" s="1"/>
      <c r="K547" s="1"/>
      <c r="L547" s="1"/>
      <c r="M547" s="1"/>
      <c r="N547" s="1"/>
      <c r="O547" s="1"/>
      <c r="P547" s="1"/>
      <c r="Q547" s="1"/>
      <c r="R547" s="1"/>
      <c r="S547" s="1"/>
      <c r="T547" s="1"/>
    </row>
    <row r="548" ht="15.75" customHeight="1">
      <c r="A548" s="36"/>
      <c r="B548" s="37"/>
      <c r="C548" s="37"/>
      <c r="D548" s="37"/>
      <c r="E548" s="37"/>
      <c r="F548" s="37"/>
      <c r="G548" s="1"/>
      <c r="H548" s="1"/>
      <c r="I548" s="1"/>
      <c r="J548" s="1"/>
      <c r="K548" s="1"/>
      <c r="L548" s="1"/>
      <c r="M548" s="1"/>
      <c r="N548" s="1"/>
      <c r="O548" s="1"/>
      <c r="P548" s="1"/>
      <c r="Q548" s="1"/>
      <c r="R548" s="1"/>
      <c r="S548" s="1"/>
      <c r="T548" s="1"/>
    </row>
    <row r="549" ht="15.75" customHeight="1">
      <c r="A549" s="36"/>
      <c r="B549" s="37"/>
      <c r="C549" s="37"/>
      <c r="D549" s="37"/>
      <c r="E549" s="37"/>
      <c r="F549" s="37"/>
      <c r="G549" s="1"/>
      <c r="H549" s="1"/>
      <c r="I549" s="1"/>
      <c r="J549" s="1"/>
      <c r="K549" s="1"/>
      <c r="L549" s="1"/>
      <c r="M549" s="1"/>
      <c r="N549" s="1"/>
      <c r="O549" s="1"/>
      <c r="P549" s="1"/>
      <c r="Q549" s="1"/>
      <c r="R549" s="1"/>
      <c r="S549" s="1"/>
      <c r="T549" s="1"/>
    </row>
    <row r="550" ht="15.75" customHeight="1">
      <c r="A550" s="36"/>
      <c r="B550" s="37"/>
      <c r="C550" s="37"/>
      <c r="D550" s="37"/>
      <c r="E550" s="37"/>
      <c r="F550" s="37"/>
      <c r="G550" s="1"/>
      <c r="H550" s="1"/>
      <c r="I550" s="1"/>
      <c r="J550" s="1"/>
      <c r="K550" s="1"/>
      <c r="L550" s="1"/>
      <c r="M550" s="1"/>
      <c r="N550" s="1"/>
      <c r="O550" s="1"/>
      <c r="P550" s="1"/>
      <c r="Q550" s="1"/>
      <c r="R550" s="1"/>
      <c r="S550" s="1"/>
      <c r="T550" s="1"/>
    </row>
    <row r="551" ht="15.75" customHeight="1">
      <c r="A551" s="36"/>
      <c r="B551" s="37"/>
      <c r="C551" s="37"/>
      <c r="D551" s="37"/>
      <c r="E551" s="37"/>
      <c r="F551" s="37"/>
      <c r="G551" s="1"/>
      <c r="H551" s="1"/>
      <c r="I551" s="1"/>
      <c r="J551" s="1"/>
      <c r="K551" s="1"/>
      <c r="L551" s="1"/>
      <c r="M551" s="1"/>
      <c r="N551" s="1"/>
      <c r="O551" s="1"/>
      <c r="P551" s="1"/>
      <c r="Q551" s="1"/>
      <c r="R551" s="1"/>
      <c r="S551" s="1"/>
      <c r="T551" s="1"/>
    </row>
    <row r="552" ht="15.75" customHeight="1">
      <c r="A552" s="36"/>
      <c r="B552" s="37"/>
      <c r="C552" s="37"/>
      <c r="D552" s="37"/>
      <c r="E552" s="37"/>
      <c r="F552" s="37"/>
      <c r="G552" s="1"/>
      <c r="H552" s="1"/>
      <c r="I552" s="1"/>
      <c r="J552" s="1"/>
      <c r="K552" s="1"/>
      <c r="L552" s="1"/>
      <c r="M552" s="1"/>
      <c r="N552" s="1"/>
      <c r="O552" s="1"/>
      <c r="P552" s="1"/>
      <c r="Q552" s="1"/>
      <c r="R552" s="1"/>
      <c r="S552" s="1"/>
      <c r="T552" s="1"/>
    </row>
    <row r="553" ht="15.75" customHeight="1">
      <c r="A553" s="36"/>
      <c r="B553" s="37"/>
      <c r="C553" s="37"/>
      <c r="D553" s="37"/>
      <c r="E553" s="37"/>
      <c r="F553" s="37"/>
      <c r="G553" s="1"/>
      <c r="H553" s="1"/>
      <c r="I553" s="1"/>
      <c r="J553" s="1"/>
      <c r="K553" s="1"/>
      <c r="L553" s="1"/>
      <c r="M553" s="1"/>
      <c r="N553" s="1"/>
      <c r="O553" s="1"/>
      <c r="P553" s="1"/>
      <c r="Q553" s="1"/>
      <c r="R553" s="1"/>
      <c r="S553" s="1"/>
      <c r="T553" s="1"/>
    </row>
    <row r="554" ht="15.75" customHeight="1">
      <c r="A554" s="36"/>
      <c r="B554" s="37"/>
      <c r="C554" s="37"/>
      <c r="D554" s="37"/>
      <c r="E554" s="37"/>
      <c r="F554" s="37"/>
      <c r="G554" s="1"/>
      <c r="H554" s="1"/>
      <c r="I554" s="1"/>
      <c r="J554" s="1"/>
      <c r="K554" s="1"/>
      <c r="L554" s="1"/>
      <c r="M554" s="1"/>
      <c r="N554" s="1"/>
      <c r="O554" s="1"/>
      <c r="P554" s="1"/>
      <c r="Q554" s="1"/>
      <c r="R554" s="1"/>
      <c r="S554" s="1"/>
      <c r="T554" s="1"/>
    </row>
    <row r="555" ht="15.75" customHeight="1">
      <c r="A555" s="36"/>
      <c r="B555" s="37"/>
      <c r="C555" s="37"/>
      <c r="D555" s="37"/>
      <c r="E555" s="37"/>
      <c r="F555" s="37"/>
      <c r="G555" s="1"/>
      <c r="H555" s="1"/>
      <c r="I555" s="1"/>
      <c r="J555" s="1"/>
      <c r="K555" s="1"/>
      <c r="L555" s="1"/>
      <c r="M555" s="1"/>
      <c r="N555" s="1"/>
      <c r="O555" s="1"/>
      <c r="P555" s="1"/>
      <c r="Q555" s="1"/>
      <c r="R555" s="1"/>
      <c r="S555" s="1"/>
      <c r="T555" s="1"/>
    </row>
    <row r="556" ht="15.75" customHeight="1">
      <c r="A556" s="36"/>
      <c r="B556" s="37"/>
      <c r="C556" s="37"/>
      <c r="D556" s="37"/>
      <c r="E556" s="37"/>
      <c r="F556" s="37"/>
      <c r="G556" s="1"/>
      <c r="H556" s="1"/>
      <c r="I556" s="1"/>
      <c r="J556" s="1"/>
      <c r="K556" s="1"/>
      <c r="L556" s="1"/>
      <c r="M556" s="1"/>
      <c r="N556" s="1"/>
      <c r="O556" s="1"/>
      <c r="P556" s="1"/>
      <c r="Q556" s="1"/>
      <c r="R556" s="1"/>
      <c r="S556" s="1"/>
      <c r="T556" s="1"/>
    </row>
    <row r="557" ht="15.75" customHeight="1">
      <c r="A557" s="36"/>
      <c r="B557" s="37"/>
      <c r="C557" s="37"/>
      <c r="D557" s="37"/>
      <c r="E557" s="37"/>
      <c r="F557" s="37"/>
      <c r="G557" s="1"/>
      <c r="H557" s="1"/>
      <c r="I557" s="1"/>
      <c r="J557" s="1"/>
      <c r="K557" s="1"/>
      <c r="L557" s="1"/>
      <c r="M557" s="1"/>
      <c r="N557" s="1"/>
      <c r="O557" s="1"/>
      <c r="P557" s="1"/>
      <c r="Q557" s="1"/>
      <c r="R557" s="1"/>
      <c r="S557" s="1"/>
      <c r="T557" s="1"/>
    </row>
    <row r="558" ht="15.75" customHeight="1">
      <c r="A558" s="36"/>
      <c r="B558" s="37"/>
      <c r="C558" s="37"/>
      <c r="D558" s="37"/>
      <c r="E558" s="37"/>
      <c r="F558" s="37"/>
      <c r="G558" s="1"/>
      <c r="H558" s="1"/>
      <c r="I558" s="1"/>
      <c r="J558" s="1"/>
      <c r="K558" s="1"/>
      <c r="L558" s="1"/>
      <c r="M558" s="1"/>
      <c r="N558" s="1"/>
      <c r="O558" s="1"/>
      <c r="P558" s="1"/>
      <c r="Q558" s="1"/>
      <c r="R558" s="1"/>
      <c r="S558" s="1"/>
      <c r="T558" s="1"/>
    </row>
    <row r="559" ht="15.75" customHeight="1">
      <c r="A559" s="36"/>
      <c r="B559" s="37"/>
      <c r="C559" s="37"/>
      <c r="D559" s="37"/>
      <c r="E559" s="37"/>
      <c r="F559" s="37"/>
      <c r="G559" s="1"/>
      <c r="H559" s="1"/>
      <c r="I559" s="1"/>
      <c r="J559" s="1"/>
      <c r="K559" s="1"/>
      <c r="L559" s="1"/>
      <c r="M559" s="1"/>
      <c r="N559" s="1"/>
      <c r="O559" s="1"/>
      <c r="P559" s="1"/>
      <c r="Q559" s="1"/>
      <c r="R559" s="1"/>
      <c r="S559" s="1"/>
      <c r="T559" s="1"/>
    </row>
    <row r="560" ht="15.75" customHeight="1">
      <c r="A560" s="36"/>
      <c r="B560" s="37"/>
      <c r="C560" s="37"/>
      <c r="D560" s="37"/>
      <c r="E560" s="37"/>
      <c r="F560" s="37"/>
      <c r="G560" s="1"/>
      <c r="H560" s="1"/>
      <c r="I560" s="1"/>
      <c r="J560" s="1"/>
      <c r="K560" s="1"/>
      <c r="L560" s="1"/>
      <c r="M560" s="1"/>
      <c r="N560" s="1"/>
      <c r="O560" s="1"/>
      <c r="P560" s="1"/>
      <c r="Q560" s="1"/>
      <c r="R560" s="1"/>
      <c r="S560" s="1"/>
      <c r="T560" s="1"/>
    </row>
    <row r="561" ht="15.75" customHeight="1">
      <c r="A561" s="36"/>
      <c r="B561" s="37"/>
      <c r="C561" s="37"/>
      <c r="D561" s="37"/>
      <c r="E561" s="37"/>
      <c r="F561" s="37"/>
      <c r="G561" s="1"/>
      <c r="H561" s="1"/>
      <c r="I561" s="1"/>
      <c r="J561" s="1"/>
      <c r="K561" s="1"/>
      <c r="L561" s="1"/>
      <c r="M561" s="1"/>
      <c r="N561" s="1"/>
      <c r="O561" s="1"/>
      <c r="P561" s="1"/>
      <c r="Q561" s="1"/>
      <c r="R561" s="1"/>
      <c r="S561" s="1"/>
      <c r="T561" s="1"/>
    </row>
    <row r="562" ht="15.75" customHeight="1">
      <c r="A562" s="36"/>
      <c r="B562" s="37"/>
      <c r="C562" s="37"/>
      <c r="D562" s="37"/>
      <c r="E562" s="37"/>
      <c r="F562" s="37"/>
      <c r="G562" s="1"/>
      <c r="H562" s="1"/>
      <c r="I562" s="1"/>
      <c r="J562" s="1"/>
      <c r="K562" s="1"/>
      <c r="L562" s="1"/>
      <c r="M562" s="1"/>
      <c r="N562" s="1"/>
      <c r="O562" s="1"/>
      <c r="P562" s="1"/>
      <c r="Q562" s="1"/>
      <c r="R562" s="1"/>
      <c r="S562" s="1"/>
      <c r="T562" s="1"/>
    </row>
    <row r="563" ht="15.75" customHeight="1">
      <c r="A563" s="36"/>
      <c r="B563" s="37"/>
      <c r="C563" s="37"/>
      <c r="D563" s="37"/>
      <c r="E563" s="37"/>
      <c r="F563" s="37"/>
      <c r="G563" s="1"/>
      <c r="H563" s="1"/>
      <c r="I563" s="1"/>
      <c r="J563" s="1"/>
      <c r="K563" s="1"/>
      <c r="L563" s="1"/>
      <c r="M563" s="1"/>
      <c r="N563" s="1"/>
      <c r="O563" s="1"/>
      <c r="P563" s="1"/>
      <c r="Q563" s="1"/>
      <c r="R563" s="1"/>
      <c r="S563" s="1"/>
      <c r="T563" s="1"/>
    </row>
    <row r="564" ht="15.75" customHeight="1">
      <c r="A564" s="36"/>
      <c r="B564" s="37"/>
      <c r="C564" s="37"/>
      <c r="D564" s="37"/>
      <c r="E564" s="37"/>
      <c r="F564" s="37"/>
      <c r="G564" s="1"/>
      <c r="H564" s="1"/>
      <c r="I564" s="1"/>
      <c r="J564" s="1"/>
      <c r="K564" s="1"/>
      <c r="L564" s="1"/>
      <c r="M564" s="1"/>
      <c r="N564" s="1"/>
      <c r="O564" s="1"/>
      <c r="P564" s="1"/>
      <c r="Q564" s="1"/>
      <c r="R564" s="1"/>
      <c r="S564" s="1"/>
      <c r="T564" s="1"/>
    </row>
    <row r="565" ht="15.75" customHeight="1">
      <c r="A565" s="36"/>
      <c r="B565" s="37"/>
      <c r="C565" s="37"/>
      <c r="D565" s="37"/>
      <c r="E565" s="37"/>
      <c r="F565" s="37"/>
      <c r="G565" s="1"/>
      <c r="H565" s="1"/>
      <c r="I565" s="1"/>
      <c r="J565" s="1"/>
      <c r="K565" s="1"/>
      <c r="L565" s="1"/>
      <c r="M565" s="1"/>
      <c r="N565" s="1"/>
      <c r="O565" s="1"/>
      <c r="P565" s="1"/>
      <c r="Q565" s="1"/>
      <c r="R565" s="1"/>
      <c r="S565" s="1"/>
      <c r="T565" s="1"/>
    </row>
    <row r="566" ht="15.75" customHeight="1">
      <c r="A566" s="36"/>
      <c r="B566" s="37"/>
      <c r="C566" s="37"/>
      <c r="D566" s="37"/>
      <c r="E566" s="37"/>
      <c r="F566" s="37"/>
      <c r="G566" s="1"/>
      <c r="H566" s="1"/>
      <c r="I566" s="1"/>
      <c r="J566" s="1"/>
      <c r="K566" s="1"/>
      <c r="L566" s="1"/>
      <c r="M566" s="1"/>
      <c r="N566" s="1"/>
      <c r="O566" s="1"/>
      <c r="P566" s="1"/>
      <c r="Q566" s="1"/>
      <c r="R566" s="1"/>
      <c r="S566" s="1"/>
      <c r="T566" s="1"/>
    </row>
    <row r="567" ht="15.75" customHeight="1">
      <c r="A567" s="36"/>
      <c r="B567" s="37"/>
      <c r="C567" s="37"/>
      <c r="D567" s="37"/>
      <c r="E567" s="37"/>
      <c r="F567" s="37"/>
      <c r="G567" s="1"/>
      <c r="H567" s="1"/>
      <c r="I567" s="1"/>
      <c r="J567" s="1"/>
      <c r="K567" s="1"/>
      <c r="L567" s="1"/>
      <c r="M567" s="1"/>
      <c r="N567" s="1"/>
      <c r="O567" s="1"/>
      <c r="P567" s="1"/>
      <c r="Q567" s="1"/>
      <c r="R567" s="1"/>
      <c r="S567" s="1"/>
      <c r="T567" s="1"/>
    </row>
    <row r="568" ht="15.75" customHeight="1">
      <c r="A568" s="36"/>
      <c r="B568" s="37"/>
      <c r="C568" s="37"/>
      <c r="D568" s="37"/>
      <c r="E568" s="37"/>
      <c r="F568" s="37"/>
      <c r="G568" s="1"/>
      <c r="H568" s="1"/>
      <c r="I568" s="1"/>
      <c r="J568" s="1"/>
      <c r="K568" s="1"/>
      <c r="L568" s="1"/>
      <c r="M568" s="1"/>
      <c r="N568" s="1"/>
      <c r="O568" s="1"/>
      <c r="P568" s="1"/>
      <c r="Q568" s="1"/>
      <c r="R568" s="1"/>
      <c r="S568" s="1"/>
      <c r="T568" s="1"/>
    </row>
    <row r="569" ht="15.75" customHeight="1">
      <c r="A569" s="36"/>
      <c r="B569" s="37"/>
      <c r="C569" s="37"/>
      <c r="D569" s="37"/>
      <c r="E569" s="37"/>
      <c r="F569" s="37"/>
      <c r="G569" s="1"/>
      <c r="H569" s="1"/>
      <c r="I569" s="1"/>
      <c r="J569" s="1"/>
      <c r="K569" s="1"/>
      <c r="L569" s="1"/>
      <c r="M569" s="1"/>
      <c r="N569" s="1"/>
      <c r="O569" s="1"/>
      <c r="P569" s="1"/>
      <c r="Q569" s="1"/>
      <c r="R569" s="1"/>
      <c r="S569" s="1"/>
      <c r="T569" s="1"/>
    </row>
    <row r="570" ht="15.75" customHeight="1">
      <c r="A570" s="36"/>
      <c r="B570" s="37"/>
      <c r="C570" s="37"/>
      <c r="D570" s="37"/>
      <c r="E570" s="37"/>
      <c r="F570" s="37"/>
      <c r="G570" s="1"/>
      <c r="H570" s="1"/>
      <c r="I570" s="1"/>
      <c r="J570" s="1"/>
      <c r="K570" s="1"/>
      <c r="L570" s="1"/>
      <c r="M570" s="1"/>
      <c r="N570" s="1"/>
      <c r="O570" s="1"/>
      <c r="P570" s="1"/>
      <c r="Q570" s="1"/>
      <c r="R570" s="1"/>
      <c r="S570" s="1"/>
      <c r="T570" s="1"/>
    </row>
    <row r="571" ht="15.75" customHeight="1">
      <c r="A571" s="36"/>
      <c r="B571" s="37"/>
      <c r="C571" s="37"/>
      <c r="D571" s="37"/>
      <c r="E571" s="37"/>
      <c r="F571" s="37"/>
      <c r="G571" s="1"/>
      <c r="H571" s="1"/>
      <c r="I571" s="1"/>
      <c r="J571" s="1"/>
      <c r="K571" s="1"/>
      <c r="L571" s="1"/>
      <c r="M571" s="1"/>
      <c r="N571" s="1"/>
      <c r="O571" s="1"/>
      <c r="P571" s="1"/>
      <c r="Q571" s="1"/>
      <c r="R571" s="1"/>
      <c r="S571" s="1"/>
      <c r="T571" s="1"/>
    </row>
    <row r="572" ht="15.75" customHeight="1">
      <c r="A572" s="36"/>
      <c r="B572" s="37"/>
      <c r="C572" s="37"/>
      <c r="D572" s="37"/>
      <c r="E572" s="37"/>
      <c r="F572" s="37"/>
      <c r="G572" s="1"/>
      <c r="H572" s="1"/>
      <c r="I572" s="1"/>
      <c r="J572" s="1"/>
      <c r="K572" s="1"/>
      <c r="L572" s="1"/>
      <c r="M572" s="1"/>
      <c r="N572" s="1"/>
      <c r="O572" s="1"/>
      <c r="P572" s="1"/>
      <c r="Q572" s="1"/>
      <c r="R572" s="1"/>
      <c r="S572" s="1"/>
      <c r="T572" s="1"/>
    </row>
    <row r="573" ht="15.75" customHeight="1">
      <c r="A573" s="36"/>
      <c r="B573" s="37"/>
      <c r="C573" s="37"/>
      <c r="D573" s="37"/>
      <c r="E573" s="37"/>
      <c r="F573" s="37"/>
      <c r="G573" s="1"/>
      <c r="H573" s="1"/>
      <c r="I573" s="1"/>
      <c r="J573" s="1"/>
      <c r="K573" s="1"/>
      <c r="L573" s="1"/>
      <c r="M573" s="1"/>
      <c r="N573" s="1"/>
      <c r="O573" s="1"/>
      <c r="P573" s="1"/>
      <c r="Q573" s="1"/>
      <c r="R573" s="1"/>
      <c r="S573" s="1"/>
      <c r="T573" s="1"/>
    </row>
    <row r="574" ht="15.75" customHeight="1">
      <c r="A574" s="36"/>
      <c r="B574" s="37"/>
      <c r="C574" s="37"/>
      <c r="D574" s="37"/>
      <c r="E574" s="37"/>
      <c r="F574" s="37"/>
      <c r="G574" s="1"/>
      <c r="H574" s="1"/>
      <c r="I574" s="1"/>
      <c r="J574" s="1"/>
      <c r="K574" s="1"/>
      <c r="L574" s="1"/>
      <c r="M574" s="1"/>
      <c r="N574" s="1"/>
      <c r="O574" s="1"/>
      <c r="P574" s="1"/>
      <c r="Q574" s="1"/>
      <c r="R574" s="1"/>
      <c r="S574" s="1"/>
      <c r="T574" s="1"/>
    </row>
    <row r="575" ht="15.75" customHeight="1">
      <c r="A575" s="36"/>
      <c r="B575" s="37"/>
      <c r="C575" s="37"/>
      <c r="D575" s="37"/>
      <c r="E575" s="37"/>
      <c r="F575" s="37"/>
      <c r="G575" s="1"/>
      <c r="H575" s="1"/>
      <c r="I575" s="1"/>
      <c r="J575" s="1"/>
      <c r="K575" s="1"/>
      <c r="L575" s="1"/>
      <c r="M575" s="1"/>
      <c r="N575" s="1"/>
      <c r="O575" s="1"/>
      <c r="P575" s="1"/>
      <c r="Q575" s="1"/>
      <c r="R575" s="1"/>
      <c r="S575" s="1"/>
      <c r="T575" s="1"/>
    </row>
    <row r="576" ht="15.75" customHeight="1">
      <c r="A576" s="36"/>
      <c r="B576" s="37"/>
      <c r="C576" s="37"/>
      <c r="D576" s="37"/>
      <c r="E576" s="37"/>
      <c r="F576" s="37"/>
      <c r="G576" s="1"/>
      <c r="H576" s="1"/>
      <c r="I576" s="1"/>
      <c r="J576" s="1"/>
      <c r="K576" s="1"/>
      <c r="L576" s="1"/>
      <c r="M576" s="1"/>
      <c r="N576" s="1"/>
      <c r="O576" s="1"/>
      <c r="P576" s="1"/>
      <c r="Q576" s="1"/>
      <c r="R576" s="1"/>
      <c r="S576" s="1"/>
      <c r="T576" s="1"/>
    </row>
    <row r="577" ht="15.75" customHeight="1">
      <c r="A577" s="36"/>
      <c r="B577" s="37"/>
      <c r="C577" s="37"/>
      <c r="D577" s="37"/>
      <c r="E577" s="37"/>
      <c r="F577" s="37"/>
      <c r="G577" s="1"/>
      <c r="H577" s="1"/>
      <c r="I577" s="1"/>
      <c r="J577" s="1"/>
      <c r="K577" s="1"/>
      <c r="L577" s="1"/>
      <c r="M577" s="1"/>
      <c r="N577" s="1"/>
      <c r="O577" s="1"/>
      <c r="P577" s="1"/>
      <c r="Q577" s="1"/>
      <c r="R577" s="1"/>
      <c r="S577" s="1"/>
      <c r="T577" s="1"/>
    </row>
    <row r="578" ht="15.75" customHeight="1">
      <c r="A578" s="36"/>
      <c r="B578" s="37"/>
      <c r="C578" s="37"/>
      <c r="D578" s="37"/>
      <c r="E578" s="37"/>
      <c r="F578" s="37"/>
      <c r="G578" s="1"/>
      <c r="H578" s="1"/>
      <c r="I578" s="1"/>
      <c r="J578" s="1"/>
      <c r="K578" s="1"/>
      <c r="L578" s="1"/>
      <c r="M578" s="1"/>
      <c r="N578" s="1"/>
      <c r="O578" s="1"/>
      <c r="P578" s="1"/>
      <c r="Q578" s="1"/>
      <c r="R578" s="1"/>
      <c r="S578" s="1"/>
      <c r="T578" s="1"/>
    </row>
    <row r="579" ht="15.75" customHeight="1">
      <c r="A579" s="36"/>
      <c r="B579" s="37"/>
      <c r="C579" s="37"/>
      <c r="D579" s="37"/>
      <c r="E579" s="37"/>
      <c r="F579" s="37"/>
      <c r="G579" s="1"/>
      <c r="H579" s="1"/>
      <c r="I579" s="1"/>
      <c r="J579" s="1"/>
      <c r="K579" s="1"/>
      <c r="L579" s="1"/>
      <c r="M579" s="1"/>
      <c r="N579" s="1"/>
      <c r="O579" s="1"/>
      <c r="P579" s="1"/>
      <c r="Q579" s="1"/>
      <c r="R579" s="1"/>
      <c r="S579" s="1"/>
      <c r="T579" s="1"/>
    </row>
    <row r="580" ht="15.75" customHeight="1">
      <c r="A580" s="36"/>
      <c r="B580" s="37"/>
      <c r="C580" s="37"/>
      <c r="D580" s="37"/>
      <c r="E580" s="37"/>
      <c r="F580" s="37"/>
      <c r="G580" s="1"/>
      <c r="H580" s="1"/>
      <c r="I580" s="1"/>
      <c r="J580" s="1"/>
      <c r="K580" s="1"/>
      <c r="L580" s="1"/>
      <c r="M580" s="1"/>
      <c r="N580" s="1"/>
      <c r="O580" s="1"/>
      <c r="P580" s="1"/>
      <c r="Q580" s="1"/>
      <c r="R580" s="1"/>
      <c r="S580" s="1"/>
      <c r="T580" s="1"/>
    </row>
    <row r="581" ht="15.75" customHeight="1">
      <c r="A581" s="36"/>
      <c r="B581" s="37"/>
      <c r="C581" s="37"/>
      <c r="D581" s="37"/>
      <c r="E581" s="37"/>
      <c r="F581" s="37"/>
      <c r="G581" s="1"/>
      <c r="H581" s="1"/>
      <c r="I581" s="1"/>
      <c r="J581" s="1"/>
      <c r="K581" s="1"/>
      <c r="L581" s="1"/>
      <c r="M581" s="1"/>
      <c r="N581" s="1"/>
      <c r="O581" s="1"/>
      <c r="P581" s="1"/>
      <c r="Q581" s="1"/>
      <c r="R581" s="1"/>
      <c r="S581" s="1"/>
      <c r="T581" s="1"/>
    </row>
    <row r="582" ht="15.75" customHeight="1">
      <c r="A582" s="36"/>
      <c r="B582" s="37"/>
      <c r="C582" s="37"/>
      <c r="D582" s="37"/>
      <c r="E582" s="37"/>
      <c r="F582" s="37"/>
      <c r="G582" s="1"/>
      <c r="H582" s="1"/>
      <c r="I582" s="1"/>
      <c r="J582" s="1"/>
      <c r="K582" s="1"/>
      <c r="L582" s="1"/>
      <c r="M582" s="1"/>
      <c r="N582" s="1"/>
      <c r="O582" s="1"/>
      <c r="P582" s="1"/>
      <c r="Q582" s="1"/>
      <c r="R582" s="1"/>
      <c r="S582" s="1"/>
      <c r="T582" s="1"/>
    </row>
    <row r="583" ht="15.75" customHeight="1">
      <c r="A583" s="36"/>
      <c r="B583" s="37"/>
      <c r="C583" s="37"/>
      <c r="D583" s="37"/>
      <c r="E583" s="37"/>
      <c r="F583" s="37"/>
      <c r="G583" s="1"/>
      <c r="H583" s="1"/>
      <c r="I583" s="1"/>
      <c r="J583" s="1"/>
      <c r="K583" s="1"/>
      <c r="L583" s="1"/>
      <c r="M583" s="1"/>
      <c r="N583" s="1"/>
      <c r="O583" s="1"/>
      <c r="P583" s="1"/>
      <c r="Q583" s="1"/>
      <c r="R583" s="1"/>
      <c r="S583" s="1"/>
      <c r="T583" s="1"/>
    </row>
    <row r="584" ht="15.75" customHeight="1">
      <c r="A584" s="36"/>
      <c r="B584" s="37"/>
      <c r="C584" s="37"/>
      <c r="D584" s="37"/>
      <c r="E584" s="37"/>
      <c r="F584" s="37"/>
      <c r="G584" s="1"/>
      <c r="H584" s="1"/>
      <c r="I584" s="1"/>
      <c r="J584" s="1"/>
      <c r="K584" s="1"/>
      <c r="L584" s="1"/>
      <c r="M584" s="1"/>
      <c r="N584" s="1"/>
      <c r="O584" s="1"/>
      <c r="P584" s="1"/>
      <c r="Q584" s="1"/>
      <c r="R584" s="1"/>
      <c r="S584" s="1"/>
      <c r="T584" s="1"/>
    </row>
    <row r="585" ht="15.75" customHeight="1">
      <c r="A585" s="36"/>
      <c r="B585" s="37"/>
      <c r="C585" s="37"/>
      <c r="D585" s="37"/>
      <c r="E585" s="37"/>
      <c r="F585" s="37"/>
      <c r="G585" s="1"/>
      <c r="H585" s="1"/>
      <c r="I585" s="1"/>
      <c r="J585" s="1"/>
      <c r="K585" s="1"/>
      <c r="L585" s="1"/>
      <c r="M585" s="1"/>
      <c r="N585" s="1"/>
      <c r="O585" s="1"/>
      <c r="P585" s="1"/>
      <c r="Q585" s="1"/>
      <c r="R585" s="1"/>
      <c r="S585" s="1"/>
      <c r="T585" s="1"/>
    </row>
    <row r="586" ht="15.75" customHeight="1">
      <c r="A586" s="36"/>
      <c r="B586" s="37"/>
      <c r="C586" s="37"/>
      <c r="D586" s="37"/>
      <c r="E586" s="37"/>
      <c r="F586" s="37"/>
      <c r="G586" s="1"/>
      <c r="H586" s="1"/>
      <c r="I586" s="1"/>
      <c r="J586" s="1"/>
      <c r="K586" s="1"/>
      <c r="L586" s="1"/>
      <c r="M586" s="1"/>
      <c r="N586" s="1"/>
      <c r="O586" s="1"/>
      <c r="P586" s="1"/>
      <c r="Q586" s="1"/>
      <c r="R586" s="1"/>
      <c r="S586" s="1"/>
      <c r="T586" s="1"/>
    </row>
    <row r="587" ht="15.75" customHeight="1">
      <c r="A587" s="36"/>
      <c r="B587" s="37"/>
      <c r="C587" s="37"/>
      <c r="D587" s="37"/>
      <c r="E587" s="37"/>
      <c r="F587" s="37"/>
      <c r="G587" s="1"/>
      <c r="H587" s="1"/>
      <c r="I587" s="1"/>
      <c r="J587" s="1"/>
      <c r="K587" s="1"/>
      <c r="L587" s="1"/>
      <c r="M587" s="1"/>
      <c r="N587" s="1"/>
      <c r="O587" s="1"/>
      <c r="P587" s="1"/>
      <c r="Q587" s="1"/>
      <c r="R587" s="1"/>
      <c r="S587" s="1"/>
      <c r="T587" s="1"/>
    </row>
    <row r="588" ht="15.75" customHeight="1">
      <c r="A588" s="36"/>
      <c r="B588" s="37"/>
      <c r="C588" s="37"/>
      <c r="D588" s="37"/>
      <c r="E588" s="37"/>
      <c r="F588" s="37"/>
      <c r="G588" s="1"/>
      <c r="H588" s="1"/>
      <c r="I588" s="1"/>
      <c r="J588" s="1"/>
      <c r="K588" s="1"/>
      <c r="L588" s="1"/>
      <c r="M588" s="1"/>
      <c r="N588" s="1"/>
      <c r="O588" s="1"/>
      <c r="P588" s="1"/>
      <c r="Q588" s="1"/>
      <c r="R588" s="1"/>
      <c r="S588" s="1"/>
      <c r="T588" s="1"/>
    </row>
    <row r="589" ht="15.75" customHeight="1">
      <c r="A589" s="36"/>
      <c r="B589" s="37"/>
      <c r="C589" s="37"/>
      <c r="D589" s="37"/>
      <c r="E589" s="37"/>
      <c r="F589" s="37"/>
      <c r="G589" s="1"/>
      <c r="H589" s="1"/>
      <c r="I589" s="1"/>
      <c r="J589" s="1"/>
      <c r="K589" s="1"/>
      <c r="L589" s="1"/>
      <c r="M589" s="1"/>
      <c r="N589" s="1"/>
      <c r="O589" s="1"/>
      <c r="P589" s="1"/>
      <c r="Q589" s="1"/>
      <c r="R589" s="1"/>
      <c r="S589" s="1"/>
      <c r="T589" s="1"/>
    </row>
    <row r="590" ht="15.75" customHeight="1">
      <c r="A590" s="36"/>
      <c r="B590" s="37"/>
      <c r="C590" s="37"/>
      <c r="D590" s="37"/>
      <c r="E590" s="37"/>
      <c r="F590" s="37"/>
      <c r="G590" s="1"/>
      <c r="H590" s="1"/>
      <c r="I590" s="1"/>
      <c r="J590" s="1"/>
      <c r="K590" s="1"/>
      <c r="L590" s="1"/>
      <c r="M590" s="1"/>
      <c r="N590" s="1"/>
      <c r="O590" s="1"/>
      <c r="P590" s="1"/>
      <c r="Q590" s="1"/>
      <c r="R590" s="1"/>
      <c r="S590" s="1"/>
      <c r="T590" s="1"/>
    </row>
    <row r="591" ht="15.75" customHeight="1">
      <c r="A591" s="36"/>
      <c r="B591" s="37"/>
      <c r="C591" s="37"/>
      <c r="D591" s="37"/>
      <c r="E591" s="37"/>
      <c r="F591" s="37"/>
      <c r="G591" s="1"/>
      <c r="H591" s="1"/>
      <c r="I591" s="1"/>
      <c r="J591" s="1"/>
      <c r="K591" s="1"/>
      <c r="L591" s="1"/>
      <c r="M591" s="1"/>
      <c r="N591" s="1"/>
      <c r="O591" s="1"/>
      <c r="P591" s="1"/>
      <c r="Q591" s="1"/>
      <c r="R591" s="1"/>
      <c r="S591" s="1"/>
      <c r="T591" s="1"/>
    </row>
    <row r="592" ht="15.75" customHeight="1">
      <c r="A592" s="36"/>
      <c r="B592" s="37"/>
      <c r="C592" s="37"/>
      <c r="D592" s="37"/>
      <c r="E592" s="37"/>
      <c r="F592" s="37"/>
      <c r="G592" s="1"/>
      <c r="H592" s="1"/>
      <c r="I592" s="1"/>
      <c r="J592" s="1"/>
      <c r="K592" s="1"/>
      <c r="L592" s="1"/>
      <c r="M592" s="1"/>
      <c r="N592" s="1"/>
      <c r="O592" s="1"/>
      <c r="P592" s="1"/>
      <c r="Q592" s="1"/>
      <c r="R592" s="1"/>
      <c r="S592" s="1"/>
      <c r="T592" s="1"/>
    </row>
    <row r="593" ht="15.75" customHeight="1">
      <c r="A593" s="36"/>
      <c r="B593" s="37"/>
      <c r="C593" s="37"/>
      <c r="D593" s="37"/>
      <c r="E593" s="37"/>
      <c r="F593" s="37"/>
      <c r="G593" s="1"/>
      <c r="H593" s="1"/>
      <c r="I593" s="1"/>
      <c r="J593" s="1"/>
      <c r="K593" s="1"/>
      <c r="L593" s="1"/>
      <c r="M593" s="1"/>
      <c r="N593" s="1"/>
      <c r="O593" s="1"/>
      <c r="P593" s="1"/>
      <c r="Q593" s="1"/>
      <c r="R593" s="1"/>
      <c r="S593" s="1"/>
      <c r="T593" s="1"/>
    </row>
    <row r="594" ht="15.75" customHeight="1">
      <c r="A594" s="36"/>
      <c r="B594" s="37"/>
      <c r="C594" s="37"/>
      <c r="D594" s="37"/>
      <c r="E594" s="37"/>
      <c r="F594" s="37"/>
      <c r="G594" s="1"/>
      <c r="H594" s="1"/>
      <c r="I594" s="1"/>
      <c r="J594" s="1"/>
      <c r="K594" s="1"/>
      <c r="L594" s="1"/>
      <c r="M594" s="1"/>
      <c r="N594" s="1"/>
      <c r="O594" s="1"/>
      <c r="P594" s="1"/>
      <c r="Q594" s="1"/>
      <c r="R594" s="1"/>
      <c r="S594" s="1"/>
      <c r="T594" s="1"/>
    </row>
    <row r="595" ht="15.75" customHeight="1">
      <c r="A595" s="36"/>
      <c r="B595" s="37"/>
      <c r="C595" s="37"/>
      <c r="D595" s="37"/>
      <c r="E595" s="37"/>
      <c r="F595" s="37"/>
      <c r="G595" s="1"/>
      <c r="H595" s="1"/>
      <c r="I595" s="1"/>
      <c r="J595" s="1"/>
      <c r="K595" s="1"/>
      <c r="L595" s="1"/>
      <c r="M595" s="1"/>
      <c r="N595" s="1"/>
      <c r="O595" s="1"/>
      <c r="P595" s="1"/>
      <c r="Q595" s="1"/>
      <c r="R595" s="1"/>
      <c r="S595" s="1"/>
      <c r="T595" s="1"/>
    </row>
    <row r="596" ht="15.75" customHeight="1">
      <c r="A596" s="36"/>
      <c r="B596" s="37"/>
      <c r="C596" s="37"/>
      <c r="D596" s="37"/>
      <c r="E596" s="37"/>
      <c r="F596" s="37"/>
      <c r="G596" s="1"/>
      <c r="H596" s="1"/>
      <c r="I596" s="1"/>
      <c r="J596" s="1"/>
      <c r="K596" s="1"/>
      <c r="L596" s="1"/>
      <c r="M596" s="1"/>
      <c r="N596" s="1"/>
      <c r="O596" s="1"/>
      <c r="P596" s="1"/>
      <c r="Q596" s="1"/>
      <c r="R596" s="1"/>
      <c r="S596" s="1"/>
      <c r="T596" s="1"/>
    </row>
    <row r="597" ht="15.75" customHeight="1">
      <c r="A597" s="36"/>
      <c r="B597" s="37"/>
      <c r="C597" s="37"/>
      <c r="D597" s="37"/>
      <c r="E597" s="37"/>
      <c r="F597" s="37"/>
      <c r="G597" s="1"/>
      <c r="H597" s="1"/>
      <c r="I597" s="1"/>
      <c r="J597" s="1"/>
      <c r="K597" s="1"/>
      <c r="L597" s="1"/>
      <c r="M597" s="1"/>
      <c r="N597" s="1"/>
      <c r="O597" s="1"/>
      <c r="P597" s="1"/>
      <c r="Q597" s="1"/>
      <c r="R597" s="1"/>
      <c r="S597" s="1"/>
      <c r="T597" s="1"/>
    </row>
    <row r="598" ht="15.75" customHeight="1">
      <c r="A598" s="36"/>
      <c r="B598" s="37"/>
      <c r="C598" s="37"/>
      <c r="D598" s="37"/>
      <c r="E598" s="37"/>
      <c r="F598" s="37"/>
      <c r="G598" s="1"/>
      <c r="H598" s="1"/>
      <c r="I598" s="1"/>
      <c r="J598" s="1"/>
      <c r="K598" s="1"/>
      <c r="L598" s="1"/>
      <c r="M598" s="1"/>
      <c r="N598" s="1"/>
      <c r="O598" s="1"/>
      <c r="P598" s="1"/>
      <c r="Q598" s="1"/>
      <c r="R598" s="1"/>
      <c r="S598" s="1"/>
      <c r="T598" s="1"/>
    </row>
    <row r="599" ht="15.75" customHeight="1">
      <c r="A599" s="36"/>
      <c r="B599" s="37"/>
      <c r="C599" s="37"/>
      <c r="D599" s="37"/>
      <c r="E599" s="37"/>
      <c r="F599" s="37"/>
      <c r="G599" s="1"/>
      <c r="H599" s="1"/>
      <c r="I599" s="1"/>
      <c r="J599" s="1"/>
      <c r="K599" s="1"/>
      <c r="L599" s="1"/>
      <c r="M599" s="1"/>
      <c r="N599" s="1"/>
      <c r="O599" s="1"/>
      <c r="P599" s="1"/>
      <c r="Q599" s="1"/>
      <c r="R599" s="1"/>
      <c r="S599" s="1"/>
      <c r="T599" s="1"/>
    </row>
    <row r="600" ht="15.75" customHeight="1">
      <c r="A600" s="36"/>
      <c r="B600" s="37"/>
      <c r="C600" s="37"/>
      <c r="D600" s="37"/>
      <c r="E600" s="37"/>
      <c r="F600" s="37"/>
      <c r="G600" s="1"/>
      <c r="H600" s="1"/>
      <c r="I600" s="1"/>
      <c r="J600" s="1"/>
      <c r="K600" s="1"/>
      <c r="L600" s="1"/>
      <c r="M600" s="1"/>
      <c r="N600" s="1"/>
      <c r="O600" s="1"/>
      <c r="P600" s="1"/>
      <c r="Q600" s="1"/>
      <c r="R600" s="1"/>
      <c r="S600" s="1"/>
      <c r="T600" s="1"/>
    </row>
    <row r="601" ht="15.75" customHeight="1">
      <c r="A601" s="36"/>
      <c r="B601" s="37"/>
      <c r="C601" s="37"/>
      <c r="D601" s="37"/>
      <c r="E601" s="37"/>
      <c r="F601" s="37"/>
      <c r="G601" s="1"/>
      <c r="H601" s="1"/>
      <c r="I601" s="1"/>
      <c r="J601" s="1"/>
      <c r="K601" s="1"/>
      <c r="L601" s="1"/>
      <c r="M601" s="1"/>
      <c r="N601" s="1"/>
      <c r="O601" s="1"/>
      <c r="P601" s="1"/>
      <c r="Q601" s="1"/>
      <c r="R601" s="1"/>
      <c r="S601" s="1"/>
      <c r="T601" s="1"/>
    </row>
    <row r="602" ht="15.75" customHeight="1">
      <c r="A602" s="36"/>
      <c r="B602" s="37"/>
      <c r="C602" s="37"/>
      <c r="D602" s="37"/>
      <c r="E602" s="37"/>
      <c r="F602" s="37"/>
      <c r="G602" s="1"/>
      <c r="H602" s="1"/>
      <c r="I602" s="1"/>
      <c r="J602" s="1"/>
      <c r="K602" s="1"/>
      <c r="L602" s="1"/>
      <c r="M602" s="1"/>
      <c r="N602" s="1"/>
      <c r="O602" s="1"/>
      <c r="P602" s="1"/>
      <c r="Q602" s="1"/>
      <c r="R602" s="1"/>
      <c r="S602" s="1"/>
      <c r="T602" s="1"/>
    </row>
    <row r="603" ht="15.75" customHeight="1">
      <c r="A603" s="36"/>
      <c r="B603" s="37"/>
      <c r="C603" s="37"/>
      <c r="D603" s="37"/>
      <c r="E603" s="37"/>
      <c r="F603" s="37"/>
      <c r="G603" s="1"/>
      <c r="H603" s="1"/>
      <c r="I603" s="1"/>
      <c r="J603" s="1"/>
      <c r="K603" s="1"/>
      <c r="L603" s="1"/>
      <c r="M603" s="1"/>
      <c r="N603" s="1"/>
      <c r="O603" s="1"/>
      <c r="P603" s="1"/>
      <c r="Q603" s="1"/>
      <c r="R603" s="1"/>
      <c r="S603" s="1"/>
      <c r="T603" s="1"/>
    </row>
    <row r="604" ht="15.75" customHeight="1">
      <c r="A604" s="36"/>
      <c r="B604" s="37"/>
      <c r="C604" s="37"/>
      <c r="D604" s="37"/>
      <c r="E604" s="37"/>
      <c r="F604" s="37"/>
      <c r="G604" s="1"/>
      <c r="H604" s="1"/>
      <c r="I604" s="1"/>
      <c r="J604" s="1"/>
      <c r="K604" s="1"/>
      <c r="L604" s="1"/>
      <c r="M604" s="1"/>
      <c r="N604" s="1"/>
      <c r="O604" s="1"/>
      <c r="P604" s="1"/>
      <c r="Q604" s="1"/>
      <c r="R604" s="1"/>
      <c r="S604" s="1"/>
      <c r="T604" s="1"/>
    </row>
    <row r="605" ht="15.75" customHeight="1">
      <c r="A605" s="36"/>
      <c r="B605" s="37"/>
      <c r="C605" s="37"/>
      <c r="D605" s="37"/>
      <c r="E605" s="37"/>
      <c r="F605" s="37"/>
      <c r="G605" s="1"/>
      <c r="H605" s="1"/>
      <c r="I605" s="1"/>
      <c r="J605" s="1"/>
      <c r="K605" s="1"/>
      <c r="L605" s="1"/>
      <c r="M605" s="1"/>
      <c r="N605" s="1"/>
      <c r="O605" s="1"/>
      <c r="P605" s="1"/>
      <c r="Q605" s="1"/>
      <c r="R605" s="1"/>
      <c r="S605" s="1"/>
      <c r="T605" s="1"/>
    </row>
    <row r="606" ht="15.75" customHeight="1">
      <c r="A606" s="36"/>
      <c r="B606" s="37"/>
      <c r="C606" s="37"/>
      <c r="D606" s="37"/>
      <c r="E606" s="37"/>
      <c r="F606" s="37"/>
      <c r="G606" s="1"/>
      <c r="H606" s="1"/>
      <c r="I606" s="1"/>
      <c r="J606" s="1"/>
      <c r="K606" s="1"/>
      <c r="L606" s="1"/>
      <c r="M606" s="1"/>
      <c r="N606" s="1"/>
      <c r="O606" s="1"/>
      <c r="P606" s="1"/>
      <c r="Q606" s="1"/>
      <c r="R606" s="1"/>
      <c r="S606" s="1"/>
      <c r="T606" s="1"/>
    </row>
    <row r="607" ht="15.75" customHeight="1">
      <c r="A607" s="36"/>
      <c r="B607" s="37"/>
      <c r="C607" s="37"/>
      <c r="D607" s="37"/>
      <c r="E607" s="37"/>
      <c r="F607" s="37"/>
      <c r="G607" s="1"/>
      <c r="H607" s="1"/>
      <c r="I607" s="1"/>
      <c r="J607" s="1"/>
      <c r="K607" s="1"/>
      <c r="L607" s="1"/>
      <c r="M607" s="1"/>
      <c r="N607" s="1"/>
      <c r="O607" s="1"/>
      <c r="P607" s="1"/>
      <c r="Q607" s="1"/>
      <c r="R607" s="1"/>
      <c r="S607" s="1"/>
      <c r="T607" s="1"/>
    </row>
    <row r="608" ht="15.75" customHeight="1">
      <c r="A608" s="36"/>
      <c r="B608" s="37"/>
      <c r="C608" s="37"/>
      <c r="D608" s="37"/>
      <c r="E608" s="37"/>
      <c r="F608" s="37"/>
      <c r="G608" s="1"/>
      <c r="H608" s="1"/>
      <c r="I608" s="1"/>
      <c r="J608" s="1"/>
      <c r="K608" s="1"/>
      <c r="L608" s="1"/>
      <c r="M608" s="1"/>
      <c r="N608" s="1"/>
      <c r="O608" s="1"/>
      <c r="P608" s="1"/>
      <c r="Q608" s="1"/>
      <c r="R608" s="1"/>
      <c r="S608" s="1"/>
      <c r="T608" s="1"/>
    </row>
    <row r="609" ht="15.75" customHeight="1">
      <c r="A609" s="36"/>
      <c r="B609" s="37"/>
      <c r="C609" s="37"/>
      <c r="D609" s="37"/>
      <c r="E609" s="37"/>
      <c r="F609" s="37"/>
      <c r="G609" s="1"/>
      <c r="H609" s="1"/>
      <c r="I609" s="1"/>
      <c r="J609" s="1"/>
      <c r="K609" s="1"/>
      <c r="L609" s="1"/>
      <c r="M609" s="1"/>
      <c r="N609" s="1"/>
      <c r="O609" s="1"/>
      <c r="P609" s="1"/>
      <c r="Q609" s="1"/>
      <c r="R609" s="1"/>
      <c r="S609" s="1"/>
      <c r="T609" s="1"/>
    </row>
    <row r="610" ht="15.75" customHeight="1">
      <c r="A610" s="36"/>
      <c r="B610" s="37"/>
      <c r="C610" s="37"/>
      <c r="D610" s="37"/>
      <c r="E610" s="37"/>
      <c r="F610" s="37"/>
      <c r="G610" s="1"/>
      <c r="H610" s="1"/>
      <c r="I610" s="1"/>
      <c r="J610" s="1"/>
      <c r="K610" s="1"/>
      <c r="L610" s="1"/>
      <c r="M610" s="1"/>
      <c r="N610" s="1"/>
      <c r="O610" s="1"/>
      <c r="P610" s="1"/>
      <c r="Q610" s="1"/>
      <c r="R610" s="1"/>
      <c r="S610" s="1"/>
      <c r="T610" s="1"/>
    </row>
    <row r="611" ht="15.75" customHeight="1">
      <c r="A611" s="36"/>
      <c r="B611" s="37"/>
      <c r="C611" s="37"/>
      <c r="D611" s="37"/>
      <c r="E611" s="37"/>
      <c r="F611" s="37"/>
      <c r="G611" s="1"/>
      <c r="H611" s="1"/>
      <c r="I611" s="1"/>
      <c r="J611" s="1"/>
      <c r="K611" s="1"/>
      <c r="L611" s="1"/>
      <c r="M611" s="1"/>
      <c r="N611" s="1"/>
      <c r="O611" s="1"/>
      <c r="P611" s="1"/>
      <c r="Q611" s="1"/>
      <c r="R611" s="1"/>
      <c r="S611" s="1"/>
      <c r="T611" s="1"/>
    </row>
    <row r="612" ht="15.75" customHeight="1">
      <c r="A612" s="36"/>
      <c r="B612" s="37"/>
      <c r="C612" s="37"/>
      <c r="D612" s="37"/>
      <c r="E612" s="37"/>
      <c r="F612" s="37"/>
      <c r="G612" s="1"/>
      <c r="H612" s="1"/>
      <c r="I612" s="1"/>
      <c r="J612" s="1"/>
      <c r="K612" s="1"/>
      <c r="L612" s="1"/>
      <c r="M612" s="1"/>
      <c r="N612" s="1"/>
      <c r="O612" s="1"/>
      <c r="P612" s="1"/>
      <c r="Q612" s="1"/>
      <c r="R612" s="1"/>
      <c r="S612" s="1"/>
      <c r="T612" s="1"/>
    </row>
    <row r="613" ht="15.75" customHeight="1">
      <c r="A613" s="36"/>
      <c r="B613" s="37"/>
      <c r="C613" s="37"/>
      <c r="D613" s="37"/>
      <c r="E613" s="37"/>
      <c r="F613" s="37"/>
      <c r="G613" s="1"/>
      <c r="H613" s="1"/>
      <c r="I613" s="1"/>
      <c r="J613" s="1"/>
      <c r="K613" s="1"/>
      <c r="L613" s="1"/>
      <c r="M613" s="1"/>
      <c r="N613" s="1"/>
      <c r="O613" s="1"/>
      <c r="P613" s="1"/>
      <c r="Q613" s="1"/>
      <c r="R613" s="1"/>
      <c r="S613" s="1"/>
      <c r="T613" s="1"/>
    </row>
    <row r="614" ht="15.75" customHeight="1">
      <c r="A614" s="36"/>
      <c r="B614" s="37"/>
      <c r="C614" s="37"/>
      <c r="D614" s="37"/>
      <c r="E614" s="37"/>
      <c r="F614" s="37"/>
      <c r="G614" s="1"/>
      <c r="H614" s="1"/>
      <c r="I614" s="1"/>
      <c r="J614" s="1"/>
      <c r="K614" s="1"/>
      <c r="L614" s="1"/>
      <c r="M614" s="1"/>
      <c r="N614" s="1"/>
      <c r="O614" s="1"/>
      <c r="P614" s="1"/>
      <c r="Q614" s="1"/>
      <c r="R614" s="1"/>
      <c r="S614" s="1"/>
      <c r="T614" s="1"/>
    </row>
    <row r="615" ht="15.75" customHeight="1">
      <c r="A615" s="36"/>
      <c r="B615" s="37"/>
      <c r="C615" s="37"/>
      <c r="D615" s="37"/>
      <c r="E615" s="37"/>
      <c r="F615" s="37"/>
      <c r="G615" s="1"/>
      <c r="H615" s="1"/>
      <c r="I615" s="1"/>
      <c r="J615" s="1"/>
      <c r="K615" s="1"/>
      <c r="L615" s="1"/>
      <c r="M615" s="1"/>
      <c r="N615" s="1"/>
      <c r="O615" s="1"/>
      <c r="P615" s="1"/>
      <c r="Q615" s="1"/>
      <c r="R615" s="1"/>
      <c r="S615" s="1"/>
      <c r="T615" s="1"/>
    </row>
    <row r="616" ht="15.75" customHeight="1">
      <c r="A616" s="36"/>
      <c r="B616" s="37"/>
      <c r="C616" s="37"/>
      <c r="D616" s="37"/>
      <c r="E616" s="37"/>
      <c r="F616" s="37"/>
      <c r="G616" s="1"/>
      <c r="H616" s="1"/>
      <c r="I616" s="1"/>
      <c r="J616" s="1"/>
      <c r="K616" s="1"/>
      <c r="L616" s="1"/>
      <c r="M616" s="1"/>
      <c r="N616" s="1"/>
      <c r="O616" s="1"/>
      <c r="P616" s="1"/>
      <c r="Q616" s="1"/>
      <c r="R616" s="1"/>
      <c r="S616" s="1"/>
      <c r="T616" s="1"/>
    </row>
    <row r="617" ht="15.75" customHeight="1">
      <c r="A617" s="36"/>
      <c r="B617" s="37"/>
      <c r="C617" s="37"/>
      <c r="D617" s="37"/>
      <c r="E617" s="37"/>
      <c r="F617" s="37"/>
      <c r="G617" s="1"/>
      <c r="H617" s="1"/>
      <c r="I617" s="1"/>
      <c r="J617" s="1"/>
      <c r="K617" s="1"/>
      <c r="L617" s="1"/>
      <c r="M617" s="1"/>
      <c r="N617" s="1"/>
      <c r="O617" s="1"/>
      <c r="P617" s="1"/>
      <c r="Q617" s="1"/>
      <c r="R617" s="1"/>
      <c r="S617" s="1"/>
      <c r="T617" s="1"/>
    </row>
    <row r="618" ht="15.75" customHeight="1">
      <c r="A618" s="36"/>
      <c r="B618" s="37"/>
      <c r="C618" s="37"/>
      <c r="D618" s="37"/>
      <c r="E618" s="37"/>
      <c r="F618" s="37"/>
      <c r="G618" s="1"/>
      <c r="H618" s="1"/>
      <c r="I618" s="1"/>
      <c r="J618" s="1"/>
      <c r="K618" s="1"/>
      <c r="L618" s="1"/>
      <c r="M618" s="1"/>
      <c r="N618" s="1"/>
      <c r="O618" s="1"/>
      <c r="P618" s="1"/>
      <c r="Q618" s="1"/>
      <c r="R618" s="1"/>
      <c r="S618" s="1"/>
      <c r="T618" s="1"/>
    </row>
    <row r="619" ht="15.75" customHeight="1">
      <c r="A619" s="36"/>
      <c r="B619" s="37"/>
      <c r="C619" s="37"/>
      <c r="D619" s="37"/>
      <c r="E619" s="37"/>
      <c r="F619" s="37"/>
      <c r="G619" s="1"/>
      <c r="H619" s="1"/>
      <c r="I619" s="1"/>
      <c r="J619" s="1"/>
      <c r="K619" s="1"/>
      <c r="L619" s="1"/>
      <c r="M619" s="1"/>
      <c r="N619" s="1"/>
      <c r="O619" s="1"/>
      <c r="P619" s="1"/>
      <c r="Q619" s="1"/>
      <c r="R619" s="1"/>
      <c r="S619" s="1"/>
      <c r="T619" s="1"/>
    </row>
    <row r="620" ht="15.75" customHeight="1">
      <c r="A620" s="36"/>
      <c r="B620" s="37"/>
      <c r="C620" s="37"/>
      <c r="D620" s="37"/>
      <c r="E620" s="37"/>
      <c r="F620" s="37"/>
      <c r="G620" s="1"/>
      <c r="H620" s="1"/>
      <c r="I620" s="1"/>
      <c r="J620" s="1"/>
      <c r="K620" s="1"/>
      <c r="L620" s="1"/>
      <c r="M620" s="1"/>
      <c r="N620" s="1"/>
      <c r="O620" s="1"/>
      <c r="P620" s="1"/>
      <c r="Q620" s="1"/>
      <c r="R620" s="1"/>
      <c r="S620" s="1"/>
      <c r="T620" s="1"/>
    </row>
    <row r="621" ht="15.75" customHeight="1">
      <c r="A621" s="36"/>
      <c r="B621" s="37"/>
      <c r="C621" s="37"/>
      <c r="D621" s="37"/>
      <c r="E621" s="37"/>
      <c r="F621" s="37"/>
      <c r="G621" s="1"/>
      <c r="H621" s="1"/>
      <c r="I621" s="1"/>
      <c r="J621" s="1"/>
      <c r="K621" s="1"/>
      <c r="L621" s="1"/>
      <c r="M621" s="1"/>
      <c r="N621" s="1"/>
      <c r="O621" s="1"/>
      <c r="P621" s="1"/>
      <c r="Q621" s="1"/>
      <c r="R621" s="1"/>
      <c r="S621" s="1"/>
      <c r="T621" s="1"/>
    </row>
    <row r="622" ht="15.75" customHeight="1">
      <c r="A622" s="36"/>
      <c r="B622" s="37"/>
      <c r="C622" s="37"/>
      <c r="D622" s="37"/>
      <c r="E622" s="37"/>
      <c r="F622" s="37"/>
      <c r="G622" s="1"/>
      <c r="H622" s="1"/>
      <c r="I622" s="1"/>
      <c r="J622" s="1"/>
      <c r="K622" s="1"/>
      <c r="L622" s="1"/>
      <c r="M622" s="1"/>
      <c r="N622" s="1"/>
      <c r="O622" s="1"/>
      <c r="P622" s="1"/>
      <c r="Q622" s="1"/>
      <c r="R622" s="1"/>
      <c r="S622" s="1"/>
      <c r="T622" s="1"/>
    </row>
    <row r="623" ht="15.75" customHeight="1">
      <c r="A623" s="36"/>
      <c r="B623" s="37"/>
      <c r="C623" s="37"/>
      <c r="D623" s="37"/>
      <c r="E623" s="37"/>
      <c r="F623" s="37"/>
      <c r="G623" s="1"/>
      <c r="H623" s="1"/>
      <c r="I623" s="1"/>
      <c r="J623" s="1"/>
      <c r="K623" s="1"/>
      <c r="L623" s="1"/>
      <c r="M623" s="1"/>
      <c r="N623" s="1"/>
      <c r="O623" s="1"/>
      <c r="P623" s="1"/>
      <c r="Q623" s="1"/>
      <c r="R623" s="1"/>
      <c r="S623" s="1"/>
      <c r="T623" s="1"/>
    </row>
    <row r="624" ht="15.75" customHeight="1">
      <c r="A624" s="36"/>
      <c r="B624" s="37"/>
      <c r="C624" s="37"/>
      <c r="D624" s="37"/>
      <c r="E624" s="37"/>
      <c r="F624" s="37"/>
      <c r="G624" s="1"/>
      <c r="H624" s="1"/>
      <c r="I624" s="1"/>
      <c r="J624" s="1"/>
      <c r="K624" s="1"/>
      <c r="L624" s="1"/>
      <c r="M624" s="1"/>
      <c r="N624" s="1"/>
      <c r="O624" s="1"/>
      <c r="P624" s="1"/>
      <c r="Q624" s="1"/>
      <c r="R624" s="1"/>
      <c r="S624" s="1"/>
      <c r="T624" s="1"/>
    </row>
    <row r="625" ht="15.75" customHeight="1">
      <c r="A625" s="36"/>
      <c r="B625" s="37"/>
      <c r="C625" s="37"/>
      <c r="D625" s="37"/>
      <c r="E625" s="37"/>
      <c r="F625" s="37"/>
      <c r="G625" s="1"/>
      <c r="H625" s="1"/>
      <c r="I625" s="1"/>
      <c r="J625" s="1"/>
      <c r="K625" s="1"/>
      <c r="L625" s="1"/>
      <c r="M625" s="1"/>
      <c r="N625" s="1"/>
      <c r="O625" s="1"/>
      <c r="P625" s="1"/>
      <c r="Q625" s="1"/>
      <c r="R625" s="1"/>
      <c r="S625" s="1"/>
      <c r="T625" s="1"/>
    </row>
    <row r="626" ht="15.75" customHeight="1">
      <c r="A626" s="36"/>
      <c r="B626" s="37"/>
      <c r="C626" s="37"/>
      <c r="D626" s="37"/>
      <c r="E626" s="37"/>
      <c r="F626" s="37"/>
      <c r="G626" s="1"/>
      <c r="H626" s="1"/>
      <c r="I626" s="1"/>
      <c r="J626" s="1"/>
      <c r="K626" s="1"/>
      <c r="L626" s="1"/>
      <c r="M626" s="1"/>
      <c r="N626" s="1"/>
      <c r="O626" s="1"/>
      <c r="P626" s="1"/>
      <c r="Q626" s="1"/>
      <c r="R626" s="1"/>
      <c r="S626" s="1"/>
      <c r="T626" s="1"/>
    </row>
    <row r="627" ht="15.75" customHeight="1">
      <c r="A627" s="36"/>
      <c r="B627" s="37"/>
      <c r="C627" s="37"/>
      <c r="D627" s="37"/>
      <c r="E627" s="37"/>
      <c r="F627" s="37"/>
      <c r="G627" s="1"/>
      <c r="H627" s="1"/>
      <c r="I627" s="1"/>
      <c r="J627" s="1"/>
      <c r="K627" s="1"/>
      <c r="L627" s="1"/>
      <c r="M627" s="1"/>
      <c r="N627" s="1"/>
      <c r="O627" s="1"/>
      <c r="P627" s="1"/>
      <c r="Q627" s="1"/>
      <c r="R627" s="1"/>
      <c r="S627" s="1"/>
      <c r="T627" s="1"/>
    </row>
    <row r="628" ht="15.75" customHeight="1">
      <c r="A628" s="36"/>
      <c r="B628" s="37"/>
      <c r="C628" s="37"/>
      <c r="D628" s="37"/>
      <c r="E628" s="37"/>
      <c r="F628" s="37"/>
      <c r="G628" s="1"/>
      <c r="H628" s="1"/>
      <c r="I628" s="1"/>
      <c r="J628" s="1"/>
      <c r="K628" s="1"/>
      <c r="L628" s="1"/>
      <c r="M628" s="1"/>
      <c r="N628" s="1"/>
      <c r="O628" s="1"/>
      <c r="P628" s="1"/>
      <c r="Q628" s="1"/>
      <c r="R628" s="1"/>
      <c r="S628" s="1"/>
      <c r="T628" s="1"/>
    </row>
    <row r="629" ht="15.75" customHeight="1">
      <c r="A629" s="36"/>
      <c r="B629" s="37"/>
      <c r="C629" s="37"/>
      <c r="D629" s="37"/>
      <c r="E629" s="37"/>
      <c r="F629" s="37"/>
      <c r="G629" s="1"/>
      <c r="H629" s="1"/>
      <c r="I629" s="1"/>
      <c r="J629" s="1"/>
      <c r="K629" s="1"/>
      <c r="L629" s="1"/>
      <c r="M629" s="1"/>
      <c r="N629" s="1"/>
      <c r="O629" s="1"/>
      <c r="P629" s="1"/>
      <c r="Q629" s="1"/>
      <c r="R629" s="1"/>
      <c r="S629" s="1"/>
      <c r="T629" s="1"/>
    </row>
    <row r="630" ht="15.75" customHeight="1">
      <c r="A630" s="36"/>
      <c r="B630" s="37"/>
      <c r="C630" s="37"/>
      <c r="D630" s="37"/>
      <c r="E630" s="37"/>
      <c r="F630" s="37"/>
      <c r="G630" s="1"/>
      <c r="H630" s="1"/>
      <c r="I630" s="1"/>
      <c r="J630" s="1"/>
      <c r="K630" s="1"/>
      <c r="L630" s="1"/>
      <c r="M630" s="1"/>
      <c r="N630" s="1"/>
      <c r="O630" s="1"/>
      <c r="P630" s="1"/>
      <c r="Q630" s="1"/>
      <c r="R630" s="1"/>
      <c r="S630" s="1"/>
      <c r="T630" s="1"/>
    </row>
    <row r="631" ht="15.75" customHeight="1">
      <c r="A631" s="36"/>
      <c r="B631" s="37"/>
      <c r="C631" s="37"/>
      <c r="D631" s="37"/>
      <c r="E631" s="37"/>
      <c r="F631" s="37"/>
      <c r="G631" s="1"/>
      <c r="H631" s="1"/>
      <c r="I631" s="1"/>
      <c r="J631" s="1"/>
      <c r="K631" s="1"/>
      <c r="L631" s="1"/>
      <c r="M631" s="1"/>
      <c r="N631" s="1"/>
      <c r="O631" s="1"/>
      <c r="P631" s="1"/>
      <c r="Q631" s="1"/>
      <c r="R631" s="1"/>
      <c r="S631" s="1"/>
      <c r="T631" s="1"/>
    </row>
    <row r="632" ht="15.75" customHeight="1">
      <c r="A632" s="36"/>
      <c r="B632" s="37"/>
      <c r="C632" s="37"/>
      <c r="D632" s="37"/>
      <c r="E632" s="37"/>
      <c r="F632" s="37"/>
      <c r="G632" s="1"/>
      <c r="H632" s="1"/>
      <c r="I632" s="1"/>
      <c r="J632" s="1"/>
      <c r="K632" s="1"/>
      <c r="L632" s="1"/>
      <c r="M632" s="1"/>
      <c r="N632" s="1"/>
      <c r="O632" s="1"/>
      <c r="P632" s="1"/>
      <c r="Q632" s="1"/>
      <c r="R632" s="1"/>
      <c r="S632" s="1"/>
      <c r="T632" s="1"/>
    </row>
    <row r="633" ht="15.75" customHeight="1">
      <c r="A633" s="36"/>
      <c r="B633" s="37"/>
      <c r="C633" s="37"/>
      <c r="D633" s="37"/>
      <c r="E633" s="37"/>
      <c r="F633" s="37"/>
      <c r="G633" s="1"/>
      <c r="H633" s="1"/>
      <c r="I633" s="1"/>
      <c r="J633" s="1"/>
      <c r="K633" s="1"/>
      <c r="L633" s="1"/>
      <c r="M633" s="1"/>
      <c r="N633" s="1"/>
      <c r="O633" s="1"/>
      <c r="P633" s="1"/>
      <c r="Q633" s="1"/>
      <c r="R633" s="1"/>
      <c r="S633" s="1"/>
      <c r="T633" s="1"/>
    </row>
    <row r="634" ht="15.75" customHeight="1">
      <c r="A634" s="36"/>
      <c r="B634" s="37"/>
      <c r="C634" s="37"/>
      <c r="D634" s="37"/>
      <c r="E634" s="37"/>
      <c r="F634" s="37"/>
      <c r="G634" s="1"/>
      <c r="H634" s="1"/>
      <c r="I634" s="1"/>
      <c r="J634" s="1"/>
      <c r="K634" s="1"/>
      <c r="L634" s="1"/>
      <c r="M634" s="1"/>
      <c r="N634" s="1"/>
      <c r="O634" s="1"/>
      <c r="P634" s="1"/>
      <c r="Q634" s="1"/>
      <c r="R634" s="1"/>
      <c r="S634" s="1"/>
      <c r="T634" s="1"/>
    </row>
    <row r="635" ht="15.75" customHeight="1">
      <c r="A635" s="36"/>
      <c r="B635" s="37"/>
      <c r="C635" s="37"/>
      <c r="D635" s="37"/>
      <c r="E635" s="37"/>
      <c r="F635" s="37"/>
      <c r="G635" s="1"/>
      <c r="H635" s="1"/>
      <c r="I635" s="1"/>
      <c r="J635" s="1"/>
      <c r="K635" s="1"/>
      <c r="L635" s="1"/>
      <c r="M635" s="1"/>
      <c r="N635" s="1"/>
      <c r="O635" s="1"/>
      <c r="P635" s="1"/>
      <c r="Q635" s="1"/>
      <c r="R635" s="1"/>
      <c r="S635" s="1"/>
      <c r="T635" s="1"/>
    </row>
    <row r="636" ht="15.75" customHeight="1">
      <c r="A636" s="36"/>
      <c r="B636" s="37"/>
      <c r="C636" s="37"/>
      <c r="D636" s="37"/>
      <c r="E636" s="37"/>
      <c r="F636" s="37"/>
      <c r="G636" s="1"/>
      <c r="H636" s="1"/>
      <c r="I636" s="1"/>
      <c r="J636" s="1"/>
      <c r="K636" s="1"/>
      <c r="L636" s="1"/>
      <c r="M636" s="1"/>
      <c r="N636" s="1"/>
      <c r="O636" s="1"/>
      <c r="P636" s="1"/>
      <c r="Q636" s="1"/>
      <c r="R636" s="1"/>
      <c r="S636" s="1"/>
      <c r="T636" s="1"/>
    </row>
    <row r="637" ht="15.75" customHeight="1">
      <c r="A637" s="36"/>
      <c r="B637" s="37"/>
      <c r="C637" s="37"/>
      <c r="D637" s="37"/>
      <c r="E637" s="37"/>
      <c r="F637" s="37"/>
      <c r="G637" s="1"/>
      <c r="H637" s="1"/>
      <c r="I637" s="1"/>
      <c r="J637" s="1"/>
      <c r="K637" s="1"/>
      <c r="L637" s="1"/>
      <c r="M637" s="1"/>
      <c r="N637" s="1"/>
      <c r="O637" s="1"/>
      <c r="P637" s="1"/>
      <c r="Q637" s="1"/>
      <c r="R637" s="1"/>
      <c r="S637" s="1"/>
      <c r="T637" s="1"/>
    </row>
    <row r="638" ht="15.75" customHeight="1">
      <c r="A638" s="36"/>
      <c r="B638" s="37"/>
      <c r="C638" s="37"/>
      <c r="D638" s="37"/>
      <c r="E638" s="37"/>
      <c r="F638" s="37"/>
      <c r="G638" s="1"/>
      <c r="H638" s="1"/>
      <c r="I638" s="1"/>
      <c r="J638" s="1"/>
      <c r="K638" s="1"/>
      <c r="L638" s="1"/>
      <c r="M638" s="1"/>
      <c r="N638" s="1"/>
      <c r="O638" s="1"/>
      <c r="P638" s="1"/>
      <c r="Q638" s="1"/>
      <c r="R638" s="1"/>
      <c r="S638" s="1"/>
      <c r="T638" s="1"/>
    </row>
    <row r="639" ht="15.75" customHeight="1">
      <c r="A639" s="36"/>
      <c r="B639" s="37"/>
      <c r="C639" s="37"/>
      <c r="D639" s="37"/>
      <c r="E639" s="37"/>
      <c r="F639" s="37"/>
      <c r="G639" s="1"/>
      <c r="H639" s="1"/>
      <c r="I639" s="1"/>
      <c r="J639" s="1"/>
      <c r="K639" s="1"/>
      <c r="L639" s="1"/>
      <c r="M639" s="1"/>
      <c r="N639" s="1"/>
      <c r="O639" s="1"/>
      <c r="P639" s="1"/>
      <c r="Q639" s="1"/>
      <c r="R639" s="1"/>
      <c r="S639" s="1"/>
      <c r="T639" s="1"/>
    </row>
    <row r="640" ht="15.75" customHeight="1">
      <c r="A640" s="36"/>
      <c r="B640" s="37"/>
      <c r="C640" s="37"/>
      <c r="D640" s="37"/>
      <c r="E640" s="37"/>
      <c r="F640" s="37"/>
      <c r="G640" s="1"/>
      <c r="H640" s="1"/>
      <c r="I640" s="1"/>
      <c r="J640" s="1"/>
      <c r="K640" s="1"/>
      <c r="L640" s="1"/>
      <c r="M640" s="1"/>
      <c r="N640" s="1"/>
      <c r="O640" s="1"/>
      <c r="P640" s="1"/>
      <c r="Q640" s="1"/>
      <c r="R640" s="1"/>
      <c r="S640" s="1"/>
      <c r="T640" s="1"/>
    </row>
    <row r="641" ht="15.75" customHeight="1">
      <c r="A641" s="36"/>
      <c r="B641" s="37"/>
      <c r="C641" s="37"/>
      <c r="D641" s="37"/>
      <c r="E641" s="37"/>
      <c r="F641" s="37"/>
      <c r="G641" s="1"/>
      <c r="H641" s="1"/>
      <c r="I641" s="1"/>
      <c r="J641" s="1"/>
      <c r="K641" s="1"/>
      <c r="L641" s="1"/>
      <c r="M641" s="1"/>
      <c r="N641" s="1"/>
      <c r="O641" s="1"/>
      <c r="P641" s="1"/>
      <c r="Q641" s="1"/>
      <c r="R641" s="1"/>
      <c r="S641" s="1"/>
      <c r="T641" s="1"/>
    </row>
    <row r="642" ht="15.75" customHeight="1">
      <c r="A642" s="36"/>
      <c r="B642" s="37"/>
      <c r="C642" s="37"/>
      <c r="D642" s="37"/>
      <c r="E642" s="37"/>
      <c r="F642" s="37"/>
      <c r="G642" s="1"/>
      <c r="H642" s="1"/>
      <c r="I642" s="1"/>
      <c r="J642" s="1"/>
      <c r="K642" s="1"/>
      <c r="L642" s="1"/>
      <c r="M642" s="1"/>
      <c r="N642" s="1"/>
      <c r="O642" s="1"/>
      <c r="P642" s="1"/>
      <c r="Q642" s="1"/>
      <c r="R642" s="1"/>
      <c r="S642" s="1"/>
      <c r="T642" s="1"/>
    </row>
    <row r="643" ht="15.75" customHeight="1">
      <c r="A643" s="36"/>
      <c r="B643" s="37"/>
      <c r="C643" s="37"/>
      <c r="D643" s="37"/>
      <c r="E643" s="37"/>
      <c r="F643" s="37"/>
      <c r="G643" s="1"/>
      <c r="H643" s="1"/>
      <c r="I643" s="1"/>
      <c r="J643" s="1"/>
      <c r="K643" s="1"/>
      <c r="L643" s="1"/>
      <c r="M643" s="1"/>
      <c r="N643" s="1"/>
      <c r="O643" s="1"/>
      <c r="P643" s="1"/>
      <c r="Q643" s="1"/>
      <c r="R643" s="1"/>
      <c r="S643" s="1"/>
      <c r="T643" s="1"/>
    </row>
    <row r="644" ht="15.75" customHeight="1">
      <c r="A644" s="36"/>
      <c r="B644" s="37"/>
      <c r="C644" s="37"/>
      <c r="D644" s="37"/>
      <c r="E644" s="37"/>
      <c r="F644" s="37"/>
      <c r="G644" s="1"/>
      <c r="H644" s="1"/>
      <c r="I644" s="1"/>
      <c r="J644" s="1"/>
      <c r="K644" s="1"/>
      <c r="L644" s="1"/>
      <c r="M644" s="1"/>
      <c r="N644" s="1"/>
      <c r="O644" s="1"/>
      <c r="P644" s="1"/>
      <c r="Q644" s="1"/>
      <c r="R644" s="1"/>
      <c r="S644" s="1"/>
      <c r="T644" s="1"/>
    </row>
    <row r="645" ht="15.75" customHeight="1">
      <c r="A645" s="36"/>
      <c r="B645" s="37"/>
      <c r="C645" s="37"/>
      <c r="D645" s="37"/>
      <c r="E645" s="37"/>
      <c r="F645" s="37"/>
      <c r="G645" s="1"/>
      <c r="H645" s="1"/>
      <c r="I645" s="1"/>
      <c r="J645" s="1"/>
      <c r="K645" s="1"/>
      <c r="L645" s="1"/>
      <c r="M645" s="1"/>
      <c r="N645" s="1"/>
      <c r="O645" s="1"/>
      <c r="P645" s="1"/>
      <c r="Q645" s="1"/>
      <c r="R645" s="1"/>
      <c r="S645" s="1"/>
      <c r="T645" s="1"/>
    </row>
    <row r="646" ht="15.75" customHeight="1">
      <c r="A646" s="36"/>
      <c r="B646" s="37"/>
      <c r="C646" s="37"/>
      <c r="D646" s="37"/>
      <c r="E646" s="37"/>
      <c r="F646" s="37"/>
      <c r="G646" s="1"/>
      <c r="H646" s="1"/>
      <c r="I646" s="1"/>
      <c r="J646" s="1"/>
      <c r="K646" s="1"/>
      <c r="L646" s="1"/>
      <c r="M646" s="1"/>
      <c r="N646" s="1"/>
      <c r="O646" s="1"/>
      <c r="P646" s="1"/>
      <c r="Q646" s="1"/>
      <c r="R646" s="1"/>
      <c r="S646" s="1"/>
      <c r="T646" s="1"/>
    </row>
    <row r="647" ht="15.75" customHeight="1">
      <c r="A647" s="36"/>
      <c r="B647" s="37"/>
      <c r="C647" s="37"/>
      <c r="D647" s="37"/>
      <c r="E647" s="37"/>
      <c r="F647" s="37"/>
      <c r="G647" s="1"/>
      <c r="H647" s="1"/>
      <c r="I647" s="1"/>
      <c r="J647" s="1"/>
      <c r="K647" s="1"/>
      <c r="L647" s="1"/>
      <c r="M647" s="1"/>
      <c r="N647" s="1"/>
      <c r="O647" s="1"/>
      <c r="P647" s="1"/>
      <c r="Q647" s="1"/>
      <c r="R647" s="1"/>
      <c r="S647" s="1"/>
      <c r="T647" s="1"/>
    </row>
    <row r="648" ht="15.75" customHeight="1">
      <c r="A648" s="36"/>
      <c r="B648" s="37"/>
      <c r="C648" s="37"/>
      <c r="D648" s="37"/>
      <c r="E648" s="37"/>
      <c r="F648" s="37"/>
      <c r="G648" s="1"/>
      <c r="H648" s="1"/>
      <c r="I648" s="1"/>
      <c r="J648" s="1"/>
      <c r="K648" s="1"/>
      <c r="L648" s="1"/>
      <c r="M648" s="1"/>
      <c r="N648" s="1"/>
      <c r="O648" s="1"/>
      <c r="P648" s="1"/>
      <c r="Q648" s="1"/>
      <c r="R648" s="1"/>
      <c r="S648" s="1"/>
      <c r="T648" s="1"/>
    </row>
    <row r="649" ht="15.75" customHeight="1">
      <c r="A649" s="36"/>
      <c r="B649" s="37"/>
      <c r="C649" s="37"/>
      <c r="D649" s="37"/>
      <c r="E649" s="37"/>
      <c r="F649" s="37"/>
      <c r="G649" s="1"/>
      <c r="H649" s="1"/>
      <c r="I649" s="1"/>
      <c r="J649" s="1"/>
      <c r="K649" s="1"/>
      <c r="L649" s="1"/>
      <c r="M649" s="1"/>
      <c r="N649" s="1"/>
      <c r="O649" s="1"/>
      <c r="P649" s="1"/>
      <c r="Q649" s="1"/>
      <c r="R649" s="1"/>
      <c r="S649" s="1"/>
      <c r="T649" s="1"/>
    </row>
    <row r="650" ht="15.75" customHeight="1">
      <c r="A650" s="36"/>
      <c r="B650" s="37"/>
      <c r="C650" s="37"/>
      <c r="D650" s="37"/>
      <c r="E650" s="37"/>
      <c r="F650" s="37"/>
      <c r="G650" s="1"/>
      <c r="H650" s="1"/>
      <c r="I650" s="1"/>
      <c r="J650" s="1"/>
      <c r="K650" s="1"/>
      <c r="L650" s="1"/>
      <c r="M650" s="1"/>
      <c r="N650" s="1"/>
      <c r="O650" s="1"/>
      <c r="P650" s="1"/>
      <c r="Q650" s="1"/>
      <c r="R650" s="1"/>
      <c r="S650" s="1"/>
      <c r="T650" s="1"/>
    </row>
    <row r="651" ht="15.75" customHeight="1">
      <c r="A651" s="36"/>
      <c r="B651" s="37"/>
      <c r="C651" s="37"/>
      <c r="D651" s="37"/>
      <c r="E651" s="37"/>
      <c r="F651" s="37"/>
      <c r="G651" s="1"/>
      <c r="H651" s="1"/>
      <c r="I651" s="1"/>
      <c r="J651" s="1"/>
      <c r="K651" s="1"/>
      <c r="L651" s="1"/>
      <c r="M651" s="1"/>
      <c r="N651" s="1"/>
      <c r="O651" s="1"/>
      <c r="P651" s="1"/>
      <c r="Q651" s="1"/>
      <c r="R651" s="1"/>
      <c r="S651" s="1"/>
      <c r="T651" s="1"/>
    </row>
    <row r="652" ht="15.75" customHeight="1">
      <c r="A652" s="36"/>
      <c r="B652" s="37"/>
      <c r="C652" s="37"/>
      <c r="D652" s="37"/>
      <c r="E652" s="37"/>
      <c r="F652" s="37"/>
      <c r="G652" s="1"/>
      <c r="H652" s="1"/>
      <c r="I652" s="1"/>
      <c r="J652" s="1"/>
      <c r="K652" s="1"/>
      <c r="L652" s="1"/>
      <c r="M652" s="1"/>
      <c r="N652" s="1"/>
      <c r="O652" s="1"/>
      <c r="P652" s="1"/>
      <c r="Q652" s="1"/>
      <c r="R652" s="1"/>
      <c r="S652" s="1"/>
      <c r="T652" s="1"/>
    </row>
    <row r="653" ht="15.75" customHeight="1">
      <c r="A653" s="36"/>
      <c r="B653" s="37"/>
      <c r="C653" s="37"/>
      <c r="D653" s="37"/>
      <c r="E653" s="37"/>
      <c r="F653" s="37"/>
      <c r="G653" s="1"/>
      <c r="H653" s="1"/>
      <c r="I653" s="1"/>
      <c r="J653" s="1"/>
      <c r="K653" s="1"/>
      <c r="L653" s="1"/>
      <c r="M653" s="1"/>
      <c r="N653" s="1"/>
      <c r="O653" s="1"/>
      <c r="P653" s="1"/>
      <c r="Q653" s="1"/>
      <c r="R653" s="1"/>
      <c r="S653" s="1"/>
      <c r="T653" s="1"/>
    </row>
    <row r="654" ht="15.75" customHeight="1">
      <c r="A654" s="36"/>
      <c r="B654" s="37"/>
      <c r="C654" s="37"/>
      <c r="D654" s="37"/>
      <c r="E654" s="37"/>
      <c r="F654" s="37"/>
      <c r="G654" s="1"/>
      <c r="H654" s="1"/>
      <c r="I654" s="1"/>
      <c r="J654" s="1"/>
      <c r="K654" s="1"/>
      <c r="L654" s="1"/>
      <c r="M654" s="1"/>
      <c r="N654" s="1"/>
      <c r="O654" s="1"/>
      <c r="P654" s="1"/>
      <c r="Q654" s="1"/>
      <c r="R654" s="1"/>
      <c r="S654" s="1"/>
      <c r="T654" s="1"/>
    </row>
    <row r="655" ht="15.75" customHeight="1">
      <c r="A655" s="36"/>
      <c r="B655" s="37"/>
      <c r="C655" s="37"/>
      <c r="D655" s="37"/>
      <c r="E655" s="37"/>
      <c r="F655" s="37"/>
      <c r="G655" s="1"/>
      <c r="H655" s="1"/>
      <c r="I655" s="1"/>
      <c r="J655" s="1"/>
      <c r="K655" s="1"/>
      <c r="L655" s="1"/>
      <c r="M655" s="1"/>
      <c r="N655" s="1"/>
      <c r="O655" s="1"/>
      <c r="P655" s="1"/>
      <c r="Q655" s="1"/>
      <c r="R655" s="1"/>
      <c r="S655" s="1"/>
      <c r="T655" s="1"/>
    </row>
    <row r="656" ht="15.75" customHeight="1">
      <c r="A656" s="36"/>
      <c r="B656" s="37"/>
      <c r="C656" s="37"/>
      <c r="D656" s="37"/>
      <c r="E656" s="37"/>
      <c r="F656" s="37"/>
      <c r="G656" s="1"/>
      <c r="H656" s="1"/>
      <c r="I656" s="1"/>
      <c r="J656" s="1"/>
      <c r="K656" s="1"/>
      <c r="L656" s="1"/>
      <c r="M656" s="1"/>
      <c r="N656" s="1"/>
      <c r="O656" s="1"/>
      <c r="P656" s="1"/>
      <c r="Q656" s="1"/>
      <c r="R656" s="1"/>
      <c r="S656" s="1"/>
      <c r="T656" s="1"/>
    </row>
    <row r="657" ht="15.75" customHeight="1">
      <c r="A657" s="36"/>
      <c r="B657" s="37"/>
      <c r="C657" s="37"/>
      <c r="D657" s="37"/>
      <c r="E657" s="37"/>
      <c r="F657" s="37"/>
      <c r="G657" s="1"/>
      <c r="H657" s="1"/>
      <c r="I657" s="1"/>
      <c r="J657" s="1"/>
      <c r="K657" s="1"/>
      <c r="L657" s="1"/>
      <c r="M657" s="1"/>
      <c r="N657" s="1"/>
      <c r="O657" s="1"/>
      <c r="P657" s="1"/>
      <c r="Q657" s="1"/>
      <c r="R657" s="1"/>
      <c r="S657" s="1"/>
      <c r="T657" s="1"/>
    </row>
    <row r="658" ht="15.75" customHeight="1">
      <c r="A658" s="36"/>
      <c r="B658" s="37"/>
      <c r="C658" s="37"/>
      <c r="D658" s="37"/>
      <c r="E658" s="37"/>
      <c r="F658" s="37"/>
      <c r="G658" s="1"/>
      <c r="H658" s="1"/>
      <c r="I658" s="1"/>
      <c r="J658" s="1"/>
      <c r="K658" s="1"/>
      <c r="L658" s="1"/>
      <c r="M658" s="1"/>
      <c r="N658" s="1"/>
      <c r="O658" s="1"/>
      <c r="P658" s="1"/>
      <c r="Q658" s="1"/>
      <c r="R658" s="1"/>
      <c r="S658" s="1"/>
      <c r="T658" s="1"/>
    </row>
    <row r="659" ht="15.75" customHeight="1">
      <c r="A659" s="36"/>
      <c r="B659" s="37"/>
      <c r="C659" s="37"/>
      <c r="D659" s="37"/>
      <c r="E659" s="37"/>
      <c r="F659" s="37"/>
      <c r="G659" s="1"/>
      <c r="H659" s="1"/>
      <c r="I659" s="1"/>
      <c r="J659" s="1"/>
      <c r="K659" s="1"/>
      <c r="L659" s="1"/>
      <c r="M659" s="1"/>
      <c r="N659" s="1"/>
      <c r="O659" s="1"/>
      <c r="P659" s="1"/>
      <c r="Q659" s="1"/>
      <c r="R659" s="1"/>
      <c r="S659" s="1"/>
      <c r="T659" s="1"/>
    </row>
    <row r="660" ht="15.75" customHeight="1">
      <c r="A660" s="36"/>
      <c r="B660" s="37"/>
      <c r="C660" s="37"/>
      <c r="D660" s="37"/>
      <c r="E660" s="37"/>
      <c r="F660" s="37"/>
      <c r="G660" s="1"/>
      <c r="H660" s="1"/>
      <c r="I660" s="1"/>
      <c r="J660" s="1"/>
      <c r="K660" s="1"/>
      <c r="L660" s="1"/>
      <c r="M660" s="1"/>
      <c r="N660" s="1"/>
      <c r="O660" s="1"/>
      <c r="P660" s="1"/>
      <c r="Q660" s="1"/>
      <c r="R660" s="1"/>
      <c r="S660" s="1"/>
      <c r="T660" s="1"/>
    </row>
    <row r="661" ht="15.75" customHeight="1">
      <c r="A661" s="36"/>
      <c r="B661" s="37"/>
      <c r="C661" s="37"/>
      <c r="D661" s="37"/>
      <c r="E661" s="37"/>
      <c r="F661" s="37"/>
      <c r="G661" s="1"/>
      <c r="H661" s="1"/>
      <c r="I661" s="1"/>
      <c r="J661" s="1"/>
      <c r="K661" s="1"/>
      <c r="L661" s="1"/>
      <c r="M661" s="1"/>
      <c r="N661" s="1"/>
      <c r="O661" s="1"/>
      <c r="P661" s="1"/>
      <c r="Q661" s="1"/>
      <c r="R661" s="1"/>
      <c r="S661" s="1"/>
      <c r="T661" s="1"/>
    </row>
    <row r="662" ht="15.75" customHeight="1">
      <c r="A662" s="36"/>
      <c r="B662" s="37"/>
      <c r="C662" s="37"/>
      <c r="D662" s="37"/>
      <c r="E662" s="37"/>
      <c r="F662" s="37"/>
      <c r="G662" s="1"/>
      <c r="H662" s="1"/>
      <c r="I662" s="1"/>
      <c r="J662" s="1"/>
      <c r="K662" s="1"/>
      <c r="L662" s="1"/>
      <c r="M662" s="1"/>
      <c r="N662" s="1"/>
      <c r="O662" s="1"/>
      <c r="P662" s="1"/>
      <c r="Q662" s="1"/>
      <c r="R662" s="1"/>
      <c r="S662" s="1"/>
      <c r="T662" s="1"/>
    </row>
    <row r="663" ht="15.75" customHeight="1">
      <c r="A663" s="36"/>
      <c r="B663" s="37"/>
      <c r="C663" s="37"/>
      <c r="D663" s="37"/>
      <c r="E663" s="37"/>
      <c r="F663" s="37"/>
      <c r="G663" s="1"/>
      <c r="H663" s="1"/>
      <c r="I663" s="1"/>
      <c r="J663" s="1"/>
      <c r="K663" s="1"/>
      <c r="L663" s="1"/>
      <c r="M663" s="1"/>
      <c r="N663" s="1"/>
      <c r="O663" s="1"/>
      <c r="P663" s="1"/>
      <c r="Q663" s="1"/>
      <c r="R663" s="1"/>
      <c r="S663" s="1"/>
      <c r="T663" s="1"/>
    </row>
    <row r="664" ht="15.75" customHeight="1">
      <c r="A664" s="36"/>
      <c r="B664" s="37"/>
      <c r="C664" s="37"/>
      <c r="D664" s="37"/>
      <c r="E664" s="37"/>
      <c r="F664" s="37"/>
      <c r="G664" s="1"/>
      <c r="H664" s="1"/>
      <c r="I664" s="1"/>
      <c r="J664" s="1"/>
      <c r="K664" s="1"/>
      <c r="L664" s="1"/>
      <c r="M664" s="1"/>
      <c r="N664" s="1"/>
      <c r="O664" s="1"/>
      <c r="P664" s="1"/>
      <c r="Q664" s="1"/>
      <c r="R664" s="1"/>
      <c r="S664" s="1"/>
      <c r="T664" s="1"/>
    </row>
    <row r="665" ht="15.75" customHeight="1">
      <c r="A665" s="36"/>
      <c r="B665" s="37"/>
      <c r="C665" s="37"/>
      <c r="D665" s="37"/>
      <c r="E665" s="37"/>
      <c r="F665" s="37"/>
      <c r="G665" s="1"/>
      <c r="H665" s="1"/>
      <c r="I665" s="1"/>
      <c r="J665" s="1"/>
      <c r="K665" s="1"/>
      <c r="L665" s="1"/>
      <c r="M665" s="1"/>
      <c r="N665" s="1"/>
      <c r="O665" s="1"/>
      <c r="P665" s="1"/>
      <c r="Q665" s="1"/>
      <c r="R665" s="1"/>
      <c r="S665" s="1"/>
      <c r="T665" s="1"/>
    </row>
    <row r="666" ht="15.75" customHeight="1">
      <c r="A666" s="36"/>
      <c r="B666" s="37"/>
      <c r="C666" s="37"/>
      <c r="D666" s="37"/>
      <c r="E666" s="37"/>
      <c r="F666" s="37"/>
      <c r="G666" s="1"/>
      <c r="H666" s="1"/>
      <c r="I666" s="1"/>
      <c r="J666" s="1"/>
      <c r="K666" s="1"/>
      <c r="L666" s="1"/>
      <c r="M666" s="1"/>
      <c r="N666" s="1"/>
      <c r="O666" s="1"/>
      <c r="P666" s="1"/>
      <c r="Q666" s="1"/>
      <c r="R666" s="1"/>
      <c r="S666" s="1"/>
      <c r="T666" s="1"/>
    </row>
    <row r="667" ht="15.75" customHeight="1">
      <c r="A667" s="36"/>
      <c r="B667" s="37"/>
      <c r="C667" s="37"/>
      <c r="D667" s="37"/>
      <c r="E667" s="37"/>
      <c r="F667" s="37"/>
      <c r="G667" s="1"/>
      <c r="H667" s="1"/>
      <c r="I667" s="1"/>
      <c r="J667" s="1"/>
      <c r="K667" s="1"/>
      <c r="L667" s="1"/>
      <c r="M667" s="1"/>
      <c r="N667" s="1"/>
      <c r="O667" s="1"/>
      <c r="P667" s="1"/>
      <c r="Q667" s="1"/>
      <c r="R667" s="1"/>
      <c r="S667" s="1"/>
      <c r="T667" s="1"/>
    </row>
    <row r="668" ht="15.75" customHeight="1">
      <c r="A668" s="36"/>
      <c r="B668" s="37"/>
      <c r="C668" s="37"/>
      <c r="D668" s="37"/>
      <c r="E668" s="37"/>
      <c r="F668" s="37"/>
      <c r="G668" s="1"/>
      <c r="H668" s="1"/>
      <c r="I668" s="1"/>
      <c r="J668" s="1"/>
      <c r="K668" s="1"/>
      <c r="L668" s="1"/>
      <c r="M668" s="1"/>
      <c r="N668" s="1"/>
      <c r="O668" s="1"/>
      <c r="P668" s="1"/>
      <c r="Q668" s="1"/>
      <c r="R668" s="1"/>
      <c r="S668" s="1"/>
      <c r="T668" s="1"/>
    </row>
    <row r="669" ht="15.75" customHeight="1">
      <c r="A669" s="36"/>
      <c r="B669" s="37"/>
      <c r="C669" s="37"/>
      <c r="D669" s="37"/>
      <c r="E669" s="37"/>
      <c r="F669" s="37"/>
      <c r="G669" s="1"/>
      <c r="H669" s="1"/>
      <c r="I669" s="1"/>
      <c r="J669" s="1"/>
      <c r="K669" s="1"/>
      <c r="L669" s="1"/>
      <c r="M669" s="1"/>
      <c r="N669" s="1"/>
      <c r="O669" s="1"/>
      <c r="P669" s="1"/>
      <c r="Q669" s="1"/>
      <c r="R669" s="1"/>
      <c r="S669" s="1"/>
      <c r="T669" s="1"/>
    </row>
    <row r="670" ht="15.75" customHeight="1">
      <c r="A670" s="36"/>
      <c r="B670" s="37"/>
      <c r="C670" s="37"/>
      <c r="D670" s="37"/>
      <c r="E670" s="37"/>
      <c r="F670" s="37"/>
      <c r="G670" s="1"/>
      <c r="H670" s="1"/>
      <c r="I670" s="1"/>
      <c r="J670" s="1"/>
      <c r="K670" s="1"/>
      <c r="L670" s="1"/>
      <c r="M670" s="1"/>
      <c r="N670" s="1"/>
      <c r="O670" s="1"/>
      <c r="P670" s="1"/>
      <c r="Q670" s="1"/>
      <c r="R670" s="1"/>
      <c r="S670" s="1"/>
      <c r="T670" s="1"/>
    </row>
    <row r="671" ht="15.75" customHeight="1">
      <c r="A671" s="36"/>
      <c r="B671" s="37"/>
      <c r="C671" s="37"/>
      <c r="D671" s="37"/>
      <c r="E671" s="37"/>
      <c r="F671" s="37"/>
      <c r="G671" s="1"/>
      <c r="H671" s="1"/>
      <c r="I671" s="1"/>
      <c r="J671" s="1"/>
      <c r="K671" s="1"/>
      <c r="L671" s="1"/>
      <c r="M671" s="1"/>
      <c r="N671" s="1"/>
      <c r="O671" s="1"/>
      <c r="P671" s="1"/>
      <c r="Q671" s="1"/>
      <c r="R671" s="1"/>
      <c r="S671" s="1"/>
      <c r="T671" s="1"/>
    </row>
    <row r="672" ht="15.75" customHeight="1">
      <c r="A672" s="36"/>
      <c r="B672" s="37"/>
      <c r="C672" s="37"/>
      <c r="D672" s="37"/>
      <c r="E672" s="37"/>
      <c r="F672" s="37"/>
      <c r="G672" s="1"/>
      <c r="H672" s="1"/>
      <c r="I672" s="1"/>
      <c r="J672" s="1"/>
      <c r="K672" s="1"/>
      <c r="L672" s="1"/>
      <c r="M672" s="1"/>
      <c r="N672" s="1"/>
      <c r="O672" s="1"/>
      <c r="P672" s="1"/>
      <c r="Q672" s="1"/>
      <c r="R672" s="1"/>
      <c r="S672" s="1"/>
      <c r="T672" s="1"/>
    </row>
    <row r="673" ht="15.75" customHeight="1">
      <c r="A673" s="36"/>
      <c r="B673" s="37"/>
      <c r="C673" s="37"/>
      <c r="D673" s="37"/>
      <c r="E673" s="37"/>
      <c r="F673" s="37"/>
      <c r="G673" s="1"/>
      <c r="H673" s="1"/>
      <c r="I673" s="1"/>
      <c r="J673" s="1"/>
      <c r="K673" s="1"/>
      <c r="L673" s="1"/>
      <c r="M673" s="1"/>
      <c r="N673" s="1"/>
      <c r="O673" s="1"/>
      <c r="P673" s="1"/>
      <c r="Q673" s="1"/>
      <c r="R673" s="1"/>
      <c r="S673" s="1"/>
      <c r="T673" s="1"/>
    </row>
    <row r="674" ht="15.75" customHeight="1">
      <c r="A674" s="36"/>
      <c r="B674" s="37"/>
      <c r="C674" s="37"/>
      <c r="D674" s="37"/>
      <c r="E674" s="37"/>
      <c r="F674" s="37"/>
      <c r="G674" s="1"/>
      <c r="H674" s="1"/>
      <c r="I674" s="1"/>
      <c r="J674" s="1"/>
      <c r="K674" s="1"/>
      <c r="L674" s="1"/>
      <c r="M674" s="1"/>
      <c r="N674" s="1"/>
      <c r="O674" s="1"/>
      <c r="P674" s="1"/>
      <c r="Q674" s="1"/>
      <c r="R674" s="1"/>
      <c r="S674" s="1"/>
      <c r="T674" s="1"/>
    </row>
    <row r="675" ht="15.75" customHeight="1">
      <c r="A675" s="36"/>
      <c r="B675" s="37"/>
      <c r="C675" s="37"/>
      <c r="D675" s="37"/>
      <c r="E675" s="37"/>
      <c r="F675" s="37"/>
      <c r="G675" s="1"/>
      <c r="H675" s="1"/>
      <c r="I675" s="1"/>
      <c r="J675" s="1"/>
      <c r="K675" s="1"/>
      <c r="L675" s="1"/>
      <c r="M675" s="1"/>
      <c r="N675" s="1"/>
      <c r="O675" s="1"/>
      <c r="P675" s="1"/>
      <c r="Q675" s="1"/>
      <c r="R675" s="1"/>
      <c r="S675" s="1"/>
      <c r="T675" s="1"/>
    </row>
    <row r="676" ht="15.75" customHeight="1">
      <c r="A676" s="36"/>
      <c r="B676" s="37"/>
      <c r="C676" s="37"/>
      <c r="D676" s="37"/>
      <c r="E676" s="37"/>
      <c r="F676" s="37"/>
      <c r="G676" s="1"/>
      <c r="H676" s="1"/>
      <c r="I676" s="1"/>
      <c r="J676" s="1"/>
      <c r="K676" s="1"/>
      <c r="L676" s="1"/>
      <c r="M676" s="1"/>
      <c r="N676" s="1"/>
      <c r="O676" s="1"/>
      <c r="P676" s="1"/>
      <c r="Q676" s="1"/>
      <c r="R676" s="1"/>
      <c r="S676" s="1"/>
      <c r="T676" s="1"/>
    </row>
    <row r="677" ht="15.75" customHeight="1">
      <c r="A677" s="36"/>
      <c r="B677" s="37"/>
      <c r="C677" s="37"/>
      <c r="D677" s="37"/>
      <c r="E677" s="37"/>
      <c r="F677" s="37"/>
      <c r="G677" s="1"/>
      <c r="H677" s="1"/>
      <c r="I677" s="1"/>
      <c r="J677" s="1"/>
      <c r="K677" s="1"/>
      <c r="L677" s="1"/>
      <c r="M677" s="1"/>
      <c r="N677" s="1"/>
      <c r="O677" s="1"/>
      <c r="P677" s="1"/>
      <c r="Q677" s="1"/>
      <c r="R677" s="1"/>
      <c r="S677" s="1"/>
      <c r="T677" s="1"/>
    </row>
    <row r="678" ht="15.75" customHeight="1">
      <c r="A678" s="36"/>
      <c r="B678" s="37"/>
      <c r="C678" s="37"/>
      <c r="D678" s="37"/>
      <c r="E678" s="37"/>
      <c r="F678" s="37"/>
      <c r="G678" s="1"/>
      <c r="H678" s="1"/>
      <c r="I678" s="1"/>
      <c r="J678" s="1"/>
      <c r="K678" s="1"/>
      <c r="L678" s="1"/>
      <c r="M678" s="1"/>
      <c r="N678" s="1"/>
      <c r="O678" s="1"/>
      <c r="P678" s="1"/>
      <c r="Q678" s="1"/>
      <c r="R678" s="1"/>
      <c r="S678" s="1"/>
      <c r="T678" s="1"/>
    </row>
    <row r="679" ht="15.75" customHeight="1">
      <c r="A679" s="36"/>
      <c r="B679" s="37"/>
      <c r="C679" s="37"/>
      <c r="D679" s="37"/>
      <c r="E679" s="37"/>
      <c r="F679" s="37"/>
      <c r="G679" s="1"/>
      <c r="H679" s="1"/>
      <c r="I679" s="1"/>
      <c r="J679" s="1"/>
      <c r="K679" s="1"/>
      <c r="L679" s="1"/>
      <c r="M679" s="1"/>
      <c r="N679" s="1"/>
      <c r="O679" s="1"/>
      <c r="P679" s="1"/>
      <c r="Q679" s="1"/>
      <c r="R679" s="1"/>
      <c r="S679" s="1"/>
      <c r="T679" s="1"/>
    </row>
    <row r="680" ht="15.75" customHeight="1">
      <c r="A680" s="36"/>
      <c r="B680" s="37"/>
      <c r="C680" s="37"/>
      <c r="D680" s="37"/>
      <c r="E680" s="37"/>
      <c r="F680" s="37"/>
      <c r="G680" s="1"/>
      <c r="H680" s="1"/>
      <c r="I680" s="1"/>
      <c r="J680" s="1"/>
      <c r="K680" s="1"/>
      <c r="L680" s="1"/>
      <c r="M680" s="1"/>
      <c r="N680" s="1"/>
      <c r="O680" s="1"/>
      <c r="P680" s="1"/>
      <c r="Q680" s="1"/>
      <c r="R680" s="1"/>
      <c r="S680" s="1"/>
      <c r="T680" s="1"/>
    </row>
    <row r="681" ht="15.75" customHeight="1">
      <c r="A681" s="36"/>
      <c r="B681" s="37"/>
      <c r="C681" s="37"/>
      <c r="D681" s="37"/>
      <c r="E681" s="37"/>
      <c r="F681" s="37"/>
      <c r="G681" s="1"/>
      <c r="H681" s="1"/>
      <c r="I681" s="1"/>
      <c r="J681" s="1"/>
      <c r="K681" s="1"/>
      <c r="L681" s="1"/>
      <c r="M681" s="1"/>
      <c r="N681" s="1"/>
      <c r="O681" s="1"/>
      <c r="P681" s="1"/>
      <c r="Q681" s="1"/>
      <c r="R681" s="1"/>
      <c r="S681" s="1"/>
      <c r="T681" s="1"/>
    </row>
    <row r="682" ht="15.75" customHeight="1">
      <c r="A682" s="36"/>
      <c r="B682" s="37"/>
      <c r="C682" s="37"/>
      <c r="D682" s="37"/>
      <c r="E682" s="37"/>
      <c r="F682" s="37"/>
      <c r="G682" s="1"/>
      <c r="H682" s="1"/>
      <c r="I682" s="1"/>
      <c r="J682" s="1"/>
      <c r="K682" s="1"/>
      <c r="L682" s="1"/>
      <c r="M682" s="1"/>
      <c r="N682" s="1"/>
      <c r="O682" s="1"/>
      <c r="P682" s="1"/>
      <c r="Q682" s="1"/>
      <c r="R682" s="1"/>
      <c r="S682" s="1"/>
      <c r="T682" s="1"/>
    </row>
    <row r="683" ht="15.75" customHeight="1">
      <c r="A683" s="36"/>
      <c r="B683" s="37"/>
      <c r="C683" s="37"/>
      <c r="D683" s="37"/>
      <c r="E683" s="37"/>
      <c r="F683" s="37"/>
      <c r="G683" s="1"/>
      <c r="H683" s="1"/>
      <c r="I683" s="1"/>
      <c r="J683" s="1"/>
      <c r="K683" s="1"/>
      <c r="L683" s="1"/>
      <c r="M683" s="1"/>
      <c r="N683" s="1"/>
      <c r="O683" s="1"/>
      <c r="P683" s="1"/>
      <c r="Q683" s="1"/>
      <c r="R683" s="1"/>
      <c r="S683" s="1"/>
      <c r="T683" s="1"/>
    </row>
    <row r="684" ht="15.75" customHeight="1">
      <c r="A684" s="36"/>
      <c r="B684" s="37"/>
      <c r="C684" s="37"/>
      <c r="D684" s="37"/>
      <c r="E684" s="37"/>
      <c r="F684" s="37"/>
      <c r="G684" s="1"/>
      <c r="H684" s="1"/>
      <c r="I684" s="1"/>
      <c r="J684" s="1"/>
      <c r="K684" s="1"/>
      <c r="L684" s="1"/>
      <c r="M684" s="1"/>
      <c r="N684" s="1"/>
      <c r="O684" s="1"/>
      <c r="P684" s="1"/>
      <c r="Q684" s="1"/>
      <c r="R684" s="1"/>
      <c r="S684" s="1"/>
      <c r="T684" s="1"/>
    </row>
    <row r="685" ht="15.75" customHeight="1">
      <c r="A685" s="36"/>
      <c r="B685" s="37"/>
      <c r="C685" s="37"/>
      <c r="D685" s="37"/>
      <c r="E685" s="37"/>
      <c r="F685" s="37"/>
      <c r="G685" s="1"/>
      <c r="H685" s="1"/>
      <c r="I685" s="1"/>
      <c r="J685" s="1"/>
      <c r="K685" s="1"/>
      <c r="L685" s="1"/>
      <c r="M685" s="1"/>
      <c r="N685" s="1"/>
      <c r="O685" s="1"/>
      <c r="P685" s="1"/>
      <c r="Q685" s="1"/>
      <c r="R685" s="1"/>
      <c r="S685" s="1"/>
      <c r="T685" s="1"/>
    </row>
    <row r="686" ht="15.75" customHeight="1">
      <c r="A686" s="36"/>
      <c r="B686" s="37"/>
      <c r="C686" s="37"/>
      <c r="D686" s="37"/>
      <c r="E686" s="37"/>
      <c r="F686" s="37"/>
      <c r="G686" s="1"/>
      <c r="H686" s="1"/>
      <c r="I686" s="1"/>
      <c r="J686" s="1"/>
      <c r="K686" s="1"/>
      <c r="L686" s="1"/>
      <c r="M686" s="1"/>
      <c r="N686" s="1"/>
      <c r="O686" s="1"/>
      <c r="P686" s="1"/>
      <c r="Q686" s="1"/>
      <c r="R686" s="1"/>
      <c r="S686" s="1"/>
      <c r="T686" s="1"/>
    </row>
    <row r="687" ht="15.75" customHeight="1">
      <c r="A687" s="36"/>
      <c r="B687" s="37"/>
      <c r="C687" s="37"/>
      <c r="D687" s="37"/>
      <c r="E687" s="37"/>
      <c r="F687" s="37"/>
      <c r="G687" s="1"/>
      <c r="H687" s="1"/>
      <c r="I687" s="1"/>
      <c r="J687" s="1"/>
      <c r="K687" s="1"/>
      <c r="L687" s="1"/>
      <c r="M687" s="1"/>
      <c r="N687" s="1"/>
      <c r="O687" s="1"/>
      <c r="P687" s="1"/>
      <c r="Q687" s="1"/>
      <c r="R687" s="1"/>
      <c r="S687" s="1"/>
      <c r="T687" s="1"/>
    </row>
    <row r="688" ht="15.75" customHeight="1">
      <c r="A688" s="36"/>
      <c r="B688" s="37"/>
      <c r="C688" s="37"/>
      <c r="D688" s="37"/>
      <c r="E688" s="37"/>
      <c r="F688" s="37"/>
      <c r="G688" s="1"/>
      <c r="H688" s="1"/>
      <c r="I688" s="1"/>
      <c r="J688" s="1"/>
      <c r="K688" s="1"/>
      <c r="L688" s="1"/>
      <c r="M688" s="1"/>
      <c r="N688" s="1"/>
      <c r="O688" s="1"/>
      <c r="P688" s="1"/>
      <c r="Q688" s="1"/>
      <c r="R688" s="1"/>
      <c r="S688" s="1"/>
      <c r="T688" s="1"/>
    </row>
    <row r="689" ht="15.75" customHeight="1">
      <c r="A689" s="36"/>
      <c r="B689" s="37"/>
      <c r="C689" s="37"/>
      <c r="D689" s="37"/>
      <c r="E689" s="37"/>
      <c r="F689" s="37"/>
      <c r="G689" s="1"/>
      <c r="H689" s="1"/>
      <c r="I689" s="1"/>
      <c r="J689" s="1"/>
      <c r="K689" s="1"/>
      <c r="L689" s="1"/>
      <c r="M689" s="1"/>
      <c r="N689" s="1"/>
      <c r="O689" s="1"/>
      <c r="P689" s="1"/>
      <c r="Q689" s="1"/>
      <c r="R689" s="1"/>
      <c r="S689" s="1"/>
      <c r="T689" s="1"/>
    </row>
    <row r="690" ht="15.75" customHeight="1">
      <c r="A690" s="36"/>
      <c r="B690" s="37"/>
      <c r="C690" s="37"/>
      <c r="D690" s="37"/>
      <c r="E690" s="37"/>
      <c r="F690" s="37"/>
      <c r="G690" s="1"/>
      <c r="H690" s="1"/>
      <c r="I690" s="1"/>
      <c r="J690" s="1"/>
      <c r="K690" s="1"/>
      <c r="L690" s="1"/>
      <c r="M690" s="1"/>
      <c r="N690" s="1"/>
      <c r="O690" s="1"/>
      <c r="P690" s="1"/>
      <c r="Q690" s="1"/>
      <c r="R690" s="1"/>
      <c r="S690" s="1"/>
      <c r="T690" s="1"/>
    </row>
    <row r="691" ht="15.75" customHeight="1">
      <c r="A691" s="36"/>
      <c r="B691" s="37"/>
      <c r="C691" s="37"/>
      <c r="D691" s="37"/>
      <c r="E691" s="37"/>
      <c r="F691" s="37"/>
      <c r="G691" s="1"/>
      <c r="H691" s="1"/>
      <c r="I691" s="1"/>
      <c r="J691" s="1"/>
      <c r="K691" s="1"/>
      <c r="L691" s="1"/>
      <c r="M691" s="1"/>
      <c r="N691" s="1"/>
      <c r="O691" s="1"/>
      <c r="P691" s="1"/>
      <c r="Q691" s="1"/>
      <c r="R691" s="1"/>
      <c r="S691" s="1"/>
      <c r="T691" s="1"/>
    </row>
    <row r="692" ht="15.75" customHeight="1">
      <c r="A692" s="36"/>
      <c r="B692" s="37"/>
      <c r="C692" s="37"/>
      <c r="D692" s="37"/>
      <c r="E692" s="37"/>
      <c r="F692" s="37"/>
      <c r="G692" s="1"/>
      <c r="H692" s="1"/>
      <c r="I692" s="1"/>
      <c r="J692" s="1"/>
      <c r="K692" s="1"/>
      <c r="L692" s="1"/>
      <c r="M692" s="1"/>
      <c r="N692" s="1"/>
      <c r="O692" s="1"/>
      <c r="P692" s="1"/>
      <c r="Q692" s="1"/>
      <c r="R692" s="1"/>
      <c r="S692" s="1"/>
      <c r="T692" s="1"/>
    </row>
    <row r="693" ht="15.75" customHeight="1">
      <c r="A693" s="36"/>
      <c r="B693" s="37"/>
      <c r="C693" s="37"/>
      <c r="D693" s="37"/>
      <c r="E693" s="37"/>
      <c r="F693" s="37"/>
      <c r="G693" s="1"/>
      <c r="H693" s="1"/>
      <c r="I693" s="1"/>
      <c r="J693" s="1"/>
      <c r="K693" s="1"/>
      <c r="L693" s="1"/>
      <c r="M693" s="1"/>
      <c r="N693" s="1"/>
      <c r="O693" s="1"/>
      <c r="P693" s="1"/>
      <c r="Q693" s="1"/>
      <c r="R693" s="1"/>
      <c r="S693" s="1"/>
      <c r="T693" s="1"/>
    </row>
    <row r="694" ht="15.75" customHeight="1">
      <c r="A694" s="36"/>
      <c r="B694" s="37"/>
      <c r="C694" s="37"/>
      <c r="D694" s="37"/>
      <c r="E694" s="37"/>
      <c r="F694" s="37"/>
      <c r="G694" s="1"/>
      <c r="H694" s="1"/>
      <c r="I694" s="1"/>
      <c r="J694" s="1"/>
      <c r="K694" s="1"/>
      <c r="L694" s="1"/>
      <c r="M694" s="1"/>
      <c r="N694" s="1"/>
      <c r="O694" s="1"/>
      <c r="P694" s="1"/>
      <c r="Q694" s="1"/>
      <c r="R694" s="1"/>
      <c r="S694" s="1"/>
      <c r="T694" s="1"/>
    </row>
    <row r="695" ht="15.75" customHeight="1">
      <c r="A695" s="36"/>
      <c r="B695" s="37"/>
      <c r="C695" s="37"/>
      <c r="D695" s="37"/>
      <c r="E695" s="37"/>
      <c r="F695" s="37"/>
      <c r="G695" s="1"/>
      <c r="H695" s="1"/>
      <c r="I695" s="1"/>
      <c r="J695" s="1"/>
      <c r="K695" s="1"/>
      <c r="L695" s="1"/>
      <c r="M695" s="1"/>
      <c r="N695" s="1"/>
      <c r="O695" s="1"/>
      <c r="P695" s="1"/>
      <c r="Q695" s="1"/>
      <c r="R695" s="1"/>
      <c r="S695" s="1"/>
      <c r="T695" s="1"/>
    </row>
    <row r="696" ht="15.75" customHeight="1">
      <c r="A696" s="36"/>
      <c r="B696" s="37"/>
      <c r="C696" s="37"/>
      <c r="D696" s="37"/>
      <c r="E696" s="37"/>
      <c r="F696" s="37"/>
      <c r="G696" s="1"/>
      <c r="H696" s="1"/>
      <c r="I696" s="1"/>
      <c r="J696" s="1"/>
      <c r="K696" s="1"/>
      <c r="L696" s="1"/>
      <c r="M696" s="1"/>
      <c r="N696" s="1"/>
      <c r="O696" s="1"/>
      <c r="P696" s="1"/>
      <c r="Q696" s="1"/>
      <c r="R696" s="1"/>
      <c r="S696" s="1"/>
      <c r="T696" s="1"/>
    </row>
    <row r="697" ht="15.75" customHeight="1">
      <c r="A697" s="36"/>
      <c r="B697" s="37"/>
      <c r="C697" s="37"/>
      <c r="D697" s="37"/>
      <c r="E697" s="37"/>
      <c r="F697" s="37"/>
      <c r="G697" s="1"/>
      <c r="H697" s="1"/>
      <c r="I697" s="1"/>
      <c r="J697" s="1"/>
      <c r="K697" s="1"/>
      <c r="L697" s="1"/>
      <c r="M697" s="1"/>
      <c r="N697" s="1"/>
      <c r="O697" s="1"/>
      <c r="P697" s="1"/>
      <c r="Q697" s="1"/>
      <c r="R697" s="1"/>
      <c r="S697" s="1"/>
      <c r="T697" s="1"/>
    </row>
    <row r="698" ht="15.75" customHeight="1">
      <c r="A698" s="36"/>
      <c r="B698" s="37"/>
      <c r="C698" s="37"/>
      <c r="D698" s="37"/>
      <c r="E698" s="37"/>
      <c r="F698" s="37"/>
      <c r="G698" s="1"/>
      <c r="H698" s="1"/>
      <c r="I698" s="1"/>
      <c r="J698" s="1"/>
      <c r="K698" s="1"/>
      <c r="L698" s="1"/>
      <c r="M698" s="1"/>
      <c r="N698" s="1"/>
      <c r="O698" s="1"/>
      <c r="P698" s="1"/>
      <c r="Q698" s="1"/>
      <c r="R698" s="1"/>
      <c r="S698" s="1"/>
      <c r="T698" s="1"/>
    </row>
    <row r="699" ht="15.75" customHeight="1">
      <c r="A699" s="36"/>
      <c r="B699" s="37"/>
      <c r="C699" s="37"/>
      <c r="D699" s="37"/>
      <c r="E699" s="37"/>
      <c r="F699" s="37"/>
      <c r="G699" s="1"/>
      <c r="H699" s="1"/>
      <c r="I699" s="1"/>
      <c r="J699" s="1"/>
      <c r="K699" s="1"/>
      <c r="L699" s="1"/>
      <c r="M699" s="1"/>
      <c r="N699" s="1"/>
      <c r="O699" s="1"/>
      <c r="P699" s="1"/>
      <c r="Q699" s="1"/>
      <c r="R699" s="1"/>
      <c r="S699" s="1"/>
      <c r="T699" s="1"/>
    </row>
    <row r="700" ht="15.75" customHeight="1">
      <c r="A700" s="36"/>
      <c r="B700" s="37"/>
      <c r="C700" s="37"/>
      <c r="D700" s="37"/>
      <c r="E700" s="37"/>
      <c r="F700" s="37"/>
      <c r="G700" s="1"/>
      <c r="H700" s="1"/>
      <c r="I700" s="1"/>
      <c r="J700" s="1"/>
      <c r="K700" s="1"/>
      <c r="L700" s="1"/>
      <c r="M700" s="1"/>
      <c r="N700" s="1"/>
      <c r="O700" s="1"/>
      <c r="P700" s="1"/>
      <c r="Q700" s="1"/>
      <c r="R700" s="1"/>
      <c r="S700" s="1"/>
      <c r="T700" s="1"/>
    </row>
    <row r="701" ht="15.75" customHeight="1">
      <c r="A701" s="36"/>
      <c r="B701" s="37"/>
      <c r="C701" s="37"/>
      <c r="D701" s="37"/>
      <c r="E701" s="37"/>
      <c r="F701" s="37"/>
      <c r="G701" s="1"/>
      <c r="H701" s="1"/>
      <c r="I701" s="1"/>
      <c r="J701" s="1"/>
      <c r="K701" s="1"/>
      <c r="L701" s="1"/>
      <c r="M701" s="1"/>
      <c r="N701" s="1"/>
      <c r="O701" s="1"/>
      <c r="P701" s="1"/>
      <c r="Q701" s="1"/>
      <c r="R701" s="1"/>
      <c r="S701" s="1"/>
      <c r="T701" s="1"/>
    </row>
    <row r="702" ht="15.75" customHeight="1">
      <c r="A702" s="36"/>
      <c r="B702" s="37"/>
      <c r="C702" s="37"/>
      <c r="D702" s="37"/>
      <c r="E702" s="37"/>
      <c r="F702" s="37"/>
      <c r="G702" s="1"/>
      <c r="H702" s="1"/>
      <c r="I702" s="1"/>
      <c r="J702" s="1"/>
      <c r="K702" s="1"/>
      <c r="L702" s="1"/>
      <c r="M702" s="1"/>
      <c r="N702" s="1"/>
      <c r="O702" s="1"/>
      <c r="P702" s="1"/>
      <c r="Q702" s="1"/>
      <c r="R702" s="1"/>
      <c r="S702" s="1"/>
      <c r="T702" s="1"/>
    </row>
    <row r="703" ht="15.75" customHeight="1">
      <c r="A703" s="36"/>
      <c r="B703" s="37"/>
      <c r="C703" s="37"/>
      <c r="D703" s="37"/>
      <c r="E703" s="37"/>
      <c r="F703" s="37"/>
      <c r="G703" s="1"/>
      <c r="H703" s="1"/>
      <c r="I703" s="1"/>
      <c r="J703" s="1"/>
      <c r="K703" s="1"/>
      <c r="L703" s="1"/>
      <c r="M703" s="1"/>
      <c r="N703" s="1"/>
      <c r="O703" s="1"/>
      <c r="P703" s="1"/>
      <c r="Q703" s="1"/>
      <c r="R703" s="1"/>
      <c r="S703" s="1"/>
      <c r="T703" s="1"/>
    </row>
    <row r="704" ht="15.75" customHeight="1">
      <c r="A704" s="36"/>
      <c r="B704" s="37"/>
      <c r="C704" s="37"/>
      <c r="D704" s="37"/>
      <c r="E704" s="37"/>
      <c r="F704" s="37"/>
      <c r="G704" s="1"/>
      <c r="H704" s="1"/>
      <c r="I704" s="1"/>
      <c r="J704" s="1"/>
      <c r="K704" s="1"/>
      <c r="L704" s="1"/>
      <c r="M704" s="1"/>
      <c r="N704" s="1"/>
      <c r="O704" s="1"/>
      <c r="P704" s="1"/>
      <c r="Q704" s="1"/>
      <c r="R704" s="1"/>
      <c r="S704" s="1"/>
      <c r="T704" s="1"/>
    </row>
    <row r="705" ht="15.75" customHeight="1">
      <c r="A705" s="36"/>
      <c r="B705" s="37"/>
      <c r="C705" s="37"/>
      <c r="D705" s="37"/>
      <c r="E705" s="37"/>
      <c r="F705" s="37"/>
      <c r="G705" s="1"/>
      <c r="H705" s="1"/>
      <c r="I705" s="1"/>
      <c r="J705" s="1"/>
      <c r="K705" s="1"/>
      <c r="L705" s="1"/>
      <c r="M705" s="1"/>
      <c r="N705" s="1"/>
      <c r="O705" s="1"/>
      <c r="P705" s="1"/>
      <c r="Q705" s="1"/>
      <c r="R705" s="1"/>
      <c r="S705" s="1"/>
      <c r="T705" s="1"/>
    </row>
    <row r="706" ht="15.75" customHeight="1">
      <c r="A706" s="36"/>
      <c r="B706" s="37"/>
      <c r="C706" s="37"/>
      <c r="D706" s="37"/>
      <c r="E706" s="37"/>
      <c r="F706" s="37"/>
      <c r="G706" s="1"/>
      <c r="H706" s="1"/>
      <c r="I706" s="1"/>
      <c r="J706" s="1"/>
      <c r="K706" s="1"/>
      <c r="L706" s="1"/>
      <c r="M706" s="1"/>
      <c r="N706" s="1"/>
      <c r="O706" s="1"/>
      <c r="P706" s="1"/>
      <c r="Q706" s="1"/>
      <c r="R706" s="1"/>
      <c r="S706" s="1"/>
      <c r="T706" s="1"/>
    </row>
    <row r="707" ht="15.75" customHeight="1">
      <c r="A707" s="36"/>
      <c r="B707" s="37"/>
      <c r="C707" s="37"/>
      <c r="D707" s="37"/>
      <c r="E707" s="37"/>
      <c r="F707" s="37"/>
      <c r="G707" s="1"/>
      <c r="H707" s="1"/>
      <c r="I707" s="1"/>
      <c r="J707" s="1"/>
      <c r="K707" s="1"/>
      <c r="L707" s="1"/>
      <c r="M707" s="1"/>
      <c r="N707" s="1"/>
      <c r="O707" s="1"/>
      <c r="P707" s="1"/>
      <c r="Q707" s="1"/>
      <c r="R707" s="1"/>
      <c r="S707" s="1"/>
      <c r="T707" s="1"/>
    </row>
    <row r="708" ht="15.75" customHeight="1">
      <c r="A708" s="36"/>
      <c r="B708" s="37"/>
      <c r="C708" s="37"/>
      <c r="D708" s="37"/>
      <c r="E708" s="37"/>
      <c r="F708" s="37"/>
      <c r="G708" s="1"/>
      <c r="H708" s="1"/>
      <c r="I708" s="1"/>
      <c r="J708" s="1"/>
      <c r="K708" s="1"/>
      <c r="L708" s="1"/>
      <c r="M708" s="1"/>
      <c r="N708" s="1"/>
      <c r="O708" s="1"/>
      <c r="P708" s="1"/>
      <c r="Q708" s="1"/>
      <c r="R708" s="1"/>
      <c r="S708" s="1"/>
      <c r="T708" s="1"/>
    </row>
    <row r="709" ht="15.75" customHeight="1">
      <c r="A709" s="36"/>
      <c r="B709" s="37"/>
      <c r="C709" s="37"/>
      <c r="D709" s="37"/>
      <c r="E709" s="37"/>
      <c r="F709" s="37"/>
      <c r="G709" s="1"/>
      <c r="H709" s="1"/>
      <c r="I709" s="1"/>
      <c r="J709" s="1"/>
      <c r="K709" s="1"/>
      <c r="L709" s="1"/>
      <c r="M709" s="1"/>
      <c r="N709" s="1"/>
      <c r="O709" s="1"/>
      <c r="P709" s="1"/>
      <c r="Q709" s="1"/>
      <c r="R709" s="1"/>
      <c r="S709" s="1"/>
      <c r="T709" s="1"/>
    </row>
    <row r="710" ht="15.75" customHeight="1">
      <c r="A710" s="36"/>
      <c r="B710" s="37"/>
      <c r="C710" s="37"/>
      <c r="D710" s="37"/>
      <c r="E710" s="37"/>
      <c r="F710" s="37"/>
      <c r="G710" s="1"/>
      <c r="H710" s="1"/>
      <c r="I710" s="1"/>
      <c r="J710" s="1"/>
      <c r="K710" s="1"/>
      <c r="L710" s="1"/>
      <c r="M710" s="1"/>
      <c r="N710" s="1"/>
      <c r="O710" s="1"/>
      <c r="P710" s="1"/>
      <c r="Q710" s="1"/>
      <c r="R710" s="1"/>
      <c r="S710" s="1"/>
      <c r="T710" s="1"/>
    </row>
    <row r="711" ht="15.75" customHeight="1">
      <c r="A711" s="36"/>
      <c r="B711" s="37"/>
      <c r="C711" s="37"/>
      <c r="D711" s="37"/>
      <c r="E711" s="37"/>
      <c r="F711" s="37"/>
      <c r="G711" s="1"/>
      <c r="H711" s="1"/>
      <c r="I711" s="1"/>
      <c r="J711" s="1"/>
      <c r="K711" s="1"/>
      <c r="L711" s="1"/>
      <c r="M711" s="1"/>
      <c r="N711" s="1"/>
      <c r="O711" s="1"/>
      <c r="P711" s="1"/>
      <c r="Q711" s="1"/>
      <c r="R711" s="1"/>
      <c r="S711" s="1"/>
      <c r="T711" s="1"/>
    </row>
    <row r="712" ht="15.75" customHeight="1">
      <c r="A712" s="36"/>
      <c r="B712" s="37"/>
      <c r="C712" s="37"/>
      <c r="D712" s="37"/>
      <c r="E712" s="37"/>
      <c r="F712" s="37"/>
      <c r="G712" s="1"/>
      <c r="H712" s="1"/>
      <c r="I712" s="1"/>
      <c r="J712" s="1"/>
      <c r="K712" s="1"/>
      <c r="L712" s="1"/>
      <c r="M712" s="1"/>
      <c r="N712" s="1"/>
      <c r="O712" s="1"/>
      <c r="P712" s="1"/>
      <c r="Q712" s="1"/>
      <c r="R712" s="1"/>
      <c r="S712" s="1"/>
      <c r="T712" s="1"/>
    </row>
    <row r="713" ht="15.75" customHeight="1">
      <c r="A713" s="36"/>
      <c r="B713" s="37"/>
      <c r="C713" s="37"/>
      <c r="D713" s="37"/>
      <c r="E713" s="37"/>
      <c r="F713" s="37"/>
      <c r="G713" s="1"/>
      <c r="H713" s="1"/>
      <c r="I713" s="1"/>
      <c r="J713" s="1"/>
      <c r="K713" s="1"/>
      <c r="L713" s="1"/>
      <c r="M713" s="1"/>
      <c r="N713" s="1"/>
      <c r="O713" s="1"/>
      <c r="P713" s="1"/>
      <c r="Q713" s="1"/>
      <c r="R713" s="1"/>
      <c r="S713" s="1"/>
      <c r="T713" s="1"/>
    </row>
    <row r="714" ht="15.75" customHeight="1">
      <c r="A714" s="36"/>
      <c r="B714" s="37"/>
      <c r="C714" s="37"/>
      <c r="D714" s="37"/>
      <c r="E714" s="37"/>
      <c r="F714" s="37"/>
      <c r="G714" s="1"/>
      <c r="H714" s="1"/>
      <c r="I714" s="1"/>
      <c r="J714" s="1"/>
      <c r="K714" s="1"/>
      <c r="L714" s="1"/>
      <c r="M714" s="1"/>
      <c r="N714" s="1"/>
      <c r="O714" s="1"/>
      <c r="P714" s="1"/>
      <c r="Q714" s="1"/>
      <c r="R714" s="1"/>
      <c r="S714" s="1"/>
      <c r="T714" s="1"/>
    </row>
    <row r="715" ht="15.75" customHeight="1">
      <c r="A715" s="36"/>
      <c r="B715" s="37"/>
      <c r="C715" s="37"/>
      <c r="D715" s="37"/>
      <c r="E715" s="37"/>
      <c r="F715" s="37"/>
      <c r="G715" s="1"/>
      <c r="H715" s="1"/>
      <c r="I715" s="1"/>
      <c r="J715" s="1"/>
      <c r="K715" s="1"/>
      <c r="L715" s="1"/>
      <c r="M715" s="1"/>
      <c r="N715" s="1"/>
      <c r="O715" s="1"/>
      <c r="P715" s="1"/>
      <c r="Q715" s="1"/>
      <c r="R715" s="1"/>
      <c r="S715" s="1"/>
      <c r="T715" s="1"/>
    </row>
    <row r="716" ht="15.75" customHeight="1">
      <c r="A716" s="36"/>
      <c r="B716" s="37"/>
      <c r="C716" s="37"/>
      <c r="D716" s="37"/>
      <c r="E716" s="37"/>
      <c r="F716" s="37"/>
      <c r="G716" s="1"/>
      <c r="H716" s="1"/>
      <c r="I716" s="1"/>
      <c r="J716" s="1"/>
      <c r="K716" s="1"/>
      <c r="L716" s="1"/>
      <c r="M716" s="1"/>
      <c r="N716" s="1"/>
      <c r="O716" s="1"/>
      <c r="P716" s="1"/>
      <c r="Q716" s="1"/>
      <c r="R716" s="1"/>
      <c r="S716" s="1"/>
      <c r="T716" s="1"/>
    </row>
    <row r="717" ht="15.75" customHeight="1">
      <c r="A717" s="36"/>
      <c r="B717" s="37"/>
      <c r="C717" s="37"/>
      <c r="D717" s="37"/>
      <c r="E717" s="37"/>
      <c r="F717" s="37"/>
      <c r="G717" s="1"/>
      <c r="H717" s="1"/>
      <c r="I717" s="1"/>
      <c r="J717" s="1"/>
      <c r="K717" s="1"/>
      <c r="L717" s="1"/>
      <c r="M717" s="1"/>
      <c r="N717" s="1"/>
      <c r="O717" s="1"/>
      <c r="P717" s="1"/>
      <c r="Q717" s="1"/>
      <c r="R717" s="1"/>
      <c r="S717" s="1"/>
      <c r="T717" s="1"/>
    </row>
    <row r="718" ht="15.75" customHeight="1">
      <c r="A718" s="36"/>
      <c r="B718" s="37"/>
      <c r="C718" s="37"/>
      <c r="D718" s="37"/>
      <c r="E718" s="37"/>
      <c r="F718" s="37"/>
      <c r="G718" s="1"/>
      <c r="H718" s="1"/>
      <c r="I718" s="1"/>
      <c r="J718" s="1"/>
      <c r="K718" s="1"/>
      <c r="L718" s="1"/>
      <c r="M718" s="1"/>
      <c r="N718" s="1"/>
      <c r="O718" s="1"/>
      <c r="P718" s="1"/>
      <c r="Q718" s="1"/>
      <c r="R718" s="1"/>
      <c r="S718" s="1"/>
      <c r="T718" s="1"/>
    </row>
    <row r="719" ht="15.75" customHeight="1">
      <c r="A719" s="36"/>
      <c r="B719" s="37"/>
      <c r="C719" s="37"/>
      <c r="D719" s="37"/>
      <c r="E719" s="37"/>
      <c r="F719" s="37"/>
      <c r="G719" s="1"/>
      <c r="H719" s="1"/>
      <c r="I719" s="1"/>
      <c r="J719" s="1"/>
      <c r="K719" s="1"/>
      <c r="L719" s="1"/>
      <c r="M719" s="1"/>
      <c r="N719" s="1"/>
      <c r="O719" s="1"/>
      <c r="P719" s="1"/>
      <c r="Q719" s="1"/>
      <c r="R719" s="1"/>
      <c r="S719" s="1"/>
      <c r="T719" s="1"/>
    </row>
    <row r="720" ht="15.75" customHeight="1">
      <c r="A720" s="36"/>
      <c r="B720" s="37"/>
      <c r="C720" s="37"/>
      <c r="D720" s="37"/>
      <c r="E720" s="37"/>
      <c r="F720" s="37"/>
      <c r="G720" s="1"/>
      <c r="H720" s="1"/>
      <c r="I720" s="1"/>
      <c r="J720" s="1"/>
      <c r="K720" s="1"/>
      <c r="L720" s="1"/>
      <c r="M720" s="1"/>
      <c r="N720" s="1"/>
      <c r="O720" s="1"/>
      <c r="P720" s="1"/>
      <c r="Q720" s="1"/>
      <c r="R720" s="1"/>
      <c r="S720" s="1"/>
      <c r="T720" s="1"/>
    </row>
    <row r="721" ht="15.75" customHeight="1">
      <c r="A721" s="36"/>
      <c r="B721" s="37"/>
      <c r="C721" s="37"/>
      <c r="D721" s="37"/>
      <c r="E721" s="37"/>
      <c r="F721" s="37"/>
      <c r="G721" s="1"/>
      <c r="H721" s="1"/>
      <c r="I721" s="1"/>
      <c r="J721" s="1"/>
      <c r="K721" s="1"/>
      <c r="L721" s="1"/>
      <c r="M721" s="1"/>
      <c r="N721" s="1"/>
      <c r="O721" s="1"/>
      <c r="P721" s="1"/>
      <c r="Q721" s="1"/>
      <c r="R721" s="1"/>
      <c r="S721" s="1"/>
      <c r="T721" s="1"/>
    </row>
    <row r="722" ht="15.75" customHeight="1">
      <c r="A722" s="36"/>
      <c r="B722" s="37"/>
      <c r="C722" s="37"/>
      <c r="D722" s="37"/>
      <c r="E722" s="37"/>
      <c r="F722" s="37"/>
      <c r="G722" s="1"/>
      <c r="H722" s="1"/>
      <c r="I722" s="1"/>
      <c r="J722" s="1"/>
      <c r="K722" s="1"/>
      <c r="L722" s="1"/>
      <c r="M722" s="1"/>
      <c r="N722" s="1"/>
      <c r="O722" s="1"/>
      <c r="P722" s="1"/>
      <c r="Q722" s="1"/>
      <c r="R722" s="1"/>
      <c r="S722" s="1"/>
      <c r="T722" s="1"/>
    </row>
    <row r="723" ht="15.75" customHeight="1">
      <c r="A723" s="36"/>
      <c r="B723" s="37"/>
      <c r="C723" s="37"/>
      <c r="D723" s="37"/>
      <c r="E723" s="37"/>
      <c r="F723" s="37"/>
      <c r="G723" s="1"/>
      <c r="H723" s="1"/>
      <c r="I723" s="1"/>
      <c r="J723" s="1"/>
      <c r="K723" s="1"/>
      <c r="L723" s="1"/>
      <c r="M723" s="1"/>
      <c r="N723" s="1"/>
      <c r="O723" s="1"/>
      <c r="P723" s="1"/>
      <c r="Q723" s="1"/>
      <c r="R723" s="1"/>
      <c r="S723" s="1"/>
      <c r="T723" s="1"/>
    </row>
    <row r="724" ht="15.75" customHeight="1">
      <c r="A724" s="36"/>
      <c r="B724" s="37"/>
      <c r="C724" s="37"/>
      <c r="D724" s="37"/>
      <c r="E724" s="37"/>
      <c r="F724" s="37"/>
      <c r="G724" s="1"/>
      <c r="H724" s="1"/>
      <c r="I724" s="1"/>
      <c r="J724" s="1"/>
      <c r="K724" s="1"/>
      <c r="L724" s="1"/>
      <c r="M724" s="1"/>
      <c r="N724" s="1"/>
      <c r="O724" s="1"/>
      <c r="P724" s="1"/>
      <c r="Q724" s="1"/>
      <c r="R724" s="1"/>
      <c r="S724" s="1"/>
      <c r="T724" s="1"/>
    </row>
    <row r="725" ht="15.75" customHeight="1">
      <c r="A725" s="36"/>
      <c r="B725" s="37"/>
      <c r="C725" s="37"/>
      <c r="D725" s="37"/>
      <c r="E725" s="37"/>
      <c r="F725" s="37"/>
      <c r="G725" s="1"/>
      <c r="H725" s="1"/>
      <c r="I725" s="1"/>
      <c r="J725" s="1"/>
      <c r="K725" s="1"/>
      <c r="L725" s="1"/>
      <c r="M725" s="1"/>
      <c r="N725" s="1"/>
      <c r="O725" s="1"/>
      <c r="P725" s="1"/>
      <c r="Q725" s="1"/>
      <c r="R725" s="1"/>
      <c r="S725" s="1"/>
      <c r="T725" s="1"/>
    </row>
    <row r="726" ht="15.75" customHeight="1">
      <c r="A726" s="36"/>
      <c r="B726" s="37"/>
      <c r="C726" s="37"/>
      <c r="D726" s="37"/>
      <c r="E726" s="37"/>
      <c r="F726" s="37"/>
      <c r="G726" s="1"/>
      <c r="H726" s="1"/>
      <c r="I726" s="1"/>
      <c r="J726" s="1"/>
      <c r="K726" s="1"/>
      <c r="L726" s="1"/>
      <c r="M726" s="1"/>
      <c r="N726" s="1"/>
      <c r="O726" s="1"/>
      <c r="P726" s="1"/>
      <c r="Q726" s="1"/>
      <c r="R726" s="1"/>
      <c r="S726" s="1"/>
      <c r="T726" s="1"/>
    </row>
    <row r="727" ht="15.75" customHeight="1">
      <c r="A727" s="36"/>
      <c r="B727" s="37"/>
      <c r="C727" s="37"/>
      <c r="D727" s="37"/>
      <c r="E727" s="37"/>
      <c r="F727" s="37"/>
      <c r="G727" s="1"/>
      <c r="H727" s="1"/>
      <c r="I727" s="1"/>
      <c r="J727" s="1"/>
      <c r="K727" s="1"/>
      <c r="L727" s="1"/>
      <c r="M727" s="1"/>
      <c r="N727" s="1"/>
      <c r="O727" s="1"/>
      <c r="P727" s="1"/>
      <c r="Q727" s="1"/>
      <c r="R727" s="1"/>
      <c r="S727" s="1"/>
      <c r="T727" s="1"/>
    </row>
    <row r="728" ht="15.75" customHeight="1">
      <c r="A728" s="36"/>
      <c r="B728" s="37"/>
      <c r="C728" s="37"/>
      <c r="D728" s="37"/>
      <c r="E728" s="37"/>
      <c r="F728" s="37"/>
      <c r="G728" s="1"/>
      <c r="H728" s="1"/>
      <c r="I728" s="1"/>
      <c r="J728" s="1"/>
      <c r="K728" s="1"/>
      <c r="L728" s="1"/>
      <c r="M728" s="1"/>
      <c r="N728" s="1"/>
      <c r="O728" s="1"/>
      <c r="P728" s="1"/>
      <c r="Q728" s="1"/>
      <c r="R728" s="1"/>
      <c r="S728" s="1"/>
      <c r="T728" s="1"/>
    </row>
    <row r="729" ht="15.75" customHeight="1">
      <c r="A729" s="36"/>
      <c r="B729" s="37"/>
      <c r="C729" s="37"/>
      <c r="D729" s="37"/>
      <c r="E729" s="37"/>
      <c r="F729" s="37"/>
      <c r="G729" s="1"/>
      <c r="H729" s="1"/>
      <c r="I729" s="1"/>
      <c r="J729" s="1"/>
      <c r="K729" s="1"/>
      <c r="L729" s="1"/>
      <c r="M729" s="1"/>
      <c r="N729" s="1"/>
      <c r="O729" s="1"/>
      <c r="P729" s="1"/>
      <c r="Q729" s="1"/>
      <c r="R729" s="1"/>
      <c r="S729" s="1"/>
      <c r="T729" s="1"/>
    </row>
    <row r="730" ht="15.75" customHeight="1">
      <c r="A730" s="36"/>
      <c r="B730" s="37"/>
      <c r="C730" s="37"/>
      <c r="D730" s="37"/>
      <c r="E730" s="37"/>
      <c r="F730" s="37"/>
      <c r="G730" s="1"/>
      <c r="H730" s="1"/>
      <c r="I730" s="1"/>
      <c r="J730" s="1"/>
      <c r="K730" s="1"/>
      <c r="L730" s="1"/>
      <c r="M730" s="1"/>
      <c r="N730" s="1"/>
      <c r="O730" s="1"/>
      <c r="P730" s="1"/>
      <c r="Q730" s="1"/>
      <c r="R730" s="1"/>
      <c r="S730" s="1"/>
      <c r="T730" s="1"/>
    </row>
    <row r="731" ht="15.75" customHeight="1">
      <c r="A731" s="36"/>
      <c r="B731" s="37"/>
      <c r="C731" s="37"/>
      <c r="D731" s="37"/>
      <c r="E731" s="37"/>
      <c r="F731" s="37"/>
      <c r="G731" s="1"/>
      <c r="H731" s="1"/>
      <c r="I731" s="1"/>
      <c r="J731" s="1"/>
      <c r="K731" s="1"/>
      <c r="L731" s="1"/>
      <c r="M731" s="1"/>
      <c r="N731" s="1"/>
      <c r="O731" s="1"/>
      <c r="P731" s="1"/>
      <c r="Q731" s="1"/>
      <c r="R731" s="1"/>
      <c r="S731" s="1"/>
      <c r="T731" s="1"/>
    </row>
    <row r="732" ht="15.75" customHeight="1">
      <c r="A732" s="36"/>
      <c r="B732" s="37"/>
      <c r="C732" s="37"/>
      <c r="D732" s="37"/>
      <c r="E732" s="37"/>
      <c r="F732" s="37"/>
      <c r="G732" s="1"/>
      <c r="H732" s="1"/>
      <c r="I732" s="1"/>
      <c r="J732" s="1"/>
      <c r="K732" s="1"/>
      <c r="L732" s="1"/>
      <c r="M732" s="1"/>
      <c r="N732" s="1"/>
      <c r="O732" s="1"/>
      <c r="P732" s="1"/>
      <c r="Q732" s="1"/>
      <c r="R732" s="1"/>
      <c r="S732" s="1"/>
      <c r="T732" s="1"/>
    </row>
    <row r="733" ht="15.75" customHeight="1">
      <c r="A733" s="36"/>
      <c r="B733" s="37"/>
      <c r="C733" s="37"/>
      <c r="D733" s="37"/>
      <c r="E733" s="37"/>
      <c r="F733" s="37"/>
      <c r="G733" s="1"/>
      <c r="H733" s="1"/>
      <c r="I733" s="1"/>
      <c r="J733" s="1"/>
      <c r="K733" s="1"/>
      <c r="L733" s="1"/>
      <c r="M733" s="1"/>
      <c r="N733" s="1"/>
      <c r="O733" s="1"/>
      <c r="P733" s="1"/>
      <c r="Q733" s="1"/>
      <c r="R733" s="1"/>
      <c r="S733" s="1"/>
      <c r="T733" s="1"/>
    </row>
    <row r="734" ht="15.75" customHeight="1">
      <c r="A734" s="36"/>
      <c r="B734" s="37"/>
      <c r="C734" s="37"/>
      <c r="D734" s="37"/>
      <c r="E734" s="37"/>
      <c r="F734" s="37"/>
      <c r="G734" s="1"/>
      <c r="H734" s="1"/>
      <c r="I734" s="1"/>
      <c r="J734" s="1"/>
      <c r="K734" s="1"/>
      <c r="L734" s="1"/>
      <c r="M734" s="1"/>
      <c r="N734" s="1"/>
      <c r="O734" s="1"/>
      <c r="P734" s="1"/>
      <c r="Q734" s="1"/>
      <c r="R734" s="1"/>
      <c r="S734" s="1"/>
      <c r="T734" s="1"/>
    </row>
    <row r="735" ht="15.75" customHeight="1">
      <c r="A735" s="36"/>
      <c r="B735" s="37"/>
      <c r="C735" s="37"/>
      <c r="D735" s="37"/>
      <c r="E735" s="37"/>
      <c r="F735" s="37"/>
      <c r="G735" s="1"/>
      <c r="H735" s="1"/>
      <c r="I735" s="1"/>
      <c r="J735" s="1"/>
      <c r="K735" s="1"/>
      <c r="L735" s="1"/>
      <c r="M735" s="1"/>
      <c r="N735" s="1"/>
      <c r="O735" s="1"/>
      <c r="P735" s="1"/>
      <c r="Q735" s="1"/>
      <c r="R735" s="1"/>
      <c r="S735" s="1"/>
      <c r="T735" s="1"/>
    </row>
    <row r="736" ht="15.75" customHeight="1">
      <c r="A736" s="36"/>
      <c r="B736" s="37"/>
      <c r="C736" s="37"/>
      <c r="D736" s="37"/>
      <c r="E736" s="37"/>
      <c r="F736" s="37"/>
      <c r="G736" s="1"/>
      <c r="H736" s="1"/>
      <c r="I736" s="1"/>
      <c r="J736" s="1"/>
      <c r="K736" s="1"/>
      <c r="L736" s="1"/>
      <c r="M736" s="1"/>
      <c r="N736" s="1"/>
      <c r="O736" s="1"/>
      <c r="P736" s="1"/>
      <c r="Q736" s="1"/>
      <c r="R736" s="1"/>
      <c r="S736" s="1"/>
      <c r="T736" s="1"/>
    </row>
    <row r="737" ht="15.75" customHeight="1">
      <c r="A737" s="36"/>
      <c r="B737" s="37"/>
      <c r="C737" s="37"/>
      <c r="D737" s="37"/>
      <c r="E737" s="37"/>
      <c r="F737" s="37"/>
      <c r="G737" s="1"/>
      <c r="H737" s="1"/>
      <c r="I737" s="1"/>
      <c r="J737" s="1"/>
      <c r="K737" s="1"/>
      <c r="L737" s="1"/>
      <c r="M737" s="1"/>
      <c r="N737" s="1"/>
      <c r="O737" s="1"/>
      <c r="P737" s="1"/>
      <c r="Q737" s="1"/>
      <c r="R737" s="1"/>
      <c r="S737" s="1"/>
      <c r="T737" s="1"/>
    </row>
    <row r="738" ht="15.75" customHeight="1">
      <c r="A738" s="36"/>
      <c r="B738" s="37"/>
      <c r="C738" s="37"/>
      <c r="D738" s="37"/>
      <c r="E738" s="37"/>
      <c r="F738" s="37"/>
      <c r="G738" s="1"/>
      <c r="H738" s="1"/>
      <c r="I738" s="1"/>
      <c r="J738" s="1"/>
      <c r="K738" s="1"/>
      <c r="L738" s="1"/>
      <c r="M738" s="1"/>
      <c r="N738" s="1"/>
      <c r="O738" s="1"/>
      <c r="P738" s="1"/>
      <c r="Q738" s="1"/>
      <c r="R738" s="1"/>
      <c r="S738" s="1"/>
      <c r="T738" s="1"/>
    </row>
    <row r="739" ht="15.75" customHeight="1">
      <c r="A739" s="36"/>
      <c r="B739" s="37"/>
      <c r="C739" s="37"/>
      <c r="D739" s="37"/>
      <c r="E739" s="37"/>
      <c r="F739" s="37"/>
      <c r="G739" s="1"/>
      <c r="H739" s="1"/>
      <c r="I739" s="1"/>
      <c r="J739" s="1"/>
      <c r="K739" s="1"/>
      <c r="L739" s="1"/>
      <c r="M739" s="1"/>
      <c r="N739" s="1"/>
      <c r="O739" s="1"/>
      <c r="P739" s="1"/>
      <c r="Q739" s="1"/>
      <c r="R739" s="1"/>
      <c r="S739" s="1"/>
      <c r="T739" s="1"/>
    </row>
    <row r="740" ht="15.75" customHeight="1">
      <c r="A740" s="36"/>
      <c r="B740" s="37"/>
      <c r="C740" s="37"/>
      <c r="D740" s="37"/>
      <c r="E740" s="37"/>
      <c r="F740" s="37"/>
      <c r="G740" s="1"/>
      <c r="H740" s="1"/>
      <c r="I740" s="1"/>
      <c r="J740" s="1"/>
      <c r="K740" s="1"/>
      <c r="L740" s="1"/>
      <c r="M740" s="1"/>
      <c r="N740" s="1"/>
      <c r="O740" s="1"/>
      <c r="P740" s="1"/>
      <c r="Q740" s="1"/>
      <c r="R740" s="1"/>
      <c r="S740" s="1"/>
      <c r="T740" s="1"/>
    </row>
    <row r="741" ht="15.75" customHeight="1">
      <c r="A741" s="36"/>
      <c r="B741" s="37"/>
      <c r="C741" s="37"/>
      <c r="D741" s="37"/>
      <c r="E741" s="37"/>
      <c r="F741" s="37"/>
      <c r="G741" s="1"/>
      <c r="H741" s="1"/>
      <c r="I741" s="1"/>
      <c r="J741" s="1"/>
      <c r="K741" s="1"/>
      <c r="L741" s="1"/>
      <c r="M741" s="1"/>
      <c r="N741" s="1"/>
      <c r="O741" s="1"/>
      <c r="P741" s="1"/>
      <c r="Q741" s="1"/>
      <c r="R741" s="1"/>
      <c r="S741" s="1"/>
      <c r="T741" s="1"/>
    </row>
    <row r="742" ht="15.75" customHeight="1">
      <c r="A742" s="36"/>
      <c r="B742" s="37"/>
      <c r="C742" s="37"/>
      <c r="D742" s="37"/>
      <c r="E742" s="37"/>
      <c r="F742" s="37"/>
      <c r="G742" s="1"/>
      <c r="H742" s="1"/>
      <c r="I742" s="1"/>
      <c r="J742" s="1"/>
      <c r="K742" s="1"/>
      <c r="L742" s="1"/>
      <c r="M742" s="1"/>
      <c r="N742" s="1"/>
      <c r="O742" s="1"/>
      <c r="P742" s="1"/>
      <c r="Q742" s="1"/>
      <c r="R742" s="1"/>
      <c r="S742" s="1"/>
      <c r="T742" s="1"/>
    </row>
    <row r="743" ht="15.75" customHeight="1">
      <c r="A743" s="36"/>
      <c r="B743" s="37"/>
      <c r="C743" s="37"/>
      <c r="D743" s="37"/>
      <c r="E743" s="37"/>
      <c r="F743" s="37"/>
      <c r="G743" s="1"/>
      <c r="H743" s="1"/>
      <c r="I743" s="1"/>
      <c r="J743" s="1"/>
      <c r="K743" s="1"/>
      <c r="L743" s="1"/>
      <c r="M743" s="1"/>
      <c r="N743" s="1"/>
      <c r="O743" s="1"/>
      <c r="P743" s="1"/>
      <c r="Q743" s="1"/>
      <c r="R743" s="1"/>
      <c r="S743" s="1"/>
      <c r="T743" s="1"/>
    </row>
    <row r="744" ht="15.75" customHeight="1">
      <c r="A744" s="36"/>
      <c r="B744" s="37"/>
      <c r="C744" s="37"/>
      <c r="D744" s="37"/>
      <c r="E744" s="37"/>
      <c r="F744" s="37"/>
      <c r="G744" s="1"/>
      <c r="H744" s="1"/>
      <c r="I744" s="1"/>
      <c r="J744" s="1"/>
      <c r="K744" s="1"/>
      <c r="L744" s="1"/>
      <c r="M744" s="1"/>
      <c r="N744" s="1"/>
      <c r="O744" s="1"/>
      <c r="P744" s="1"/>
      <c r="Q744" s="1"/>
      <c r="R744" s="1"/>
      <c r="S744" s="1"/>
      <c r="T744" s="1"/>
    </row>
    <row r="745" ht="15.75" customHeight="1">
      <c r="A745" s="36"/>
      <c r="B745" s="37"/>
      <c r="C745" s="37"/>
      <c r="D745" s="37"/>
      <c r="E745" s="37"/>
      <c r="F745" s="37"/>
      <c r="G745" s="1"/>
      <c r="H745" s="1"/>
      <c r="I745" s="1"/>
      <c r="J745" s="1"/>
      <c r="K745" s="1"/>
      <c r="L745" s="1"/>
      <c r="M745" s="1"/>
      <c r="N745" s="1"/>
      <c r="O745" s="1"/>
      <c r="P745" s="1"/>
      <c r="Q745" s="1"/>
      <c r="R745" s="1"/>
      <c r="S745" s="1"/>
      <c r="T745" s="1"/>
    </row>
    <row r="746" ht="15.75" customHeight="1">
      <c r="A746" s="36"/>
      <c r="B746" s="37"/>
      <c r="C746" s="37"/>
      <c r="D746" s="37"/>
      <c r="E746" s="37"/>
      <c r="F746" s="37"/>
      <c r="G746" s="1"/>
      <c r="H746" s="1"/>
      <c r="I746" s="1"/>
      <c r="J746" s="1"/>
      <c r="K746" s="1"/>
      <c r="L746" s="1"/>
      <c r="M746" s="1"/>
      <c r="N746" s="1"/>
      <c r="O746" s="1"/>
      <c r="P746" s="1"/>
      <c r="Q746" s="1"/>
      <c r="R746" s="1"/>
      <c r="S746" s="1"/>
      <c r="T746" s="1"/>
    </row>
    <row r="747" ht="15.75" customHeight="1">
      <c r="A747" s="36"/>
      <c r="B747" s="37"/>
      <c r="C747" s="37"/>
      <c r="D747" s="37"/>
      <c r="E747" s="37"/>
      <c r="F747" s="37"/>
      <c r="G747" s="1"/>
      <c r="H747" s="1"/>
      <c r="I747" s="1"/>
      <c r="J747" s="1"/>
      <c r="K747" s="1"/>
      <c r="L747" s="1"/>
      <c r="M747" s="1"/>
      <c r="N747" s="1"/>
      <c r="O747" s="1"/>
      <c r="P747" s="1"/>
      <c r="Q747" s="1"/>
      <c r="R747" s="1"/>
      <c r="S747" s="1"/>
      <c r="T747" s="1"/>
    </row>
    <row r="748" ht="15.75" customHeight="1">
      <c r="A748" s="36"/>
      <c r="B748" s="37"/>
      <c r="C748" s="37"/>
      <c r="D748" s="37"/>
      <c r="E748" s="37"/>
      <c r="F748" s="37"/>
      <c r="G748" s="1"/>
      <c r="H748" s="1"/>
      <c r="I748" s="1"/>
      <c r="J748" s="1"/>
      <c r="K748" s="1"/>
      <c r="L748" s="1"/>
      <c r="M748" s="1"/>
      <c r="N748" s="1"/>
      <c r="O748" s="1"/>
      <c r="P748" s="1"/>
      <c r="Q748" s="1"/>
      <c r="R748" s="1"/>
      <c r="S748" s="1"/>
      <c r="T748" s="1"/>
    </row>
    <row r="749" ht="15.75" customHeight="1">
      <c r="A749" s="36"/>
      <c r="B749" s="37"/>
      <c r="C749" s="37"/>
      <c r="D749" s="37"/>
      <c r="E749" s="37"/>
      <c r="F749" s="37"/>
      <c r="G749" s="1"/>
      <c r="H749" s="1"/>
      <c r="I749" s="1"/>
      <c r="J749" s="1"/>
      <c r="K749" s="1"/>
      <c r="L749" s="1"/>
      <c r="M749" s="1"/>
      <c r="N749" s="1"/>
      <c r="O749" s="1"/>
      <c r="P749" s="1"/>
      <c r="Q749" s="1"/>
      <c r="R749" s="1"/>
      <c r="S749" s="1"/>
      <c r="T749" s="1"/>
    </row>
    <row r="750" ht="15.75" customHeight="1">
      <c r="A750" s="36"/>
      <c r="B750" s="37"/>
      <c r="C750" s="37"/>
      <c r="D750" s="37"/>
      <c r="E750" s="37"/>
      <c r="F750" s="37"/>
      <c r="G750" s="1"/>
      <c r="H750" s="1"/>
      <c r="I750" s="1"/>
      <c r="J750" s="1"/>
      <c r="K750" s="1"/>
      <c r="L750" s="1"/>
      <c r="M750" s="1"/>
      <c r="N750" s="1"/>
      <c r="O750" s="1"/>
      <c r="P750" s="1"/>
      <c r="Q750" s="1"/>
      <c r="R750" s="1"/>
      <c r="S750" s="1"/>
      <c r="T750" s="1"/>
    </row>
    <row r="751" ht="15.75" customHeight="1">
      <c r="A751" s="36"/>
      <c r="B751" s="37"/>
      <c r="C751" s="37"/>
      <c r="D751" s="37"/>
      <c r="E751" s="37"/>
      <c r="F751" s="37"/>
      <c r="G751" s="1"/>
      <c r="H751" s="1"/>
      <c r="I751" s="1"/>
      <c r="J751" s="1"/>
      <c r="K751" s="1"/>
      <c r="L751" s="1"/>
      <c r="M751" s="1"/>
      <c r="N751" s="1"/>
      <c r="O751" s="1"/>
      <c r="P751" s="1"/>
      <c r="Q751" s="1"/>
      <c r="R751" s="1"/>
      <c r="S751" s="1"/>
      <c r="T751" s="1"/>
    </row>
    <row r="752" ht="15.75" customHeight="1">
      <c r="A752" s="36"/>
      <c r="B752" s="37"/>
      <c r="C752" s="37"/>
      <c r="D752" s="37"/>
      <c r="E752" s="37"/>
      <c r="F752" s="37"/>
      <c r="G752" s="1"/>
      <c r="H752" s="1"/>
      <c r="I752" s="1"/>
      <c r="J752" s="1"/>
      <c r="K752" s="1"/>
      <c r="L752" s="1"/>
      <c r="M752" s="1"/>
      <c r="N752" s="1"/>
      <c r="O752" s="1"/>
      <c r="P752" s="1"/>
      <c r="Q752" s="1"/>
      <c r="R752" s="1"/>
      <c r="S752" s="1"/>
      <c r="T752" s="1"/>
    </row>
    <row r="753" ht="15.75" customHeight="1">
      <c r="A753" s="36"/>
      <c r="B753" s="37"/>
      <c r="C753" s="37"/>
      <c r="D753" s="37"/>
      <c r="E753" s="37"/>
      <c r="F753" s="37"/>
      <c r="G753" s="1"/>
      <c r="H753" s="1"/>
      <c r="I753" s="1"/>
      <c r="J753" s="1"/>
      <c r="K753" s="1"/>
      <c r="L753" s="1"/>
      <c r="M753" s="1"/>
      <c r="N753" s="1"/>
      <c r="O753" s="1"/>
      <c r="P753" s="1"/>
      <c r="Q753" s="1"/>
      <c r="R753" s="1"/>
      <c r="S753" s="1"/>
      <c r="T753" s="1"/>
    </row>
    <row r="754" ht="15.75" customHeight="1">
      <c r="A754" s="36"/>
      <c r="B754" s="37"/>
      <c r="C754" s="37"/>
      <c r="D754" s="37"/>
      <c r="E754" s="37"/>
      <c r="F754" s="37"/>
      <c r="G754" s="1"/>
      <c r="H754" s="1"/>
      <c r="I754" s="1"/>
      <c r="J754" s="1"/>
      <c r="K754" s="1"/>
      <c r="L754" s="1"/>
      <c r="M754" s="1"/>
      <c r="N754" s="1"/>
      <c r="O754" s="1"/>
      <c r="P754" s="1"/>
      <c r="Q754" s="1"/>
      <c r="R754" s="1"/>
      <c r="S754" s="1"/>
      <c r="T754" s="1"/>
    </row>
    <row r="755" ht="15.75" customHeight="1">
      <c r="A755" s="36"/>
      <c r="B755" s="37"/>
      <c r="C755" s="37"/>
      <c r="D755" s="37"/>
      <c r="E755" s="37"/>
      <c r="F755" s="37"/>
      <c r="G755" s="1"/>
      <c r="H755" s="1"/>
      <c r="I755" s="1"/>
      <c r="J755" s="1"/>
      <c r="K755" s="1"/>
      <c r="L755" s="1"/>
      <c r="M755" s="1"/>
      <c r="N755" s="1"/>
      <c r="O755" s="1"/>
      <c r="P755" s="1"/>
      <c r="Q755" s="1"/>
      <c r="R755" s="1"/>
      <c r="S755" s="1"/>
      <c r="T755" s="1"/>
    </row>
    <row r="756" ht="15.75" customHeight="1">
      <c r="A756" s="36"/>
      <c r="B756" s="37"/>
      <c r="C756" s="37"/>
      <c r="D756" s="37"/>
      <c r="E756" s="37"/>
      <c r="F756" s="37"/>
      <c r="G756" s="1"/>
      <c r="H756" s="1"/>
      <c r="I756" s="1"/>
      <c r="J756" s="1"/>
      <c r="K756" s="1"/>
      <c r="L756" s="1"/>
      <c r="M756" s="1"/>
      <c r="N756" s="1"/>
      <c r="O756" s="1"/>
      <c r="P756" s="1"/>
      <c r="Q756" s="1"/>
      <c r="R756" s="1"/>
      <c r="S756" s="1"/>
      <c r="T756" s="1"/>
    </row>
    <row r="757" ht="15.75" customHeight="1">
      <c r="A757" s="36"/>
      <c r="B757" s="37"/>
      <c r="C757" s="37"/>
      <c r="D757" s="37"/>
      <c r="E757" s="37"/>
      <c r="F757" s="37"/>
      <c r="G757" s="1"/>
      <c r="H757" s="1"/>
      <c r="I757" s="1"/>
      <c r="J757" s="1"/>
      <c r="K757" s="1"/>
      <c r="L757" s="1"/>
      <c r="M757" s="1"/>
      <c r="N757" s="1"/>
      <c r="O757" s="1"/>
      <c r="P757" s="1"/>
      <c r="Q757" s="1"/>
      <c r="R757" s="1"/>
      <c r="S757" s="1"/>
      <c r="T757" s="1"/>
    </row>
    <row r="758" ht="15.75" customHeight="1">
      <c r="A758" s="36"/>
      <c r="B758" s="37"/>
      <c r="C758" s="37"/>
      <c r="D758" s="37"/>
      <c r="E758" s="37"/>
      <c r="F758" s="37"/>
      <c r="G758" s="1"/>
      <c r="H758" s="1"/>
      <c r="I758" s="1"/>
      <c r="J758" s="1"/>
      <c r="K758" s="1"/>
      <c r="L758" s="1"/>
      <c r="M758" s="1"/>
      <c r="N758" s="1"/>
      <c r="O758" s="1"/>
      <c r="P758" s="1"/>
      <c r="Q758" s="1"/>
      <c r="R758" s="1"/>
      <c r="S758" s="1"/>
      <c r="T758" s="1"/>
    </row>
    <row r="759" ht="15.75" customHeight="1">
      <c r="A759" s="36"/>
      <c r="B759" s="37"/>
      <c r="C759" s="37"/>
      <c r="D759" s="37"/>
      <c r="E759" s="37"/>
      <c r="F759" s="37"/>
      <c r="G759" s="1"/>
      <c r="H759" s="1"/>
      <c r="I759" s="1"/>
      <c r="J759" s="1"/>
      <c r="K759" s="1"/>
      <c r="L759" s="1"/>
      <c r="M759" s="1"/>
      <c r="N759" s="1"/>
      <c r="O759" s="1"/>
      <c r="P759" s="1"/>
      <c r="Q759" s="1"/>
      <c r="R759" s="1"/>
      <c r="S759" s="1"/>
      <c r="T759" s="1"/>
    </row>
    <row r="760" ht="15.75" customHeight="1">
      <c r="A760" s="36"/>
      <c r="B760" s="37"/>
      <c r="C760" s="37"/>
      <c r="D760" s="37"/>
      <c r="E760" s="37"/>
      <c r="F760" s="37"/>
      <c r="G760" s="1"/>
      <c r="H760" s="1"/>
      <c r="I760" s="1"/>
      <c r="J760" s="1"/>
      <c r="K760" s="1"/>
      <c r="L760" s="1"/>
      <c r="M760" s="1"/>
      <c r="N760" s="1"/>
      <c r="O760" s="1"/>
      <c r="P760" s="1"/>
      <c r="Q760" s="1"/>
      <c r="R760" s="1"/>
      <c r="S760" s="1"/>
      <c r="T760" s="1"/>
    </row>
    <row r="761" ht="15.75" customHeight="1">
      <c r="A761" s="36"/>
      <c r="B761" s="37"/>
      <c r="C761" s="37"/>
      <c r="D761" s="37"/>
      <c r="E761" s="37"/>
      <c r="F761" s="37"/>
      <c r="G761" s="1"/>
      <c r="H761" s="1"/>
      <c r="I761" s="1"/>
      <c r="J761" s="1"/>
      <c r="K761" s="1"/>
      <c r="L761" s="1"/>
      <c r="M761" s="1"/>
      <c r="N761" s="1"/>
      <c r="O761" s="1"/>
      <c r="P761" s="1"/>
      <c r="Q761" s="1"/>
      <c r="R761" s="1"/>
      <c r="S761" s="1"/>
      <c r="T761" s="1"/>
    </row>
    <row r="762" ht="15.75" customHeight="1">
      <c r="A762" s="36"/>
      <c r="B762" s="37"/>
      <c r="C762" s="37"/>
      <c r="D762" s="37"/>
      <c r="E762" s="37"/>
      <c r="F762" s="37"/>
      <c r="G762" s="1"/>
      <c r="H762" s="1"/>
      <c r="I762" s="1"/>
      <c r="J762" s="1"/>
      <c r="K762" s="1"/>
      <c r="L762" s="1"/>
      <c r="M762" s="1"/>
      <c r="N762" s="1"/>
      <c r="O762" s="1"/>
      <c r="P762" s="1"/>
      <c r="Q762" s="1"/>
      <c r="R762" s="1"/>
      <c r="S762" s="1"/>
      <c r="T762" s="1"/>
    </row>
    <row r="763" ht="15.75" customHeight="1">
      <c r="A763" s="36"/>
      <c r="B763" s="37"/>
      <c r="C763" s="37"/>
      <c r="D763" s="37"/>
      <c r="E763" s="37"/>
      <c r="F763" s="37"/>
      <c r="G763" s="1"/>
      <c r="H763" s="1"/>
      <c r="I763" s="1"/>
      <c r="J763" s="1"/>
      <c r="K763" s="1"/>
      <c r="L763" s="1"/>
      <c r="M763" s="1"/>
      <c r="N763" s="1"/>
      <c r="O763" s="1"/>
      <c r="P763" s="1"/>
      <c r="Q763" s="1"/>
      <c r="R763" s="1"/>
      <c r="S763" s="1"/>
      <c r="T763" s="1"/>
    </row>
    <row r="764" ht="15.75" customHeight="1">
      <c r="A764" s="36"/>
      <c r="B764" s="37"/>
      <c r="C764" s="37"/>
      <c r="D764" s="37"/>
      <c r="E764" s="37"/>
      <c r="F764" s="37"/>
      <c r="G764" s="1"/>
      <c r="H764" s="1"/>
      <c r="I764" s="1"/>
      <c r="J764" s="1"/>
      <c r="K764" s="1"/>
      <c r="L764" s="1"/>
      <c r="M764" s="1"/>
      <c r="N764" s="1"/>
      <c r="O764" s="1"/>
      <c r="P764" s="1"/>
      <c r="Q764" s="1"/>
      <c r="R764" s="1"/>
      <c r="S764" s="1"/>
      <c r="T764" s="1"/>
    </row>
    <row r="765" ht="15.75" customHeight="1">
      <c r="A765" s="36"/>
      <c r="B765" s="37"/>
      <c r="C765" s="37"/>
      <c r="D765" s="37"/>
      <c r="E765" s="37"/>
      <c r="F765" s="37"/>
      <c r="G765" s="1"/>
      <c r="H765" s="1"/>
      <c r="I765" s="1"/>
      <c r="J765" s="1"/>
      <c r="K765" s="1"/>
      <c r="L765" s="1"/>
      <c r="M765" s="1"/>
      <c r="N765" s="1"/>
      <c r="O765" s="1"/>
      <c r="P765" s="1"/>
      <c r="Q765" s="1"/>
      <c r="R765" s="1"/>
      <c r="S765" s="1"/>
      <c r="T765" s="1"/>
    </row>
    <row r="766" ht="15.75" customHeight="1">
      <c r="A766" s="36"/>
      <c r="B766" s="37"/>
      <c r="C766" s="37"/>
      <c r="D766" s="37"/>
      <c r="E766" s="37"/>
      <c r="F766" s="37"/>
      <c r="G766" s="1"/>
      <c r="H766" s="1"/>
      <c r="I766" s="1"/>
      <c r="J766" s="1"/>
      <c r="K766" s="1"/>
      <c r="L766" s="1"/>
      <c r="M766" s="1"/>
      <c r="N766" s="1"/>
      <c r="O766" s="1"/>
      <c r="P766" s="1"/>
      <c r="Q766" s="1"/>
      <c r="R766" s="1"/>
      <c r="S766" s="1"/>
      <c r="T766" s="1"/>
    </row>
    <row r="767" ht="15.75" customHeight="1">
      <c r="A767" s="36"/>
      <c r="B767" s="37"/>
      <c r="C767" s="37"/>
      <c r="D767" s="37"/>
      <c r="E767" s="37"/>
      <c r="F767" s="37"/>
      <c r="G767" s="1"/>
      <c r="H767" s="1"/>
      <c r="I767" s="1"/>
      <c r="J767" s="1"/>
      <c r="K767" s="1"/>
      <c r="L767" s="1"/>
      <c r="M767" s="1"/>
      <c r="N767" s="1"/>
      <c r="O767" s="1"/>
      <c r="P767" s="1"/>
      <c r="Q767" s="1"/>
      <c r="R767" s="1"/>
      <c r="S767" s="1"/>
      <c r="T767" s="1"/>
    </row>
    <row r="768" ht="15.75" customHeight="1">
      <c r="A768" s="36"/>
      <c r="B768" s="37"/>
      <c r="C768" s="37"/>
      <c r="D768" s="37"/>
      <c r="E768" s="37"/>
      <c r="F768" s="37"/>
      <c r="G768" s="1"/>
      <c r="H768" s="1"/>
      <c r="I768" s="1"/>
      <c r="J768" s="1"/>
      <c r="K768" s="1"/>
      <c r="L768" s="1"/>
      <c r="M768" s="1"/>
      <c r="N768" s="1"/>
      <c r="O768" s="1"/>
      <c r="P768" s="1"/>
      <c r="Q768" s="1"/>
      <c r="R768" s="1"/>
      <c r="S768" s="1"/>
      <c r="T768" s="1"/>
    </row>
    <row r="769" ht="15.75" customHeight="1">
      <c r="A769" s="36"/>
      <c r="B769" s="37"/>
      <c r="C769" s="37"/>
      <c r="D769" s="37"/>
      <c r="E769" s="37"/>
      <c r="F769" s="37"/>
      <c r="G769" s="1"/>
      <c r="H769" s="1"/>
      <c r="I769" s="1"/>
      <c r="J769" s="1"/>
      <c r="K769" s="1"/>
      <c r="L769" s="1"/>
      <c r="M769" s="1"/>
      <c r="N769" s="1"/>
      <c r="O769" s="1"/>
      <c r="P769" s="1"/>
      <c r="Q769" s="1"/>
      <c r="R769" s="1"/>
      <c r="S769" s="1"/>
      <c r="T769" s="1"/>
    </row>
    <row r="770" ht="15.75" customHeight="1">
      <c r="A770" s="36"/>
      <c r="B770" s="37"/>
      <c r="C770" s="37"/>
      <c r="D770" s="37"/>
      <c r="E770" s="37"/>
      <c r="F770" s="37"/>
      <c r="G770" s="1"/>
      <c r="H770" s="1"/>
      <c r="I770" s="1"/>
      <c r="J770" s="1"/>
      <c r="K770" s="1"/>
      <c r="L770" s="1"/>
      <c r="M770" s="1"/>
      <c r="N770" s="1"/>
      <c r="O770" s="1"/>
      <c r="P770" s="1"/>
      <c r="Q770" s="1"/>
      <c r="R770" s="1"/>
      <c r="S770" s="1"/>
      <c r="T770" s="1"/>
    </row>
    <row r="771" ht="15.75" customHeight="1">
      <c r="A771" s="36"/>
      <c r="B771" s="37"/>
      <c r="C771" s="37"/>
      <c r="D771" s="37"/>
      <c r="E771" s="37"/>
      <c r="F771" s="37"/>
      <c r="G771" s="1"/>
      <c r="H771" s="1"/>
      <c r="I771" s="1"/>
      <c r="J771" s="1"/>
      <c r="K771" s="1"/>
      <c r="L771" s="1"/>
      <c r="M771" s="1"/>
      <c r="N771" s="1"/>
      <c r="O771" s="1"/>
      <c r="P771" s="1"/>
      <c r="Q771" s="1"/>
      <c r="R771" s="1"/>
      <c r="S771" s="1"/>
      <c r="T771" s="1"/>
    </row>
    <row r="772" ht="15.75" customHeight="1">
      <c r="A772" s="36"/>
      <c r="B772" s="37"/>
      <c r="C772" s="37"/>
      <c r="D772" s="37"/>
      <c r="E772" s="37"/>
      <c r="F772" s="37"/>
      <c r="G772" s="1"/>
      <c r="H772" s="1"/>
      <c r="I772" s="1"/>
      <c r="J772" s="1"/>
      <c r="K772" s="1"/>
      <c r="L772" s="1"/>
      <c r="M772" s="1"/>
      <c r="N772" s="1"/>
      <c r="O772" s="1"/>
      <c r="P772" s="1"/>
      <c r="Q772" s="1"/>
      <c r="R772" s="1"/>
      <c r="S772" s="1"/>
      <c r="T772" s="1"/>
    </row>
    <row r="773" ht="15.75" customHeight="1">
      <c r="A773" s="36"/>
      <c r="B773" s="37"/>
      <c r="C773" s="37"/>
      <c r="D773" s="37"/>
      <c r="E773" s="37"/>
      <c r="F773" s="37"/>
      <c r="G773" s="1"/>
      <c r="H773" s="1"/>
      <c r="I773" s="1"/>
      <c r="J773" s="1"/>
      <c r="K773" s="1"/>
      <c r="L773" s="1"/>
      <c r="M773" s="1"/>
      <c r="N773" s="1"/>
      <c r="O773" s="1"/>
      <c r="P773" s="1"/>
      <c r="Q773" s="1"/>
      <c r="R773" s="1"/>
      <c r="S773" s="1"/>
      <c r="T773" s="1"/>
    </row>
    <row r="774" ht="15.75" customHeight="1">
      <c r="A774" s="36"/>
      <c r="B774" s="37"/>
      <c r="C774" s="37"/>
      <c r="D774" s="37"/>
      <c r="E774" s="37"/>
      <c r="F774" s="37"/>
      <c r="G774" s="1"/>
      <c r="H774" s="1"/>
      <c r="I774" s="1"/>
      <c r="J774" s="1"/>
      <c r="K774" s="1"/>
      <c r="L774" s="1"/>
      <c r="M774" s="1"/>
      <c r="N774" s="1"/>
      <c r="O774" s="1"/>
      <c r="P774" s="1"/>
      <c r="Q774" s="1"/>
      <c r="R774" s="1"/>
      <c r="S774" s="1"/>
      <c r="T774" s="1"/>
    </row>
    <row r="775" ht="15.75" customHeight="1">
      <c r="A775" s="36"/>
      <c r="B775" s="37"/>
      <c r="C775" s="37"/>
      <c r="D775" s="37"/>
      <c r="E775" s="37"/>
      <c r="F775" s="37"/>
      <c r="G775" s="1"/>
      <c r="H775" s="1"/>
      <c r="I775" s="1"/>
      <c r="J775" s="1"/>
      <c r="K775" s="1"/>
      <c r="L775" s="1"/>
      <c r="M775" s="1"/>
      <c r="N775" s="1"/>
      <c r="O775" s="1"/>
      <c r="P775" s="1"/>
      <c r="Q775" s="1"/>
      <c r="R775" s="1"/>
      <c r="S775" s="1"/>
      <c r="T775" s="1"/>
    </row>
    <row r="776" ht="15.75" customHeight="1">
      <c r="A776" s="36"/>
      <c r="B776" s="37"/>
      <c r="C776" s="37"/>
      <c r="D776" s="37"/>
      <c r="E776" s="37"/>
      <c r="F776" s="37"/>
      <c r="G776" s="1"/>
      <c r="H776" s="1"/>
      <c r="I776" s="1"/>
      <c r="J776" s="1"/>
      <c r="K776" s="1"/>
      <c r="L776" s="1"/>
      <c r="M776" s="1"/>
      <c r="N776" s="1"/>
      <c r="O776" s="1"/>
      <c r="P776" s="1"/>
      <c r="Q776" s="1"/>
      <c r="R776" s="1"/>
      <c r="S776" s="1"/>
      <c r="T776" s="1"/>
    </row>
    <row r="777" ht="15.75" customHeight="1">
      <c r="A777" s="36"/>
      <c r="B777" s="37"/>
      <c r="C777" s="37"/>
      <c r="D777" s="37"/>
      <c r="E777" s="37"/>
      <c r="F777" s="37"/>
      <c r="G777" s="1"/>
      <c r="H777" s="1"/>
      <c r="I777" s="1"/>
      <c r="J777" s="1"/>
      <c r="K777" s="1"/>
      <c r="L777" s="1"/>
      <c r="M777" s="1"/>
      <c r="N777" s="1"/>
      <c r="O777" s="1"/>
      <c r="P777" s="1"/>
      <c r="Q777" s="1"/>
      <c r="R777" s="1"/>
      <c r="S777" s="1"/>
      <c r="T777" s="1"/>
    </row>
    <row r="778" ht="15.75" customHeight="1">
      <c r="A778" s="36"/>
      <c r="B778" s="37"/>
      <c r="C778" s="37"/>
      <c r="D778" s="37"/>
      <c r="E778" s="37"/>
      <c r="F778" s="37"/>
      <c r="G778" s="1"/>
      <c r="H778" s="1"/>
      <c r="I778" s="1"/>
      <c r="J778" s="1"/>
      <c r="K778" s="1"/>
      <c r="L778" s="1"/>
      <c r="M778" s="1"/>
      <c r="N778" s="1"/>
      <c r="O778" s="1"/>
      <c r="P778" s="1"/>
      <c r="Q778" s="1"/>
      <c r="R778" s="1"/>
      <c r="S778" s="1"/>
      <c r="T778" s="1"/>
    </row>
    <row r="779" ht="15.75" customHeight="1">
      <c r="A779" s="36"/>
      <c r="B779" s="37"/>
      <c r="C779" s="37"/>
      <c r="D779" s="37"/>
      <c r="E779" s="37"/>
      <c r="F779" s="37"/>
      <c r="G779" s="1"/>
      <c r="H779" s="1"/>
      <c r="I779" s="1"/>
      <c r="J779" s="1"/>
      <c r="K779" s="1"/>
      <c r="L779" s="1"/>
      <c r="M779" s="1"/>
      <c r="N779" s="1"/>
      <c r="O779" s="1"/>
      <c r="P779" s="1"/>
      <c r="Q779" s="1"/>
      <c r="R779" s="1"/>
      <c r="S779" s="1"/>
      <c r="T779" s="1"/>
    </row>
    <row r="780" ht="15.75" customHeight="1">
      <c r="A780" s="36"/>
      <c r="B780" s="37"/>
      <c r="C780" s="37"/>
      <c r="D780" s="37"/>
      <c r="E780" s="37"/>
      <c r="F780" s="37"/>
      <c r="G780" s="1"/>
      <c r="H780" s="1"/>
      <c r="I780" s="1"/>
      <c r="J780" s="1"/>
      <c r="K780" s="1"/>
      <c r="L780" s="1"/>
      <c r="M780" s="1"/>
      <c r="N780" s="1"/>
      <c r="O780" s="1"/>
      <c r="P780" s="1"/>
      <c r="Q780" s="1"/>
      <c r="R780" s="1"/>
      <c r="S780" s="1"/>
      <c r="T780" s="1"/>
    </row>
    <row r="781" ht="15.75" customHeight="1">
      <c r="A781" s="36"/>
      <c r="B781" s="37"/>
      <c r="C781" s="37"/>
      <c r="D781" s="37"/>
      <c r="E781" s="37"/>
      <c r="F781" s="37"/>
      <c r="G781" s="1"/>
      <c r="H781" s="1"/>
      <c r="I781" s="1"/>
      <c r="J781" s="1"/>
      <c r="K781" s="1"/>
      <c r="L781" s="1"/>
      <c r="M781" s="1"/>
      <c r="N781" s="1"/>
      <c r="O781" s="1"/>
      <c r="P781" s="1"/>
      <c r="Q781" s="1"/>
      <c r="R781" s="1"/>
      <c r="S781" s="1"/>
      <c r="T781" s="1"/>
    </row>
    <row r="782" ht="15.75" customHeight="1">
      <c r="A782" s="36"/>
      <c r="B782" s="37"/>
      <c r="C782" s="37"/>
      <c r="D782" s="37"/>
      <c r="E782" s="37"/>
      <c r="F782" s="37"/>
      <c r="G782" s="1"/>
      <c r="H782" s="1"/>
      <c r="I782" s="1"/>
      <c r="J782" s="1"/>
      <c r="K782" s="1"/>
      <c r="L782" s="1"/>
      <c r="M782" s="1"/>
      <c r="N782" s="1"/>
      <c r="O782" s="1"/>
      <c r="P782" s="1"/>
      <c r="Q782" s="1"/>
      <c r="R782" s="1"/>
      <c r="S782" s="1"/>
      <c r="T782" s="1"/>
    </row>
    <row r="783" ht="15.75" customHeight="1">
      <c r="A783" s="36"/>
      <c r="B783" s="37"/>
      <c r="C783" s="37"/>
      <c r="D783" s="37"/>
      <c r="E783" s="37"/>
      <c r="F783" s="37"/>
      <c r="G783" s="1"/>
      <c r="H783" s="1"/>
      <c r="I783" s="1"/>
      <c r="J783" s="1"/>
      <c r="K783" s="1"/>
      <c r="L783" s="1"/>
      <c r="M783" s="1"/>
      <c r="N783" s="1"/>
      <c r="O783" s="1"/>
      <c r="P783" s="1"/>
      <c r="Q783" s="1"/>
      <c r="R783" s="1"/>
      <c r="S783" s="1"/>
      <c r="T783" s="1"/>
    </row>
    <row r="784" ht="15.75" customHeight="1">
      <c r="A784" s="36"/>
      <c r="B784" s="37"/>
      <c r="C784" s="37"/>
      <c r="D784" s="37"/>
      <c r="E784" s="37"/>
      <c r="F784" s="37"/>
      <c r="G784" s="1"/>
      <c r="H784" s="1"/>
      <c r="I784" s="1"/>
      <c r="J784" s="1"/>
      <c r="K784" s="1"/>
      <c r="L784" s="1"/>
      <c r="M784" s="1"/>
      <c r="N784" s="1"/>
      <c r="O784" s="1"/>
      <c r="P784" s="1"/>
      <c r="Q784" s="1"/>
      <c r="R784" s="1"/>
      <c r="S784" s="1"/>
      <c r="T784" s="1"/>
    </row>
    <row r="785" ht="15.75" customHeight="1">
      <c r="A785" s="36"/>
      <c r="B785" s="37"/>
      <c r="C785" s="37"/>
      <c r="D785" s="37"/>
      <c r="E785" s="37"/>
      <c r="F785" s="37"/>
      <c r="G785" s="1"/>
      <c r="H785" s="1"/>
      <c r="I785" s="1"/>
      <c r="J785" s="1"/>
      <c r="K785" s="1"/>
      <c r="L785" s="1"/>
      <c r="M785" s="1"/>
      <c r="N785" s="1"/>
      <c r="O785" s="1"/>
      <c r="P785" s="1"/>
      <c r="Q785" s="1"/>
      <c r="R785" s="1"/>
      <c r="S785" s="1"/>
      <c r="T785" s="1"/>
    </row>
    <row r="786" ht="15.75" customHeight="1">
      <c r="A786" s="36"/>
      <c r="B786" s="37"/>
      <c r="C786" s="37"/>
      <c r="D786" s="37"/>
      <c r="E786" s="37"/>
      <c r="F786" s="37"/>
      <c r="G786" s="1"/>
      <c r="H786" s="1"/>
      <c r="I786" s="1"/>
      <c r="J786" s="1"/>
      <c r="K786" s="1"/>
      <c r="L786" s="1"/>
      <c r="M786" s="1"/>
      <c r="N786" s="1"/>
      <c r="O786" s="1"/>
      <c r="P786" s="1"/>
      <c r="Q786" s="1"/>
      <c r="R786" s="1"/>
      <c r="S786" s="1"/>
      <c r="T786" s="1"/>
    </row>
    <row r="787" ht="15.75" customHeight="1">
      <c r="A787" s="36"/>
      <c r="B787" s="37"/>
      <c r="C787" s="37"/>
      <c r="D787" s="37"/>
      <c r="E787" s="37"/>
      <c r="F787" s="37"/>
      <c r="G787" s="1"/>
      <c r="H787" s="1"/>
      <c r="I787" s="1"/>
      <c r="J787" s="1"/>
      <c r="K787" s="1"/>
      <c r="L787" s="1"/>
      <c r="M787" s="1"/>
      <c r="N787" s="1"/>
      <c r="O787" s="1"/>
      <c r="P787" s="1"/>
      <c r="Q787" s="1"/>
      <c r="R787" s="1"/>
      <c r="S787" s="1"/>
      <c r="T787" s="1"/>
    </row>
    <row r="788" ht="15.75" customHeight="1">
      <c r="A788" s="36"/>
      <c r="B788" s="37"/>
      <c r="C788" s="37"/>
      <c r="D788" s="37"/>
      <c r="E788" s="37"/>
      <c r="F788" s="37"/>
      <c r="G788" s="1"/>
      <c r="H788" s="1"/>
      <c r="I788" s="1"/>
      <c r="J788" s="1"/>
      <c r="K788" s="1"/>
      <c r="L788" s="1"/>
      <c r="M788" s="1"/>
      <c r="N788" s="1"/>
      <c r="O788" s="1"/>
      <c r="P788" s="1"/>
      <c r="Q788" s="1"/>
      <c r="R788" s="1"/>
      <c r="S788" s="1"/>
      <c r="T788" s="1"/>
    </row>
    <row r="789" ht="15.75" customHeight="1">
      <c r="A789" s="36"/>
      <c r="B789" s="37"/>
      <c r="C789" s="37"/>
      <c r="D789" s="37"/>
      <c r="E789" s="37"/>
      <c r="F789" s="37"/>
      <c r="G789" s="1"/>
      <c r="H789" s="1"/>
      <c r="I789" s="1"/>
      <c r="J789" s="1"/>
      <c r="K789" s="1"/>
      <c r="L789" s="1"/>
      <c r="M789" s="1"/>
      <c r="N789" s="1"/>
      <c r="O789" s="1"/>
      <c r="P789" s="1"/>
      <c r="Q789" s="1"/>
      <c r="R789" s="1"/>
      <c r="S789" s="1"/>
      <c r="T789" s="1"/>
    </row>
    <row r="790" ht="15.75" customHeight="1">
      <c r="A790" s="36"/>
      <c r="B790" s="37"/>
      <c r="C790" s="37"/>
      <c r="D790" s="37"/>
      <c r="E790" s="37"/>
      <c r="F790" s="37"/>
      <c r="G790" s="1"/>
      <c r="H790" s="1"/>
      <c r="I790" s="1"/>
      <c r="J790" s="1"/>
      <c r="K790" s="1"/>
      <c r="L790" s="1"/>
      <c r="M790" s="1"/>
      <c r="N790" s="1"/>
      <c r="O790" s="1"/>
      <c r="P790" s="1"/>
      <c r="Q790" s="1"/>
      <c r="R790" s="1"/>
      <c r="S790" s="1"/>
      <c r="T790" s="1"/>
    </row>
    <row r="791" ht="15.75" customHeight="1">
      <c r="A791" s="36"/>
      <c r="B791" s="37"/>
      <c r="C791" s="37"/>
      <c r="D791" s="37"/>
      <c r="E791" s="37"/>
      <c r="F791" s="37"/>
      <c r="G791" s="1"/>
      <c r="H791" s="1"/>
      <c r="I791" s="1"/>
      <c r="J791" s="1"/>
      <c r="K791" s="1"/>
      <c r="L791" s="1"/>
      <c r="M791" s="1"/>
      <c r="N791" s="1"/>
      <c r="O791" s="1"/>
      <c r="P791" s="1"/>
      <c r="Q791" s="1"/>
      <c r="R791" s="1"/>
      <c r="S791" s="1"/>
      <c r="T791" s="1"/>
    </row>
    <row r="792" ht="15.75" customHeight="1">
      <c r="A792" s="36"/>
      <c r="B792" s="37"/>
      <c r="C792" s="37"/>
      <c r="D792" s="37"/>
      <c r="E792" s="37"/>
      <c r="F792" s="37"/>
      <c r="G792" s="1"/>
      <c r="H792" s="1"/>
      <c r="I792" s="1"/>
      <c r="J792" s="1"/>
      <c r="K792" s="1"/>
      <c r="L792" s="1"/>
      <c r="M792" s="1"/>
      <c r="N792" s="1"/>
      <c r="O792" s="1"/>
      <c r="P792" s="1"/>
      <c r="Q792" s="1"/>
      <c r="R792" s="1"/>
      <c r="S792" s="1"/>
      <c r="T792" s="1"/>
    </row>
    <row r="793" ht="15.75" customHeight="1">
      <c r="A793" s="36"/>
      <c r="B793" s="37"/>
      <c r="C793" s="37"/>
      <c r="D793" s="37"/>
      <c r="E793" s="37"/>
      <c r="F793" s="37"/>
      <c r="G793" s="1"/>
      <c r="H793" s="1"/>
      <c r="I793" s="1"/>
      <c r="J793" s="1"/>
      <c r="K793" s="1"/>
      <c r="L793" s="1"/>
      <c r="M793" s="1"/>
      <c r="N793" s="1"/>
      <c r="O793" s="1"/>
      <c r="P793" s="1"/>
      <c r="Q793" s="1"/>
      <c r="R793" s="1"/>
      <c r="S793" s="1"/>
      <c r="T793" s="1"/>
    </row>
    <row r="794" ht="15.75" customHeight="1">
      <c r="A794" s="36"/>
      <c r="B794" s="37"/>
      <c r="C794" s="37"/>
      <c r="D794" s="37"/>
      <c r="E794" s="37"/>
      <c r="F794" s="37"/>
      <c r="G794" s="1"/>
      <c r="H794" s="1"/>
      <c r="I794" s="1"/>
      <c r="J794" s="1"/>
      <c r="K794" s="1"/>
      <c r="L794" s="1"/>
      <c r="M794" s="1"/>
      <c r="N794" s="1"/>
      <c r="O794" s="1"/>
      <c r="P794" s="1"/>
      <c r="Q794" s="1"/>
      <c r="R794" s="1"/>
      <c r="S794" s="1"/>
      <c r="T794" s="1"/>
    </row>
    <row r="795" ht="15.75" customHeight="1">
      <c r="A795" s="36"/>
      <c r="B795" s="37"/>
      <c r="C795" s="37"/>
      <c r="D795" s="37"/>
      <c r="E795" s="37"/>
      <c r="F795" s="37"/>
      <c r="G795" s="1"/>
      <c r="H795" s="1"/>
      <c r="I795" s="1"/>
      <c r="J795" s="1"/>
      <c r="K795" s="1"/>
      <c r="L795" s="1"/>
      <c r="M795" s="1"/>
      <c r="N795" s="1"/>
      <c r="O795" s="1"/>
      <c r="P795" s="1"/>
      <c r="Q795" s="1"/>
      <c r="R795" s="1"/>
      <c r="S795" s="1"/>
      <c r="T795" s="1"/>
    </row>
    <row r="796" ht="15.75" customHeight="1">
      <c r="A796" s="36"/>
      <c r="B796" s="37"/>
      <c r="C796" s="37"/>
      <c r="D796" s="37"/>
      <c r="E796" s="37"/>
      <c r="F796" s="37"/>
      <c r="G796" s="1"/>
      <c r="H796" s="1"/>
      <c r="I796" s="1"/>
      <c r="J796" s="1"/>
      <c r="K796" s="1"/>
      <c r="L796" s="1"/>
      <c r="M796" s="1"/>
      <c r="N796" s="1"/>
      <c r="O796" s="1"/>
      <c r="P796" s="1"/>
      <c r="Q796" s="1"/>
      <c r="R796" s="1"/>
      <c r="S796" s="1"/>
      <c r="T796" s="1"/>
    </row>
    <row r="797" ht="15.75" customHeight="1">
      <c r="A797" s="36"/>
      <c r="B797" s="37"/>
      <c r="C797" s="37"/>
      <c r="D797" s="37"/>
      <c r="E797" s="37"/>
      <c r="F797" s="37"/>
      <c r="G797" s="1"/>
      <c r="H797" s="1"/>
      <c r="I797" s="1"/>
      <c r="J797" s="1"/>
      <c r="K797" s="1"/>
      <c r="L797" s="1"/>
      <c r="M797" s="1"/>
      <c r="N797" s="1"/>
      <c r="O797" s="1"/>
      <c r="P797" s="1"/>
      <c r="Q797" s="1"/>
      <c r="R797" s="1"/>
      <c r="S797" s="1"/>
      <c r="T797" s="1"/>
    </row>
    <row r="798" ht="15.75" customHeight="1">
      <c r="A798" s="36"/>
      <c r="B798" s="37"/>
      <c r="C798" s="37"/>
      <c r="D798" s="37"/>
      <c r="E798" s="37"/>
      <c r="F798" s="37"/>
      <c r="G798" s="1"/>
      <c r="H798" s="1"/>
      <c r="I798" s="1"/>
      <c r="J798" s="1"/>
      <c r="K798" s="1"/>
      <c r="L798" s="1"/>
      <c r="M798" s="1"/>
      <c r="N798" s="1"/>
      <c r="O798" s="1"/>
      <c r="P798" s="1"/>
      <c r="Q798" s="1"/>
      <c r="R798" s="1"/>
      <c r="S798" s="1"/>
      <c r="T798" s="1"/>
    </row>
    <row r="799" ht="15.75" customHeight="1">
      <c r="A799" s="36"/>
      <c r="B799" s="37"/>
      <c r="C799" s="37"/>
      <c r="D799" s="37"/>
      <c r="E799" s="37"/>
      <c r="F799" s="37"/>
      <c r="G799" s="1"/>
      <c r="H799" s="1"/>
      <c r="I799" s="1"/>
      <c r="J799" s="1"/>
      <c r="K799" s="1"/>
      <c r="L799" s="1"/>
      <c r="M799" s="1"/>
      <c r="N799" s="1"/>
      <c r="O799" s="1"/>
      <c r="P799" s="1"/>
      <c r="Q799" s="1"/>
      <c r="R799" s="1"/>
      <c r="S799" s="1"/>
      <c r="T799" s="1"/>
    </row>
    <row r="800" ht="15.75" customHeight="1">
      <c r="A800" s="36"/>
      <c r="B800" s="37"/>
      <c r="C800" s="37"/>
      <c r="D800" s="37"/>
      <c r="E800" s="37"/>
      <c r="F800" s="37"/>
      <c r="G800" s="1"/>
      <c r="H800" s="1"/>
      <c r="I800" s="1"/>
      <c r="J800" s="1"/>
      <c r="K800" s="1"/>
      <c r="L800" s="1"/>
      <c r="M800" s="1"/>
      <c r="N800" s="1"/>
      <c r="O800" s="1"/>
      <c r="P800" s="1"/>
      <c r="Q800" s="1"/>
      <c r="R800" s="1"/>
      <c r="S800" s="1"/>
      <c r="T800" s="1"/>
    </row>
    <row r="801" ht="15.75" customHeight="1">
      <c r="A801" s="36"/>
      <c r="B801" s="37"/>
      <c r="C801" s="37"/>
      <c r="D801" s="37"/>
      <c r="E801" s="37"/>
      <c r="F801" s="37"/>
      <c r="G801" s="1"/>
      <c r="H801" s="1"/>
      <c r="I801" s="1"/>
      <c r="J801" s="1"/>
      <c r="K801" s="1"/>
      <c r="L801" s="1"/>
      <c r="M801" s="1"/>
      <c r="N801" s="1"/>
      <c r="O801" s="1"/>
      <c r="P801" s="1"/>
      <c r="Q801" s="1"/>
      <c r="R801" s="1"/>
      <c r="S801" s="1"/>
      <c r="T801" s="1"/>
    </row>
    <row r="802" ht="15.75" customHeight="1">
      <c r="A802" s="36"/>
      <c r="B802" s="37"/>
      <c r="C802" s="37"/>
      <c r="D802" s="37"/>
      <c r="E802" s="37"/>
      <c r="F802" s="37"/>
      <c r="G802" s="1"/>
      <c r="H802" s="1"/>
      <c r="I802" s="1"/>
      <c r="J802" s="1"/>
      <c r="K802" s="1"/>
      <c r="L802" s="1"/>
      <c r="M802" s="1"/>
      <c r="N802" s="1"/>
      <c r="O802" s="1"/>
      <c r="P802" s="1"/>
      <c r="Q802" s="1"/>
      <c r="R802" s="1"/>
      <c r="S802" s="1"/>
      <c r="T802" s="1"/>
    </row>
    <row r="803" ht="15.75" customHeight="1">
      <c r="A803" s="36"/>
      <c r="B803" s="37"/>
      <c r="C803" s="37"/>
      <c r="D803" s="37"/>
      <c r="E803" s="37"/>
      <c r="F803" s="37"/>
      <c r="G803" s="1"/>
      <c r="H803" s="1"/>
      <c r="I803" s="1"/>
      <c r="J803" s="1"/>
      <c r="K803" s="1"/>
      <c r="L803" s="1"/>
      <c r="M803" s="1"/>
      <c r="N803" s="1"/>
      <c r="O803" s="1"/>
      <c r="P803" s="1"/>
      <c r="Q803" s="1"/>
      <c r="R803" s="1"/>
      <c r="S803" s="1"/>
      <c r="T803" s="1"/>
    </row>
    <row r="804" ht="15.75" customHeight="1">
      <c r="A804" s="36"/>
      <c r="B804" s="37"/>
      <c r="C804" s="37"/>
      <c r="D804" s="37"/>
      <c r="E804" s="37"/>
      <c r="F804" s="37"/>
      <c r="G804" s="1"/>
      <c r="H804" s="1"/>
      <c r="I804" s="1"/>
      <c r="J804" s="1"/>
      <c r="K804" s="1"/>
      <c r="L804" s="1"/>
      <c r="M804" s="1"/>
      <c r="N804" s="1"/>
      <c r="O804" s="1"/>
      <c r="P804" s="1"/>
      <c r="Q804" s="1"/>
      <c r="R804" s="1"/>
      <c r="S804" s="1"/>
      <c r="T804" s="1"/>
    </row>
    <row r="805" ht="15.75" customHeight="1">
      <c r="A805" s="36"/>
      <c r="B805" s="37"/>
      <c r="C805" s="37"/>
      <c r="D805" s="37"/>
      <c r="E805" s="37"/>
      <c r="F805" s="37"/>
      <c r="G805" s="1"/>
      <c r="H805" s="1"/>
      <c r="I805" s="1"/>
      <c r="J805" s="1"/>
      <c r="K805" s="1"/>
      <c r="L805" s="1"/>
      <c r="M805" s="1"/>
      <c r="N805" s="1"/>
      <c r="O805" s="1"/>
      <c r="P805" s="1"/>
      <c r="Q805" s="1"/>
      <c r="R805" s="1"/>
      <c r="S805" s="1"/>
      <c r="T805" s="1"/>
    </row>
    <row r="806" ht="15.75" customHeight="1">
      <c r="A806" s="36"/>
      <c r="B806" s="37"/>
      <c r="C806" s="37"/>
      <c r="D806" s="37"/>
      <c r="E806" s="37"/>
      <c r="F806" s="37"/>
      <c r="G806" s="1"/>
      <c r="H806" s="1"/>
      <c r="I806" s="1"/>
      <c r="J806" s="1"/>
      <c r="K806" s="1"/>
      <c r="L806" s="1"/>
      <c r="M806" s="1"/>
      <c r="N806" s="1"/>
      <c r="O806" s="1"/>
      <c r="P806" s="1"/>
      <c r="Q806" s="1"/>
      <c r="R806" s="1"/>
      <c r="S806" s="1"/>
      <c r="T806" s="1"/>
    </row>
    <row r="807" ht="15.75" customHeight="1">
      <c r="A807" s="36"/>
      <c r="B807" s="37"/>
      <c r="C807" s="37"/>
      <c r="D807" s="37"/>
      <c r="E807" s="37"/>
      <c r="F807" s="37"/>
      <c r="G807" s="1"/>
      <c r="H807" s="1"/>
      <c r="I807" s="1"/>
      <c r="J807" s="1"/>
      <c r="K807" s="1"/>
      <c r="L807" s="1"/>
      <c r="M807" s="1"/>
      <c r="N807" s="1"/>
      <c r="O807" s="1"/>
      <c r="P807" s="1"/>
      <c r="Q807" s="1"/>
      <c r="R807" s="1"/>
      <c r="S807" s="1"/>
      <c r="T807" s="1"/>
    </row>
    <row r="808" ht="15.75" customHeight="1">
      <c r="A808" s="36"/>
      <c r="B808" s="37"/>
      <c r="C808" s="37"/>
      <c r="D808" s="37"/>
      <c r="E808" s="37"/>
      <c r="F808" s="37"/>
      <c r="G808" s="1"/>
      <c r="H808" s="1"/>
      <c r="I808" s="1"/>
      <c r="J808" s="1"/>
      <c r="K808" s="1"/>
      <c r="L808" s="1"/>
      <c r="M808" s="1"/>
      <c r="N808" s="1"/>
      <c r="O808" s="1"/>
      <c r="P808" s="1"/>
      <c r="Q808" s="1"/>
      <c r="R808" s="1"/>
      <c r="S808" s="1"/>
      <c r="T808" s="1"/>
    </row>
    <row r="809" ht="15.75" customHeight="1">
      <c r="A809" s="36"/>
      <c r="B809" s="37"/>
      <c r="C809" s="37"/>
      <c r="D809" s="37"/>
      <c r="E809" s="37"/>
      <c r="F809" s="37"/>
      <c r="G809" s="1"/>
      <c r="H809" s="1"/>
      <c r="I809" s="1"/>
      <c r="J809" s="1"/>
      <c r="K809" s="1"/>
      <c r="L809" s="1"/>
      <c r="M809" s="1"/>
      <c r="N809" s="1"/>
      <c r="O809" s="1"/>
      <c r="P809" s="1"/>
      <c r="Q809" s="1"/>
      <c r="R809" s="1"/>
      <c r="S809" s="1"/>
      <c r="T809" s="1"/>
    </row>
    <row r="810" ht="15.75" customHeight="1">
      <c r="A810" s="36"/>
      <c r="B810" s="37"/>
      <c r="C810" s="37"/>
      <c r="D810" s="37"/>
      <c r="E810" s="37"/>
      <c r="F810" s="37"/>
      <c r="G810" s="1"/>
      <c r="H810" s="1"/>
      <c r="I810" s="1"/>
      <c r="J810" s="1"/>
      <c r="K810" s="1"/>
      <c r="L810" s="1"/>
      <c r="M810" s="1"/>
      <c r="N810" s="1"/>
      <c r="O810" s="1"/>
      <c r="P810" s="1"/>
      <c r="Q810" s="1"/>
      <c r="R810" s="1"/>
      <c r="S810" s="1"/>
      <c r="T810" s="1"/>
    </row>
    <row r="811" ht="15.75" customHeight="1">
      <c r="A811" s="36"/>
      <c r="B811" s="37"/>
      <c r="C811" s="37"/>
      <c r="D811" s="37"/>
      <c r="E811" s="37"/>
      <c r="F811" s="37"/>
      <c r="G811" s="1"/>
      <c r="H811" s="1"/>
      <c r="I811" s="1"/>
      <c r="J811" s="1"/>
      <c r="K811" s="1"/>
      <c r="L811" s="1"/>
      <c r="M811" s="1"/>
      <c r="N811" s="1"/>
      <c r="O811" s="1"/>
      <c r="P811" s="1"/>
      <c r="Q811" s="1"/>
      <c r="R811" s="1"/>
      <c r="S811" s="1"/>
      <c r="T811" s="1"/>
    </row>
    <row r="812" ht="15.75" customHeight="1">
      <c r="A812" s="36"/>
      <c r="B812" s="37"/>
      <c r="C812" s="37"/>
      <c r="D812" s="37"/>
      <c r="E812" s="37"/>
      <c r="F812" s="37"/>
      <c r="G812" s="1"/>
      <c r="H812" s="1"/>
      <c r="I812" s="1"/>
      <c r="J812" s="1"/>
      <c r="K812" s="1"/>
      <c r="L812" s="1"/>
      <c r="M812" s="1"/>
      <c r="N812" s="1"/>
      <c r="O812" s="1"/>
      <c r="P812" s="1"/>
      <c r="Q812" s="1"/>
      <c r="R812" s="1"/>
      <c r="S812" s="1"/>
      <c r="T812" s="1"/>
    </row>
    <row r="813" ht="15.75" customHeight="1">
      <c r="A813" s="36"/>
      <c r="B813" s="37"/>
      <c r="C813" s="37"/>
      <c r="D813" s="37"/>
      <c r="E813" s="37"/>
      <c r="F813" s="37"/>
      <c r="G813" s="1"/>
      <c r="H813" s="1"/>
      <c r="I813" s="1"/>
      <c r="J813" s="1"/>
      <c r="K813" s="1"/>
      <c r="L813" s="1"/>
      <c r="M813" s="1"/>
      <c r="N813" s="1"/>
      <c r="O813" s="1"/>
      <c r="P813" s="1"/>
      <c r="Q813" s="1"/>
      <c r="R813" s="1"/>
      <c r="S813" s="1"/>
      <c r="T813" s="1"/>
    </row>
    <row r="814" ht="15.75" customHeight="1">
      <c r="A814" s="36"/>
      <c r="B814" s="37"/>
      <c r="C814" s="37"/>
      <c r="D814" s="37"/>
      <c r="E814" s="37"/>
      <c r="F814" s="37"/>
      <c r="G814" s="1"/>
      <c r="H814" s="1"/>
      <c r="I814" s="1"/>
      <c r="J814" s="1"/>
      <c r="K814" s="1"/>
      <c r="L814" s="1"/>
      <c r="M814" s="1"/>
      <c r="N814" s="1"/>
      <c r="O814" s="1"/>
      <c r="P814" s="1"/>
      <c r="Q814" s="1"/>
      <c r="R814" s="1"/>
      <c r="S814" s="1"/>
      <c r="T814" s="1"/>
    </row>
    <row r="815" ht="15.75" customHeight="1">
      <c r="A815" s="36"/>
      <c r="B815" s="37"/>
      <c r="C815" s="37"/>
      <c r="D815" s="37"/>
      <c r="E815" s="37"/>
      <c r="F815" s="37"/>
      <c r="G815" s="1"/>
      <c r="H815" s="1"/>
      <c r="I815" s="1"/>
      <c r="J815" s="1"/>
      <c r="K815" s="1"/>
      <c r="L815" s="1"/>
      <c r="M815" s="1"/>
      <c r="N815" s="1"/>
      <c r="O815" s="1"/>
      <c r="P815" s="1"/>
      <c r="Q815" s="1"/>
      <c r="R815" s="1"/>
      <c r="S815" s="1"/>
      <c r="T815" s="1"/>
    </row>
    <row r="816" ht="15.75" customHeight="1">
      <c r="A816" s="36"/>
      <c r="B816" s="37"/>
      <c r="C816" s="37"/>
      <c r="D816" s="37"/>
      <c r="E816" s="37"/>
      <c r="F816" s="37"/>
      <c r="G816" s="1"/>
      <c r="H816" s="1"/>
      <c r="I816" s="1"/>
      <c r="J816" s="1"/>
      <c r="K816" s="1"/>
      <c r="L816" s="1"/>
      <c r="M816" s="1"/>
      <c r="N816" s="1"/>
      <c r="O816" s="1"/>
      <c r="P816" s="1"/>
      <c r="Q816" s="1"/>
      <c r="R816" s="1"/>
      <c r="S816" s="1"/>
      <c r="T816" s="1"/>
    </row>
    <row r="817" ht="15.75" customHeight="1">
      <c r="A817" s="36"/>
      <c r="B817" s="37"/>
      <c r="C817" s="37"/>
      <c r="D817" s="37"/>
      <c r="E817" s="37"/>
      <c r="F817" s="37"/>
      <c r="G817" s="1"/>
      <c r="H817" s="1"/>
      <c r="I817" s="1"/>
      <c r="J817" s="1"/>
      <c r="K817" s="1"/>
      <c r="L817" s="1"/>
      <c r="M817" s="1"/>
      <c r="N817" s="1"/>
      <c r="O817" s="1"/>
      <c r="P817" s="1"/>
      <c r="Q817" s="1"/>
      <c r="R817" s="1"/>
      <c r="S817" s="1"/>
      <c r="T817" s="1"/>
    </row>
    <row r="818" ht="15.75" customHeight="1">
      <c r="A818" s="36"/>
      <c r="B818" s="37"/>
      <c r="C818" s="37"/>
      <c r="D818" s="37"/>
      <c r="E818" s="37"/>
      <c r="F818" s="37"/>
      <c r="G818" s="1"/>
      <c r="H818" s="1"/>
      <c r="I818" s="1"/>
      <c r="J818" s="1"/>
      <c r="K818" s="1"/>
      <c r="L818" s="1"/>
      <c r="M818" s="1"/>
      <c r="N818" s="1"/>
      <c r="O818" s="1"/>
      <c r="P818" s="1"/>
      <c r="Q818" s="1"/>
      <c r="R818" s="1"/>
      <c r="S818" s="1"/>
      <c r="T818" s="1"/>
    </row>
    <row r="819" ht="15.75" customHeight="1">
      <c r="A819" s="36"/>
      <c r="B819" s="37"/>
      <c r="C819" s="37"/>
      <c r="D819" s="37"/>
      <c r="E819" s="37"/>
      <c r="F819" s="37"/>
      <c r="G819" s="1"/>
      <c r="H819" s="1"/>
      <c r="I819" s="1"/>
      <c r="J819" s="1"/>
      <c r="K819" s="1"/>
      <c r="L819" s="1"/>
      <c r="M819" s="1"/>
      <c r="N819" s="1"/>
      <c r="O819" s="1"/>
      <c r="P819" s="1"/>
      <c r="Q819" s="1"/>
      <c r="R819" s="1"/>
      <c r="S819" s="1"/>
      <c r="T819" s="1"/>
    </row>
    <row r="820" ht="15.75" customHeight="1">
      <c r="A820" s="36"/>
      <c r="B820" s="37"/>
      <c r="C820" s="37"/>
      <c r="D820" s="37"/>
      <c r="E820" s="37"/>
      <c r="F820" s="37"/>
      <c r="G820" s="1"/>
      <c r="H820" s="1"/>
      <c r="I820" s="1"/>
      <c r="J820" s="1"/>
      <c r="K820" s="1"/>
      <c r="L820" s="1"/>
      <c r="M820" s="1"/>
      <c r="N820" s="1"/>
      <c r="O820" s="1"/>
      <c r="P820" s="1"/>
      <c r="Q820" s="1"/>
      <c r="R820" s="1"/>
      <c r="S820" s="1"/>
      <c r="T820" s="1"/>
    </row>
    <row r="821" ht="15.75" customHeight="1">
      <c r="A821" s="36"/>
      <c r="B821" s="37"/>
      <c r="C821" s="37"/>
      <c r="D821" s="37"/>
      <c r="E821" s="37"/>
      <c r="F821" s="37"/>
      <c r="G821" s="1"/>
      <c r="H821" s="1"/>
      <c r="I821" s="1"/>
      <c r="J821" s="1"/>
      <c r="K821" s="1"/>
      <c r="L821" s="1"/>
      <c r="M821" s="1"/>
      <c r="N821" s="1"/>
      <c r="O821" s="1"/>
      <c r="P821" s="1"/>
      <c r="Q821" s="1"/>
      <c r="R821" s="1"/>
      <c r="S821" s="1"/>
      <c r="T821" s="1"/>
    </row>
    <row r="822" ht="15.75" customHeight="1">
      <c r="A822" s="36"/>
      <c r="B822" s="37"/>
      <c r="C822" s="37"/>
      <c r="D822" s="37"/>
      <c r="E822" s="37"/>
      <c r="F822" s="37"/>
      <c r="G822" s="1"/>
      <c r="H822" s="1"/>
      <c r="I822" s="1"/>
      <c r="J822" s="1"/>
      <c r="K822" s="1"/>
      <c r="L822" s="1"/>
      <c r="M822" s="1"/>
      <c r="N822" s="1"/>
      <c r="O822" s="1"/>
      <c r="P822" s="1"/>
      <c r="Q822" s="1"/>
      <c r="R822" s="1"/>
      <c r="S822" s="1"/>
      <c r="T822" s="1"/>
    </row>
    <row r="823" ht="15.75" customHeight="1">
      <c r="A823" s="36"/>
      <c r="B823" s="37"/>
      <c r="C823" s="37"/>
      <c r="D823" s="37"/>
      <c r="E823" s="37"/>
      <c r="F823" s="37"/>
      <c r="G823" s="1"/>
      <c r="H823" s="1"/>
      <c r="I823" s="1"/>
      <c r="J823" s="1"/>
      <c r="K823" s="1"/>
      <c r="L823" s="1"/>
      <c r="M823" s="1"/>
      <c r="N823" s="1"/>
      <c r="O823" s="1"/>
      <c r="P823" s="1"/>
      <c r="Q823" s="1"/>
      <c r="R823" s="1"/>
      <c r="S823" s="1"/>
      <c r="T823" s="1"/>
    </row>
    <row r="824" ht="15.75" customHeight="1">
      <c r="A824" s="36"/>
      <c r="B824" s="37"/>
      <c r="C824" s="37"/>
      <c r="D824" s="37"/>
      <c r="E824" s="37"/>
      <c r="F824" s="37"/>
      <c r="G824" s="1"/>
      <c r="H824" s="1"/>
      <c r="I824" s="1"/>
      <c r="J824" s="1"/>
      <c r="K824" s="1"/>
      <c r="L824" s="1"/>
      <c r="M824" s="1"/>
      <c r="N824" s="1"/>
      <c r="O824" s="1"/>
      <c r="P824" s="1"/>
      <c r="Q824" s="1"/>
      <c r="R824" s="1"/>
      <c r="S824" s="1"/>
      <c r="T824" s="1"/>
    </row>
    <row r="825" ht="15.75" customHeight="1">
      <c r="A825" s="36"/>
      <c r="B825" s="37"/>
      <c r="C825" s="37"/>
      <c r="D825" s="37"/>
      <c r="E825" s="37"/>
      <c r="F825" s="37"/>
      <c r="G825" s="1"/>
      <c r="H825" s="1"/>
      <c r="I825" s="1"/>
      <c r="J825" s="1"/>
      <c r="K825" s="1"/>
      <c r="L825" s="1"/>
      <c r="M825" s="1"/>
      <c r="N825" s="1"/>
      <c r="O825" s="1"/>
      <c r="P825" s="1"/>
      <c r="Q825" s="1"/>
      <c r="R825" s="1"/>
      <c r="S825" s="1"/>
      <c r="T825" s="1"/>
    </row>
    <row r="826" ht="15.75" customHeight="1">
      <c r="A826" s="36"/>
      <c r="B826" s="37"/>
      <c r="C826" s="37"/>
      <c r="D826" s="37"/>
      <c r="E826" s="37"/>
      <c r="F826" s="37"/>
      <c r="G826" s="1"/>
      <c r="H826" s="1"/>
      <c r="I826" s="1"/>
      <c r="J826" s="1"/>
      <c r="K826" s="1"/>
      <c r="L826" s="1"/>
      <c r="M826" s="1"/>
      <c r="N826" s="1"/>
      <c r="O826" s="1"/>
      <c r="P826" s="1"/>
      <c r="Q826" s="1"/>
      <c r="R826" s="1"/>
      <c r="S826" s="1"/>
      <c r="T826" s="1"/>
    </row>
    <row r="827" ht="15.75" customHeight="1">
      <c r="A827" s="36"/>
      <c r="B827" s="37"/>
      <c r="C827" s="37"/>
      <c r="D827" s="37"/>
      <c r="E827" s="37"/>
      <c r="F827" s="37"/>
      <c r="G827" s="1"/>
      <c r="H827" s="1"/>
      <c r="I827" s="1"/>
      <c r="J827" s="1"/>
      <c r="K827" s="1"/>
      <c r="L827" s="1"/>
      <c r="M827" s="1"/>
      <c r="N827" s="1"/>
      <c r="O827" s="1"/>
      <c r="P827" s="1"/>
      <c r="Q827" s="1"/>
      <c r="R827" s="1"/>
      <c r="S827" s="1"/>
      <c r="T827" s="1"/>
    </row>
    <row r="828" ht="15.75" customHeight="1">
      <c r="A828" s="36"/>
      <c r="B828" s="37"/>
      <c r="C828" s="37"/>
      <c r="D828" s="37"/>
      <c r="E828" s="37"/>
      <c r="F828" s="37"/>
      <c r="G828" s="1"/>
      <c r="H828" s="1"/>
      <c r="I828" s="1"/>
      <c r="J828" s="1"/>
      <c r="K828" s="1"/>
      <c r="L828" s="1"/>
      <c r="M828" s="1"/>
      <c r="N828" s="1"/>
      <c r="O828" s="1"/>
      <c r="P828" s="1"/>
      <c r="Q828" s="1"/>
      <c r="R828" s="1"/>
      <c r="S828" s="1"/>
      <c r="T828" s="1"/>
    </row>
    <row r="829" ht="15.75" customHeight="1">
      <c r="A829" s="36"/>
      <c r="B829" s="37"/>
      <c r="C829" s="37"/>
      <c r="D829" s="37"/>
      <c r="E829" s="37"/>
      <c r="F829" s="37"/>
      <c r="G829" s="1"/>
      <c r="H829" s="1"/>
      <c r="I829" s="1"/>
      <c r="J829" s="1"/>
      <c r="K829" s="1"/>
      <c r="L829" s="1"/>
      <c r="M829" s="1"/>
      <c r="N829" s="1"/>
      <c r="O829" s="1"/>
      <c r="P829" s="1"/>
      <c r="Q829" s="1"/>
      <c r="R829" s="1"/>
      <c r="S829" s="1"/>
      <c r="T829" s="1"/>
    </row>
    <row r="830" ht="15.75" customHeight="1">
      <c r="A830" s="36"/>
      <c r="B830" s="37"/>
      <c r="C830" s="37"/>
      <c r="D830" s="37"/>
      <c r="E830" s="37"/>
      <c r="F830" s="37"/>
      <c r="G830" s="1"/>
      <c r="H830" s="1"/>
      <c r="I830" s="1"/>
      <c r="J830" s="1"/>
      <c r="K830" s="1"/>
      <c r="L830" s="1"/>
      <c r="M830" s="1"/>
      <c r="N830" s="1"/>
      <c r="O830" s="1"/>
      <c r="P830" s="1"/>
      <c r="Q830" s="1"/>
      <c r="R830" s="1"/>
      <c r="S830" s="1"/>
      <c r="T830" s="1"/>
    </row>
    <row r="831" ht="15.75" customHeight="1">
      <c r="A831" s="36"/>
      <c r="B831" s="37"/>
      <c r="C831" s="37"/>
      <c r="D831" s="37"/>
      <c r="E831" s="37"/>
      <c r="F831" s="37"/>
      <c r="G831" s="1"/>
      <c r="H831" s="1"/>
      <c r="I831" s="1"/>
      <c r="J831" s="1"/>
      <c r="K831" s="1"/>
      <c r="L831" s="1"/>
      <c r="M831" s="1"/>
      <c r="N831" s="1"/>
      <c r="O831" s="1"/>
      <c r="P831" s="1"/>
      <c r="Q831" s="1"/>
      <c r="R831" s="1"/>
      <c r="S831" s="1"/>
      <c r="T831" s="1"/>
    </row>
    <row r="832" ht="15.75" customHeight="1">
      <c r="A832" s="36"/>
      <c r="B832" s="37"/>
      <c r="C832" s="37"/>
      <c r="D832" s="37"/>
      <c r="E832" s="37"/>
      <c r="F832" s="37"/>
      <c r="G832" s="1"/>
      <c r="H832" s="1"/>
      <c r="I832" s="1"/>
      <c r="J832" s="1"/>
      <c r="K832" s="1"/>
      <c r="L832" s="1"/>
      <c r="M832" s="1"/>
      <c r="N832" s="1"/>
      <c r="O832" s="1"/>
      <c r="P832" s="1"/>
      <c r="Q832" s="1"/>
      <c r="R832" s="1"/>
      <c r="S832" s="1"/>
      <c r="T832" s="1"/>
    </row>
    <row r="833" ht="15.75" customHeight="1">
      <c r="A833" s="36"/>
      <c r="B833" s="37"/>
      <c r="C833" s="37"/>
      <c r="D833" s="37"/>
      <c r="E833" s="37"/>
      <c r="F833" s="37"/>
      <c r="G833" s="1"/>
      <c r="H833" s="1"/>
      <c r="I833" s="1"/>
      <c r="J833" s="1"/>
      <c r="K833" s="1"/>
      <c r="L833" s="1"/>
      <c r="M833" s="1"/>
      <c r="N833" s="1"/>
      <c r="O833" s="1"/>
      <c r="P833" s="1"/>
      <c r="Q833" s="1"/>
      <c r="R833" s="1"/>
      <c r="S833" s="1"/>
      <c r="T833" s="1"/>
    </row>
    <row r="834" ht="15.75" customHeight="1">
      <c r="A834" s="36"/>
      <c r="B834" s="37"/>
      <c r="C834" s="37"/>
      <c r="D834" s="37"/>
      <c r="E834" s="37"/>
      <c r="F834" s="37"/>
      <c r="G834" s="1"/>
      <c r="H834" s="1"/>
      <c r="I834" s="1"/>
      <c r="J834" s="1"/>
      <c r="K834" s="1"/>
      <c r="L834" s="1"/>
      <c r="M834" s="1"/>
      <c r="N834" s="1"/>
      <c r="O834" s="1"/>
      <c r="P834" s="1"/>
      <c r="Q834" s="1"/>
      <c r="R834" s="1"/>
      <c r="S834" s="1"/>
      <c r="T834" s="1"/>
    </row>
    <row r="835" ht="15.75" customHeight="1">
      <c r="A835" s="36"/>
      <c r="B835" s="37"/>
      <c r="C835" s="37"/>
      <c r="D835" s="37"/>
      <c r="E835" s="37"/>
      <c r="F835" s="37"/>
      <c r="G835" s="1"/>
      <c r="H835" s="1"/>
      <c r="I835" s="1"/>
      <c r="J835" s="1"/>
      <c r="K835" s="1"/>
      <c r="L835" s="1"/>
      <c r="M835" s="1"/>
      <c r="N835" s="1"/>
      <c r="O835" s="1"/>
      <c r="P835" s="1"/>
      <c r="Q835" s="1"/>
      <c r="R835" s="1"/>
      <c r="S835" s="1"/>
      <c r="T835" s="1"/>
    </row>
    <row r="836" ht="15.75" customHeight="1">
      <c r="A836" s="36"/>
      <c r="B836" s="37"/>
      <c r="C836" s="37"/>
      <c r="D836" s="37"/>
      <c r="E836" s="37"/>
      <c r="F836" s="37"/>
      <c r="G836" s="1"/>
      <c r="H836" s="1"/>
      <c r="I836" s="1"/>
      <c r="J836" s="1"/>
      <c r="K836" s="1"/>
      <c r="L836" s="1"/>
      <c r="M836" s="1"/>
      <c r="N836" s="1"/>
      <c r="O836" s="1"/>
      <c r="P836" s="1"/>
      <c r="Q836" s="1"/>
      <c r="R836" s="1"/>
      <c r="S836" s="1"/>
      <c r="T836" s="1"/>
    </row>
    <row r="837" ht="15.75" customHeight="1">
      <c r="A837" s="36"/>
      <c r="B837" s="37"/>
      <c r="C837" s="37"/>
      <c r="D837" s="37"/>
      <c r="E837" s="37"/>
      <c r="F837" s="37"/>
      <c r="G837" s="1"/>
      <c r="H837" s="1"/>
      <c r="I837" s="1"/>
      <c r="J837" s="1"/>
      <c r="K837" s="1"/>
      <c r="L837" s="1"/>
      <c r="M837" s="1"/>
      <c r="N837" s="1"/>
      <c r="O837" s="1"/>
      <c r="P837" s="1"/>
      <c r="Q837" s="1"/>
      <c r="R837" s="1"/>
      <c r="S837" s="1"/>
      <c r="T837" s="1"/>
    </row>
    <row r="838" ht="15.75" customHeight="1">
      <c r="A838" s="36"/>
      <c r="B838" s="37"/>
      <c r="C838" s="37"/>
      <c r="D838" s="37"/>
      <c r="E838" s="37"/>
      <c r="F838" s="37"/>
      <c r="G838" s="1"/>
      <c r="H838" s="1"/>
      <c r="I838" s="1"/>
      <c r="J838" s="1"/>
      <c r="K838" s="1"/>
      <c r="L838" s="1"/>
      <c r="M838" s="1"/>
      <c r="N838" s="1"/>
      <c r="O838" s="1"/>
      <c r="P838" s="1"/>
      <c r="Q838" s="1"/>
      <c r="R838" s="1"/>
      <c r="S838" s="1"/>
      <c r="T838" s="1"/>
    </row>
    <row r="839" ht="15.75" customHeight="1">
      <c r="A839" s="36"/>
      <c r="B839" s="37"/>
      <c r="C839" s="37"/>
      <c r="D839" s="37"/>
      <c r="E839" s="37"/>
      <c r="F839" s="37"/>
      <c r="G839" s="1"/>
      <c r="H839" s="1"/>
      <c r="I839" s="1"/>
      <c r="J839" s="1"/>
      <c r="K839" s="1"/>
      <c r="L839" s="1"/>
      <c r="M839" s="1"/>
      <c r="N839" s="1"/>
      <c r="O839" s="1"/>
      <c r="P839" s="1"/>
      <c r="Q839" s="1"/>
      <c r="R839" s="1"/>
      <c r="S839" s="1"/>
      <c r="T839" s="1"/>
    </row>
    <row r="840" ht="15.75" customHeight="1">
      <c r="A840" s="36"/>
      <c r="B840" s="37"/>
      <c r="C840" s="37"/>
      <c r="D840" s="37"/>
      <c r="E840" s="37"/>
      <c r="F840" s="37"/>
      <c r="G840" s="1"/>
      <c r="H840" s="1"/>
      <c r="I840" s="1"/>
      <c r="J840" s="1"/>
      <c r="K840" s="1"/>
      <c r="L840" s="1"/>
      <c r="M840" s="1"/>
      <c r="N840" s="1"/>
      <c r="O840" s="1"/>
      <c r="P840" s="1"/>
      <c r="Q840" s="1"/>
      <c r="R840" s="1"/>
      <c r="S840" s="1"/>
      <c r="T840" s="1"/>
    </row>
    <row r="841" ht="15.75" customHeight="1">
      <c r="A841" s="36"/>
      <c r="B841" s="37"/>
      <c r="C841" s="37"/>
      <c r="D841" s="37"/>
      <c r="E841" s="37"/>
      <c r="F841" s="37"/>
      <c r="G841" s="1"/>
      <c r="H841" s="1"/>
      <c r="I841" s="1"/>
      <c r="J841" s="1"/>
      <c r="K841" s="1"/>
      <c r="L841" s="1"/>
      <c r="M841" s="1"/>
      <c r="N841" s="1"/>
      <c r="O841" s="1"/>
      <c r="P841" s="1"/>
      <c r="Q841" s="1"/>
      <c r="R841" s="1"/>
      <c r="S841" s="1"/>
      <c r="T841" s="1"/>
    </row>
    <row r="842" ht="15.75" customHeight="1">
      <c r="A842" s="36"/>
      <c r="B842" s="37"/>
      <c r="C842" s="37"/>
      <c r="D842" s="37"/>
      <c r="E842" s="37"/>
      <c r="F842" s="37"/>
      <c r="G842" s="1"/>
      <c r="H842" s="1"/>
      <c r="I842" s="1"/>
      <c r="J842" s="1"/>
      <c r="K842" s="1"/>
      <c r="L842" s="1"/>
      <c r="M842" s="1"/>
      <c r="N842" s="1"/>
      <c r="O842" s="1"/>
      <c r="P842" s="1"/>
      <c r="Q842" s="1"/>
      <c r="R842" s="1"/>
      <c r="S842" s="1"/>
      <c r="T842" s="1"/>
    </row>
    <row r="843" ht="15.75" customHeight="1">
      <c r="A843" s="36"/>
      <c r="B843" s="37"/>
      <c r="C843" s="37"/>
      <c r="D843" s="37"/>
      <c r="E843" s="37"/>
      <c r="F843" s="37"/>
      <c r="G843" s="1"/>
      <c r="H843" s="1"/>
      <c r="I843" s="1"/>
      <c r="J843" s="1"/>
      <c r="K843" s="1"/>
      <c r="L843" s="1"/>
      <c r="M843" s="1"/>
      <c r="N843" s="1"/>
      <c r="O843" s="1"/>
      <c r="P843" s="1"/>
      <c r="Q843" s="1"/>
      <c r="R843" s="1"/>
      <c r="S843" s="1"/>
      <c r="T843" s="1"/>
    </row>
    <row r="844" ht="15.75" customHeight="1">
      <c r="A844" s="36"/>
      <c r="B844" s="37"/>
      <c r="C844" s="37"/>
      <c r="D844" s="37"/>
      <c r="E844" s="37"/>
      <c r="F844" s="37"/>
      <c r="G844" s="1"/>
      <c r="H844" s="1"/>
      <c r="I844" s="1"/>
      <c r="J844" s="1"/>
      <c r="K844" s="1"/>
      <c r="L844" s="1"/>
      <c r="M844" s="1"/>
      <c r="N844" s="1"/>
      <c r="O844" s="1"/>
      <c r="P844" s="1"/>
      <c r="Q844" s="1"/>
      <c r="R844" s="1"/>
      <c r="S844" s="1"/>
      <c r="T844" s="1"/>
    </row>
    <row r="845" ht="15.75" customHeight="1">
      <c r="A845" s="36"/>
      <c r="B845" s="37"/>
      <c r="C845" s="37"/>
      <c r="D845" s="37"/>
      <c r="E845" s="37"/>
      <c r="F845" s="37"/>
      <c r="G845" s="1"/>
      <c r="H845" s="1"/>
      <c r="I845" s="1"/>
      <c r="J845" s="1"/>
      <c r="K845" s="1"/>
      <c r="L845" s="1"/>
      <c r="M845" s="1"/>
      <c r="N845" s="1"/>
      <c r="O845" s="1"/>
      <c r="P845" s="1"/>
      <c r="Q845" s="1"/>
      <c r="R845" s="1"/>
      <c r="S845" s="1"/>
      <c r="T845" s="1"/>
    </row>
    <row r="846" ht="15.75" customHeight="1">
      <c r="A846" s="36"/>
      <c r="B846" s="37"/>
      <c r="C846" s="37"/>
      <c r="D846" s="37"/>
      <c r="E846" s="37"/>
      <c r="F846" s="37"/>
      <c r="G846" s="1"/>
      <c r="H846" s="1"/>
      <c r="I846" s="1"/>
      <c r="J846" s="1"/>
      <c r="K846" s="1"/>
      <c r="L846" s="1"/>
      <c r="M846" s="1"/>
      <c r="N846" s="1"/>
      <c r="O846" s="1"/>
      <c r="P846" s="1"/>
      <c r="Q846" s="1"/>
      <c r="R846" s="1"/>
      <c r="S846" s="1"/>
      <c r="T846" s="1"/>
    </row>
    <row r="847" ht="15.75" customHeight="1">
      <c r="A847" s="36"/>
      <c r="B847" s="37"/>
      <c r="C847" s="37"/>
      <c r="D847" s="37"/>
      <c r="E847" s="37"/>
      <c r="F847" s="37"/>
      <c r="G847" s="1"/>
      <c r="H847" s="1"/>
      <c r="I847" s="1"/>
      <c r="J847" s="1"/>
      <c r="K847" s="1"/>
      <c r="L847" s="1"/>
      <c r="M847" s="1"/>
      <c r="N847" s="1"/>
      <c r="O847" s="1"/>
      <c r="P847" s="1"/>
      <c r="Q847" s="1"/>
      <c r="R847" s="1"/>
      <c r="S847" s="1"/>
      <c r="T847" s="1"/>
    </row>
    <row r="848" ht="15.75" customHeight="1">
      <c r="A848" s="36"/>
      <c r="B848" s="37"/>
      <c r="C848" s="37"/>
      <c r="D848" s="37"/>
      <c r="E848" s="37"/>
      <c r="F848" s="37"/>
      <c r="G848" s="1"/>
      <c r="H848" s="1"/>
      <c r="I848" s="1"/>
      <c r="J848" s="1"/>
      <c r="K848" s="1"/>
      <c r="L848" s="1"/>
      <c r="M848" s="1"/>
      <c r="N848" s="1"/>
      <c r="O848" s="1"/>
      <c r="P848" s="1"/>
      <c r="Q848" s="1"/>
      <c r="R848" s="1"/>
      <c r="S848" s="1"/>
      <c r="T848" s="1"/>
    </row>
    <row r="849" ht="15.75" customHeight="1">
      <c r="A849" s="36"/>
      <c r="B849" s="37"/>
      <c r="C849" s="37"/>
      <c r="D849" s="37"/>
      <c r="E849" s="37"/>
      <c r="F849" s="37"/>
      <c r="G849" s="1"/>
      <c r="H849" s="1"/>
      <c r="I849" s="1"/>
      <c r="J849" s="1"/>
      <c r="K849" s="1"/>
      <c r="L849" s="1"/>
      <c r="M849" s="1"/>
      <c r="N849" s="1"/>
      <c r="O849" s="1"/>
      <c r="P849" s="1"/>
      <c r="Q849" s="1"/>
      <c r="R849" s="1"/>
      <c r="S849" s="1"/>
      <c r="T849" s="1"/>
    </row>
    <row r="850" ht="15.75" customHeight="1">
      <c r="A850" s="36"/>
      <c r="B850" s="37"/>
      <c r="C850" s="37"/>
      <c r="D850" s="37"/>
      <c r="E850" s="37"/>
      <c r="F850" s="37"/>
      <c r="G850" s="1"/>
      <c r="H850" s="1"/>
      <c r="I850" s="1"/>
      <c r="J850" s="1"/>
      <c r="K850" s="1"/>
      <c r="L850" s="1"/>
      <c r="M850" s="1"/>
      <c r="N850" s="1"/>
      <c r="O850" s="1"/>
      <c r="P850" s="1"/>
      <c r="Q850" s="1"/>
      <c r="R850" s="1"/>
      <c r="S850" s="1"/>
      <c r="T850" s="1"/>
    </row>
    <row r="851" ht="15.75" customHeight="1">
      <c r="A851" s="36"/>
      <c r="B851" s="37"/>
      <c r="C851" s="37"/>
      <c r="D851" s="37"/>
      <c r="E851" s="37"/>
      <c r="F851" s="37"/>
      <c r="G851" s="1"/>
      <c r="H851" s="1"/>
      <c r="I851" s="1"/>
      <c r="J851" s="1"/>
      <c r="K851" s="1"/>
      <c r="L851" s="1"/>
      <c r="M851" s="1"/>
      <c r="N851" s="1"/>
      <c r="O851" s="1"/>
      <c r="P851" s="1"/>
      <c r="Q851" s="1"/>
      <c r="R851" s="1"/>
      <c r="S851" s="1"/>
      <c r="T851" s="1"/>
    </row>
    <row r="852" ht="15.75" customHeight="1">
      <c r="A852" s="36"/>
      <c r="B852" s="37"/>
      <c r="C852" s="37"/>
      <c r="D852" s="37"/>
      <c r="E852" s="37"/>
      <c r="F852" s="37"/>
      <c r="G852" s="1"/>
      <c r="H852" s="1"/>
      <c r="I852" s="1"/>
      <c r="J852" s="1"/>
      <c r="K852" s="1"/>
      <c r="L852" s="1"/>
      <c r="M852" s="1"/>
      <c r="N852" s="1"/>
      <c r="O852" s="1"/>
      <c r="P852" s="1"/>
      <c r="Q852" s="1"/>
      <c r="R852" s="1"/>
      <c r="S852" s="1"/>
      <c r="T852" s="1"/>
    </row>
    <row r="853" ht="15.75" customHeight="1">
      <c r="A853" s="36"/>
      <c r="B853" s="37"/>
      <c r="C853" s="37"/>
      <c r="D853" s="37"/>
      <c r="E853" s="37"/>
      <c r="F853" s="37"/>
      <c r="G853" s="1"/>
      <c r="H853" s="1"/>
      <c r="I853" s="1"/>
      <c r="J853" s="1"/>
      <c r="K853" s="1"/>
      <c r="L853" s="1"/>
      <c r="M853" s="1"/>
      <c r="N853" s="1"/>
      <c r="O853" s="1"/>
      <c r="P853" s="1"/>
      <c r="Q853" s="1"/>
      <c r="R853" s="1"/>
      <c r="S853" s="1"/>
      <c r="T853" s="1"/>
    </row>
    <row r="854" ht="15.75" customHeight="1">
      <c r="A854" s="36"/>
      <c r="B854" s="37"/>
      <c r="C854" s="37"/>
      <c r="D854" s="37"/>
      <c r="E854" s="37"/>
      <c r="F854" s="37"/>
      <c r="G854" s="1"/>
      <c r="H854" s="1"/>
      <c r="I854" s="1"/>
      <c r="J854" s="1"/>
      <c r="K854" s="1"/>
      <c r="L854" s="1"/>
      <c r="M854" s="1"/>
      <c r="N854" s="1"/>
      <c r="O854" s="1"/>
      <c r="P854" s="1"/>
      <c r="Q854" s="1"/>
      <c r="R854" s="1"/>
      <c r="S854" s="1"/>
      <c r="T854" s="1"/>
    </row>
    <row r="855" ht="15.75" customHeight="1">
      <c r="A855" s="36"/>
      <c r="B855" s="37"/>
      <c r="C855" s="37"/>
      <c r="D855" s="37"/>
      <c r="E855" s="37"/>
      <c r="F855" s="37"/>
      <c r="G855" s="1"/>
      <c r="H855" s="1"/>
      <c r="I855" s="1"/>
      <c r="J855" s="1"/>
      <c r="K855" s="1"/>
      <c r="L855" s="1"/>
      <c r="M855" s="1"/>
      <c r="N855" s="1"/>
      <c r="O855" s="1"/>
      <c r="P855" s="1"/>
      <c r="Q855" s="1"/>
      <c r="R855" s="1"/>
      <c r="S855" s="1"/>
      <c r="T855" s="1"/>
    </row>
    <row r="856" ht="15.75" customHeight="1">
      <c r="A856" s="36"/>
      <c r="B856" s="37"/>
      <c r="C856" s="37"/>
      <c r="D856" s="37"/>
      <c r="E856" s="37"/>
      <c r="F856" s="37"/>
      <c r="G856" s="1"/>
      <c r="H856" s="1"/>
      <c r="I856" s="1"/>
      <c r="J856" s="1"/>
      <c r="K856" s="1"/>
      <c r="L856" s="1"/>
      <c r="M856" s="1"/>
      <c r="N856" s="1"/>
      <c r="O856" s="1"/>
      <c r="P856" s="1"/>
      <c r="Q856" s="1"/>
      <c r="R856" s="1"/>
      <c r="S856" s="1"/>
      <c r="T856" s="1"/>
    </row>
    <row r="857" ht="15.75" customHeight="1">
      <c r="A857" s="36"/>
      <c r="B857" s="37"/>
      <c r="C857" s="37"/>
      <c r="D857" s="37"/>
      <c r="E857" s="37"/>
      <c r="F857" s="37"/>
      <c r="G857" s="1"/>
      <c r="H857" s="1"/>
      <c r="I857" s="1"/>
      <c r="J857" s="1"/>
      <c r="K857" s="1"/>
      <c r="L857" s="1"/>
      <c r="M857" s="1"/>
      <c r="N857" s="1"/>
      <c r="O857" s="1"/>
      <c r="P857" s="1"/>
      <c r="Q857" s="1"/>
      <c r="R857" s="1"/>
      <c r="S857" s="1"/>
      <c r="T857" s="1"/>
    </row>
    <row r="858" ht="15.75" customHeight="1">
      <c r="A858" s="36"/>
      <c r="B858" s="37"/>
      <c r="C858" s="37"/>
      <c r="D858" s="37"/>
      <c r="E858" s="37"/>
      <c r="F858" s="37"/>
      <c r="G858" s="1"/>
      <c r="H858" s="1"/>
      <c r="I858" s="1"/>
      <c r="J858" s="1"/>
      <c r="K858" s="1"/>
      <c r="L858" s="1"/>
      <c r="M858" s="1"/>
      <c r="N858" s="1"/>
      <c r="O858" s="1"/>
      <c r="P858" s="1"/>
      <c r="Q858" s="1"/>
      <c r="R858" s="1"/>
      <c r="S858" s="1"/>
      <c r="T858" s="1"/>
    </row>
    <row r="859" ht="15.75" customHeight="1">
      <c r="A859" s="36"/>
      <c r="B859" s="37"/>
      <c r="C859" s="37"/>
      <c r="D859" s="37"/>
      <c r="E859" s="37"/>
      <c r="F859" s="37"/>
      <c r="G859" s="1"/>
      <c r="H859" s="1"/>
      <c r="I859" s="1"/>
      <c r="J859" s="1"/>
      <c r="K859" s="1"/>
      <c r="L859" s="1"/>
      <c r="M859" s="1"/>
      <c r="N859" s="1"/>
      <c r="O859" s="1"/>
      <c r="P859" s="1"/>
      <c r="Q859" s="1"/>
      <c r="R859" s="1"/>
      <c r="S859" s="1"/>
      <c r="T859" s="1"/>
    </row>
    <row r="860" ht="15.75" customHeight="1">
      <c r="A860" s="36"/>
      <c r="B860" s="37"/>
      <c r="C860" s="37"/>
      <c r="D860" s="37"/>
      <c r="E860" s="37"/>
      <c r="F860" s="37"/>
      <c r="G860" s="1"/>
      <c r="H860" s="1"/>
      <c r="I860" s="1"/>
      <c r="J860" s="1"/>
      <c r="K860" s="1"/>
      <c r="L860" s="1"/>
      <c r="M860" s="1"/>
      <c r="N860" s="1"/>
      <c r="O860" s="1"/>
      <c r="P860" s="1"/>
      <c r="Q860" s="1"/>
      <c r="R860" s="1"/>
      <c r="S860" s="1"/>
      <c r="T860" s="1"/>
    </row>
    <row r="861" ht="15.75" customHeight="1">
      <c r="A861" s="36"/>
      <c r="B861" s="37"/>
      <c r="C861" s="37"/>
      <c r="D861" s="37"/>
      <c r="E861" s="37"/>
      <c r="F861" s="37"/>
      <c r="G861" s="1"/>
      <c r="H861" s="1"/>
      <c r="I861" s="1"/>
      <c r="J861" s="1"/>
      <c r="K861" s="1"/>
      <c r="L861" s="1"/>
      <c r="M861" s="1"/>
      <c r="N861" s="1"/>
      <c r="O861" s="1"/>
      <c r="P861" s="1"/>
      <c r="Q861" s="1"/>
      <c r="R861" s="1"/>
      <c r="S861" s="1"/>
      <c r="T861" s="1"/>
    </row>
    <row r="862" ht="15.75" customHeight="1">
      <c r="A862" s="36"/>
      <c r="B862" s="37"/>
      <c r="C862" s="37"/>
      <c r="D862" s="37"/>
      <c r="E862" s="37"/>
      <c r="F862" s="37"/>
      <c r="G862" s="1"/>
      <c r="H862" s="1"/>
      <c r="I862" s="1"/>
      <c r="J862" s="1"/>
      <c r="K862" s="1"/>
      <c r="L862" s="1"/>
      <c r="M862" s="1"/>
      <c r="N862" s="1"/>
      <c r="O862" s="1"/>
      <c r="P862" s="1"/>
      <c r="Q862" s="1"/>
      <c r="R862" s="1"/>
      <c r="S862" s="1"/>
      <c r="T862" s="1"/>
    </row>
    <row r="863" ht="15.75" customHeight="1">
      <c r="A863" s="36"/>
      <c r="B863" s="37"/>
      <c r="C863" s="37"/>
      <c r="D863" s="37"/>
      <c r="E863" s="37"/>
      <c r="F863" s="37"/>
      <c r="G863" s="1"/>
      <c r="H863" s="1"/>
      <c r="I863" s="1"/>
      <c r="J863" s="1"/>
      <c r="K863" s="1"/>
      <c r="L863" s="1"/>
      <c r="M863" s="1"/>
      <c r="N863" s="1"/>
      <c r="O863" s="1"/>
      <c r="P863" s="1"/>
      <c r="Q863" s="1"/>
      <c r="R863" s="1"/>
      <c r="S863" s="1"/>
      <c r="T863" s="1"/>
    </row>
    <row r="864" ht="15.75" customHeight="1">
      <c r="A864" s="36"/>
      <c r="B864" s="37"/>
      <c r="C864" s="37"/>
      <c r="D864" s="37"/>
      <c r="E864" s="37"/>
      <c r="F864" s="37"/>
      <c r="G864" s="1"/>
      <c r="H864" s="1"/>
      <c r="I864" s="1"/>
      <c r="J864" s="1"/>
      <c r="K864" s="1"/>
      <c r="L864" s="1"/>
      <c r="M864" s="1"/>
      <c r="N864" s="1"/>
      <c r="O864" s="1"/>
      <c r="P864" s="1"/>
      <c r="Q864" s="1"/>
      <c r="R864" s="1"/>
      <c r="S864" s="1"/>
      <c r="T864" s="1"/>
    </row>
    <row r="865" ht="15.75" customHeight="1">
      <c r="A865" s="36"/>
      <c r="B865" s="37"/>
      <c r="C865" s="37"/>
      <c r="D865" s="37"/>
      <c r="E865" s="37"/>
      <c r="F865" s="37"/>
      <c r="G865" s="1"/>
      <c r="H865" s="1"/>
      <c r="I865" s="1"/>
      <c r="J865" s="1"/>
      <c r="K865" s="1"/>
      <c r="L865" s="1"/>
      <c r="M865" s="1"/>
      <c r="N865" s="1"/>
      <c r="O865" s="1"/>
      <c r="P865" s="1"/>
      <c r="Q865" s="1"/>
      <c r="R865" s="1"/>
      <c r="S865" s="1"/>
      <c r="T865" s="1"/>
    </row>
    <row r="866" ht="15.75" customHeight="1">
      <c r="A866" s="36"/>
      <c r="B866" s="37"/>
      <c r="C866" s="37"/>
      <c r="D866" s="37"/>
      <c r="E866" s="37"/>
      <c r="F866" s="37"/>
      <c r="G866" s="1"/>
      <c r="H866" s="1"/>
      <c r="I866" s="1"/>
      <c r="J866" s="1"/>
      <c r="K866" s="1"/>
      <c r="L866" s="1"/>
      <c r="M866" s="1"/>
      <c r="N866" s="1"/>
      <c r="O866" s="1"/>
      <c r="P866" s="1"/>
      <c r="Q866" s="1"/>
      <c r="R866" s="1"/>
      <c r="S866" s="1"/>
      <c r="T866" s="1"/>
    </row>
    <row r="867" ht="15.75" customHeight="1">
      <c r="A867" s="36"/>
      <c r="B867" s="37"/>
      <c r="C867" s="37"/>
      <c r="D867" s="37"/>
      <c r="E867" s="37"/>
      <c r="F867" s="37"/>
      <c r="G867" s="1"/>
      <c r="H867" s="1"/>
      <c r="I867" s="1"/>
      <c r="J867" s="1"/>
      <c r="K867" s="1"/>
      <c r="L867" s="1"/>
      <c r="M867" s="1"/>
      <c r="N867" s="1"/>
      <c r="O867" s="1"/>
      <c r="P867" s="1"/>
      <c r="Q867" s="1"/>
      <c r="R867" s="1"/>
      <c r="S867" s="1"/>
      <c r="T867" s="1"/>
    </row>
    <row r="868" ht="15.75" customHeight="1">
      <c r="A868" s="36"/>
      <c r="B868" s="37"/>
      <c r="C868" s="37"/>
      <c r="D868" s="37"/>
      <c r="E868" s="37"/>
      <c r="F868" s="37"/>
      <c r="G868" s="1"/>
      <c r="H868" s="1"/>
      <c r="I868" s="1"/>
      <c r="J868" s="1"/>
      <c r="K868" s="1"/>
      <c r="L868" s="1"/>
      <c r="M868" s="1"/>
      <c r="N868" s="1"/>
      <c r="O868" s="1"/>
      <c r="P868" s="1"/>
      <c r="Q868" s="1"/>
      <c r="R868" s="1"/>
      <c r="S868" s="1"/>
      <c r="T868" s="1"/>
    </row>
    <row r="869" ht="15.75" customHeight="1">
      <c r="A869" s="36"/>
      <c r="B869" s="37"/>
      <c r="C869" s="37"/>
      <c r="D869" s="37"/>
      <c r="E869" s="37"/>
      <c r="F869" s="37"/>
      <c r="G869" s="1"/>
      <c r="H869" s="1"/>
      <c r="I869" s="1"/>
      <c r="J869" s="1"/>
      <c r="K869" s="1"/>
      <c r="L869" s="1"/>
      <c r="M869" s="1"/>
      <c r="N869" s="1"/>
      <c r="O869" s="1"/>
      <c r="P869" s="1"/>
      <c r="Q869" s="1"/>
      <c r="R869" s="1"/>
      <c r="S869" s="1"/>
      <c r="T869" s="1"/>
    </row>
    <row r="870" ht="15.75" customHeight="1">
      <c r="A870" s="36"/>
      <c r="B870" s="37"/>
      <c r="C870" s="37"/>
      <c r="D870" s="37"/>
      <c r="E870" s="37"/>
      <c r="F870" s="37"/>
      <c r="G870" s="1"/>
      <c r="H870" s="1"/>
      <c r="I870" s="1"/>
      <c r="J870" s="1"/>
      <c r="K870" s="1"/>
      <c r="L870" s="1"/>
      <c r="M870" s="1"/>
      <c r="N870" s="1"/>
      <c r="O870" s="1"/>
      <c r="P870" s="1"/>
      <c r="Q870" s="1"/>
      <c r="R870" s="1"/>
      <c r="S870" s="1"/>
      <c r="T870" s="1"/>
    </row>
    <row r="871" ht="15.75" customHeight="1">
      <c r="A871" s="36"/>
      <c r="B871" s="37"/>
      <c r="C871" s="37"/>
      <c r="D871" s="37"/>
      <c r="E871" s="37"/>
      <c r="F871" s="37"/>
      <c r="G871" s="1"/>
      <c r="H871" s="1"/>
      <c r="I871" s="1"/>
      <c r="J871" s="1"/>
      <c r="K871" s="1"/>
      <c r="L871" s="1"/>
      <c r="M871" s="1"/>
      <c r="N871" s="1"/>
      <c r="O871" s="1"/>
      <c r="P871" s="1"/>
      <c r="Q871" s="1"/>
      <c r="R871" s="1"/>
      <c r="S871" s="1"/>
      <c r="T871" s="1"/>
    </row>
    <row r="872" ht="15.75" customHeight="1">
      <c r="A872" s="36"/>
      <c r="B872" s="37"/>
      <c r="C872" s="37"/>
      <c r="D872" s="37"/>
      <c r="E872" s="37"/>
      <c r="F872" s="37"/>
      <c r="G872" s="1"/>
      <c r="H872" s="1"/>
      <c r="I872" s="1"/>
      <c r="J872" s="1"/>
      <c r="K872" s="1"/>
      <c r="L872" s="1"/>
      <c r="M872" s="1"/>
      <c r="N872" s="1"/>
      <c r="O872" s="1"/>
      <c r="P872" s="1"/>
      <c r="Q872" s="1"/>
      <c r="R872" s="1"/>
      <c r="S872" s="1"/>
      <c r="T872" s="1"/>
    </row>
    <row r="873" ht="15.75" customHeight="1">
      <c r="A873" s="36"/>
      <c r="B873" s="37"/>
      <c r="C873" s="37"/>
      <c r="D873" s="37"/>
      <c r="E873" s="37"/>
      <c r="F873" s="37"/>
      <c r="G873" s="1"/>
      <c r="H873" s="1"/>
      <c r="I873" s="1"/>
      <c r="J873" s="1"/>
      <c r="K873" s="1"/>
      <c r="L873" s="1"/>
      <c r="M873" s="1"/>
      <c r="N873" s="1"/>
      <c r="O873" s="1"/>
      <c r="P873" s="1"/>
      <c r="Q873" s="1"/>
      <c r="R873" s="1"/>
      <c r="S873" s="1"/>
      <c r="T873" s="1"/>
    </row>
    <row r="874" ht="15.75" customHeight="1">
      <c r="A874" s="36"/>
      <c r="B874" s="37"/>
      <c r="C874" s="37"/>
      <c r="D874" s="37"/>
      <c r="E874" s="37"/>
      <c r="F874" s="37"/>
      <c r="G874" s="1"/>
      <c r="H874" s="1"/>
      <c r="I874" s="1"/>
      <c r="J874" s="1"/>
      <c r="K874" s="1"/>
      <c r="L874" s="1"/>
      <c r="M874" s="1"/>
      <c r="N874" s="1"/>
      <c r="O874" s="1"/>
      <c r="P874" s="1"/>
      <c r="Q874" s="1"/>
      <c r="R874" s="1"/>
      <c r="S874" s="1"/>
      <c r="T874" s="1"/>
    </row>
    <row r="875" ht="15.75" customHeight="1">
      <c r="A875" s="36"/>
      <c r="B875" s="37"/>
      <c r="C875" s="37"/>
      <c r="D875" s="37"/>
      <c r="E875" s="37"/>
      <c r="F875" s="37"/>
      <c r="G875" s="1"/>
      <c r="H875" s="1"/>
      <c r="I875" s="1"/>
      <c r="J875" s="1"/>
      <c r="K875" s="1"/>
      <c r="L875" s="1"/>
      <c r="M875" s="1"/>
      <c r="N875" s="1"/>
      <c r="O875" s="1"/>
      <c r="P875" s="1"/>
      <c r="Q875" s="1"/>
      <c r="R875" s="1"/>
      <c r="S875" s="1"/>
      <c r="T875" s="1"/>
    </row>
    <row r="876" ht="15.75" customHeight="1">
      <c r="A876" s="36"/>
      <c r="B876" s="37"/>
      <c r="C876" s="37"/>
      <c r="D876" s="37"/>
      <c r="E876" s="37"/>
      <c r="F876" s="37"/>
      <c r="G876" s="1"/>
      <c r="H876" s="1"/>
      <c r="I876" s="1"/>
      <c r="J876" s="1"/>
      <c r="K876" s="1"/>
      <c r="L876" s="1"/>
      <c r="M876" s="1"/>
      <c r="N876" s="1"/>
      <c r="O876" s="1"/>
      <c r="P876" s="1"/>
      <c r="Q876" s="1"/>
      <c r="R876" s="1"/>
      <c r="S876" s="1"/>
      <c r="T876" s="1"/>
    </row>
    <row r="877" ht="15.75" customHeight="1">
      <c r="A877" s="36"/>
      <c r="B877" s="37"/>
      <c r="C877" s="37"/>
      <c r="D877" s="37"/>
      <c r="E877" s="37"/>
      <c r="F877" s="37"/>
      <c r="G877" s="1"/>
      <c r="H877" s="1"/>
      <c r="I877" s="1"/>
      <c r="J877" s="1"/>
      <c r="K877" s="1"/>
      <c r="L877" s="1"/>
      <c r="M877" s="1"/>
      <c r="N877" s="1"/>
      <c r="O877" s="1"/>
      <c r="P877" s="1"/>
      <c r="Q877" s="1"/>
      <c r="R877" s="1"/>
      <c r="S877" s="1"/>
      <c r="T877" s="1"/>
    </row>
    <row r="878" ht="15.75" customHeight="1">
      <c r="A878" s="36"/>
      <c r="B878" s="37"/>
      <c r="C878" s="37"/>
      <c r="D878" s="37"/>
      <c r="E878" s="37"/>
      <c r="F878" s="37"/>
      <c r="G878" s="1"/>
      <c r="H878" s="1"/>
      <c r="I878" s="1"/>
      <c r="J878" s="1"/>
      <c r="K878" s="1"/>
      <c r="L878" s="1"/>
      <c r="M878" s="1"/>
      <c r="N878" s="1"/>
      <c r="O878" s="1"/>
      <c r="P878" s="1"/>
      <c r="Q878" s="1"/>
      <c r="R878" s="1"/>
      <c r="S878" s="1"/>
      <c r="T878" s="1"/>
    </row>
    <row r="879" ht="15.75" customHeight="1">
      <c r="A879" s="36"/>
      <c r="B879" s="37"/>
      <c r="C879" s="37"/>
      <c r="D879" s="37"/>
      <c r="E879" s="37"/>
      <c r="F879" s="37"/>
      <c r="G879" s="1"/>
      <c r="H879" s="1"/>
      <c r="I879" s="1"/>
      <c r="J879" s="1"/>
      <c r="K879" s="1"/>
      <c r="L879" s="1"/>
      <c r="M879" s="1"/>
      <c r="N879" s="1"/>
      <c r="O879" s="1"/>
      <c r="P879" s="1"/>
      <c r="Q879" s="1"/>
      <c r="R879" s="1"/>
      <c r="S879" s="1"/>
      <c r="T879" s="1"/>
    </row>
    <row r="880" ht="15.75" customHeight="1">
      <c r="A880" s="36"/>
      <c r="B880" s="37"/>
      <c r="C880" s="37"/>
      <c r="D880" s="37"/>
      <c r="E880" s="37"/>
      <c r="F880" s="37"/>
      <c r="G880" s="1"/>
      <c r="H880" s="1"/>
      <c r="I880" s="1"/>
      <c r="J880" s="1"/>
      <c r="K880" s="1"/>
      <c r="L880" s="1"/>
      <c r="M880" s="1"/>
      <c r="N880" s="1"/>
      <c r="O880" s="1"/>
      <c r="P880" s="1"/>
      <c r="Q880" s="1"/>
      <c r="R880" s="1"/>
      <c r="S880" s="1"/>
      <c r="T880" s="1"/>
    </row>
    <row r="881" ht="15.75" customHeight="1">
      <c r="A881" s="36"/>
      <c r="B881" s="37"/>
      <c r="C881" s="37"/>
      <c r="D881" s="37"/>
      <c r="E881" s="37"/>
      <c r="F881" s="37"/>
      <c r="G881" s="1"/>
      <c r="H881" s="1"/>
      <c r="I881" s="1"/>
      <c r="J881" s="1"/>
      <c r="K881" s="1"/>
      <c r="L881" s="1"/>
      <c r="M881" s="1"/>
      <c r="N881" s="1"/>
      <c r="O881" s="1"/>
      <c r="P881" s="1"/>
      <c r="Q881" s="1"/>
      <c r="R881" s="1"/>
      <c r="S881" s="1"/>
      <c r="T881" s="1"/>
    </row>
    <row r="882" ht="15.75" customHeight="1">
      <c r="A882" s="36"/>
      <c r="B882" s="37"/>
      <c r="C882" s="37"/>
      <c r="D882" s="37"/>
      <c r="E882" s="37"/>
      <c r="F882" s="37"/>
      <c r="G882" s="1"/>
      <c r="H882" s="1"/>
      <c r="I882" s="1"/>
      <c r="J882" s="1"/>
      <c r="K882" s="1"/>
      <c r="L882" s="1"/>
      <c r="M882" s="1"/>
      <c r="N882" s="1"/>
      <c r="O882" s="1"/>
      <c r="P882" s="1"/>
      <c r="Q882" s="1"/>
      <c r="R882" s="1"/>
      <c r="S882" s="1"/>
      <c r="T882" s="1"/>
    </row>
    <row r="883" ht="15.75" customHeight="1">
      <c r="A883" s="36"/>
      <c r="B883" s="37"/>
      <c r="C883" s="37"/>
      <c r="D883" s="37"/>
      <c r="E883" s="37"/>
      <c r="F883" s="37"/>
      <c r="G883" s="1"/>
      <c r="H883" s="1"/>
      <c r="I883" s="1"/>
      <c r="J883" s="1"/>
      <c r="K883" s="1"/>
      <c r="L883" s="1"/>
      <c r="M883" s="1"/>
      <c r="N883" s="1"/>
      <c r="O883" s="1"/>
      <c r="P883" s="1"/>
      <c r="Q883" s="1"/>
      <c r="R883" s="1"/>
      <c r="S883" s="1"/>
      <c r="T883" s="1"/>
    </row>
    <row r="884" ht="15.75" customHeight="1">
      <c r="A884" s="36"/>
      <c r="B884" s="37"/>
      <c r="C884" s="37"/>
      <c r="D884" s="37"/>
      <c r="E884" s="37"/>
      <c r="F884" s="37"/>
      <c r="G884" s="1"/>
      <c r="H884" s="1"/>
      <c r="I884" s="1"/>
      <c r="J884" s="1"/>
      <c r="K884" s="1"/>
      <c r="L884" s="1"/>
      <c r="M884" s="1"/>
      <c r="N884" s="1"/>
      <c r="O884" s="1"/>
      <c r="P884" s="1"/>
      <c r="Q884" s="1"/>
      <c r="R884" s="1"/>
      <c r="S884" s="1"/>
      <c r="T884" s="1"/>
    </row>
    <row r="885" ht="15.75" customHeight="1">
      <c r="A885" s="36"/>
      <c r="B885" s="37"/>
      <c r="C885" s="37"/>
      <c r="D885" s="37"/>
      <c r="E885" s="37"/>
      <c r="F885" s="37"/>
      <c r="G885" s="1"/>
      <c r="H885" s="1"/>
      <c r="I885" s="1"/>
      <c r="J885" s="1"/>
      <c r="K885" s="1"/>
      <c r="L885" s="1"/>
      <c r="M885" s="1"/>
      <c r="N885" s="1"/>
      <c r="O885" s="1"/>
      <c r="P885" s="1"/>
      <c r="Q885" s="1"/>
      <c r="R885" s="1"/>
      <c r="S885" s="1"/>
      <c r="T885" s="1"/>
    </row>
    <row r="886" ht="15.75" customHeight="1">
      <c r="A886" s="36"/>
      <c r="B886" s="37"/>
      <c r="C886" s="37"/>
      <c r="D886" s="37"/>
      <c r="E886" s="37"/>
      <c r="F886" s="37"/>
      <c r="G886" s="1"/>
      <c r="H886" s="1"/>
      <c r="I886" s="1"/>
      <c r="J886" s="1"/>
      <c r="K886" s="1"/>
      <c r="L886" s="1"/>
      <c r="M886" s="1"/>
      <c r="N886" s="1"/>
      <c r="O886" s="1"/>
      <c r="P886" s="1"/>
      <c r="Q886" s="1"/>
      <c r="R886" s="1"/>
      <c r="S886" s="1"/>
      <c r="T886" s="1"/>
    </row>
    <row r="887" ht="15.75" customHeight="1">
      <c r="A887" s="36"/>
      <c r="B887" s="37"/>
      <c r="C887" s="37"/>
      <c r="D887" s="37"/>
      <c r="E887" s="37"/>
      <c r="F887" s="37"/>
      <c r="G887" s="1"/>
      <c r="H887" s="1"/>
      <c r="I887" s="1"/>
      <c r="J887" s="1"/>
      <c r="K887" s="1"/>
      <c r="L887" s="1"/>
      <c r="M887" s="1"/>
      <c r="N887" s="1"/>
      <c r="O887" s="1"/>
      <c r="P887" s="1"/>
      <c r="Q887" s="1"/>
      <c r="R887" s="1"/>
      <c r="S887" s="1"/>
      <c r="T887" s="1"/>
    </row>
    <row r="888" ht="15.75" customHeight="1">
      <c r="A888" s="36"/>
      <c r="B888" s="37"/>
      <c r="C888" s="37"/>
      <c r="D888" s="37"/>
      <c r="E888" s="37"/>
      <c r="F888" s="37"/>
      <c r="G888" s="1"/>
      <c r="H888" s="1"/>
      <c r="I888" s="1"/>
      <c r="J888" s="1"/>
      <c r="K888" s="1"/>
      <c r="L888" s="1"/>
      <c r="M888" s="1"/>
      <c r="N888" s="1"/>
      <c r="O888" s="1"/>
      <c r="P888" s="1"/>
      <c r="Q888" s="1"/>
      <c r="R888" s="1"/>
      <c r="S888" s="1"/>
      <c r="T888" s="1"/>
    </row>
    <row r="889" ht="15.75" customHeight="1">
      <c r="A889" s="36"/>
      <c r="B889" s="37"/>
      <c r="C889" s="37"/>
      <c r="D889" s="37"/>
      <c r="E889" s="37"/>
      <c r="F889" s="37"/>
      <c r="G889" s="1"/>
      <c r="H889" s="1"/>
      <c r="I889" s="1"/>
      <c r="J889" s="1"/>
      <c r="K889" s="1"/>
      <c r="L889" s="1"/>
      <c r="M889" s="1"/>
      <c r="N889" s="1"/>
      <c r="O889" s="1"/>
      <c r="P889" s="1"/>
      <c r="Q889" s="1"/>
      <c r="R889" s="1"/>
      <c r="S889" s="1"/>
      <c r="T889" s="1"/>
    </row>
    <row r="890" ht="15.75" customHeight="1">
      <c r="A890" s="36"/>
      <c r="B890" s="37"/>
      <c r="C890" s="37"/>
      <c r="D890" s="37"/>
      <c r="E890" s="37"/>
      <c r="F890" s="37"/>
      <c r="G890" s="1"/>
      <c r="H890" s="1"/>
      <c r="I890" s="1"/>
      <c r="J890" s="1"/>
      <c r="K890" s="1"/>
      <c r="L890" s="1"/>
      <c r="M890" s="1"/>
      <c r="N890" s="1"/>
      <c r="O890" s="1"/>
      <c r="P890" s="1"/>
      <c r="Q890" s="1"/>
      <c r="R890" s="1"/>
      <c r="S890" s="1"/>
      <c r="T890" s="1"/>
    </row>
    <row r="891" ht="15.75" customHeight="1">
      <c r="A891" s="36"/>
      <c r="B891" s="37"/>
      <c r="C891" s="37"/>
      <c r="D891" s="37"/>
      <c r="E891" s="37"/>
      <c r="F891" s="37"/>
      <c r="G891" s="1"/>
      <c r="H891" s="1"/>
      <c r="I891" s="1"/>
      <c r="J891" s="1"/>
      <c r="K891" s="1"/>
      <c r="L891" s="1"/>
      <c r="M891" s="1"/>
      <c r="N891" s="1"/>
      <c r="O891" s="1"/>
      <c r="P891" s="1"/>
      <c r="Q891" s="1"/>
      <c r="R891" s="1"/>
      <c r="S891" s="1"/>
      <c r="T891" s="1"/>
    </row>
    <row r="892" ht="15.75" customHeight="1">
      <c r="A892" s="36"/>
      <c r="B892" s="37"/>
      <c r="C892" s="37"/>
      <c r="D892" s="37"/>
      <c r="E892" s="37"/>
      <c r="F892" s="37"/>
      <c r="G892" s="1"/>
      <c r="H892" s="1"/>
      <c r="I892" s="1"/>
      <c r="J892" s="1"/>
      <c r="K892" s="1"/>
      <c r="L892" s="1"/>
      <c r="M892" s="1"/>
      <c r="N892" s="1"/>
      <c r="O892" s="1"/>
      <c r="P892" s="1"/>
      <c r="Q892" s="1"/>
      <c r="R892" s="1"/>
      <c r="S892" s="1"/>
      <c r="T892" s="1"/>
    </row>
    <row r="893" ht="15.75" customHeight="1">
      <c r="A893" s="36"/>
      <c r="B893" s="37"/>
      <c r="C893" s="37"/>
      <c r="D893" s="37"/>
      <c r="E893" s="37"/>
      <c r="F893" s="37"/>
      <c r="G893" s="1"/>
      <c r="H893" s="1"/>
      <c r="I893" s="1"/>
      <c r="J893" s="1"/>
      <c r="K893" s="1"/>
      <c r="L893" s="1"/>
      <c r="M893" s="1"/>
      <c r="N893" s="1"/>
      <c r="O893" s="1"/>
      <c r="P893" s="1"/>
      <c r="Q893" s="1"/>
      <c r="R893" s="1"/>
      <c r="S893" s="1"/>
      <c r="T893" s="1"/>
    </row>
    <row r="894" ht="15.75" customHeight="1">
      <c r="A894" s="36"/>
      <c r="B894" s="37"/>
      <c r="C894" s="37"/>
      <c r="D894" s="37"/>
      <c r="E894" s="37"/>
      <c r="F894" s="37"/>
      <c r="G894" s="1"/>
      <c r="H894" s="1"/>
      <c r="I894" s="1"/>
      <c r="J894" s="1"/>
      <c r="K894" s="1"/>
      <c r="L894" s="1"/>
      <c r="M894" s="1"/>
      <c r="N894" s="1"/>
      <c r="O894" s="1"/>
      <c r="P894" s="1"/>
      <c r="Q894" s="1"/>
      <c r="R894" s="1"/>
      <c r="S894" s="1"/>
      <c r="T894" s="1"/>
    </row>
    <row r="895" ht="15.75" customHeight="1">
      <c r="A895" s="36"/>
      <c r="B895" s="37"/>
      <c r="C895" s="37"/>
      <c r="D895" s="37"/>
      <c r="E895" s="37"/>
      <c r="F895" s="37"/>
      <c r="G895" s="1"/>
      <c r="H895" s="1"/>
      <c r="I895" s="1"/>
      <c r="J895" s="1"/>
      <c r="K895" s="1"/>
      <c r="L895" s="1"/>
      <c r="M895" s="1"/>
      <c r="N895" s="1"/>
      <c r="O895" s="1"/>
      <c r="P895" s="1"/>
      <c r="Q895" s="1"/>
      <c r="R895" s="1"/>
      <c r="S895" s="1"/>
      <c r="T895" s="1"/>
    </row>
    <row r="896" ht="15.75" customHeight="1">
      <c r="A896" s="36"/>
      <c r="B896" s="37"/>
      <c r="C896" s="37"/>
      <c r="D896" s="37"/>
      <c r="E896" s="37"/>
      <c r="F896" s="37"/>
      <c r="G896" s="1"/>
      <c r="H896" s="1"/>
      <c r="I896" s="1"/>
      <c r="J896" s="1"/>
      <c r="K896" s="1"/>
      <c r="L896" s="1"/>
      <c r="M896" s="1"/>
      <c r="N896" s="1"/>
      <c r="O896" s="1"/>
      <c r="P896" s="1"/>
      <c r="Q896" s="1"/>
      <c r="R896" s="1"/>
      <c r="S896" s="1"/>
      <c r="T896" s="1"/>
    </row>
    <row r="897" ht="15.75" customHeight="1">
      <c r="A897" s="36"/>
      <c r="B897" s="37"/>
      <c r="C897" s="37"/>
      <c r="D897" s="37"/>
      <c r="E897" s="37"/>
      <c r="F897" s="37"/>
      <c r="G897" s="1"/>
      <c r="H897" s="1"/>
      <c r="I897" s="1"/>
      <c r="J897" s="1"/>
      <c r="K897" s="1"/>
      <c r="L897" s="1"/>
      <c r="M897" s="1"/>
      <c r="N897" s="1"/>
      <c r="O897" s="1"/>
      <c r="P897" s="1"/>
      <c r="Q897" s="1"/>
      <c r="R897" s="1"/>
      <c r="S897" s="1"/>
      <c r="T897" s="1"/>
    </row>
    <row r="898" ht="15.75" customHeight="1">
      <c r="A898" s="36"/>
      <c r="B898" s="37"/>
      <c r="C898" s="37"/>
      <c r="D898" s="37"/>
      <c r="E898" s="37"/>
      <c r="F898" s="37"/>
      <c r="G898" s="1"/>
      <c r="H898" s="1"/>
      <c r="I898" s="1"/>
      <c r="J898" s="1"/>
      <c r="K898" s="1"/>
      <c r="L898" s="1"/>
      <c r="M898" s="1"/>
      <c r="N898" s="1"/>
      <c r="O898" s="1"/>
      <c r="P898" s="1"/>
      <c r="Q898" s="1"/>
      <c r="R898" s="1"/>
      <c r="S898" s="1"/>
      <c r="T898" s="1"/>
    </row>
    <row r="899" ht="15.75" customHeight="1">
      <c r="A899" s="36"/>
      <c r="B899" s="37"/>
      <c r="C899" s="37"/>
      <c r="D899" s="37"/>
      <c r="E899" s="37"/>
      <c r="F899" s="37"/>
      <c r="G899" s="1"/>
      <c r="H899" s="1"/>
      <c r="I899" s="1"/>
      <c r="J899" s="1"/>
      <c r="K899" s="1"/>
      <c r="L899" s="1"/>
      <c r="M899" s="1"/>
      <c r="N899" s="1"/>
      <c r="O899" s="1"/>
      <c r="P899" s="1"/>
      <c r="Q899" s="1"/>
      <c r="R899" s="1"/>
      <c r="S899" s="1"/>
      <c r="T899" s="1"/>
    </row>
    <row r="900" ht="15.75" customHeight="1">
      <c r="A900" s="36"/>
      <c r="B900" s="37"/>
      <c r="C900" s="37"/>
      <c r="D900" s="37"/>
      <c r="E900" s="37"/>
      <c r="F900" s="37"/>
      <c r="G900" s="1"/>
      <c r="H900" s="1"/>
      <c r="I900" s="1"/>
      <c r="J900" s="1"/>
      <c r="K900" s="1"/>
      <c r="L900" s="1"/>
      <c r="M900" s="1"/>
      <c r="N900" s="1"/>
      <c r="O900" s="1"/>
      <c r="P900" s="1"/>
      <c r="Q900" s="1"/>
      <c r="R900" s="1"/>
      <c r="S900" s="1"/>
      <c r="T900" s="1"/>
    </row>
    <row r="901" ht="15.75" customHeight="1">
      <c r="A901" s="36"/>
      <c r="B901" s="37"/>
      <c r="C901" s="37"/>
      <c r="D901" s="37"/>
      <c r="E901" s="37"/>
      <c r="F901" s="37"/>
      <c r="G901" s="1"/>
      <c r="H901" s="1"/>
      <c r="I901" s="1"/>
      <c r="J901" s="1"/>
      <c r="K901" s="1"/>
      <c r="L901" s="1"/>
      <c r="M901" s="1"/>
      <c r="N901" s="1"/>
      <c r="O901" s="1"/>
      <c r="P901" s="1"/>
      <c r="Q901" s="1"/>
      <c r="R901" s="1"/>
      <c r="S901" s="1"/>
      <c r="T901" s="1"/>
    </row>
    <row r="902" ht="15.75" customHeight="1">
      <c r="A902" s="36"/>
      <c r="B902" s="37"/>
      <c r="C902" s="37"/>
      <c r="D902" s="37"/>
      <c r="E902" s="37"/>
      <c r="F902" s="37"/>
      <c r="G902" s="1"/>
      <c r="H902" s="1"/>
      <c r="I902" s="1"/>
      <c r="J902" s="1"/>
      <c r="K902" s="1"/>
      <c r="L902" s="1"/>
      <c r="M902" s="1"/>
      <c r="N902" s="1"/>
      <c r="O902" s="1"/>
      <c r="P902" s="1"/>
      <c r="Q902" s="1"/>
      <c r="R902" s="1"/>
      <c r="S902" s="1"/>
      <c r="T902" s="1"/>
    </row>
    <row r="903" ht="15.75" customHeight="1">
      <c r="A903" s="36"/>
      <c r="B903" s="37"/>
      <c r="C903" s="37"/>
      <c r="D903" s="37"/>
      <c r="E903" s="37"/>
      <c r="F903" s="37"/>
      <c r="G903" s="1"/>
      <c r="H903" s="1"/>
      <c r="I903" s="1"/>
      <c r="J903" s="1"/>
      <c r="K903" s="1"/>
      <c r="L903" s="1"/>
      <c r="M903" s="1"/>
      <c r="N903" s="1"/>
      <c r="O903" s="1"/>
      <c r="P903" s="1"/>
      <c r="Q903" s="1"/>
      <c r="R903" s="1"/>
      <c r="S903" s="1"/>
      <c r="T903" s="1"/>
    </row>
    <row r="904" ht="15.75" customHeight="1">
      <c r="A904" s="36"/>
      <c r="B904" s="37"/>
      <c r="C904" s="37"/>
      <c r="D904" s="37"/>
      <c r="E904" s="37"/>
      <c r="F904" s="37"/>
      <c r="G904" s="1"/>
      <c r="H904" s="1"/>
      <c r="I904" s="1"/>
      <c r="J904" s="1"/>
      <c r="K904" s="1"/>
      <c r="L904" s="1"/>
      <c r="M904" s="1"/>
      <c r="N904" s="1"/>
      <c r="O904" s="1"/>
      <c r="P904" s="1"/>
      <c r="Q904" s="1"/>
      <c r="R904" s="1"/>
      <c r="S904" s="1"/>
      <c r="T904" s="1"/>
    </row>
    <row r="905" ht="15.75" customHeight="1">
      <c r="A905" s="36"/>
      <c r="B905" s="37"/>
      <c r="C905" s="37"/>
      <c r="D905" s="37"/>
      <c r="E905" s="37"/>
      <c r="F905" s="37"/>
      <c r="G905" s="1"/>
      <c r="H905" s="1"/>
      <c r="I905" s="1"/>
      <c r="J905" s="1"/>
      <c r="K905" s="1"/>
      <c r="L905" s="1"/>
      <c r="M905" s="1"/>
      <c r="N905" s="1"/>
      <c r="O905" s="1"/>
      <c r="P905" s="1"/>
      <c r="Q905" s="1"/>
      <c r="R905" s="1"/>
      <c r="S905" s="1"/>
      <c r="T905" s="1"/>
    </row>
    <row r="906" ht="15.75" customHeight="1">
      <c r="A906" s="36"/>
      <c r="B906" s="37"/>
      <c r="C906" s="37"/>
      <c r="D906" s="37"/>
      <c r="E906" s="37"/>
      <c r="F906" s="37"/>
      <c r="G906" s="1"/>
      <c r="H906" s="1"/>
      <c r="I906" s="1"/>
      <c r="J906" s="1"/>
      <c r="K906" s="1"/>
      <c r="L906" s="1"/>
      <c r="M906" s="1"/>
      <c r="N906" s="1"/>
      <c r="O906" s="1"/>
      <c r="P906" s="1"/>
      <c r="Q906" s="1"/>
      <c r="R906" s="1"/>
      <c r="S906" s="1"/>
      <c r="T906" s="1"/>
    </row>
    <row r="907" ht="15.75" customHeight="1">
      <c r="A907" s="36"/>
      <c r="B907" s="37"/>
      <c r="C907" s="37"/>
      <c r="D907" s="37"/>
      <c r="E907" s="37"/>
      <c r="F907" s="37"/>
      <c r="G907" s="1"/>
      <c r="H907" s="1"/>
      <c r="I907" s="1"/>
      <c r="J907" s="1"/>
      <c r="K907" s="1"/>
      <c r="L907" s="1"/>
      <c r="M907" s="1"/>
      <c r="N907" s="1"/>
      <c r="O907" s="1"/>
      <c r="P907" s="1"/>
      <c r="Q907" s="1"/>
      <c r="R907" s="1"/>
      <c r="S907" s="1"/>
      <c r="T907" s="1"/>
    </row>
    <row r="908" ht="15.75" customHeight="1">
      <c r="A908" s="36"/>
      <c r="B908" s="37"/>
      <c r="C908" s="37"/>
      <c r="D908" s="37"/>
      <c r="E908" s="37"/>
      <c r="F908" s="37"/>
      <c r="G908" s="1"/>
      <c r="H908" s="1"/>
      <c r="I908" s="1"/>
      <c r="J908" s="1"/>
      <c r="K908" s="1"/>
      <c r="L908" s="1"/>
      <c r="M908" s="1"/>
      <c r="N908" s="1"/>
      <c r="O908" s="1"/>
      <c r="P908" s="1"/>
      <c r="Q908" s="1"/>
      <c r="R908" s="1"/>
      <c r="S908" s="1"/>
      <c r="T908" s="1"/>
    </row>
    <row r="909" ht="15.75" customHeight="1">
      <c r="A909" s="36"/>
      <c r="B909" s="37"/>
      <c r="C909" s="37"/>
      <c r="D909" s="37"/>
      <c r="E909" s="37"/>
      <c r="F909" s="37"/>
      <c r="G909" s="1"/>
      <c r="H909" s="1"/>
      <c r="I909" s="1"/>
      <c r="J909" s="1"/>
      <c r="K909" s="1"/>
      <c r="L909" s="1"/>
      <c r="M909" s="1"/>
      <c r="N909" s="1"/>
      <c r="O909" s="1"/>
      <c r="P909" s="1"/>
      <c r="Q909" s="1"/>
      <c r="R909" s="1"/>
      <c r="S909" s="1"/>
      <c r="T909" s="1"/>
    </row>
    <row r="910" ht="15.75" customHeight="1">
      <c r="A910" s="36"/>
      <c r="B910" s="37"/>
      <c r="C910" s="37"/>
      <c r="D910" s="37"/>
      <c r="E910" s="37"/>
      <c r="F910" s="37"/>
      <c r="G910" s="1"/>
      <c r="H910" s="1"/>
      <c r="I910" s="1"/>
      <c r="J910" s="1"/>
      <c r="K910" s="1"/>
      <c r="L910" s="1"/>
      <c r="M910" s="1"/>
      <c r="N910" s="1"/>
      <c r="O910" s="1"/>
      <c r="P910" s="1"/>
      <c r="Q910" s="1"/>
      <c r="R910" s="1"/>
      <c r="S910" s="1"/>
      <c r="T910" s="1"/>
    </row>
    <row r="911" ht="15.75" customHeight="1">
      <c r="A911" s="36"/>
      <c r="B911" s="37"/>
      <c r="C911" s="37"/>
      <c r="D911" s="37"/>
      <c r="E911" s="37"/>
      <c r="F911" s="37"/>
      <c r="G911" s="1"/>
      <c r="H911" s="1"/>
      <c r="I911" s="1"/>
      <c r="J911" s="1"/>
      <c r="K911" s="1"/>
      <c r="L911" s="1"/>
      <c r="M911" s="1"/>
      <c r="N911" s="1"/>
      <c r="O911" s="1"/>
      <c r="P911" s="1"/>
      <c r="Q911" s="1"/>
      <c r="R911" s="1"/>
      <c r="S911" s="1"/>
      <c r="T911" s="1"/>
    </row>
    <row r="912" ht="15.75" customHeight="1">
      <c r="A912" s="36"/>
      <c r="B912" s="37"/>
      <c r="C912" s="37"/>
      <c r="D912" s="37"/>
      <c r="E912" s="37"/>
      <c r="F912" s="37"/>
      <c r="G912" s="1"/>
      <c r="H912" s="1"/>
      <c r="I912" s="1"/>
      <c r="J912" s="1"/>
      <c r="K912" s="1"/>
      <c r="L912" s="1"/>
      <c r="M912" s="1"/>
      <c r="N912" s="1"/>
      <c r="O912" s="1"/>
      <c r="P912" s="1"/>
      <c r="Q912" s="1"/>
      <c r="R912" s="1"/>
      <c r="S912" s="1"/>
      <c r="T912" s="1"/>
    </row>
    <row r="913" ht="15.75" customHeight="1">
      <c r="A913" s="36"/>
      <c r="B913" s="37"/>
      <c r="C913" s="37"/>
      <c r="D913" s="37"/>
      <c r="E913" s="37"/>
      <c r="F913" s="37"/>
      <c r="G913" s="1"/>
      <c r="H913" s="1"/>
      <c r="I913" s="1"/>
      <c r="J913" s="1"/>
      <c r="K913" s="1"/>
      <c r="L913" s="1"/>
      <c r="M913" s="1"/>
      <c r="N913" s="1"/>
      <c r="O913" s="1"/>
      <c r="P913" s="1"/>
      <c r="Q913" s="1"/>
      <c r="R913" s="1"/>
      <c r="S913" s="1"/>
      <c r="T913" s="1"/>
    </row>
    <row r="914" ht="15.75" customHeight="1">
      <c r="A914" s="36"/>
      <c r="B914" s="37"/>
      <c r="C914" s="37"/>
      <c r="D914" s="37"/>
      <c r="E914" s="37"/>
      <c r="F914" s="37"/>
      <c r="G914" s="1"/>
      <c r="H914" s="1"/>
      <c r="I914" s="1"/>
      <c r="J914" s="1"/>
      <c r="K914" s="1"/>
      <c r="L914" s="1"/>
      <c r="M914" s="1"/>
      <c r="N914" s="1"/>
      <c r="O914" s="1"/>
      <c r="P914" s="1"/>
      <c r="Q914" s="1"/>
      <c r="R914" s="1"/>
      <c r="S914" s="1"/>
      <c r="T914" s="1"/>
    </row>
    <row r="915" ht="15.75" customHeight="1">
      <c r="A915" s="36"/>
      <c r="B915" s="37"/>
      <c r="C915" s="37"/>
      <c r="D915" s="37"/>
      <c r="E915" s="37"/>
      <c r="F915" s="37"/>
      <c r="G915" s="1"/>
      <c r="H915" s="1"/>
      <c r="I915" s="1"/>
      <c r="J915" s="1"/>
      <c r="K915" s="1"/>
      <c r="L915" s="1"/>
      <c r="M915" s="1"/>
      <c r="N915" s="1"/>
      <c r="O915" s="1"/>
      <c r="P915" s="1"/>
      <c r="Q915" s="1"/>
      <c r="R915" s="1"/>
      <c r="S915" s="1"/>
      <c r="T915" s="1"/>
    </row>
    <row r="916" ht="15.75" customHeight="1">
      <c r="A916" s="36"/>
      <c r="B916" s="37"/>
      <c r="C916" s="37"/>
      <c r="D916" s="37"/>
      <c r="E916" s="37"/>
      <c r="F916" s="37"/>
      <c r="G916" s="1"/>
      <c r="H916" s="1"/>
      <c r="I916" s="1"/>
      <c r="J916" s="1"/>
      <c r="K916" s="1"/>
      <c r="L916" s="1"/>
      <c r="M916" s="1"/>
      <c r="N916" s="1"/>
      <c r="O916" s="1"/>
      <c r="P916" s="1"/>
      <c r="Q916" s="1"/>
      <c r="R916" s="1"/>
      <c r="S916" s="1"/>
      <c r="T916" s="1"/>
    </row>
    <row r="917" ht="15.75" customHeight="1">
      <c r="A917" s="36"/>
      <c r="B917" s="37"/>
      <c r="C917" s="37"/>
      <c r="D917" s="37"/>
      <c r="E917" s="37"/>
      <c r="F917" s="37"/>
      <c r="G917" s="1"/>
      <c r="H917" s="1"/>
      <c r="I917" s="1"/>
      <c r="J917" s="1"/>
      <c r="K917" s="1"/>
      <c r="L917" s="1"/>
      <c r="M917" s="1"/>
      <c r="N917" s="1"/>
      <c r="O917" s="1"/>
      <c r="P917" s="1"/>
      <c r="Q917" s="1"/>
      <c r="R917" s="1"/>
      <c r="S917" s="1"/>
      <c r="T917" s="1"/>
    </row>
    <row r="918" ht="15.75" customHeight="1">
      <c r="A918" s="36"/>
      <c r="B918" s="37"/>
      <c r="C918" s="37"/>
      <c r="D918" s="37"/>
      <c r="E918" s="37"/>
      <c r="F918" s="37"/>
      <c r="G918" s="1"/>
      <c r="H918" s="1"/>
      <c r="I918" s="1"/>
      <c r="J918" s="1"/>
      <c r="K918" s="1"/>
      <c r="L918" s="1"/>
      <c r="M918" s="1"/>
      <c r="N918" s="1"/>
      <c r="O918" s="1"/>
      <c r="P918" s="1"/>
      <c r="Q918" s="1"/>
      <c r="R918" s="1"/>
      <c r="S918" s="1"/>
      <c r="T918" s="1"/>
    </row>
    <row r="919" ht="15.75" customHeight="1">
      <c r="A919" s="36"/>
      <c r="B919" s="37"/>
      <c r="C919" s="37"/>
      <c r="D919" s="37"/>
      <c r="E919" s="37"/>
      <c r="F919" s="37"/>
      <c r="G919" s="1"/>
      <c r="H919" s="1"/>
      <c r="I919" s="1"/>
      <c r="J919" s="1"/>
      <c r="K919" s="1"/>
      <c r="L919" s="1"/>
      <c r="M919" s="1"/>
      <c r="N919" s="1"/>
      <c r="O919" s="1"/>
      <c r="P919" s="1"/>
      <c r="Q919" s="1"/>
      <c r="R919" s="1"/>
      <c r="S919" s="1"/>
      <c r="T919" s="1"/>
    </row>
    <row r="920" ht="15.75" customHeight="1">
      <c r="A920" s="36"/>
      <c r="B920" s="37"/>
      <c r="C920" s="37"/>
      <c r="D920" s="37"/>
      <c r="E920" s="37"/>
      <c r="F920" s="37"/>
      <c r="G920" s="1"/>
      <c r="H920" s="1"/>
      <c r="I920" s="1"/>
      <c r="J920" s="1"/>
      <c r="K920" s="1"/>
      <c r="L920" s="1"/>
      <c r="M920" s="1"/>
      <c r="N920" s="1"/>
      <c r="O920" s="1"/>
      <c r="P920" s="1"/>
      <c r="Q920" s="1"/>
      <c r="R920" s="1"/>
      <c r="S920" s="1"/>
      <c r="T920" s="1"/>
    </row>
    <row r="921" ht="15.75" customHeight="1">
      <c r="A921" s="36"/>
      <c r="B921" s="37"/>
      <c r="C921" s="37"/>
      <c r="D921" s="37"/>
      <c r="E921" s="37"/>
      <c r="F921" s="37"/>
      <c r="G921" s="1"/>
      <c r="H921" s="1"/>
      <c r="I921" s="1"/>
      <c r="J921" s="1"/>
      <c r="K921" s="1"/>
      <c r="L921" s="1"/>
      <c r="M921" s="1"/>
      <c r="N921" s="1"/>
      <c r="O921" s="1"/>
      <c r="P921" s="1"/>
      <c r="Q921" s="1"/>
      <c r="R921" s="1"/>
      <c r="S921" s="1"/>
      <c r="T921" s="1"/>
    </row>
    <row r="922" ht="15.75" customHeight="1">
      <c r="A922" s="36"/>
      <c r="B922" s="37"/>
      <c r="C922" s="37"/>
      <c r="D922" s="37"/>
      <c r="E922" s="37"/>
      <c r="F922" s="37"/>
      <c r="G922" s="1"/>
      <c r="H922" s="1"/>
      <c r="I922" s="1"/>
      <c r="J922" s="1"/>
      <c r="K922" s="1"/>
      <c r="L922" s="1"/>
      <c r="M922" s="1"/>
      <c r="N922" s="1"/>
      <c r="O922" s="1"/>
      <c r="P922" s="1"/>
      <c r="Q922" s="1"/>
      <c r="R922" s="1"/>
      <c r="S922" s="1"/>
      <c r="T922" s="1"/>
    </row>
    <row r="923" ht="15.75" customHeight="1">
      <c r="A923" s="36"/>
      <c r="B923" s="37"/>
      <c r="C923" s="37"/>
      <c r="D923" s="37"/>
      <c r="E923" s="37"/>
      <c r="F923" s="37"/>
      <c r="G923" s="1"/>
      <c r="H923" s="1"/>
      <c r="I923" s="1"/>
      <c r="J923" s="1"/>
      <c r="K923" s="1"/>
      <c r="L923" s="1"/>
      <c r="M923" s="1"/>
      <c r="N923" s="1"/>
      <c r="O923" s="1"/>
      <c r="P923" s="1"/>
      <c r="Q923" s="1"/>
      <c r="R923" s="1"/>
      <c r="S923" s="1"/>
      <c r="T923" s="1"/>
    </row>
    <row r="924" ht="15.75" customHeight="1">
      <c r="A924" s="36"/>
      <c r="B924" s="37"/>
      <c r="C924" s="37"/>
      <c r="D924" s="37"/>
      <c r="E924" s="37"/>
      <c r="F924" s="37"/>
      <c r="G924" s="1"/>
      <c r="H924" s="1"/>
      <c r="I924" s="1"/>
      <c r="J924" s="1"/>
      <c r="K924" s="1"/>
      <c r="L924" s="1"/>
      <c r="M924" s="1"/>
      <c r="N924" s="1"/>
      <c r="O924" s="1"/>
      <c r="P924" s="1"/>
      <c r="Q924" s="1"/>
      <c r="R924" s="1"/>
      <c r="S924" s="1"/>
      <c r="T924" s="1"/>
    </row>
    <row r="925" ht="15.75" customHeight="1">
      <c r="A925" s="36"/>
      <c r="B925" s="37"/>
      <c r="C925" s="37"/>
      <c r="D925" s="37"/>
      <c r="E925" s="37"/>
      <c r="F925" s="37"/>
      <c r="G925" s="1"/>
      <c r="H925" s="1"/>
      <c r="I925" s="1"/>
      <c r="J925" s="1"/>
      <c r="K925" s="1"/>
      <c r="L925" s="1"/>
      <c r="M925" s="1"/>
      <c r="N925" s="1"/>
      <c r="O925" s="1"/>
      <c r="P925" s="1"/>
      <c r="Q925" s="1"/>
      <c r="R925" s="1"/>
      <c r="S925" s="1"/>
      <c r="T925" s="1"/>
    </row>
    <row r="926" ht="15.75" customHeight="1">
      <c r="A926" s="36"/>
      <c r="B926" s="37"/>
      <c r="C926" s="37"/>
      <c r="D926" s="37"/>
      <c r="E926" s="37"/>
      <c r="F926" s="37"/>
      <c r="G926" s="1"/>
      <c r="H926" s="1"/>
      <c r="I926" s="1"/>
      <c r="J926" s="1"/>
      <c r="K926" s="1"/>
      <c r="L926" s="1"/>
      <c r="M926" s="1"/>
      <c r="N926" s="1"/>
      <c r="O926" s="1"/>
      <c r="P926" s="1"/>
      <c r="Q926" s="1"/>
      <c r="R926" s="1"/>
      <c r="S926" s="1"/>
      <c r="T926" s="1"/>
    </row>
    <row r="927" ht="15.75" customHeight="1">
      <c r="A927" s="36"/>
      <c r="B927" s="37"/>
      <c r="C927" s="37"/>
      <c r="D927" s="37"/>
      <c r="E927" s="37"/>
      <c r="F927" s="37"/>
      <c r="G927" s="1"/>
      <c r="H927" s="1"/>
      <c r="I927" s="1"/>
      <c r="J927" s="1"/>
      <c r="K927" s="1"/>
      <c r="L927" s="1"/>
      <c r="M927" s="1"/>
      <c r="N927" s="1"/>
      <c r="O927" s="1"/>
      <c r="P927" s="1"/>
      <c r="Q927" s="1"/>
      <c r="R927" s="1"/>
      <c r="S927" s="1"/>
      <c r="T927" s="1"/>
    </row>
    <row r="928" ht="15.75" customHeight="1">
      <c r="A928" s="36"/>
      <c r="B928" s="37"/>
      <c r="C928" s="37"/>
      <c r="D928" s="37"/>
      <c r="E928" s="37"/>
      <c r="F928" s="37"/>
      <c r="G928" s="1"/>
      <c r="H928" s="1"/>
      <c r="I928" s="1"/>
      <c r="J928" s="1"/>
      <c r="K928" s="1"/>
      <c r="L928" s="1"/>
      <c r="M928" s="1"/>
      <c r="N928" s="1"/>
      <c r="O928" s="1"/>
      <c r="P928" s="1"/>
      <c r="Q928" s="1"/>
      <c r="R928" s="1"/>
      <c r="S928" s="1"/>
      <c r="T928" s="1"/>
    </row>
    <row r="929" ht="15.75" customHeight="1">
      <c r="A929" s="36"/>
      <c r="B929" s="37"/>
      <c r="C929" s="37"/>
      <c r="D929" s="37"/>
      <c r="E929" s="37"/>
      <c r="F929" s="37"/>
      <c r="G929" s="1"/>
      <c r="H929" s="1"/>
      <c r="I929" s="1"/>
      <c r="J929" s="1"/>
      <c r="K929" s="1"/>
      <c r="L929" s="1"/>
      <c r="M929" s="1"/>
      <c r="N929" s="1"/>
      <c r="O929" s="1"/>
      <c r="P929" s="1"/>
      <c r="Q929" s="1"/>
      <c r="R929" s="1"/>
      <c r="S929" s="1"/>
      <c r="T929" s="1"/>
    </row>
    <row r="930" ht="15.75" customHeight="1">
      <c r="A930" s="36"/>
      <c r="B930" s="37"/>
      <c r="C930" s="37"/>
      <c r="D930" s="37"/>
      <c r="E930" s="37"/>
      <c r="F930" s="37"/>
      <c r="G930" s="1"/>
      <c r="H930" s="1"/>
      <c r="I930" s="1"/>
      <c r="J930" s="1"/>
      <c r="K930" s="1"/>
      <c r="L930" s="1"/>
      <c r="M930" s="1"/>
      <c r="N930" s="1"/>
      <c r="O930" s="1"/>
      <c r="P930" s="1"/>
      <c r="Q930" s="1"/>
      <c r="R930" s="1"/>
      <c r="S930" s="1"/>
      <c r="T930" s="1"/>
    </row>
    <row r="931" ht="15.75" customHeight="1">
      <c r="A931" s="36"/>
      <c r="B931" s="37"/>
      <c r="C931" s="37"/>
      <c r="D931" s="37"/>
      <c r="E931" s="37"/>
      <c r="F931" s="37"/>
      <c r="G931" s="1"/>
      <c r="H931" s="1"/>
      <c r="I931" s="1"/>
      <c r="J931" s="1"/>
      <c r="K931" s="1"/>
      <c r="L931" s="1"/>
      <c r="M931" s="1"/>
      <c r="N931" s="1"/>
      <c r="O931" s="1"/>
      <c r="P931" s="1"/>
      <c r="Q931" s="1"/>
      <c r="R931" s="1"/>
      <c r="S931" s="1"/>
      <c r="T931" s="1"/>
    </row>
    <row r="932" ht="15.75" customHeight="1">
      <c r="A932" s="36"/>
      <c r="B932" s="37"/>
      <c r="C932" s="37"/>
      <c r="D932" s="37"/>
      <c r="E932" s="37"/>
      <c r="F932" s="37"/>
      <c r="G932" s="1"/>
      <c r="H932" s="1"/>
      <c r="I932" s="1"/>
      <c r="J932" s="1"/>
      <c r="K932" s="1"/>
      <c r="L932" s="1"/>
      <c r="M932" s="1"/>
      <c r="N932" s="1"/>
      <c r="O932" s="1"/>
      <c r="P932" s="1"/>
      <c r="Q932" s="1"/>
      <c r="R932" s="1"/>
      <c r="S932" s="1"/>
      <c r="T932" s="1"/>
    </row>
    <row r="933" ht="15.75" customHeight="1">
      <c r="A933" s="36"/>
      <c r="B933" s="37"/>
      <c r="C933" s="37"/>
      <c r="D933" s="37"/>
      <c r="E933" s="37"/>
      <c r="F933" s="37"/>
      <c r="G933" s="1"/>
      <c r="H933" s="1"/>
      <c r="I933" s="1"/>
      <c r="J933" s="1"/>
      <c r="K933" s="1"/>
      <c r="L933" s="1"/>
      <c r="M933" s="1"/>
      <c r="N933" s="1"/>
      <c r="O933" s="1"/>
      <c r="P933" s="1"/>
      <c r="Q933" s="1"/>
      <c r="R933" s="1"/>
      <c r="S933" s="1"/>
      <c r="T933" s="1"/>
    </row>
    <row r="934" ht="15.75" customHeight="1">
      <c r="A934" s="36"/>
      <c r="B934" s="37"/>
      <c r="C934" s="37"/>
      <c r="D934" s="37"/>
      <c r="E934" s="37"/>
      <c r="F934" s="37"/>
      <c r="G934" s="1"/>
      <c r="H934" s="1"/>
      <c r="I934" s="1"/>
      <c r="J934" s="1"/>
      <c r="K934" s="1"/>
      <c r="L934" s="1"/>
      <c r="M934" s="1"/>
      <c r="N934" s="1"/>
      <c r="O934" s="1"/>
      <c r="P934" s="1"/>
      <c r="Q934" s="1"/>
      <c r="R934" s="1"/>
      <c r="S934" s="1"/>
      <c r="T934" s="1"/>
    </row>
    <row r="935" ht="15.75" customHeight="1">
      <c r="A935" s="36"/>
      <c r="B935" s="37"/>
      <c r="C935" s="37"/>
      <c r="D935" s="37"/>
      <c r="E935" s="37"/>
      <c r="F935" s="37"/>
      <c r="G935" s="1"/>
      <c r="H935" s="1"/>
      <c r="I935" s="1"/>
      <c r="J935" s="1"/>
      <c r="K935" s="1"/>
      <c r="L935" s="1"/>
      <c r="M935" s="1"/>
      <c r="N935" s="1"/>
      <c r="O935" s="1"/>
      <c r="P935" s="1"/>
      <c r="Q935" s="1"/>
      <c r="R935" s="1"/>
      <c r="S935" s="1"/>
      <c r="T935" s="1"/>
    </row>
    <row r="936" ht="15.75" customHeight="1">
      <c r="A936" s="36"/>
      <c r="B936" s="37"/>
      <c r="C936" s="37"/>
      <c r="D936" s="37"/>
      <c r="E936" s="37"/>
      <c r="F936" s="37"/>
      <c r="G936" s="1"/>
      <c r="H936" s="1"/>
      <c r="I936" s="1"/>
      <c r="J936" s="1"/>
      <c r="K936" s="1"/>
      <c r="L936" s="1"/>
      <c r="M936" s="1"/>
      <c r="N936" s="1"/>
      <c r="O936" s="1"/>
      <c r="P936" s="1"/>
      <c r="Q936" s="1"/>
      <c r="R936" s="1"/>
      <c r="S936" s="1"/>
      <c r="T936" s="1"/>
    </row>
    <row r="937" ht="15.75" customHeight="1">
      <c r="A937" s="36"/>
      <c r="B937" s="37"/>
      <c r="C937" s="37"/>
      <c r="D937" s="37"/>
      <c r="E937" s="37"/>
      <c r="F937" s="37"/>
      <c r="G937" s="1"/>
      <c r="H937" s="1"/>
      <c r="I937" s="1"/>
      <c r="J937" s="1"/>
      <c r="K937" s="1"/>
      <c r="L937" s="1"/>
      <c r="M937" s="1"/>
      <c r="N937" s="1"/>
      <c r="O937" s="1"/>
      <c r="P937" s="1"/>
      <c r="Q937" s="1"/>
      <c r="R937" s="1"/>
      <c r="S937" s="1"/>
      <c r="T937" s="1"/>
    </row>
    <row r="938" ht="15.75" customHeight="1">
      <c r="A938" s="36"/>
      <c r="B938" s="37"/>
      <c r="C938" s="37"/>
      <c r="D938" s="37"/>
      <c r="E938" s="37"/>
      <c r="F938" s="37"/>
      <c r="G938" s="1"/>
      <c r="H938" s="1"/>
      <c r="I938" s="1"/>
      <c r="J938" s="1"/>
      <c r="K938" s="1"/>
      <c r="L938" s="1"/>
      <c r="M938" s="1"/>
      <c r="N938" s="1"/>
      <c r="O938" s="1"/>
      <c r="P938" s="1"/>
      <c r="Q938" s="1"/>
      <c r="R938" s="1"/>
      <c r="S938" s="1"/>
      <c r="T938" s="1"/>
    </row>
    <row r="939" ht="15.75" customHeight="1">
      <c r="A939" s="36"/>
      <c r="B939" s="37"/>
      <c r="C939" s="37"/>
      <c r="D939" s="37"/>
      <c r="E939" s="37"/>
      <c r="F939" s="37"/>
      <c r="G939" s="1"/>
      <c r="H939" s="1"/>
      <c r="I939" s="1"/>
      <c r="J939" s="1"/>
      <c r="K939" s="1"/>
      <c r="L939" s="1"/>
      <c r="M939" s="1"/>
      <c r="N939" s="1"/>
      <c r="O939" s="1"/>
      <c r="P939" s="1"/>
      <c r="Q939" s="1"/>
      <c r="R939" s="1"/>
      <c r="S939" s="1"/>
      <c r="T939" s="1"/>
    </row>
    <row r="940" ht="15.75" customHeight="1">
      <c r="A940" s="36"/>
      <c r="B940" s="37"/>
      <c r="C940" s="37"/>
      <c r="D940" s="37"/>
      <c r="E940" s="37"/>
      <c r="F940" s="37"/>
      <c r="G940" s="1"/>
      <c r="H940" s="1"/>
      <c r="I940" s="1"/>
      <c r="J940" s="1"/>
      <c r="K940" s="1"/>
      <c r="L940" s="1"/>
      <c r="M940" s="1"/>
      <c r="N940" s="1"/>
      <c r="O940" s="1"/>
      <c r="P940" s="1"/>
      <c r="Q940" s="1"/>
      <c r="R940" s="1"/>
      <c r="S940" s="1"/>
      <c r="T940" s="1"/>
    </row>
    <row r="941" ht="15.75" customHeight="1">
      <c r="A941" s="36"/>
      <c r="B941" s="37"/>
      <c r="C941" s="37"/>
      <c r="D941" s="37"/>
      <c r="E941" s="37"/>
      <c r="F941" s="37"/>
      <c r="G941" s="1"/>
      <c r="H941" s="1"/>
      <c r="I941" s="1"/>
      <c r="J941" s="1"/>
      <c r="K941" s="1"/>
      <c r="L941" s="1"/>
      <c r="M941" s="1"/>
      <c r="N941" s="1"/>
      <c r="O941" s="1"/>
      <c r="P941" s="1"/>
      <c r="Q941" s="1"/>
      <c r="R941" s="1"/>
      <c r="S941" s="1"/>
      <c r="T941" s="1"/>
    </row>
    <row r="942" ht="15.75" customHeight="1">
      <c r="A942" s="36"/>
      <c r="B942" s="37"/>
      <c r="C942" s="37"/>
      <c r="D942" s="37"/>
      <c r="E942" s="37"/>
      <c r="F942" s="37"/>
      <c r="G942" s="1"/>
      <c r="H942" s="1"/>
      <c r="I942" s="1"/>
      <c r="J942" s="1"/>
      <c r="K942" s="1"/>
      <c r="L942" s="1"/>
      <c r="M942" s="1"/>
      <c r="N942" s="1"/>
      <c r="O942" s="1"/>
      <c r="P942" s="1"/>
      <c r="Q942" s="1"/>
      <c r="R942" s="1"/>
      <c r="S942" s="1"/>
      <c r="T942" s="1"/>
    </row>
    <row r="943" ht="15.75" customHeight="1">
      <c r="A943" s="36"/>
      <c r="B943" s="37"/>
      <c r="C943" s="37"/>
      <c r="D943" s="37"/>
      <c r="E943" s="37"/>
      <c r="F943" s="37"/>
      <c r="G943" s="1"/>
      <c r="H943" s="1"/>
      <c r="I943" s="1"/>
      <c r="J943" s="1"/>
      <c r="K943" s="1"/>
      <c r="L943" s="1"/>
      <c r="M943" s="1"/>
      <c r="N943" s="1"/>
      <c r="O943" s="1"/>
      <c r="P943" s="1"/>
      <c r="Q943" s="1"/>
      <c r="R943" s="1"/>
      <c r="S943" s="1"/>
      <c r="T943" s="1"/>
    </row>
    <row r="944" ht="15.75" customHeight="1">
      <c r="A944" s="36"/>
      <c r="B944" s="37"/>
      <c r="C944" s="37"/>
      <c r="D944" s="37"/>
      <c r="E944" s="37"/>
      <c r="F944" s="37"/>
      <c r="G944" s="1"/>
      <c r="H944" s="1"/>
      <c r="I944" s="1"/>
      <c r="J944" s="1"/>
      <c r="K944" s="1"/>
      <c r="L944" s="1"/>
      <c r="M944" s="1"/>
      <c r="N944" s="1"/>
      <c r="O944" s="1"/>
      <c r="P944" s="1"/>
      <c r="Q944" s="1"/>
      <c r="R944" s="1"/>
      <c r="S944" s="1"/>
      <c r="T944" s="1"/>
    </row>
    <row r="945" ht="15.75" customHeight="1">
      <c r="A945" s="36"/>
      <c r="B945" s="37"/>
      <c r="C945" s="37"/>
      <c r="D945" s="37"/>
      <c r="E945" s="37"/>
      <c r="F945" s="37"/>
      <c r="G945" s="1"/>
      <c r="H945" s="1"/>
      <c r="I945" s="1"/>
      <c r="J945" s="1"/>
      <c r="K945" s="1"/>
      <c r="L945" s="1"/>
      <c r="M945" s="1"/>
      <c r="N945" s="1"/>
      <c r="O945" s="1"/>
      <c r="P945" s="1"/>
      <c r="Q945" s="1"/>
      <c r="R945" s="1"/>
      <c r="S945" s="1"/>
      <c r="T945" s="1"/>
    </row>
    <row r="946" ht="15.75" customHeight="1">
      <c r="A946" s="36"/>
      <c r="B946" s="37"/>
      <c r="C946" s="37"/>
      <c r="D946" s="37"/>
      <c r="E946" s="37"/>
      <c r="F946" s="37"/>
      <c r="G946" s="1"/>
      <c r="H946" s="1"/>
      <c r="I946" s="1"/>
      <c r="J946" s="1"/>
      <c r="K946" s="1"/>
      <c r="L946" s="1"/>
      <c r="M946" s="1"/>
      <c r="N946" s="1"/>
      <c r="O946" s="1"/>
      <c r="P946" s="1"/>
      <c r="Q946" s="1"/>
      <c r="R946" s="1"/>
      <c r="S946" s="1"/>
      <c r="T946" s="1"/>
    </row>
    <row r="947" ht="15.75" customHeight="1">
      <c r="A947" s="36"/>
      <c r="B947" s="37"/>
      <c r="C947" s="37"/>
      <c r="D947" s="37"/>
      <c r="E947" s="37"/>
      <c r="F947" s="37"/>
      <c r="G947" s="1"/>
      <c r="H947" s="1"/>
      <c r="I947" s="1"/>
      <c r="J947" s="1"/>
      <c r="K947" s="1"/>
      <c r="L947" s="1"/>
      <c r="M947" s="1"/>
      <c r="N947" s="1"/>
      <c r="O947" s="1"/>
      <c r="P947" s="1"/>
      <c r="Q947" s="1"/>
      <c r="R947" s="1"/>
      <c r="S947" s="1"/>
      <c r="T947" s="1"/>
    </row>
    <row r="948" ht="15.75" customHeight="1">
      <c r="A948" s="36"/>
      <c r="B948" s="37"/>
      <c r="C948" s="37"/>
      <c r="D948" s="37"/>
      <c r="E948" s="37"/>
      <c r="F948" s="37"/>
      <c r="G948" s="1"/>
      <c r="H948" s="1"/>
      <c r="I948" s="1"/>
      <c r="J948" s="1"/>
      <c r="K948" s="1"/>
      <c r="L948" s="1"/>
      <c r="M948" s="1"/>
      <c r="N948" s="1"/>
      <c r="O948" s="1"/>
      <c r="P948" s="1"/>
      <c r="Q948" s="1"/>
      <c r="R948" s="1"/>
      <c r="S948" s="1"/>
      <c r="T948" s="1"/>
    </row>
    <row r="949" ht="15.75" customHeight="1">
      <c r="A949" s="36"/>
      <c r="B949" s="37"/>
      <c r="C949" s="37"/>
      <c r="D949" s="37"/>
      <c r="E949" s="37"/>
      <c r="F949" s="37"/>
      <c r="G949" s="1"/>
      <c r="H949" s="1"/>
      <c r="I949" s="1"/>
      <c r="J949" s="1"/>
      <c r="K949" s="1"/>
      <c r="L949" s="1"/>
      <c r="M949" s="1"/>
      <c r="N949" s="1"/>
      <c r="O949" s="1"/>
      <c r="P949" s="1"/>
      <c r="Q949" s="1"/>
      <c r="R949" s="1"/>
      <c r="S949" s="1"/>
      <c r="T949" s="1"/>
    </row>
    <row r="950" ht="15.75" customHeight="1">
      <c r="A950" s="36"/>
      <c r="B950" s="37"/>
      <c r="C950" s="37"/>
      <c r="D950" s="37"/>
      <c r="E950" s="37"/>
      <c r="F950" s="37"/>
      <c r="G950" s="1"/>
      <c r="H950" s="1"/>
      <c r="I950" s="1"/>
      <c r="J950" s="1"/>
      <c r="K950" s="1"/>
      <c r="L950" s="1"/>
      <c r="M950" s="1"/>
      <c r="N950" s="1"/>
      <c r="O950" s="1"/>
      <c r="P950" s="1"/>
      <c r="Q950" s="1"/>
      <c r="R950" s="1"/>
      <c r="S950" s="1"/>
      <c r="T950" s="1"/>
    </row>
    <row r="951" ht="15.75" customHeight="1">
      <c r="A951" s="36"/>
      <c r="B951" s="37"/>
      <c r="C951" s="37"/>
      <c r="D951" s="37"/>
      <c r="E951" s="37"/>
      <c r="F951" s="37"/>
      <c r="G951" s="1"/>
      <c r="H951" s="1"/>
      <c r="I951" s="1"/>
      <c r="J951" s="1"/>
      <c r="K951" s="1"/>
      <c r="L951" s="1"/>
      <c r="M951" s="1"/>
      <c r="N951" s="1"/>
      <c r="O951" s="1"/>
      <c r="P951" s="1"/>
      <c r="Q951" s="1"/>
      <c r="R951" s="1"/>
      <c r="S951" s="1"/>
      <c r="T951" s="1"/>
    </row>
    <row r="952" ht="15.75" customHeight="1">
      <c r="A952" s="36"/>
      <c r="B952" s="37"/>
      <c r="C952" s="37"/>
      <c r="D952" s="37"/>
      <c r="E952" s="37"/>
      <c r="F952" s="37"/>
      <c r="G952" s="1"/>
      <c r="H952" s="1"/>
      <c r="I952" s="1"/>
      <c r="J952" s="1"/>
      <c r="K952" s="1"/>
      <c r="L952" s="1"/>
      <c r="M952" s="1"/>
      <c r="N952" s="1"/>
      <c r="O952" s="1"/>
      <c r="P952" s="1"/>
      <c r="Q952" s="1"/>
      <c r="R952" s="1"/>
      <c r="S952" s="1"/>
      <c r="T952" s="1"/>
    </row>
    <row r="953" ht="15.75" customHeight="1">
      <c r="A953" s="36"/>
      <c r="B953" s="37"/>
      <c r="C953" s="37"/>
      <c r="D953" s="37"/>
      <c r="E953" s="37"/>
      <c r="F953" s="37"/>
      <c r="G953" s="1"/>
      <c r="H953" s="1"/>
      <c r="I953" s="1"/>
      <c r="J953" s="1"/>
      <c r="K953" s="1"/>
      <c r="L953" s="1"/>
      <c r="M953" s="1"/>
      <c r="N953" s="1"/>
      <c r="O953" s="1"/>
      <c r="P953" s="1"/>
      <c r="Q953" s="1"/>
      <c r="R953" s="1"/>
      <c r="S953" s="1"/>
      <c r="T953" s="1"/>
    </row>
    <row r="954" ht="15.75" customHeight="1">
      <c r="A954" s="36"/>
      <c r="B954" s="37"/>
      <c r="C954" s="37"/>
      <c r="D954" s="37"/>
      <c r="E954" s="37"/>
      <c r="F954" s="37"/>
      <c r="G954" s="1"/>
      <c r="H954" s="1"/>
      <c r="I954" s="1"/>
      <c r="J954" s="1"/>
      <c r="K954" s="1"/>
      <c r="L954" s="1"/>
      <c r="M954" s="1"/>
      <c r="N954" s="1"/>
      <c r="O954" s="1"/>
      <c r="P954" s="1"/>
      <c r="Q954" s="1"/>
      <c r="R954" s="1"/>
      <c r="S954" s="1"/>
      <c r="T954" s="1"/>
    </row>
    <row r="955" ht="15.75" customHeight="1">
      <c r="A955" s="36"/>
      <c r="B955" s="37"/>
      <c r="C955" s="37"/>
      <c r="D955" s="37"/>
      <c r="E955" s="37"/>
      <c r="F955" s="37"/>
      <c r="G955" s="1"/>
      <c r="H955" s="1"/>
      <c r="I955" s="1"/>
      <c r="J955" s="1"/>
      <c r="K955" s="1"/>
      <c r="L955" s="1"/>
      <c r="M955" s="1"/>
      <c r="N955" s="1"/>
      <c r="O955" s="1"/>
      <c r="P955" s="1"/>
      <c r="Q955" s="1"/>
      <c r="R955" s="1"/>
      <c r="S955" s="1"/>
      <c r="T955" s="1"/>
    </row>
    <row r="956" ht="15.75" customHeight="1">
      <c r="A956" s="36"/>
      <c r="B956" s="37"/>
      <c r="C956" s="37"/>
      <c r="D956" s="37"/>
      <c r="E956" s="37"/>
      <c r="F956" s="37"/>
      <c r="G956" s="1"/>
      <c r="H956" s="1"/>
      <c r="I956" s="1"/>
      <c r="J956" s="1"/>
      <c r="K956" s="1"/>
      <c r="L956" s="1"/>
      <c r="M956" s="1"/>
      <c r="N956" s="1"/>
      <c r="O956" s="1"/>
      <c r="P956" s="1"/>
      <c r="Q956" s="1"/>
      <c r="R956" s="1"/>
      <c r="S956" s="1"/>
      <c r="T956" s="1"/>
    </row>
    <row r="957" ht="15.75" customHeight="1">
      <c r="A957" s="36"/>
      <c r="B957" s="37"/>
      <c r="C957" s="37"/>
      <c r="D957" s="37"/>
      <c r="E957" s="37"/>
      <c r="F957" s="37"/>
      <c r="G957" s="1"/>
      <c r="H957" s="1"/>
      <c r="I957" s="1"/>
      <c r="J957" s="1"/>
      <c r="K957" s="1"/>
      <c r="L957" s="1"/>
      <c r="M957" s="1"/>
      <c r="N957" s="1"/>
      <c r="O957" s="1"/>
      <c r="P957" s="1"/>
      <c r="Q957" s="1"/>
      <c r="R957" s="1"/>
      <c r="S957" s="1"/>
      <c r="T957" s="1"/>
    </row>
    <row r="958" ht="15.75" customHeight="1">
      <c r="A958" s="36"/>
      <c r="B958" s="37"/>
      <c r="C958" s="37"/>
      <c r="D958" s="37"/>
      <c r="E958" s="37"/>
      <c r="F958" s="37"/>
      <c r="G958" s="1"/>
      <c r="H958" s="1"/>
      <c r="I958" s="1"/>
      <c r="J958" s="1"/>
      <c r="K958" s="1"/>
      <c r="L958" s="1"/>
      <c r="M958" s="1"/>
      <c r="N958" s="1"/>
      <c r="O958" s="1"/>
      <c r="P958" s="1"/>
      <c r="Q958" s="1"/>
      <c r="R958" s="1"/>
      <c r="S958" s="1"/>
      <c r="T958" s="1"/>
    </row>
    <row r="959" ht="15.75" customHeight="1">
      <c r="A959" s="36"/>
      <c r="B959" s="37"/>
      <c r="C959" s="37"/>
      <c r="D959" s="37"/>
      <c r="E959" s="37"/>
      <c r="F959" s="37"/>
      <c r="G959" s="1"/>
      <c r="H959" s="1"/>
      <c r="I959" s="1"/>
      <c r="J959" s="1"/>
      <c r="K959" s="1"/>
      <c r="L959" s="1"/>
      <c r="M959" s="1"/>
      <c r="N959" s="1"/>
      <c r="O959" s="1"/>
      <c r="P959" s="1"/>
      <c r="Q959" s="1"/>
      <c r="R959" s="1"/>
      <c r="S959" s="1"/>
      <c r="T959" s="1"/>
    </row>
    <row r="960" ht="15.75" customHeight="1">
      <c r="A960" s="36"/>
      <c r="B960" s="37"/>
      <c r="C960" s="37"/>
      <c r="D960" s="37"/>
      <c r="E960" s="37"/>
      <c r="F960" s="37"/>
      <c r="G960" s="1"/>
      <c r="H960" s="1"/>
      <c r="I960" s="1"/>
      <c r="J960" s="1"/>
      <c r="K960" s="1"/>
      <c r="L960" s="1"/>
      <c r="M960" s="1"/>
      <c r="N960" s="1"/>
      <c r="O960" s="1"/>
      <c r="P960" s="1"/>
      <c r="Q960" s="1"/>
      <c r="R960" s="1"/>
      <c r="S960" s="1"/>
      <c r="T960" s="1"/>
    </row>
    <row r="961" ht="15.75" customHeight="1">
      <c r="A961" s="36"/>
      <c r="B961" s="37"/>
      <c r="C961" s="37"/>
      <c r="D961" s="37"/>
      <c r="E961" s="37"/>
      <c r="F961" s="37"/>
      <c r="G961" s="1"/>
      <c r="H961" s="1"/>
      <c r="I961" s="1"/>
      <c r="J961" s="1"/>
      <c r="K961" s="1"/>
      <c r="L961" s="1"/>
      <c r="M961" s="1"/>
      <c r="N961" s="1"/>
      <c r="O961" s="1"/>
      <c r="P961" s="1"/>
      <c r="Q961" s="1"/>
      <c r="R961" s="1"/>
      <c r="S961" s="1"/>
      <c r="T961" s="1"/>
    </row>
    <row r="962" ht="15.75" customHeight="1">
      <c r="A962" s="36"/>
      <c r="B962" s="37"/>
      <c r="C962" s="37"/>
      <c r="D962" s="37"/>
      <c r="E962" s="37"/>
      <c r="F962" s="37"/>
      <c r="G962" s="1"/>
      <c r="H962" s="1"/>
      <c r="I962" s="1"/>
      <c r="J962" s="1"/>
      <c r="K962" s="1"/>
      <c r="L962" s="1"/>
      <c r="M962" s="1"/>
      <c r="N962" s="1"/>
      <c r="O962" s="1"/>
      <c r="P962" s="1"/>
      <c r="Q962" s="1"/>
      <c r="R962" s="1"/>
      <c r="S962" s="1"/>
      <c r="T962" s="1"/>
    </row>
    <row r="963" ht="15.75" customHeight="1">
      <c r="A963" s="36"/>
      <c r="B963" s="37"/>
      <c r="C963" s="37"/>
      <c r="D963" s="37"/>
      <c r="E963" s="37"/>
      <c r="F963" s="37"/>
      <c r="G963" s="1"/>
      <c r="H963" s="1"/>
      <c r="I963" s="1"/>
      <c r="J963" s="1"/>
      <c r="K963" s="1"/>
      <c r="L963" s="1"/>
      <c r="M963" s="1"/>
      <c r="N963" s="1"/>
      <c r="O963" s="1"/>
      <c r="P963" s="1"/>
      <c r="Q963" s="1"/>
      <c r="R963" s="1"/>
      <c r="S963" s="1"/>
      <c r="T963" s="1"/>
    </row>
    <row r="964" ht="15.75" customHeight="1">
      <c r="A964" s="36"/>
      <c r="B964" s="37"/>
      <c r="C964" s="37"/>
      <c r="D964" s="37"/>
      <c r="E964" s="37"/>
      <c r="F964" s="37"/>
      <c r="G964" s="1"/>
      <c r="H964" s="1"/>
      <c r="I964" s="1"/>
      <c r="J964" s="1"/>
      <c r="K964" s="1"/>
      <c r="L964" s="1"/>
      <c r="M964" s="1"/>
      <c r="N964" s="1"/>
      <c r="O964" s="1"/>
      <c r="P964" s="1"/>
      <c r="Q964" s="1"/>
      <c r="R964" s="1"/>
      <c r="S964" s="1"/>
      <c r="T964" s="1"/>
    </row>
    <row r="965" ht="15.75" customHeight="1">
      <c r="A965" s="36"/>
      <c r="B965" s="37"/>
      <c r="C965" s="37"/>
      <c r="D965" s="37"/>
      <c r="E965" s="37"/>
      <c r="F965" s="37"/>
      <c r="G965" s="1"/>
      <c r="H965" s="1"/>
      <c r="I965" s="1"/>
      <c r="J965" s="1"/>
      <c r="K965" s="1"/>
      <c r="L965" s="1"/>
      <c r="M965" s="1"/>
      <c r="N965" s="1"/>
      <c r="O965" s="1"/>
      <c r="P965" s="1"/>
      <c r="Q965" s="1"/>
      <c r="R965" s="1"/>
      <c r="S965" s="1"/>
      <c r="T965" s="1"/>
    </row>
    <row r="966" ht="15.75" customHeight="1">
      <c r="A966" s="36"/>
      <c r="B966" s="37"/>
      <c r="C966" s="37"/>
      <c r="D966" s="37"/>
      <c r="E966" s="37"/>
      <c r="F966" s="37"/>
      <c r="G966" s="1"/>
      <c r="H966" s="1"/>
      <c r="I966" s="1"/>
      <c r="J966" s="1"/>
      <c r="K966" s="1"/>
      <c r="L966" s="1"/>
      <c r="M966" s="1"/>
      <c r="N966" s="1"/>
      <c r="O966" s="1"/>
      <c r="P966" s="1"/>
      <c r="Q966" s="1"/>
      <c r="R966" s="1"/>
      <c r="S966" s="1"/>
      <c r="T966" s="1"/>
    </row>
    <row r="967" ht="15.75" customHeight="1">
      <c r="A967" s="36"/>
      <c r="B967" s="37"/>
      <c r="C967" s="37"/>
      <c r="D967" s="37"/>
      <c r="E967" s="37"/>
      <c r="F967" s="37"/>
      <c r="G967" s="1"/>
      <c r="H967" s="1"/>
      <c r="I967" s="1"/>
      <c r="J967" s="1"/>
      <c r="K967" s="1"/>
      <c r="L967" s="1"/>
      <c r="M967" s="1"/>
      <c r="N967" s="1"/>
      <c r="O967" s="1"/>
      <c r="P967" s="1"/>
      <c r="Q967" s="1"/>
      <c r="R967" s="1"/>
      <c r="S967" s="1"/>
      <c r="T967" s="1"/>
    </row>
    <row r="968" ht="15.75" customHeight="1">
      <c r="A968" s="36"/>
      <c r="B968" s="37"/>
      <c r="C968" s="37"/>
      <c r="D968" s="37"/>
      <c r="E968" s="37"/>
      <c r="F968" s="37"/>
      <c r="G968" s="1"/>
      <c r="H968" s="1"/>
      <c r="I968" s="1"/>
      <c r="J968" s="1"/>
      <c r="K968" s="1"/>
      <c r="L968" s="1"/>
      <c r="M968" s="1"/>
      <c r="N968" s="1"/>
      <c r="O968" s="1"/>
      <c r="P968" s="1"/>
      <c r="Q968" s="1"/>
      <c r="R968" s="1"/>
      <c r="S968" s="1"/>
      <c r="T968" s="1"/>
    </row>
    <row r="969" ht="15.75" customHeight="1">
      <c r="A969" s="36"/>
      <c r="B969" s="37"/>
      <c r="C969" s="37"/>
      <c r="D969" s="37"/>
      <c r="E969" s="37"/>
      <c r="F969" s="37"/>
      <c r="G969" s="1"/>
      <c r="H969" s="1"/>
      <c r="I969" s="1"/>
      <c r="J969" s="1"/>
      <c r="K969" s="1"/>
      <c r="L969" s="1"/>
      <c r="M969" s="1"/>
      <c r="N969" s="1"/>
      <c r="O969" s="1"/>
      <c r="P969" s="1"/>
      <c r="Q969" s="1"/>
      <c r="R969" s="1"/>
      <c r="S969" s="1"/>
      <c r="T969" s="1"/>
    </row>
    <row r="970" ht="15.75" customHeight="1">
      <c r="A970" s="36"/>
      <c r="B970" s="37"/>
      <c r="C970" s="37"/>
      <c r="D970" s="37"/>
      <c r="E970" s="37"/>
      <c r="F970" s="37"/>
      <c r="G970" s="1"/>
      <c r="H970" s="1"/>
      <c r="I970" s="1"/>
      <c r="J970" s="1"/>
      <c r="K970" s="1"/>
      <c r="L970" s="1"/>
      <c r="M970" s="1"/>
      <c r="N970" s="1"/>
      <c r="O970" s="1"/>
      <c r="P970" s="1"/>
      <c r="Q970" s="1"/>
      <c r="R970" s="1"/>
      <c r="S970" s="1"/>
      <c r="T970" s="1"/>
    </row>
    <row r="971" ht="15.75" customHeight="1">
      <c r="A971" s="36"/>
      <c r="B971" s="37"/>
      <c r="C971" s="37"/>
      <c r="D971" s="37"/>
      <c r="E971" s="37"/>
      <c r="F971" s="37"/>
      <c r="G971" s="1"/>
      <c r="H971" s="1"/>
      <c r="I971" s="1"/>
      <c r="J971" s="1"/>
      <c r="K971" s="1"/>
      <c r="L971" s="1"/>
      <c r="M971" s="1"/>
      <c r="N971" s="1"/>
      <c r="O971" s="1"/>
      <c r="P971" s="1"/>
      <c r="Q971" s="1"/>
      <c r="R971" s="1"/>
      <c r="S971" s="1"/>
      <c r="T971" s="1"/>
    </row>
    <row r="972" ht="15.75" customHeight="1">
      <c r="A972" s="36"/>
      <c r="B972" s="37"/>
      <c r="C972" s="37"/>
      <c r="D972" s="37"/>
      <c r="E972" s="37"/>
      <c r="F972" s="37"/>
      <c r="G972" s="1"/>
      <c r="H972" s="1"/>
      <c r="I972" s="1"/>
      <c r="J972" s="1"/>
      <c r="K972" s="1"/>
      <c r="L972" s="1"/>
      <c r="M972" s="1"/>
      <c r="N972" s="1"/>
      <c r="O972" s="1"/>
      <c r="P972" s="1"/>
      <c r="Q972" s="1"/>
      <c r="R972" s="1"/>
      <c r="S972" s="1"/>
      <c r="T972" s="1"/>
    </row>
    <row r="973" ht="15.75" customHeight="1">
      <c r="A973" s="36"/>
      <c r="B973" s="37"/>
      <c r="C973" s="37"/>
      <c r="D973" s="37"/>
      <c r="E973" s="37"/>
      <c r="F973" s="37"/>
      <c r="G973" s="1"/>
      <c r="H973" s="1"/>
      <c r="I973" s="1"/>
      <c r="J973" s="1"/>
      <c r="K973" s="1"/>
      <c r="L973" s="1"/>
      <c r="M973" s="1"/>
      <c r="N973" s="1"/>
      <c r="O973" s="1"/>
      <c r="P973" s="1"/>
      <c r="Q973" s="1"/>
      <c r="R973" s="1"/>
      <c r="S973" s="1"/>
      <c r="T973" s="1"/>
    </row>
    <row r="974" ht="15.75" customHeight="1">
      <c r="A974" s="36"/>
      <c r="B974" s="37"/>
      <c r="C974" s="37"/>
      <c r="D974" s="37"/>
      <c r="E974" s="37"/>
      <c r="F974" s="37"/>
      <c r="G974" s="1"/>
      <c r="H974" s="1"/>
      <c r="I974" s="1"/>
      <c r="J974" s="1"/>
      <c r="K974" s="1"/>
      <c r="L974" s="1"/>
      <c r="M974" s="1"/>
      <c r="N974" s="1"/>
      <c r="O974" s="1"/>
      <c r="P974" s="1"/>
      <c r="Q974" s="1"/>
      <c r="R974" s="1"/>
      <c r="S974" s="1"/>
      <c r="T974" s="1"/>
    </row>
    <row r="975" ht="15.75" customHeight="1">
      <c r="A975" s="36"/>
      <c r="B975" s="37"/>
      <c r="C975" s="37"/>
      <c r="D975" s="37"/>
      <c r="E975" s="37"/>
      <c r="F975" s="37"/>
      <c r="G975" s="1"/>
      <c r="H975" s="1"/>
      <c r="I975" s="1"/>
      <c r="J975" s="1"/>
      <c r="K975" s="1"/>
      <c r="L975" s="1"/>
      <c r="M975" s="1"/>
      <c r="N975" s="1"/>
      <c r="O975" s="1"/>
      <c r="P975" s="1"/>
      <c r="Q975" s="1"/>
      <c r="R975" s="1"/>
      <c r="S975" s="1"/>
      <c r="T975" s="1"/>
    </row>
    <row r="976" ht="15.75" customHeight="1">
      <c r="A976" s="36"/>
      <c r="B976" s="37"/>
      <c r="C976" s="37"/>
      <c r="D976" s="37"/>
      <c r="E976" s="37"/>
      <c r="F976" s="37"/>
      <c r="G976" s="1"/>
      <c r="H976" s="1"/>
      <c r="I976" s="1"/>
      <c r="J976" s="1"/>
      <c r="K976" s="1"/>
      <c r="L976" s="1"/>
      <c r="M976" s="1"/>
      <c r="N976" s="1"/>
      <c r="O976" s="1"/>
      <c r="P976" s="1"/>
      <c r="Q976" s="1"/>
      <c r="R976" s="1"/>
      <c r="S976" s="1"/>
      <c r="T976" s="1"/>
    </row>
    <row r="977" ht="15.75" customHeight="1">
      <c r="A977" s="36"/>
      <c r="B977" s="37"/>
      <c r="C977" s="37"/>
      <c r="D977" s="37"/>
      <c r="E977" s="37"/>
      <c r="F977" s="37"/>
      <c r="G977" s="1"/>
      <c r="H977" s="1"/>
      <c r="I977" s="1"/>
      <c r="J977" s="1"/>
      <c r="K977" s="1"/>
      <c r="L977" s="1"/>
      <c r="M977" s="1"/>
      <c r="N977" s="1"/>
      <c r="O977" s="1"/>
      <c r="P977" s="1"/>
      <c r="Q977" s="1"/>
      <c r="R977" s="1"/>
      <c r="S977" s="1"/>
      <c r="T977" s="1"/>
    </row>
    <row r="978" ht="15.75" customHeight="1">
      <c r="A978" s="36"/>
      <c r="B978" s="37"/>
      <c r="C978" s="37"/>
      <c r="D978" s="37"/>
      <c r="E978" s="37"/>
      <c r="F978" s="37"/>
      <c r="G978" s="1"/>
      <c r="H978" s="1"/>
      <c r="I978" s="1"/>
      <c r="J978" s="1"/>
      <c r="K978" s="1"/>
      <c r="L978" s="1"/>
      <c r="M978" s="1"/>
      <c r="N978" s="1"/>
      <c r="O978" s="1"/>
      <c r="P978" s="1"/>
      <c r="Q978" s="1"/>
      <c r="R978" s="1"/>
      <c r="S978" s="1"/>
      <c r="T978" s="1"/>
    </row>
    <row r="979" ht="15.75" customHeight="1">
      <c r="A979" s="36"/>
      <c r="B979" s="37"/>
      <c r="C979" s="37"/>
      <c r="D979" s="37"/>
      <c r="E979" s="37"/>
      <c r="F979" s="37"/>
      <c r="G979" s="1"/>
      <c r="H979" s="1"/>
      <c r="I979" s="1"/>
      <c r="J979" s="1"/>
      <c r="K979" s="1"/>
      <c r="L979" s="1"/>
      <c r="M979" s="1"/>
      <c r="N979" s="1"/>
      <c r="O979" s="1"/>
      <c r="P979" s="1"/>
      <c r="Q979" s="1"/>
      <c r="R979" s="1"/>
      <c r="S979" s="1"/>
      <c r="T979" s="1"/>
    </row>
    <row r="980" ht="15.75" customHeight="1">
      <c r="A980" s="36"/>
      <c r="B980" s="37"/>
      <c r="C980" s="37"/>
      <c r="D980" s="37"/>
      <c r="E980" s="37"/>
      <c r="F980" s="37"/>
      <c r="G980" s="1"/>
      <c r="H980" s="1"/>
      <c r="I980" s="1"/>
      <c r="J980" s="1"/>
      <c r="K980" s="1"/>
      <c r="L980" s="1"/>
      <c r="M980" s="1"/>
      <c r="N980" s="1"/>
      <c r="O980" s="1"/>
      <c r="P980" s="1"/>
      <c r="Q980" s="1"/>
      <c r="R980" s="1"/>
      <c r="S980" s="1"/>
      <c r="T980" s="1"/>
    </row>
    <row r="981" ht="15.75" customHeight="1">
      <c r="A981" s="36"/>
      <c r="B981" s="37"/>
      <c r="C981" s="37"/>
      <c r="D981" s="37"/>
      <c r="E981" s="37"/>
      <c r="F981" s="37"/>
      <c r="G981" s="1"/>
      <c r="H981" s="1"/>
      <c r="I981" s="1"/>
      <c r="J981" s="1"/>
      <c r="K981" s="1"/>
      <c r="L981" s="1"/>
      <c r="M981" s="1"/>
      <c r="N981" s="1"/>
      <c r="O981" s="1"/>
      <c r="P981" s="1"/>
      <c r="Q981" s="1"/>
      <c r="R981" s="1"/>
      <c r="S981" s="1"/>
      <c r="T981" s="1"/>
    </row>
    <row r="982" ht="15.75" customHeight="1">
      <c r="A982" s="36"/>
      <c r="B982" s="37"/>
      <c r="C982" s="37"/>
      <c r="D982" s="37"/>
      <c r="E982" s="37"/>
      <c r="F982" s="37"/>
      <c r="G982" s="1"/>
      <c r="H982" s="1"/>
      <c r="I982" s="1"/>
      <c r="J982" s="1"/>
      <c r="K982" s="1"/>
      <c r="L982" s="1"/>
      <c r="M982" s="1"/>
      <c r="N982" s="1"/>
      <c r="O982" s="1"/>
      <c r="P982" s="1"/>
      <c r="Q982" s="1"/>
      <c r="R982" s="1"/>
      <c r="S982" s="1"/>
      <c r="T982" s="1"/>
    </row>
    <row r="983" ht="15.75" customHeight="1">
      <c r="A983" s="36"/>
      <c r="B983" s="37"/>
      <c r="C983" s="37"/>
      <c r="D983" s="37"/>
      <c r="E983" s="37"/>
      <c r="F983" s="37"/>
      <c r="G983" s="1"/>
      <c r="H983" s="1"/>
      <c r="I983" s="1"/>
      <c r="J983" s="1"/>
      <c r="K983" s="1"/>
      <c r="L983" s="1"/>
      <c r="M983" s="1"/>
      <c r="N983" s="1"/>
      <c r="O983" s="1"/>
      <c r="P983" s="1"/>
      <c r="Q983" s="1"/>
      <c r="R983" s="1"/>
      <c r="S983" s="1"/>
      <c r="T983" s="1"/>
    </row>
    <row r="984" ht="15.75" customHeight="1">
      <c r="A984" s="36"/>
      <c r="B984" s="37"/>
      <c r="C984" s="37"/>
      <c r="D984" s="37"/>
      <c r="E984" s="37"/>
      <c r="F984" s="37"/>
      <c r="G984" s="1"/>
      <c r="H984" s="1"/>
      <c r="I984" s="1"/>
      <c r="J984" s="1"/>
      <c r="K984" s="1"/>
      <c r="L984" s="1"/>
      <c r="M984" s="1"/>
      <c r="N984" s="1"/>
      <c r="O984" s="1"/>
      <c r="P984" s="1"/>
      <c r="Q984" s="1"/>
      <c r="R984" s="1"/>
      <c r="S984" s="1"/>
      <c r="T984" s="1"/>
    </row>
    <row r="985" ht="15.75" customHeight="1">
      <c r="A985" s="36"/>
      <c r="B985" s="37"/>
      <c r="C985" s="37"/>
      <c r="D985" s="37"/>
      <c r="E985" s="37"/>
      <c r="F985" s="37"/>
      <c r="G985" s="1"/>
      <c r="H985" s="1"/>
      <c r="I985" s="1"/>
      <c r="J985" s="1"/>
      <c r="K985" s="1"/>
      <c r="L985" s="1"/>
      <c r="M985" s="1"/>
      <c r="N985" s="1"/>
      <c r="O985" s="1"/>
      <c r="P985" s="1"/>
      <c r="Q985" s="1"/>
      <c r="R985" s="1"/>
      <c r="S985" s="1"/>
      <c r="T985" s="1"/>
    </row>
    <row r="986" ht="15.75" customHeight="1">
      <c r="A986" s="36"/>
      <c r="B986" s="37"/>
      <c r="C986" s="37"/>
      <c r="D986" s="37"/>
      <c r="E986" s="37"/>
      <c r="F986" s="37"/>
      <c r="G986" s="1"/>
      <c r="H986" s="1"/>
      <c r="I986" s="1"/>
      <c r="J986" s="1"/>
      <c r="K986" s="1"/>
      <c r="L986" s="1"/>
      <c r="M986" s="1"/>
      <c r="N986" s="1"/>
      <c r="O986" s="1"/>
      <c r="P986" s="1"/>
      <c r="Q986" s="1"/>
      <c r="R986" s="1"/>
      <c r="S986" s="1"/>
      <c r="T986" s="1"/>
    </row>
    <row r="987" ht="15.75" customHeight="1">
      <c r="A987" s="36"/>
      <c r="B987" s="37"/>
      <c r="C987" s="37"/>
      <c r="D987" s="37"/>
      <c r="E987" s="37"/>
      <c r="F987" s="37"/>
      <c r="G987" s="1"/>
      <c r="H987" s="1"/>
      <c r="I987" s="1"/>
      <c r="J987" s="1"/>
      <c r="K987" s="1"/>
      <c r="L987" s="1"/>
      <c r="M987" s="1"/>
      <c r="N987" s="1"/>
      <c r="O987" s="1"/>
      <c r="P987" s="1"/>
      <c r="Q987" s="1"/>
      <c r="R987" s="1"/>
      <c r="S987" s="1"/>
      <c r="T987" s="1"/>
    </row>
    <row r="988" ht="15.75" customHeight="1">
      <c r="A988" s="36"/>
      <c r="B988" s="37"/>
      <c r="C988" s="37"/>
      <c r="D988" s="37"/>
      <c r="E988" s="37"/>
      <c r="F988" s="37"/>
      <c r="G988" s="1"/>
      <c r="H988" s="1"/>
      <c r="I988" s="1"/>
      <c r="J988" s="1"/>
      <c r="K988" s="1"/>
      <c r="L988" s="1"/>
      <c r="M988" s="1"/>
      <c r="N988" s="1"/>
      <c r="O988" s="1"/>
      <c r="P988" s="1"/>
      <c r="Q988" s="1"/>
      <c r="R988" s="1"/>
      <c r="S988" s="1"/>
      <c r="T988" s="1"/>
    </row>
    <row r="989" ht="15.75" customHeight="1">
      <c r="A989" s="36"/>
      <c r="B989" s="37"/>
      <c r="C989" s="37"/>
      <c r="D989" s="37"/>
      <c r="E989" s="37"/>
      <c r="F989" s="37"/>
      <c r="G989" s="1"/>
      <c r="H989" s="1"/>
      <c r="I989" s="1"/>
      <c r="J989" s="1"/>
      <c r="K989" s="1"/>
      <c r="L989" s="1"/>
      <c r="M989" s="1"/>
      <c r="N989" s="1"/>
      <c r="O989" s="1"/>
      <c r="P989" s="1"/>
      <c r="Q989" s="1"/>
      <c r="R989" s="1"/>
      <c r="S989" s="1"/>
      <c r="T989" s="1"/>
    </row>
    <row r="990" ht="15.75" customHeight="1">
      <c r="A990" s="36"/>
      <c r="B990" s="37"/>
      <c r="C990" s="37"/>
      <c r="D990" s="37"/>
      <c r="E990" s="37"/>
      <c r="F990" s="37"/>
      <c r="G990" s="1"/>
      <c r="H990" s="1"/>
      <c r="I990" s="1"/>
      <c r="J990" s="1"/>
      <c r="K990" s="1"/>
      <c r="L990" s="1"/>
      <c r="M990" s="1"/>
      <c r="N990" s="1"/>
      <c r="O990" s="1"/>
      <c r="P990" s="1"/>
      <c r="Q990" s="1"/>
      <c r="R990" s="1"/>
      <c r="S990" s="1"/>
      <c r="T990" s="1"/>
    </row>
    <row r="991" ht="15.75" customHeight="1">
      <c r="A991" s="36"/>
      <c r="B991" s="37"/>
      <c r="C991" s="37"/>
      <c r="D991" s="37"/>
      <c r="E991" s="37"/>
      <c r="F991" s="37"/>
      <c r="G991" s="1"/>
      <c r="H991" s="1"/>
      <c r="I991" s="1"/>
      <c r="J991" s="1"/>
      <c r="K991" s="1"/>
      <c r="L991" s="1"/>
      <c r="M991" s="1"/>
      <c r="N991" s="1"/>
      <c r="O991" s="1"/>
      <c r="P991" s="1"/>
      <c r="Q991" s="1"/>
      <c r="R991" s="1"/>
      <c r="S991" s="1"/>
      <c r="T991" s="1"/>
    </row>
    <row r="992" ht="15.75" customHeight="1">
      <c r="A992" s="36"/>
      <c r="B992" s="37"/>
      <c r="C992" s="37"/>
      <c r="D992" s="37"/>
      <c r="E992" s="37"/>
      <c r="F992" s="37"/>
      <c r="G992" s="1"/>
      <c r="H992" s="1"/>
      <c r="I992" s="1"/>
      <c r="J992" s="1"/>
      <c r="K992" s="1"/>
      <c r="L992" s="1"/>
      <c r="M992" s="1"/>
      <c r="N992" s="1"/>
      <c r="O992" s="1"/>
      <c r="P992" s="1"/>
      <c r="Q992" s="1"/>
      <c r="R992" s="1"/>
      <c r="S992" s="1"/>
      <c r="T992" s="1"/>
    </row>
    <row r="993" ht="15.75" customHeight="1">
      <c r="A993" s="36"/>
      <c r="B993" s="37"/>
      <c r="C993" s="37"/>
      <c r="D993" s="37"/>
      <c r="E993" s="37"/>
      <c r="F993" s="37"/>
      <c r="G993" s="1"/>
      <c r="H993" s="1"/>
      <c r="I993" s="1"/>
      <c r="J993" s="1"/>
      <c r="K993" s="1"/>
      <c r="L993" s="1"/>
      <c r="M993" s="1"/>
      <c r="N993" s="1"/>
      <c r="O993" s="1"/>
      <c r="P993" s="1"/>
      <c r="Q993" s="1"/>
      <c r="R993" s="1"/>
      <c r="S993" s="1"/>
      <c r="T993" s="1"/>
    </row>
    <row r="994" ht="15.75" customHeight="1">
      <c r="A994" s="36"/>
      <c r="B994" s="37"/>
      <c r="C994" s="37"/>
      <c r="D994" s="37"/>
      <c r="E994" s="37"/>
      <c r="F994" s="37"/>
      <c r="G994" s="1"/>
      <c r="H994" s="1"/>
      <c r="I994" s="1"/>
      <c r="J994" s="1"/>
      <c r="K994" s="1"/>
      <c r="L994" s="1"/>
      <c r="M994" s="1"/>
      <c r="N994" s="1"/>
      <c r="O994" s="1"/>
      <c r="P994" s="1"/>
      <c r="Q994" s="1"/>
      <c r="R994" s="1"/>
      <c r="S994" s="1"/>
      <c r="T994" s="1"/>
    </row>
    <row r="995" ht="15.75" customHeight="1">
      <c r="A995" s="36"/>
      <c r="B995" s="37"/>
      <c r="C995" s="37"/>
      <c r="D995" s="37"/>
      <c r="E995" s="37"/>
      <c r="F995" s="37"/>
      <c r="G995" s="1"/>
      <c r="H995" s="1"/>
      <c r="I995" s="1"/>
      <c r="J995" s="1"/>
      <c r="K995" s="1"/>
      <c r="L995" s="1"/>
      <c r="M995" s="1"/>
      <c r="N995" s="1"/>
      <c r="O995" s="1"/>
      <c r="P995" s="1"/>
      <c r="Q995" s="1"/>
      <c r="R995" s="1"/>
      <c r="S995" s="1"/>
      <c r="T995" s="1"/>
    </row>
    <row r="996" ht="15.75" customHeight="1">
      <c r="A996" s="36"/>
      <c r="B996" s="37"/>
      <c r="C996" s="37"/>
      <c r="D996" s="37"/>
      <c r="E996" s="37"/>
      <c r="F996" s="37"/>
      <c r="G996" s="1"/>
      <c r="H996" s="1"/>
      <c r="I996" s="1"/>
      <c r="J996" s="1"/>
      <c r="K996" s="1"/>
      <c r="L996" s="1"/>
      <c r="M996" s="1"/>
      <c r="N996" s="1"/>
      <c r="O996" s="1"/>
      <c r="P996" s="1"/>
      <c r="Q996" s="1"/>
      <c r="R996" s="1"/>
      <c r="S996" s="1"/>
      <c r="T996" s="1"/>
    </row>
    <row r="997" ht="15.75" customHeight="1">
      <c r="A997" s="36"/>
      <c r="B997" s="37"/>
      <c r="C997" s="37"/>
      <c r="D997" s="37"/>
      <c r="E997" s="37"/>
      <c r="F997" s="37"/>
      <c r="G997" s="1"/>
      <c r="H997" s="1"/>
      <c r="I997" s="1"/>
      <c r="J997" s="1"/>
      <c r="K997" s="1"/>
      <c r="L997" s="1"/>
      <c r="M997" s="1"/>
      <c r="N997" s="1"/>
      <c r="O997" s="1"/>
      <c r="P997" s="1"/>
      <c r="Q997" s="1"/>
      <c r="R997" s="1"/>
      <c r="S997" s="1"/>
      <c r="T997" s="1"/>
    </row>
    <row r="998" ht="15.75" customHeight="1">
      <c r="A998" s="36"/>
      <c r="B998" s="37"/>
      <c r="C998" s="37"/>
      <c r="D998" s="37"/>
      <c r="E998" s="37"/>
      <c r="F998" s="37"/>
      <c r="G998" s="1"/>
      <c r="H998" s="1"/>
      <c r="I998" s="1"/>
      <c r="J998" s="1"/>
      <c r="K998" s="1"/>
      <c r="L998" s="1"/>
      <c r="M998" s="1"/>
      <c r="N998" s="1"/>
      <c r="O998" s="1"/>
      <c r="P998" s="1"/>
      <c r="Q998" s="1"/>
      <c r="R998" s="1"/>
      <c r="S998" s="1"/>
      <c r="T998" s="1"/>
    </row>
    <row r="999" ht="15.75" customHeight="1">
      <c r="A999" s="36"/>
      <c r="B999" s="37"/>
      <c r="C999" s="37"/>
      <c r="D999" s="37"/>
      <c r="E999" s="37"/>
      <c r="F999" s="37"/>
      <c r="G999" s="1"/>
      <c r="H999" s="1"/>
      <c r="I999" s="1"/>
      <c r="J999" s="1"/>
      <c r="K999" s="1"/>
      <c r="L999" s="1"/>
      <c r="M999" s="1"/>
      <c r="N999" s="1"/>
      <c r="O999" s="1"/>
      <c r="P999" s="1"/>
      <c r="Q999" s="1"/>
      <c r="R999" s="1"/>
      <c r="S999" s="1"/>
      <c r="T999" s="1"/>
    </row>
    <row r="1000" ht="15.75" customHeight="1">
      <c r="A1000" s="36"/>
      <c r="B1000" s="37"/>
      <c r="C1000" s="37"/>
      <c r="D1000" s="37"/>
      <c r="E1000" s="37"/>
      <c r="F1000" s="37"/>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hyperlinks>
    <hyperlink r:id="rId1" ref="A12"/>
    <hyperlink r:id="rId2" ref="H12"/>
    <hyperlink r:id="rId3" ref="I12"/>
    <hyperlink r:id="rId4" ref="H13"/>
    <hyperlink r:id="rId5" ref="H14"/>
    <hyperlink r:id="rId6" ref="H15"/>
    <hyperlink r:id="rId7" ref="H16"/>
    <hyperlink r:id="rId8" ref="H17"/>
    <hyperlink r:id="rId9" ref="H18"/>
    <hyperlink r:id="rId10" ref="H19"/>
    <hyperlink r:id="rId11" ref="H20"/>
  </hyperlinks>
  <printOptions/>
  <pageMargins bottom="0.75" footer="0.0" header="0.0" left="0.7" right="0.7" top="0.75"/>
  <pageSetup orientation="landscape"/>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1.71"/>
    <col customWidth="1" min="3" max="3" width="8.14"/>
    <col customWidth="1" min="4" max="4" width="13.14"/>
    <col customWidth="1" min="5" max="5" width="6.43"/>
    <col customWidth="1" min="6" max="6" width="5.71"/>
    <col customWidth="1" min="7" max="7" width="10.0"/>
    <col customWidth="1" min="8" max="9" width="9.14"/>
    <col customWidth="1" min="10" max="10" width="12.29"/>
    <col customWidth="1" min="11" max="11" width="9.14"/>
    <col customWidth="1" min="12" max="12" width="8.14"/>
    <col customWidth="1" min="13" max="13" width="10.14"/>
    <col customWidth="1" min="14" max="14" width="8.71"/>
    <col customWidth="1" min="15" max="15" width="20.71"/>
    <col customWidth="1" min="16" max="18" width="8.71"/>
    <col customWidth="1" min="19" max="26" width="8.0"/>
  </cols>
  <sheetData>
    <row r="1">
      <c r="A1" s="36"/>
      <c r="B1" s="37"/>
      <c r="C1" s="1"/>
      <c r="D1" s="1"/>
      <c r="E1" s="1"/>
      <c r="F1" s="1"/>
      <c r="G1" s="1"/>
      <c r="H1" s="1"/>
      <c r="I1" s="1"/>
      <c r="J1" s="1"/>
      <c r="K1" s="1"/>
      <c r="L1" s="1"/>
    </row>
    <row r="2" ht="33.75" customHeight="1">
      <c r="A2" s="38" t="s">
        <v>255</v>
      </c>
      <c r="B2" s="39"/>
      <c r="C2" s="39"/>
      <c r="D2" s="39"/>
      <c r="E2" s="39"/>
      <c r="F2" s="39"/>
      <c r="G2" s="39"/>
      <c r="H2" s="39"/>
      <c r="I2" s="39"/>
      <c r="J2" s="39"/>
      <c r="K2" s="39"/>
      <c r="L2" s="39"/>
      <c r="M2" s="39"/>
      <c r="N2" s="40"/>
      <c r="O2" s="104"/>
      <c r="P2" s="104"/>
      <c r="Q2" s="104"/>
      <c r="R2" s="104"/>
      <c r="S2" s="104"/>
      <c r="T2" s="104"/>
      <c r="U2" s="104"/>
      <c r="V2" s="104"/>
      <c r="W2" s="104"/>
      <c r="X2" s="104"/>
      <c r="Y2" s="104"/>
      <c r="Z2" s="104"/>
    </row>
    <row r="3" ht="18.0" customHeight="1">
      <c r="A3" s="105"/>
      <c r="B3" s="105"/>
      <c r="C3" s="105"/>
      <c r="D3" s="105"/>
      <c r="E3" s="105"/>
      <c r="F3" s="105"/>
      <c r="G3" s="105"/>
      <c r="H3" s="41"/>
      <c r="I3" s="41"/>
      <c r="J3" s="41"/>
      <c r="K3" s="41"/>
      <c r="L3" s="41"/>
      <c r="M3" s="42"/>
      <c r="N3" s="42"/>
      <c r="O3" s="42"/>
      <c r="P3" s="42"/>
      <c r="Q3" s="42"/>
      <c r="R3" s="42"/>
      <c r="S3" s="42"/>
      <c r="T3" s="42"/>
      <c r="U3" s="42"/>
      <c r="V3" s="42"/>
      <c r="W3" s="42"/>
      <c r="X3" s="42"/>
      <c r="Y3" s="42"/>
      <c r="Z3" s="42"/>
    </row>
    <row r="4" ht="15.75" customHeight="1">
      <c r="A4" s="106" t="s">
        <v>256</v>
      </c>
      <c r="B4" s="39"/>
      <c r="C4" s="39"/>
      <c r="D4" s="39"/>
      <c r="E4" s="39"/>
      <c r="F4" s="39"/>
      <c r="G4" s="39"/>
      <c r="H4" s="39"/>
      <c r="I4" s="39"/>
      <c r="J4" s="39"/>
      <c r="K4" s="39"/>
      <c r="L4" s="39"/>
      <c r="M4" s="39"/>
      <c r="N4" s="40"/>
      <c r="O4" s="42"/>
      <c r="P4" s="42"/>
      <c r="Q4" s="42"/>
      <c r="R4" s="42"/>
      <c r="S4" s="42"/>
      <c r="T4" s="42"/>
      <c r="U4" s="42"/>
      <c r="V4" s="42"/>
      <c r="W4" s="42"/>
      <c r="X4" s="42"/>
      <c r="Y4" s="42"/>
      <c r="Z4" s="42"/>
    </row>
    <row r="5" ht="13.5" customHeight="1">
      <c r="A5" s="107" t="s">
        <v>257</v>
      </c>
      <c r="B5" s="39"/>
      <c r="C5" s="39"/>
      <c r="D5" s="39"/>
      <c r="E5" s="39"/>
      <c r="F5" s="39"/>
      <c r="G5" s="39"/>
      <c r="H5" s="39"/>
      <c r="I5" s="39"/>
      <c r="J5" s="39"/>
      <c r="K5" s="39"/>
      <c r="L5" s="39"/>
      <c r="M5" s="39"/>
      <c r="N5" s="40"/>
      <c r="O5" s="42"/>
      <c r="P5" s="42"/>
      <c r="Q5" s="42"/>
      <c r="R5" s="42"/>
      <c r="S5" s="42"/>
      <c r="T5" s="42"/>
      <c r="U5" s="42"/>
      <c r="V5" s="42"/>
      <c r="W5" s="42"/>
      <c r="X5" s="42"/>
      <c r="Y5" s="42"/>
      <c r="Z5" s="42"/>
    </row>
    <row r="6">
      <c r="A6" s="106" t="s">
        <v>258</v>
      </c>
      <c r="B6" s="39"/>
      <c r="C6" s="39"/>
      <c r="D6" s="39"/>
      <c r="E6" s="39"/>
      <c r="F6" s="39"/>
      <c r="G6" s="39"/>
      <c r="H6" s="39"/>
      <c r="I6" s="39"/>
      <c r="J6" s="39"/>
      <c r="K6" s="39"/>
      <c r="L6" s="39"/>
      <c r="M6" s="39"/>
      <c r="N6" s="40"/>
      <c r="O6" s="42"/>
      <c r="P6" s="42"/>
      <c r="Q6" s="42"/>
      <c r="R6" s="42"/>
      <c r="S6" s="42"/>
      <c r="T6" s="42"/>
      <c r="U6" s="42"/>
      <c r="V6" s="42"/>
      <c r="W6" s="42"/>
      <c r="X6" s="42"/>
      <c r="Y6" s="42"/>
      <c r="Z6" s="42"/>
    </row>
    <row r="7">
      <c r="A7" s="43" t="s">
        <v>100</v>
      </c>
      <c r="B7" s="39"/>
      <c r="C7" s="39"/>
      <c r="D7" s="39"/>
      <c r="E7" s="39"/>
      <c r="F7" s="39"/>
      <c r="G7" s="39"/>
      <c r="H7" s="39"/>
      <c r="I7" s="39"/>
      <c r="J7" s="39"/>
      <c r="K7" s="39"/>
      <c r="L7" s="39"/>
      <c r="M7" s="39"/>
      <c r="N7" s="40"/>
      <c r="O7" s="41"/>
      <c r="P7" s="41"/>
      <c r="Q7" s="41"/>
      <c r="R7" s="41"/>
      <c r="S7" s="42"/>
      <c r="T7" s="42"/>
      <c r="U7" s="42"/>
      <c r="V7" s="42"/>
      <c r="W7" s="42"/>
      <c r="X7" s="42"/>
      <c r="Y7" s="42"/>
      <c r="Z7" s="42"/>
    </row>
    <row r="8" ht="57.0" customHeight="1">
      <c r="A8" s="44" t="s">
        <v>259</v>
      </c>
      <c r="B8" s="39"/>
      <c r="C8" s="39"/>
      <c r="D8" s="39"/>
      <c r="E8" s="39"/>
      <c r="F8" s="39"/>
      <c r="G8" s="39"/>
      <c r="H8" s="39"/>
      <c r="I8" s="39"/>
      <c r="J8" s="39"/>
      <c r="K8" s="39"/>
      <c r="L8" s="39"/>
      <c r="M8" s="39"/>
      <c r="N8" s="40"/>
      <c r="O8" s="42"/>
      <c r="P8" s="42"/>
      <c r="Q8" s="42"/>
      <c r="R8" s="42"/>
      <c r="S8" s="42"/>
      <c r="T8" s="42"/>
      <c r="U8" s="42"/>
      <c r="V8" s="42"/>
      <c r="W8" s="42"/>
      <c r="X8" s="42"/>
      <c r="Y8" s="42"/>
      <c r="Z8" s="42"/>
    </row>
    <row r="9">
      <c r="A9" s="108"/>
      <c r="B9" s="108"/>
      <c r="C9" s="108"/>
      <c r="D9" s="108"/>
      <c r="E9" s="108"/>
      <c r="F9" s="108"/>
      <c r="G9" s="108"/>
      <c r="H9" s="108"/>
      <c r="I9" s="108"/>
      <c r="J9" s="108"/>
      <c r="K9" s="108"/>
      <c r="L9" s="108"/>
      <c r="M9" s="42"/>
      <c r="N9" s="42"/>
      <c r="O9" s="42"/>
      <c r="P9" s="42"/>
      <c r="Q9" s="42"/>
      <c r="R9" s="42"/>
      <c r="S9" s="42"/>
      <c r="T9" s="42"/>
      <c r="U9" s="42"/>
      <c r="V9" s="42"/>
      <c r="W9" s="42"/>
      <c r="X9" s="42"/>
      <c r="Y9" s="42"/>
      <c r="Z9" s="42"/>
    </row>
    <row r="10" ht="51.0" customHeight="1">
      <c r="A10" s="47" t="s">
        <v>102</v>
      </c>
      <c r="B10" s="47" t="s">
        <v>103</v>
      </c>
      <c r="C10" s="47" t="s">
        <v>104</v>
      </c>
      <c r="D10" s="48" t="s">
        <v>105</v>
      </c>
      <c r="E10" s="48" t="s">
        <v>106</v>
      </c>
      <c r="F10" s="48" t="s">
        <v>107</v>
      </c>
      <c r="G10" s="47" t="s">
        <v>260</v>
      </c>
      <c r="H10" s="109" t="s">
        <v>109</v>
      </c>
      <c r="I10" s="48" t="s">
        <v>110</v>
      </c>
      <c r="J10" s="48" t="s">
        <v>111</v>
      </c>
      <c r="K10" s="48" t="s">
        <v>112</v>
      </c>
      <c r="L10" s="48" t="s">
        <v>113</v>
      </c>
      <c r="M10" s="47" t="s">
        <v>116</v>
      </c>
      <c r="N10" s="47" t="s">
        <v>117</v>
      </c>
      <c r="O10" s="49" t="s">
        <v>118</v>
      </c>
      <c r="P10" s="42"/>
      <c r="Q10" s="42"/>
      <c r="R10" s="42"/>
      <c r="S10" s="42"/>
      <c r="T10" s="42"/>
      <c r="U10" s="42"/>
      <c r="V10" s="42"/>
      <c r="W10" s="42"/>
      <c r="X10" s="42"/>
      <c r="Y10" s="42"/>
      <c r="Z10" s="42"/>
    </row>
    <row r="11" ht="127.5" customHeight="1">
      <c r="A11" s="110" t="s">
        <v>261</v>
      </c>
      <c r="B11" s="110" t="s">
        <v>262</v>
      </c>
      <c r="C11" s="111" t="s">
        <v>38</v>
      </c>
      <c r="D11" s="111" t="s">
        <v>263</v>
      </c>
      <c r="E11" s="111">
        <v>20.0</v>
      </c>
      <c r="F11" s="111">
        <v>4.0</v>
      </c>
      <c r="G11" s="112" t="s">
        <v>264</v>
      </c>
      <c r="H11" s="87" t="s">
        <v>265</v>
      </c>
      <c r="I11" s="111"/>
      <c r="J11" s="111" t="s">
        <v>266</v>
      </c>
      <c r="K11" s="113" t="s">
        <v>267</v>
      </c>
      <c r="L11" s="111">
        <v>2020.0</v>
      </c>
      <c r="M11" s="114">
        <v>200.0</v>
      </c>
      <c r="N11" s="115">
        <v>200.0</v>
      </c>
      <c r="O11" s="62" t="s">
        <v>194</v>
      </c>
      <c r="P11" s="42"/>
      <c r="Q11" s="42"/>
      <c r="R11" s="42"/>
      <c r="S11" s="42"/>
      <c r="T11" s="42"/>
      <c r="U11" s="42"/>
      <c r="V11" s="42"/>
      <c r="W11" s="42"/>
      <c r="X11" s="42"/>
      <c r="Y11" s="42"/>
      <c r="Z11" s="42"/>
    </row>
    <row r="12" ht="127.5" customHeight="1">
      <c r="A12" s="110" t="s">
        <v>268</v>
      </c>
      <c r="B12" s="110" t="s">
        <v>269</v>
      </c>
      <c r="C12" s="111" t="s">
        <v>38</v>
      </c>
      <c r="D12" s="111" t="s">
        <v>263</v>
      </c>
      <c r="E12" s="111">
        <v>20.0</v>
      </c>
      <c r="F12" s="111">
        <v>4.0</v>
      </c>
      <c r="G12" s="112" t="s">
        <v>264</v>
      </c>
      <c r="H12" s="87" t="s">
        <v>270</v>
      </c>
      <c r="I12" s="111"/>
      <c r="J12" s="111" t="s">
        <v>271</v>
      </c>
      <c r="K12" s="113" t="s">
        <v>272</v>
      </c>
      <c r="L12" s="111">
        <v>2020.0</v>
      </c>
      <c r="M12" s="116">
        <v>200.0</v>
      </c>
      <c r="N12" s="115">
        <f t="shared" ref="N12:N13" si="1">M12/2</f>
        <v>100</v>
      </c>
      <c r="O12" s="62" t="s">
        <v>194</v>
      </c>
      <c r="P12" s="42"/>
      <c r="Q12" s="42"/>
      <c r="R12" s="42"/>
      <c r="S12" s="42"/>
      <c r="T12" s="42"/>
      <c r="U12" s="42"/>
      <c r="V12" s="42"/>
      <c r="W12" s="42"/>
      <c r="X12" s="42"/>
      <c r="Y12" s="42"/>
      <c r="Z12" s="42"/>
    </row>
    <row r="13" ht="127.5" customHeight="1">
      <c r="A13" s="54" t="s">
        <v>273</v>
      </c>
      <c r="B13" s="110" t="s">
        <v>269</v>
      </c>
      <c r="C13" s="111" t="s">
        <v>38</v>
      </c>
      <c r="D13" s="111" t="s">
        <v>263</v>
      </c>
      <c r="E13" s="111">
        <v>20.0</v>
      </c>
      <c r="F13" s="111">
        <v>4.0</v>
      </c>
      <c r="G13" s="112" t="s">
        <v>264</v>
      </c>
      <c r="H13" s="52" t="s">
        <v>274</v>
      </c>
      <c r="I13" s="60"/>
      <c r="J13" s="60" t="s">
        <v>275</v>
      </c>
      <c r="K13" s="74" t="s">
        <v>276</v>
      </c>
      <c r="L13" s="60">
        <v>200.0</v>
      </c>
      <c r="M13" s="117">
        <v>200.0</v>
      </c>
      <c r="N13" s="118">
        <f t="shared" si="1"/>
        <v>100</v>
      </c>
      <c r="O13" s="62" t="s">
        <v>194</v>
      </c>
      <c r="P13" s="42"/>
      <c r="Q13" s="42"/>
      <c r="R13" s="42"/>
      <c r="S13" s="42"/>
      <c r="T13" s="42"/>
      <c r="U13" s="42"/>
      <c r="V13" s="42"/>
      <c r="W13" s="42"/>
      <c r="X13" s="42"/>
      <c r="Y13" s="42"/>
      <c r="Z13" s="42"/>
    </row>
    <row r="14" ht="127.5" customHeight="1">
      <c r="A14" s="110" t="s">
        <v>277</v>
      </c>
      <c r="B14" s="110" t="s">
        <v>278</v>
      </c>
      <c r="C14" s="111" t="s">
        <v>38</v>
      </c>
      <c r="D14" s="111" t="s">
        <v>263</v>
      </c>
      <c r="E14" s="111">
        <v>20.0</v>
      </c>
      <c r="F14" s="111">
        <v>4.0</v>
      </c>
      <c r="G14" s="112" t="s">
        <v>264</v>
      </c>
      <c r="H14" s="67" t="s">
        <v>279</v>
      </c>
      <c r="I14" s="111"/>
      <c r="J14" s="111" t="s">
        <v>280</v>
      </c>
      <c r="K14" s="113" t="s">
        <v>281</v>
      </c>
      <c r="L14" s="111">
        <v>2020.0</v>
      </c>
      <c r="M14" s="114">
        <v>200.0</v>
      </c>
      <c r="N14" s="115">
        <v>200.0</v>
      </c>
      <c r="O14" s="62" t="s">
        <v>278</v>
      </c>
      <c r="P14" s="42"/>
      <c r="Q14" s="42"/>
      <c r="R14" s="42"/>
      <c r="S14" s="42"/>
      <c r="T14" s="42"/>
      <c r="U14" s="42"/>
      <c r="V14" s="42"/>
      <c r="W14" s="42"/>
      <c r="X14" s="42"/>
      <c r="Y14" s="42"/>
      <c r="Z14" s="42"/>
    </row>
    <row r="15" ht="409.5" customHeight="1">
      <c r="A15" s="119" t="s">
        <v>282</v>
      </c>
      <c r="B15" s="120" t="s">
        <v>283</v>
      </c>
      <c r="C15" s="121" t="s">
        <v>284</v>
      </c>
      <c r="D15" s="119" t="s">
        <v>285</v>
      </c>
      <c r="E15" s="120">
        <v>30.0</v>
      </c>
      <c r="F15" s="121">
        <v>3.0</v>
      </c>
      <c r="G15" s="122" t="s">
        <v>286</v>
      </c>
      <c r="H15" s="121"/>
      <c r="I15" s="121" t="s">
        <v>287</v>
      </c>
      <c r="J15" s="121" t="s">
        <v>288</v>
      </c>
      <c r="K15" s="123" t="s">
        <v>289</v>
      </c>
      <c r="L15" s="121">
        <v>2020.0</v>
      </c>
      <c r="M15" s="124">
        <v>200.0</v>
      </c>
      <c r="N15" s="125">
        <v>100.0</v>
      </c>
      <c r="O15" s="62" t="s">
        <v>290</v>
      </c>
      <c r="P15" s="42"/>
      <c r="Q15" s="42"/>
      <c r="R15" s="42"/>
      <c r="S15" s="42"/>
      <c r="T15" s="42"/>
      <c r="U15" s="42"/>
      <c r="V15" s="42"/>
      <c r="W15" s="42"/>
      <c r="X15" s="42"/>
      <c r="Y15" s="42"/>
      <c r="Z15" s="42"/>
    </row>
    <row r="16" ht="180.0" customHeight="1">
      <c r="A16" s="13" t="s">
        <v>291</v>
      </c>
      <c r="B16" s="13" t="s">
        <v>292</v>
      </c>
      <c r="C16" s="121" t="s">
        <v>284</v>
      </c>
      <c r="D16" s="13" t="s">
        <v>293</v>
      </c>
      <c r="E16" s="98">
        <v>36.0</v>
      </c>
      <c r="F16" s="60">
        <v>2.0</v>
      </c>
      <c r="G16" s="126" t="s">
        <v>294</v>
      </c>
      <c r="H16" s="52" t="s">
        <v>295</v>
      </c>
      <c r="I16" s="60" t="s">
        <v>296</v>
      </c>
      <c r="J16" s="60" t="s">
        <v>297</v>
      </c>
      <c r="K16" s="74" t="s">
        <v>298</v>
      </c>
      <c r="L16" s="60">
        <v>2020.0</v>
      </c>
      <c r="M16" s="117">
        <v>200.0</v>
      </c>
      <c r="N16" s="118">
        <v>100.0</v>
      </c>
      <c r="O16" s="62" t="s">
        <v>290</v>
      </c>
      <c r="P16" s="42"/>
      <c r="Q16" s="42"/>
      <c r="R16" s="42"/>
      <c r="S16" s="42"/>
      <c r="T16" s="42"/>
      <c r="U16" s="42"/>
      <c r="V16" s="42"/>
      <c r="W16" s="42"/>
      <c r="X16" s="42"/>
      <c r="Y16" s="42"/>
      <c r="Z16" s="42"/>
    </row>
    <row r="17" ht="178.5" customHeight="1">
      <c r="A17" s="13" t="s">
        <v>299</v>
      </c>
      <c r="B17" s="13" t="s">
        <v>292</v>
      </c>
      <c r="C17" s="121" t="s">
        <v>284</v>
      </c>
      <c r="D17" s="13" t="s">
        <v>293</v>
      </c>
      <c r="E17" s="98">
        <v>36.0</v>
      </c>
      <c r="F17" s="60">
        <v>1.0</v>
      </c>
      <c r="G17" s="126" t="s">
        <v>294</v>
      </c>
      <c r="H17" s="52" t="s">
        <v>295</v>
      </c>
      <c r="I17" s="60" t="s">
        <v>300</v>
      </c>
      <c r="J17" s="60" t="s">
        <v>297</v>
      </c>
      <c r="K17" s="74" t="s">
        <v>301</v>
      </c>
      <c r="L17" s="60">
        <v>2020.0</v>
      </c>
      <c r="M17" s="117">
        <v>200.0</v>
      </c>
      <c r="N17" s="118">
        <v>100.0</v>
      </c>
      <c r="O17" s="62" t="s">
        <v>290</v>
      </c>
      <c r="P17" s="42"/>
      <c r="Q17" s="42"/>
      <c r="R17" s="42"/>
      <c r="S17" s="42"/>
      <c r="T17" s="42"/>
      <c r="U17" s="42"/>
      <c r="V17" s="42"/>
      <c r="W17" s="42"/>
      <c r="X17" s="42"/>
      <c r="Y17" s="42"/>
      <c r="Z17" s="42"/>
    </row>
    <row r="18" ht="105.0" customHeight="1">
      <c r="A18" s="110" t="s">
        <v>302</v>
      </c>
      <c r="B18" s="110" t="s">
        <v>303</v>
      </c>
      <c r="C18" s="111" t="s">
        <v>38</v>
      </c>
      <c r="D18" s="111" t="s">
        <v>304</v>
      </c>
      <c r="E18" s="111">
        <v>20.0</v>
      </c>
      <c r="F18" s="111">
        <v>4.0</v>
      </c>
      <c r="G18" s="112" t="s">
        <v>264</v>
      </c>
      <c r="H18" s="67" t="s">
        <v>305</v>
      </c>
      <c r="I18" s="111"/>
      <c r="J18" s="127">
        <v>5.98213900017E11</v>
      </c>
      <c r="K18" s="113" t="s">
        <v>306</v>
      </c>
      <c r="L18" s="111">
        <v>2020.0</v>
      </c>
      <c r="M18" s="114">
        <v>200.0</v>
      </c>
      <c r="N18" s="115">
        <v>200.0</v>
      </c>
      <c r="O18" s="62" t="s">
        <v>307</v>
      </c>
      <c r="P18" s="42"/>
      <c r="Q18" s="42"/>
      <c r="R18" s="42"/>
      <c r="S18" s="42"/>
      <c r="T18" s="42"/>
      <c r="U18" s="42"/>
      <c r="V18" s="42"/>
      <c r="W18" s="42"/>
      <c r="X18" s="42"/>
      <c r="Y18" s="42"/>
      <c r="Z18" s="42"/>
    </row>
    <row r="19" ht="105.0" customHeight="1">
      <c r="A19" s="110" t="s">
        <v>308</v>
      </c>
      <c r="B19" s="110" t="s">
        <v>303</v>
      </c>
      <c r="C19" s="111" t="s">
        <v>38</v>
      </c>
      <c r="D19" s="111" t="s">
        <v>304</v>
      </c>
      <c r="E19" s="111">
        <v>20.0</v>
      </c>
      <c r="F19" s="111">
        <v>4.0</v>
      </c>
      <c r="G19" s="112" t="s">
        <v>264</v>
      </c>
      <c r="H19" s="67" t="s">
        <v>309</v>
      </c>
      <c r="I19" s="111"/>
      <c r="J19" s="127">
        <v>5.98213900016E11</v>
      </c>
      <c r="K19" s="113" t="s">
        <v>310</v>
      </c>
      <c r="L19" s="111">
        <v>2020.0</v>
      </c>
      <c r="M19" s="116">
        <v>200.0</v>
      </c>
      <c r="N19" s="115">
        <v>200.0</v>
      </c>
      <c r="O19" s="62" t="s">
        <v>307</v>
      </c>
      <c r="P19" s="42"/>
      <c r="Q19" s="42"/>
      <c r="R19" s="42"/>
      <c r="S19" s="42"/>
      <c r="T19" s="42"/>
      <c r="U19" s="42"/>
      <c r="V19" s="42"/>
      <c r="W19" s="42"/>
      <c r="X19" s="42"/>
      <c r="Y19" s="42"/>
      <c r="Z19" s="42"/>
    </row>
    <row r="20" ht="105.0" customHeight="1">
      <c r="A20" s="97" t="s">
        <v>311</v>
      </c>
      <c r="B20" s="97" t="s">
        <v>312</v>
      </c>
      <c r="C20" s="111" t="s">
        <v>38</v>
      </c>
      <c r="D20" s="111" t="s">
        <v>304</v>
      </c>
      <c r="E20" s="98">
        <v>20.0</v>
      </c>
      <c r="F20" s="60">
        <v>1.0</v>
      </c>
      <c r="G20" s="98" t="s">
        <v>264</v>
      </c>
      <c r="H20" s="70" t="s">
        <v>313</v>
      </c>
      <c r="I20" s="60"/>
      <c r="J20" s="66">
        <v>5.21743100056E11</v>
      </c>
      <c r="K20" s="74" t="s">
        <v>314</v>
      </c>
      <c r="L20" s="60">
        <v>2020.0</v>
      </c>
      <c r="M20" s="117">
        <v>200.0</v>
      </c>
      <c r="N20" s="118">
        <v>67.0</v>
      </c>
      <c r="O20" s="62" t="s">
        <v>307</v>
      </c>
      <c r="P20" s="42"/>
      <c r="Q20" s="42"/>
      <c r="R20" s="42"/>
      <c r="S20" s="42"/>
      <c r="T20" s="42"/>
      <c r="U20" s="42"/>
      <c r="V20" s="42"/>
      <c r="W20" s="42"/>
      <c r="X20" s="42"/>
      <c r="Y20" s="42"/>
      <c r="Z20" s="42"/>
    </row>
    <row r="21" ht="105.0" customHeight="1">
      <c r="A21" s="97" t="s">
        <v>315</v>
      </c>
      <c r="B21" s="97" t="s">
        <v>303</v>
      </c>
      <c r="C21" s="98" t="s">
        <v>38</v>
      </c>
      <c r="D21" s="98" t="s">
        <v>304</v>
      </c>
      <c r="E21" s="98">
        <v>20.0</v>
      </c>
      <c r="F21" s="60">
        <v>1.0</v>
      </c>
      <c r="G21" s="98" t="s">
        <v>264</v>
      </c>
      <c r="H21" s="70" t="s">
        <v>316</v>
      </c>
      <c r="I21" s="60"/>
      <c r="J21" s="128">
        <v>5.21743100017E11</v>
      </c>
      <c r="K21" s="74" t="s">
        <v>310</v>
      </c>
      <c r="L21" s="60">
        <v>2020.0</v>
      </c>
      <c r="M21" s="117">
        <v>200.0</v>
      </c>
      <c r="N21" s="118">
        <v>200.0</v>
      </c>
      <c r="O21" s="62" t="s">
        <v>307</v>
      </c>
      <c r="P21" s="42"/>
      <c r="Q21" s="42"/>
      <c r="R21" s="42"/>
      <c r="S21" s="42"/>
      <c r="T21" s="42"/>
      <c r="U21" s="42"/>
      <c r="V21" s="42"/>
      <c r="W21" s="42"/>
      <c r="X21" s="42"/>
      <c r="Y21" s="42"/>
      <c r="Z21" s="42"/>
    </row>
    <row r="22" ht="120.0" customHeight="1">
      <c r="A22" s="97" t="s">
        <v>317</v>
      </c>
      <c r="B22" s="97" t="s">
        <v>318</v>
      </c>
      <c r="C22" s="98" t="s">
        <v>38</v>
      </c>
      <c r="D22" s="98" t="s">
        <v>319</v>
      </c>
      <c r="E22" s="98"/>
      <c r="F22" s="60">
        <v>2.0</v>
      </c>
      <c r="G22" s="98" t="s">
        <v>320</v>
      </c>
      <c r="H22" s="70" t="s">
        <v>321</v>
      </c>
      <c r="I22" s="60"/>
      <c r="J22" s="128">
        <v>5.74608500046E11</v>
      </c>
      <c r="K22" s="74" t="s">
        <v>322</v>
      </c>
      <c r="L22" s="60">
        <v>2020.0</v>
      </c>
      <c r="M22" s="117">
        <v>200.0</v>
      </c>
      <c r="N22" s="118">
        <v>40.0</v>
      </c>
      <c r="O22" s="62" t="s">
        <v>307</v>
      </c>
      <c r="P22" s="42"/>
      <c r="Q22" s="42"/>
      <c r="R22" s="42"/>
      <c r="S22" s="42"/>
      <c r="T22" s="42"/>
      <c r="U22" s="42"/>
      <c r="V22" s="42"/>
      <c r="W22" s="42"/>
      <c r="X22" s="42"/>
      <c r="Y22" s="42"/>
      <c r="Z22" s="42"/>
    </row>
    <row r="23" ht="204.0" customHeight="1">
      <c r="A23" s="129" t="s">
        <v>323</v>
      </c>
      <c r="B23" s="130" t="s">
        <v>324</v>
      </c>
      <c r="C23" s="111" t="s">
        <v>38</v>
      </c>
      <c r="D23" s="68" t="s">
        <v>325</v>
      </c>
      <c r="E23" s="111" t="s">
        <v>326</v>
      </c>
      <c r="F23" s="111" t="s">
        <v>327</v>
      </c>
      <c r="G23" s="131" t="s">
        <v>328</v>
      </c>
      <c r="H23" s="94" t="s">
        <v>329</v>
      </c>
      <c r="I23" s="111" t="s">
        <v>330</v>
      </c>
      <c r="J23" s="132">
        <v>5.03074300011E11</v>
      </c>
      <c r="K23" s="133" t="s">
        <v>331</v>
      </c>
      <c r="L23" s="111">
        <v>2020.0</v>
      </c>
      <c r="M23" s="114">
        <v>200.0</v>
      </c>
      <c r="N23" s="115">
        <v>200.0</v>
      </c>
      <c r="O23" s="62" t="s">
        <v>324</v>
      </c>
      <c r="P23" s="42"/>
      <c r="Q23" s="42"/>
      <c r="R23" s="42"/>
      <c r="S23" s="42"/>
      <c r="T23" s="42"/>
      <c r="U23" s="42"/>
      <c r="V23" s="42"/>
      <c r="W23" s="42"/>
      <c r="X23" s="42"/>
      <c r="Y23" s="42"/>
      <c r="Z23" s="42"/>
    </row>
    <row r="24" ht="306.0" customHeight="1">
      <c r="A24" s="134" t="s">
        <v>332</v>
      </c>
      <c r="B24" s="135" t="s">
        <v>333</v>
      </c>
      <c r="C24" s="53" t="s">
        <v>38</v>
      </c>
      <c r="D24" s="54" t="s">
        <v>334</v>
      </c>
      <c r="E24" s="53">
        <v>21.0</v>
      </c>
      <c r="F24" s="60">
        <v>4.0</v>
      </c>
      <c r="G24" s="53" t="s">
        <v>335</v>
      </c>
      <c r="H24" s="70" t="s">
        <v>336</v>
      </c>
      <c r="I24" s="136" t="s">
        <v>337</v>
      </c>
      <c r="J24" s="52" t="s">
        <v>338</v>
      </c>
      <c r="K24" s="137" t="s">
        <v>339</v>
      </c>
      <c r="L24" s="136">
        <v>2020.0</v>
      </c>
      <c r="M24" s="138">
        <v>200.0</v>
      </c>
      <c r="N24" s="139">
        <v>100.0</v>
      </c>
      <c r="O24" s="62" t="s">
        <v>128</v>
      </c>
      <c r="P24" s="42"/>
      <c r="Q24" s="42"/>
      <c r="R24" s="42"/>
      <c r="S24" s="42"/>
      <c r="T24" s="42"/>
      <c r="U24" s="42"/>
      <c r="V24" s="42"/>
      <c r="W24" s="42"/>
      <c r="X24" s="42"/>
      <c r="Y24" s="42"/>
      <c r="Z24" s="42"/>
    </row>
    <row r="25" ht="180.0" customHeight="1">
      <c r="A25" s="140" t="s">
        <v>340</v>
      </c>
      <c r="B25" s="140" t="s">
        <v>341</v>
      </c>
      <c r="C25" s="141" t="s">
        <v>38</v>
      </c>
      <c r="D25" s="142" t="s">
        <v>342</v>
      </c>
      <c r="E25" s="142">
        <v>20.0</v>
      </c>
      <c r="F25" s="140">
        <v>1.0</v>
      </c>
      <c r="G25" s="143" t="s">
        <v>343</v>
      </c>
      <c r="H25" s="144" t="s">
        <v>344</v>
      </c>
      <c r="I25" s="141"/>
      <c r="J25" s="145"/>
      <c r="K25" s="145" t="s">
        <v>345</v>
      </c>
      <c r="L25" s="140" t="s">
        <v>346</v>
      </c>
      <c r="M25" s="146">
        <v>200.0</v>
      </c>
      <c r="N25" s="147">
        <f t="shared" ref="N25:N26" si="2">M25/5</f>
        <v>40</v>
      </c>
      <c r="O25" s="62" t="s">
        <v>222</v>
      </c>
      <c r="P25" s="42"/>
      <c r="Q25" s="42"/>
      <c r="R25" s="42"/>
      <c r="S25" s="42"/>
      <c r="T25" s="42"/>
      <c r="U25" s="42"/>
      <c r="V25" s="42"/>
      <c r="W25" s="42"/>
      <c r="X25" s="42"/>
      <c r="Y25" s="42"/>
      <c r="Z25" s="42"/>
    </row>
    <row r="26" ht="180.0" customHeight="1">
      <c r="A26" s="140" t="s">
        <v>340</v>
      </c>
      <c r="B26" s="140" t="s">
        <v>341</v>
      </c>
      <c r="C26" s="141" t="s">
        <v>38</v>
      </c>
      <c r="D26" s="142" t="s">
        <v>342</v>
      </c>
      <c r="E26" s="142">
        <v>20.0</v>
      </c>
      <c r="F26" s="140">
        <v>1.0</v>
      </c>
      <c r="G26" s="143" t="s">
        <v>343</v>
      </c>
      <c r="H26" s="144" t="s">
        <v>344</v>
      </c>
      <c r="I26" s="141"/>
      <c r="J26" s="145"/>
      <c r="K26" s="145" t="s">
        <v>345</v>
      </c>
      <c r="L26" s="140" t="s">
        <v>346</v>
      </c>
      <c r="M26" s="146">
        <v>200.0</v>
      </c>
      <c r="N26" s="147">
        <f t="shared" si="2"/>
        <v>40</v>
      </c>
      <c r="O26" s="62" t="s">
        <v>223</v>
      </c>
      <c r="P26" s="42"/>
      <c r="Q26" s="42"/>
      <c r="R26" s="42"/>
      <c r="S26" s="42"/>
      <c r="T26" s="42"/>
      <c r="U26" s="42"/>
      <c r="V26" s="42"/>
      <c r="W26" s="42"/>
      <c r="X26" s="42"/>
      <c r="Y26" s="42"/>
      <c r="Z26" s="42"/>
    </row>
    <row r="27" ht="135.0" customHeight="1">
      <c r="A27" s="110" t="s">
        <v>347</v>
      </c>
      <c r="B27" s="148" t="s">
        <v>348</v>
      </c>
      <c r="C27" s="56" t="s">
        <v>38</v>
      </c>
      <c r="D27" s="111" t="s">
        <v>349</v>
      </c>
      <c r="E27" s="111">
        <v>12.0</v>
      </c>
      <c r="F27" s="111">
        <v>3.0</v>
      </c>
      <c r="G27" s="112" t="s">
        <v>350</v>
      </c>
      <c r="H27" s="67" t="s">
        <v>351</v>
      </c>
      <c r="I27" s="149" t="s">
        <v>352</v>
      </c>
      <c r="J27" s="56" t="s">
        <v>353</v>
      </c>
      <c r="K27" s="113" t="s">
        <v>354</v>
      </c>
      <c r="L27" s="111">
        <v>2020.0</v>
      </c>
      <c r="M27" s="114">
        <v>200.0</v>
      </c>
      <c r="N27" s="115">
        <v>200.0</v>
      </c>
      <c r="O27" s="62" t="s">
        <v>355</v>
      </c>
      <c r="P27" s="42"/>
      <c r="Q27" s="42"/>
      <c r="R27" s="42"/>
      <c r="S27" s="42"/>
      <c r="T27" s="42"/>
      <c r="U27" s="42"/>
      <c r="V27" s="42"/>
      <c r="W27" s="42"/>
      <c r="X27" s="42"/>
      <c r="Y27" s="42"/>
      <c r="Z27" s="42"/>
    </row>
    <row r="28" ht="165.0" customHeight="1">
      <c r="A28" s="150" t="s">
        <v>356</v>
      </c>
      <c r="B28" s="95" t="s">
        <v>357</v>
      </c>
      <c r="C28" s="111" t="s">
        <v>38</v>
      </c>
      <c r="D28" s="151" t="s">
        <v>358</v>
      </c>
      <c r="E28" s="111">
        <v>71.0</v>
      </c>
      <c r="F28" s="111">
        <v>4.0</v>
      </c>
      <c r="G28" s="152" t="s">
        <v>359</v>
      </c>
      <c r="H28" s="87" t="s">
        <v>360</v>
      </c>
      <c r="I28" s="153" t="s">
        <v>361</v>
      </c>
      <c r="J28" s="111" t="s">
        <v>362</v>
      </c>
      <c r="K28" s="113" t="s">
        <v>363</v>
      </c>
      <c r="L28" s="111">
        <v>2020.0</v>
      </c>
      <c r="M28" s="114">
        <v>200.0</v>
      </c>
      <c r="N28" s="115">
        <v>50.0</v>
      </c>
      <c r="O28" s="62" t="s">
        <v>364</v>
      </c>
      <c r="P28" s="42"/>
      <c r="Q28" s="42"/>
      <c r="R28" s="42"/>
      <c r="S28" s="42"/>
      <c r="T28" s="42"/>
      <c r="U28" s="42"/>
      <c r="V28" s="42"/>
      <c r="W28" s="42"/>
      <c r="X28" s="42"/>
      <c r="Y28" s="42"/>
      <c r="Z28" s="42"/>
    </row>
    <row r="29" ht="178.5" customHeight="1">
      <c r="A29" s="13" t="s">
        <v>365</v>
      </c>
      <c r="B29" s="13" t="s">
        <v>366</v>
      </c>
      <c r="C29" s="121" t="s">
        <v>284</v>
      </c>
      <c r="D29" s="13" t="s">
        <v>293</v>
      </c>
      <c r="E29" s="53">
        <v>36.0</v>
      </c>
      <c r="F29" s="60">
        <v>2.0</v>
      </c>
      <c r="G29" s="13" t="s">
        <v>294</v>
      </c>
      <c r="H29" s="52" t="s">
        <v>295</v>
      </c>
      <c r="I29" s="60" t="s">
        <v>300</v>
      </c>
      <c r="J29" s="60" t="s">
        <v>297</v>
      </c>
      <c r="K29" s="74" t="s">
        <v>367</v>
      </c>
      <c r="L29" s="60">
        <v>2020.0</v>
      </c>
      <c r="M29" s="117">
        <v>200.0</v>
      </c>
      <c r="N29" s="118">
        <v>200.0</v>
      </c>
      <c r="O29" s="62" t="s">
        <v>366</v>
      </c>
      <c r="P29" s="42"/>
      <c r="Q29" s="42"/>
      <c r="R29" s="42"/>
      <c r="S29" s="42"/>
      <c r="T29" s="42"/>
      <c r="U29" s="42"/>
      <c r="V29" s="42"/>
      <c r="W29" s="42"/>
      <c r="X29" s="42"/>
      <c r="Y29" s="42"/>
      <c r="Z29" s="42"/>
    </row>
    <row r="30" ht="165.75" customHeight="1">
      <c r="A30" s="154" t="s">
        <v>368</v>
      </c>
      <c r="B30" s="119" t="s">
        <v>369</v>
      </c>
      <c r="C30" s="121" t="s">
        <v>284</v>
      </c>
      <c r="D30" s="155" t="s">
        <v>370</v>
      </c>
      <c r="E30" s="121">
        <v>27.0</v>
      </c>
      <c r="F30" s="121">
        <v>1.0</v>
      </c>
      <c r="G30" s="156" t="s">
        <v>371</v>
      </c>
      <c r="H30" s="121" t="s">
        <v>372</v>
      </c>
      <c r="I30" s="121" t="s">
        <v>373</v>
      </c>
      <c r="J30" s="156" t="s">
        <v>374</v>
      </c>
      <c r="K30" s="123" t="s">
        <v>375</v>
      </c>
      <c r="L30" s="121">
        <v>2020.0</v>
      </c>
      <c r="M30" s="124">
        <v>200.0</v>
      </c>
      <c r="N30" s="125">
        <v>200.0</v>
      </c>
      <c r="O30" s="62" t="s">
        <v>376</v>
      </c>
      <c r="P30" s="42"/>
      <c r="Q30" s="42"/>
      <c r="R30" s="42"/>
      <c r="S30" s="42"/>
      <c r="T30" s="42"/>
      <c r="U30" s="42"/>
      <c r="V30" s="42"/>
      <c r="W30" s="42"/>
      <c r="X30" s="42"/>
      <c r="Y30" s="42"/>
      <c r="Z30" s="42"/>
    </row>
    <row r="31" ht="165.75" customHeight="1">
      <c r="A31" s="157" t="s">
        <v>377</v>
      </c>
      <c r="B31" s="154" t="s">
        <v>378</v>
      </c>
      <c r="C31" s="121" t="s">
        <v>284</v>
      </c>
      <c r="D31" s="154" t="s">
        <v>263</v>
      </c>
      <c r="E31" s="121">
        <v>20.0</v>
      </c>
      <c r="F31" s="121">
        <v>1.0</v>
      </c>
      <c r="G31" s="158" t="s">
        <v>379</v>
      </c>
      <c r="H31" s="121" t="s">
        <v>380</v>
      </c>
      <c r="I31" s="121" t="s">
        <v>381</v>
      </c>
      <c r="J31" s="158" t="s">
        <v>382</v>
      </c>
      <c r="K31" s="123" t="s">
        <v>383</v>
      </c>
      <c r="L31" s="121">
        <v>2020.0</v>
      </c>
      <c r="M31" s="124">
        <v>200.0</v>
      </c>
      <c r="N31" s="125">
        <v>25.0</v>
      </c>
      <c r="O31" s="62" t="s">
        <v>376</v>
      </c>
      <c r="P31" s="42"/>
      <c r="Q31" s="42"/>
      <c r="R31" s="42"/>
      <c r="S31" s="42"/>
      <c r="T31" s="42"/>
      <c r="U31" s="42"/>
      <c r="V31" s="42"/>
      <c r="W31" s="42"/>
      <c r="X31" s="42"/>
      <c r="Y31" s="42"/>
      <c r="Z31" s="42"/>
    </row>
    <row r="32" ht="409.5" customHeight="1">
      <c r="A32" s="119" t="s">
        <v>282</v>
      </c>
      <c r="B32" s="120" t="s">
        <v>283</v>
      </c>
      <c r="C32" s="121" t="s">
        <v>284</v>
      </c>
      <c r="D32" s="119" t="s">
        <v>285</v>
      </c>
      <c r="E32" s="120">
        <v>30.0</v>
      </c>
      <c r="F32" s="121">
        <v>3.0</v>
      </c>
      <c r="G32" s="122" t="s">
        <v>286</v>
      </c>
      <c r="H32" s="121"/>
      <c r="I32" s="159" t="s">
        <v>287</v>
      </c>
      <c r="J32" s="121" t="s">
        <v>288</v>
      </c>
      <c r="K32" s="123" t="s">
        <v>289</v>
      </c>
      <c r="L32" s="121">
        <v>2020.0</v>
      </c>
      <c r="M32" s="124">
        <v>200.0</v>
      </c>
      <c r="N32" s="125">
        <v>100.0</v>
      </c>
      <c r="O32" s="62" t="s">
        <v>376</v>
      </c>
      <c r="P32" s="42"/>
      <c r="Q32" s="42"/>
      <c r="R32" s="42"/>
      <c r="S32" s="42"/>
      <c r="T32" s="42"/>
      <c r="U32" s="42"/>
      <c r="V32" s="42"/>
      <c r="W32" s="42"/>
      <c r="X32" s="42"/>
      <c r="Y32" s="42"/>
      <c r="Z32" s="42"/>
    </row>
    <row r="33" ht="150.0" customHeight="1">
      <c r="A33" s="13" t="s">
        <v>384</v>
      </c>
      <c r="B33" s="13" t="s">
        <v>385</v>
      </c>
      <c r="C33" s="121" t="s">
        <v>284</v>
      </c>
      <c r="D33" s="155" t="s">
        <v>386</v>
      </c>
      <c r="E33" s="53">
        <v>27.0</v>
      </c>
      <c r="F33" s="60">
        <v>2.0</v>
      </c>
      <c r="G33" s="13" t="s">
        <v>387</v>
      </c>
      <c r="H33" s="52" t="s">
        <v>388</v>
      </c>
      <c r="I33" s="60" t="s">
        <v>389</v>
      </c>
      <c r="J33" s="60" t="s">
        <v>297</v>
      </c>
      <c r="K33" s="74" t="s">
        <v>390</v>
      </c>
      <c r="L33" s="60">
        <v>2020.0</v>
      </c>
      <c r="M33" s="117">
        <v>200.0</v>
      </c>
      <c r="N33" s="118">
        <v>200.0</v>
      </c>
      <c r="O33" s="62" t="s">
        <v>376</v>
      </c>
      <c r="P33" s="42"/>
      <c r="Q33" s="42"/>
      <c r="R33" s="42"/>
      <c r="S33" s="42"/>
      <c r="T33" s="42"/>
      <c r="U33" s="42"/>
      <c r="V33" s="42"/>
      <c r="W33" s="42"/>
      <c r="X33" s="42"/>
      <c r="Y33" s="42"/>
      <c r="Z33" s="42"/>
    </row>
    <row r="34" ht="180.0" customHeight="1">
      <c r="A34" s="13" t="s">
        <v>291</v>
      </c>
      <c r="B34" s="13" t="s">
        <v>292</v>
      </c>
      <c r="C34" s="121" t="s">
        <v>284</v>
      </c>
      <c r="D34" s="13" t="s">
        <v>293</v>
      </c>
      <c r="E34" s="53">
        <v>36.0</v>
      </c>
      <c r="F34" s="60">
        <v>2.0</v>
      </c>
      <c r="G34" s="160" t="s">
        <v>294</v>
      </c>
      <c r="H34" s="52" t="s">
        <v>295</v>
      </c>
      <c r="I34" s="60" t="s">
        <v>296</v>
      </c>
      <c r="J34" s="60" t="s">
        <v>297</v>
      </c>
      <c r="K34" s="74" t="s">
        <v>298</v>
      </c>
      <c r="L34" s="60">
        <v>2020.0</v>
      </c>
      <c r="M34" s="117">
        <v>200.0</v>
      </c>
      <c r="N34" s="118">
        <v>100.0</v>
      </c>
      <c r="O34" s="62" t="s">
        <v>376</v>
      </c>
      <c r="P34" s="42"/>
      <c r="Q34" s="42"/>
      <c r="R34" s="42"/>
      <c r="S34" s="42"/>
      <c r="T34" s="42"/>
      <c r="U34" s="42"/>
      <c r="V34" s="42"/>
      <c r="W34" s="42"/>
      <c r="X34" s="42"/>
      <c r="Y34" s="42"/>
      <c r="Z34" s="42"/>
    </row>
    <row r="35" ht="178.5" customHeight="1">
      <c r="A35" s="13" t="s">
        <v>299</v>
      </c>
      <c r="B35" s="13" t="s">
        <v>292</v>
      </c>
      <c r="C35" s="121" t="s">
        <v>284</v>
      </c>
      <c r="D35" s="13" t="s">
        <v>293</v>
      </c>
      <c r="E35" s="53">
        <v>36.0</v>
      </c>
      <c r="F35" s="60">
        <v>1.0</v>
      </c>
      <c r="G35" s="160" t="s">
        <v>294</v>
      </c>
      <c r="H35" s="52" t="s">
        <v>295</v>
      </c>
      <c r="I35" s="60" t="s">
        <v>300</v>
      </c>
      <c r="J35" s="60" t="s">
        <v>297</v>
      </c>
      <c r="K35" s="74" t="s">
        <v>301</v>
      </c>
      <c r="L35" s="60">
        <v>2020.0</v>
      </c>
      <c r="M35" s="117">
        <v>200.0</v>
      </c>
      <c r="N35" s="118">
        <v>100.0</v>
      </c>
      <c r="O35" s="62" t="s">
        <v>376</v>
      </c>
      <c r="P35" s="42"/>
      <c r="Q35" s="42"/>
      <c r="R35" s="42"/>
      <c r="S35" s="42"/>
      <c r="T35" s="42"/>
      <c r="U35" s="42"/>
      <c r="V35" s="42"/>
      <c r="W35" s="42"/>
      <c r="X35" s="42"/>
      <c r="Y35" s="42"/>
      <c r="Z35" s="42"/>
    </row>
    <row r="36" ht="90.0" customHeight="1">
      <c r="A36" s="110" t="s">
        <v>391</v>
      </c>
      <c r="B36" s="110" t="s">
        <v>392</v>
      </c>
      <c r="C36" s="111" t="s">
        <v>38</v>
      </c>
      <c r="D36" s="111" t="s">
        <v>393</v>
      </c>
      <c r="E36" s="111">
        <v>16.0</v>
      </c>
      <c r="F36" s="111">
        <v>4.0</v>
      </c>
      <c r="G36" s="112" t="s">
        <v>394</v>
      </c>
      <c r="H36" s="67" t="s">
        <v>395</v>
      </c>
      <c r="I36" s="111" t="s">
        <v>396</v>
      </c>
      <c r="J36" s="111" t="s">
        <v>397</v>
      </c>
      <c r="K36" s="113" t="s">
        <v>398</v>
      </c>
      <c r="L36" s="111">
        <v>2020.0</v>
      </c>
      <c r="M36" s="161">
        <v>200.0</v>
      </c>
      <c r="N36" s="162">
        <f>M36/2</f>
        <v>100</v>
      </c>
      <c r="O36" s="62" t="s">
        <v>230</v>
      </c>
      <c r="P36" s="42"/>
      <c r="Q36" s="42"/>
      <c r="R36" s="42"/>
      <c r="S36" s="42"/>
      <c r="T36" s="42"/>
      <c r="U36" s="42"/>
      <c r="V36" s="42"/>
      <c r="W36" s="42"/>
      <c r="X36" s="42"/>
      <c r="Y36" s="42"/>
      <c r="Z36" s="42"/>
    </row>
    <row r="37" ht="165.75" customHeight="1">
      <c r="A37" s="110" t="s">
        <v>399</v>
      </c>
      <c r="B37" s="110" t="s">
        <v>400</v>
      </c>
      <c r="C37" s="111" t="s">
        <v>38</v>
      </c>
      <c r="D37" s="111" t="s">
        <v>401</v>
      </c>
      <c r="E37" s="111">
        <v>71.0</v>
      </c>
      <c r="F37" s="111">
        <v>10.0</v>
      </c>
      <c r="G37" s="112" t="s">
        <v>402</v>
      </c>
      <c r="H37" s="67" t="s">
        <v>403</v>
      </c>
      <c r="I37" s="111" t="s">
        <v>404</v>
      </c>
      <c r="J37" s="163" t="s">
        <v>405</v>
      </c>
      <c r="K37" s="113" t="s">
        <v>406</v>
      </c>
      <c r="L37" s="111">
        <v>2020.0</v>
      </c>
      <c r="M37" s="164">
        <v>200.0</v>
      </c>
      <c r="N37" s="162">
        <v>18.18</v>
      </c>
      <c r="O37" s="62" t="s">
        <v>230</v>
      </c>
      <c r="P37" s="42"/>
      <c r="Q37" s="42"/>
      <c r="R37" s="42"/>
      <c r="S37" s="42"/>
      <c r="T37" s="42"/>
      <c r="U37" s="42"/>
      <c r="V37" s="42"/>
      <c r="W37" s="42"/>
      <c r="X37" s="42"/>
      <c r="Y37" s="42"/>
      <c r="Z37" s="42"/>
    </row>
    <row r="38" ht="120.0" customHeight="1">
      <c r="A38" s="97" t="s">
        <v>407</v>
      </c>
      <c r="B38" s="97" t="s">
        <v>408</v>
      </c>
      <c r="C38" s="111" t="s">
        <v>38</v>
      </c>
      <c r="D38" s="98" t="s">
        <v>409</v>
      </c>
      <c r="E38" s="98">
        <v>15.0</v>
      </c>
      <c r="F38" s="60">
        <v>3.0</v>
      </c>
      <c r="G38" s="98" t="s">
        <v>410</v>
      </c>
      <c r="H38" s="70" t="s">
        <v>411</v>
      </c>
      <c r="I38" s="165" t="s">
        <v>412</v>
      </c>
      <c r="J38" s="165" t="s">
        <v>413</v>
      </c>
      <c r="K38" s="74" t="s">
        <v>414</v>
      </c>
      <c r="L38" s="60">
        <v>2020.0</v>
      </c>
      <c r="M38" s="117">
        <v>200.0</v>
      </c>
      <c r="N38" s="118">
        <f t="shared" ref="N38:N42" si="3">M38/2</f>
        <v>100</v>
      </c>
      <c r="O38" s="62" t="s">
        <v>230</v>
      </c>
      <c r="P38" s="42"/>
      <c r="Q38" s="42"/>
      <c r="R38" s="42"/>
      <c r="S38" s="42"/>
      <c r="T38" s="42"/>
      <c r="U38" s="42"/>
      <c r="V38" s="42"/>
      <c r="W38" s="42"/>
      <c r="X38" s="42"/>
      <c r="Y38" s="42"/>
      <c r="Z38" s="42"/>
    </row>
    <row r="39" ht="120.0" customHeight="1">
      <c r="A39" s="97" t="s">
        <v>415</v>
      </c>
      <c r="B39" s="97" t="s">
        <v>416</v>
      </c>
      <c r="C39" s="111" t="s">
        <v>38</v>
      </c>
      <c r="D39" s="98" t="s">
        <v>409</v>
      </c>
      <c r="E39" s="98">
        <v>15.0</v>
      </c>
      <c r="F39" s="60">
        <v>3.0</v>
      </c>
      <c r="G39" s="98" t="s">
        <v>410</v>
      </c>
      <c r="H39" s="70" t="s">
        <v>411</v>
      </c>
      <c r="I39" s="165" t="s">
        <v>412</v>
      </c>
      <c r="J39" s="165" t="s">
        <v>413</v>
      </c>
      <c r="K39" s="74" t="s">
        <v>417</v>
      </c>
      <c r="L39" s="60">
        <v>2020.0</v>
      </c>
      <c r="M39" s="117">
        <v>200.0</v>
      </c>
      <c r="N39" s="118">
        <f t="shared" si="3"/>
        <v>100</v>
      </c>
      <c r="O39" s="62" t="s">
        <v>230</v>
      </c>
      <c r="P39" s="42"/>
      <c r="Q39" s="42"/>
      <c r="R39" s="42"/>
      <c r="S39" s="42"/>
      <c r="T39" s="42"/>
      <c r="U39" s="42"/>
      <c r="V39" s="42"/>
      <c r="W39" s="42"/>
      <c r="X39" s="42"/>
      <c r="Y39" s="42"/>
      <c r="Z39" s="42"/>
    </row>
    <row r="40" ht="75.0" customHeight="1">
      <c r="A40" s="97" t="s">
        <v>418</v>
      </c>
      <c r="B40" s="97" t="s">
        <v>419</v>
      </c>
      <c r="C40" s="136" t="s">
        <v>38</v>
      </c>
      <c r="D40" s="98" t="s">
        <v>420</v>
      </c>
      <c r="E40" s="98">
        <v>52.0</v>
      </c>
      <c r="F40" s="60" t="s">
        <v>421</v>
      </c>
      <c r="G40" s="98" t="s">
        <v>422</v>
      </c>
      <c r="H40" s="70" t="s">
        <v>423</v>
      </c>
      <c r="I40" s="165" t="s">
        <v>412</v>
      </c>
      <c r="J40" s="60"/>
      <c r="K40" s="74" t="s">
        <v>424</v>
      </c>
      <c r="L40" s="60">
        <v>2020.0</v>
      </c>
      <c r="M40" s="117">
        <v>200.0</v>
      </c>
      <c r="N40" s="118">
        <f t="shared" si="3"/>
        <v>100</v>
      </c>
      <c r="O40" s="62" t="s">
        <v>230</v>
      </c>
      <c r="P40" s="42"/>
      <c r="Q40" s="42"/>
      <c r="R40" s="42"/>
      <c r="S40" s="42"/>
      <c r="T40" s="42"/>
      <c r="U40" s="42"/>
      <c r="V40" s="42"/>
      <c r="W40" s="42"/>
      <c r="X40" s="42"/>
      <c r="Y40" s="42"/>
      <c r="Z40" s="42"/>
    </row>
    <row r="41" ht="127.5" customHeight="1">
      <c r="A41" s="110" t="s">
        <v>268</v>
      </c>
      <c r="B41" s="110" t="s">
        <v>269</v>
      </c>
      <c r="C41" s="111" t="s">
        <v>38</v>
      </c>
      <c r="D41" s="111" t="s">
        <v>263</v>
      </c>
      <c r="E41" s="111">
        <v>20.0</v>
      </c>
      <c r="F41" s="111">
        <v>4.0</v>
      </c>
      <c r="G41" s="112" t="s">
        <v>264</v>
      </c>
      <c r="H41" s="87" t="s">
        <v>270</v>
      </c>
      <c r="I41" s="111"/>
      <c r="J41" s="111" t="s">
        <v>271</v>
      </c>
      <c r="K41" s="113" t="s">
        <v>272</v>
      </c>
      <c r="L41" s="111">
        <v>2020.0</v>
      </c>
      <c r="M41" s="116">
        <v>200.0</v>
      </c>
      <c r="N41" s="115">
        <f t="shared" si="3"/>
        <v>100</v>
      </c>
      <c r="O41" s="62" t="s">
        <v>425</v>
      </c>
      <c r="P41" s="42"/>
      <c r="Q41" s="42"/>
      <c r="R41" s="42"/>
      <c r="S41" s="42"/>
      <c r="T41" s="42"/>
      <c r="U41" s="42"/>
      <c r="V41" s="42"/>
      <c r="W41" s="42"/>
      <c r="X41" s="42"/>
      <c r="Y41" s="42"/>
      <c r="Z41" s="42"/>
    </row>
    <row r="42" ht="127.5" customHeight="1">
      <c r="A42" s="54" t="s">
        <v>273</v>
      </c>
      <c r="B42" s="110" t="s">
        <v>269</v>
      </c>
      <c r="C42" s="111" t="s">
        <v>38</v>
      </c>
      <c r="D42" s="111" t="s">
        <v>263</v>
      </c>
      <c r="E42" s="111">
        <v>20.0</v>
      </c>
      <c r="F42" s="111">
        <v>4.0</v>
      </c>
      <c r="G42" s="112" t="s">
        <v>264</v>
      </c>
      <c r="H42" s="52" t="s">
        <v>274</v>
      </c>
      <c r="I42" s="60"/>
      <c r="J42" s="60" t="s">
        <v>275</v>
      </c>
      <c r="K42" s="74" t="s">
        <v>276</v>
      </c>
      <c r="L42" s="60">
        <v>200.0</v>
      </c>
      <c r="M42" s="117">
        <v>200.0</v>
      </c>
      <c r="N42" s="118">
        <f t="shared" si="3"/>
        <v>100</v>
      </c>
      <c r="O42" s="62" t="s">
        <v>425</v>
      </c>
      <c r="P42" s="42"/>
      <c r="Q42" s="42"/>
      <c r="R42" s="42"/>
      <c r="S42" s="42"/>
      <c r="T42" s="42"/>
      <c r="U42" s="42"/>
      <c r="V42" s="42"/>
      <c r="W42" s="42"/>
      <c r="X42" s="42"/>
      <c r="Y42" s="42"/>
      <c r="Z42" s="42"/>
    </row>
    <row r="43" ht="102.0" customHeight="1">
      <c r="A43" s="166" t="s">
        <v>426</v>
      </c>
      <c r="B43" s="140" t="s">
        <v>427</v>
      </c>
      <c r="C43" s="141" t="s">
        <v>38</v>
      </c>
      <c r="D43" s="111" t="s">
        <v>428</v>
      </c>
      <c r="E43" s="111" t="s">
        <v>429</v>
      </c>
      <c r="F43" s="111" t="s">
        <v>430</v>
      </c>
      <c r="G43" s="112" t="s">
        <v>431</v>
      </c>
      <c r="H43" s="167" t="s">
        <v>432</v>
      </c>
      <c r="I43" s="111"/>
      <c r="J43" s="113" t="s">
        <v>433</v>
      </c>
      <c r="K43" s="113" t="s">
        <v>434</v>
      </c>
      <c r="L43" s="111">
        <v>2020.0</v>
      </c>
      <c r="M43" s="114">
        <v>200.0</v>
      </c>
      <c r="N43" s="115">
        <v>200.0</v>
      </c>
      <c r="O43" s="62" t="s">
        <v>427</v>
      </c>
      <c r="P43" s="42"/>
      <c r="Q43" s="42"/>
      <c r="R43" s="42"/>
      <c r="S43" s="42"/>
      <c r="T43" s="42"/>
      <c r="U43" s="42"/>
      <c r="V43" s="42"/>
      <c r="W43" s="42"/>
      <c r="X43" s="42"/>
      <c r="Y43" s="42"/>
      <c r="Z43" s="42"/>
    </row>
    <row r="44" ht="102.0" customHeight="1">
      <c r="A44" s="168" t="s">
        <v>435</v>
      </c>
      <c r="B44" s="140" t="s">
        <v>427</v>
      </c>
      <c r="C44" s="141" t="s">
        <v>38</v>
      </c>
      <c r="D44" s="111" t="s">
        <v>428</v>
      </c>
      <c r="E44" s="111" t="s">
        <v>429</v>
      </c>
      <c r="F44" s="111" t="s">
        <v>430</v>
      </c>
      <c r="G44" s="112" t="s">
        <v>431</v>
      </c>
      <c r="H44" s="169" t="s">
        <v>436</v>
      </c>
      <c r="I44" s="111"/>
      <c r="J44" s="113" t="s">
        <v>437</v>
      </c>
      <c r="K44" s="170" t="s">
        <v>438</v>
      </c>
      <c r="L44" s="111">
        <v>2020.0</v>
      </c>
      <c r="M44" s="116">
        <v>200.0</v>
      </c>
      <c r="N44" s="115">
        <v>200.0</v>
      </c>
      <c r="O44" s="62" t="s">
        <v>427</v>
      </c>
      <c r="P44" s="42"/>
      <c r="Q44" s="42"/>
      <c r="R44" s="42"/>
      <c r="S44" s="42"/>
      <c r="T44" s="42"/>
      <c r="U44" s="42"/>
      <c r="V44" s="42"/>
      <c r="W44" s="42"/>
      <c r="X44" s="42"/>
      <c r="Y44" s="42"/>
      <c r="Z44" s="42"/>
    </row>
    <row r="45" ht="409.5" customHeight="1">
      <c r="A45" s="171" t="s">
        <v>439</v>
      </c>
      <c r="B45" s="171" t="s">
        <v>440</v>
      </c>
      <c r="C45" s="172" t="s">
        <v>38</v>
      </c>
      <c r="D45" s="171" t="s">
        <v>441</v>
      </c>
      <c r="E45" s="172">
        <v>9.0</v>
      </c>
      <c r="F45" s="172">
        <v>1.0</v>
      </c>
      <c r="G45" s="173" t="s">
        <v>442</v>
      </c>
      <c r="H45" s="94" t="s">
        <v>443</v>
      </c>
      <c r="I45" s="174" t="s">
        <v>444</v>
      </c>
      <c r="J45" s="163" t="s">
        <v>445</v>
      </c>
      <c r="K45" s="175" t="s">
        <v>446</v>
      </c>
      <c r="L45" s="172">
        <v>2020.0</v>
      </c>
      <c r="M45" s="176">
        <v>200.0</v>
      </c>
      <c r="N45" s="177">
        <v>200.0</v>
      </c>
      <c r="O45" s="62" t="s">
        <v>167</v>
      </c>
      <c r="P45" s="42"/>
      <c r="Q45" s="42"/>
      <c r="R45" s="42"/>
      <c r="S45" s="42"/>
      <c r="T45" s="42"/>
      <c r="U45" s="42"/>
      <c r="V45" s="42"/>
      <c r="W45" s="42"/>
      <c r="X45" s="42"/>
      <c r="Y45" s="42"/>
      <c r="Z45" s="42"/>
    </row>
    <row r="46" ht="180.0" customHeight="1">
      <c r="A46" s="171" t="s">
        <v>447</v>
      </c>
      <c r="B46" s="110" t="s">
        <v>448</v>
      </c>
      <c r="C46" s="111" t="s">
        <v>38</v>
      </c>
      <c r="D46" s="171" t="s">
        <v>441</v>
      </c>
      <c r="E46" s="172">
        <v>9.0</v>
      </c>
      <c r="F46" s="111">
        <v>3.0</v>
      </c>
      <c r="G46" s="173" t="s">
        <v>442</v>
      </c>
      <c r="H46" s="178" t="s">
        <v>449</v>
      </c>
      <c r="I46" s="171" t="s">
        <v>450</v>
      </c>
      <c r="J46" s="171" t="s">
        <v>451</v>
      </c>
      <c r="K46" s="171" t="s">
        <v>452</v>
      </c>
      <c r="L46" s="111">
        <v>2020.0</v>
      </c>
      <c r="M46" s="164">
        <v>200.0</v>
      </c>
      <c r="N46" s="162">
        <v>100.0</v>
      </c>
      <c r="O46" s="62" t="s">
        <v>167</v>
      </c>
      <c r="P46" s="42"/>
      <c r="Q46" s="42"/>
      <c r="R46" s="42"/>
      <c r="S46" s="42"/>
      <c r="T46" s="42"/>
      <c r="U46" s="42"/>
      <c r="V46" s="42"/>
      <c r="W46" s="42"/>
      <c r="X46" s="42"/>
      <c r="Y46" s="42"/>
      <c r="Z46" s="42"/>
    </row>
    <row r="47" ht="409.5" customHeight="1">
      <c r="A47" s="179" t="s">
        <v>447</v>
      </c>
      <c r="B47" s="180" t="s">
        <v>453</v>
      </c>
      <c r="C47" s="53" t="s">
        <v>38</v>
      </c>
      <c r="D47" s="181" t="s">
        <v>441</v>
      </c>
      <c r="E47" s="136">
        <v>9.0</v>
      </c>
      <c r="F47" s="111">
        <v>3.0</v>
      </c>
      <c r="G47" s="182" t="s">
        <v>454</v>
      </c>
      <c r="H47" s="183" t="s">
        <v>449</v>
      </c>
      <c r="I47" s="184" t="s">
        <v>455</v>
      </c>
      <c r="J47" s="111"/>
      <c r="K47" s="113" t="s">
        <v>452</v>
      </c>
      <c r="L47" s="111">
        <v>2020.0</v>
      </c>
      <c r="M47" s="114">
        <v>200.0</v>
      </c>
      <c r="N47" s="115">
        <v>100.0</v>
      </c>
      <c r="O47" s="62" t="s">
        <v>173</v>
      </c>
      <c r="P47" s="42"/>
      <c r="Q47" s="42"/>
      <c r="R47" s="42"/>
      <c r="S47" s="42"/>
      <c r="T47" s="42"/>
      <c r="U47" s="42"/>
      <c r="V47" s="42"/>
      <c r="W47" s="42"/>
      <c r="X47" s="42"/>
      <c r="Y47" s="42"/>
      <c r="Z47" s="42"/>
    </row>
    <row r="48" ht="15.75" customHeight="1">
      <c r="A48" s="110"/>
      <c r="B48" s="110"/>
      <c r="C48" s="111"/>
      <c r="D48" s="111"/>
      <c r="E48" s="111"/>
      <c r="F48" s="111"/>
      <c r="G48" s="112"/>
      <c r="H48" s="87"/>
      <c r="I48" s="111"/>
      <c r="J48" s="111"/>
      <c r="K48" s="113"/>
      <c r="L48" s="111"/>
      <c r="M48" s="114"/>
      <c r="N48" s="115"/>
      <c r="O48" s="62"/>
      <c r="P48" s="42"/>
      <c r="Q48" s="42"/>
      <c r="R48" s="42"/>
      <c r="S48" s="42"/>
      <c r="T48" s="42"/>
      <c r="U48" s="42"/>
      <c r="V48" s="42"/>
      <c r="W48" s="42"/>
      <c r="X48" s="42"/>
      <c r="Y48" s="42"/>
      <c r="Z48" s="42"/>
    </row>
    <row r="49" ht="15.75" customHeight="1">
      <c r="A49" s="110"/>
      <c r="B49" s="110"/>
      <c r="C49" s="111"/>
      <c r="D49" s="111"/>
      <c r="E49" s="111"/>
      <c r="F49" s="111"/>
      <c r="G49" s="112"/>
      <c r="H49" s="87"/>
      <c r="I49" s="111"/>
      <c r="J49" s="111"/>
      <c r="K49" s="113"/>
      <c r="L49" s="111"/>
      <c r="M49" s="114"/>
      <c r="N49" s="115"/>
      <c r="O49" s="62"/>
      <c r="P49" s="42"/>
      <c r="Q49" s="42"/>
      <c r="R49" s="42"/>
      <c r="S49" s="42"/>
      <c r="T49" s="42"/>
      <c r="U49" s="42"/>
      <c r="V49" s="42"/>
      <c r="W49" s="42"/>
      <c r="X49" s="42"/>
      <c r="Y49" s="42"/>
      <c r="Z49" s="42"/>
    </row>
    <row r="50" ht="15.75" customHeight="1">
      <c r="A50" s="110"/>
      <c r="B50" s="110"/>
      <c r="C50" s="111"/>
      <c r="D50" s="111"/>
      <c r="E50" s="111"/>
      <c r="F50" s="111"/>
      <c r="G50" s="112"/>
      <c r="H50" s="87"/>
      <c r="I50" s="111"/>
      <c r="J50" s="111"/>
      <c r="K50" s="113"/>
      <c r="L50" s="111"/>
      <c r="M50" s="114"/>
      <c r="N50" s="115"/>
      <c r="O50" s="62"/>
      <c r="P50" s="42"/>
      <c r="Q50" s="42"/>
      <c r="R50" s="42"/>
      <c r="S50" s="42"/>
      <c r="T50" s="42"/>
      <c r="U50" s="42"/>
      <c r="V50" s="42"/>
      <c r="W50" s="42"/>
      <c r="X50" s="42"/>
      <c r="Y50" s="42"/>
      <c r="Z50" s="42"/>
    </row>
    <row r="51" ht="15.75" customHeight="1">
      <c r="A51" s="110"/>
      <c r="B51" s="110"/>
      <c r="C51" s="111"/>
      <c r="D51" s="111"/>
      <c r="E51" s="111"/>
      <c r="F51" s="111"/>
      <c r="G51" s="112"/>
      <c r="H51" s="87"/>
      <c r="I51" s="111"/>
      <c r="J51" s="111"/>
      <c r="K51" s="113"/>
      <c r="L51" s="111"/>
      <c r="M51" s="114"/>
      <c r="N51" s="115"/>
      <c r="O51" s="62"/>
      <c r="P51" s="42"/>
      <c r="Q51" s="42"/>
      <c r="R51" s="42"/>
      <c r="S51" s="42"/>
      <c r="T51" s="42"/>
      <c r="U51" s="42"/>
      <c r="V51" s="42"/>
      <c r="W51" s="42"/>
      <c r="X51" s="42"/>
      <c r="Y51" s="42"/>
      <c r="Z51" s="42"/>
    </row>
    <row r="52" ht="15.75" customHeight="1">
      <c r="A52" s="110"/>
      <c r="B52" s="110"/>
      <c r="C52" s="111"/>
      <c r="D52" s="111"/>
      <c r="E52" s="111"/>
      <c r="F52" s="111"/>
      <c r="G52" s="112"/>
      <c r="H52" s="87"/>
      <c r="I52" s="111"/>
      <c r="J52" s="111"/>
      <c r="K52" s="113"/>
      <c r="L52" s="111"/>
      <c r="M52" s="114"/>
      <c r="N52" s="115"/>
      <c r="O52" s="62"/>
      <c r="P52" s="42"/>
      <c r="Q52" s="42"/>
      <c r="R52" s="42"/>
      <c r="S52" s="42"/>
      <c r="T52" s="42"/>
      <c r="U52" s="42"/>
      <c r="V52" s="42"/>
      <c r="W52" s="42"/>
      <c r="X52" s="42"/>
      <c r="Y52" s="42"/>
      <c r="Z52" s="42"/>
    </row>
    <row r="53" ht="15.75" customHeight="1">
      <c r="A53" s="110"/>
      <c r="B53" s="110"/>
      <c r="C53" s="111"/>
      <c r="D53" s="111"/>
      <c r="E53" s="111"/>
      <c r="F53" s="111"/>
      <c r="G53" s="112"/>
      <c r="H53" s="87"/>
      <c r="I53" s="111"/>
      <c r="J53" s="111"/>
      <c r="K53" s="113"/>
      <c r="L53" s="111"/>
      <c r="M53" s="114"/>
      <c r="N53" s="115"/>
      <c r="O53" s="62"/>
      <c r="P53" s="42"/>
      <c r="Q53" s="42"/>
      <c r="R53" s="42"/>
      <c r="S53" s="42"/>
      <c r="T53" s="42"/>
      <c r="U53" s="42"/>
      <c r="V53" s="42"/>
      <c r="W53" s="42"/>
      <c r="X53" s="42"/>
      <c r="Y53" s="42"/>
      <c r="Z53" s="42"/>
    </row>
    <row r="54" ht="15.75" customHeight="1">
      <c r="A54" s="110"/>
      <c r="B54" s="110"/>
      <c r="C54" s="111"/>
      <c r="D54" s="111"/>
      <c r="E54" s="111"/>
      <c r="F54" s="111"/>
      <c r="G54" s="112"/>
      <c r="H54" s="87"/>
      <c r="I54" s="111"/>
      <c r="J54" s="111"/>
      <c r="K54" s="113"/>
      <c r="L54" s="111"/>
      <c r="M54" s="116"/>
      <c r="N54" s="115"/>
      <c r="O54" s="62"/>
      <c r="P54" s="42"/>
      <c r="Q54" s="42"/>
      <c r="R54" s="42"/>
      <c r="S54" s="42"/>
      <c r="T54" s="42"/>
      <c r="U54" s="42"/>
      <c r="V54" s="42"/>
      <c r="W54" s="42"/>
      <c r="X54" s="42"/>
      <c r="Y54" s="42"/>
      <c r="Z54" s="42"/>
    </row>
    <row r="55" ht="15.75" customHeight="1">
      <c r="A55" s="54"/>
      <c r="B55" s="54"/>
      <c r="C55" s="53"/>
      <c r="D55" s="53"/>
      <c r="E55" s="53"/>
      <c r="F55" s="60"/>
      <c r="G55" s="53"/>
      <c r="H55" s="52"/>
      <c r="I55" s="60"/>
      <c r="J55" s="60"/>
      <c r="K55" s="74"/>
      <c r="L55" s="60"/>
      <c r="M55" s="117"/>
      <c r="N55" s="118"/>
      <c r="O55" s="62"/>
    </row>
    <row r="56" ht="15.75" customHeight="1">
      <c r="A56" s="54"/>
      <c r="B56" s="54"/>
      <c r="C56" s="53"/>
      <c r="D56" s="53"/>
      <c r="E56" s="53"/>
      <c r="F56" s="60"/>
      <c r="G56" s="53"/>
      <c r="H56" s="52"/>
      <c r="I56" s="60"/>
      <c r="J56" s="60"/>
      <c r="K56" s="74"/>
      <c r="L56" s="60"/>
      <c r="M56" s="117"/>
      <c r="N56" s="118"/>
      <c r="O56" s="62"/>
    </row>
    <row r="57" ht="15.75" customHeight="1">
      <c r="A57" s="54"/>
      <c r="B57" s="54"/>
      <c r="C57" s="53"/>
      <c r="D57" s="53"/>
      <c r="E57" s="53"/>
      <c r="F57" s="60"/>
      <c r="G57" s="53"/>
      <c r="H57" s="52"/>
      <c r="I57" s="60"/>
      <c r="J57" s="60"/>
      <c r="K57" s="74"/>
      <c r="L57" s="60"/>
      <c r="M57" s="117"/>
      <c r="N57" s="118"/>
      <c r="O57" s="62"/>
    </row>
    <row r="58" ht="15.75" customHeight="1">
      <c r="A58" s="88" t="s">
        <v>88</v>
      </c>
      <c r="B58" s="37"/>
      <c r="C58" s="37"/>
      <c r="D58" s="37"/>
      <c r="E58" s="37"/>
      <c r="F58" s="37"/>
      <c r="G58" s="1"/>
      <c r="H58" s="1"/>
      <c r="I58" s="1"/>
      <c r="J58" s="1"/>
      <c r="K58" s="1"/>
      <c r="L58" s="1"/>
      <c r="M58" s="41"/>
      <c r="N58" s="89">
        <f>SUM(N11:N57)</f>
        <v>4580.18</v>
      </c>
    </row>
    <row r="59" ht="15.75" customHeight="1">
      <c r="A59" s="108"/>
      <c r="B59" s="108"/>
      <c r="C59" s="108"/>
      <c r="D59" s="108"/>
      <c r="E59" s="108"/>
      <c r="F59" s="108"/>
      <c r="G59" s="108"/>
      <c r="H59" s="108"/>
      <c r="I59" s="108"/>
      <c r="J59" s="108"/>
      <c r="K59" s="108"/>
      <c r="L59" s="108"/>
      <c r="M59" s="42"/>
      <c r="N59" s="42"/>
    </row>
    <row r="60" ht="15.75" customHeight="1">
      <c r="A60" s="90" t="s">
        <v>178</v>
      </c>
      <c r="B60" s="91"/>
      <c r="C60" s="91"/>
      <c r="D60" s="91"/>
      <c r="E60" s="91"/>
      <c r="F60" s="91"/>
      <c r="G60" s="91"/>
      <c r="H60" s="91"/>
      <c r="I60" s="91"/>
      <c r="J60" s="91"/>
      <c r="K60" s="91"/>
      <c r="L60" s="91"/>
      <c r="M60" s="91"/>
      <c r="N60" s="92"/>
    </row>
    <row r="61" ht="15.75" customHeight="1">
      <c r="A61" s="36"/>
      <c r="B61" s="37"/>
      <c r="C61" s="1"/>
      <c r="D61" s="1"/>
      <c r="E61" s="1"/>
      <c r="F61" s="1"/>
      <c r="G61" s="1"/>
      <c r="H61" s="1"/>
      <c r="I61" s="1"/>
      <c r="J61" s="1"/>
      <c r="K61" s="1"/>
      <c r="L61" s="1"/>
    </row>
    <row r="62" ht="15.75" customHeight="1">
      <c r="A62" s="36"/>
      <c r="B62" s="37"/>
      <c r="C62" s="1"/>
      <c r="D62" s="1"/>
      <c r="E62" s="1"/>
      <c r="F62" s="1"/>
      <c r="G62" s="1"/>
      <c r="H62" s="1"/>
      <c r="I62" s="1"/>
      <c r="J62" s="1"/>
      <c r="K62" s="1"/>
      <c r="L62" s="1"/>
    </row>
    <row r="63" ht="15.75" customHeight="1">
      <c r="A63" s="36"/>
      <c r="B63" s="37"/>
      <c r="C63" s="1"/>
      <c r="D63" s="1"/>
      <c r="E63" s="1"/>
      <c r="F63" s="1"/>
      <c r="G63" s="1"/>
      <c r="H63" s="1"/>
      <c r="I63" s="1"/>
      <c r="J63" s="1"/>
      <c r="K63" s="1"/>
      <c r="L63" s="1"/>
    </row>
    <row r="64" ht="15.75" customHeight="1">
      <c r="A64" s="36"/>
      <c r="B64" s="37"/>
      <c r="C64" s="1"/>
      <c r="D64" s="1"/>
      <c r="E64" s="1"/>
      <c r="F64" s="1"/>
      <c r="G64" s="1"/>
      <c r="H64" s="1"/>
      <c r="I64" s="1"/>
      <c r="J64" s="1"/>
      <c r="K64" s="1"/>
      <c r="L64" s="1"/>
    </row>
    <row r="65" ht="15.75" customHeight="1">
      <c r="A65" s="36"/>
      <c r="B65" s="37"/>
      <c r="C65" s="1"/>
      <c r="D65" s="1"/>
      <c r="E65" s="1"/>
      <c r="F65" s="1"/>
      <c r="G65" s="1"/>
      <c r="H65" s="1"/>
      <c r="I65" s="1"/>
      <c r="J65" s="1"/>
      <c r="K65" s="1"/>
      <c r="L65" s="1"/>
    </row>
    <row r="66" ht="15.75" customHeight="1">
      <c r="A66" s="36"/>
      <c r="B66" s="37"/>
      <c r="C66" s="1"/>
      <c r="D66" s="1"/>
      <c r="E66" s="1"/>
      <c r="F66" s="1"/>
      <c r="G66" s="1"/>
      <c r="H66" s="1"/>
      <c r="I66" s="1"/>
      <c r="J66" s="1"/>
      <c r="K66" s="1"/>
      <c r="L66" s="1"/>
    </row>
    <row r="67" ht="15.75" customHeight="1">
      <c r="A67" s="36"/>
      <c r="B67" s="37"/>
      <c r="C67" s="1"/>
      <c r="D67" s="1"/>
      <c r="E67" s="1"/>
      <c r="F67" s="1"/>
      <c r="G67" s="1"/>
      <c r="H67" s="1"/>
      <c r="I67" s="1"/>
      <c r="J67" s="1"/>
      <c r="K67" s="1"/>
      <c r="L67" s="1"/>
    </row>
    <row r="68" ht="15.75" customHeight="1">
      <c r="A68" s="36"/>
      <c r="B68" s="37"/>
      <c r="C68" s="1"/>
      <c r="D68" s="1"/>
      <c r="E68" s="1"/>
      <c r="F68" s="1"/>
      <c r="G68" s="1"/>
      <c r="H68" s="1"/>
      <c r="I68" s="1"/>
      <c r="J68" s="1"/>
      <c r="K68" s="1"/>
      <c r="L68" s="1"/>
    </row>
    <row r="69" ht="15.75" customHeight="1">
      <c r="A69" s="36"/>
      <c r="B69" s="37"/>
      <c r="C69" s="1"/>
      <c r="D69" s="1"/>
      <c r="E69" s="1"/>
      <c r="F69" s="1"/>
      <c r="G69" s="1"/>
      <c r="H69" s="1"/>
      <c r="I69" s="1"/>
      <c r="J69" s="1"/>
      <c r="K69" s="1"/>
      <c r="L69" s="1"/>
    </row>
    <row r="70" ht="15.75" customHeight="1">
      <c r="A70" s="36"/>
      <c r="B70" s="37"/>
      <c r="C70" s="1"/>
      <c r="D70" s="1"/>
      <c r="E70" s="1"/>
      <c r="F70" s="1"/>
      <c r="G70" s="1"/>
      <c r="H70" s="1"/>
      <c r="I70" s="1"/>
      <c r="J70" s="1"/>
      <c r="K70" s="1"/>
      <c r="L70" s="1"/>
    </row>
    <row r="71" ht="15.75" customHeight="1">
      <c r="A71" s="36"/>
      <c r="B71" s="37"/>
      <c r="C71" s="1"/>
      <c r="D71" s="1"/>
      <c r="E71" s="1"/>
      <c r="F71" s="1"/>
      <c r="G71" s="1"/>
      <c r="H71" s="1"/>
      <c r="I71" s="1"/>
      <c r="J71" s="1"/>
      <c r="K71" s="1"/>
      <c r="L71" s="1"/>
    </row>
    <row r="72" ht="15.75" customHeight="1">
      <c r="A72" s="36"/>
      <c r="B72" s="37"/>
      <c r="C72" s="1"/>
      <c r="D72" s="1"/>
      <c r="E72" s="1"/>
      <c r="F72" s="1"/>
      <c r="G72" s="1"/>
      <c r="H72" s="1"/>
      <c r="I72" s="1"/>
      <c r="J72" s="1"/>
      <c r="K72" s="1"/>
      <c r="L72" s="1"/>
    </row>
    <row r="73" ht="15.75" customHeight="1">
      <c r="A73" s="36"/>
      <c r="B73" s="37"/>
      <c r="C73" s="1"/>
      <c r="D73" s="1"/>
      <c r="E73" s="1"/>
      <c r="F73" s="1"/>
      <c r="G73" s="1"/>
      <c r="H73" s="1"/>
      <c r="I73" s="1"/>
      <c r="J73" s="1"/>
      <c r="K73" s="1"/>
      <c r="L73" s="1"/>
    </row>
    <row r="74" ht="15.75" customHeight="1">
      <c r="A74" s="36"/>
      <c r="B74" s="37"/>
      <c r="C74" s="1"/>
      <c r="D74" s="1"/>
      <c r="E74" s="1"/>
      <c r="F74" s="1"/>
      <c r="G74" s="1"/>
      <c r="H74" s="1"/>
      <c r="I74" s="1"/>
      <c r="J74" s="1"/>
      <c r="K74" s="1"/>
      <c r="L74" s="1"/>
    </row>
    <row r="75" ht="15.75" customHeight="1">
      <c r="A75" s="36"/>
      <c r="B75" s="37"/>
      <c r="C75" s="1"/>
      <c r="D75" s="1"/>
      <c r="E75" s="1"/>
      <c r="F75" s="1"/>
      <c r="G75" s="1"/>
      <c r="H75" s="1"/>
      <c r="I75" s="1"/>
      <c r="J75" s="1"/>
      <c r="K75" s="1"/>
      <c r="L75" s="1"/>
    </row>
    <row r="76" ht="15.75" customHeight="1">
      <c r="A76" s="36"/>
      <c r="B76" s="37"/>
      <c r="C76" s="1"/>
      <c r="D76" s="1"/>
      <c r="E76" s="1"/>
      <c r="F76" s="1"/>
      <c r="G76" s="1"/>
      <c r="H76" s="1"/>
      <c r="I76" s="1"/>
      <c r="J76" s="1"/>
      <c r="K76" s="1"/>
      <c r="L76" s="1"/>
    </row>
    <row r="77" ht="15.75" customHeight="1">
      <c r="A77" s="36"/>
      <c r="B77" s="37"/>
      <c r="C77" s="1"/>
      <c r="D77" s="1"/>
      <c r="E77" s="1"/>
      <c r="F77" s="1"/>
      <c r="G77" s="1"/>
      <c r="H77" s="1"/>
      <c r="I77" s="1"/>
      <c r="J77" s="1"/>
      <c r="K77" s="1"/>
      <c r="L77" s="1"/>
    </row>
    <row r="78" ht="15.75" customHeight="1">
      <c r="A78" s="36"/>
      <c r="B78" s="37"/>
      <c r="C78" s="1"/>
      <c r="D78" s="1"/>
      <c r="E78" s="1"/>
      <c r="F78" s="1"/>
      <c r="G78" s="1"/>
      <c r="H78" s="1"/>
      <c r="I78" s="1"/>
      <c r="J78" s="1"/>
      <c r="K78" s="1"/>
      <c r="L78" s="1"/>
    </row>
    <row r="79" ht="15.75" customHeight="1">
      <c r="A79" s="36"/>
      <c r="B79" s="37"/>
      <c r="C79" s="1"/>
      <c r="D79" s="1"/>
      <c r="E79" s="1"/>
      <c r="F79" s="1"/>
      <c r="G79" s="1"/>
      <c r="H79" s="1"/>
      <c r="I79" s="1"/>
      <c r="J79" s="1"/>
      <c r="K79" s="1"/>
      <c r="L79" s="1"/>
    </row>
    <row r="80" ht="15.75" customHeight="1">
      <c r="A80" s="36"/>
      <c r="B80" s="37"/>
      <c r="C80" s="1"/>
      <c r="D80" s="1"/>
      <c r="E80" s="1"/>
      <c r="F80" s="1"/>
      <c r="G80" s="1"/>
      <c r="H80" s="1"/>
      <c r="I80" s="1"/>
      <c r="J80" s="1"/>
      <c r="K80" s="1"/>
      <c r="L80" s="1"/>
    </row>
    <row r="81" ht="15.75" customHeight="1">
      <c r="A81" s="36"/>
      <c r="B81" s="37"/>
      <c r="C81" s="1"/>
      <c r="D81" s="1"/>
      <c r="E81" s="1"/>
      <c r="F81" s="1"/>
      <c r="G81" s="1"/>
      <c r="H81" s="1"/>
      <c r="I81" s="1"/>
      <c r="J81" s="1"/>
      <c r="K81" s="1"/>
      <c r="L81" s="1"/>
    </row>
    <row r="82" ht="15.75" customHeight="1">
      <c r="A82" s="36"/>
      <c r="B82" s="37"/>
      <c r="C82" s="1"/>
      <c r="D82" s="1"/>
      <c r="E82" s="1"/>
      <c r="F82" s="1"/>
      <c r="G82" s="1"/>
      <c r="H82" s="1"/>
      <c r="I82" s="1"/>
      <c r="J82" s="1"/>
      <c r="K82" s="1"/>
      <c r="L82" s="1"/>
    </row>
    <row r="83" ht="15.75" customHeight="1">
      <c r="A83" s="36"/>
      <c r="B83" s="37"/>
      <c r="C83" s="1"/>
      <c r="D83" s="1"/>
      <c r="E83" s="1"/>
      <c r="F83" s="1"/>
      <c r="G83" s="1"/>
      <c r="H83" s="1"/>
      <c r="I83" s="1"/>
      <c r="J83" s="1"/>
      <c r="K83" s="1"/>
      <c r="L83" s="1"/>
    </row>
    <row r="84" ht="15.75" customHeight="1">
      <c r="A84" s="36"/>
      <c r="B84" s="37"/>
      <c r="C84" s="1"/>
      <c r="D84" s="1"/>
      <c r="E84" s="1"/>
      <c r="F84" s="1"/>
      <c r="G84" s="1"/>
      <c r="H84" s="1"/>
      <c r="I84" s="1"/>
      <c r="J84" s="1"/>
      <c r="K84" s="1"/>
      <c r="L84" s="1"/>
    </row>
    <row r="85" ht="15.75" customHeight="1">
      <c r="A85" s="36"/>
      <c r="B85" s="37"/>
      <c r="C85" s="1"/>
      <c r="D85" s="1"/>
      <c r="E85" s="1"/>
      <c r="F85" s="1"/>
      <c r="G85" s="1"/>
      <c r="H85" s="1"/>
      <c r="I85" s="1"/>
      <c r="J85" s="1"/>
      <c r="K85" s="1"/>
      <c r="L85" s="1"/>
    </row>
    <row r="86" ht="15.75" customHeight="1">
      <c r="A86" s="36"/>
      <c r="B86" s="37"/>
      <c r="C86" s="1"/>
      <c r="D86" s="1"/>
      <c r="E86" s="1"/>
      <c r="F86" s="1"/>
      <c r="G86" s="1"/>
      <c r="H86" s="1"/>
      <c r="I86" s="1"/>
      <c r="J86" s="1"/>
      <c r="K86" s="1"/>
      <c r="L86" s="1"/>
    </row>
    <row r="87" ht="15.75" customHeight="1">
      <c r="A87" s="36"/>
      <c r="B87" s="37"/>
      <c r="C87" s="1"/>
      <c r="D87" s="1"/>
      <c r="E87" s="1"/>
      <c r="F87" s="1"/>
      <c r="G87" s="1"/>
      <c r="H87" s="1"/>
      <c r="I87" s="1"/>
      <c r="J87" s="1"/>
      <c r="K87" s="1"/>
      <c r="L87" s="1"/>
    </row>
    <row r="88" ht="15.75" customHeight="1">
      <c r="A88" s="36"/>
      <c r="B88" s="37"/>
      <c r="C88" s="1"/>
      <c r="D88" s="1"/>
      <c r="E88" s="1"/>
      <c r="F88" s="1"/>
      <c r="G88" s="1"/>
      <c r="H88" s="1"/>
      <c r="I88" s="1"/>
      <c r="J88" s="1"/>
      <c r="K88" s="1"/>
      <c r="L88" s="1"/>
    </row>
    <row r="89" ht="15.75" customHeight="1">
      <c r="A89" s="36"/>
      <c r="B89" s="37"/>
      <c r="C89" s="1"/>
      <c r="D89" s="1"/>
      <c r="E89" s="1"/>
      <c r="F89" s="1"/>
      <c r="G89" s="1"/>
      <c r="H89" s="1"/>
      <c r="I89" s="1"/>
      <c r="J89" s="1"/>
      <c r="K89" s="1"/>
      <c r="L89" s="1"/>
    </row>
    <row r="90" ht="15.75" customHeight="1">
      <c r="A90" s="36"/>
      <c r="B90" s="37"/>
      <c r="C90" s="1"/>
      <c r="D90" s="1"/>
      <c r="E90" s="1"/>
      <c r="F90" s="1"/>
      <c r="G90" s="1"/>
      <c r="H90" s="1"/>
      <c r="I90" s="1"/>
      <c r="J90" s="1"/>
      <c r="K90" s="1"/>
      <c r="L90" s="1"/>
    </row>
    <row r="91" ht="15.75" customHeight="1">
      <c r="A91" s="36"/>
      <c r="B91" s="37"/>
      <c r="C91" s="1"/>
      <c r="D91" s="1"/>
      <c r="E91" s="1"/>
      <c r="F91" s="1"/>
      <c r="G91" s="1"/>
      <c r="H91" s="1"/>
      <c r="I91" s="1"/>
      <c r="J91" s="1"/>
      <c r="K91" s="1"/>
      <c r="L91" s="1"/>
    </row>
    <row r="92" ht="15.75" customHeight="1">
      <c r="A92" s="36"/>
      <c r="B92" s="37"/>
      <c r="C92" s="1"/>
      <c r="D92" s="1"/>
      <c r="E92" s="1"/>
      <c r="F92" s="1"/>
      <c r="G92" s="1"/>
      <c r="H92" s="1"/>
      <c r="I92" s="1"/>
      <c r="J92" s="1"/>
      <c r="K92" s="1"/>
      <c r="L92" s="1"/>
    </row>
    <row r="93" ht="15.75" customHeight="1">
      <c r="A93" s="36"/>
      <c r="B93" s="37"/>
      <c r="C93" s="1"/>
      <c r="D93" s="1"/>
      <c r="E93" s="1"/>
      <c r="F93" s="1"/>
      <c r="G93" s="1"/>
      <c r="H93" s="1"/>
      <c r="I93" s="1"/>
      <c r="J93" s="1"/>
      <c r="K93" s="1"/>
      <c r="L93" s="1"/>
    </row>
    <row r="94" ht="15.75" customHeight="1">
      <c r="A94" s="36"/>
      <c r="B94" s="37"/>
      <c r="C94" s="1"/>
      <c r="D94" s="1"/>
      <c r="E94" s="1"/>
      <c r="F94" s="1"/>
      <c r="G94" s="1"/>
      <c r="H94" s="1"/>
      <c r="I94" s="1"/>
      <c r="J94" s="1"/>
      <c r="K94" s="1"/>
      <c r="L94" s="1"/>
    </row>
    <row r="95" ht="15.75" customHeight="1">
      <c r="A95" s="36"/>
      <c r="B95" s="37"/>
      <c r="C95" s="1"/>
      <c r="D95" s="1"/>
      <c r="E95" s="1"/>
      <c r="F95" s="1"/>
      <c r="G95" s="1"/>
      <c r="H95" s="1"/>
      <c r="I95" s="1"/>
      <c r="J95" s="1"/>
      <c r="K95" s="1"/>
      <c r="L95" s="1"/>
    </row>
    <row r="96" ht="15.75" customHeight="1">
      <c r="A96" s="36"/>
      <c r="B96" s="37"/>
      <c r="C96" s="1"/>
      <c r="D96" s="1"/>
      <c r="E96" s="1"/>
      <c r="F96" s="1"/>
      <c r="G96" s="1"/>
      <c r="H96" s="1"/>
      <c r="I96" s="1"/>
      <c r="J96" s="1"/>
      <c r="K96" s="1"/>
      <c r="L96" s="1"/>
    </row>
    <row r="97" ht="15.75" customHeight="1">
      <c r="A97" s="36"/>
      <c r="B97" s="37"/>
      <c r="C97" s="1"/>
      <c r="D97" s="1"/>
      <c r="E97" s="1"/>
      <c r="F97" s="1"/>
      <c r="G97" s="1"/>
      <c r="H97" s="1"/>
      <c r="I97" s="1"/>
      <c r="J97" s="1"/>
      <c r="K97" s="1"/>
      <c r="L97" s="1"/>
    </row>
    <row r="98" ht="15.75" customHeight="1">
      <c r="A98" s="36"/>
      <c r="B98" s="37"/>
      <c r="C98" s="1"/>
      <c r="D98" s="1"/>
      <c r="E98" s="1"/>
      <c r="F98" s="1"/>
      <c r="G98" s="1"/>
      <c r="H98" s="1"/>
      <c r="I98" s="1"/>
      <c r="J98" s="1"/>
      <c r="K98" s="1"/>
      <c r="L98" s="1"/>
    </row>
    <row r="99" ht="15.75" customHeight="1">
      <c r="A99" s="36"/>
      <c r="B99" s="37"/>
      <c r="C99" s="1"/>
      <c r="D99" s="1"/>
      <c r="E99" s="1"/>
      <c r="F99" s="1"/>
      <c r="G99" s="1"/>
      <c r="H99" s="1"/>
      <c r="I99" s="1"/>
      <c r="J99" s="1"/>
      <c r="K99" s="1"/>
      <c r="L99" s="1"/>
    </row>
    <row r="100" ht="15.75" customHeight="1">
      <c r="A100" s="36"/>
      <c r="B100" s="37"/>
      <c r="C100" s="1"/>
      <c r="D100" s="1"/>
      <c r="E100" s="1"/>
      <c r="F100" s="1"/>
      <c r="G100" s="1"/>
      <c r="H100" s="1"/>
      <c r="I100" s="1"/>
      <c r="J100" s="1"/>
      <c r="K100" s="1"/>
      <c r="L100" s="1"/>
    </row>
    <row r="101" ht="15.75" customHeight="1">
      <c r="A101" s="36"/>
      <c r="B101" s="37"/>
      <c r="C101" s="1"/>
      <c r="D101" s="1"/>
      <c r="E101" s="1"/>
      <c r="F101" s="1"/>
      <c r="G101" s="1"/>
      <c r="H101" s="1"/>
      <c r="I101" s="1"/>
      <c r="J101" s="1"/>
      <c r="K101" s="1"/>
      <c r="L101" s="1"/>
    </row>
    <row r="102" ht="15.75" customHeight="1">
      <c r="A102" s="36"/>
      <c r="B102" s="37"/>
      <c r="C102" s="1"/>
      <c r="D102" s="1"/>
      <c r="E102" s="1"/>
      <c r="F102" s="1"/>
      <c r="G102" s="1"/>
      <c r="H102" s="1"/>
      <c r="I102" s="1"/>
      <c r="J102" s="1"/>
      <c r="K102" s="1"/>
      <c r="L102" s="1"/>
    </row>
    <row r="103" ht="15.75" customHeight="1">
      <c r="A103" s="36"/>
      <c r="B103" s="37"/>
      <c r="C103" s="1"/>
      <c r="D103" s="1"/>
      <c r="E103" s="1"/>
      <c r="F103" s="1"/>
      <c r="G103" s="1"/>
      <c r="H103" s="1"/>
      <c r="I103" s="1"/>
      <c r="J103" s="1"/>
      <c r="K103" s="1"/>
      <c r="L103" s="1"/>
    </row>
    <row r="104" ht="15.75" customHeight="1">
      <c r="A104" s="36"/>
      <c r="B104" s="37"/>
      <c r="C104" s="1"/>
      <c r="D104" s="1"/>
      <c r="E104" s="1"/>
      <c r="F104" s="1"/>
      <c r="G104" s="1"/>
      <c r="H104" s="1"/>
      <c r="I104" s="1"/>
      <c r="J104" s="1"/>
      <c r="K104" s="1"/>
      <c r="L104" s="1"/>
    </row>
    <row r="105" ht="15.75" customHeight="1">
      <c r="A105" s="36"/>
      <c r="B105" s="37"/>
      <c r="C105" s="1"/>
      <c r="D105" s="1"/>
      <c r="E105" s="1"/>
      <c r="F105" s="1"/>
      <c r="G105" s="1"/>
      <c r="H105" s="1"/>
      <c r="I105" s="1"/>
      <c r="J105" s="1"/>
      <c r="K105" s="1"/>
      <c r="L105" s="1"/>
    </row>
    <row r="106" ht="15.75" customHeight="1">
      <c r="A106" s="36"/>
      <c r="B106" s="37"/>
      <c r="C106" s="1"/>
      <c r="D106" s="1"/>
      <c r="E106" s="1"/>
      <c r="F106" s="1"/>
      <c r="G106" s="1"/>
      <c r="H106" s="1"/>
      <c r="I106" s="1"/>
      <c r="J106" s="1"/>
      <c r="K106" s="1"/>
      <c r="L106" s="1"/>
    </row>
    <row r="107" ht="15.75" customHeight="1">
      <c r="A107" s="36"/>
      <c r="B107" s="37"/>
      <c r="C107" s="1"/>
      <c r="D107" s="1"/>
      <c r="E107" s="1"/>
      <c r="F107" s="1"/>
      <c r="G107" s="1"/>
      <c r="H107" s="1"/>
      <c r="I107" s="1"/>
      <c r="J107" s="1"/>
      <c r="K107" s="1"/>
      <c r="L107" s="1"/>
    </row>
    <row r="108" ht="15.75" customHeight="1">
      <c r="A108" s="36"/>
      <c r="B108" s="37"/>
      <c r="C108" s="1"/>
      <c r="D108" s="1"/>
      <c r="E108" s="1"/>
      <c r="F108" s="1"/>
      <c r="G108" s="1"/>
      <c r="H108" s="1"/>
      <c r="I108" s="1"/>
      <c r="J108" s="1"/>
      <c r="K108" s="1"/>
      <c r="L108" s="1"/>
    </row>
    <row r="109" ht="15.75" customHeight="1">
      <c r="A109" s="36"/>
      <c r="B109" s="37"/>
      <c r="C109" s="1"/>
      <c r="D109" s="1"/>
      <c r="E109" s="1"/>
      <c r="F109" s="1"/>
      <c r="G109" s="1"/>
      <c r="H109" s="1"/>
      <c r="I109" s="1"/>
      <c r="J109" s="1"/>
      <c r="K109" s="1"/>
      <c r="L109" s="1"/>
    </row>
    <row r="110" ht="15.75" customHeight="1">
      <c r="A110" s="36"/>
      <c r="B110" s="37"/>
      <c r="C110" s="1"/>
      <c r="D110" s="1"/>
      <c r="E110" s="1"/>
      <c r="F110" s="1"/>
      <c r="G110" s="1"/>
      <c r="H110" s="1"/>
      <c r="I110" s="1"/>
      <c r="J110" s="1"/>
      <c r="K110" s="1"/>
      <c r="L110" s="1"/>
    </row>
    <row r="111" ht="15.75" customHeight="1">
      <c r="A111" s="36"/>
      <c r="B111" s="37"/>
      <c r="C111" s="1"/>
      <c r="D111" s="1"/>
      <c r="E111" s="1"/>
      <c r="F111" s="1"/>
      <c r="G111" s="1"/>
      <c r="H111" s="1"/>
      <c r="I111" s="1"/>
      <c r="J111" s="1"/>
      <c r="K111" s="1"/>
      <c r="L111" s="1"/>
    </row>
    <row r="112" ht="15.75" customHeight="1">
      <c r="A112" s="36"/>
      <c r="B112" s="37"/>
      <c r="C112" s="1"/>
      <c r="D112" s="1"/>
      <c r="E112" s="1"/>
      <c r="F112" s="1"/>
      <c r="G112" s="1"/>
      <c r="H112" s="1"/>
      <c r="I112" s="1"/>
      <c r="J112" s="1"/>
      <c r="K112" s="1"/>
      <c r="L112" s="1"/>
    </row>
    <row r="113" ht="15.75" customHeight="1">
      <c r="A113" s="36"/>
      <c r="B113" s="37"/>
      <c r="C113" s="1"/>
      <c r="D113" s="1"/>
      <c r="E113" s="1"/>
      <c r="F113" s="1"/>
      <c r="G113" s="1"/>
      <c r="H113" s="1"/>
      <c r="I113" s="1"/>
      <c r="J113" s="1"/>
      <c r="K113" s="1"/>
      <c r="L113" s="1"/>
    </row>
    <row r="114" ht="15.75" customHeight="1">
      <c r="A114" s="36"/>
      <c r="B114" s="37"/>
      <c r="C114" s="1"/>
      <c r="D114" s="1"/>
      <c r="E114" s="1"/>
      <c r="F114" s="1"/>
      <c r="G114" s="1"/>
      <c r="H114" s="1"/>
      <c r="I114" s="1"/>
      <c r="J114" s="1"/>
      <c r="K114" s="1"/>
      <c r="L114" s="1"/>
    </row>
    <row r="115" ht="15.75" customHeight="1">
      <c r="A115" s="36"/>
      <c r="B115" s="37"/>
      <c r="C115" s="1"/>
      <c r="D115" s="1"/>
      <c r="E115" s="1"/>
      <c r="F115" s="1"/>
      <c r="G115" s="1"/>
      <c r="H115" s="1"/>
      <c r="I115" s="1"/>
      <c r="J115" s="1"/>
      <c r="K115" s="1"/>
      <c r="L115" s="1"/>
    </row>
    <row r="116" ht="15.75" customHeight="1">
      <c r="A116" s="36"/>
      <c r="B116" s="37"/>
      <c r="C116" s="1"/>
      <c r="D116" s="1"/>
      <c r="E116" s="1"/>
      <c r="F116" s="1"/>
      <c r="G116" s="1"/>
      <c r="H116" s="1"/>
      <c r="I116" s="1"/>
      <c r="J116" s="1"/>
      <c r="K116" s="1"/>
      <c r="L116" s="1"/>
    </row>
    <row r="117" ht="15.75" customHeight="1">
      <c r="A117" s="36"/>
      <c r="B117" s="37"/>
      <c r="C117" s="1"/>
      <c r="D117" s="1"/>
      <c r="E117" s="1"/>
      <c r="F117" s="1"/>
      <c r="G117" s="1"/>
      <c r="H117" s="1"/>
      <c r="I117" s="1"/>
      <c r="J117" s="1"/>
      <c r="K117" s="1"/>
      <c r="L117" s="1"/>
    </row>
    <row r="118" ht="15.75" customHeight="1">
      <c r="A118" s="36"/>
      <c r="B118" s="37"/>
      <c r="C118" s="1"/>
      <c r="D118" s="1"/>
      <c r="E118" s="1"/>
      <c r="F118" s="1"/>
      <c r="G118" s="1"/>
      <c r="H118" s="1"/>
      <c r="I118" s="1"/>
      <c r="J118" s="1"/>
      <c r="K118" s="1"/>
      <c r="L118" s="1"/>
    </row>
    <row r="119" ht="15.75" customHeight="1">
      <c r="A119" s="36"/>
      <c r="B119" s="37"/>
      <c r="C119" s="1"/>
      <c r="D119" s="1"/>
      <c r="E119" s="1"/>
      <c r="F119" s="1"/>
      <c r="G119" s="1"/>
      <c r="H119" s="1"/>
      <c r="I119" s="1"/>
      <c r="J119" s="1"/>
      <c r="K119" s="1"/>
      <c r="L119" s="1"/>
    </row>
    <row r="120" ht="15.75" customHeight="1">
      <c r="A120" s="36"/>
      <c r="B120" s="37"/>
      <c r="C120" s="1"/>
      <c r="D120" s="1"/>
      <c r="E120" s="1"/>
      <c r="F120" s="1"/>
      <c r="G120" s="1"/>
      <c r="H120" s="1"/>
      <c r="I120" s="1"/>
      <c r="J120" s="1"/>
      <c r="K120" s="1"/>
      <c r="L120" s="1"/>
    </row>
    <row r="121" ht="15.75" customHeight="1">
      <c r="A121" s="36"/>
      <c r="B121" s="37"/>
      <c r="C121" s="1"/>
      <c r="D121" s="1"/>
      <c r="E121" s="1"/>
      <c r="F121" s="1"/>
      <c r="G121" s="1"/>
      <c r="H121" s="1"/>
      <c r="I121" s="1"/>
      <c r="J121" s="1"/>
      <c r="K121" s="1"/>
      <c r="L121" s="1"/>
    </row>
    <row r="122" ht="15.75" customHeight="1">
      <c r="A122" s="36"/>
      <c r="B122" s="37"/>
      <c r="C122" s="1"/>
      <c r="D122" s="1"/>
      <c r="E122" s="1"/>
      <c r="F122" s="1"/>
      <c r="G122" s="1"/>
      <c r="H122" s="1"/>
      <c r="I122" s="1"/>
      <c r="J122" s="1"/>
      <c r="K122" s="1"/>
      <c r="L122" s="1"/>
    </row>
    <row r="123" ht="15.75" customHeight="1">
      <c r="A123" s="36"/>
      <c r="B123" s="37"/>
      <c r="C123" s="1"/>
      <c r="D123" s="1"/>
      <c r="E123" s="1"/>
      <c r="F123" s="1"/>
      <c r="G123" s="1"/>
      <c r="H123" s="1"/>
      <c r="I123" s="1"/>
      <c r="J123" s="1"/>
      <c r="K123" s="1"/>
      <c r="L123" s="1"/>
    </row>
    <row r="124" ht="15.75" customHeight="1">
      <c r="A124" s="36"/>
      <c r="B124" s="37"/>
      <c r="C124" s="1"/>
      <c r="D124" s="1"/>
      <c r="E124" s="1"/>
      <c r="F124" s="1"/>
      <c r="G124" s="1"/>
      <c r="H124" s="1"/>
      <c r="I124" s="1"/>
      <c r="J124" s="1"/>
      <c r="K124" s="1"/>
      <c r="L124" s="1"/>
    </row>
    <row r="125" ht="15.75" customHeight="1">
      <c r="A125" s="36"/>
      <c r="B125" s="37"/>
      <c r="C125" s="1"/>
      <c r="D125" s="1"/>
      <c r="E125" s="1"/>
      <c r="F125" s="1"/>
      <c r="G125" s="1"/>
      <c r="H125" s="1"/>
      <c r="I125" s="1"/>
      <c r="J125" s="1"/>
      <c r="K125" s="1"/>
      <c r="L125" s="1"/>
    </row>
    <row r="126" ht="15.75" customHeight="1">
      <c r="A126" s="36"/>
      <c r="B126" s="37"/>
      <c r="C126" s="1"/>
      <c r="D126" s="1"/>
      <c r="E126" s="1"/>
      <c r="F126" s="1"/>
      <c r="G126" s="1"/>
      <c r="H126" s="1"/>
      <c r="I126" s="1"/>
      <c r="J126" s="1"/>
      <c r="K126" s="1"/>
      <c r="L126" s="1"/>
    </row>
    <row r="127" ht="15.75" customHeight="1">
      <c r="A127" s="36"/>
      <c r="B127" s="37"/>
      <c r="C127" s="1"/>
      <c r="D127" s="1"/>
      <c r="E127" s="1"/>
      <c r="F127" s="1"/>
      <c r="G127" s="1"/>
      <c r="H127" s="1"/>
      <c r="I127" s="1"/>
      <c r="J127" s="1"/>
      <c r="K127" s="1"/>
      <c r="L127" s="1"/>
    </row>
    <row r="128" ht="15.75" customHeight="1">
      <c r="A128" s="36"/>
      <c r="B128" s="37"/>
      <c r="C128" s="1"/>
      <c r="D128" s="1"/>
      <c r="E128" s="1"/>
      <c r="F128" s="1"/>
      <c r="G128" s="1"/>
      <c r="H128" s="1"/>
      <c r="I128" s="1"/>
      <c r="J128" s="1"/>
      <c r="K128" s="1"/>
      <c r="L128" s="1"/>
    </row>
    <row r="129" ht="15.75" customHeight="1">
      <c r="A129" s="36"/>
      <c r="B129" s="37"/>
      <c r="C129" s="1"/>
      <c r="D129" s="1"/>
      <c r="E129" s="1"/>
      <c r="F129" s="1"/>
      <c r="G129" s="1"/>
      <c r="H129" s="1"/>
      <c r="I129" s="1"/>
      <c r="J129" s="1"/>
      <c r="K129" s="1"/>
      <c r="L129" s="1"/>
    </row>
    <row r="130" ht="15.75" customHeight="1">
      <c r="A130" s="36"/>
      <c r="B130" s="37"/>
      <c r="C130" s="1"/>
      <c r="D130" s="1"/>
      <c r="E130" s="1"/>
      <c r="F130" s="1"/>
      <c r="G130" s="1"/>
      <c r="H130" s="1"/>
      <c r="I130" s="1"/>
      <c r="J130" s="1"/>
      <c r="K130" s="1"/>
      <c r="L130" s="1"/>
    </row>
    <row r="131" ht="15.75" customHeight="1">
      <c r="A131" s="36"/>
      <c r="B131" s="37"/>
      <c r="C131" s="1"/>
      <c r="D131" s="1"/>
      <c r="E131" s="1"/>
      <c r="F131" s="1"/>
      <c r="G131" s="1"/>
      <c r="H131" s="1"/>
      <c r="I131" s="1"/>
      <c r="J131" s="1"/>
      <c r="K131" s="1"/>
      <c r="L131" s="1"/>
    </row>
    <row r="132" ht="15.75" customHeight="1">
      <c r="A132" s="36"/>
      <c r="B132" s="37"/>
      <c r="C132" s="1"/>
      <c r="D132" s="1"/>
      <c r="E132" s="1"/>
      <c r="F132" s="1"/>
      <c r="G132" s="1"/>
      <c r="H132" s="1"/>
      <c r="I132" s="1"/>
      <c r="J132" s="1"/>
      <c r="K132" s="1"/>
      <c r="L132" s="1"/>
    </row>
    <row r="133" ht="15.75" customHeight="1">
      <c r="A133" s="36"/>
      <c r="B133" s="37"/>
      <c r="C133" s="1"/>
      <c r="D133" s="1"/>
      <c r="E133" s="1"/>
      <c r="F133" s="1"/>
      <c r="G133" s="1"/>
      <c r="H133" s="1"/>
      <c r="I133" s="1"/>
      <c r="J133" s="1"/>
      <c r="K133" s="1"/>
      <c r="L133" s="1"/>
    </row>
    <row r="134" ht="15.75" customHeight="1">
      <c r="A134" s="36"/>
      <c r="B134" s="37"/>
      <c r="C134" s="1"/>
      <c r="D134" s="1"/>
      <c r="E134" s="1"/>
      <c r="F134" s="1"/>
      <c r="G134" s="1"/>
      <c r="H134" s="1"/>
      <c r="I134" s="1"/>
      <c r="J134" s="1"/>
      <c r="K134" s="1"/>
      <c r="L134" s="1"/>
    </row>
    <row r="135" ht="15.75" customHeight="1">
      <c r="A135" s="36"/>
      <c r="B135" s="37"/>
      <c r="C135" s="1"/>
      <c r="D135" s="1"/>
      <c r="E135" s="1"/>
      <c r="F135" s="1"/>
      <c r="G135" s="1"/>
      <c r="H135" s="1"/>
      <c r="I135" s="1"/>
      <c r="J135" s="1"/>
      <c r="K135" s="1"/>
      <c r="L135" s="1"/>
    </row>
    <row r="136" ht="15.75" customHeight="1">
      <c r="A136" s="36"/>
      <c r="B136" s="37"/>
      <c r="C136" s="1"/>
      <c r="D136" s="1"/>
      <c r="E136" s="1"/>
      <c r="F136" s="1"/>
      <c r="G136" s="1"/>
      <c r="H136" s="1"/>
      <c r="I136" s="1"/>
      <c r="J136" s="1"/>
      <c r="K136" s="1"/>
      <c r="L136" s="1"/>
    </row>
    <row r="137" ht="15.75" customHeight="1">
      <c r="A137" s="36"/>
      <c r="B137" s="37"/>
      <c r="C137" s="1"/>
      <c r="D137" s="1"/>
      <c r="E137" s="1"/>
      <c r="F137" s="1"/>
      <c r="G137" s="1"/>
      <c r="H137" s="1"/>
      <c r="I137" s="1"/>
      <c r="J137" s="1"/>
      <c r="K137" s="1"/>
      <c r="L137" s="1"/>
    </row>
    <row r="138" ht="15.75" customHeight="1">
      <c r="A138" s="36"/>
      <c r="B138" s="37"/>
      <c r="C138" s="1"/>
      <c r="D138" s="1"/>
      <c r="E138" s="1"/>
      <c r="F138" s="1"/>
      <c r="G138" s="1"/>
      <c r="H138" s="1"/>
      <c r="I138" s="1"/>
      <c r="J138" s="1"/>
      <c r="K138" s="1"/>
      <c r="L138" s="1"/>
    </row>
    <row r="139" ht="15.75" customHeight="1">
      <c r="A139" s="36"/>
      <c r="B139" s="37"/>
      <c r="C139" s="1"/>
      <c r="D139" s="1"/>
      <c r="E139" s="1"/>
      <c r="F139" s="1"/>
      <c r="G139" s="1"/>
      <c r="H139" s="1"/>
      <c r="I139" s="1"/>
      <c r="J139" s="1"/>
      <c r="K139" s="1"/>
      <c r="L139" s="1"/>
    </row>
    <row r="140" ht="15.75" customHeight="1">
      <c r="A140" s="36"/>
      <c r="B140" s="37"/>
      <c r="C140" s="1"/>
      <c r="D140" s="1"/>
      <c r="E140" s="1"/>
      <c r="F140" s="1"/>
      <c r="G140" s="1"/>
      <c r="H140" s="1"/>
      <c r="I140" s="1"/>
      <c r="J140" s="1"/>
      <c r="K140" s="1"/>
      <c r="L140" s="1"/>
    </row>
    <row r="141" ht="15.75" customHeight="1">
      <c r="A141" s="36"/>
      <c r="B141" s="37"/>
      <c r="C141" s="1"/>
      <c r="D141" s="1"/>
      <c r="E141" s="1"/>
      <c r="F141" s="1"/>
      <c r="G141" s="1"/>
      <c r="H141" s="1"/>
      <c r="I141" s="1"/>
      <c r="J141" s="1"/>
      <c r="K141" s="1"/>
      <c r="L141" s="1"/>
    </row>
    <row r="142" ht="15.75" customHeight="1">
      <c r="A142" s="36"/>
      <c r="B142" s="37"/>
      <c r="C142" s="1"/>
      <c r="D142" s="1"/>
      <c r="E142" s="1"/>
      <c r="F142" s="1"/>
      <c r="G142" s="1"/>
      <c r="H142" s="1"/>
      <c r="I142" s="1"/>
      <c r="J142" s="1"/>
      <c r="K142" s="1"/>
      <c r="L142" s="1"/>
    </row>
    <row r="143" ht="15.75" customHeight="1">
      <c r="A143" s="36"/>
      <c r="B143" s="37"/>
      <c r="C143" s="1"/>
      <c r="D143" s="1"/>
      <c r="E143" s="1"/>
      <c r="F143" s="1"/>
      <c r="G143" s="1"/>
      <c r="H143" s="1"/>
      <c r="I143" s="1"/>
      <c r="J143" s="1"/>
      <c r="K143" s="1"/>
      <c r="L143" s="1"/>
    </row>
    <row r="144" ht="15.75" customHeight="1">
      <c r="A144" s="36"/>
      <c r="B144" s="37"/>
      <c r="C144" s="1"/>
      <c r="D144" s="1"/>
      <c r="E144" s="1"/>
      <c r="F144" s="1"/>
      <c r="G144" s="1"/>
      <c r="H144" s="1"/>
      <c r="I144" s="1"/>
      <c r="J144" s="1"/>
      <c r="K144" s="1"/>
      <c r="L144" s="1"/>
    </row>
    <row r="145" ht="15.75" customHeight="1">
      <c r="A145" s="36"/>
      <c r="B145" s="37"/>
      <c r="C145" s="1"/>
      <c r="D145" s="1"/>
      <c r="E145" s="1"/>
      <c r="F145" s="1"/>
      <c r="G145" s="1"/>
      <c r="H145" s="1"/>
      <c r="I145" s="1"/>
      <c r="J145" s="1"/>
      <c r="K145" s="1"/>
      <c r="L145" s="1"/>
    </row>
    <row r="146" ht="15.75" customHeight="1">
      <c r="A146" s="36"/>
      <c r="B146" s="37"/>
      <c r="C146" s="1"/>
      <c r="D146" s="1"/>
      <c r="E146" s="1"/>
      <c r="F146" s="1"/>
      <c r="G146" s="1"/>
      <c r="H146" s="1"/>
      <c r="I146" s="1"/>
      <c r="J146" s="1"/>
      <c r="K146" s="1"/>
      <c r="L146" s="1"/>
    </row>
    <row r="147" ht="15.75" customHeight="1">
      <c r="A147" s="36"/>
      <c r="B147" s="37"/>
      <c r="C147" s="1"/>
      <c r="D147" s="1"/>
      <c r="E147" s="1"/>
      <c r="F147" s="1"/>
      <c r="G147" s="1"/>
      <c r="H147" s="1"/>
      <c r="I147" s="1"/>
      <c r="J147" s="1"/>
      <c r="K147" s="1"/>
      <c r="L147" s="1"/>
    </row>
    <row r="148" ht="15.75" customHeight="1">
      <c r="A148" s="36"/>
      <c r="B148" s="37"/>
      <c r="C148" s="1"/>
      <c r="D148" s="1"/>
      <c r="E148" s="1"/>
      <c r="F148" s="1"/>
      <c r="G148" s="1"/>
      <c r="H148" s="1"/>
      <c r="I148" s="1"/>
      <c r="J148" s="1"/>
      <c r="K148" s="1"/>
      <c r="L148" s="1"/>
    </row>
    <row r="149" ht="15.75" customHeight="1">
      <c r="A149" s="36"/>
      <c r="B149" s="37"/>
      <c r="C149" s="1"/>
      <c r="D149" s="1"/>
      <c r="E149" s="1"/>
      <c r="F149" s="1"/>
      <c r="G149" s="1"/>
      <c r="H149" s="1"/>
      <c r="I149" s="1"/>
      <c r="J149" s="1"/>
      <c r="K149" s="1"/>
      <c r="L149" s="1"/>
    </row>
    <row r="150" ht="15.75" customHeight="1">
      <c r="A150" s="36"/>
      <c r="B150" s="37"/>
      <c r="C150" s="1"/>
      <c r="D150" s="1"/>
      <c r="E150" s="1"/>
      <c r="F150" s="1"/>
      <c r="G150" s="1"/>
      <c r="H150" s="1"/>
      <c r="I150" s="1"/>
      <c r="J150" s="1"/>
      <c r="K150" s="1"/>
      <c r="L150" s="1"/>
    </row>
    <row r="151" ht="15.75" customHeight="1">
      <c r="A151" s="36"/>
      <c r="B151" s="37"/>
      <c r="C151" s="1"/>
      <c r="D151" s="1"/>
      <c r="E151" s="1"/>
      <c r="F151" s="1"/>
      <c r="G151" s="1"/>
      <c r="H151" s="1"/>
      <c r="I151" s="1"/>
      <c r="J151" s="1"/>
      <c r="K151" s="1"/>
      <c r="L151" s="1"/>
    </row>
    <row r="152" ht="15.75" customHeight="1">
      <c r="A152" s="36"/>
      <c r="B152" s="37"/>
      <c r="C152" s="1"/>
      <c r="D152" s="1"/>
      <c r="E152" s="1"/>
      <c r="F152" s="1"/>
      <c r="G152" s="1"/>
      <c r="H152" s="1"/>
      <c r="I152" s="1"/>
      <c r="J152" s="1"/>
      <c r="K152" s="1"/>
      <c r="L152" s="1"/>
    </row>
    <row r="153" ht="15.75" customHeight="1">
      <c r="A153" s="36"/>
      <c r="B153" s="37"/>
      <c r="C153" s="1"/>
      <c r="D153" s="1"/>
      <c r="E153" s="1"/>
      <c r="F153" s="1"/>
      <c r="G153" s="1"/>
      <c r="H153" s="1"/>
      <c r="I153" s="1"/>
      <c r="J153" s="1"/>
      <c r="K153" s="1"/>
      <c r="L153" s="1"/>
    </row>
    <row r="154" ht="15.75" customHeight="1">
      <c r="A154" s="36"/>
      <c r="B154" s="37"/>
      <c r="C154" s="1"/>
      <c r="D154" s="1"/>
      <c r="E154" s="1"/>
      <c r="F154" s="1"/>
      <c r="G154" s="1"/>
      <c r="H154" s="1"/>
      <c r="I154" s="1"/>
      <c r="J154" s="1"/>
      <c r="K154" s="1"/>
      <c r="L154" s="1"/>
    </row>
    <row r="155" ht="15.75" customHeight="1">
      <c r="A155" s="36"/>
      <c r="B155" s="37"/>
      <c r="C155" s="1"/>
      <c r="D155" s="1"/>
      <c r="E155" s="1"/>
      <c r="F155" s="1"/>
      <c r="G155" s="1"/>
      <c r="H155" s="1"/>
      <c r="I155" s="1"/>
      <c r="J155" s="1"/>
      <c r="K155" s="1"/>
      <c r="L155" s="1"/>
    </row>
    <row r="156" ht="15.75" customHeight="1">
      <c r="A156" s="36"/>
      <c r="B156" s="37"/>
      <c r="C156" s="1"/>
      <c r="D156" s="1"/>
      <c r="E156" s="1"/>
      <c r="F156" s="1"/>
      <c r="G156" s="1"/>
      <c r="H156" s="1"/>
      <c r="I156" s="1"/>
      <c r="J156" s="1"/>
      <c r="K156" s="1"/>
      <c r="L156" s="1"/>
    </row>
    <row r="157" ht="15.75" customHeight="1">
      <c r="A157" s="36"/>
      <c r="B157" s="37"/>
      <c r="C157" s="1"/>
      <c r="D157" s="1"/>
      <c r="E157" s="1"/>
      <c r="F157" s="1"/>
      <c r="G157" s="1"/>
      <c r="H157" s="1"/>
      <c r="I157" s="1"/>
      <c r="J157" s="1"/>
      <c r="K157" s="1"/>
      <c r="L157" s="1"/>
    </row>
    <row r="158" ht="15.75" customHeight="1">
      <c r="A158" s="36"/>
      <c r="B158" s="37"/>
      <c r="C158" s="1"/>
      <c r="D158" s="1"/>
      <c r="E158" s="1"/>
      <c r="F158" s="1"/>
      <c r="G158" s="1"/>
      <c r="H158" s="1"/>
      <c r="I158" s="1"/>
      <c r="J158" s="1"/>
      <c r="K158" s="1"/>
      <c r="L158" s="1"/>
    </row>
    <row r="159" ht="15.75" customHeight="1">
      <c r="A159" s="36"/>
      <c r="B159" s="37"/>
      <c r="C159" s="1"/>
      <c r="D159" s="1"/>
      <c r="E159" s="1"/>
      <c r="F159" s="1"/>
      <c r="G159" s="1"/>
      <c r="H159" s="1"/>
      <c r="I159" s="1"/>
      <c r="J159" s="1"/>
      <c r="K159" s="1"/>
      <c r="L159" s="1"/>
    </row>
    <row r="160" ht="15.75" customHeight="1">
      <c r="A160" s="36"/>
      <c r="B160" s="37"/>
      <c r="C160" s="1"/>
      <c r="D160" s="1"/>
      <c r="E160" s="1"/>
      <c r="F160" s="1"/>
      <c r="G160" s="1"/>
      <c r="H160" s="1"/>
      <c r="I160" s="1"/>
      <c r="J160" s="1"/>
      <c r="K160" s="1"/>
      <c r="L160" s="1"/>
    </row>
    <row r="161" ht="15.75" customHeight="1">
      <c r="A161" s="36"/>
      <c r="B161" s="37"/>
      <c r="C161" s="1"/>
      <c r="D161" s="1"/>
      <c r="E161" s="1"/>
      <c r="F161" s="1"/>
      <c r="G161" s="1"/>
      <c r="H161" s="1"/>
      <c r="I161" s="1"/>
      <c r="J161" s="1"/>
      <c r="K161" s="1"/>
      <c r="L161" s="1"/>
    </row>
    <row r="162" ht="15.75" customHeight="1">
      <c r="A162" s="36"/>
      <c r="B162" s="37"/>
      <c r="C162" s="1"/>
      <c r="D162" s="1"/>
      <c r="E162" s="1"/>
      <c r="F162" s="1"/>
      <c r="G162" s="1"/>
      <c r="H162" s="1"/>
      <c r="I162" s="1"/>
      <c r="J162" s="1"/>
      <c r="K162" s="1"/>
      <c r="L162" s="1"/>
    </row>
    <row r="163" ht="15.75" customHeight="1">
      <c r="A163" s="36"/>
      <c r="B163" s="37"/>
      <c r="C163" s="1"/>
      <c r="D163" s="1"/>
      <c r="E163" s="1"/>
      <c r="F163" s="1"/>
      <c r="G163" s="1"/>
      <c r="H163" s="1"/>
      <c r="I163" s="1"/>
      <c r="J163" s="1"/>
      <c r="K163" s="1"/>
      <c r="L163" s="1"/>
    </row>
    <row r="164" ht="15.75" customHeight="1">
      <c r="A164" s="36"/>
      <c r="B164" s="37"/>
      <c r="C164" s="1"/>
      <c r="D164" s="1"/>
      <c r="E164" s="1"/>
      <c r="F164" s="1"/>
      <c r="G164" s="1"/>
      <c r="H164" s="1"/>
      <c r="I164" s="1"/>
      <c r="J164" s="1"/>
      <c r="K164" s="1"/>
      <c r="L164" s="1"/>
    </row>
    <row r="165" ht="15.75" customHeight="1">
      <c r="A165" s="36"/>
      <c r="B165" s="37"/>
      <c r="C165" s="1"/>
      <c r="D165" s="1"/>
      <c r="E165" s="1"/>
      <c r="F165" s="1"/>
      <c r="G165" s="1"/>
      <c r="H165" s="1"/>
      <c r="I165" s="1"/>
      <c r="J165" s="1"/>
      <c r="K165" s="1"/>
      <c r="L165" s="1"/>
    </row>
    <row r="166" ht="15.75" customHeight="1">
      <c r="A166" s="36"/>
      <c r="B166" s="37"/>
      <c r="C166" s="1"/>
      <c r="D166" s="1"/>
      <c r="E166" s="1"/>
      <c r="F166" s="1"/>
      <c r="G166" s="1"/>
      <c r="H166" s="1"/>
      <c r="I166" s="1"/>
      <c r="J166" s="1"/>
      <c r="K166" s="1"/>
      <c r="L166" s="1"/>
    </row>
    <row r="167" ht="15.75" customHeight="1">
      <c r="A167" s="36"/>
      <c r="B167" s="37"/>
      <c r="C167" s="1"/>
      <c r="D167" s="1"/>
      <c r="E167" s="1"/>
      <c r="F167" s="1"/>
      <c r="G167" s="1"/>
      <c r="H167" s="1"/>
      <c r="I167" s="1"/>
      <c r="J167" s="1"/>
      <c r="K167" s="1"/>
      <c r="L167" s="1"/>
    </row>
    <row r="168" ht="15.75" customHeight="1">
      <c r="A168" s="36"/>
      <c r="B168" s="37"/>
      <c r="C168" s="1"/>
      <c r="D168" s="1"/>
      <c r="E168" s="1"/>
      <c r="F168" s="1"/>
      <c r="G168" s="1"/>
      <c r="H168" s="1"/>
      <c r="I168" s="1"/>
      <c r="J168" s="1"/>
      <c r="K168" s="1"/>
      <c r="L168" s="1"/>
    </row>
    <row r="169" ht="15.75" customHeight="1">
      <c r="A169" s="36"/>
      <c r="B169" s="37"/>
      <c r="C169" s="1"/>
      <c r="D169" s="1"/>
      <c r="E169" s="1"/>
      <c r="F169" s="1"/>
      <c r="G169" s="1"/>
      <c r="H169" s="1"/>
      <c r="I169" s="1"/>
      <c r="J169" s="1"/>
      <c r="K169" s="1"/>
      <c r="L169" s="1"/>
    </row>
    <row r="170" ht="15.75" customHeight="1">
      <c r="A170" s="36"/>
      <c r="B170" s="37"/>
      <c r="C170" s="1"/>
      <c r="D170" s="1"/>
      <c r="E170" s="1"/>
      <c r="F170" s="1"/>
      <c r="G170" s="1"/>
      <c r="H170" s="1"/>
      <c r="I170" s="1"/>
      <c r="J170" s="1"/>
      <c r="K170" s="1"/>
      <c r="L170" s="1"/>
    </row>
    <row r="171" ht="15.75" customHeight="1">
      <c r="A171" s="36"/>
      <c r="B171" s="37"/>
      <c r="C171" s="1"/>
      <c r="D171" s="1"/>
      <c r="E171" s="1"/>
      <c r="F171" s="1"/>
      <c r="G171" s="1"/>
      <c r="H171" s="1"/>
      <c r="I171" s="1"/>
      <c r="J171" s="1"/>
      <c r="K171" s="1"/>
      <c r="L171" s="1"/>
    </row>
    <row r="172" ht="15.75" customHeight="1">
      <c r="A172" s="36"/>
      <c r="B172" s="37"/>
      <c r="C172" s="1"/>
      <c r="D172" s="1"/>
      <c r="E172" s="1"/>
      <c r="F172" s="1"/>
      <c r="G172" s="1"/>
      <c r="H172" s="1"/>
      <c r="I172" s="1"/>
      <c r="J172" s="1"/>
      <c r="K172" s="1"/>
      <c r="L172" s="1"/>
    </row>
    <row r="173" ht="15.75" customHeight="1">
      <c r="A173" s="36"/>
      <c r="B173" s="37"/>
      <c r="C173" s="1"/>
      <c r="D173" s="1"/>
      <c r="E173" s="1"/>
      <c r="F173" s="1"/>
      <c r="G173" s="1"/>
      <c r="H173" s="1"/>
      <c r="I173" s="1"/>
      <c r="J173" s="1"/>
      <c r="K173" s="1"/>
      <c r="L173" s="1"/>
    </row>
    <row r="174" ht="15.75" customHeight="1">
      <c r="A174" s="36"/>
      <c r="B174" s="37"/>
      <c r="C174" s="1"/>
      <c r="D174" s="1"/>
      <c r="E174" s="1"/>
      <c r="F174" s="1"/>
      <c r="G174" s="1"/>
      <c r="H174" s="1"/>
      <c r="I174" s="1"/>
      <c r="J174" s="1"/>
      <c r="K174" s="1"/>
      <c r="L174" s="1"/>
    </row>
    <row r="175" ht="15.75" customHeight="1">
      <c r="A175" s="36"/>
      <c r="B175" s="37"/>
      <c r="C175" s="1"/>
      <c r="D175" s="1"/>
      <c r="E175" s="1"/>
      <c r="F175" s="1"/>
      <c r="G175" s="1"/>
      <c r="H175" s="1"/>
      <c r="I175" s="1"/>
      <c r="J175" s="1"/>
      <c r="K175" s="1"/>
      <c r="L175" s="1"/>
    </row>
    <row r="176" ht="15.75" customHeight="1">
      <c r="A176" s="36"/>
      <c r="B176" s="37"/>
      <c r="C176" s="1"/>
      <c r="D176" s="1"/>
      <c r="E176" s="1"/>
      <c r="F176" s="1"/>
      <c r="G176" s="1"/>
      <c r="H176" s="1"/>
      <c r="I176" s="1"/>
      <c r="J176" s="1"/>
      <c r="K176" s="1"/>
      <c r="L176" s="1"/>
    </row>
    <row r="177" ht="15.75" customHeight="1">
      <c r="A177" s="36"/>
      <c r="B177" s="37"/>
      <c r="C177" s="1"/>
      <c r="D177" s="1"/>
      <c r="E177" s="1"/>
      <c r="F177" s="1"/>
      <c r="G177" s="1"/>
      <c r="H177" s="1"/>
      <c r="I177" s="1"/>
      <c r="J177" s="1"/>
      <c r="K177" s="1"/>
      <c r="L177" s="1"/>
    </row>
    <row r="178" ht="15.75" customHeight="1">
      <c r="A178" s="36"/>
      <c r="B178" s="37"/>
      <c r="C178" s="1"/>
      <c r="D178" s="1"/>
      <c r="E178" s="1"/>
      <c r="F178" s="1"/>
      <c r="G178" s="1"/>
      <c r="H178" s="1"/>
      <c r="I178" s="1"/>
      <c r="J178" s="1"/>
      <c r="K178" s="1"/>
      <c r="L178" s="1"/>
    </row>
    <row r="179" ht="15.75" customHeight="1">
      <c r="A179" s="36"/>
      <c r="B179" s="37"/>
      <c r="C179" s="1"/>
      <c r="D179" s="1"/>
      <c r="E179" s="1"/>
      <c r="F179" s="1"/>
      <c r="G179" s="1"/>
      <c r="H179" s="1"/>
      <c r="I179" s="1"/>
      <c r="J179" s="1"/>
      <c r="K179" s="1"/>
      <c r="L179" s="1"/>
    </row>
    <row r="180" ht="15.75" customHeight="1">
      <c r="A180" s="36"/>
      <c r="B180" s="37"/>
      <c r="C180" s="1"/>
      <c r="D180" s="1"/>
      <c r="E180" s="1"/>
      <c r="F180" s="1"/>
      <c r="G180" s="1"/>
      <c r="H180" s="1"/>
      <c r="I180" s="1"/>
      <c r="J180" s="1"/>
      <c r="K180" s="1"/>
      <c r="L180" s="1"/>
    </row>
    <row r="181" ht="15.75" customHeight="1">
      <c r="A181" s="36"/>
      <c r="B181" s="37"/>
      <c r="C181" s="1"/>
      <c r="D181" s="1"/>
      <c r="E181" s="1"/>
      <c r="F181" s="1"/>
      <c r="G181" s="1"/>
      <c r="H181" s="1"/>
      <c r="I181" s="1"/>
      <c r="J181" s="1"/>
      <c r="K181" s="1"/>
      <c r="L181" s="1"/>
    </row>
    <row r="182" ht="15.75" customHeight="1">
      <c r="A182" s="36"/>
      <c r="B182" s="37"/>
      <c r="C182" s="1"/>
      <c r="D182" s="1"/>
      <c r="E182" s="1"/>
      <c r="F182" s="1"/>
      <c r="G182" s="1"/>
      <c r="H182" s="1"/>
      <c r="I182" s="1"/>
      <c r="J182" s="1"/>
      <c r="K182" s="1"/>
      <c r="L182" s="1"/>
    </row>
    <row r="183" ht="15.75" customHeight="1">
      <c r="A183" s="36"/>
      <c r="B183" s="37"/>
      <c r="C183" s="1"/>
      <c r="D183" s="1"/>
      <c r="E183" s="1"/>
      <c r="F183" s="1"/>
      <c r="G183" s="1"/>
      <c r="H183" s="1"/>
      <c r="I183" s="1"/>
      <c r="J183" s="1"/>
      <c r="K183" s="1"/>
      <c r="L183" s="1"/>
    </row>
    <row r="184" ht="15.75" customHeight="1">
      <c r="A184" s="36"/>
      <c r="B184" s="37"/>
      <c r="C184" s="1"/>
      <c r="D184" s="1"/>
      <c r="E184" s="1"/>
      <c r="F184" s="1"/>
      <c r="G184" s="1"/>
      <c r="H184" s="1"/>
      <c r="I184" s="1"/>
      <c r="J184" s="1"/>
      <c r="K184" s="1"/>
      <c r="L184" s="1"/>
    </row>
    <row r="185" ht="15.75" customHeight="1">
      <c r="A185" s="36"/>
      <c r="B185" s="37"/>
      <c r="C185" s="1"/>
      <c r="D185" s="1"/>
      <c r="E185" s="1"/>
      <c r="F185" s="1"/>
      <c r="G185" s="1"/>
      <c r="H185" s="1"/>
      <c r="I185" s="1"/>
      <c r="J185" s="1"/>
      <c r="K185" s="1"/>
      <c r="L185" s="1"/>
    </row>
    <row r="186" ht="15.75" customHeight="1">
      <c r="A186" s="36"/>
      <c r="B186" s="37"/>
      <c r="C186" s="1"/>
      <c r="D186" s="1"/>
      <c r="E186" s="1"/>
      <c r="F186" s="1"/>
      <c r="G186" s="1"/>
      <c r="H186" s="1"/>
      <c r="I186" s="1"/>
      <c r="J186" s="1"/>
      <c r="K186" s="1"/>
      <c r="L186" s="1"/>
    </row>
    <row r="187" ht="15.75" customHeight="1">
      <c r="A187" s="36"/>
      <c r="B187" s="37"/>
      <c r="C187" s="1"/>
      <c r="D187" s="1"/>
      <c r="E187" s="1"/>
      <c r="F187" s="1"/>
      <c r="G187" s="1"/>
      <c r="H187" s="1"/>
      <c r="I187" s="1"/>
      <c r="J187" s="1"/>
      <c r="K187" s="1"/>
      <c r="L187" s="1"/>
    </row>
    <row r="188" ht="15.75" customHeight="1">
      <c r="A188" s="36"/>
      <c r="B188" s="37"/>
      <c r="C188" s="1"/>
      <c r="D188" s="1"/>
      <c r="E188" s="1"/>
      <c r="F188" s="1"/>
      <c r="G188" s="1"/>
      <c r="H188" s="1"/>
      <c r="I188" s="1"/>
      <c r="J188" s="1"/>
      <c r="K188" s="1"/>
      <c r="L188" s="1"/>
    </row>
    <row r="189" ht="15.75" customHeight="1">
      <c r="A189" s="36"/>
      <c r="B189" s="37"/>
      <c r="C189" s="1"/>
      <c r="D189" s="1"/>
      <c r="E189" s="1"/>
      <c r="F189" s="1"/>
      <c r="G189" s="1"/>
      <c r="H189" s="1"/>
      <c r="I189" s="1"/>
      <c r="J189" s="1"/>
      <c r="K189" s="1"/>
      <c r="L189" s="1"/>
    </row>
    <row r="190" ht="15.75" customHeight="1">
      <c r="A190" s="36"/>
      <c r="B190" s="37"/>
      <c r="C190" s="1"/>
      <c r="D190" s="1"/>
      <c r="E190" s="1"/>
      <c r="F190" s="1"/>
      <c r="G190" s="1"/>
      <c r="H190" s="1"/>
      <c r="I190" s="1"/>
      <c r="J190" s="1"/>
      <c r="K190" s="1"/>
      <c r="L190" s="1"/>
    </row>
    <row r="191" ht="15.75" customHeight="1">
      <c r="A191" s="36"/>
      <c r="B191" s="37"/>
      <c r="C191" s="1"/>
      <c r="D191" s="1"/>
      <c r="E191" s="1"/>
      <c r="F191" s="1"/>
      <c r="G191" s="1"/>
      <c r="H191" s="1"/>
      <c r="I191" s="1"/>
      <c r="J191" s="1"/>
      <c r="K191" s="1"/>
      <c r="L191" s="1"/>
    </row>
    <row r="192" ht="15.75" customHeight="1">
      <c r="A192" s="36"/>
      <c r="B192" s="37"/>
      <c r="C192" s="1"/>
      <c r="D192" s="1"/>
      <c r="E192" s="1"/>
      <c r="F192" s="1"/>
      <c r="G192" s="1"/>
      <c r="H192" s="1"/>
      <c r="I192" s="1"/>
      <c r="J192" s="1"/>
      <c r="K192" s="1"/>
      <c r="L192" s="1"/>
    </row>
    <row r="193" ht="15.75" customHeight="1">
      <c r="A193" s="36"/>
      <c r="B193" s="37"/>
      <c r="C193" s="1"/>
      <c r="D193" s="1"/>
      <c r="E193" s="1"/>
      <c r="F193" s="1"/>
      <c r="G193" s="1"/>
      <c r="H193" s="1"/>
      <c r="I193" s="1"/>
      <c r="J193" s="1"/>
      <c r="K193" s="1"/>
      <c r="L193" s="1"/>
    </row>
    <row r="194" ht="15.75" customHeight="1">
      <c r="A194" s="36"/>
      <c r="B194" s="37"/>
      <c r="C194" s="1"/>
      <c r="D194" s="1"/>
      <c r="E194" s="1"/>
      <c r="F194" s="1"/>
      <c r="G194" s="1"/>
      <c r="H194" s="1"/>
      <c r="I194" s="1"/>
      <c r="J194" s="1"/>
      <c r="K194" s="1"/>
      <c r="L194" s="1"/>
    </row>
    <row r="195" ht="15.75" customHeight="1">
      <c r="A195" s="36"/>
      <c r="B195" s="37"/>
      <c r="C195" s="1"/>
      <c r="D195" s="1"/>
      <c r="E195" s="1"/>
      <c r="F195" s="1"/>
      <c r="G195" s="1"/>
      <c r="H195" s="1"/>
      <c r="I195" s="1"/>
      <c r="J195" s="1"/>
      <c r="K195" s="1"/>
      <c r="L195" s="1"/>
    </row>
    <row r="196" ht="15.75" customHeight="1">
      <c r="A196" s="36"/>
      <c r="B196" s="37"/>
      <c r="C196" s="1"/>
      <c r="D196" s="1"/>
      <c r="E196" s="1"/>
      <c r="F196" s="1"/>
      <c r="G196" s="1"/>
      <c r="H196" s="1"/>
      <c r="I196" s="1"/>
      <c r="J196" s="1"/>
      <c r="K196" s="1"/>
      <c r="L196" s="1"/>
    </row>
    <row r="197" ht="15.75" customHeight="1">
      <c r="A197" s="36"/>
      <c r="B197" s="37"/>
      <c r="C197" s="1"/>
      <c r="D197" s="1"/>
      <c r="E197" s="1"/>
      <c r="F197" s="1"/>
      <c r="G197" s="1"/>
      <c r="H197" s="1"/>
      <c r="I197" s="1"/>
      <c r="J197" s="1"/>
      <c r="K197" s="1"/>
      <c r="L197" s="1"/>
    </row>
    <row r="198" ht="15.75" customHeight="1">
      <c r="A198" s="36"/>
      <c r="B198" s="37"/>
      <c r="C198" s="1"/>
      <c r="D198" s="1"/>
      <c r="E198" s="1"/>
      <c r="F198" s="1"/>
      <c r="G198" s="1"/>
      <c r="H198" s="1"/>
      <c r="I198" s="1"/>
      <c r="J198" s="1"/>
      <c r="K198" s="1"/>
      <c r="L198" s="1"/>
    </row>
    <row r="199" ht="15.75" customHeight="1">
      <c r="A199" s="36"/>
      <c r="B199" s="37"/>
      <c r="C199" s="1"/>
      <c r="D199" s="1"/>
      <c r="E199" s="1"/>
      <c r="F199" s="1"/>
      <c r="G199" s="1"/>
      <c r="H199" s="1"/>
      <c r="I199" s="1"/>
      <c r="J199" s="1"/>
      <c r="K199" s="1"/>
      <c r="L199" s="1"/>
    </row>
    <row r="200" ht="15.75" customHeight="1">
      <c r="A200" s="36"/>
      <c r="B200" s="37"/>
      <c r="C200" s="1"/>
      <c r="D200" s="1"/>
      <c r="E200" s="1"/>
      <c r="F200" s="1"/>
      <c r="G200" s="1"/>
      <c r="H200" s="1"/>
      <c r="I200" s="1"/>
      <c r="J200" s="1"/>
      <c r="K200" s="1"/>
      <c r="L200" s="1"/>
    </row>
    <row r="201" ht="15.75" customHeight="1">
      <c r="A201" s="36"/>
      <c r="B201" s="37"/>
      <c r="C201" s="1"/>
      <c r="D201" s="1"/>
      <c r="E201" s="1"/>
      <c r="F201" s="1"/>
      <c r="G201" s="1"/>
      <c r="H201" s="1"/>
      <c r="I201" s="1"/>
      <c r="J201" s="1"/>
      <c r="K201" s="1"/>
      <c r="L201" s="1"/>
    </row>
    <row r="202" ht="15.75" customHeight="1">
      <c r="A202" s="36"/>
      <c r="B202" s="37"/>
      <c r="C202" s="1"/>
      <c r="D202" s="1"/>
      <c r="E202" s="1"/>
      <c r="F202" s="1"/>
      <c r="G202" s="1"/>
      <c r="H202" s="1"/>
      <c r="I202" s="1"/>
      <c r="J202" s="1"/>
      <c r="K202" s="1"/>
      <c r="L202" s="1"/>
    </row>
    <row r="203" ht="15.75" customHeight="1">
      <c r="A203" s="36"/>
      <c r="B203" s="37"/>
      <c r="C203" s="1"/>
      <c r="D203" s="1"/>
      <c r="E203" s="1"/>
      <c r="F203" s="1"/>
      <c r="G203" s="1"/>
      <c r="H203" s="1"/>
      <c r="I203" s="1"/>
      <c r="J203" s="1"/>
      <c r="K203" s="1"/>
      <c r="L203" s="1"/>
    </row>
    <row r="204" ht="15.75" customHeight="1">
      <c r="A204" s="36"/>
      <c r="B204" s="37"/>
      <c r="C204" s="1"/>
      <c r="D204" s="1"/>
      <c r="E204" s="1"/>
      <c r="F204" s="1"/>
      <c r="G204" s="1"/>
      <c r="H204" s="1"/>
      <c r="I204" s="1"/>
      <c r="J204" s="1"/>
      <c r="K204" s="1"/>
      <c r="L204" s="1"/>
    </row>
    <row r="205" ht="15.75" customHeight="1">
      <c r="A205" s="36"/>
      <c r="B205" s="37"/>
      <c r="C205" s="1"/>
      <c r="D205" s="1"/>
      <c r="E205" s="1"/>
      <c r="F205" s="1"/>
      <c r="G205" s="1"/>
      <c r="H205" s="1"/>
      <c r="I205" s="1"/>
      <c r="J205" s="1"/>
      <c r="K205" s="1"/>
      <c r="L205" s="1"/>
    </row>
    <row r="206" ht="15.75" customHeight="1">
      <c r="A206" s="36"/>
      <c r="B206" s="37"/>
      <c r="C206" s="1"/>
      <c r="D206" s="1"/>
      <c r="E206" s="1"/>
      <c r="F206" s="1"/>
      <c r="G206" s="1"/>
      <c r="H206" s="1"/>
      <c r="I206" s="1"/>
      <c r="J206" s="1"/>
      <c r="K206" s="1"/>
      <c r="L206" s="1"/>
    </row>
    <row r="207" ht="15.75" customHeight="1">
      <c r="A207" s="36"/>
      <c r="B207" s="37"/>
      <c r="C207" s="1"/>
      <c r="D207" s="1"/>
      <c r="E207" s="1"/>
      <c r="F207" s="1"/>
      <c r="G207" s="1"/>
      <c r="H207" s="1"/>
      <c r="I207" s="1"/>
      <c r="J207" s="1"/>
      <c r="K207" s="1"/>
      <c r="L207" s="1"/>
    </row>
    <row r="208" ht="15.75" customHeight="1">
      <c r="A208" s="36"/>
      <c r="B208" s="37"/>
      <c r="C208" s="1"/>
      <c r="D208" s="1"/>
      <c r="E208" s="1"/>
      <c r="F208" s="1"/>
      <c r="G208" s="1"/>
      <c r="H208" s="1"/>
      <c r="I208" s="1"/>
      <c r="J208" s="1"/>
      <c r="K208" s="1"/>
      <c r="L208" s="1"/>
    </row>
    <row r="209" ht="15.75" customHeight="1">
      <c r="A209" s="36"/>
      <c r="B209" s="37"/>
      <c r="C209" s="1"/>
      <c r="D209" s="1"/>
      <c r="E209" s="1"/>
      <c r="F209" s="1"/>
      <c r="G209" s="1"/>
      <c r="H209" s="1"/>
      <c r="I209" s="1"/>
      <c r="J209" s="1"/>
      <c r="K209" s="1"/>
      <c r="L209" s="1"/>
    </row>
    <row r="210" ht="15.75" customHeight="1">
      <c r="A210" s="36"/>
      <c r="B210" s="37"/>
      <c r="C210" s="1"/>
      <c r="D210" s="1"/>
      <c r="E210" s="1"/>
      <c r="F210" s="1"/>
      <c r="G210" s="1"/>
      <c r="H210" s="1"/>
      <c r="I210" s="1"/>
      <c r="J210" s="1"/>
      <c r="K210" s="1"/>
      <c r="L210" s="1"/>
    </row>
    <row r="211" ht="15.75" customHeight="1">
      <c r="A211" s="36"/>
      <c r="B211" s="37"/>
      <c r="C211" s="1"/>
      <c r="D211" s="1"/>
      <c r="E211" s="1"/>
      <c r="F211" s="1"/>
      <c r="G211" s="1"/>
      <c r="H211" s="1"/>
      <c r="I211" s="1"/>
      <c r="J211" s="1"/>
      <c r="K211" s="1"/>
      <c r="L211" s="1"/>
    </row>
    <row r="212" ht="15.75" customHeight="1">
      <c r="A212" s="36"/>
      <c r="B212" s="37"/>
      <c r="C212" s="1"/>
      <c r="D212" s="1"/>
      <c r="E212" s="1"/>
      <c r="F212" s="1"/>
      <c r="G212" s="1"/>
      <c r="H212" s="1"/>
      <c r="I212" s="1"/>
      <c r="J212" s="1"/>
      <c r="K212" s="1"/>
      <c r="L212" s="1"/>
    </row>
    <row r="213" ht="15.75" customHeight="1">
      <c r="A213" s="36"/>
      <c r="B213" s="37"/>
      <c r="C213" s="1"/>
      <c r="D213" s="1"/>
      <c r="E213" s="1"/>
      <c r="F213" s="1"/>
      <c r="G213" s="1"/>
      <c r="H213" s="1"/>
      <c r="I213" s="1"/>
      <c r="J213" s="1"/>
      <c r="K213" s="1"/>
      <c r="L213" s="1"/>
    </row>
    <row r="214" ht="15.75" customHeight="1">
      <c r="A214" s="36"/>
      <c r="B214" s="37"/>
      <c r="C214" s="1"/>
      <c r="D214" s="1"/>
      <c r="E214" s="1"/>
      <c r="F214" s="1"/>
      <c r="G214" s="1"/>
      <c r="H214" s="1"/>
      <c r="I214" s="1"/>
      <c r="J214" s="1"/>
      <c r="K214" s="1"/>
      <c r="L214" s="1"/>
    </row>
    <row r="215" ht="15.75" customHeight="1">
      <c r="A215" s="36"/>
      <c r="B215" s="37"/>
      <c r="C215" s="1"/>
      <c r="D215" s="1"/>
      <c r="E215" s="1"/>
      <c r="F215" s="1"/>
      <c r="G215" s="1"/>
      <c r="H215" s="1"/>
      <c r="I215" s="1"/>
      <c r="J215" s="1"/>
      <c r="K215" s="1"/>
      <c r="L215" s="1"/>
    </row>
    <row r="216" ht="15.75" customHeight="1">
      <c r="A216" s="36"/>
      <c r="B216" s="37"/>
      <c r="C216" s="1"/>
      <c r="D216" s="1"/>
      <c r="E216" s="1"/>
      <c r="F216" s="1"/>
      <c r="G216" s="1"/>
      <c r="H216" s="1"/>
      <c r="I216" s="1"/>
      <c r="J216" s="1"/>
      <c r="K216" s="1"/>
      <c r="L216" s="1"/>
    </row>
    <row r="217" ht="15.75" customHeight="1">
      <c r="A217" s="36"/>
      <c r="B217" s="37"/>
      <c r="C217" s="1"/>
      <c r="D217" s="1"/>
      <c r="E217" s="1"/>
      <c r="F217" s="1"/>
      <c r="G217" s="1"/>
      <c r="H217" s="1"/>
      <c r="I217" s="1"/>
      <c r="J217" s="1"/>
      <c r="K217" s="1"/>
      <c r="L217" s="1"/>
    </row>
    <row r="218" ht="15.75" customHeight="1">
      <c r="A218" s="36"/>
      <c r="B218" s="37"/>
      <c r="C218" s="1"/>
      <c r="D218" s="1"/>
      <c r="E218" s="1"/>
      <c r="F218" s="1"/>
      <c r="G218" s="1"/>
      <c r="H218" s="1"/>
      <c r="I218" s="1"/>
      <c r="J218" s="1"/>
      <c r="K218" s="1"/>
      <c r="L218" s="1"/>
    </row>
    <row r="219" ht="15.75" customHeight="1">
      <c r="A219" s="36"/>
      <c r="B219" s="37"/>
      <c r="C219" s="1"/>
      <c r="D219" s="1"/>
      <c r="E219" s="1"/>
      <c r="F219" s="1"/>
      <c r="G219" s="1"/>
      <c r="H219" s="1"/>
      <c r="I219" s="1"/>
      <c r="J219" s="1"/>
      <c r="K219" s="1"/>
      <c r="L219" s="1"/>
    </row>
    <row r="220" ht="15.75" customHeight="1">
      <c r="A220" s="36"/>
      <c r="B220" s="37"/>
      <c r="C220" s="1"/>
      <c r="D220" s="1"/>
      <c r="E220" s="1"/>
      <c r="F220" s="1"/>
      <c r="G220" s="1"/>
      <c r="H220" s="1"/>
      <c r="I220" s="1"/>
      <c r="J220" s="1"/>
      <c r="K220" s="1"/>
      <c r="L220" s="1"/>
    </row>
    <row r="221" ht="15.75" customHeight="1">
      <c r="A221" s="36"/>
      <c r="B221" s="37"/>
      <c r="C221" s="1"/>
      <c r="D221" s="1"/>
      <c r="E221" s="1"/>
      <c r="F221" s="1"/>
      <c r="G221" s="1"/>
      <c r="H221" s="1"/>
      <c r="I221" s="1"/>
      <c r="J221" s="1"/>
      <c r="K221" s="1"/>
      <c r="L221" s="1"/>
    </row>
    <row r="222" ht="15.75" customHeight="1">
      <c r="A222" s="36"/>
      <c r="B222" s="37"/>
      <c r="C222" s="1"/>
      <c r="D222" s="1"/>
      <c r="E222" s="1"/>
      <c r="F222" s="1"/>
      <c r="G222" s="1"/>
      <c r="H222" s="1"/>
      <c r="I222" s="1"/>
      <c r="J222" s="1"/>
      <c r="K222" s="1"/>
      <c r="L222" s="1"/>
    </row>
    <row r="223" ht="15.75" customHeight="1">
      <c r="A223" s="36"/>
      <c r="B223" s="37"/>
      <c r="C223" s="1"/>
      <c r="D223" s="1"/>
      <c r="E223" s="1"/>
      <c r="F223" s="1"/>
      <c r="G223" s="1"/>
      <c r="H223" s="1"/>
      <c r="I223" s="1"/>
      <c r="J223" s="1"/>
      <c r="K223" s="1"/>
      <c r="L223" s="1"/>
    </row>
    <row r="224" ht="15.75" customHeight="1">
      <c r="A224" s="36"/>
      <c r="B224" s="37"/>
      <c r="C224" s="1"/>
      <c r="D224" s="1"/>
      <c r="E224" s="1"/>
      <c r="F224" s="1"/>
      <c r="G224" s="1"/>
      <c r="H224" s="1"/>
      <c r="I224" s="1"/>
      <c r="J224" s="1"/>
      <c r="K224" s="1"/>
      <c r="L224" s="1"/>
    </row>
    <row r="225" ht="15.75" customHeight="1">
      <c r="A225" s="36"/>
      <c r="B225" s="37"/>
      <c r="C225" s="1"/>
      <c r="D225" s="1"/>
      <c r="E225" s="1"/>
      <c r="F225" s="1"/>
      <c r="G225" s="1"/>
      <c r="H225" s="1"/>
      <c r="I225" s="1"/>
      <c r="J225" s="1"/>
      <c r="K225" s="1"/>
      <c r="L225" s="1"/>
    </row>
    <row r="226" ht="15.75" customHeight="1">
      <c r="A226" s="36"/>
      <c r="B226" s="37"/>
      <c r="C226" s="1"/>
      <c r="D226" s="1"/>
      <c r="E226" s="1"/>
      <c r="F226" s="1"/>
      <c r="G226" s="1"/>
      <c r="H226" s="1"/>
      <c r="I226" s="1"/>
      <c r="J226" s="1"/>
      <c r="K226" s="1"/>
      <c r="L226" s="1"/>
    </row>
    <row r="227" ht="15.75" customHeight="1">
      <c r="A227" s="36"/>
      <c r="B227" s="37"/>
      <c r="C227" s="1"/>
      <c r="D227" s="1"/>
      <c r="E227" s="1"/>
      <c r="F227" s="1"/>
      <c r="G227" s="1"/>
      <c r="H227" s="1"/>
      <c r="I227" s="1"/>
      <c r="J227" s="1"/>
      <c r="K227" s="1"/>
      <c r="L227" s="1"/>
    </row>
    <row r="228" ht="15.75" customHeight="1">
      <c r="A228" s="36"/>
      <c r="B228" s="37"/>
      <c r="C228" s="1"/>
      <c r="D228" s="1"/>
      <c r="E228" s="1"/>
      <c r="F228" s="1"/>
      <c r="G228" s="1"/>
      <c r="H228" s="1"/>
      <c r="I228" s="1"/>
      <c r="J228" s="1"/>
      <c r="K228" s="1"/>
      <c r="L228" s="1"/>
    </row>
    <row r="229" ht="15.75" customHeight="1">
      <c r="A229" s="36"/>
      <c r="B229" s="37"/>
      <c r="C229" s="1"/>
      <c r="D229" s="1"/>
      <c r="E229" s="1"/>
      <c r="F229" s="1"/>
      <c r="G229" s="1"/>
      <c r="H229" s="1"/>
      <c r="I229" s="1"/>
      <c r="J229" s="1"/>
      <c r="K229" s="1"/>
      <c r="L229" s="1"/>
    </row>
    <row r="230" ht="15.75" customHeight="1">
      <c r="A230" s="36"/>
      <c r="B230" s="37"/>
      <c r="C230" s="1"/>
      <c r="D230" s="1"/>
      <c r="E230" s="1"/>
      <c r="F230" s="1"/>
      <c r="G230" s="1"/>
      <c r="H230" s="1"/>
      <c r="I230" s="1"/>
      <c r="J230" s="1"/>
      <c r="K230" s="1"/>
      <c r="L230" s="1"/>
    </row>
    <row r="231" ht="15.75" customHeight="1">
      <c r="A231" s="36"/>
      <c r="B231" s="37"/>
      <c r="C231" s="1"/>
      <c r="D231" s="1"/>
      <c r="E231" s="1"/>
      <c r="F231" s="1"/>
      <c r="G231" s="1"/>
      <c r="H231" s="1"/>
      <c r="I231" s="1"/>
      <c r="J231" s="1"/>
      <c r="K231" s="1"/>
      <c r="L231" s="1"/>
    </row>
    <row r="232" ht="15.75" customHeight="1">
      <c r="A232" s="36"/>
      <c r="B232" s="37"/>
      <c r="C232" s="1"/>
      <c r="D232" s="1"/>
      <c r="E232" s="1"/>
      <c r="F232" s="1"/>
      <c r="G232" s="1"/>
      <c r="H232" s="1"/>
      <c r="I232" s="1"/>
      <c r="J232" s="1"/>
      <c r="K232" s="1"/>
      <c r="L232" s="1"/>
    </row>
    <row r="233" ht="15.75" customHeight="1">
      <c r="A233" s="36"/>
      <c r="B233" s="37"/>
      <c r="C233" s="1"/>
      <c r="D233" s="1"/>
      <c r="E233" s="1"/>
      <c r="F233" s="1"/>
      <c r="G233" s="1"/>
      <c r="H233" s="1"/>
      <c r="I233" s="1"/>
      <c r="J233" s="1"/>
      <c r="K233" s="1"/>
      <c r="L233" s="1"/>
    </row>
    <row r="234" ht="15.75" customHeight="1">
      <c r="A234" s="36"/>
      <c r="B234" s="37"/>
      <c r="C234" s="1"/>
      <c r="D234" s="1"/>
      <c r="E234" s="1"/>
      <c r="F234" s="1"/>
      <c r="G234" s="1"/>
      <c r="H234" s="1"/>
      <c r="I234" s="1"/>
      <c r="J234" s="1"/>
      <c r="K234" s="1"/>
      <c r="L234" s="1"/>
    </row>
    <row r="235" ht="15.75" customHeight="1">
      <c r="A235" s="36"/>
      <c r="B235" s="37"/>
      <c r="C235" s="1"/>
      <c r="D235" s="1"/>
      <c r="E235" s="1"/>
      <c r="F235" s="1"/>
      <c r="G235" s="1"/>
      <c r="H235" s="1"/>
      <c r="I235" s="1"/>
      <c r="J235" s="1"/>
      <c r="K235" s="1"/>
      <c r="L235" s="1"/>
    </row>
    <row r="236" ht="15.75" customHeight="1">
      <c r="A236" s="36"/>
      <c r="B236" s="37"/>
      <c r="C236" s="1"/>
      <c r="D236" s="1"/>
      <c r="E236" s="1"/>
      <c r="F236" s="1"/>
      <c r="G236" s="1"/>
      <c r="H236" s="1"/>
      <c r="I236" s="1"/>
      <c r="J236" s="1"/>
      <c r="K236" s="1"/>
      <c r="L236" s="1"/>
    </row>
    <row r="237" ht="15.75" customHeight="1">
      <c r="A237" s="36"/>
      <c r="B237" s="37"/>
      <c r="C237" s="1"/>
      <c r="D237" s="1"/>
      <c r="E237" s="1"/>
      <c r="F237" s="1"/>
      <c r="G237" s="1"/>
      <c r="H237" s="1"/>
      <c r="I237" s="1"/>
      <c r="J237" s="1"/>
      <c r="K237" s="1"/>
      <c r="L237" s="1"/>
    </row>
    <row r="238" ht="15.75" customHeight="1">
      <c r="A238" s="36"/>
      <c r="B238" s="37"/>
      <c r="C238" s="1"/>
      <c r="D238" s="1"/>
      <c r="E238" s="1"/>
      <c r="F238" s="1"/>
      <c r="G238" s="1"/>
      <c r="H238" s="1"/>
      <c r="I238" s="1"/>
      <c r="J238" s="1"/>
      <c r="K238" s="1"/>
      <c r="L238" s="1"/>
    </row>
    <row r="239" ht="15.75" customHeight="1">
      <c r="A239" s="36"/>
      <c r="B239" s="37"/>
      <c r="C239" s="1"/>
      <c r="D239" s="1"/>
      <c r="E239" s="1"/>
      <c r="F239" s="1"/>
      <c r="G239" s="1"/>
      <c r="H239" s="1"/>
      <c r="I239" s="1"/>
      <c r="J239" s="1"/>
      <c r="K239" s="1"/>
      <c r="L239" s="1"/>
    </row>
    <row r="240" ht="15.75" customHeight="1">
      <c r="A240" s="36"/>
      <c r="B240" s="37"/>
      <c r="C240" s="1"/>
      <c r="D240" s="1"/>
      <c r="E240" s="1"/>
      <c r="F240" s="1"/>
      <c r="G240" s="1"/>
      <c r="H240" s="1"/>
      <c r="I240" s="1"/>
      <c r="J240" s="1"/>
      <c r="K240" s="1"/>
      <c r="L240" s="1"/>
    </row>
    <row r="241" ht="15.75" customHeight="1">
      <c r="A241" s="36"/>
      <c r="B241" s="37"/>
      <c r="C241" s="1"/>
      <c r="D241" s="1"/>
      <c r="E241" s="1"/>
      <c r="F241" s="1"/>
      <c r="G241" s="1"/>
      <c r="H241" s="1"/>
      <c r="I241" s="1"/>
      <c r="J241" s="1"/>
      <c r="K241" s="1"/>
      <c r="L241" s="1"/>
    </row>
    <row r="242" ht="15.75" customHeight="1">
      <c r="A242" s="36"/>
      <c r="B242" s="37"/>
      <c r="C242" s="1"/>
      <c r="D242" s="1"/>
      <c r="E242" s="1"/>
      <c r="F242" s="1"/>
      <c r="G242" s="1"/>
      <c r="H242" s="1"/>
      <c r="I242" s="1"/>
      <c r="J242" s="1"/>
      <c r="K242" s="1"/>
      <c r="L242" s="1"/>
    </row>
    <row r="243" ht="15.75" customHeight="1">
      <c r="A243" s="36"/>
      <c r="B243" s="37"/>
      <c r="C243" s="1"/>
      <c r="D243" s="1"/>
      <c r="E243" s="1"/>
      <c r="F243" s="1"/>
      <c r="G243" s="1"/>
      <c r="H243" s="1"/>
      <c r="I243" s="1"/>
      <c r="J243" s="1"/>
      <c r="K243" s="1"/>
      <c r="L243" s="1"/>
    </row>
    <row r="244" ht="15.75" customHeight="1">
      <c r="A244" s="36"/>
      <c r="B244" s="37"/>
      <c r="C244" s="1"/>
      <c r="D244" s="1"/>
      <c r="E244" s="1"/>
      <c r="F244" s="1"/>
      <c r="G244" s="1"/>
      <c r="H244" s="1"/>
      <c r="I244" s="1"/>
      <c r="J244" s="1"/>
      <c r="K244" s="1"/>
      <c r="L244" s="1"/>
    </row>
    <row r="245" ht="15.75" customHeight="1">
      <c r="A245" s="36"/>
      <c r="B245" s="37"/>
      <c r="C245" s="1"/>
      <c r="D245" s="1"/>
      <c r="E245" s="1"/>
      <c r="F245" s="1"/>
      <c r="G245" s="1"/>
      <c r="H245" s="1"/>
      <c r="I245" s="1"/>
      <c r="J245" s="1"/>
      <c r="K245" s="1"/>
      <c r="L245" s="1"/>
    </row>
    <row r="246" ht="15.75" customHeight="1">
      <c r="A246" s="36"/>
      <c r="B246" s="37"/>
      <c r="C246" s="1"/>
      <c r="D246" s="1"/>
      <c r="E246" s="1"/>
      <c r="F246" s="1"/>
      <c r="G246" s="1"/>
      <c r="H246" s="1"/>
      <c r="I246" s="1"/>
      <c r="J246" s="1"/>
      <c r="K246" s="1"/>
      <c r="L246" s="1"/>
    </row>
    <row r="247" ht="15.75" customHeight="1">
      <c r="A247" s="36"/>
      <c r="B247" s="37"/>
      <c r="C247" s="1"/>
      <c r="D247" s="1"/>
      <c r="E247" s="1"/>
      <c r="F247" s="1"/>
      <c r="G247" s="1"/>
      <c r="H247" s="1"/>
      <c r="I247" s="1"/>
      <c r="J247" s="1"/>
      <c r="K247" s="1"/>
      <c r="L247" s="1"/>
    </row>
    <row r="248" ht="15.75" customHeight="1">
      <c r="A248" s="36"/>
      <c r="B248" s="37"/>
      <c r="C248" s="1"/>
      <c r="D248" s="1"/>
      <c r="E248" s="1"/>
      <c r="F248" s="1"/>
      <c r="G248" s="1"/>
      <c r="H248" s="1"/>
      <c r="I248" s="1"/>
      <c r="J248" s="1"/>
      <c r="K248" s="1"/>
      <c r="L248" s="1"/>
    </row>
    <row r="249" ht="15.75" customHeight="1">
      <c r="A249" s="36"/>
      <c r="B249" s="37"/>
      <c r="C249" s="1"/>
      <c r="D249" s="1"/>
      <c r="E249" s="1"/>
      <c r="F249" s="1"/>
      <c r="G249" s="1"/>
      <c r="H249" s="1"/>
      <c r="I249" s="1"/>
      <c r="J249" s="1"/>
      <c r="K249" s="1"/>
      <c r="L249" s="1"/>
    </row>
    <row r="250" ht="15.75" customHeight="1">
      <c r="A250" s="36"/>
      <c r="B250" s="37"/>
      <c r="C250" s="1"/>
      <c r="D250" s="1"/>
      <c r="E250" s="1"/>
      <c r="F250" s="1"/>
      <c r="G250" s="1"/>
      <c r="H250" s="1"/>
      <c r="I250" s="1"/>
      <c r="J250" s="1"/>
      <c r="K250" s="1"/>
      <c r="L250" s="1"/>
    </row>
    <row r="251" ht="15.75" customHeight="1">
      <c r="A251" s="36"/>
      <c r="B251" s="37"/>
      <c r="C251" s="1"/>
      <c r="D251" s="1"/>
      <c r="E251" s="1"/>
      <c r="F251" s="1"/>
      <c r="G251" s="1"/>
      <c r="H251" s="1"/>
      <c r="I251" s="1"/>
      <c r="J251" s="1"/>
      <c r="K251" s="1"/>
      <c r="L251" s="1"/>
    </row>
    <row r="252" ht="15.75" customHeight="1">
      <c r="A252" s="36"/>
      <c r="B252" s="37"/>
      <c r="C252" s="1"/>
      <c r="D252" s="1"/>
      <c r="E252" s="1"/>
      <c r="F252" s="1"/>
      <c r="G252" s="1"/>
      <c r="H252" s="1"/>
      <c r="I252" s="1"/>
      <c r="J252" s="1"/>
      <c r="K252" s="1"/>
      <c r="L252" s="1"/>
    </row>
    <row r="253" ht="15.75" customHeight="1">
      <c r="A253" s="36"/>
      <c r="B253" s="37"/>
      <c r="C253" s="1"/>
      <c r="D253" s="1"/>
      <c r="E253" s="1"/>
      <c r="F253" s="1"/>
      <c r="G253" s="1"/>
      <c r="H253" s="1"/>
      <c r="I253" s="1"/>
      <c r="J253" s="1"/>
      <c r="K253" s="1"/>
      <c r="L253" s="1"/>
    </row>
    <row r="254" ht="15.75" customHeight="1">
      <c r="A254" s="36"/>
      <c r="B254" s="37"/>
      <c r="C254" s="1"/>
      <c r="D254" s="1"/>
      <c r="E254" s="1"/>
      <c r="F254" s="1"/>
      <c r="G254" s="1"/>
      <c r="H254" s="1"/>
      <c r="I254" s="1"/>
      <c r="J254" s="1"/>
      <c r="K254" s="1"/>
      <c r="L254" s="1"/>
    </row>
    <row r="255" ht="15.75" customHeight="1">
      <c r="A255" s="36"/>
      <c r="B255" s="37"/>
      <c r="C255" s="1"/>
      <c r="D255" s="1"/>
      <c r="E255" s="1"/>
      <c r="F255" s="1"/>
      <c r="G255" s="1"/>
      <c r="H255" s="1"/>
      <c r="I255" s="1"/>
      <c r="J255" s="1"/>
      <c r="K255" s="1"/>
      <c r="L255" s="1"/>
    </row>
    <row r="256" ht="15.75" customHeight="1">
      <c r="A256" s="36"/>
      <c r="B256" s="37"/>
      <c r="C256" s="1"/>
      <c r="D256" s="1"/>
      <c r="E256" s="1"/>
      <c r="F256" s="1"/>
      <c r="G256" s="1"/>
      <c r="H256" s="1"/>
      <c r="I256" s="1"/>
      <c r="J256" s="1"/>
      <c r="K256" s="1"/>
      <c r="L256" s="1"/>
    </row>
    <row r="257" ht="15.75" customHeight="1">
      <c r="A257" s="36"/>
      <c r="B257" s="37"/>
      <c r="C257" s="1"/>
      <c r="D257" s="1"/>
      <c r="E257" s="1"/>
      <c r="F257" s="1"/>
      <c r="G257" s="1"/>
      <c r="H257" s="1"/>
      <c r="I257" s="1"/>
      <c r="J257" s="1"/>
      <c r="K257" s="1"/>
      <c r="L257" s="1"/>
    </row>
    <row r="258" ht="15.75" customHeight="1">
      <c r="A258" s="36"/>
      <c r="B258" s="37"/>
      <c r="C258" s="1"/>
      <c r="D258" s="1"/>
      <c r="E258" s="1"/>
      <c r="F258" s="1"/>
      <c r="G258" s="1"/>
      <c r="H258" s="1"/>
      <c r="I258" s="1"/>
      <c r="J258" s="1"/>
      <c r="K258" s="1"/>
      <c r="L258" s="1"/>
    </row>
    <row r="259" ht="15.75" customHeight="1">
      <c r="A259" s="36"/>
      <c r="B259" s="37"/>
      <c r="C259" s="1"/>
      <c r="D259" s="1"/>
      <c r="E259" s="1"/>
      <c r="F259" s="1"/>
      <c r="G259" s="1"/>
      <c r="H259" s="1"/>
      <c r="I259" s="1"/>
      <c r="J259" s="1"/>
      <c r="K259" s="1"/>
      <c r="L259" s="1"/>
    </row>
    <row r="260" ht="15.75" customHeight="1">
      <c r="A260" s="36"/>
      <c r="B260" s="37"/>
      <c r="C260" s="1"/>
      <c r="D260" s="1"/>
      <c r="E260" s="1"/>
      <c r="F260" s="1"/>
      <c r="G260" s="1"/>
      <c r="H260" s="1"/>
      <c r="I260" s="1"/>
      <c r="J260" s="1"/>
      <c r="K260" s="1"/>
      <c r="L260" s="1"/>
    </row>
    <row r="261" ht="15.75" customHeight="1">
      <c r="A261" s="36"/>
      <c r="B261" s="37"/>
      <c r="C261" s="1"/>
      <c r="D261" s="1"/>
      <c r="E261" s="1"/>
      <c r="F261" s="1"/>
      <c r="G261" s="1"/>
      <c r="H261" s="1"/>
      <c r="I261" s="1"/>
      <c r="J261" s="1"/>
      <c r="K261" s="1"/>
      <c r="L261" s="1"/>
    </row>
    <row r="262" ht="15.75" customHeight="1">
      <c r="A262" s="36"/>
      <c r="B262" s="37"/>
      <c r="C262" s="1"/>
      <c r="D262" s="1"/>
      <c r="E262" s="1"/>
      <c r="F262" s="1"/>
      <c r="G262" s="1"/>
      <c r="H262" s="1"/>
      <c r="I262" s="1"/>
      <c r="J262" s="1"/>
      <c r="K262" s="1"/>
      <c r="L262" s="1"/>
    </row>
    <row r="263" ht="15.75" customHeight="1">
      <c r="A263" s="36"/>
      <c r="B263" s="37"/>
      <c r="C263" s="1"/>
      <c r="D263" s="1"/>
      <c r="E263" s="1"/>
      <c r="F263" s="1"/>
      <c r="G263" s="1"/>
      <c r="H263" s="1"/>
      <c r="I263" s="1"/>
      <c r="J263" s="1"/>
      <c r="K263" s="1"/>
      <c r="L263" s="1"/>
    </row>
    <row r="264" ht="15.75" customHeight="1">
      <c r="A264" s="36"/>
      <c r="B264" s="37"/>
      <c r="C264" s="1"/>
      <c r="D264" s="1"/>
      <c r="E264" s="1"/>
      <c r="F264" s="1"/>
      <c r="G264" s="1"/>
      <c r="H264" s="1"/>
      <c r="I264" s="1"/>
      <c r="J264" s="1"/>
      <c r="K264" s="1"/>
      <c r="L264" s="1"/>
    </row>
    <row r="265" ht="15.75" customHeight="1">
      <c r="A265" s="36"/>
      <c r="B265" s="37"/>
      <c r="C265" s="1"/>
      <c r="D265" s="1"/>
      <c r="E265" s="1"/>
      <c r="F265" s="1"/>
      <c r="G265" s="1"/>
      <c r="H265" s="1"/>
      <c r="I265" s="1"/>
      <c r="J265" s="1"/>
      <c r="K265" s="1"/>
      <c r="L265" s="1"/>
    </row>
    <row r="266" ht="15.75" customHeight="1">
      <c r="A266" s="36"/>
      <c r="B266" s="37"/>
      <c r="C266" s="1"/>
      <c r="D266" s="1"/>
      <c r="E266" s="1"/>
      <c r="F266" s="1"/>
      <c r="G266" s="1"/>
      <c r="H266" s="1"/>
      <c r="I266" s="1"/>
      <c r="J266" s="1"/>
      <c r="K266" s="1"/>
      <c r="L266" s="1"/>
    </row>
    <row r="267" ht="15.75" customHeight="1">
      <c r="A267" s="36"/>
      <c r="B267" s="37"/>
      <c r="C267" s="1"/>
      <c r="D267" s="1"/>
      <c r="E267" s="1"/>
      <c r="F267" s="1"/>
      <c r="G267" s="1"/>
      <c r="H267" s="1"/>
      <c r="I267" s="1"/>
      <c r="J267" s="1"/>
      <c r="K267" s="1"/>
      <c r="L267" s="1"/>
    </row>
    <row r="268" ht="15.75" customHeight="1">
      <c r="A268" s="36"/>
      <c r="B268" s="37"/>
      <c r="C268" s="1"/>
      <c r="D268" s="1"/>
      <c r="E268" s="1"/>
      <c r="F268" s="1"/>
      <c r="G268" s="1"/>
      <c r="H268" s="1"/>
      <c r="I268" s="1"/>
      <c r="J268" s="1"/>
      <c r="K268" s="1"/>
      <c r="L268" s="1"/>
    </row>
    <row r="269" ht="15.75" customHeight="1">
      <c r="A269" s="36"/>
      <c r="B269" s="37"/>
      <c r="C269" s="1"/>
      <c r="D269" s="1"/>
      <c r="E269" s="1"/>
      <c r="F269" s="1"/>
      <c r="G269" s="1"/>
      <c r="H269" s="1"/>
      <c r="I269" s="1"/>
      <c r="J269" s="1"/>
      <c r="K269" s="1"/>
      <c r="L269" s="1"/>
    </row>
    <row r="270" ht="15.75" customHeight="1">
      <c r="A270" s="36"/>
      <c r="B270" s="37"/>
      <c r="C270" s="1"/>
      <c r="D270" s="1"/>
      <c r="E270" s="1"/>
      <c r="F270" s="1"/>
      <c r="G270" s="1"/>
      <c r="H270" s="1"/>
      <c r="I270" s="1"/>
      <c r="J270" s="1"/>
      <c r="K270" s="1"/>
      <c r="L270" s="1"/>
    </row>
    <row r="271" ht="15.75" customHeight="1">
      <c r="A271" s="36"/>
      <c r="B271" s="37"/>
      <c r="C271" s="1"/>
      <c r="D271" s="1"/>
      <c r="E271" s="1"/>
      <c r="F271" s="1"/>
      <c r="G271" s="1"/>
      <c r="H271" s="1"/>
      <c r="I271" s="1"/>
      <c r="J271" s="1"/>
      <c r="K271" s="1"/>
      <c r="L271" s="1"/>
    </row>
    <row r="272" ht="15.75" customHeight="1">
      <c r="A272" s="36"/>
      <c r="B272" s="37"/>
      <c r="C272" s="1"/>
      <c r="D272" s="1"/>
      <c r="E272" s="1"/>
      <c r="F272" s="1"/>
      <c r="G272" s="1"/>
      <c r="H272" s="1"/>
      <c r="I272" s="1"/>
      <c r="J272" s="1"/>
      <c r="K272" s="1"/>
      <c r="L272" s="1"/>
    </row>
    <row r="273" ht="15.75" customHeight="1">
      <c r="A273" s="36"/>
      <c r="B273" s="37"/>
      <c r="C273" s="1"/>
      <c r="D273" s="1"/>
      <c r="E273" s="1"/>
      <c r="F273" s="1"/>
      <c r="G273" s="1"/>
      <c r="H273" s="1"/>
      <c r="I273" s="1"/>
      <c r="J273" s="1"/>
      <c r="K273" s="1"/>
      <c r="L273" s="1"/>
    </row>
    <row r="274" ht="15.75" customHeight="1">
      <c r="A274" s="36"/>
      <c r="B274" s="37"/>
      <c r="C274" s="1"/>
      <c r="D274" s="1"/>
      <c r="E274" s="1"/>
      <c r="F274" s="1"/>
      <c r="G274" s="1"/>
      <c r="H274" s="1"/>
      <c r="I274" s="1"/>
      <c r="J274" s="1"/>
      <c r="K274" s="1"/>
      <c r="L274" s="1"/>
    </row>
    <row r="275" ht="15.75" customHeight="1">
      <c r="A275" s="36"/>
      <c r="B275" s="37"/>
      <c r="C275" s="1"/>
      <c r="D275" s="1"/>
      <c r="E275" s="1"/>
      <c r="F275" s="1"/>
      <c r="G275" s="1"/>
      <c r="H275" s="1"/>
      <c r="I275" s="1"/>
      <c r="J275" s="1"/>
      <c r="K275" s="1"/>
      <c r="L275" s="1"/>
    </row>
    <row r="276" ht="15.75" customHeight="1">
      <c r="A276" s="36"/>
      <c r="B276" s="37"/>
      <c r="C276" s="1"/>
      <c r="D276" s="1"/>
      <c r="E276" s="1"/>
      <c r="F276" s="1"/>
      <c r="G276" s="1"/>
      <c r="H276" s="1"/>
      <c r="I276" s="1"/>
      <c r="J276" s="1"/>
      <c r="K276" s="1"/>
      <c r="L276" s="1"/>
    </row>
    <row r="277" ht="15.75" customHeight="1">
      <c r="A277" s="36"/>
      <c r="B277" s="37"/>
      <c r="C277" s="1"/>
      <c r="D277" s="1"/>
      <c r="E277" s="1"/>
      <c r="F277" s="1"/>
      <c r="G277" s="1"/>
      <c r="H277" s="1"/>
      <c r="I277" s="1"/>
      <c r="J277" s="1"/>
      <c r="K277" s="1"/>
      <c r="L277" s="1"/>
    </row>
    <row r="278" ht="15.75" customHeight="1">
      <c r="A278" s="36"/>
      <c r="B278" s="37"/>
      <c r="C278" s="1"/>
      <c r="D278" s="1"/>
      <c r="E278" s="1"/>
      <c r="F278" s="1"/>
      <c r="G278" s="1"/>
      <c r="H278" s="1"/>
      <c r="I278" s="1"/>
      <c r="J278" s="1"/>
      <c r="K278" s="1"/>
      <c r="L278" s="1"/>
    </row>
    <row r="279" ht="15.75" customHeight="1">
      <c r="A279" s="36"/>
      <c r="B279" s="37"/>
      <c r="C279" s="1"/>
      <c r="D279" s="1"/>
      <c r="E279" s="1"/>
      <c r="F279" s="1"/>
      <c r="G279" s="1"/>
      <c r="H279" s="1"/>
      <c r="I279" s="1"/>
      <c r="J279" s="1"/>
      <c r="K279" s="1"/>
      <c r="L279" s="1"/>
    </row>
    <row r="280" ht="15.75" customHeight="1">
      <c r="A280" s="36"/>
      <c r="B280" s="37"/>
      <c r="C280" s="1"/>
      <c r="D280" s="1"/>
      <c r="E280" s="1"/>
      <c r="F280" s="1"/>
      <c r="G280" s="1"/>
      <c r="H280" s="1"/>
      <c r="I280" s="1"/>
      <c r="J280" s="1"/>
      <c r="K280" s="1"/>
      <c r="L280" s="1"/>
    </row>
    <row r="281" ht="15.75" customHeight="1">
      <c r="A281" s="36"/>
      <c r="B281" s="37"/>
      <c r="C281" s="1"/>
      <c r="D281" s="1"/>
      <c r="E281" s="1"/>
      <c r="F281" s="1"/>
      <c r="G281" s="1"/>
      <c r="H281" s="1"/>
      <c r="I281" s="1"/>
      <c r="J281" s="1"/>
      <c r="K281" s="1"/>
      <c r="L281" s="1"/>
    </row>
    <row r="282" ht="15.75" customHeight="1">
      <c r="A282" s="36"/>
      <c r="B282" s="37"/>
      <c r="C282" s="1"/>
      <c r="D282" s="1"/>
      <c r="E282" s="1"/>
      <c r="F282" s="1"/>
      <c r="G282" s="1"/>
      <c r="H282" s="1"/>
      <c r="I282" s="1"/>
      <c r="J282" s="1"/>
      <c r="K282" s="1"/>
      <c r="L282" s="1"/>
    </row>
    <row r="283" ht="15.75" customHeight="1">
      <c r="A283" s="36"/>
      <c r="B283" s="37"/>
      <c r="C283" s="1"/>
      <c r="D283" s="1"/>
      <c r="E283" s="1"/>
      <c r="F283" s="1"/>
      <c r="G283" s="1"/>
      <c r="H283" s="1"/>
      <c r="I283" s="1"/>
      <c r="J283" s="1"/>
      <c r="K283" s="1"/>
      <c r="L283" s="1"/>
    </row>
    <row r="284" ht="15.75" customHeight="1">
      <c r="A284" s="36"/>
      <c r="B284" s="37"/>
      <c r="C284" s="1"/>
      <c r="D284" s="1"/>
      <c r="E284" s="1"/>
      <c r="F284" s="1"/>
      <c r="G284" s="1"/>
      <c r="H284" s="1"/>
      <c r="I284" s="1"/>
      <c r="J284" s="1"/>
      <c r="K284" s="1"/>
      <c r="L284" s="1"/>
    </row>
    <row r="285" ht="15.75" customHeight="1">
      <c r="A285" s="36"/>
      <c r="B285" s="37"/>
      <c r="C285" s="1"/>
      <c r="D285" s="1"/>
      <c r="E285" s="1"/>
      <c r="F285" s="1"/>
      <c r="G285" s="1"/>
      <c r="H285" s="1"/>
      <c r="I285" s="1"/>
      <c r="J285" s="1"/>
      <c r="K285" s="1"/>
      <c r="L285" s="1"/>
    </row>
    <row r="286" ht="15.75" customHeight="1">
      <c r="A286" s="36"/>
      <c r="B286" s="37"/>
      <c r="C286" s="1"/>
      <c r="D286" s="1"/>
      <c r="E286" s="1"/>
      <c r="F286" s="1"/>
      <c r="G286" s="1"/>
      <c r="H286" s="1"/>
      <c r="I286" s="1"/>
      <c r="J286" s="1"/>
      <c r="K286" s="1"/>
      <c r="L286" s="1"/>
    </row>
    <row r="287" ht="15.75" customHeight="1">
      <c r="A287" s="36"/>
      <c r="B287" s="37"/>
      <c r="C287" s="1"/>
      <c r="D287" s="1"/>
      <c r="E287" s="1"/>
      <c r="F287" s="1"/>
      <c r="G287" s="1"/>
      <c r="H287" s="1"/>
      <c r="I287" s="1"/>
      <c r="J287" s="1"/>
      <c r="K287" s="1"/>
      <c r="L287" s="1"/>
    </row>
    <row r="288" ht="15.75" customHeight="1">
      <c r="A288" s="36"/>
      <c r="B288" s="37"/>
      <c r="C288" s="1"/>
      <c r="D288" s="1"/>
      <c r="E288" s="1"/>
      <c r="F288" s="1"/>
      <c r="G288" s="1"/>
      <c r="H288" s="1"/>
      <c r="I288" s="1"/>
      <c r="J288" s="1"/>
      <c r="K288" s="1"/>
      <c r="L288" s="1"/>
    </row>
    <row r="289" ht="15.75" customHeight="1">
      <c r="A289" s="36"/>
      <c r="B289" s="37"/>
      <c r="C289" s="1"/>
      <c r="D289" s="1"/>
      <c r="E289" s="1"/>
      <c r="F289" s="1"/>
      <c r="G289" s="1"/>
      <c r="H289" s="1"/>
      <c r="I289" s="1"/>
      <c r="J289" s="1"/>
      <c r="K289" s="1"/>
      <c r="L289" s="1"/>
    </row>
    <row r="290" ht="15.75" customHeight="1">
      <c r="A290" s="36"/>
      <c r="B290" s="37"/>
      <c r="C290" s="1"/>
      <c r="D290" s="1"/>
      <c r="E290" s="1"/>
      <c r="F290" s="1"/>
      <c r="G290" s="1"/>
      <c r="H290" s="1"/>
      <c r="I290" s="1"/>
      <c r="J290" s="1"/>
      <c r="K290" s="1"/>
      <c r="L290" s="1"/>
    </row>
    <row r="291" ht="15.75" customHeight="1">
      <c r="A291" s="36"/>
      <c r="B291" s="37"/>
      <c r="C291" s="1"/>
      <c r="D291" s="1"/>
      <c r="E291" s="1"/>
      <c r="F291" s="1"/>
      <c r="G291" s="1"/>
      <c r="H291" s="1"/>
      <c r="I291" s="1"/>
      <c r="J291" s="1"/>
      <c r="K291" s="1"/>
      <c r="L291" s="1"/>
    </row>
    <row r="292" ht="15.75" customHeight="1">
      <c r="A292" s="36"/>
      <c r="B292" s="37"/>
      <c r="C292" s="1"/>
      <c r="D292" s="1"/>
      <c r="E292" s="1"/>
      <c r="F292" s="1"/>
      <c r="G292" s="1"/>
      <c r="H292" s="1"/>
      <c r="I292" s="1"/>
      <c r="J292" s="1"/>
      <c r="K292" s="1"/>
      <c r="L292" s="1"/>
    </row>
    <row r="293" ht="15.75" customHeight="1">
      <c r="A293" s="36"/>
      <c r="B293" s="37"/>
      <c r="C293" s="1"/>
      <c r="D293" s="1"/>
      <c r="E293" s="1"/>
      <c r="F293" s="1"/>
      <c r="G293" s="1"/>
      <c r="H293" s="1"/>
      <c r="I293" s="1"/>
      <c r="J293" s="1"/>
      <c r="K293" s="1"/>
      <c r="L293" s="1"/>
    </row>
    <row r="294" ht="15.75" customHeight="1">
      <c r="A294" s="36"/>
      <c r="B294" s="37"/>
      <c r="C294" s="1"/>
      <c r="D294" s="1"/>
      <c r="E294" s="1"/>
      <c r="F294" s="1"/>
      <c r="G294" s="1"/>
      <c r="H294" s="1"/>
      <c r="I294" s="1"/>
      <c r="J294" s="1"/>
      <c r="K294" s="1"/>
      <c r="L294" s="1"/>
    </row>
    <row r="295" ht="15.75" customHeight="1">
      <c r="A295" s="36"/>
      <c r="B295" s="37"/>
      <c r="C295" s="1"/>
      <c r="D295" s="1"/>
      <c r="E295" s="1"/>
      <c r="F295" s="1"/>
      <c r="G295" s="1"/>
      <c r="H295" s="1"/>
      <c r="I295" s="1"/>
      <c r="J295" s="1"/>
      <c r="K295" s="1"/>
      <c r="L295" s="1"/>
    </row>
    <row r="296" ht="15.75" customHeight="1">
      <c r="A296" s="36"/>
      <c r="B296" s="37"/>
      <c r="C296" s="1"/>
      <c r="D296" s="1"/>
      <c r="E296" s="1"/>
      <c r="F296" s="1"/>
      <c r="G296" s="1"/>
      <c r="H296" s="1"/>
      <c r="I296" s="1"/>
      <c r="J296" s="1"/>
      <c r="K296" s="1"/>
      <c r="L296" s="1"/>
    </row>
    <row r="297" ht="15.75" customHeight="1">
      <c r="A297" s="36"/>
      <c r="B297" s="37"/>
      <c r="C297" s="1"/>
      <c r="D297" s="1"/>
      <c r="E297" s="1"/>
      <c r="F297" s="1"/>
      <c r="G297" s="1"/>
      <c r="H297" s="1"/>
      <c r="I297" s="1"/>
      <c r="J297" s="1"/>
      <c r="K297" s="1"/>
      <c r="L297" s="1"/>
    </row>
    <row r="298" ht="15.75" customHeight="1">
      <c r="A298" s="36"/>
      <c r="B298" s="37"/>
      <c r="C298" s="1"/>
      <c r="D298" s="1"/>
      <c r="E298" s="1"/>
      <c r="F298" s="1"/>
      <c r="G298" s="1"/>
      <c r="H298" s="1"/>
      <c r="I298" s="1"/>
      <c r="J298" s="1"/>
      <c r="K298" s="1"/>
      <c r="L298" s="1"/>
    </row>
    <row r="299" ht="15.75" customHeight="1">
      <c r="A299" s="36"/>
      <c r="B299" s="37"/>
      <c r="C299" s="1"/>
      <c r="D299" s="1"/>
      <c r="E299" s="1"/>
      <c r="F299" s="1"/>
      <c r="G299" s="1"/>
      <c r="H299" s="1"/>
      <c r="I299" s="1"/>
      <c r="J299" s="1"/>
      <c r="K299" s="1"/>
      <c r="L299" s="1"/>
    </row>
    <row r="300" ht="15.75" customHeight="1">
      <c r="A300" s="36"/>
      <c r="B300" s="37"/>
      <c r="C300" s="1"/>
      <c r="D300" s="1"/>
      <c r="E300" s="1"/>
      <c r="F300" s="1"/>
      <c r="G300" s="1"/>
      <c r="H300" s="1"/>
      <c r="I300" s="1"/>
      <c r="J300" s="1"/>
      <c r="K300" s="1"/>
      <c r="L300" s="1"/>
    </row>
    <row r="301" ht="15.75" customHeight="1">
      <c r="A301" s="36"/>
      <c r="B301" s="37"/>
      <c r="C301" s="1"/>
      <c r="D301" s="1"/>
      <c r="E301" s="1"/>
      <c r="F301" s="1"/>
      <c r="G301" s="1"/>
      <c r="H301" s="1"/>
      <c r="I301" s="1"/>
      <c r="J301" s="1"/>
      <c r="K301" s="1"/>
      <c r="L301" s="1"/>
    </row>
    <row r="302" ht="15.75" customHeight="1">
      <c r="A302" s="36"/>
      <c r="B302" s="37"/>
      <c r="C302" s="1"/>
      <c r="D302" s="1"/>
      <c r="E302" s="1"/>
      <c r="F302" s="1"/>
      <c r="G302" s="1"/>
      <c r="H302" s="1"/>
      <c r="I302" s="1"/>
      <c r="J302" s="1"/>
      <c r="K302" s="1"/>
      <c r="L302" s="1"/>
    </row>
    <row r="303" ht="15.75" customHeight="1">
      <c r="A303" s="36"/>
      <c r="B303" s="37"/>
      <c r="C303" s="1"/>
      <c r="D303" s="1"/>
      <c r="E303" s="1"/>
      <c r="F303" s="1"/>
      <c r="G303" s="1"/>
      <c r="H303" s="1"/>
      <c r="I303" s="1"/>
      <c r="J303" s="1"/>
      <c r="K303" s="1"/>
      <c r="L303" s="1"/>
    </row>
    <row r="304" ht="15.75" customHeight="1">
      <c r="A304" s="36"/>
      <c r="B304" s="37"/>
      <c r="C304" s="1"/>
      <c r="D304" s="1"/>
      <c r="E304" s="1"/>
      <c r="F304" s="1"/>
      <c r="G304" s="1"/>
      <c r="H304" s="1"/>
      <c r="I304" s="1"/>
      <c r="J304" s="1"/>
      <c r="K304" s="1"/>
      <c r="L304" s="1"/>
    </row>
    <row r="305" ht="15.75" customHeight="1">
      <c r="A305" s="36"/>
      <c r="B305" s="37"/>
      <c r="C305" s="1"/>
      <c r="D305" s="1"/>
      <c r="E305" s="1"/>
      <c r="F305" s="1"/>
      <c r="G305" s="1"/>
      <c r="H305" s="1"/>
      <c r="I305" s="1"/>
      <c r="J305" s="1"/>
      <c r="K305" s="1"/>
      <c r="L305" s="1"/>
    </row>
    <row r="306" ht="15.75" customHeight="1">
      <c r="A306" s="36"/>
      <c r="B306" s="37"/>
      <c r="C306" s="1"/>
      <c r="D306" s="1"/>
      <c r="E306" s="1"/>
      <c r="F306" s="1"/>
      <c r="G306" s="1"/>
      <c r="H306" s="1"/>
      <c r="I306" s="1"/>
      <c r="J306" s="1"/>
      <c r="K306" s="1"/>
      <c r="L306" s="1"/>
    </row>
    <row r="307" ht="15.75" customHeight="1">
      <c r="A307" s="36"/>
      <c r="B307" s="37"/>
      <c r="C307" s="1"/>
      <c r="D307" s="1"/>
      <c r="E307" s="1"/>
      <c r="F307" s="1"/>
      <c r="G307" s="1"/>
      <c r="H307" s="1"/>
      <c r="I307" s="1"/>
      <c r="J307" s="1"/>
      <c r="K307" s="1"/>
      <c r="L307" s="1"/>
    </row>
    <row r="308" ht="15.75" customHeight="1">
      <c r="A308" s="36"/>
      <c r="B308" s="37"/>
      <c r="C308" s="1"/>
      <c r="D308" s="1"/>
      <c r="E308" s="1"/>
      <c r="F308" s="1"/>
      <c r="G308" s="1"/>
      <c r="H308" s="1"/>
      <c r="I308" s="1"/>
      <c r="J308" s="1"/>
      <c r="K308" s="1"/>
      <c r="L308" s="1"/>
    </row>
    <row r="309" ht="15.75" customHeight="1">
      <c r="A309" s="36"/>
      <c r="B309" s="37"/>
      <c r="C309" s="1"/>
      <c r="D309" s="1"/>
      <c r="E309" s="1"/>
      <c r="F309" s="1"/>
      <c r="G309" s="1"/>
      <c r="H309" s="1"/>
      <c r="I309" s="1"/>
      <c r="J309" s="1"/>
      <c r="K309" s="1"/>
      <c r="L309" s="1"/>
    </row>
    <row r="310" ht="15.75" customHeight="1">
      <c r="A310" s="36"/>
      <c r="B310" s="37"/>
      <c r="C310" s="1"/>
      <c r="D310" s="1"/>
      <c r="E310" s="1"/>
      <c r="F310" s="1"/>
      <c r="G310" s="1"/>
      <c r="H310" s="1"/>
      <c r="I310" s="1"/>
      <c r="J310" s="1"/>
      <c r="K310" s="1"/>
      <c r="L310" s="1"/>
    </row>
    <row r="311" ht="15.75" customHeight="1">
      <c r="A311" s="36"/>
      <c r="B311" s="37"/>
      <c r="C311" s="1"/>
      <c r="D311" s="1"/>
      <c r="E311" s="1"/>
      <c r="F311" s="1"/>
      <c r="G311" s="1"/>
      <c r="H311" s="1"/>
      <c r="I311" s="1"/>
      <c r="J311" s="1"/>
      <c r="K311" s="1"/>
      <c r="L311" s="1"/>
    </row>
    <row r="312" ht="15.75" customHeight="1">
      <c r="A312" s="36"/>
      <c r="B312" s="37"/>
      <c r="C312" s="1"/>
      <c r="D312" s="1"/>
      <c r="E312" s="1"/>
      <c r="F312" s="1"/>
      <c r="G312" s="1"/>
      <c r="H312" s="1"/>
      <c r="I312" s="1"/>
      <c r="J312" s="1"/>
      <c r="K312" s="1"/>
      <c r="L312" s="1"/>
    </row>
    <row r="313" ht="15.75" customHeight="1">
      <c r="A313" s="36"/>
      <c r="B313" s="37"/>
      <c r="C313" s="1"/>
      <c r="D313" s="1"/>
      <c r="E313" s="1"/>
      <c r="F313" s="1"/>
      <c r="G313" s="1"/>
      <c r="H313" s="1"/>
      <c r="I313" s="1"/>
      <c r="J313" s="1"/>
      <c r="K313" s="1"/>
      <c r="L313" s="1"/>
    </row>
    <row r="314" ht="15.75" customHeight="1">
      <c r="A314" s="36"/>
      <c r="B314" s="37"/>
      <c r="C314" s="1"/>
      <c r="D314" s="1"/>
      <c r="E314" s="1"/>
      <c r="F314" s="1"/>
      <c r="G314" s="1"/>
      <c r="H314" s="1"/>
      <c r="I314" s="1"/>
      <c r="J314" s="1"/>
      <c r="K314" s="1"/>
      <c r="L314" s="1"/>
    </row>
    <row r="315" ht="15.75" customHeight="1">
      <c r="A315" s="36"/>
      <c r="B315" s="37"/>
      <c r="C315" s="1"/>
      <c r="D315" s="1"/>
      <c r="E315" s="1"/>
      <c r="F315" s="1"/>
      <c r="G315" s="1"/>
      <c r="H315" s="1"/>
      <c r="I315" s="1"/>
      <c r="J315" s="1"/>
      <c r="K315" s="1"/>
      <c r="L315" s="1"/>
    </row>
    <row r="316" ht="15.75" customHeight="1">
      <c r="A316" s="36"/>
      <c r="B316" s="37"/>
      <c r="C316" s="1"/>
      <c r="D316" s="1"/>
      <c r="E316" s="1"/>
      <c r="F316" s="1"/>
      <c r="G316" s="1"/>
      <c r="H316" s="1"/>
      <c r="I316" s="1"/>
      <c r="J316" s="1"/>
      <c r="K316" s="1"/>
      <c r="L316" s="1"/>
    </row>
    <row r="317" ht="15.75" customHeight="1">
      <c r="A317" s="36"/>
      <c r="B317" s="37"/>
      <c r="C317" s="1"/>
      <c r="D317" s="1"/>
      <c r="E317" s="1"/>
      <c r="F317" s="1"/>
      <c r="G317" s="1"/>
      <c r="H317" s="1"/>
      <c r="I317" s="1"/>
      <c r="J317" s="1"/>
      <c r="K317" s="1"/>
      <c r="L317" s="1"/>
    </row>
    <row r="318" ht="15.75" customHeight="1">
      <c r="A318" s="36"/>
      <c r="B318" s="37"/>
      <c r="C318" s="1"/>
      <c r="D318" s="1"/>
      <c r="E318" s="1"/>
      <c r="F318" s="1"/>
      <c r="G318" s="1"/>
      <c r="H318" s="1"/>
      <c r="I318" s="1"/>
      <c r="J318" s="1"/>
      <c r="K318" s="1"/>
      <c r="L318" s="1"/>
    </row>
    <row r="319" ht="15.75" customHeight="1">
      <c r="A319" s="36"/>
      <c r="B319" s="37"/>
      <c r="C319" s="1"/>
      <c r="D319" s="1"/>
      <c r="E319" s="1"/>
      <c r="F319" s="1"/>
      <c r="G319" s="1"/>
      <c r="H319" s="1"/>
      <c r="I319" s="1"/>
      <c r="J319" s="1"/>
      <c r="K319" s="1"/>
      <c r="L319" s="1"/>
    </row>
    <row r="320" ht="15.75" customHeight="1">
      <c r="A320" s="36"/>
      <c r="B320" s="37"/>
      <c r="C320" s="1"/>
      <c r="D320" s="1"/>
      <c r="E320" s="1"/>
      <c r="F320" s="1"/>
      <c r="G320" s="1"/>
      <c r="H320" s="1"/>
      <c r="I320" s="1"/>
      <c r="J320" s="1"/>
      <c r="K320" s="1"/>
      <c r="L320" s="1"/>
    </row>
    <row r="321" ht="15.75" customHeight="1">
      <c r="A321" s="36"/>
      <c r="B321" s="37"/>
      <c r="C321" s="1"/>
      <c r="D321" s="1"/>
      <c r="E321" s="1"/>
      <c r="F321" s="1"/>
      <c r="G321" s="1"/>
      <c r="H321" s="1"/>
      <c r="I321" s="1"/>
      <c r="J321" s="1"/>
      <c r="K321" s="1"/>
      <c r="L321" s="1"/>
    </row>
    <row r="322" ht="15.75" customHeight="1">
      <c r="A322" s="36"/>
      <c r="B322" s="37"/>
      <c r="C322" s="1"/>
      <c r="D322" s="1"/>
      <c r="E322" s="1"/>
      <c r="F322" s="1"/>
      <c r="G322" s="1"/>
      <c r="H322" s="1"/>
      <c r="I322" s="1"/>
      <c r="J322" s="1"/>
      <c r="K322" s="1"/>
      <c r="L322" s="1"/>
    </row>
    <row r="323" ht="15.75" customHeight="1">
      <c r="A323" s="36"/>
      <c r="B323" s="37"/>
      <c r="C323" s="1"/>
      <c r="D323" s="1"/>
      <c r="E323" s="1"/>
      <c r="F323" s="1"/>
      <c r="G323" s="1"/>
      <c r="H323" s="1"/>
      <c r="I323" s="1"/>
      <c r="J323" s="1"/>
      <c r="K323" s="1"/>
      <c r="L323" s="1"/>
    </row>
    <row r="324" ht="15.75" customHeight="1">
      <c r="A324" s="36"/>
      <c r="B324" s="37"/>
      <c r="C324" s="1"/>
      <c r="D324" s="1"/>
      <c r="E324" s="1"/>
      <c r="F324" s="1"/>
      <c r="G324" s="1"/>
      <c r="H324" s="1"/>
      <c r="I324" s="1"/>
      <c r="J324" s="1"/>
      <c r="K324" s="1"/>
      <c r="L324" s="1"/>
    </row>
    <row r="325" ht="15.75" customHeight="1">
      <c r="A325" s="36"/>
      <c r="B325" s="37"/>
      <c r="C325" s="1"/>
      <c r="D325" s="1"/>
      <c r="E325" s="1"/>
      <c r="F325" s="1"/>
      <c r="G325" s="1"/>
      <c r="H325" s="1"/>
      <c r="I325" s="1"/>
      <c r="J325" s="1"/>
      <c r="K325" s="1"/>
      <c r="L325" s="1"/>
    </row>
    <row r="326" ht="15.75" customHeight="1">
      <c r="A326" s="36"/>
      <c r="B326" s="37"/>
      <c r="C326" s="1"/>
      <c r="D326" s="1"/>
      <c r="E326" s="1"/>
      <c r="F326" s="1"/>
      <c r="G326" s="1"/>
      <c r="H326" s="1"/>
      <c r="I326" s="1"/>
      <c r="J326" s="1"/>
      <c r="K326" s="1"/>
      <c r="L326" s="1"/>
    </row>
    <row r="327" ht="15.75" customHeight="1">
      <c r="A327" s="36"/>
      <c r="B327" s="37"/>
      <c r="C327" s="1"/>
      <c r="D327" s="1"/>
      <c r="E327" s="1"/>
      <c r="F327" s="1"/>
      <c r="G327" s="1"/>
      <c r="H327" s="1"/>
      <c r="I327" s="1"/>
      <c r="J327" s="1"/>
      <c r="K327" s="1"/>
      <c r="L327" s="1"/>
    </row>
    <row r="328" ht="15.75" customHeight="1">
      <c r="A328" s="36"/>
      <c r="B328" s="37"/>
      <c r="C328" s="1"/>
      <c r="D328" s="1"/>
      <c r="E328" s="1"/>
      <c r="F328" s="1"/>
      <c r="G328" s="1"/>
      <c r="H328" s="1"/>
      <c r="I328" s="1"/>
      <c r="J328" s="1"/>
      <c r="K328" s="1"/>
      <c r="L328" s="1"/>
    </row>
    <row r="329" ht="15.75" customHeight="1">
      <c r="A329" s="36"/>
      <c r="B329" s="37"/>
      <c r="C329" s="1"/>
      <c r="D329" s="1"/>
      <c r="E329" s="1"/>
      <c r="F329" s="1"/>
      <c r="G329" s="1"/>
      <c r="H329" s="1"/>
      <c r="I329" s="1"/>
      <c r="J329" s="1"/>
      <c r="K329" s="1"/>
      <c r="L329" s="1"/>
    </row>
    <row r="330" ht="15.75" customHeight="1">
      <c r="A330" s="36"/>
      <c r="B330" s="37"/>
      <c r="C330" s="1"/>
      <c r="D330" s="1"/>
      <c r="E330" s="1"/>
      <c r="F330" s="1"/>
      <c r="G330" s="1"/>
      <c r="H330" s="1"/>
      <c r="I330" s="1"/>
      <c r="J330" s="1"/>
      <c r="K330" s="1"/>
      <c r="L330" s="1"/>
    </row>
    <row r="331" ht="15.75" customHeight="1">
      <c r="A331" s="36"/>
      <c r="B331" s="37"/>
      <c r="C331" s="1"/>
      <c r="D331" s="1"/>
      <c r="E331" s="1"/>
      <c r="F331" s="1"/>
      <c r="G331" s="1"/>
      <c r="H331" s="1"/>
      <c r="I331" s="1"/>
      <c r="J331" s="1"/>
      <c r="K331" s="1"/>
      <c r="L331" s="1"/>
    </row>
    <row r="332" ht="15.75" customHeight="1">
      <c r="A332" s="36"/>
      <c r="B332" s="37"/>
      <c r="C332" s="1"/>
      <c r="D332" s="1"/>
      <c r="E332" s="1"/>
      <c r="F332" s="1"/>
      <c r="G332" s="1"/>
      <c r="H332" s="1"/>
      <c r="I332" s="1"/>
      <c r="J332" s="1"/>
      <c r="K332" s="1"/>
      <c r="L332" s="1"/>
    </row>
    <row r="333" ht="15.75" customHeight="1">
      <c r="A333" s="36"/>
      <c r="B333" s="37"/>
      <c r="C333" s="1"/>
      <c r="D333" s="1"/>
      <c r="E333" s="1"/>
      <c r="F333" s="1"/>
      <c r="G333" s="1"/>
      <c r="H333" s="1"/>
      <c r="I333" s="1"/>
      <c r="J333" s="1"/>
      <c r="K333" s="1"/>
      <c r="L333" s="1"/>
    </row>
    <row r="334" ht="15.75" customHeight="1">
      <c r="A334" s="36"/>
      <c r="B334" s="37"/>
      <c r="C334" s="1"/>
      <c r="D334" s="1"/>
      <c r="E334" s="1"/>
      <c r="F334" s="1"/>
      <c r="G334" s="1"/>
      <c r="H334" s="1"/>
      <c r="I334" s="1"/>
      <c r="J334" s="1"/>
      <c r="K334" s="1"/>
      <c r="L334" s="1"/>
    </row>
    <row r="335" ht="15.75" customHeight="1">
      <c r="A335" s="36"/>
      <c r="B335" s="37"/>
      <c r="C335" s="1"/>
      <c r="D335" s="1"/>
      <c r="E335" s="1"/>
      <c r="F335" s="1"/>
      <c r="G335" s="1"/>
      <c r="H335" s="1"/>
      <c r="I335" s="1"/>
      <c r="J335" s="1"/>
      <c r="K335" s="1"/>
      <c r="L335" s="1"/>
    </row>
    <row r="336" ht="15.75" customHeight="1">
      <c r="A336" s="36"/>
      <c r="B336" s="37"/>
      <c r="C336" s="1"/>
      <c r="D336" s="1"/>
      <c r="E336" s="1"/>
      <c r="F336" s="1"/>
      <c r="G336" s="1"/>
      <c r="H336" s="1"/>
      <c r="I336" s="1"/>
      <c r="J336" s="1"/>
      <c r="K336" s="1"/>
      <c r="L336" s="1"/>
    </row>
    <row r="337" ht="15.75" customHeight="1">
      <c r="A337" s="36"/>
      <c r="B337" s="37"/>
      <c r="C337" s="1"/>
      <c r="D337" s="1"/>
      <c r="E337" s="1"/>
      <c r="F337" s="1"/>
      <c r="G337" s="1"/>
      <c r="H337" s="1"/>
      <c r="I337" s="1"/>
      <c r="J337" s="1"/>
      <c r="K337" s="1"/>
      <c r="L337" s="1"/>
    </row>
    <row r="338" ht="15.75" customHeight="1">
      <c r="A338" s="36"/>
      <c r="B338" s="37"/>
      <c r="C338" s="1"/>
      <c r="D338" s="1"/>
      <c r="E338" s="1"/>
      <c r="F338" s="1"/>
      <c r="G338" s="1"/>
      <c r="H338" s="1"/>
      <c r="I338" s="1"/>
      <c r="J338" s="1"/>
      <c r="K338" s="1"/>
      <c r="L338" s="1"/>
    </row>
    <row r="339" ht="15.75" customHeight="1">
      <c r="A339" s="36"/>
      <c r="B339" s="37"/>
      <c r="C339" s="1"/>
      <c r="D339" s="1"/>
      <c r="E339" s="1"/>
      <c r="F339" s="1"/>
      <c r="G339" s="1"/>
      <c r="H339" s="1"/>
      <c r="I339" s="1"/>
      <c r="J339" s="1"/>
      <c r="K339" s="1"/>
      <c r="L339" s="1"/>
    </row>
    <row r="340" ht="15.75" customHeight="1">
      <c r="A340" s="36"/>
      <c r="B340" s="37"/>
      <c r="C340" s="1"/>
      <c r="D340" s="1"/>
      <c r="E340" s="1"/>
      <c r="F340" s="1"/>
      <c r="G340" s="1"/>
      <c r="H340" s="1"/>
      <c r="I340" s="1"/>
      <c r="J340" s="1"/>
      <c r="K340" s="1"/>
      <c r="L340" s="1"/>
    </row>
    <row r="341" ht="15.75" customHeight="1">
      <c r="A341" s="36"/>
      <c r="B341" s="37"/>
      <c r="C341" s="1"/>
      <c r="D341" s="1"/>
      <c r="E341" s="1"/>
      <c r="F341" s="1"/>
      <c r="G341" s="1"/>
      <c r="H341" s="1"/>
      <c r="I341" s="1"/>
      <c r="J341" s="1"/>
      <c r="K341" s="1"/>
      <c r="L341" s="1"/>
    </row>
    <row r="342" ht="15.75" customHeight="1">
      <c r="A342" s="36"/>
      <c r="B342" s="37"/>
      <c r="C342" s="1"/>
      <c r="D342" s="1"/>
      <c r="E342" s="1"/>
      <c r="F342" s="1"/>
      <c r="G342" s="1"/>
      <c r="H342" s="1"/>
      <c r="I342" s="1"/>
      <c r="J342" s="1"/>
      <c r="K342" s="1"/>
      <c r="L342" s="1"/>
    </row>
    <row r="343" ht="15.75" customHeight="1">
      <c r="A343" s="36"/>
      <c r="B343" s="37"/>
      <c r="C343" s="1"/>
      <c r="D343" s="1"/>
      <c r="E343" s="1"/>
      <c r="F343" s="1"/>
      <c r="G343" s="1"/>
      <c r="H343" s="1"/>
      <c r="I343" s="1"/>
      <c r="J343" s="1"/>
      <c r="K343" s="1"/>
      <c r="L343" s="1"/>
    </row>
    <row r="344" ht="15.75" customHeight="1">
      <c r="A344" s="36"/>
      <c r="B344" s="37"/>
      <c r="C344" s="1"/>
      <c r="D344" s="1"/>
      <c r="E344" s="1"/>
      <c r="F344" s="1"/>
      <c r="G344" s="1"/>
      <c r="H344" s="1"/>
      <c r="I344" s="1"/>
      <c r="J344" s="1"/>
      <c r="K344" s="1"/>
      <c r="L344" s="1"/>
    </row>
    <row r="345" ht="15.75" customHeight="1">
      <c r="A345" s="36"/>
      <c r="B345" s="37"/>
      <c r="C345" s="1"/>
      <c r="D345" s="1"/>
      <c r="E345" s="1"/>
      <c r="F345" s="1"/>
      <c r="G345" s="1"/>
      <c r="H345" s="1"/>
      <c r="I345" s="1"/>
      <c r="J345" s="1"/>
      <c r="K345" s="1"/>
      <c r="L345" s="1"/>
    </row>
    <row r="346" ht="15.75" customHeight="1">
      <c r="A346" s="36"/>
      <c r="B346" s="37"/>
      <c r="C346" s="1"/>
      <c r="D346" s="1"/>
      <c r="E346" s="1"/>
      <c r="F346" s="1"/>
      <c r="G346" s="1"/>
      <c r="H346" s="1"/>
      <c r="I346" s="1"/>
      <c r="J346" s="1"/>
      <c r="K346" s="1"/>
      <c r="L346" s="1"/>
    </row>
    <row r="347" ht="15.75" customHeight="1">
      <c r="A347" s="36"/>
      <c r="B347" s="37"/>
      <c r="C347" s="1"/>
      <c r="D347" s="1"/>
      <c r="E347" s="1"/>
      <c r="F347" s="1"/>
      <c r="G347" s="1"/>
      <c r="H347" s="1"/>
      <c r="I347" s="1"/>
      <c r="J347" s="1"/>
      <c r="K347" s="1"/>
      <c r="L347" s="1"/>
    </row>
    <row r="348" ht="15.75" customHeight="1">
      <c r="A348" s="36"/>
      <c r="B348" s="37"/>
      <c r="C348" s="1"/>
      <c r="D348" s="1"/>
      <c r="E348" s="1"/>
      <c r="F348" s="1"/>
      <c r="G348" s="1"/>
      <c r="H348" s="1"/>
      <c r="I348" s="1"/>
      <c r="J348" s="1"/>
      <c r="K348" s="1"/>
      <c r="L348" s="1"/>
    </row>
    <row r="349" ht="15.75" customHeight="1">
      <c r="A349" s="36"/>
      <c r="B349" s="37"/>
      <c r="C349" s="1"/>
      <c r="D349" s="1"/>
      <c r="E349" s="1"/>
      <c r="F349" s="1"/>
      <c r="G349" s="1"/>
      <c r="H349" s="1"/>
      <c r="I349" s="1"/>
      <c r="J349" s="1"/>
      <c r="K349" s="1"/>
      <c r="L349" s="1"/>
    </row>
    <row r="350" ht="15.75" customHeight="1">
      <c r="A350" s="36"/>
      <c r="B350" s="37"/>
      <c r="C350" s="1"/>
      <c r="D350" s="1"/>
      <c r="E350" s="1"/>
      <c r="F350" s="1"/>
      <c r="G350" s="1"/>
      <c r="H350" s="1"/>
      <c r="I350" s="1"/>
      <c r="J350" s="1"/>
      <c r="K350" s="1"/>
      <c r="L350" s="1"/>
    </row>
    <row r="351" ht="15.75" customHeight="1">
      <c r="A351" s="36"/>
      <c r="B351" s="37"/>
      <c r="C351" s="1"/>
      <c r="D351" s="1"/>
      <c r="E351" s="1"/>
      <c r="F351" s="1"/>
      <c r="G351" s="1"/>
      <c r="H351" s="1"/>
      <c r="I351" s="1"/>
      <c r="J351" s="1"/>
      <c r="K351" s="1"/>
      <c r="L351" s="1"/>
    </row>
    <row r="352" ht="15.75" customHeight="1">
      <c r="A352" s="36"/>
      <c r="B352" s="37"/>
      <c r="C352" s="1"/>
      <c r="D352" s="1"/>
      <c r="E352" s="1"/>
      <c r="F352" s="1"/>
      <c r="G352" s="1"/>
      <c r="H352" s="1"/>
      <c r="I352" s="1"/>
      <c r="J352" s="1"/>
      <c r="K352" s="1"/>
      <c r="L352" s="1"/>
    </row>
    <row r="353" ht="15.75" customHeight="1">
      <c r="A353" s="36"/>
      <c r="B353" s="37"/>
      <c r="C353" s="1"/>
      <c r="D353" s="1"/>
      <c r="E353" s="1"/>
      <c r="F353" s="1"/>
      <c r="G353" s="1"/>
      <c r="H353" s="1"/>
      <c r="I353" s="1"/>
      <c r="J353" s="1"/>
      <c r="K353" s="1"/>
      <c r="L353" s="1"/>
    </row>
    <row r="354" ht="15.75" customHeight="1">
      <c r="A354" s="36"/>
      <c r="B354" s="37"/>
      <c r="C354" s="1"/>
      <c r="D354" s="1"/>
      <c r="E354" s="1"/>
      <c r="F354" s="1"/>
      <c r="G354" s="1"/>
      <c r="H354" s="1"/>
      <c r="I354" s="1"/>
      <c r="J354" s="1"/>
      <c r="K354" s="1"/>
      <c r="L354" s="1"/>
    </row>
    <row r="355" ht="15.75" customHeight="1">
      <c r="A355" s="36"/>
      <c r="B355" s="37"/>
      <c r="C355" s="1"/>
      <c r="D355" s="1"/>
      <c r="E355" s="1"/>
      <c r="F355" s="1"/>
      <c r="G355" s="1"/>
      <c r="H355" s="1"/>
      <c r="I355" s="1"/>
      <c r="J355" s="1"/>
      <c r="K355" s="1"/>
      <c r="L355" s="1"/>
    </row>
    <row r="356" ht="15.75" customHeight="1">
      <c r="A356" s="36"/>
      <c r="B356" s="37"/>
      <c r="C356" s="1"/>
      <c r="D356" s="1"/>
      <c r="E356" s="1"/>
      <c r="F356" s="1"/>
      <c r="G356" s="1"/>
      <c r="H356" s="1"/>
      <c r="I356" s="1"/>
      <c r="J356" s="1"/>
      <c r="K356" s="1"/>
      <c r="L356" s="1"/>
    </row>
    <row r="357" ht="15.75" customHeight="1">
      <c r="A357" s="36"/>
      <c r="B357" s="37"/>
      <c r="C357" s="1"/>
      <c r="D357" s="1"/>
      <c r="E357" s="1"/>
      <c r="F357" s="1"/>
      <c r="G357" s="1"/>
      <c r="H357" s="1"/>
      <c r="I357" s="1"/>
      <c r="J357" s="1"/>
      <c r="K357" s="1"/>
      <c r="L357" s="1"/>
    </row>
    <row r="358" ht="15.75" customHeight="1">
      <c r="A358" s="36"/>
      <c r="B358" s="37"/>
      <c r="C358" s="1"/>
      <c r="D358" s="1"/>
      <c r="E358" s="1"/>
      <c r="F358" s="1"/>
      <c r="G358" s="1"/>
      <c r="H358" s="1"/>
      <c r="I358" s="1"/>
      <c r="J358" s="1"/>
      <c r="K358" s="1"/>
      <c r="L358" s="1"/>
    </row>
    <row r="359" ht="15.75" customHeight="1">
      <c r="A359" s="36"/>
      <c r="B359" s="37"/>
      <c r="C359" s="1"/>
      <c r="D359" s="1"/>
      <c r="E359" s="1"/>
      <c r="F359" s="1"/>
      <c r="G359" s="1"/>
      <c r="H359" s="1"/>
      <c r="I359" s="1"/>
      <c r="J359" s="1"/>
      <c r="K359" s="1"/>
      <c r="L359" s="1"/>
    </row>
    <row r="360" ht="15.75" customHeight="1">
      <c r="A360" s="36"/>
      <c r="B360" s="37"/>
      <c r="C360" s="1"/>
      <c r="D360" s="1"/>
      <c r="E360" s="1"/>
      <c r="F360" s="1"/>
      <c r="G360" s="1"/>
      <c r="H360" s="1"/>
      <c r="I360" s="1"/>
      <c r="J360" s="1"/>
      <c r="K360" s="1"/>
      <c r="L360" s="1"/>
    </row>
    <row r="361" ht="15.75" customHeight="1">
      <c r="A361" s="36"/>
      <c r="B361" s="37"/>
      <c r="C361" s="1"/>
      <c r="D361" s="1"/>
      <c r="E361" s="1"/>
      <c r="F361" s="1"/>
      <c r="G361" s="1"/>
      <c r="H361" s="1"/>
      <c r="I361" s="1"/>
      <c r="J361" s="1"/>
      <c r="K361" s="1"/>
      <c r="L361" s="1"/>
    </row>
    <row r="362" ht="15.75" customHeight="1">
      <c r="A362" s="36"/>
      <c r="B362" s="37"/>
      <c r="C362" s="1"/>
      <c r="D362" s="1"/>
      <c r="E362" s="1"/>
      <c r="F362" s="1"/>
      <c r="G362" s="1"/>
      <c r="H362" s="1"/>
      <c r="I362" s="1"/>
      <c r="J362" s="1"/>
      <c r="K362" s="1"/>
      <c r="L362" s="1"/>
    </row>
    <row r="363" ht="15.75" customHeight="1">
      <c r="A363" s="36"/>
      <c r="B363" s="37"/>
      <c r="C363" s="1"/>
      <c r="D363" s="1"/>
      <c r="E363" s="1"/>
      <c r="F363" s="1"/>
      <c r="G363" s="1"/>
      <c r="H363" s="1"/>
      <c r="I363" s="1"/>
      <c r="J363" s="1"/>
      <c r="K363" s="1"/>
      <c r="L363" s="1"/>
    </row>
    <row r="364" ht="15.75" customHeight="1">
      <c r="A364" s="36"/>
      <c r="B364" s="37"/>
      <c r="C364" s="1"/>
      <c r="D364" s="1"/>
      <c r="E364" s="1"/>
      <c r="F364" s="1"/>
      <c r="G364" s="1"/>
      <c r="H364" s="1"/>
      <c r="I364" s="1"/>
      <c r="J364" s="1"/>
      <c r="K364" s="1"/>
      <c r="L364" s="1"/>
    </row>
    <row r="365" ht="15.75" customHeight="1">
      <c r="A365" s="36"/>
      <c r="B365" s="37"/>
      <c r="C365" s="1"/>
      <c r="D365" s="1"/>
      <c r="E365" s="1"/>
      <c r="F365" s="1"/>
      <c r="G365" s="1"/>
      <c r="H365" s="1"/>
      <c r="I365" s="1"/>
      <c r="J365" s="1"/>
      <c r="K365" s="1"/>
      <c r="L365" s="1"/>
    </row>
    <row r="366" ht="15.75" customHeight="1">
      <c r="A366" s="36"/>
      <c r="B366" s="37"/>
      <c r="C366" s="1"/>
      <c r="D366" s="1"/>
      <c r="E366" s="1"/>
      <c r="F366" s="1"/>
      <c r="G366" s="1"/>
      <c r="H366" s="1"/>
      <c r="I366" s="1"/>
      <c r="J366" s="1"/>
      <c r="K366" s="1"/>
      <c r="L366" s="1"/>
    </row>
    <row r="367" ht="15.75" customHeight="1">
      <c r="A367" s="36"/>
      <c r="B367" s="37"/>
      <c r="C367" s="1"/>
      <c r="D367" s="1"/>
      <c r="E367" s="1"/>
      <c r="F367" s="1"/>
      <c r="G367" s="1"/>
      <c r="H367" s="1"/>
      <c r="I367" s="1"/>
      <c r="J367" s="1"/>
      <c r="K367" s="1"/>
      <c r="L367" s="1"/>
    </row>
    <row r="368" ht="15.75" customHeight="1">
      <c r="A368" s="36"/>
      <c r="B368" s="37"/>
      <c r="C368" s="1"/>
      <c r="D368" s="1"/>
      <c r="E368" s="1"/>
      <c r="F368" s="1"/>
      <c r="G368" s="1"/>
      <c r="H368" s="1"/>
      <c r="I368" s="1"/>
      <c r="J368" s="1"/>
      <c r="K368" s="1"/>
      <c r="L368" s="1"/>
    </row>
    <row r="369" ht="15.75" customHeight="1">
      <c r="A369" s="36"/>
      <c r="B369" s="37"/>
      <c r="C369" s="1"/>
      <c r="D369" s="1"/>
      <c r="E369" s="1"/>
      <c r="F369" s="1"/>
      <c r="G369" s="1"/>
      <c r="H369" s="1"/>
      <c r="I369" s="1"/>
      <c r="J369" s="1"/>
      <c r="K369" s="1"/>
      <c r="L369" s="1"/>
    </row>
    <row r="370" ht="15.75" customHeight="1">
      <c r="A370" s="36"/>
      <c r="B370" s="37"/>
      <c r="C370" s="1"/>
      <c r="D370" s="1"/>
      <c r="E370" s="1"/>
      <c r="F370" s="1"/>
      <c r="G370" s="1"/>
      <c r="H370" s="1"/>
      <c r="I370" s="1"/>
      <c r="J370" s="1"/>
      <c r="K370" s="1"/>
      <c r="L370" s="1"/>
    </row>
    <row r="371" ht="15.75" customHeight="1">
      <c r="A371" s="36"/>
      <c r="B371" s="37"/>
      <c r="C371" s="1"/>
      <c r="D371" s="1"/>
      <c r="E371" s="1"/>
      <c r="F371" s="1"/>
      <c r="G371" s="1"/>
      <c r="H371" s="1"/>
      <c r="I371" s="1"/>
      <c r="J371" s="1"/>
      <c r="K371" s="1"/>
      <c r="L371" s="1"/>
    </row>
    <row r="372" ht="15.75" customHeight="1">
      <c r="A372" s="36"/>
      <c r="B372" s="37"/>
      <c r="C372" s="1"/>
      <c r="D372" s="1"/>
      <c r="E372" s="1"/>
      <c r="F372" s="1"/>
      <c r="G372" s="1"/>
      <c r="H372" s="1"/>
      <c r="I372" s="1"/>
      <c r="J372" s="1"/>
      <c r="K372" s="1"/>
      <c r="L372" s="1"/>
    </row>
    <row r="373" ht="15.75" customHeight="1">
      <c r="A373" s="36"/>
      <c r="B373" s="37"/>
      <c r="C373" s="1"/>
      <c r="D373" s="1"/>
      <c r="E373" s="1"/>
      <c r="F373" s="1"/>
      <c r="G373" s="1"/>
      <c r="H373" s="1"/>
      <c r="I373" s="1"/>
      <c r="J373" s="1"/>
      <c r="K373" s="1"/>
      <c r="L373" s="1"/>
    </row>
    <row r="374" ht="15.75" customHeight="1">
      <c r="A374" s="36"/>
      <c r="B374" s="37"/>
      <c r="C374" s="1"/>
      <c r="D374" s="1"/>
      <c r="E374" s="1"/>
      <c r="F374" s="1"/>
      <c r="G374" s="1"/>
      <c r="H374" s="1"/>
      <c r="I374" s="1"/>
      <c r="J374" s="1"/>
      <c r="K374" s="1"/>
      <c r="L374" s="1"/>
    </row>
    <row r="375" ht="15.75" customHeight="1">
      <c r="A375" s="36"/>
      <c r="B375" s="37"/>
      <c r="C375" s="1"/>
      <c r="D375" s="1"/>
      <c r="E375" s="1"/>
      <c r="F375" s="1"/>
      <c r="G375" s="1"/>
      <c r="H375" s="1"/>
      <c r="I375" s="1"/>
      <c r="J375" s="1"/>
      <c r="K375" s="1"/>
      <c r="L375" s="1"/>
    </row>
    <row r="376" ht="15.75" customHeight="1">
      <c r="A376" s="36"/>
      <c r="B376" s="37"/>
      <c r="C376" s="1"/>
      <c r="D376" s="1"/>
      <c r="E376" s="1"/>
      <c r="F376" s="1"/>
      <c r="G376" s="1"/>
      <c r="H376" s="1"/>
      <c r="I376" s="1"/>
      <c r="J376" s="1"/>
      <c r="K376" s="1"/>
      <c r="L376" s="1"/>
    </row>
    <row r="377" ht="15.75" customHeight="1">
      <c r="A377" s="36"/>
      <c r="B377" s="37"/>
      <c r="C377" s="1"/>
      <c r="D377" s="1"/>
      <c r="E377" s="1"/>
      <c r="F377" s="1"/>
      <c r="G377" s="1"/>
      <c r="H377" s="1"/>
      <c r="I377" s="1"/>
      <c r="J377" s="1"/>
      <c r="K377" s="1"/>
      <c r="L377" s="1"/>
    </row>
    <row r="378" ht="15.75" customHeight="1">
      <c r="A378" s="36"/>
      <c r="B378" s="37"/>
      <c r="C378" s="1"/>
      <c r="D378" s="1"/>
      <c r="E378" s="1"/>
      <c r="F378" s="1"/>
      <c r="G378" s="1"/>
      <c r="H378" s="1"/>
      <c r="I378" s="1"/>
      <c r="J378" s="1"/>
      <c r="K378" s="1"/>
      <c r="L378" s="1"/>
    </row>
    <row r="379" ht="15.75" customHeight="1">
      <c r="A379" s="36"/>
      <c r="B379" s="37"/>
      <c r="C379" s="1"/>
      <c r="D379" s="1"/>
      <c r="E379" s="1"/>
      <c r="F379" s="1"/>
      <c r="G379" s="1"/>
      <c r="H379" s="1"/>
      <c r="I379" s="1"/>
      <c r="J379" s="1"/>
      <c r="K379" s="1"/>
      <c r="L379" s="1"/>
    </row>
    <row r="380" ht="15.75" customHeight="1">
      <c r="A380" s="36"/>
      <c r="B380" s="37"/>
      <c r="C380" s="1"/>
      <c r="D380" s="1"/>
      <c r="E380" s="1"/>
      <c r="F380" s="1"/>
      <c r="G380" s="1"/>
      <c r="H380" s="1"/>
      <c r="I380" s="1"/>
      <c r="J380" s="1"/>
      <c r="K380" s="1"/>
      <c r="L380" s="1"/>
    </row>
    <row r="381" ht="15.75" customHeight="1">
      <c r="A381" s="36"/>
      <c r="B381" s="37"/>
      <c r="C381" s="1"/>
      <c r="D381" s="1"/>
      <c r="E381" s="1"/>
      <c r="F381" s="1"/>
      <c r="G381" s="1"/>
      <c r="H381" s="1"/>
      <c r="I381" s="1"/>
      <c r="J381" s="1"/>
      <c r="K381" s="1"/>
      <c r="L381" s="1"/>
    </row>
    <row r="382" ht="15.75" customHeight="1">
      <c r="A382" s="36"/>
      <c r="B382" s="37"/>
      <c r="C382" s="1"/>
      <c r="D382" s="1"/>
      <c r="E382" s="1"/>
      <c r="F382" s="1"/>
      <c r="G382" s="1"/>
      <c r="H382" s="1"/>
      <c r="I382" s="1"/>
      <c r="J382" s="1"/>
      <c r="K382" s="1"/>
      <c r="L382" s="1"/>
    </row>
    <row r="383" ht="15.75" customHeight="1">
      <c r="A383" s="36"/>
      <c r="B383" s="37"/>
      <c r="C383" s="1"/>
      <c r="D383" s="1"/>
      <c r="E383" s="1"/>
      <c r="F383" s="1"/>
      <c r="G383" s="1"/>
      <c r="H383" s="1"/>
      <c r="I383" s="1"/>
      <c r="J383" s="1"/>
      <c r="K383" s="1"/>
      <c r="L383" s="1"/>
    </row>
    <row r="384" ht="15.75" customHeight="1">
      <c r="A384" s="36"/>
      <c r="B384" s="37"/>
      <c r="C384" s="1"/>
      <c r="D384" s="1"/>
      <c r="E384" s="1"/>
      <c r="F384" s="1"/>
      <c r="G384" s="1"/>
      <c r="H384" s="1"/>
      <c r="I384" s="1"/>
      <c r="J384" s="1"/>
      <c r="K384" s="1"/>
      <c r="L384" s="1"/>
    </row>
    <row r="385" ht="15.75" customHeight="1">
      <c r="A385" s="36"/>
      <c r="B385" s="37"/>
      <c r="C385" s="1"/>
      <c r="D385" s="1"/>
      <c r="E385" s="1"/>
      <c r="F385" s="1"/>
      <c r="G385" s="1"/>
      <c r="H385" s="1"/>
      <c r="I385" s="1"/>
      <c r="J385" s="1"/>
      <c r="K385" s="1"/>
      <c r="L385" s="1"/>
    </row>
    <row r="386" ht="15.75" customHeight="1">
      <c r="A386" s="36"/>
      <c r="B386" s="37"/>
      <c r="C386" s="1"/>
      <c r="D386" s="1"/>
      <c r="E386" s="1"/>
      <c r="F386" s="1"/>
      <c r="G386" s="1"/>
      <c r="H386" s="1"/>
      <c r="I386" s="1"/>
      <c r="J386" s="1"/>
      <c r="K386" s="1"/>
      <c r="L386" s="1"/>
    </row>
    <row r="387" ht="15.75" customHeight="1">
      <c r="A387" s="36"/>
      <c r="B387" s="37"/>
      <c r="C387" s="1"/>
      <c r="D387" s="1"/>
      <c r="E387" s="1"/>
      <c r="F387" s="1"/>
      <c r="G387" s="1"/>
      <c r="H387" s="1"/>
      <c r="I387" s="1"/>
      <c r="J387" s="1"/>
      <c r="K387" s="1"/>
      <c r="L387" s="1"/>
    </row>
    <row r="388" ht="15.75" customHeight="1">
      <c r="A388" s="36"/>
      <c r="B388" s="37"/>
      <c r="C388" s="1"/>
      <c r="D388" s="1"/>
      <c r="E388" s="1"/>
      <c r="F388" s="1"/>
      <c r="G388" s="1"/>
      <c r="H388" s="1"/>
      <c r="I388" s="1"/>
      <c r="J388" s="1"/>
      <c r="K388" s="1"/>
      <c r="L388" s="1"/>
    </row>
    <row r="389" ht="15.75" customHeight="1">
      <c r="A389" s="36"/>
      <c r="B389" s="37"/>
      <c r="C389" s="1"/>
      <c r="D389" s="1"/>
      <c r="E389" s="1"/>
      <c r="F389" s="1"/>
      <c r="G389" s="1"/>
      <c r="H389" s="1"/>
      <c r="I389" s="1"/>
      <c r="J389" s="1"/>
      <c r="K389" s="1"/>
      <c r="L389" s="1"/>
    </row>
    <row r="390" ht="15.75" customHeight="1">
      <c r="A390" s="36"/>
      <c r="B390" s="37"/>
      <c r="C390" s="1"/>
      <c r="D390" s="1"/>
      <c r="E390" s="1"/>
      <c r="F390" s="1"/>
      <c r="G390" s="1"/>
      <c r="H390" s="1"/>
      <c r="I390" s="1"/>
      <c r="J390" s="1"/>
      <c r="K390" s="1"/>
      <c r="L390" s="1"/>
    </row>
    <row r="391" ht="15.75" customHeight="1">
      <c r="A391" s="36"/>
      <c r="B391" s="37"/>
      <c r="C391" s="1"/>
      <c r="D391" s="1"/>
      <c r="E391" s="1"/>
      <c r="F391" s="1"/>
      <c r="G391" s="1"/>
      <c r="H391" s="1"/>
      <c r="I391" s="1"/>
      <c r="J391" s="1"/>
      <c r="K391" s="1"/>
      <c r="L391" s="1"/>
    </row>
    <row r="392" ht="15.75" customHeight="1">
      <c r="A392" s="36"/>
      <c r="B392" s="37"/>
      <c r="C392" s="1"/>
      <c r="D392" s="1"/>
      <c r="E392" s="1"/>
      <c r="F392" s="1"/>
      <c r="G392" s="1"/>
      <c r="H392" s="1"/>
      <c r="I392" s="1"/>
      <c r="J392" s="1"/>
      <c r="K392" s="1"/>
      <c r="L392" s="1"/>
    </row>
    <row r="393" ht="15.75" customHeight="1">
      <c r="A393" s="36"/>
      <c r="B393" s="37"/>
      <c r="C393" s="1"/>
      <c r="D393" s="1"/>
      <c r="E393" s="1"/>
      <c r="F393" s="1"/>
      <c r="G393" s="1"/>
      <c r="H393" s="1"/>
      <c r="I393" s="1"/>
      <c r="J393" s="1"/>
      <c r="K393" s="1"/>
      <c r="L393" s="1"/>
    </row>
    <row r="394" ht="15.75" customHeight="1">
      <c r="A394" s="36"/>
      <c r="B394" s="37"/>
      <c r="C394" s="1"/>
      <c r="D394" s="1"/>
      <c r="E394" s="1"/>
      <c r="F394" s="1"/>
      <c r="G394" s="1"/>
      <c r="H394" s="1"/>
      <c r="I394" s="1"/>
      <c r="J394" s="1"/>
      <c r="K394" s="1"/>
      <c r="L394" s="1"/>
    </row>
    <row r="395" ht="15.75" customHeight="1">
      <c r="A395" s="36"/>
      <c r="B395" s="37"/>
      <c r="C395" s="1"/>
      <c r="D395" s="1"/>
      <c r="E395" s="1"/>
      <c r="F395" s="1"/>
      <c r="G395" s="1"/>
      <c r="H395" s="1"/>
      <c r="I395" s="1"/>
      <c r="J395" s="1"/>
      <c r="K395" s="1"/>
      <c r="L395" s="1"/>
    </row>
    <row r="396" ht="15.75" customHeight="1">
      <c r="A396" s="36"/>
      <c r="B396" s="37"/>
      <c r="C396" s="1"/>
      <c r="D396" s="1"/>
      <c r="E396" s="1"/>
      <c r="F396" s="1"/>
      <c r="G396" s="1"/>
      <c r="H396" s="1"/>
      <c r="I396" s="1"/>
      <c r="J396" s="1"/>
      <c r="K396" s="1"/>
      <c r="L396" s="1"/>
    </row>
    <row r="397" ht="15.75" customHeight="1">
      <c r="A397" s="36"/>
      <c r="B397" s="37"/>
      <c r="C397" s="1"/>
      <c r="D397" s="1"/>
      <c r="E397" s="1"/>
      <c r="F397" s="1"/>
      <c r="G397" s="1"/>
      <c r="H397" s="1"/>
      <c r="I397" s="1"/>
      <c r="J397" s="1"/>
      <c r="K397" s="1"/>
      <c r="L397" s="1"/>
    </row>
    <row r="398" ht="15.75" customHeight="1">
      <c r="A398" s="36"/>
      <c r="B398" s="37"/>
      <c r="C398" s="1"/>
      <c r="D398" s="1"/>
      <c r="E398" s="1"/>
      <c r="F398" s="1"/>
      <c r="G398" s="1"/>
      <c r="H398" s="1"/>
      <c r="I398" s="1"/>
      <c r="J398" s="1"/>
      <c r="K398" s="1"/>
      <c r="L398" s="1"/>
    </row>
    <row r="399" ht="15.75" customHeight="1">
      <c r="A399" s="36"/>
      <c r="B399" s="37"/>
      <c r="C399" s="1"/>
      <c r="D399" s="1"/>
      <c r="E399" s="1"/>
      <c r="F399" s="1"/>
      <c r="G399" s="1"/>
      <c r="H399" s="1"/>
      <c r="I399" s="1"/>
      <c r="J399" s="1"/>
      <c r="K399" s="1"/>
      <c r="L399" s="1"/>
    </row>
    <row r="400" ht="15.75" customHeight="1">
      <c r="A400" s="36"/>
      <c r="B400" s="37"/>
      <c r="C400" s="1"/>
      <c r="D400" s="1"/>
      <c r="E400" s="1"/>
      <c r="F400" s="1"/>
      <c r="G400" s="1"/>
      <c r="H400" s="1"/>
      <c r="I400" s="1"/>
      <c r="J400" s="1"/>
      <c r="K400" s="1"/>
      <c r="L400" s="1"/>
    </row>
    <row r="401" ht="15.75" customHeight="1">
      <c r="A401" s="36"/>
      <c r="B401" s="37"/>
      <c r="C401" s="1"/>
      <c r="D401" s="1"/>
      <c r="E401" s="1"/>
      <c r="F401" s="1"/>
      <c r="G401" s="1"/>
      <c r="H401" s="1"/>
      <c r="I401" s="1"/>
      <c r="J401" s="1"/>
      <c r="K401" s="1"/>
      <c r="L401" s="1"/>
    </row>
    <row r="402" ht="15.75" customHeight="1">
      <c r="A402" s="36"/>
      <c r="B402" s="37"/>
      <c r="C402" s="1"/>
      <c r="D402" s="1"/>
      <c r="E402" s="1"/>
      <c r="F402" s="1"/>
      <c r="G402" s="1"/>
      <c r="H402" s="1"/>
      <c r="I402" s="1"/>
      <c r="J402" s="1"/>
      <c r="K402" s="1"/>
      <c r="L402" s="1"/>
    </row>
    <row r="403" ht="15.75" customHeight="1">
      <c r="A403" s="36"/>
      <c r="B403" s="37"/>
      <c r="C403" s="1"/>
      <c r="D403" s="1"/>
      <c r="E403" s="1"/>
      <c r="F403" s="1"/>
      <c r="G403" s="1"/>
      <c r="H403" s="1"/>
      <c r="I403" s="1"/>
      <c r="J403" s="1"/>
      <c r="K403" s="1"/>
      <c r="L403" s="1"/>
    </row>
    <row r="404" ht="15.75" customHeight="1">
      <c r="A404" s="36"/>
      <c r="B404" s="37"/>
      <c r="C404" s="1"/>
      <c r="D404" s="1"/>
      <c r="E404" s="1"/>
      <c r="F404" s="1"/>
      <c r="G404" s="1"/>
      <c r="H404" s="1"/>
      <c r="I404" s="1"/>
      <c r="J404" s="1"/>
      <c r="K404" s="1"/>
      <c r="L404" s="1"/>
    </row>
    <row r="405" ht="15.75" customHeight="1">
      <c r="A405" s="36"/>
      <c r="B405" s="37"/>
      <c r="C405" s="1"/>
      <c r="D405" s="1"/>
      <c r="E405" s="1"/>
      <c r="F405" s="1"/>
      <c r="G405" s="1"/>
      <c r="H405" s="1"/>
      <c r="I405" s="1"/>
      <c r="J405" s="1"/>
      <c r="K405" s="1"/>
      <c r="L405" s="1"/>
    </row>
    <row r="406" ht="15.75" customHeight="1">
      <c r="A406" s="36"/>
      <c r="B406" s="37"/>
      <c r="C406" s="1"/>
      <c r="D406" s="1"/>
      <c r="E406" s="1"/>
      <c r="F406" s="1"/>
      <c r="G406" s="1"/>
      <c r="H406" s="1"/>
      <c r="I406" s="1"/>
      <c r="J406" s="1"/>
      <c r="K406" s="1"/>
      <c r="L406" s="1"/>
    </row>
    <row r="407" ht="15.75" customHeight="1">
      <c r="A407" s="36"/>
      <c r="B407" s="37"/>
      <c r="C407" s="1"/>
      <c r="D407" s="1"/>
      <c r="E407" s="1"/>
      <c r="F407" s="1"/>
      <c r="G407" s="1"/>
      <c r="H407" s="1"/>
      <c r="I407" s="1"/>
      <c r="J407" s="1"/>
      <c r="K407" s="1"/>
      <c r="L407" s="1"/>
    </row>
    <row r="408" ht="15.75" customHeight="1">
      <c r="A408" s="36"/>
      <c r="B408" s="37"/>
      <c r="C408" s="1"/>
      <c r="D408" s="1"/>
      <c r="E408" s="1"/>
      <c r="F408" s="1"/>
      <c r="G408" s="1"/>
      <c r="H408" s="1"/>
      <c r="I408" s="1"/>
      <c r="J408" s="1"/>
      <c r="K408" s="1"/>
      <c r="L408" s="1"/>
    </row>
    <row r="409" ht="15.75" customHeight="1">
      <c r="A409" s="36"/>
      <c r="B409" s="37"/>
      <c r="C409" s="1"/>
      <c r="D409" s="1"/>
      <c r="E409" s="1"/>
      <c r="F409" s="1"/>
      <c r="G409" s="1"/>
      <c r="H409" s="1"/>
      <c r="I409" s="1"/>
      <c r="J409" s="1"/>
      <c r="K409" s="1"/>
      <c r="L409" s="1"/>
    </row>
    <row r="410" ht="15.75" customHeight="1">
      <c r="A410" s="36"/>
      <c r="B410" s="37"/>
      <c r="C410" s="1"/>
      <c r="D410" s="1"/>
      <c r="E410" s="1"/>
      <c r="F410" s="1"/>
      <c r="G410" s="1"/>
      <c r="H410" s="1"/>
      <c r="I410" s="1"/>
      <c r="J410" s="1"/>
      <c r="K410" s="1"/>
      <c r="L410" s="1"/>
    </row>
    <row r="411" ht="15.75" customHeight="1">
      <c r="A411" s="36"/>
      <c r="B411" s="37"/>
      <c r="C411" s="1"/>
      <c r="D411" s="1"/>
      <c r="E411" s="1"/>
      <c r="F411" s="1"/>
      <c r="G411" s="1"/>
      <c r="H411" s="1"/>
      <c r="I411" s="1"/>
      <c r="J411" s="1"/>
      <c r="K411" s="1"/>
      <c r="L411" s="1"/>
    </row>
    <row r="412" ht="15.75" customHeight="1">
      <c r="A412" s="36"/>
      <c r="B412" s="37"/>
      <c r="C412" s="1"/>
      <c r="D412" s="1"/>
      <c r="E412" s="1"/>
      <c r="F412" s="1"/>
      <c r="G412" s="1"/>
      <c r="H412" s="1"/>
      <c r="I412" s="1"/>
      <c r="J412" s="1"/>
      <c r="K412" s="1"/>
      <c r="L412" s="1"/>
    </row>
    <row r="413" ht="15.75" customHeight="1">
      <c r="A413" s="36"/>
      <c r="B413" s="37"/>
      <c r="C413" s="1"/>
      <c r="D413" s="1"/>
      <c r="E413" s="1"/>
      <c r="F413" s="1"/>
      <c r="G413" s="1"/>
      <c r="H413" s="1"/>
      <c r="I413" s="1"/>
      <c r="J413" s="1"/>
      <c r="K413" s="1"/>
      <c r="L413" s="1"/>
    </row>
    <row r="414" ht="15.75" customHeight="1">
      <c r="A414" s="36"/>
      <c r="B414" s="37"/>
      <c r="C414" s="1"/>
      <c r="D414" s="1"/>
      <c r="E414" s="1"/>
      <c r="F414" s="1"/>
      <c r="G414" s="1"/>
      <c r="H414" s="1"/>
      <c r="I414" s="1"/>
      <c r="J414" s="1"/>
      <c r="K414" s="1"/>
      <c r="L414" s="1"/>
    </row>
    <row r="415" ht="15.75" customHeight="1">
      <c r="A415" s="36"/>
      <c r="B415" s="37"/>
      <c r="C415" s="1"/>
      <c r="D415" s="1"/>
      <c r="E415" s="1"/>
      <c r="F415" s="1"/>
      <c r="G415" s="1"/>
      <c r="H415" s="1"/>
      <c r="I415" s="1"/>
      <c r="J415" s="1"/>
      <c r="K415" s="1"/>
      <c r="L415" s="1"/>
    </row>
    <row r="416" ht="15.75" customHeight="1">
      <c r="A416" s="36"/>
      <c r="B416" s="37"/>
      <c r="C416" s="1"/>
      <c r="D416" s="1"/>
      <c r="E416" s="1"/>
      <c r="F416" s="1"/>
      <c r="G416" s="1"/>
      <c r="H416" s="1"/>
      <c r="I416" s="1"/>
      <c r="J416" s="1"/>
      <c r="K416" s="1"/>
      <c r="L416" s="1"/>
    </row>
    <row r="417" ht="15.75" customHeight="1">
      <c r="A417" s="36"/>
      <c r="B417" s="37"/>
      <c r="C417" s="1"/>
      <c r="D417" s="1"/>
      <c r="E417" s="1"/>
      <c r="F417" s="1"/>
      <c r="G417" s="1"/>
      <c r="H417" s="1"/>
      <c r="I417" s="1"/>
      <c r="J417" s="1"/>
      <c r="K417" s="1"/>
      <c r="L417" s="1"/>
    </row>
    <row r="418" ht="15.75" customHeight="1">
      <c r="A418" s="36"/>
      <c r="B418" s="37"/>
      <c r="C418" s="1"/>
      <c r="D418" s="1"/>
      <c r="E418" s="1"/>
      <c r="F418" s="1"/>
      <c r="G418" s="1"/>
      <c r="H418" s="1"/>
      <c r="I418" s="1"/>
      <c r="J418" s="1"/>
      <c r="K418" s="1"/>
      <c r="L418" s="1"/>
    </row>
    <row r="419" ht="15.75" customHeight="1">
      <c r="A419" s="36"/>
      <c r="B419" s="37"/>
      <c r="C419" s="1"/>
      <c r="D419" s="1"/>
      <c r="E419" s="1"/>
      <c r="F419" s="1"/>
      <c r="G419" s="1"/>
      <c r="H419" s="1"/>
      <c r="I419" s="1"/>
      <c r="J419" s="1"/>
      <c r="K419" s="1"/>
      <c r="L419" s="1"/>
    </row>
    <row r="420" ht="15.75" customHeight="1">
      <c r="A420" s="36"/>
      <c r="B420" s="37"/>
      <c r="C420" s="1"/>
      <c r="D420" s="1"/>
      <c r="E420" s="1"/>
      <c r="F420" s="1"/>
      <c r="G420" s="1"/>
      <c r="H420" s="1"/>
      <c r="I420" s="1"/>
      <c r="J420" s="1"/>
      <c r="K420" s="1"/>
      <c r="L420" s="1"/>
    </row>
    <row r="421" ht="15.75" customHeight="1">
      <c r="A421" s="36"/>
      <c r="B421" s="37"/>
      <c r="C421" s="1"/>
      <c r="D421" s="1"/>
      <c r="E421" s="1"/>
      <c r="F421" s="1"/>
      <c r="G421" s="1"/>
      <c r="H421" s="1"/>
      <c r="I421" s="1"/>
      <c r="J421" s="1"/>
      <c r="K421" s="1"/>
      <c r="L421" s="1"/>
    </row>
    <row r="422" ht="15.75" customHeight="1">
      <c r="A422" s="36"/>
      <c r="B422" s="37"/>
      <c r="C422" s="1"/>
      <c r="D422" s="1"/>
      <c r="E422" s="1"/>
      <c r="F422" s="1"/>
      <c r="G422" s="1"/>
      <c r="H422" s="1"/>
      <c r="I422" s="1"/>
      <c r="J422" s="1"/>
      <c r="K422" s="1"/>
      <c r="L422" s="1"/>
    </row>
    <row r="423" ht="15.75" customHeight="1">
      <c r="A423" s="36"/>
      <c r="B423" s="37"/>
      <c r="C423" s="1"/>
      <c r="D423" s="1"/>
      <c r="E423" s="1"/>
      <c r="F423" s="1"/>
      <c r="G423" s="1"/>
      <c r="H423" s="1"/>
      <c r="I423" s="1"/>
      <c r="J423" s="1"/>
      <c r="K423" s="1"/>
      <c r="L423" s="1"/>
    </row>
    <row r="424" ht="15.75" customHeight="1">
      <c r="A424" s="36"/>
      <c r="B424" s="37"/>
      <c r="C424" s="1"/>
      <c r="D424" s="1"/>
      <c r="E424" s="1"/>
      <c r="F424" s="1"/>
      <c r="G424" s="1"/>
      <c r="H424" s="1"/>
      <c r="I424" s="1"/>
      <c r="J424" s="1"/>
      <c r="K424" s="1"/>
      <c r="L424" s="1"/>
    </row>
    <row r="425" ht="15.75" customHeight="1">
      <c r="A425" s="36"/>
      <c r="B425" s="37"/>
      <c r="C425" s="1"/>
      <c r="D425" s="1"/>
      <c r="E425" s="1"/>
      <c r="F425" s="1"/>
      <c r="G425" s="1"/>
      <c r="H425" s="1"/>
      <c r="I425" s="1"/>
      <c r="J425" s="1"/>
      <c r="K425" s="1"/>
      <c r="L425" s="1"/>
    </row>
    <row r="426" ht="15.75" customHeight="1">
      <c r="A426" s="36"/>
      <c r="B426" s="37"/>
      <c r="C426" s="1"/>
      <c r="D426" s="1"/>
      <c r="E426" s="1"/>
      <c r="F426" s="1"/>
      <c r="G426" s="1"/>
      <c r="H426" s="1"/>
      <c r="I426" s="1"/>
      <c r="J426" s="1"/>
      <c r="K426" s="1"/>
      <c r="L426" s="1"/>
    </row>
    <row r="427" ht="15.75" customHeight="1">
      <c r="A427" s="36"/>
      <c r="B427" s="37"/>
      <c r="C427" s="1"/>
      <c r="D427" s="1"/>
      <c r="E427" s="1"/>
      <c r="F427" s="1"/>
      <c r="G427" s="1"/>
      <c r="H427" s="1"/>
      <c r="I427" s="1"/>
      <c r="J427" s="1"/>
      <c r="K427" s="1"/>
      <c r="L427" s="1"/>
    </row>
    <row r="428" ht="15.75" customHeight="1">
      <c r="A428" s="36"/>
      <c r="B428" s="37"/>
      <c r="C428" s="1"/>
      <c r="D428" s="1"/>
      <c r="E428" s="1"/>
      <c r="F428" s="1"/>
      <c r="G428" s="1"/>
      <c r="H428" s="1"/>
      <c r="I428" s="1"/>
      <c r="J428" s="1"/>
      <c r="K428" s="1"/>
      <c r="L428" s="1"/>
    </row>
    <row r="429" ht="15.75" customHeight="1">
      <c r="A429" s="36"/>
      <c r="B429" s="37"/>
      <c r="C429" s="1"/>
      <c r="D429" s="1"/>
      <c r="E429" s="1"/>
      <c r="F429" s="1"/>
      <c r="G429" s="1"/>
      <c r="H429" s="1"/>
      <c r="I429" s="1"/>
      <c r="J429" s="1"/>
      <c r="K429" s="1"/>
      <c r="L429" s="1"/>
    </row>
    <row r="430" ht="15.75" customHeight="1">
      <c r="A430" s="36"/>
      <c r="B430" s="37"/>
      <c r="C430" s="1"/>
      <c r="D430" s="1"/>
      <c r="E430" s="1"/>
      <c r="F430" s="1"/>
      <c r="G430" s="1"/>
      <c r="H430" s="1"/>
      <c r="I430" s="1"/>
      <c r="J430" s="1"/>
      <c r="K430" s="1"/>
      <c r="L430" s="1"/>
    </row>
    <row r="431" ht="15.75" customHeight="1">
      <c r="A431" s="36"/>
      <c r="B431" s="37"/>
      <c r="C431" s="1"/>
      <c r="D431" s="1"/>
      <c r="E431" s="1"/>
      <c r="F431" s="1"/>
      <c r="G431" s="1"/>
      <c r="H431" s="1"/>
      <c r="I431" s="1"/>
      <c r="J431" s="1"/>
      <c r="K431" s="1"/>
      <c r="L431" s="1"/>
    </row>
    <row r="432" ht="15.75" customHeight="1">
      <c r="A432" s="36"/>
      <c r="B432" s="37"/>
      <c r="C432" s="1"/>
      <c r="D432" s="1"/>
      <c r="E432" s="1"/>
      <c r="F432" s="1"/>
      <c r="G432" s="1"/>
      <c r="H432" s="1"/>
      <c r="I432" s="1"/>
      <c r="J432" s="1"/>
      <c r="K432" s="1"/>
      <c r="L432" s="1"/>
    </row>
    <row r="433" ht="15.75" customHeight="1">
      <c r="A433" s="36"/>
      <c r="B433" s="37"/>
      <c r="C433" s="1"/>
      <c r="D433" s="1"/>
      <c r="E433" s="1"/>
      <c r="F433" s="1"/>
      <c r="G433" s="1"/>
      <c r="H433" s="1"/>
      <c r="I433" s="1"/>
      <c r="J433" s="1"/>
      <c r="K433" s="1"/>
      <c r="L433" s="1"/>
    </row>
    <row r="434" ht="15.75" customHeight="1">
      <c r="A434" s="36"/>
      <c r="B434" s="37"/>
      <c r="C434" s="1"/>
      <c r="D434" s="1"/>
      <c r="E434" s="1"/>
      <c r="F434" s="1"/>
      <c r="G434" s="1"/>
      <c r="H434" s="1"/>
      <c r="I434" s="1"/>
      <c r="J434" s="1"/>
      <c r="K434" s="1"/>
      <c r="L434" s="1"/>
    </row>
    <row r="435" ht="15.75" customHeight="1">
      <c r="A435" s="36"/>
      <c r="B435" s="37"/>
      <c r="C435" s="1"/>
      <c r="D435" s="1"/>
      <c r="E435" s="1"/>
      <c r="F435" s="1"/>
      <c r="G435" s="1"/>
      <c r="H435" s="1"/>
      <c r="I435" s="1"/>
      <c r="J435" s="1"/>
      <c r="K435" s="1"/>
      <c r="L435" s="1"/>
    </row>
    <row r="436" ht="15.75" customHeight="1">
      <c r="A436" s="36"/>
      <c r="B436" s="37"/>
      <c r="C436" s="1"/>
      <c r="D436" s="1"/>
      <c r="E436" s="1"/>
      <c r="F436" s="1"/>
      <c r="G436" s="1"/>
      <c r="H436" s="1"/>
      <c r="I436" s="1"/>
      <c r="J436" s="1"/>
      <c r="K436" s="1"/>
      <c r="L436" s="1"/>
    </row>
    <row r="437" ht="15.75" customHeight="1">
      <c r="A437" s="36"/>
      <c r="B437" s="37"/>
      <c r="C437" s="1"/>
      <c r="D437" s="1"/>
      <c r="E437" s="1"/>
      <c r="F437" s="1"/>
      <c r="G437" s="1"/>
      <c r="H437" s="1"/>
      <c r="I437" s="1"/>
      <c r="J437" s="1"/>
      <c r="K437" s="1"/>
      <c r="L437" s="1"/>
    </row>
    <row r="438" ht="15.75" customHeight="1">
      <c r="A438" s="36"/>
      <c r="B438" s="37"/>
      <c r="C438" s="1"/>
      <c r="D438" s="1"/>
      <c r="E438" s="1"/>
      <c r="F438" s="1"/>
      <c r="G438" s="1"/>
      <c r="H438" s="1"/>
      <c r="I438" s="1"/>
      <c r="J438" s="1"/>
      <c r="K438" s="1"/>
      <c r="L438" s="1"/>
    </row>
    <row r="439" ht="15.75" customHeight="1">
      <c r="A439" s="36"/>
      <c r="B439" s="37"/>
      <c r="C439" s="1"/>
      <c r="D439" s="1"/>
      <c r="E439" s="1"/>
      <c r="F439" s="1"/>
      <c r="G439" s="1"/>
      <c r="H439" s="1"/>
      <c r="I439" s="1"/>
      <c r="J439" s="1"/>
      <c r="K439" s="1"/>
      <c r="L439" s="1"/>
    </row>
    <row r="440" ht="15.75" customHeight="1">
      <c r="A440" s="36"/>
      <c r="B440" s="37"/>
      <c r="C440" s="1"/>
      <c r="D440" s="1"/>
      <c r="E440" s="1"/>
      <c r="F440" s="1"/>
      <c r="G440" s="1"/>
      <c r="H440" s="1"/>
      <c r="I440" s="1"/>
      <c r="J440" s="1"/>
      <c r="K440" s="1"/>
      <c r="L440" s="1"/>
    </row>
    <row r="441" ht="15.75" customHeight="1">
      <c r="A441" s="36"/>
      <c r="B441" s="37"/>
      <c r="C441" s="1"/>
      <c r="D441" s="1"/>
      <c r="E441" s="1"/>
      <c r="F441" s="1"/>
      <c r="G441" s="1"/>
      <c r="H441" s="1"/>
      <c r="I441" s="1"/>
      <c r="J441" s="1"/>
      <c r="K441" s="1"/>
      <c r="L441" s="1"/>
    </row>
    <row r="442" ht="15.75" customHeight="1">
      <c r="A442" s="36"/>
      <c r="B442" s="37"/>
      <c r="C442" s="1"/>
      <c r="D442" s="1"/>
      <c r="E442" s="1"/>
      <c r="F442" s="1"/>
      <c r="G442" s="1"/>
      <c r="H442" s="1"/>
      <c r="I442" s="1"/>
      <c r="J442" s="1"/>
      <c r="K442" s="1"/>
      <c r="L442" s="1"/>
    </row>
    <row r="443" ht="15.75" customHeight="1">
      <c r="A443" s="36"/>
      <c r="B443" s="37"/>
      <c r="C443" s="1"/>
      <c r="D443" s="1"/>
      <c r="E443" s="1"/>
      <c r="F443" s="1"/>
      <c r="G443" s="1"/>
      <c r="H443" s="1"/>
      <c r="I443" s="1"/>
      <c r="J443" s="1"/>
      <c r="K443" s="1"/>
      <c r="L443" s="1"/>
    </row>
    <row r="444" ht="15.75" customHeight="1">
      <c r="A444" s="36"/>
      <c r="B444" s="37"/>
      <c r="C444" s="1"/>
      <c r="D444" s="1"/>
      <c r="E444" s="1"/>
      <c r="F444" s="1"/>
      <c r="G444" s="1"/>
      <c r="H444" s="1"/>
      <c r="I444" s="1"/>
      <c r="J444" s="1"/>
      <c r="K444" s="1"/>
      <c r="L444" s="1"/>
    </row>
    <row r="445" ht="15.75" customHeight="1">
      <c r="A445" s="36"/>
      <c r="B445" s="37"/>
      <c r="C445" s="1"/>
      <c r="D445" s="1"/>
      <c r="E445" s="1"/>
      <c r="F445" s="1"/>
      <c r="G445" s="1"/>
      <c r="H445" s="1"/>
      <c r="I445" s="1"/>
      <c r="J445" s="1"/>
      <c r="K445" s="1"/>
      <c r="L445" s="1"/>
    </row>
    <row r="446" ht="15.75" customHeight="1">
      <c r="A446" s="36"/>
      <c r="B446" s="37"/>
      <c r="C446" s="1"/>
      <c r="D446" s="1"/>
      <c r="E446" s="1"/>
      <c r="F446" s="1"/>
      <c r="G446" s="1"/>
      <c r="H446" s="1"/>
      <c r="I446" s="1"/>
      <c r="J446" s="1"/>
      <c r="K446" s="1"/>
      <c r="L446" s="1"/>
    </row>
    <row r="447" ht="15.75" customHeight="1">
      <c r="A447" s="36"/>
      <c r="B447" s="37"/>
      <c r="C447" s="1"/>
      <c r="D447" s="1"/>
      <c r="E447" s="1"/>
      <c r="F447" s="1"/>
      <c r="G447" s="1"/>
      <c r="H447" s="1"/>
      <c r="I447" s="1"/>
      <c r="J447" s="1"/>
      <c r="K447" s="1"/>
      <c r="L447" s="1"/>
    </row>
    <row r="448" ht="15.75" customHeight="1">
      <c r="A448" s="36"/>
      <c r="B448" s="37"/>
      <c r="C448" s="1"/>
      <c r="D448" s="1"/>
      <c r="E448" s="1"/>
      <c r="F448" s="1"/>
      <c r="G448" s="1"/>
      <c r="H448" s="1"/>
      <c r="I448" s="1"/>
      <c r="J448" s="1"/>
      <c r="K448" s="1"/>
      <c r="L448" s="1"/>
    </row>
    <row r="449" ht="15.75" customHeight="1">
      <c r="A449" s="36"/>
      <c r="B449" s="37"/>
      <c r="C449" s="1"/>
      <c r="D449" s="1"/>
      <c r="E449" s="1"/>
      <c r="F449" s="1"/>
      <c r="G449" s="1"/>
      <c r="H449" s="1"/>
      <c r="I449" s="1"/>
      <c r="J449" s="1"/>
      <c r="K449" s="1"/>
      <c r="L449" s="1"/>
    </row>
    <row r="450" ht="15.75" customHeight="1">
      <c r="A450" s="36"/>
      <c r="B450" s="37"/>
      <c r="C450" s="1"/>
      <c r="D450" s="1"/>
      <c r="E450" s="1"/>
      <c r="F450" s="1"/>
      <c r="G450" s="1"/>
      <c r="H450" s="1"/>
      <c r="I450" s="1"/>
      <c r="J450" s="1"/>
      <c r="K450" s="1"/>
      <c r="L450" s="1"/>
    </row>
    <row r="451" ht="15.75" customHeight="1">
      <c r="A451" s="36"/>
      <c r="B451" s="37"/>
      <c r="C451" s="1"/>
      <c r="D451" s="1"/>
      <c r="E451" s="1"/>
      <c r="F451" s="1"/>
      <c r="G451" s="1"/>
      <c r="H451" s="1"/>
      <c r="I451" s="1"/>
      <c r="J451" s="1"/>
      <c r="K451" s="1"/>
      <c r="L451" s="1"/>
    </row>
    <row r="452" ht="15.75" customHeight="1">
      <c r="A452" s="36"/>
      <c r="B452" s="37"/>
      <c r="C452" s="1"/>
      <c r="D452" s="1"/>
      <c r="E452" s="1"/>
      <c r="F452" s="1"/>
      <c r="G452" s="1"/>
      <c r="H452" s="1"/>
      <c r="I452" s="1"/>
      <c r="J452" s="1"/>
      <c r="K452" s="1"/>
      <c r="L452" s="1"/>
    </row>
    <row r="453" ht="15.75" customHeight="1">
      <c r="A453" s="36"/>
      <c r="B453" s="37"/>
      <c r="C453" s="1"/>
      <c r="D453" s="1"/>
      <c r="E453" s="1"/>
      <c r="F453" s="1"/>
      <c r="G453" s="1"/>
      <c r="H453" s="1"/>
      <c r="I453" s="1"/>
      <c r="J453" s="1"/>
      <c r="K453" s="1"/>
      <c r="L453" s="1"/>
    </row>
    <row r="454" ht="15.75" customHeight="1">
      <c r="A454" s="36"/>
      <c r="B454" s="37"/>
      <c r="C454" s="1"/>
      <c r="D454" s="1"/>
      <c r="E454" s="1"/>
      <c r="F454" s="1"/>
      <c r="G454" s="1"/>
      <c r="H454" s="1"/>
      <c r="I454" s="1"/>
      <c r="J454" s="1"/>
      <c r="K454" s="1"/>
      <c r="L454" s="1"/>
    </row>
    <row r="455" ht="15.75" customHeight="1">
      <c r="A455" s="36"/>
      <c r="B455" s="37"/>
      <c r="C455" s="1"/>
      <c r="D455" s="1"/>
      <c r="E455" s="1"/>
      <c r="F455" s="1"/>
      <c r="G455" s="1"/>
      <c r="H455" s="1"/>
      <c r="I455" s="1"/>
      <c r="J455" s="1"/>
      <c r="K455" s="1"/>
      <c r="L455" s="1"/>
    </row>
    <row r="456" ht="15.75" customHeight="1">
      <c r="A456" s="36"/>
      <c r="B456" s="37"/>
      <c r="C456" s="1"/>
      <c r="D456" s="1"/>
      <c r="E456" s="1"/>
      <c r="F456" s="1"/>
      <c r="G456" s="1"/>
      <c r="H456" s="1"/>
      <c r="I456" s="1"/>
      <c r="J456" s="1"/>
      <c r="K456" s="1"/>
      <c r="L456" s="1"/>
    </row>
    <row r="457" ht="15.75" customHeight="1">
      <c r="A457" s="36"/>
      <c r="B457" s="37"/>
      <c r="C457" s="1"/>
      <c r="D457" s="1"/>
      <c r="E457" s="1"/>
      <c r="F457" s="1"/>
      <c r="G457" s="1"/>
      <c r="H457" s="1"/>
      <c r="I457" s="1"/>
      <c r="J457" s="1"/>
      <c r="K457" s="1"/>
      <c r="L457" s="1"/>
    </row>
    <row r="458" ht="15.75" customHeight="1">
      <c r="A458" s="36"/>
      <c r="B458" s="37"/>
      <c r="C458" s="1"/>
      <c r="D458" s="1"/>
      <c r="E458" s="1"/>
      <c r="F458" s="1"/>
      <c r="G458" s="1"/>
      <c r="H458" s="1"/>
      <c r="I458" s="1"/>
      <c r="J458" s="1"/>
      <c r="K458" s="1"/>
      <c r="L458" s="1"/>
    </row>
    <row r="459" ht="15.75" customHeight="1">
      <c r="A459" s="36"/>
      <c r="B459" s="37"/>
      <c r="C459" s="1"/>
      <c r="D459" s="1"/>
      <c r="E459" s="1"/>
      <c r="F459" s="1"/>
      <c r="G459" s="1"/>
      <c r="H459" s="1"/>
      <c r="I459" s="1"/>
      <c r="J459" s="1"/>
      <c r="K459" s="1"/>
      <c r="L459" s="1"/>
    </row>
    <row r="460" ht="15.75" customHeight="1">
      <c r="A460" s="36"/>
      <c r="B460" s="37"/>
      <c r="C460" s="1"/>
      <c r="D460" s="1"/>
      <c r="E460" s="1"/>
      <c r="F460" s="1"/>
      <c r="G460" s="1"/>
      <c r="H460" s="1"/>
      <c r="I460" s="1"/>
      <c r="J460" s="1"/>
      <c r="K460" s="1"/>
      <c r="L460" s="1"/>
    </row>
    <row r="461" ht="15.75" customHeight="1">
      <c r="A461" s="36"/>
      <c r="B461" s="37"/>
      <c r="C461" s="1"/>
      <c r="D461" s="1"/>
      <c r="E461" s="1"/>
      <c r="F461" s="1"/>
      <c r="G461" s="1"/>
      <c r="H461" s="1"/>
      <c r="I461" s="1"/>
      <c r="J461" s="1"/>
      <c r="K461" s="1"/>
      <c r="L461" s="1"/>
    </row>
    <row r="462" ht="15.75" customHeight="1">
      <c r="A462" s="36"/>
      <c r="B462" s="37"/>
      <c r="C462" s="1"/>
      <c r="D462" s="1"/>
      <c r="E462" s="1"/>
      <c r="F462" s="1"/>
      <c r="G462" s="1"/>
      <c r="H462" s="1"/>
      <c r="I462" s="1"/>
      <c r="J462" s="1"/>
      <c r="K462" s="1"/>
      <c r="L462" s="1"/>
    </row>
    <row r="463" ht="15.75" customHeight="1">
      <c r="A463" s="36"/>
      <c r="B463" s="37"/>
      <c r="C463" s="1"/>
      <c r="D463" s="1"/>
      <c r="E463" s="1"/>
      <c r="F463" s="1"/>
      <c r="G463" s="1"/>
      <c r="H463" s="1"/>
      <c r="I463" s="1"/>
      <c r="J463" s="1"/>
      <c r="K463" s="1"/>
      <c r="L463" s="1"/>
    </row>
    <row r="464" ht="15.75" customHeight="1">
      <c r="A464" s="36"/>
      <c r="B464" s="37"/>
      <c r="C464" s="1"/>
      <c r="D464" s="1"/>
      <c r="E464" s="1"/>
      <c r="F464" s="1"/>
      <c r="G464" s="1"/>
      <c r="H464" s="1"/>
      <c r="I464" s="1"/>
      <c r="J464" s="1"/>
      <c r="K464" s="1"/>
      <c r="L464" s="1"/>
    </row>
    <row r="465" ht="15.75" customHeight="1">
      <c r="A465" s="36"/>
      <c r="B465" s="37"/>
      <c r="C465" s="1"/>
      <c r="D465" s="1"/>
      <c r="E465" s="1"/>
      <c r="F465" s="1"/>
      <c r="G465" s="1"/>
      <c r="H465" s="1"/>
      <c r="I465" s="1"/>
      <c r="J465" s="1"/>
      <c r="K465" s="1"/>
      <c r="L465" s="1"/>
    </row>
    <row r="466" ht="15.75" customHeight="1">
      <c r="A466" s="36"/>
      <c r="B466" s="37"/>
      <c r="C466" s="1"/>
      <c r="D466" s="1"/>
      <c r="E466" s="1"/>
      <c r="F466" s="1"/>
      <c r="G466" s="1"/>
      <c r="H466" s="1"/>
      <c r="I466" s="1"/>
      <c r="J466" s="1"/>
      <c r="K466" s="1"/>
      <c r="L466" s="1"/>
    </row>
    <row r="467" ht="15.75" customHeight="1">
      <c r="A467" s="36"/>
      <c r="B467" s="37"/>
      <c r="C467" s="1"/>
      <c r="D467" s="1"/>
      <c r="E467" s="1"/>
      <c r="F467" s="1"/>
      <c r="G467" s="1"/>
      <c r="H467" s="1"/>
      <c r="I467" s="1"/>
      <c r="J467" s="1"/>
      <c r="K467" s="1"/>
      <c r="L467" s="1"/>
    </row>
    <row r="468" ht="15.75" customHeight="1">
      <c r="A468" s="36"/>
      <c r="B468" s="37"/>
      <c r="C468" s="1"/>
      <c r="D468" s="1"/>
      <c r="E468" s="1"/>
      <c r="F468" s="1"/>
      <c r="G468" s="1"/>
      <c r="H468" s="1"/>
      <c r="I468" s="1"/>
      <c r="J468" s="1"/>
      <c r="K468" s="1"/>
      <c r="L468" s="1"/>
    </row>
    <row r="469" ht="15.75" customHeight="1">
      <c r="A469" s="36"/>
      <c r="B469" s="37"/>
      <c r="C469" s="1"/>
      <c r="D469" s="1"/>
      <c r="E469" s="1"/>
      <c r="F469" s="1"/>
      <c r="G469" s="1"/>
      <c r="H469" s="1"/>
      <c r="I469" s="1"/>
      <c r="J469" s="1"/>
      <c r="K469" s="1"/>
      <c r="L469" s="1"/>
    </row>
    <row r="470" ht="15.75" customHeight="1">
      <c r="A470" s="36"/>
      <c r="B470" s="37"/>
      <c r="C470" s="1"/>
      <c r="D470" s="1"/>
      <c r="E470" s="1"/>
      <c r="F470" s="1"/>
      <c r="G470" s="1"/>
      <c r="H470" s="1"/>
      <c r="I470" s="1"/>
      <c r="J470" s="1"/>
      <c r="K470" s="1"/>
      <c r="L470" s="1"/>
    </row>
    <row r="471" ht="15.75" customHeight="1">
      <c r="A471" s="36"/>
      <c r="B471" s="37"/>
      <c r="C471" s="1"/>
      <c r="D471" s="1"/>
      <c r="E471" s="1"/>
      <c r="F471" s="1"/>
      <c r="G471" s="1"/>
      <c r="H471" s="1"/>
      <c r="I471" s="1"/>
      <c r="J471" s="1"/>
      <c r="K471" s="1"/>
      <c r="L471" s="1"/>
    </row>
    <row r="472" ht="15.75" customHeight="1">
      <c r="A472" s="36"/>
      <c r="B472" s="37"/>
      <c r="C472" s="1"/>
      <c r="D472" s="1"/>
      <c r="E472" s="1"/>
      <c r="F472" s="1"/>
      <c r="G472" s="1"/>
      <c r="H472" s="1"/>
      <c r="I472" s="1"/>
      <c r="J472" s="1"/>
      <c r="K472" s="1"/>
      <c r="L472" s="1"/>
    </row>
    <row r="473" ht="15.75" customHeight="1">
      <c r="A473" s="36"/>
      <c r="B473" s="37"/>
      <c r="C473" s="1"/>
      <c r="D473" s="1"/>
      <c r="E473" s="1"/>
      <c r="F473" s="1"/>
      <c r="G473" s="1"/>
      <c r="H473" s="1"/>
      <c r="I473" s="1"/>
      <c r="J473" s="1"/>
      <c r="K473" s="1"/>
      <c r="L473" s="1"/>
    </row>
    <row r="474" ht="15.75" customHeight="1">
      <c r="A474" s="36"/>
      <c r="B474" s="37"/>
      <c r="C474" s="1"/>
      <c r="D474" s="1"/>
      <c r="E474" s="1"/>
      <c r="F474" s="1"/>
      <c r="G474" s="1"/>
      <c r="H474" s="1"/>
      <c r="I474" s="1"/>
      <c r="J474" s="1"/>
      <c r="K474" s="1"/>
      <c r="L474" s="1"/>
    </row>
    <row r="475" ht="15.75" customHeight="1">
      <c r="A475" s="36"/>
      <c r="B475" s="37"/>
      <c r="C475" s="1"/>
      <c r="D475" s="1"/>
      <c r="E475" s="1"/>
      <c r="F475" s="1"/>
      <c r="G475" s="1"/>
      <c r="H475" s="1"/>
      <c r="I475" s="1"/>
      <c r="J475" s="1"/>
      <c r="K475" s="1"/>
      <c r="L475" s="1"/>
    </row>
    <row r="476" ht="15.75" customHeight="1">
      <c r="A476" s="36"/>
      <c r="B476" s="37"/>
      <c r="C476" s="1"/>
      <c r="D476" s="1"/>
      <c r="E476" s="1"/>
      <c r="F476" s="1"/>
      <c r="G476" s="1"/>
      <c r="H476" s="1"/>
      <c r="I476" s="1"/>
      <c r="J476" s="1"/>
      <c r="K476" s="1"/>
      <c r="L476" s="1"/>
    </row>
    <row r="477" ht="15.75" customHeight="1">
      <c r="A477" s="36"/>
      <c r="B477" s="37"/>
      <c r="C477" s="1"/>
      <c r="D477" s="1"/>
      <c r="E477" s="1"/>
      <c r="F477" s="1"/>
      <c r="G477" s="1"/>
      <c r="H477" s="1"/>
      <c r="I477" s="1"/>
      <c r="J477" s="1"/>
      <c r="K477" s="1"/>
      <c r="L477" s="1"/>
    </row>
    <row r="478" ht="15.75" customHeight="1">
      <c r="A478" s="36"/>
      <c r="B478" s="37"/>
      <c r="C478" s="1"/>
      <c r="D478" s="1"/>
      <c r="E478" s="1"/>
      <c r="F478" s="1"/>
      <c r="G478" s="1"/>
      <c r="H478" s="1"/>
      <c r="I478" s="1"/>
      <c r="J478" s="1"/>
      <c r="K478" s="1"/>
      <c r="L478" s="1"/>
    </row>
    <row r="479" ht="15.75" customHeight="1">
      <c r="A479" s="36"/>
      <c r="B479" s="37"/>
      <c r="C479" s="1"/>
      <c r="D479" s="1"/>
      <c r="E479" s="1"/>
      <c r="F479" s="1"/>
      <c r="G479" s="1"/>
      <c r="H479" s="1"/>
      <c r="I479" s="1"/>
      <c r="J479" s="1"/>
      <c r="K479" s="1"/>
      <c r="L479" s="1"/>
    </row>
    <row r="480" ht="15.75" customHeight="1">
      <c r="A480" s="36"/>
      <c r="B480" s="37"/>
      <c r="C480" s="1"/>
      <c r="D480" s="1"/>
      <c r="E480" s="1"/>
      <c r="F480" s="1"/>
      <c r="G480" s="1"/>
      <c r="H480" s="1"/>
      <c r="I480" s="1"/>
      <c r="J480" s="1"/>
      <c r="K480" s="1"/>
      <c r="L480" s="1"/>
    </row>
    <row r="481" ht="15.75" customHeight="1">
      <c r="A481" s="36"/>
      <c r="B481" s="37"/>
      <c r="C481" s="1"/>
      <c r="D481" s="1"/>
      <c r="E481" s="1"/>
      <c r="F481" s="1"/>
      <c r="G481" s="1"/>
      <c r="H481" s="1"/>
      <c r="I481" s="1"/>
      <c r="J481" s="1"/>
      <c r="K481" s="1"/>
      <c r="L481" s="1"/>
    </row>
    <row r="482" ht="15.75" customHeight="1">
      <c r="A482" s="36"/>
      <c r="B482" s="37"/>
      <c r="C482" s="1"/>
      <c r="D482" s="1"/>
      <c r="E482" s="1"/>
      <c r="F482" s="1"/>
      <c r="G482" s="1"/>
      <c r="H482" s="1"/>
      <c r="I482" s="1"/>
      <c r="J482" s="1"/>
      <c r="K482" s="1"/>
      <c r="L482" s="1"/>
    </row>
    <row r="483" ht="15.75" customHeight="1">
      <c r="A483" s="36"/>
      <c r="B483" s="37"/>
      <c r="C483" s="1"/>
      <c r="D483" s="1"/>
      <c r="E483" s="1"/>
      <c r="F483" s="1"/>
      <c r="G483" s="1"/>
      <c r="H483" s="1"/>
      <c r="I483" s="1"/>
      <c r="J483" s="1"/>
      <c r="K483" s="1"/>
      <c r="L483" s="1"/>
    </row>
    <row r="484" ht="15.75" customHeight="1">
      <c r="A484" s="36"/>
      <c r="B484" s="37"/>
      <c r="C484" s="1"/>
      <c r="D484" s="1"/>
      <c r="E484" s="1"/>
      <c r="F484" s="1"/>
      <c r="G484" s="1"/>
      <c r="H484" s="1"/>
      <c r="I484" s="1"/>
      <c r="J484" s="1"/>
      <c r="K484" s="1"/>
      <c r="L484" s="1"/>
    </row>
    <row r="485" ht="15.75" customHeight="1">
      <c r="A485" s="36"/>
      <c r="B485" s="37"/>
      <c r="C485" s="1"/>
      <c r="D485" s="1"/>
      <c r="E485" s="1"/>
      <c r="F485" s="1"/>
      <c r="G485" s="1"/>
      <c r="H485" s="1"/>
      <c r="I485" s="1"/>
      <c r="J485" s="1"/>
      <c r="K485" s="1"/>
      <c r="L485" s="1"/>
    </row>
    <row r="486" ht="15.75" customHeight="1">
      <c r="A486" s="36"/>
      <c r="B486" s="37"/>
      <c r="C486" s="1"/>
      <c r="D486" s="1"/>
      <c r="E486" s="1"/>
      <c r="F486" s="1"/>
      <c r="G486" s="1"/>
      <c r="H486" s="1"/>
      <c r="I486" s="1"/>
      <c r="J486" s="1"/>
      <c r="K486" s="1"/>
      <c r="L486" s="1"/>
    </row>
    <row r="487" ht="15.75" customHeight="1">
      <c r="A487" s="36"/>
      <c r="B487" s="37"/>
      <c r="C487" s="1"/>
      <c r="D487" s="1"/>
      <c r="E487" s="1"/>
      <c r="F487" s="1"/>
      <c r="G487" s="1"/>
      <c r="H487" s="1"/>
      <c r="I487" s="1"/>
      <c r="J487" s="1"/>
      <c r="K487" s="1"/>
      <c r="L487" s="1"/>
    </row>
    <row r="488" ht="15.75" customHeight="1">
      <c r="A488" s="36"/>
      <c r="B488" s="37"/>
      <c r="C488" s="1"/>
      <c r="D488" s="1"/>
      <c r="E488" s="1"/>
      <c r="F488" s="1"/>
      <c r="G488" s="1"/>
      <c r="H488" s="1"/>
      <c r="I488" s="1"/>
      <c r="J488" s="1"/>
      <c r="K488" s="1"/>
      <c r="L488" s="1"/>
    </row>
    <row r="489" ht="15.75" customHeight="1">
      <c r="A489" s="36"/>
      <c r="B489" s="37"/>
      <c r="C489" s="1"/>
      <c r="D489" s="1"/>
      <c r="E489" s="1"/>
      <c r="F489" s="1"/>
      <c r="G489" s="1"/>
      <c r="H489" s="1"/>
      <c r="I489" s="1"/>
      <c r="J489" s="1"/>
      <c r="K489" s="1"/>
      <c r="L489" s="1"/>
    </row>
    <row r="490" ht="15.75" customHeight="1">
      <c r="A490" s="36"/>
      <c r="B490" s="37"/>
      <c r="C490" s="1"/>
      <c r="D490" s="1"/>
      <c r="E490" s="1"/>
      <c r="F490" s="1"/>
      <c r="G490" s="1"/>
      <c r="H490" s="1"/>
      <c r="I490" s="1"/>
      <c r="J490" s="1"/>
      <c r="K490" s="1"/>
      <c r="L490" s="1"/>
    </row>
    <row r="491" ht="15.75" customHeight="1">
      <c r="A491" s="36"/>
      <c r="B491" s="37"/>
      <c r="C491" s="1"/>
      <c r="D491" s="1"/>
      <c r="E491" s="1"/>
      <c r="F491" s="1"/>
      <c r="G491" s="1"/>
      <c r="H491" s="1"/>
      <c r="I491" s="1"/>
      <c r="J491" s="1"/>
      <c r="K491" s="1"/>
      <c r="L491" s="1"/>
    </row>
    <row r="492" ht="15.75" customHeight="1">
      <c r="A492" s="36"/>
      <c r="B492" s="37"/>
      <c r="C492" s="1"/>
      <c r="D492" s="1"/>
      <c r="E492" s="1"/>
      <c r="F492" s="1"/>
      <c r="G492" s="1"/>
      <c r="H492" s="1"/>
      <c r="I492" s="1"/>
      <c r="J492" s="1"/>
      <c r="K492" s="1"/>
      <c r="L492" s="1"/>
    </row>
    <row r="493" ht="15.75" customHeight="1">
      <c r="A493" s="36"/>
      <c r="B493" s="37"/>
      <c r="C493" s="1"/>
      <c r="D493" s="1"/>
      <c r="E493" s="1"/>
      <c r="F493" s="1"/>
      <c r="G493" s="1"/>
      <c r="H493" s="1"/>
      <c r="I493" s="1"/>
      <c r="J493" s="1"/>
      <c r="K493" s="1"/>
      <c r="L493" s="1"/>
    </row>
    <row r="494" ht="15.75" customHeight="1">
      <c r="A494" s="36"/>
      <c r="B494" s="37"/>
      <c r="C494" s="1"/>
      <c r="D494" s="1"/>
      <c r="E494" s="1"/>
      <c r="F494" s="1"/>
      <c r="G494" s="1"/>
      <c r="H494" s="1"/>
      <c r="I494" s="1"/>
      <c r="J494" s="1"/>
      <c r="K494" s="1"/>
      <c r="L494" s="1"/>
    </row>
    <row r="495" ht="15.75" customHeight="1">
      <c r="A495" s="36"/>
      <c r="B495" s="37"/>
      <c r="C495" s="1"/>
      <c r="D495" s="1"/>
      <c r="E495" s="1"/>
      <c r="F495" s="1"/>
      <c r="G495" s="1"/>
      <c r="H495" s="1"/>
      <c r="I495" s="1"/>
      <c r="J495" s="1"/>
      <c r="K495" s="1"/>
      <c r="L495" s="1"/>
    </row>
    <row r="496" ht="15.75" customHeight="1">
      <c r="A496" s="36"/>
      <c r="B496" s="37"/>
      <c r="C496" s="1"/>
      <c r="D496" s="1"/>
      <c r="E496" s="1"/>
      <c r="F496" s="1"/>
      <c r="G496" s="1"/>
      <c r="H496" s="1"/>
      <c r="I496" s="1"/>
      <c r="J496" s="1"/>
      <c r="K496" s="1"/>
      <c r="L496" s="1"/>
    </row>
    <row r="497" ht="15.75" customHeight="1">
      <c r="A497" s="36"/>
      <c r="B497" s="37"/>
      <c r="C497" s="1"/>
      <c r="D497" s="1"/>
      <c r="E497" s="1"/>
      <c r="F497" s="1"/>
      <c r="G497" s="1"/>
      <c r="H497" s="1"/>
      <c r="I497" s="1"/>
      <c r="J497" s="1"/>
      <c r="K497" s="1"/>
      <c r="L497" s="1"/>
    </row>
    <row r="498" ht="15.75" customHeight="1">
      <c r="A498" s="36"/>
      <c r="B498" s="37"/>
      <c r="C498" s="1"/>
      <c r="D498" s="1"/>
      <c r="E498" s="1"/>
      <c r="F498" s="1"/>
      <c r="G498" s="1"/>
      <c r="H498" s="1"/>
      <c r="I498" s="1"/>
      <c r="J498" s="1"/>
      <c r="K498" s="1"/>
      <c r="L498" s="1"/>
    </row>
    <row r="499" ht="15.75" customHeight="1">
      <c r="A499" s="36"/>
      <c r="B499" s="37"/>
      <c r="C499" s="1"/>
      <c r="D499" s="1"/>
      <c r="E499" s="1"/>
      <c r="F499" s="1"/>
      <c r="G499" s="1"/>
      <c r="H499" s="1"/>
      <c r="I499" s="1"/>
      <c r="J499" s="1"/>
      <c r="K499" s="1"/>
      <c r="L499" s="1"/>
    </row>
    <row r="500" ht="15.75" customHeight="1">
      <c r="A500" s="36"/>
      <c r="B500" s="37"/>
      <c r="C500" s="1"/>
      <c r="D500" s="1"/>
      <c r="E500" s="1"/>
      <c r="F500" s="1"/>
      <c r="G500" s="1"/>
      <c r="H500" s="1"/>
      <c r="I500" s="1"/>
      <c r="J500" s="1"/>
      <c r="K500" s="1"/>
      <c r="L500" s="1"/>
    </row>
    <row r="501" ht="15.75" customHeight="1">
      <c r="A501" s="36"/>
      <c r="B501" s="37"/>
      <c r="C501" s="1"/>
      <c r="D501" s="1"/>
      <c r="E501" s="1"/>
      <c r="F501" s="1"/>
      <c r="G501" s="1"/>
      <c r="H501" s="1"/>
      <c r="I501" s="1"/>
      <c r="J501" s="1"/>
      <c r="K501" s="1"/>
      <c r="L501" s="1"/>
    </row>
    <row r="502" ht="15.75" customHeight="1">
      <c r="A502" s="36"/>
      <c r="B502" s="37"/>
      <c r="C502" s="1"/>
      <c r="D502" s="1"/>
      <c r="E502" s="1"/>
      <c r="F502" s="1"/>
      <c r="G502" s="1"/>
      <c r="H502" s="1"/>
      <c r="I502" s="1"/>
      <c r="J502" s="1"/>
      <c r="K502" s="1"/>
      <c r="L502" s="1"/>
    </row>
    <row r="503" ht="15.75" customHeight="1">
      <c r="A503" s="36"/>
      <c r="B503" s="37"/>
      <c r="C503" s="1"/>
      <c r="D503" s="1"/>
      <c r="E503" s="1"/>
      <c r="F503" s="1"/>
      <c r="G503" s="1"/>
      <c r="H503" s="1"/>
      <c r="I503" s="1"/>
      <c r="J503" s="1"/>
      <c r="K503" s="1"/>
      <c r="L503" s="1"/>
    </row>
    <row r="504" ht="15.75" customHeight="1">
      <c r="A504" s="36"/>
      <c r="B504" s="37"/>
      <c r="C504" s="1"/>
      <c r="D504" s="1"/>
      <c r="E504" s="1"/>
      <c r="F504" s="1"/>
      <c r="G504" s="1"/>
      <c r="H504" s="1"/>
      <c r="I504" s="1"/>
      <c r="J504" s="1"/>
      <c r="K504" s="1"/>
      <c r="L504" s="1"/>
    </row>
    <row r="505" ht="15.75" customHeight="1">
      <c r="A505" s="36"/>
      <c r="B505" s="37"/>
      <c r="C505" s="1"/>
      <c r="D505" s="1"/>
      <c r="E505" s="1"/>
      <c r="F505" s="1"/>
      <c r="G505" s="1"/>
      <c r="H505" s="1"/>
      <c r="I505" s="1"/>
      <c r="J505" s="1"/>
      <c r="K505" s="1"/>
      <c r="L505" s="1"/>
    </row>
    <row r="506" ht="15.75" customHeight="1">
      <c r="A506" s="36"/>
      <c r="B506" s="37"/>
      <c r="C506" s="1"/>
      <c r="D506" s="1"/>
      <c r="E506" s="1"/>
      <c r="F506" s="1"/>
      <c r="G506" s="1"/>
      <c r="H506" s="1"/>
      <c r="I506" s="1"/>
      <c r="J506" s="1"/>
      <c r="K506" s="1"/>
      <c r="L506" s="1"/>
    </row>
    <row r="507" ht="15.75" customHeight="1">
      <c r="A507" s="36"/>
      <c r="B507" s="37"/>
      <c r="C507" s="1"/>
      <c r="D507" s="1"/>
      <c r="E507" s="1"/>
      <c r="F507" s="1"/>
      <c r="G507" s="1"/>
      <c r="H507" s="1"/>
      <c r="I507" s="1"/>
      <c r="J507" s="1"/>
      <c r="K507" s="1"/>
      <c r="L507" s="1"/>
    </row>
    <row r="508" ht="15.75" customHeight="1">
      <c r="A508" s="36"/>
      <c r="B508" s="37"/>
      <c r="C508" s="1"/>
      <c r="D508" s="1"/>
      <c r="E508" s="1"/>
      <c r="F508" s="1"/>
      <c r="G508" s="1"/>
      <c r="H508" s="1"/>
      <c r="I508" s="1"/>
      <c r="J508" s="1"/>
      <c r="K508" s="1"/>
      <c r="L508" s="1"/>
    </row>
    <row r="509" ht="15.75" customHeight="1">
      <c r="A509" s="36"/>
      <c r="B509" s="37"/>
      <c r="C509" s="1"/>
      <c r="D509" s="1"/>
      <c r="E509" s="1"/>
      <c r="F509" s="1"/>
      <c r="G509" s="1"/>
      <c r="H509" s="1"/>
      <c r="I509" s="1"/>
      <c r="J509" s="1"/>
      <c r="K509" s="1"/>
      <c r="L509" s="1"/>
    </row>
    <row r="510" ht="15.75" customHeight="1">
      <c r="A510" s="36"/>
      <c r="B510" s="37"/>
      <c r="C510" s="1"/>
      <c r="D510" s="1"/>
      <c r="E510" s="1"/>
      <c r="F510" s="1"/>
      <c r="G510" s="1"/>
      <c r="H510" s="1"/>
      <c r="I510" s="1"/>
      <c r="J510" s="1"/>
      <c r="K510" s="1"/>
      <c r="L510" s="1"/>
    </row>
    <row r="511" ht="15.75" customHeight="1">
      <c r="A511" s="36"/>
      <c r="B511" s="37"/>
      <c r="C511" s="1"/>
      <c r="D511" s="1"/>
      <c r="E511" s="1"/>
      <c r="F511" s="1"/>
      <c r="G511" s="1"/>
      <c r="H511" s="1"/>
      <c r="I511" s="1"/>
      <c r="J511" s="1"/>
      <c r="K511" s="1"/>
      <c r="L511" s="1"/>
    </row>
    <row r="512" ht="15.75" customHeight="1">
      <c r="A512" s="36"/>
      <c r="B512" s="37"/>
      <c r="C512" s="1"/>
      <c r="D512" s="1"/>
      <c r="E512" s="1"/>
      <c r="F512" s="1"/>
      <c r="G512" s="1"/>
      <c r="H512" s="1"/>
      <c r="I512" s="1"/>
      <c r="J512" s="1"/>
      <c r="K512" s="1"/>
      <c r="L512" s="1"/>
    </row>
    <row r="513" ht="15.75" customHeight="1">
      <c r="A513" s="36"/>
      <c r="B513" s="37"/>
      <c r="C513" s="1"/>
      <c r="D513" s="1"/>
      <c r="E513" s="1"/>
      <c r="F513" s="1"/>
      <c r="G513" s="1"/>
      <c r="H513" s="1"/>
      <c r="I513" s="1"/>
      <c r="J513" s="1"/>
      <c r="K513" s="1"/>
      <c r="L513" s="1"/>
    </row>
    <row r="514" ht="15.75" customHeight="1">
      <c r="A514" s="36"/>
      <c r="B514" s="37"/>
      <c r="C514" s="1"/>
      <c r="D514" s="1"/>
      <c r="E514" s="1"/>
      <c r="F514" s="1"/>
      <c r="G514" s="1"/>
      <c r="H514" s="1"/>
      <c r="I514" s="1"/>
      <c r="J514" s="1"/>
      <c r="K514" s="1"/>
      <c r="L514" s="1"/>
    </row>
    <row r="515" ht="15.75" customHeight="1">
      <c r="A515" s="36"/>
      <c r="B515" s="37"/>
      <c r="C515" s="1"/>
      <c r="D515" s="1"/>
      <c r="E515" s="1"/>
      <c r="F515" s="1"/>
      <c r="G515" s="1"/>
      <c r="H515" s="1"/>
      <c r="I515" s="1"/>
      <c r="J515" s="1"/>
      <c r="K515" s="1"/>
      <c r="L515" s="1"/>
    </row>
    <row r="516" ht="15.75" customHeight="1">
      <c r="A516" s="36"/>
      <c r="B516" s="37"/>
      <c r="C516" s="1"/>
      <c r="D516" s="1"/>
      <c r="E516" s="1"/>
      <c r="F516" s="1"/>
      <c r="G516" s="1"/>
      <c r="H516" s="1"/>
      <c r="I516" s="1"/>
      <c r="J516" s="1"/>
      <c r="K516" s="1"/>
      <c r="L516" s="1"/>
    </row>
    <row r="517" ht="15.75" customHeight="1">
      <c r="A517" s="36"/>
      <c r="B517" s="37"/>
      <c r="C517" s="1"/>
      <c r="D517" s="1"/>
      <c r="E517" s="1"/>
      <c r="F517" s="1"/>
      <c r="G517" s="1"/>
      <c r="H517" s="1"/>
      <c r="I517" s="1"/>
      <c r="J517" s="1"/>
      <c r="K517" s="1"/>
      <c r="L517" s="1"/>
    </row>
    <row r="518" ht="15.75" customHeight="1">
      <c r="A518" s="36"/>
      <c r="B518" s="37"/>
      <c r="C518" s="1"/>
      <c r="D518" s="1"/>
      <c r="E518" s="1"/>
      <c r="F518" s="1"/>
      <c r="G518" s="1"/>
      <c r="H518" s="1"/>
      <c r="I518" s="1"/>
      <c r="J518" s="1"/>
      <c r="K518" s="1"/>
      <c r="L518" s="1"/>
    </row>
    <row r="519" ht="15.75" customHeight="1">
      <c r="A519" s="36"/>
      <c r="B519" s="37"/>
      <c r="C519" s="1"/>
      <c r="D519" s="1"/>
      <c r="E519" s="1"/>
      <c r="F519" s="1"/>
      <c r="G519" s="1"/>
      <c r="H519" s="1"/>
      <c r="I519" s="1"/>
      <c r="J519" s="1"/>
      <c r="K519" s="1"/>
      <c r="L519" s="1"/>
    </row>
    <row r="520" ht="15.75" customHeight="1">
      <c r="A520" s="36"/>
      <c r="B520" s="37"/>
      <c r="C520" s="1"/>
      <c r="D520" s="1"/>
      <c r="E520" s="1"/>
      <c r="F520" s="1"/>
      <c r="G520" s="1"/>
      <c r="H520" s="1"/>
      <c r="I520" s="1"/>
      <c r="J520" s="1"/>
      <c r="K520" s="1"/>
      <c r="L520" s="1"/>
    </row>
    <row r="521" ht="15.75" customHeight="1">
      <c r="A521" s="36"/>
      <c r="B521" s="37"/>
      <c r="C521" s="1"/>
      <c r="D521" s="1"/>
      <c r="E521" s="1"/>
      <c r="F521" s="1"/>
      <c r="G521" s="1"/>
      <c r="H521" s="1"/>
      <c r="I521" s="1"/>
      <c r="J521" s="1"/>
      <c r="K521" s="1"/>
      <c r="L521" s="1"/>
    </row>
    <row r="522" ht="15.75" customHeight="1">
      <c r="A522" s="36"/>
      <c r="B522" s="37"/>
      <c r="C522" s="1"/>
      <c r="D522" s="1"/>
      <c r="E522" s="1"/>
      <c r="F522" s="1"/>
      <c r="G522" s="1"/>
      <c r="H522" s="1"/>
      <c r="I522" s="1"/>
      <c r="J522" s="1"/>
      <c r="K522" s="1"/>
      <c r="L522" s="1"/>
    </row>
    <row r="523" ht="15.75" customHeight="1">
      <c r="A523" s="36"/>
      <c r="B523" s="37"/>
      <c r="C523" s="1"/>
      <c r="D523" s="1"/>
      <c r="E523" s="1"/>
      <c r="F523" s="1"/>
      <c r="G523" s="1"/>
      <c r="H523" s="1"/>
      <c r="I523" s="1"/>
      <c r="J523" s="1"/>
      <c r="K523" s="1"/>
      <c r="L523" s="1"/>
    </row>
    <row r="524" ht="15.75" customHeight="1">
      <c r="A524" s="36"/>
      <c r="B524" s="37"/>
      <c r="C524" s="1"/>
      <c r="D524" s="1"/>
      <c r="E524" s="1"/>
      <c r="F524" s="1"/>
      <c r="G524" s="1"/>
      <c r="H524" s="1"/>
      <c r="I524" s="1"/>
      <c r="J524" s="1"/>
      <c r="K524" s="1"/>
      <c r="L524" s="1"/>
    </row>
    <row r="525" ht="15.75" customHeight="1">
      <c r="A525" s="36"/>
      <c r="B525" s="37"/>
      <c r="C525" s="1"/>
      <c r="D525" s="1"/>
      <c r="E525" s="1"/>
      <c r="F525" s="1"/>
      <c r="G525" s="1"/>
      <c r="H525" s="1"/>
      <c r="I525" s="1"/>
      <c r="J525" s="1"/>
      <c r="K525" s="1"/>
      <c r="L525" s="1"/>
    </row>
    <row r="526" ht="15.75" customHeight="1">
      <c r="A526" s="36"/>
      <c r="B526" s="37"/>
      <c r="C526" s="1"/>
      <c r="D526" s="1"/>
      <c r="E526" s="1"/>
      <c r="F526" s="1"/>
      <c r="G526" s="1"/>
      <c r="H526" s="1"/>
      <c r="I526" s="1"/>
      <c r="J526" s="1"/>
      <c r="K526" s="1"/>
      <c r="L526" s="1"/>
    </row>
    <row r="527" ht="15.75" customHeight="1">
      <c r="A527" s="36"/>
      <c r="B527" s="37"/>
      <c r="C527" s="1"/>
      <c r="D527" s="1"/>
      <c r="E527" s="1"/>
      <c r="F527" s="1"/>
      <c r="G527" s="1"/>
      <c r="H527" s="1"/>
      <c r="I527" s="1"/>
      <c r="J527" s="1"/>
      <c r="K527" s="1"/>
      <c r="L527" s="1"/>
    </row>
    <row r="528" ht="15.75" customHeight="1">
      <c r="A528" s="36"/>
      <c r="B528" s="37"/>
      <c r="C528" s="1"/>
      <c r="D528" s="1"/>
      <c r="E528" s="1"/>
      <c r="F528" s="1"/>
      <c r="G528" s="1"/>
      <c r="H528" s="1"/>
      <c r="I528" s="1"/>
      <c r="J528" s="1"/>
      <c r="K528" s="1"/>
      <c r="L528" s="1"/>
    </row>
    <row r="529" ht="15.75" customHeight="1">
      <c r="A529" s="36"/>
      <c r="B529" s="37"/>
      <c r="C529" s="1"/>
      <c r="D529" s="1"/>
      <c r="E529" s="1"/>
      <c r="F529" s="1"/>
      <c r="G529" s="1"/>
      <c r="H529" s="1"/>
      <c r="I529" s="1"/>
      <c r="J529" s="1"/>
      <c r="K529" s="1"/>
      <c r="L529" s="1"/>
    </row>
    <row r="530" ht="15.75" customHeight="1">
      <c r="A530" s="36"/>
      <c r="B530" s="37"/>
      <c r="C530" s="1"/>
      <c r="D530" s="1"/>
      <c r="E530" s="1"/>
      <c r="F530" s="1"/>
      <c r="G530" s="1"/>
      <c r="H530" s="1"/>
      <c r="I530" s="1"/>
      <c r="J530" s="1"/>
      <c r="K530" s="1"/>
      <c r="L530" s="1"/>
    </row>
    <row r="531" ht="15.75" customHeight="1">
      <c r="A531" s="36"/>
      <c r="B531" s="37"/>
      <c r="C531" s="1"/>
      <c r="D531" s="1"/>
      <c r="E531" s="1"/>
      <c r="F531" s="1"/>
      <c r="G531" s="1"/>
      <c r="H531" s="1"/>
      <c r="I531" s="1"/>
      <c r="J531" s="1"/>
      <c r="K531" s="1"/>
      <c r="L531" s="1"/>
    </row>
    <row r="532" ht="15.75" customHeight="1">
      <c r="A532" s="36"/>
      <c r="B532" s="37"/>
      <c r="C532" s="1"/>
      <c r="D532" s="1"/>
      <c r="E532" s="1"/>
      <c r="F532" s="1"/>
      <c r="G532" s="1"/>
      <c r="H532" s="1"/>
      <c r="I532" s="1"/>
      <c r="J532" s="1"/>
      <c r="K532" s="1"/>
      <c r="L532" s="1"/>
    </row>
    <row r="533" ht="15.75" customHeight="1">
      <c r="A533" s="36"/>
      <c r="B533" s="37"/>
      <c r="C533" s="1"/>
      <c r="D533" s="1"/>
      <c r="E533" s="1"/>
      <c r="F533" s="1"/>
      <c r="G533" s="1"/>
      <c r="H533" s="1"/>
      <c r="I533" s="1"/>
      <c r="J533" s="1"/>
      <c r="K533" s="1"/>
      <c r="L533" s="1"/>
    </row>
    <row r="534" ht="15.75" customHeight="1">
      <c r="A534" s="36"/>
      <c r="B534" s="37"/>
      <c r="C534" s="1"/>
      <c r="D534" s="1"/>
      <c r="E534" s="1"/>
      <c r="F534" s="1"/>
      <c r="G534" s="1"/>
      <c r="H534" s="1"/>
      <c r="I534" s="1"/>
      <c r="J534" s="1"/>
      <c r="K534" s="1"/>
      <c r="L534" s="1"/>
    </row>
    <row r="535" ht="15.75" customHeight="1">
      <c r="A535" s="36"/>
      <c r="B535" s="37"/>
      <c r="C535" s="1"/>
      <c r="D535" s="1"/>
      <c r="E535" s="1"/>
      <c r="F535" s="1"/>
      <c r="G535" s="1"/>
      <c r="H535" s="1"/>
      <c r="I535" s="1"/>
      <c r="J535" s="1"/>
      <c r="K535" s="1"/>
      <c r="L535" s="1"/>
    </row>
    <row r="536" ht="15.75" customHeight="1">
      <c r="A536" s="36"/>
      <c r="B536" s="37"/>
      <c r="C536" s="1"/>
      <c r="D536" s="1"/>
      <c r="E536" s="1"/>
      <c r="F536" s="1"/>
      <c r="G536" s="1"/>
      <c r="H536" s="1"/>
      <c r="I536" s="1"/>
      <c r="J536" s="1"/>
      <c r="K536" s="1"/>
      <c r="L536" s="1"/>
    </row>
    <row r="537" ht="15.75" customHeight="1">
      <c r="A537" s="36"/>
      <c r="B537" s="37"/>
      <c r="C537" s="1"/>
      <c r="D537" s="1"/>
      <c r="E537" s="1"/>
      <c r="F537" s="1"/>
      <c r="G537" s="1"/>
      <c r="H537" s="1"/>
      <c r="I537" s="1"/>
      <c r="J537" s="1"/>
      <c r="K537" s="1"/>
      <c r="L537" s="1"/>
    </row>
    <row r="538" ht="15.75" customHeight="1">
      <c r="A538" s="36"/>
      <c r="B538" s="37"/>
      <c r="C538" s="1"/>
      <c r="D538" s="1"/>
      <c r="E538" s="1"/>
      <c r="F538" s="1"/>
      <c r="G538" s="1"/>
      <c r="H538" s="1"/>
      <c r="I538" s="1"/>
      <c r="J538" s="1"/>
      <c r="K538" s="1"/>
      <c r="L538" s="1"/>
    </row>
    <row r="539" ht="15.75" customHeight="1">
      <c r="A539" s="36"/>
      <c r="B539" s="37"/>
      <c r="C539" s="1"/>
      <c r="D539" s="1"/>
      <c r="E539" s="1"/>
      <c r="F539" s="1"/>
      <c r="G539" s="1"/>
      <c r="H539" s="1"/>
      <c r="I539" s="1"/>
      <c r="J539" s="1"/>
      <c r="K539" s="1"/>
      <c r="L539" s="1"/>
    </row>
    <row r="540" ht="15.75" customHeight="1">
      <c r="A540" s="36"/>
      <c r="B540" s="37"/>
      <c r="C540" s="1"/>
      <c r="D540" s="1"/>
      <c r="E540" s="1"/>
      <c r="F540" s="1"/>
      <c r="G540" s="1"/>
      <c r="H540" s="1"/>
      <c r="I540" s="1"/>
      <c r="J540" s="1"/>
      <c r="K540" s="1"/>
      <c r="L540" s="1"/>
    </row>
    <row r="541" ht="15.75" customHeight="1">
      <c r="A541" s="36"/>
      <c r="B541" s="37"/>
      <c r="C541" s="1"/>
      <c r="D541" s="1"/>
      <c r="E541" s="1"/>
      <c r="F541" s="1"/>
      <c r="G541" s="1"/>
      <c r="H541" s="1"/>
      <c r="I541" s="1"/>
      <c r="J541" s="1"/>
      <c r="K541" s="1"/>
      <c r="L541" s="1"/>
    </row>
    <row r="542" ht="15.75" customHeight="1">
      <c r="A542" s="36"/>
      <c r="B542" s="37"/>
      <c r="C542" s="1"/>
      <c r="D542" s="1"/>
      <c r="E542" s="1"/>
      <c r="F542" s="1"/>
      <c r="G542" s="1"/>
      <c r="H542" s="1"/>
      <c r="I542" s="1"/>
      <c r="J542" s="1"/>
      <c r="K542" s="1"/>
      <c r="L542" s="1"/>
    </row>
    <row r="543" ht="15.75" customHeight="1">
      <c r="A543" s="36"/>
      <c r="B543" s="37"/>
      <c r="C543" s="1"/>
      <c r="D543" s="1"/>
      <c r="E543" s="1"/>
      <c r="F543" s="1"/>
      <c r="G543" s="1"/>
      <c r="H543" s="1"/>
      <c r="I543" s="1"/>
      <c r="J543" s="1"/>
      <c r="K543" s="1"/>
      <c r="L543" s="1"/>
    </row>
    <row r="544" ht="15.75" customHeight="1">
      <c r="A544" s="36"/>
      <c r="B544" s="37"/>
      <c r="C544" s="1"/>
      <c r="D544" s="1"/>
      <c r="E544" s="1"/>
      <c r="F544" s="1"/>
      <c r="G544" s="1"/>
      <c r="H544" s="1"/>
      <c r="I544" s="1"/>
      <c r="J544" s="1"/>
      <c r="K544" s="1"/>
      <c r="L544" s="1"/>
    </row>
    <row r="545" ht="15.75" customHeight="1">
      <c r="A545" s="36"/>
      <c r="B545" s="37"/>
      <c r="C545" s="1"/>
      <c r="D545" s="1"/>
      <c r="E545" s="1"/>
      <c r="F545" s="1"/>
      <c r="G545" s="1"/>
      <c r="H545" s="1"/>
      <c r="I545" s="1"/>
      <c r="J545" s="1"/>
      <c r="K545" s="1"/>
      <c r="L545" s="1"/>
    </row>
    <row r="546" ht="15.75" customHeight="1">
      <c r="A546" s="36"/>
      <c r="B546" s="37"/>
      <c r="C546" s="1"/>
      <c r="D546" s="1"/>
      <c r="E546" s="1"/>
      <c r="F546" s="1"/>
      <c r="G546" s="1"/>
      <c r="H546" s="1"/>
      <c r="I546" s="1"/>
      <c r="J546" s="1"/>
      <c r="K546" s="1"/>
      <c r="L546" s="1"/>
    </row>
    <row r="547" ht="15.75" customHeight="1">
      <c r="A547" s="36"/>
      <c r="B547" s="37"/>
      <c r="C547" s="1"/>
      <c r="D547" s="1"/>
      <c r="E547" s="1"/>
      <c r="F547" s="1"/>
      <c r="G547" s="1"/>
      <c r="H547" s="1"/>
      <c r="I547" s="1"/>
      <c r="J547" s="1"/>
      <c r="K547" s="1"/>
      <c r="L547" s="1"/>
    </row>
    <row r="548" ht="15.75" customHeight="1">
      <c r="A548" s="36"/>
      <c r="B548" s="37"/>
      <c r="C548" s="1"/>
      <c r="D548" s="1"/>
      <c r="E548" s="1"/>
      <c r="F548" s="1"/>
      <c r="G548" s="1"/>
      <c r="H548" s="1"/>
      <c r="I548" s="1"/>
      <c r="J548" s="1"/>
      <c r="K548" s="1"/>
      <c r="L548" s="1"/>
    </row>
    <row r="549" ht="15.75" customHeight="1">
      <c r="A549" s="36"/>
      <c r="B549" s="37"/>
      <c r="C549" s="1"/>
      <c r="D549" s="1"/>
      <c r="E549" s="1"/>
      <c r="F549" s="1"/>
      <c r="G549" s="1"/>
      <c r="H549" s="1"/>
      <c r="I549" s="1"/>
      <c r="J549" s="1"/>
      <c r="K549" s="1"/>
      <c r="L549" s="1"/>
    </row>
    <row r="550" ht="15.75" customHeight="1">
      <c r="A550" s="36"/>
      <c r="B550" s="37"/>
      <c r="C550" s="1"/>
      <c r="D550" s="1"/>
      <c r="E550" s="1"/>
      <c r="F550" s="1"/>
      <c r="G550" s="1"/>
      <c r="H550" s="1"/>
      <c r="I550" s="1"/>
      <c r="J550" s="1"/>
      <c r="K550" s="1"/>
      <c r="L550" s="1"/>
    </row>
    <row r="551" ht="15.75" customHeight="1">
      <c r="A551" s="36"/>
      <c r="B551" s="37"/>
      <c r="C551" s="1"/>
      <c r="D551" s="1"/>
      <c r="E551" s="1"/>
      <c r="F551" s="1"/>
      <c r="G551" s="1"/>
      <c r="H551" s="1"/>
      <c r="I551" s="1"/>
      <c r="J551" s="1"/>
      <c r="K551" s="1"/>
      <c r="L551" s="1"/>
    </row>
    <row r="552" ht="15.75" customHeight="1">
      <c r="A552" s="36"/>
      <c r="B552" s="37"/>
      <c r="C552" s="1"/>
      <c r="D552" s="1"/>
      <c r="E552" s="1"/>
      <c r="F552" s="1"/>
      <c r="G552" s="1"/>
      <c r="H552" s="1"/>
      <c r="I552" s="1"/>
      <c r="J552" s="1"/>
      <c r="K552" s="1"/>
      <c r="L552" s="1"/>
    </row>
    <row r="553" ht="15.75" customHeight="1">
      <c r="A553" s="36"/>
      <c r="B553" s="37"/>
      <c r="C553" s="1"/>
      <c r="D553" s="1"/>
      <c r="E553" s="1"/>
      <c r="F553" s="1"/>
      <c r="G553" s="1"/>
      <c r="H553" s="1"/>
      <c r="I553" s="1"/>
      <c r="J553" s="1"/>
      <c r="K553" s="1"/>
      <c r="L553" s="1"/>
    </row>
    <row r="554" ht="15.75" customHeight="1">
      <c r="A554" s="36"/>
      <c r="B554" s="37"/>
      <c r="C554" s="1"/>
      <c r="D554" s="1"/>
      <c r="E554" s="1"/>
      <c r="F554" s="1"/>
      <c r="G554" s="1"/>
      <c r="H554" s="1"/>
      <c r="I554" s="1"/>
      <c r="J554" s="1"/>
      <c r="K554" s="1"/>
      <c r="L554" s="1"/>
    </row>
    <row r="555" ht="15.75" customHeight="1">
      <c r="A555" s="36"/>
      <c r="B555" s="37"/>
      <c r="C555" s="1"/>
      <c r="D555" s="1"/>
      <c r="E555" s="1"/>
      <c r="F555" s="1"/>
      <c r="G555" s="1"/>
      <c r="H555" s="1"/>
      <c r="I555" s="1"/>
      <c r="J555" s="1"/>
      <c r="K555" s="1"/>
      <c r="L555" s="1"/>
    </row>
    <row r="556" ht="15.75" customHeight="1">
      <c r="A556" s="36"/>
      <c r="B556" s="37"/>
      <c r="C556" s="1"/>
      <c r="D556" s="1"/>
      <c r="E556" s="1"/>
      <c r="F556" s="1"/>
      <c r="G556" s="1"/>
      <c r="H556" s="1"/>
      <c r="I556" s="1"/>
      <c r="J556" s="1"/>
      <c r="K556" s="1"/>
      <c r="L556" s="1"/>
    </row>
    <row r="557" ht="15.75" customHeight="1">
      <c r="A557" s="36"/>
      <c r="B557" s="37"/>
      <c r="C557" s="1"/>
      <c r="D557" s="1"/>
      <c r="E557" s="1"/>
      <c r="F557" s="1"/>
      <c r="G557" s="1"/>
      <c r="H557" s="1"/>
      <c r="I557" s="1"/>
      <c r="J557" s="1"/>
      <c r="K557" s="1"/>
      <c r="L557" s="1"/>
    </row>
    <row r="558" ht="15.75" customHeight="1">
      <c r="A558" s="36"/>
      <c r="B558" s="37"/>
      <c r="C558" s="1"/>
      <c r="D558" s="1"/>
      <c r="E558" s="1"/>
      <c r="F558" s="1"/>
      <c r="G558" s="1"/>
      <c r="H558" s="1"/>
      <c r="I558" s="1"/>
      <c r="J558" s="1"/>
      <c r="K558" s="1"/>
      <c r="L558" s="1"/>
    </row>
    <row r="559" ht="15.75" customHeight="1">
      <c r="A559" s="36"/>
      <c r="B559" s="37"/>
      <c r="C559" s="1"/>
      <c r="D559" s="1"/>
      <c r="E559" s="1"/>
      <c r="F559" s="1"/>
      <c r="G559" s="1"/>
      <c r="H559" s="1"/>
      <c r="I559" s="1"/>
      <c r="J559" s="1"/>
      <c r="K559" s="1"/>
      <c r="L559" s="1"/>
    </row>
    <row r="560" ht="15.75" customHeight="1">
      <c r="A560" s="36"/>
      <c r="B560" s="37"/>
      <c r="C560" s="1"/>
      <c r="D560" s="1"/>
      <c r="E560" s="1"/>
      <c r="F560" s="1"/>
      <c r="G560" s="1"/>
      <c r="H560" s="1"/>
      <c r="I560" s="1"/>
      <c r="J560" s="1"/>
      <c r="K560" s="1"/>
      <c r="L560" s="1"/>
    </row>
    <row r="561" ht="15.75" customHeight="1">
      <c r="A561" s="36"/>
      <c r="B561" s="37"/>
      <c r="C561" s="1"/>
      <c r="D561" s="1"/>
      <c r="E561" s="1"/>
      <c r="F561" s="1"/>
      <c r="G561" s="1"/>
      <c r="H561" s="1"/>
      <c r="I561" s="1"/>
      <c r="J561" s="1"/>
      <c r="K561" s="1"/>
      <c r="L561" s="1"/>
    </row>
    <row r="562" ht="15.75" customHeight="1">
      <c r="A562" s="36"/>
      <c r="B562" s="37"/>
      <c r="C562" s="1"/>
      <c r="D562" s="1"/>
      <c r="E562" s="1"/>
      <c r="F562" s="1"/>
      <c r="G562" s="1"/>
      <c r="H562" s="1"/>
      <c r="I562" s="1"/>
      <c r="J562" s="1"/>
      <c r="K562" s="1"/>
      <c r="L562" s="1"/>
    </row>
    <row r="563" ht="15.75" customHeight="1">
      <c r="A563" s="36"/>
      <c r="B563" s="37"/>
      <c r="C563" s="1"/>
      <c r="D563" s="1"/>
      <c r="E563" s="1"/>
      <c r="F563" s="1"/>
      <c r="G563" s="1"/>
      <c r="H563" s="1"/>
      <c r="I563" s="1"/>
      <c r="J563" s="1"/>
      <c r="K563" s="1"/>
      <c r="L563" s="1"/>
    </row>
    <row r="564" ht="15.75" customHeight="1">
      <c r="A564" s="36"/>
      <c r="B564" s="37"/>
      <c r="C564" s="1"/>
      <c r="D564" s="1"/>
      <c r="E564" s="1"/>
      <c r="F564" s="1"/>
      <c r="G564" s="1"/>
      <c r="H564" s="1"/>
      <c r="I564" s="1"/>
      <c r="J564" s="1"/>
      <c r="K564" s="1"/>
      <c r="L564" s="1"/>
    </row>
    <row r="565" ht="15.75" customHeight="1">
      <c r="A565" s="36"/>
      <c r="B565" s="37"/>
      <c r="C565" s="1"/>
      <c r="D565" s="1"/>
      <c r="E565" s="1"/>
      <c r="F565" s="1"/>
      <c r="G565" s="1"/>
      <c r="H565" s="1"/>
      <c r="I565" s="1"/>
      <c r="J565" s="1"/>
      <c r="K565" s="1"/>
      <c r="L565" s="1"/>
    </row>
    <row r="566" ht="15.75" customHeight="1">
      <c r="A566" s="36"/>
      <c r="B566" s="37"/>
      <c r="C566" s="1"/>
      <c r="D566" s="1"/>
      <c r="E566" s="1"/>
      <c r="F566" s="1"/>
      <c r="G566" s="1"/>
      <c r="H566" s="1"/>
      <c r="I566" s="1"/>
      <c r="J566" s="1"/>
      <c r="K566" s="1"/>
      <c r="L566" s="1"/>
    </row>
    <row r="567" ht="15.75" customHeight="1">
      <c r="A567" s="36"/>
      <c r="B567" s="37"/>
      <c r="C567" s="1"/>
      <c r="D567" s="1"/>
      <c r="E567" s="1"/>
      <c r="F567" s="1"/>
      <c r="G567" s="1"/>
      <c r="H567" s="1"/>
      <c r="I567" s="1"/>
      <c r="J567" s="1"/>
      <c r="K567" s="1"/>
      <c r="L567" s="1"/>
    </row>
    <row r="568" ht="15.75" customHeight="1">
      <c r="A568" s="36"/>
      <c r="B568" s="37"/>
      <c r="C568" s="1"/>
      <c r="D568" s="1"/>
      <c r="E568" s="1"/>
      <c r="F568" s="1"/>
      <c r="G568" s="1"/>
      <c r="H568" s="1"/>
      <c r="I568" s="1"/>
      <c r="J568" s="1"/>
      <c r="K568" s="1"/>
      <c r="L568" s="1"/>
    </row>
    <row r="569" ht="15.75" customHeight="1">
      <c r="A569" s="36"/>
      <c r="B569" s="37"/>
      <c r="C569" s="1"/>
      <c r="D569" s="1"/>
      <c r="E569" s="1"/>
      <c r="F569" s="1"/>
      <c r="G569" s="1"/>
      <c r="H569" s="1"/>
      <c r="I569" s="1"/>
      <c r="J569" s="1"/>
      <c r="K569" s="1"/>
      <c r="L569" s="1"/>
    </row>
    <row r="570" ht="15.75" customHeight="1">
      <c r="A570" s="36"/>
      <c r="B570" s="37"/>
      <c r="C570" s="1"/>
      <c r="D570" s="1"/>
      <c r="E570" s="1"/>
      <c r="F570" s="1"/>
      <c r="G570" s="1"/>
      <c r="H570" s="1"/>
      <c r="I570" s="1"/>
      <c r="J570" s="1"/>
      <c r="K570" s="1"/>
      <c r="L570" s="1"/>
    </row>
    <row r="571" ht="15.75" customHeight="1">
      <c r="A571" s="36"/>
      <c r="B571" s="37"/>
      <c r="C571" s="1"/>
      <c r="D571" s="1"/>
      <c r="E571" s="1"/>
      <c r="F571" s="1"/>
      <c r="G571" s="1"/>
      <c r="H571" s="1"/>
      <c r="I571" s="1"/>
      <c r="J571" s="1"/>
      <c r="K571" s="1"/>
      <c r="L571" s="1"/>
    </row>
    <row r="572" ht="15.75" customHeight="1">
      <c r="A572" s="36"/>
      <c r="B572" s="37"/>
      <c r="C572" s="1"/>
      <c r="D572" s="1"/>
      <c r="E572" s="1"/>
      <c r="F572" s="1"/>
      <c r="G572" s="1"/>
      <c r="H572" s="1"/>
      <c r="I572" s="1"/>
      <c r="J572" s="1"/>
      <c r="K572" s="1"/>
      <c r="L572" s="1"/>
    </row>
    <row r="573" ht="15.75" customHeight="1">
      <c r="A573" s="36"/>
      <c r="B573" s="37"/>
      <c r="C573" s="1"/>
      <c r="D573" s="1"/>
      <c r="E573" s="1"/>
      <c r="F573" s="1"/>
      <c r="G573" s="1"/>
      <c r="H573" s="1"/>
      <c r="I573" s="1"/>
      <c r="J573" s="1"/>
      <c r="K573" s="1"/>
      <c r="L573" s="1"/>
    </row>
    <row r="574" ht="15.75" customHeight="1">
      <c r="A574" s="36"/>
      <c r="B574" s="37"/>
      <c r="C574" s="1"/>
      <c r="D574" s="1"/>
      <c r="E574" s="1"/>
      <c r="F574" s="1"/>
      <c r="G574" s="1"/>
      <c r="H574" s="1"/>
      <c r="I574" s="1"/>
      <c r="J574" s="1"/>
      <c r="K574" s="1"/>
      <c r="L574" s="1"/>
    </row>
    <row r="575" ht="15.75" customHeight="1">
      <c r="A575" s="36"/>
      <c r="B575" s="37"/>
      <c r="C575" s="1"/>
      <c r="D575" s="1"/>
      <c r="E575" s="1"/>
      <c r="F575" s="1"/>
      <c r="G575" s="1"/>
      <c r="H575" s="1"/>
      <c r="I575" s="1"/>
      <c r="J575" s="1"/>
      <c r="K575" s="1"/>
      <c r="L575" s="1"/>
    </row>
    <row r="576" ht="15.75" customHeight="1">
      <c r="A576" s="36"/>
      <c r="B576" s="37"/>
      <c r="C576" s="1"/>
      <c r="D576" s="1"/>
      <c r="E576" s="1"/>
      <c r="F576" s="1"/>
      <c r="G576" s="1"/>
      <c r="H576" s="1"/>
      <c r="I576" s="1"/>
      <c r="J576" s="1"/>
      <c r="K576" s="1"/>
      <c r="L576" s="1"/>
    </row>
    <row r="577" ht="15.75" customHeight="1">
      <c r="A577" s="36"/>
      <c r="B577" s="37"/>
      <c r="C577" s="1"/>
      <c r="D577" s="1"/>
      <c r="E577" s="1"/>
      <c r="F577" s="1"/>
      <c r="G577" s="1"/>
      <c r="H577" s="1"/>
      <c r="I577" s="1"/>
      <c r="J577" s="1"/>
      <c r="K577" s="1"/>
      <c r="L577" s="1"/>
    </row>
    <row r="578" ht="15.75" customHeight="1">
      <c r="A578" s="36"/>
      <c r="B578" s="37"/>
      <c r="C578" s="1"/>
      <c r="D578" s="1"/>
      <c r="E578" s="1"/>
      <c r="F578" s="1"/>
      <c r="G578" s="1"/>
      <c r="H578" s="1"/>
      <c r="I578" s="1"/>
      <c r="J578" s="1"/>
      <c r="K578" s="1"/>
      <c r="L578" s="1"/>
    </row>
    <row r="579" ht="15.75" customHeight="1">
      <c r="A579" s="36"/>
      <c r="B579" s="37"/>
      <c r="C579" s="1"/>
      <c r="D579" s="1"/>
      <c r="E579" s="1"/>
      <c r="F579" s="1"/>
      <c r="G579" s="1"/>
      <c r="H579" s="1"/>
      <c r="I579" s="1"/>
      <c r="J579" s="1"/>
      <c r="K579" s="1"/>
      <c r="L579" s="1"/>
    </row>
    <row r="580" ht="15.75" customHeight="1">
      <c r="A580" s="36"/>
      <c r="B580" s="37"/>
      <c r="C580" s="1"/>
      <c r="D580" s="1"/>
      <c r="E580" s="1"/>
      <c r="F580" s="1"/>
      <c r="G580" s="1"/>
      <c r="H580" s="1"/>
      <c r="I580" s="1"/>
      <c r="J580" s="1"/>
      <c r="K580" s="1"/>
      <c r="L580" s="1"/>
    </row>
    <row r="581" ht="15.75" customHeight="1">
      <c r="A581" s="36"/>
      <c r="B581" s="37"/>
      <c r="C581" s="1"/>
      <c r="D581" s="1"/>
      <c r="E581" s="1"/>
      <c r="F581" s="1"/>
      <c r="G581" s="1"/>
      <c r="H581" s="1"/>
      <c r="I581" s="1"/>
      <c r="J581" s="1"/>
      <c r="K581" s="1"/>
      <c r="L581" s="1"/>
    </row>
    <row r="582" ht="15.75" customHeight="1">
      <c r="A582" s="36"/>
      <c r="B582" s="37"/>
      <c r="C582" s="1"/>
      <c r="D582" s="1"/>
      <c r="E582" s="1"/>
      <c r="F582" s="1"/>
      <c r="G582" s="1"/>
      <c r="H582" s="1"/>
      <c r="I582" s="1"/>
      <c r="J582" s="1"/>
      <c r="K582" s="1"/>
      <c r="L582" s="1"/>
    </row>
    <row r="583" ht="15.75" customHeight="1">
      <c r="A583" s="36"/>
      <c r="B583" s="37"/>
      <c r="C583" s="1"/>
      <c r="D583" s="1"/>
      <c r="E583" s="1"/>
      <c r="F583" s="1"/>
      <c r="G583" s="1"/>
      <c r="H583" s="1"/>
      <c r="I583" s="1"/>
      <c r="J583" s="1"/>
      <c r="K583" s="1"/>
      <c r="L583" s="1"/>
    </row>
    <row r="584" ht="15.75" customHeight="1">
      <c r="A584" s="36"/>
      <c r="B584" s="37"/>
      <c r="C584" s="1"/>
      <c r="D584" s="1"/>
      <c r="E584" s="1"/>
      <c r="F584" s="1"/>
      <c r="G584" s="1"/>
      <c r="H584" s="1"/>
      <c r="I584" s="1"/>
      <c r="J584" s="1"/>
      <c r="K584" s="1"/>
      <c r="L584" s="1"/>
    </row>
    <row r="585" ht="15.75" customHeight="1">
      <c r="A585" s="36"/>
      <c r="B585" s="37"/>
      <c r="C585" s="1"/>
      <c r="D585" s="1"/>
      <c r="E585" s="1"/>
      <c r="F585" s="1"/>
      <c r="G585" s="1"/>
      <c r="H585" s="1"/>
      <c r="I585" s="1"/>
      <c r="J585" s="1"/>
      <c r="K585" s="1"/>
      <c r="L585" s="1"/>
    </row>
    <row r="586" ht="15.75" customHeight="1">
      <c r="A586" s="36"/>
      <c r="B586" s="37"/>
      <c r="C586" s="1"/>
      <c r="D586" s="1"/>
      <c r="E586" s="1"/>
      <c r="F586" s="1"/>
      <c r="G586" s="1"/>
      <c r="H586" s="1"/>
      <c r="I586" s="1"/>
      <c r="J586" s="1"/>
      <c r="K586" s="1"/>
      <c r="L586" s="1"/>
    </row>
    <row r="587" ht="15.75" customHeight="1">
      <c r="A587" s="36"/>
      <c r="B587" s="37"/>
      <c r="C587" s="1"/>
      <c r="D587" s="1"/>
      <c r="E587" s="1"/>
      <c r="F587" s="1"/>
      <c r="G587" s="1"/>
      <c r="H587" s="1"/>
      <c r="I587" s="1"/>
      <c r="J587" s="1"/>
      <c r="K587" s="1"/>
      <c r="L587" s="1"/>
    </row>
    <row r="588" ht="15.75" customHeight="1">
      <c r="A588" s="36"/>
      <c r="B588" s="37"/>
      <c r="C588" s="1"/>
      <c r="D588" s="1"/>
      <c r="E588" s="1"/>
      <c r="F588" s="1"/>
      <c r="G588" s="1"/>
      <c r="H588" s="1"/>
      <c r="I588" s="1"/>
      <c r="J588" s="1"/>
      <c r="K588" s="1"/>
      <c r="L588" s="1"/>
    </row>
    <row r="589" ht="15.75" customHeight="1">
      <c r="A589" s="36"/>
      <c r="B589" s="37"/>
      <c r="C589" s="1"/>
      <c r="D589" s="1"/>
      <c r="E589" s="1"/>
      <c r="F589" s="1"/>
      <c r="G589" s="1"/>
      <c r="H589" s="1"/>
      <c r="I589" s="1"/>
      <c r="J589" s="1"/>
      <c r="K589" s="1"/>
      <c r="L589" s="1"/>
    </row>
    <row r="590" ht="15.75" customHeight="1">
      <c r="A590" s="36"/>
      <c r="B590" s="37"/>
      <c r="C590" s="1"/>
      <c r="D590" s="1"/>
      <c r="E590" s="1"/>
      <c r="F590" s="1"/>
      <c r="G590" s="1"/>
      <c r="H590" s="1"/>
      <c r="I590" s="1"/>
      <c r="J590" s="1"/>
      <c r="K590" s="1"/>
      <c r="L590" s="1"/>
    </row>
    <row r="591" ht="15.75" customHeight="1">
      <c r="A591" s="36"/>
      <c r="B591" s="37"/>
      <c r="C591" s="1"/>
      <c r="D591" s="1"/>
      <c r="E591" s="1"/>
      <c r="F591" s="1"/>
      <c r="G591" s="1"/>
      <c r="H591" s="1"/>
      <c r="I591" s="1"/>
      <c r="J591" s="1"/>
      <c r="K591" s="1"/>
      <c r="L591" s="1"/>
    </row>
    <row r="592" ht="15.75" customHeight="1">
      <c r="A592" s="36"/>
      <c r="B592" s="37"/>
      <c r="C592" s="1"/>
      <c r="D592" s="1"/>
      <c r="E592" s="1"/>
      <c r="F592" s="1"/>
      <c r="G592" s="1"/>
      <c r="H592" s="1"/>
      <c r="I592" s="1"/>
      <c r="J592" s="1"/>
      <c r="K592" s="1"/>
      <c r="L592" s="1"/>
    </row>
    <row r="593" ht="15.75" customHeight="1">
      <c r="A593" s="36"/>
      <c r="B593" s="37"/>
      <c r="C593" s="1"/>
      <c r="D593" s="1"/>
      <c r="E593" s="1"/>
      <c r="F593" s="1"/>
      <c r="G593" s="1"/>
      <c r="H593" s="1"/>
      <c r="I593" s="1"/>
      <c r="J593" s="1"/>
      <c r="K593" s="1"/>
      <c r="L593" s="1"/>
    </row>
    <row r="594" ht="15.75" customHeight="1">
      <c r="A594" s="36"/>
      <c r="B594" s="37"/>
      <c r="C594" s="1"/>
      <c r="D594" s="1"/>
      <c r="E594" s="1"/>
      <c r="F594" s="1"/>
      <c r="G594" s="1"/>
      <c r="H594" s="1"/>
      <c r="I594" s="1"/>
      <c r="J594" s="1"/>
      <c r="K594" s="1"/>
      <c r="L594" s="1"/>
    </row>
    <row r="595" ht="15.75" customHeight="1">
      <c r="A595" s="36"/>
      <c r="B595" s="37"/>
      <c r="C595" s="1"/>
      <c r="D595" s="1"/>
      <c r="E595" s="1"/>
      <c r="F595" s="1"/>
      <c r="G595" s="1"/>
      <c r="H595" s="1"/>
      <c r="I595" s="1"/>
      <c r="J595" s="1"/>
      <c r="K595" s="1"/>
      <c r="L595" s="1"/>
    </row>
    <row r="596" ht="15.75" customHeight="1">
      <c r="A596" s="36"/>
      <c r="B596" s="37"/>
      <c r="C596" s="1"/>
      <c r="D596" s="1"/>
      <c r="E596" s="1"/>
      <c r="F596" s="1"/>
      <c r="G596" s="1"/>
      <c r="H596" s="1"/>
      <c r="I596" s="1"/>
      <c r="J596" s="1"/>
      <c r="K596" s="1"/>
      <c r="L596" s="1"/>
    </row>
    <row r="597" ht="15.75" customHeight="1">
      <c r="A597" s="36"/>
      <c r="B597" s="37"/>
      <c r="C597" s="1"/>
      <c r="D597" s="1"/>
      <c r="E597" s="1"/>
      <c r="F597" s="1"/>
      <c r="G597" s="1"/>
      <c r="H597" s="1"/>
      <c r="I597" s="1"/>
      <c r="J597" s="1"/>
      <c r="K597" s="1"/>
      <c r="L597" s="1"/>
    </row>
    <row r="598" ht="15.75" customHeight="1">
      <c r="A598" s="36"/>
      <c r="B598" s="37"/>
      <c r="C598" s="1"/>
      <c r="D598" s="1"/>
      <c r="E598" s="1"/>
      <c r="F598" s="1"/>
      <c r="G598" s="1"/>
      <c r="H598" s="1"/>
      <c r="I598" s="1"/>
      <c r="J598" s="1"/>
      <c r="K598" s="1"/>
      <c r="L598" s="1"/>
    </row>
    <row r="599" ht="15.75" customHeight="1">
      <c r="A599" s="36"/>
      <c r="B599" s="37"/>
      <c r="C599" s="1"/>
      <c r="D599" s="1"/>
      <c r="E599" s="1"/>
      <c r="F599" s="1"/>
      <c r="G599" s="1"/>
      <c r="H599" s="1"/>
      <c r="I599" s="1"/>
      <c r="J599" s="1"/>
      <c r="K599" s="1"/>
      <c r="L599" s="1"/>
    </row>
    <row r="600" ht="15.75" customHeight="1">
      <c r="A600" s="36"/>
      <c r="B600" s="37"/>
      <c r="C600" s="1"/>
      <c r="D600" s="1"/>
      <c r="E600" s="1"/>
      <c r="F600" s="1"/>
      <c r="G600" s="1"/>
      <c r="H600" s="1"/>
      <c r="I600" s="1"/>
      <c r="J600" s="1"/>
      <c r="K600" s="1"/>
      <c r="L600" s="1"/>
    </row>
    <row r="601" ht="15.75" customHeight="1">
      <c r="A601" s="36"/>
      <c r="B601" s="37"/>
      <c r="C601" s="1"/>
      <c r="D601" s="1"/>
      <c r="E601" s="1"/>
      <c r="F601" s="1"/>
      <c r="G601" s="1"/>
      <c r="H601" s="1"/>
      <c r="I601" s="1"/>
      <c r="J601" s="1"/>
      <c r="K601" s="1"/>
      <c r="L601" s="1"/>
    </row>
    <row r="602" ht="15.75" customHeight="1">
      <c r="A602" s="36"/>
      <c r="B602" s="37"/>
      <c r="C602" s="1"/>
      <c r="D602" s="1"/>
      <c r="E602" s="1"/>
      <c r="F602" s="1"/>
      <c r="G602" s="1"/>
      <c r="H602" s="1"/>
      <c r="I602" s="1"/>
      <c r="J602" s="1"/>
      <c r="K602" s="1"/>
      <c r="L602" s="1"/>
    </row>
    <row r="603" ht="15.75" customHeight="1">
      <c r="A603" s="36"/>
      <c r="B603" s="37"/>
      <c r="C603" s="1"/>
      <c r="D603" s="1"/>
      <c r="E603" s="1"/>
      <c r="F603" s="1"/>
      <c r="G603" s="1"/>
      <c r="H603" s="1"/>
      <c r="I603" s="1"/>
      <c r="J603" s="1"/>
      <c r="K603" s="1"/>
      <c r="L603" s="1"/>
    </row>
    <row r="604" ht="15.75" customHeight="1">
      <c r="A604" s="36"/>
      <c r="B604" s="37"/>
      <c r="C604" s="1"/>
      <c r="D604" s="1"/>
      <c r="E604" s="1"/>
      <c r="F604" s="1"/>
      <c r="G604" s="1"/>
      <c r="H604" s="1"/>
      <c r="I604" s="1"/>
      <c r="J604" s="1"/>
      <c r="K604" s="1"/>
      <c r="L604" s="1"/>
    </row>
    <row r="605" ht="15.75" customHeight="1">
      <c r="A605" s="36"/>
      <c r="B605" s="37"/>
      <c r="C605" s="1"/>
      <c r="D605" s="1"/>
      <c r="E605" s="1"/>
      <c r="F605" s="1"/>
      <c r="G605" s="1"/>
      <c r="H605" s="1"/>
      <c r="I605" s="1"/>
      <c r="J605" s="1"/>
      <c r="K605" s="1"/>
      <c r="L605" s="1"/>
    </row>
    <row r="606" ht="15.75" customHeight="1">
      <c r="A606" s="36"/>
      <c r="B606" s="37"/>
      <c r="C606" s="1"/>
      <c r="D606" s="1"/>
      <c r="E606" s="1"/>
      <c r="F606" s="1"/>
      <c r="G606" s="1"/>
      <c r="H606" s="1"/>
      <c r="I606" s="1"/>
      <c r="J606" s="1"/>
      <c r="K606" s="1"/>
      <c r="L606" s="1"/>
    </row>
    <row r="607" ht="15.75" customHeight="1">
      <c r="A607" s="36"/>
      <c r="B607" s="37"/>
      <c r="C607" s="1"/>
      <c r="D607" s="1"/>
      <c r="E607" s="1"/>
      <c r="F607" s="1"/>
      <c r="G607" s="1"/>
      <c r="H607" s="1"/>
      <c r="I607" s="1"/>
      <c r="J607" s="1"/>
      <c r="K607" s="1"/>
      <c r="L607" s="1"/>
    </row>
    <row r="608" ht="15.75" customHeight="1">
      <c r="A608" s="36"/>
      <c r="B608" s="37"/>
      <c r="C608" s="1"/>
      <c r="D608" s="1"/>
      <c r="E608" s="1"/>
      <c r="F608" s="1"/>
      <c r="G608" s="1"/>
      <c r="H608" s="1"/>
      <c r="I608" s="1"/>
      <c r="J608" s="1"/>
      <c r="K608" s="1"/>
      <c r="L608" s="1"/>
    </row>
    <row r="609" ht="15.75" customHeight="1">
      <c r="A609" s="36"/>
      <c r="B609" s="37"/>
      <c r="C609" s="1"/>
      <c r="D609" s="1"/>
      <c r="E609" s="1"/>
      <c r="F609" s="1"/>
      <c r="G609" s="1"/>
      <c r="H609" s="1"/>
      <c r="I609" s="1"/>
      <c r="J609" s="1"/>
      <c r="K609" s="1"/>
      <c r="L609" s="1"/>
    </row>
    <row r="610" ht="15.75" customHeight="1">
      <c r="A610" s="36"/>
      <c r="B610" s="37"/>
      <c r="C610" s="1"/>
      <c r="D610" s="1"/>
      <c r="E610" s="1"/>
      <c r="F610" s="1"/>
      <c r="G610" s="1"/>
      <c r="H610" s="1"/>
      <c r="I610" s="1"/>
      <c r="J610" s="1"/>
      <c r="K610" s="1"/>
      <c r="L610" s="1"/>
    </row>
    <row r="611" ht="15.75" customHeight="1">
      <c r="A611" s="36"/>
      <c r="B611" s="37"/>
      <c r="C611" s="1"/>
      <c r="D611" s="1"/>
      <c r="E611" s="1"/>
      <c r="F611" s="1"/>
      <c r="G611" s="1"/>
      <c r="H611" s="1"/>
      <c r="I611" s="1"/>
      <c r="J611" s="1"/>
      <c r="K611" s="1"/>
      <c r="L611" s="1"/>
    </row>
    <row r="612" ht="15.75" customHeight="1">
      <c r="A612" s="36"/>
      <c r="B612" s="37"/>
      <c r="C612" s="1"/>
      <c r="D612" s="1"/>
      <c r="E612" s="1"/>
      <c r="F612" s="1"/>
      <c r="G612" s="1"/>
      <c r="H612" s="1"/>
      <c r="I612" s="1"/>
      <c r="J612" s="1"/>
      <c r="K612" s="1"/>
      <c r="L612" s="1"/>
    </row>
    <row r="613" ht="15.75" customHeight="1">
      <c r="A613" s="36"/>
      <c r="B613" s="37"/>
      <c r="C613" s="1"/>
      <c r="D613" s="1"/>
      <c r="E613" s="1"/>
      <c r="F613" s="1"/>
      <c r="G613" s="1"/>
      <c r="H613" s="1"/>
      <c r="I613" s="1"/>
      <c r="J613" s="1"/>
      <c r="K613" s="1"/>
      <c r="L613" s="1"/>
    </row>
    <row r="614" ht="15.75" customHeight="1">
      <c r="A614" s="36"/>
      <c r="B614" s="37"/>
      <c r="C614" s="1"/>
      <c r="D614" s="1"/>
      <c r="E614" s="1"/>
      <c r="F614" s="1"/>
      <c r="G614" s="1"/>
      <c r="H614" s="1"/>
      <c r="I614" s="1"/>
      <c r="J614" s="1"/>
      <c r="K614" s="1"/>
      <c r="L614" s="1"/>
    </row>
    <row r="615" ht="15.75" customHeight="1">
      <c r="A615" s="36"/>
      <c r="B615" s="37"/>
      <c r="C615" s="1"/>
      <c r="D615" s="1"/>
      <c r="E615" s="1"/>
      <c r="F615" s="1"/>
      <c r="G615" s="1"/>
      <c r="H615" s="1"/>
      <c r="I615" s="1"/>
      <c r="J615" s="1"/>
      <c r="K615" s="1"/>
      <c r="L615" s="1"/>
    </row>
    <row r="616" ht="15.75" customHeight="1">
      <c r="A616" s="36"/>
      <c r="B616" s="37"/>
      <c r="C616" s="1"/>
      <c r="D616" s="1"/>
      <c r="E616" s="1"/>
      <c r="F616" s="1"/>
      <c r="G616" s="1"/>
      <c r="H616" s="1"/>
      <c r="I616" s="1"/>
      <c r="J616" s="1"/>
      <c r="K616" s="1"/>
      <c r="L616" s="1"/>
    </row>
    <row r="617" ht="15.75" customHeight="1">
      <c r="A617" s="36"/>
      <c r="B617" s="37"/>
      <c r="C617" s="1"/>
      <c r="D617" s="1"/>
      <c r="E617" s="1"/>
      <c r="F617" s="1"/>
      <c r="G617" s="1"/>
      <c r="H617" s="1"/>
      <c r="I617" s="1"/>
      <c r="J617" s="1"/>
      <c r="K617" s="1"/>
      <c r="L617" s="1"/>
    </row>
    <row r="618" ht="15.75" customHeight="1">
      <c r="A618" s="36"/>
      <c r="B618" s="37"/>
      <c r="C618" s="1"/>
      <c r="D618" s="1"/>
      <c r="E618" s="1"/>
      <c r="F618" s="1"/>
      <c r="G618" s="1"/>
      <c r="H618" s="1"/>
      <c r="I618" s="1"/>
      <c r="J618" s="1"/>
      <c r="K618" s="1"/>
      <c r="L618" s="1"/>
    </row>
    <row r="619" ht="15.75" customHeight="1">
      <c r="A619" s="36"/>
      <c r="B619" s="37"/>
      <c r="C619" s="1"/>
      <c r="D619" s="1"/>
      <c r="E619" s="1"/>
      <c r="F619" s="1"/>
      <c r="G619" s="1"/>
      <c r="H619" s="1"/>
      <c r="I619" s="1"/>
      <c r="J619" s="1"/>
      <c r="K619" s="1"/>
      <c r="L619" s="1"/>
    </row>
    <row r="620" ht="15.75" customHeight="1">
      <c r="A620" s="36"/>
      <c r="B620" s="37"/>
      <c r="C620" s="1"/>
      <c r="D620" s="1"/>
      <c r="E620" s="1"/>
      <c r="F620" s="1"/>
      <c r="G620" s="1"/>
      <c r="H620" s="1"/>
      <c r="I620" s="1"/>
      <c r="J620" s="1"/>
      <c r="K620" s="1"/>
      <c r="L620" s="1"/>
    </row>
    <row r="621" ht="15.75" customHeight="1">
      <c r="A621" s="36"/>
      <c r="B621" s="37"/>
      <c r="C621" s="1"/>
      <c r="D621" s="1"/>
      <c r="E621" s="1"/>
      <c r="F621" s="1"/>
      <c r="G621" s="1"/>
      <c r="H621" s="1"/>
      <c r="I621" s="1"/>
      <c r="J621" s="1"/>
      <c r="K621" s="1"/>
      <c r="L621" s="1"/>
    </row>
    <row r="622" ht="15.75" customHeight="1">
      <c r="A622" s="36"/>
      <c r="B622" s="37"/>
      <c r="C622" s="1"/>
      <c r="D622" s="1"/>
      <c r="E622" s="1"/>
      <c r="F622" s="1"/>
      <c r="G622" s="1"/>
      <c r="H622" s="1"/>
      <c r="I622" s="1"/>
      <c r="J622" s="1"/>
      <c r="K622" s="1"/>
      <c r="L622" s="1"/>
    </row>
    <row r="623" ht="15.75" customHeight="1">
      <c r="A623" s="36"/>
      <c r="B623" s="37"/>
      <c r="C623" s="1"/>
      <c r="D623" s="1"/>
      <c r="E623" s="1"/>
      <c r="F623" s="1"/>
      <c r="G623" s="1"/>
      <c r="H623" s="1"/>
      <c r="I623" s="1"/>
      <c r="J623" s="1"/>
      <c r="K623" s="1"/>
      <c r="L623" s="1"/>
    </row>
    <row r="624" ht="15.75" customHeight="1">
      <c r="A624" s="36"/>
      <c r="B624" s="37"/>
      <c r="C624" s="1"/>
      <c r="D624" s="1"/>
      <c r="E624" s="1"/>
      <c r="F624" s="1"/>
      <c r="G624" s="1"/>
      <c r="H624" s="1"/>
      <c r="I624" s="1"/>
      <c r="J624" s="1"/>
      <c r="K624" s="1"/>
      <c r="L624" s="1"/>
    </row>
    <row r="625" ht="15.75" customHeight="1">
      <c r="A625" s="36"/>
      <c r="B625" s="37"/>
      <c r="C625" s="1"/>
      <c r="D625" s="1"/>
      <c r="E625" s="1"/>
      <c r="F625" s="1"/>
      <c r="G625" s="1"/>
      <c r="H625" s="1"/>
      <c r="I625" s="1"/>
      <c r="J625" s="1"/>
      <c r="K625" s="1"/>
      <c r="L625" s="1"/>
    </row>
    <row r="626" ht="15.75" customHeight="1">
      <c r="A626" s="36"/>
      <c r="B626" s="37"/>
      <c r="C626" s="1"/>
      <c r="D626" s="1"/>
      <c r="E626" s="1"/>
      <c r="F626" s="1"/>
      <c r="G626" s="1"/>
      <c r="H626" s="1"/>
      <c r="I626" s="1"/>
      <c r="J626" s="1"/>
      <c r="K626" s="1"/>
      <c r="L626" s="1"/>
    </row>
    <row r="627" ht="15.75" customHeight="1">
      <c r="A627" s="36"/>
      <c r="B627" s="37"/>
      <c r="C627" s="1"/>
      <c r="D627" s="1"/>
      <c r="E627" s="1"/>
      <c r="F627" s="1"/>
      <c r="G627" s="1"/>
      <c r="H627" s="1"/>
      <c r="I627" s="1"/>
      <c r="J627" s="1"/>
      <c r="K627" s="1"/>
      <c r="L627" s="1"/>
    </row>
    <row r="628" ht="15.75" customHeight="1">
      <c r="A628" s="36"/>
      <c r="B628" s="37"/>
      <c r="C628" s="1"/>
      <c r="D628" s="1"/>
      <c r="E628" s="1"/>
      <c r="F628" s="1"/>
      <c r="G628" s="1"/>
      <c r="H628" s="1"/>
      <c r="I628" s="1"/>
      <c r="J628" s="1"/>
      <c r="K628" s="1"/>
      <c r="L628" s="1"/>
    </row>
    <row r="629" ht="15.75" customHeight="1">
      <c r="A629" s="36"/>
      <c r="B629" s="37"/>
      <c r="C629" s="1"/>
      <c r="D629" s="1"/>
      <c r="E629" s="1"/>
      <c r="F629" s="1"/>
      <c r="G629" s="1"/>
      <c r="H629" s="1"/>
      <c r="I629" s="1"/>
      <c r="J629" s="1"/>
      <c r="K629" s="1"/>
      <c r="L629" s="1"/>
    </row>
    <row r="630" ht="15.75" customHeight="1">
      <c r="A630" s="36"/>
      <c r="B630" s="37"/>
      <c r="C630" s="1"/>
      <c r="D630" s="1"/>
      <c r="E630" s="1"/>
      <c r="F630" s="1"/>
      <c r="G630" s="1"/>
      <c r="H630" s="1"/>
      <c r="I630" s="1"/>
      <c r="J630" s="1"/>
      <c r="K630" s="1"/>
      <c r="L630" s="1"/>
    </row>
    <row r="631" ht="15.75" customHeight="1">
      <c r="A631" s="36"/>
      <c r="B631" s="37"/>
      <c r="C631" s="1"/>
      <c r="D631" s="1"/>
      <c r="E631" s="1"/>
      <c r="F631" s="1"/>
      <c r="G631" s="1"/>
      <c r="H631" s="1"/>
      <c r="I631" s="1"/>
      <c r="J631" s="1"/>
      <c r="K631" s="1"/>
      <c r="L631" s="1"/>
    </row>
    <row r="632" ht="15.75" customHeight="1">
      <c r="A632" s="36"/>
      <c r="B632" s="37"/>
      <c r="C632" s="1"/>
      <c r="D632" s="1"/>
      <c r="E632" s="1"/>
      <c r="F632" s="1"/>
      <c r="G632" s="1"/>
      <c r="H632" s="1"/>
      <c r="I632" s="1"/>
      <c r="J632" s="1"/>
      <c r="K632" s="1"/>
      <c r="L632" s="1"/>
    </row>
    <row r="633" ht="15.75" customHeight="1">
      <c r="A633" s="36"/>
      <c r="B633" s="37"/>
      <c r="C633" s="1"/>
      <c r="D633" s="1"/>
      <c r="E633" s="1"/>
      <c r="F633" s="1"/>
      <c r="G633" s="1"/>
      <c r="H633" s="1"/>
      <c r="I633" s="1"/>
      <c r="J633" s="1"/>
      <c r="K633" s="1"/>
      <c r="L633" s="1"/>
    </row>
    <row r="634" ht="15.75" customHeight="1">
      <c r="A634" s="36"/>
      <c r="B634" s="37"/>
      <c r="C634" s="1"/>
      <c r="D634" s="1"/>
      <c r="E634" s="1"/>
      <c r="F634" s="1"/>
      <c r="G634" s="1"/>
      <c r="H634" s="1"/>
      <c r="I634" s="1"/>
      <c r="J634" s="1"/>
      <c r="K634" s="1"/>
      <c r="L634" s="1"/>
    </row>
    <row r="635" ht="15.75" customHeight="1">
      <c r="A635" s="36"/>
      <c r="B635" s="37"/>
      <c r="C635" s="1"/>
      <c r="D635" s="1"/>
      <c r="E635" s="1"/>
      <c r="F635" s="1"/>
      <c r="G635" s="1"/>
      <c r="H635" s="1"/>
      <c r="I635" s="1"/>
      <c r="J635" s="1"/>
      <c r="K635" s="1"/>
      <c r="L635" s="1"/>
    </row>
    <row r="636" ht="15.75" customHeight="1">
      <c r="A636" s="36"/>
      <c r="B636" s="37"/>
      <c r="C636" s="1"/>
      <c r="D636" s="1"/>
      <c r="E636" s="1"/>
      <c r="F636" s="1"/>
      <c r="G636" s="1"/>
      <c r="H636" s="1"/>
      <c r="I636" s="1"/>
      <c r="J636" s="1"/>
      <c r="K636" s="1"/>
      <c r="L636" s="1"/>
    </row>
    <row r="637" ht="15.75" customHeight="1">
      <c r="A637" s="36"/>
      <c r="B637" s="37"/>
      <c r="C637" s="1"/>
      <c r="D637" s="1"/>
      <c r="E637" s="1"/>
      <c r="F637" s="1"/>
      <c r="G637" s="1"/>
      <c r="H637" s="1"/>
      <c r="I637" s="1"/>
      <c r="J637" s="1"/>
      <c r="K637" s="1"/>
      <c r="L637" s="1"/>
    </row>
    <row r="638" ht="15.75" customHeight="1">
      <c r="A638" s="36"/>
      <c r="B638" s="37"/>
      <c r="C638" s="1"/>
      <c r="D638" s="1"/>
      <c r="E638" s="1"/>
      <c r="F638" s="1"/>
      <c r="G638" s="1"/>
      <c r="H638" s="1"/>
      <c r="I638" s="1"/>
      <c r="J638" s="1"/>
      <c r="K638" s="1"/>
      <c r="L638" s="1"/>
    </row>
    <row r="639" ht="15.75" customHeight="1">
      <c r="A639" s="36"/>
      <c r="B639" s="37"/>
      <c r="C639" s="1"/>
      <c r="D639" s="1"/>
      <c r="E639" s="1"/>
      <c r="F639" s="1"/>
      <c r="G639" s="1"/>
      <c r="H639" s="1"/>
      <c r="I639" s="1"/>
      <c r="J639" s="1"/>
      <c r="K639" s="1"/>
      <c r="L639" s="1"/>
    </row>
    <row r="640" ht="15.75" customHeight="1">
      <c r="A640" s="36"/>
      <c r="B640" s="37"/>
      <c r="C640" s="1"/>
      <c r="D640" s="1"/>
      <c r="E640" s="1"/>
      <c r="F640" s="1"/>
      <c r="G640" s="1"/>
      <c r="H640" s="1"/>
      <c r="I640" s="1"/>
      <c r="J640" s="1"/>
      <c r="K640" s="1"/>
      <c r="L640" s="1"/>
    </row>
    <row r="641" ht="15.75" customHeight="1">
      <c r="A641" s="36"/>
      <c r="B641" s="37"/>
      <c r="C641" s="1"/>
      <c r="D641" s="1"/>
      <c r="E641" s="1"/>
      <c r="F641" s="1"/>
      <c r="G641" s="1"/>
      <c r="H641" s="1"/>
      <c r="I641" s="1"/>
      <c r="J641" s="1"/>
      <c r="K641" s="1"/>
      <c r="L641" s="1"/>
    </row>
    <row r="642" ht="15.75" customHeight="1">
      <c r="A642" s="36"/>
      <c r="B642" s="37"/>
      <c r="C642" s="1"/>
      <c r="D642" s="1"/>
      <c r="E642" s="1"/>
      <c r="F642" s="1"/>
      <c r="G642" s="1"/>
      <c r="H642" s="1"/>
      <c r="I642" s="1"/>
      <c r="J642" s="1"/>
      <c r="K642" s="1"/>
      <c r="L642" s="1"/>
    </row>
    <row r="643" ht="15.75" customHeight="1">
      <c r="A643" s="36"/>
      <c r="B643" s="37"/>
      <c r="C643" s="1"/>
      <c r="D643" s="1"/>
      <c r="E643" s="1"/>
      <c r="F643" s="1"/>
      <c r="G643" s="1"/>
      <c r="H643" s="1"/>
      <c r="I643" s="1"/>
      <c r="J643" s="1"/>
      <c r="K643" s="1"/>
      <c r="L643" s="1"/>
    </row>
    <row r="644" ht="15.75" customHeight="1">
      <c r="A644" s="36"/>
      <c r="B644" s="37"/>
      <c r="C644" s="1"/>
      <c r="D644" s="1"/>
      <c r="E644" s="1"/>
      <c r="F644" s="1"/>
      <c r="G644" s="1"/>
      <c r="H644" s="1"/>
      <c r="I644" s="1"/>
      <c r="J644" s="1"/>
      <c r="K644" s="1"/>
      <c r="L644" s="1"/>
    </row>
    <row r="645" ht="15.75" customHeight="1">
      <c r="A645" s="36"/>
      <c r="B645" s="37"/>
      <c r="C645" s="1"/>
      <c r="D645" s="1"/>
      <c r="E645" s="1"/>
      <c r="F645" s="1"/>
      <c r="G645" s="1"/>
      <c r="H645" s="1"/>
      <c r="I645" s="1"/>
      <c r="J645" s="1"/>
      <c r="K645" s="1"/>
      <c r="L645" s="1"/>
    </row>
    <row r="646" ht="15.75" customHeight="1">
      <c r="A646" s="36"/>
      <c r="B646" s="37"/>
      <c r="C646" s="1"/>
      <c r="D646" s="1"/>
      <c r="E646" s="1"/>
      <c r="F646" s="1"/>
      <c r="G646" s="1"/>
      <c r="H646" s="1"/>
      <c r="I646" s="1"/>
      <c r="J646" s="1"/>
      <c r="K646" s="1"/>
      <c r="L646" s="1"/>
    </row>
    <row r="647" ht="15.75" customHeight="1">
      <c r="A647" s="36"/>
      <c r="B647" s="37"/>
      <c r="C647" s="1"/>
      <c r="D647" s="1"/>
      <c r="E647" s="1"/>
      <c r="F647" s="1"/>
      <c r="G647" s="1"/>
      <c r="H647" s="1"/>
      <c r="I647" s="1"/>
      <c r="J647" s="1"/>
      <c r="K647" s="1"/>
      <c r="L647" s="1"/>
    </row>
    <row r="648" ht="15.75" customHeight="1">
      <c r="A648" s="36"/>
      <c r="B648" s="37"/>
      <c r="C648" s="1"/>
      <c r="D648" s="1"/>
      <c r="E648" s="1"/>
      <c r="F648" s="1"/>
      <c r="G648" s="1"/>
      <c r="H648" s="1"/>
      <c r="I648" s="1"/>
      <c r="J648" s="1"/>
      <c r="K648" s="1"/>
      <c r="L648" s="1"/>
    </row>
    <row r="649" ht="15.75" customHeight="1">
      <c r="A649" s="36"/>
      <c r="B649" s="37"/>
      <c r="C649" s="1"/>
      <c r="D649" s="1"/>
      <c r="E649" s="1"/>
      <c r="F649" s="1"/>
      <c r="G649" s="1"/>
      <c r="H649" s="1"/>
      <c r="I649" s="1"/>
      <c r="J649" s="1"/>
      <c r="K649" s="1"/>
      <c r="L649" s="1"/>
    </row>
    <row r="650" ht="15.75" customHeight="1">
      <c r="A650" s="36"/>
      <c r="B650" s="37"/>
      <c r="C650" s="1"/>
      <c r="D650" s="1"/>
      <c r="E650" s="1"/>
      <c r="F650" s="1"/>
      <c r="G650" s="1"/>
      <c r="H650" s="1"/>
      <c r="I650" s="1"/>
      <c r="J650" s="1"/>
      <c r="K650" s="1"/>
      <c r="L650" s="1"/>
    </row>
    <row r="651" ht="15.75" customHeight="1">
      <c r="A651" s="36"/>
      <c r="B651" s="37"/>
      <c r="C651" s="1"/>
      <c r="D651" s="1"/>
      <c r="E651" s="1"/>
      <c r="F651" s="1"/>
      <c r="G651" s="1"/>
      <c r="H651" s="1"/>
      <c r="I651" s="1"/>
      <c r="J651" s="1"/>
      <c r="K651" s="1"/>
      <c r="L651" s="1"/>
    </row>
    <row r="652" ht="15.75" customHeight="1">
      <c r="A652" s="36"/>
      <c r="B652" s="37"/>
      <c r="C652" s="1"/>
      <c r="D652" s="1"/>
      <c r="E652" s="1"/>
      <c r="F652" s="1"/>
      <c r="G652" s="1"/>
      <c r="H652" s="1"/>
      <c r="I652" s="1"/>
      <c r="J652" s="1"/>
      <c r="K652" s="1"/>
      <c r="L652" s="1"/>
    </row>
    <row r="653" ht="15.75" customHeight="1">
      <c r="A653" s="36"/>
      <c r="B653" s="37"/>
      <c r="C653" s="1"/>
      <c r="D653" s="1"/>
      <c r="E653" s="1"/>
      <c r="F653" s="1"/>
      <c r="G653" s="1"/>
      <c r="H653" s="1"/>
      <c r="I653" s="1"/>
      <c r="J653" s="1"/>
      <c r="K653" s="1"/>
      <c r="L653" s="1"/>
    </row>
    <row r="654" ht="15.75" customHeight="1">
      <c r="A654" s="36"/>
      <c r="B654" s="37"/>
      <c r="C654" s="1"/>
      <c r="D654" s="1"/>
      <c r="E654" s="1"/>
      <c r="F654" s="1"/>
      <c r="G654" s="1"/>
      <c r="H654" s="1"/>
      <c r="I654" s="1"/>
      <c r="J654" s="1"/>
      <c r="K654" s="1"/>
      <c r="L654" s="1"/>
    </row>
    <row r="655" ht="15.75" customHeight="1">
      <c r="A655" s="36"/>
      <c r="B655" s="37"/>
      <c r="C655" s="1"/>
      <c r="D655" s="1"/>
      <c r="E655" s="1"/>
      <c r="F655" s="1"/>
      <c r="G655" s="1"/>
      <c r="H655" s="1"/>
      <c r="I655" s="1"/>
      <c r="J655" s="1"/>
      <c r="K655" s="1"/>
      <c r="L655" s="1"/>
    </row>
    <row r="656" ht="15.75" customHeight="1">
      <c r="A656" s="36"/>
      <c r="B656" s="37"/>
      <c r="C656" s="1"/>
      <c r="D656" s="1"/>
      <c r="E656" s="1"/>
      <c r="F656" s="1"/>
      <c r="G656" s="1"/>
      <c r="H656" s="1"/>
      <c r="I656" s="1"/>
      <c r="J656" s="1"/>
      <c r="K656" s="1"/>
      <c r="L656" s="1"/>
    </row>
    <row r="657" ht="15.75" customHeight="1">
      <c r="A657" s="36"/>
      <c r="B657" s="37"/>
      <c r="C657" s="1"/>
      <c r="D657" s="1"/>
      <c r="E657" s="1"/>
      <c r="F657" s="1"/>
      <c r="G657" s="1"/>
      <c r="H657" s="1"/>
      <c r="I657" s="1"/>
      <c r="J657" s="1"/>
      <c r="K657" s="1"/>
      <c r="L657" s="1"/>
    </row>
    <row r="658" ht="15.75" customHeight="1">
      <c r="A658" s="36"/>
      <c r="B658" s="37"/>
      <c r="C658" s="1"/>
      <c r="D658" s="1"/>
      <c r="E658" s="1"/>
      <c r="F658" s="1"/>
      <c r="G658" s="1"/>
      <c r="H658" s="1"/>
      <c r="I658" s="1"/>
      <c r="J658" s="1"/>
      <c r="K658" s="1"/>
      <c r="L658" s="1"/>
    </row>
    <row r="659" ht="15.75" customHeight="1">
      <c r="A659" s="36"/>
      <c r="B659" s="37"/>
      <c r="C659" s="1"/>
      <c r="D659" s="1"/>
      <c r="E659" s="1"/>
      <c r="F659" s="1"/>
      <c r="G659" s="1"/>
      <c r="H659" s="1"/>
      <c r="I659" s="1"/>
      <c r="J659" s="1"/>
      <c r="K659" s="1"/>
      <c r="L659" s="1"/>
    </row>
    <row r="660" ht="15.75" customHeight="1">
      <c r="A660" s="36"/>
      <c r="B660" s="37"/>
      <c r="C660" s="1"/>
      <c r="D660" s="1"/>
      <c r="E660" s="1"/>
      <c r="F660" s="1"/>
      <c r="G660" s="1"/>
      <c r="H660" s="1"/>
      <c r="I660" s="1"/>
      <c r="J660" s="1"/>
      <c r="K660" s="1"/>
      <c r="L660" s="1"/>
    </row>
    <row r="661" ht="15.75" customHeight="1">
      <c r="A661" s="36"/>
      <c r="B661" s="37"/>
      <c r="C661" s="1"/>
      <c r="D661" s="1"/>
      <c r="E661" s="1"/>
      <c r="F661" s="1"/>
      <c r="G661" s="1"/>
      <c r="H661" s="1"/>
      <c r="I661" s="1"/>
      <c r="J661" s="1"/>
      <c r="K661" s="1"/>
      <c r="L661" s="1"/>
    </row>
    <row r="662" ht="15.75" customHeight="1">
      <c r="A662" s="36"/>
      <c r="B662" s="37"/>
      <c r="C662" s="1"/>
      <c r="D662" s="1"/>
      <c r="E662" s="1"/>
      <c r="F662" s="1"/>
      <c r="G662" s="1"/>
      <c r="H662" s="1"/>
      <c r="I662" s="1"/>
      <c r="J662" s="1"/>
      <c r="K662" s="1"/>
      <c r="L662" s="1"/>
    </row>
    <row r="663" ht="15.75" customHeight="1">
      <c r="A663" s="36"/>
      <c r="B663" s="37"/>
      <c r="C663" s="1"/>
      <c r="D663" s="1"/>
      <c r="E663" s="1"/>
      <c r="F663" s="1"/>
      <c r="G663" s="1"/>
      <c r="H663" s="1"/>
      <c r="I663" s="1"/>
      <c r="J663" s="1"/>
      <c r="K663" s="1"/>
      <c r="L663" s="1"/>
    </row>
    <row r="664" ht="15.75" customHeight="1">
      <c r="A664" s="36"/>
      <c r="B664" s="37"/>
      <c r="C664" s="1"/>
      <c r="D664" s="1"/>
      <c r="E664" s="1"/>
      <c r="F664" s="1"/>
      <c r="G664" s="1"/>
      <c r="H664" s="1"/>
      <c r="I664" s="1"/>
      <c r="J664" s="1"/>
      <c r="K664" s="1"/>
      <c r="L664" s="1"/>
    </row>
    <row r="665" ht="15.75" customHeight="1">
      <c r="A665" s="36"/>
      <c r="B665" s="37"/>
      <c r="C665" s="1"/>
      <c r="D665" s="1"/>
      <c r="E665" s="1"/>
      <c r="F665" s="1"/>
      <c r="G665" s="1"/>
      <c r="H665" s="1"/>
      <c r="I665" s="1"/>
      <c r="J665" s="1"/>
      <c r="K665" s="1"/>
      <c r="L665" s="1"/>
    </row>
    <row r="666" ht="15.75" customHeight="1">
      <c r="A666" s="36"/>
      <c r="B666" s="37"/>
      <c r="C666" s="1"/>
      <c r="D666" s="1"/>
      <c r="E666" s="1"/>
      <c r="F666" s="1"/>
      <c r="G666" s="1"/>
      <c r="H666" s="1"/>
      <c r="I666" s="1"/>
      <c r="J666" s="1"/>
      <c r="K666" s="1"/>
      <c r="L666" s="1"/>
    </row>
    <row r="667" ht="15.75" customHeight="1">
      <c r="A667" s="36"/>
      <c r="B667" s="37"/>
      <c r="C667" s="1"/>
      <c r="D667" s="1"/>
      <c r="E667" s="1"/>
      <c r="F667" s="1"/>
      <c r="G667" s="1"/>
      <c r="H667" s="1"/>
      <c r="I667" s="1"/>
      <c r="J667" s="1"/>
      <c r="K667" s="1"/>
      <c r="L667" s="1"/>
    </row>
    <row r="668" ht="15.75" customHeight="1">
      <c r="A668" s="36"/>
      <c r="B668" s="37"/>
      <c r="C668" s="1"/>
      <c r="D668" s="1"/>
      <c r="E668" s="1"/>
      <c r="F668" s="1"/>
      <c r="G668" s="1"/>
      <c r="H668" s="1"/>
      <c r="I668" s="1"/>
      <c r="J668" s="1"/>
      <c r="K668" s="1"/>
      <c r="L668" s="1"/>
    </row>
    <row r="669" ht="15.75" customHeight="1">
      <c r="A669" s="36"/>
      <c r="B669" s="37"/>
      <c r="C669" s="1"/>
      <c r="D669" s="1"/>
      <c r="E669" s="1"/>
      <c r="F669" s="1"/>
      <c r="G669" s="1"/>
      <c r="H669" s="1"/>
      <c r="I669" s="1"/>
      <c r="J669" s="1"/>
      <c r="K669" s="1"/>
      <c r="L669" s="1"/>
    </row>
    <row r="670" ht="15.75" customHeight="1">
      <c r="A670" s="36"/>
      <c r="B670" s="37"/>
      <c r="C670" s="1"/>
      <c r="D670" s="1"/>
      <c r="E670" s="1"/>
      <c r="F670" s="1"/>
      <c r="G670" s="1"/>
      <c r="H670" s="1"/>
      <c r="I670" s="1"/>
      <c r="J670" s="1"/>
      <c r="K670" s="1"/>
      <c r="L670" s="1"/>
    </row>
    <row r="671" ht="15.75" customHeight="1">
      <c r="A671" s="36"/>
      <c r="B671" s="37"/>
      <c r="C671" s="1"/>
      <c r="D671" s="1"/>
      <c r="E671" s="1"/>
      <c r="F671" s="1"/>
      <c r="G671" s="1"/>
      <c r="H671" s="1"/>
      <c r="I671" s="1"/>
      <c r="J671" s="1"/>
      <c r="K671" s="1"/>
      <c r="L671" s="1"/>
    </row>
    <row r="672" ht="15.75" customHeight="1">
      <c r="A672" s="36"/>
      <c r="B672" s="37"/>
      <c r="C672" s="1"/>
      <c r="D672" s="1"/>
      <c r="E672" s="1"/>
      <c r="F672" s="1"/>
      <c r="G672" s="1"/>
      <c r="H672" s="1"/>
      <c r="I672" s="1"/>
      <c r="J672" s="1"/>
      <c r="K672" s="1"/>
      <c r="L672" s="1"/>
    </row>
    <row r="673" ht="15.75" customHeight="1">
      <c r="A673" s="36"/>
      <c r="B673" s="37"/>
      <c r="C673" s="1"/>
      <c r="D673" s="1"/>
      <c r="E673" s="1"/>
      <c r="F673" s="1"/>
      <c r="G673" s="1"/>
      <c r="H673" s="1"/>
      <c r="I673" s="1"/>
      <c r="J673" s="1"/>
      <c r="K673" s="1"/>
      <c r="L673" s="1"/>
    </row>
    <row r="674" ht="15.75" customHeight="1">
      <c r="A674" s="36"/>
      <c r="B674" s="37"/>
      <c r="C674" s="1"/>
      <c r="D674" s="1"/>
      <c r="E674" s="1"/>
      <c r="F674" s="1"/>
      <c r="G674" s="1"/>
      <c r="H674" s="1"/>
      <c r="I674" s="1"/>
      <c r="J674" s="1"/>
      <c r="K674" s="1"/>
      <c r="L674" s="1"/>
    </row>
    <row r="675" ht="15.75" customHeight="1">
      <c r="A675" s="36"/>
      <c r="B675" s="37"/>
      <c r="C675" s="1"/>
      <c r="D675" s="1"/>
      <c r="E675" s="1"/>
      <c r="F675" s="1"/>
      <c r="G675" s="1"/>
      <c r="H675" s="1"/>
      <c r="I675" s="1"/>
      <c r="J675" s="1"/>
      <c r="K675" s="1"/>
      <c r="L675" s="1"/>
    </row>
    <row r="676" ht="15.75" customHeight="1">
      <c r="A676" s="36"/>
      <c r="B676" s="37"/>
      <c r="C676" s="1"/>
      <c r="D676" s="1"/>
      <c r="E676" s="1"/>
      <c r="F676" s="1"/>
      <c r="G676" s="1"/>
      <c r="H676" s="1"/>
      <c r="I676" s="1"/>
      <c r="J676" s="1"/>
      <c r="K676" s="1"/>
      <c r="L676" s="1"/>
    </row>
    <row r="677" ht="15.75" customHeight="1">
      <c r="A677" s="36"/>
      <c r="B677" s="37"/>
      <c r="C677" s="1"/>
      <c r="D677" s="1"/>
      <c r="E677" s="1"/>
      <c r="F677" s="1"/>
      <c r="G677" s="1"/>
      <c r="H677" s="1"/>
      <c r="I677" s="1"/>
      <c r="J677" s="1"/>
      <c r="K677" s="1"/>
      <c r="L677" s="1"/>
    </row>
    <row r="678" ht="15.75" customHeight="1">
      <c r="A678" s="36"/>
      <c r="B678" s="37"/>
      <c r="C678" s="1"/>
      <c r="D678" s="1"/>
      <c r="E678" s="1"/>
      <c r="F678" s="1"/>
      <c r="G678" s="1"/>
      <c r="H678" s="1"/>
      <c r="I678" s="1"/>
      <c r="J678" s="1"/>
      <c r="K678" s="1"/>
      <c r="L678" s="1"/>
    </row>
    <row r="679" ht="15.75" customHeight="1">
      <c r="A679" s="36"/>
      <c r="B679" s="37"/>
      <c r="C679" s="1"/>
      <c r="D679" s="1"/>
      <c r="E679" s="1"/>
      <c r="F679" s="1"/>
      <c r="G679" s="1"/>
      <c r="H679" s="1"/>
      <c r="I679" s="1"/>
      <c r="J679" s="1"/>
      <c r="K679" s="1"/>
      <c r="L679" s="1"/>
    </row>
    <row r="680" ht="15.75" customHeight="1">
      <c r="A680" s="36"/>
      <c r="B680" s="37"/>
      <c r="C680" s="1"/>
      <c r="D680" s="1"/>
      <c r="E680" s="1"/>
      <c r="F680" s="1"/>
      <c r="G680" s="1"/>
      <c r="H680" s="1"/>
      <c r="I680" s="1"/>
      <c r="J680" s="1"/>
      <c r="K680" s="1"/>
      <c r="L680" s="1"/>
    </row>
    <row r="681" ht="15.75" customHeight="1">
      <c r="A681" s="36"/>
      <c r="B681" s="37"/>
      <c r="C681" s="1"/>
      <c r="D681" s="1"/>
      <c r="E681" s="1"/>
      <c r="F681" s="1"/>
      <c r="G681" s="1"/>
      <c r="H681" s="1"/>
      <c r="I681" s="1"/>
      <c r="J681" s="1"/>
      <c r="K681" s="1"/>
      <c r="L681" s="1"/>
    </row>
    <row r="682" ht="15.75" customHeight="1">
      <c r="A682" s="36"/>
      <c r="B682" s="37"/>
      <c r="C682" s="1"/>
      <c r="D682" s="1"/>
      <c r="E682" s="1"/>
      <c r="F682" s="1"/>
      <c r="G682" s="1"/>
      <c r="H682" s="1"/>
      <c r="I682" s="1"/>
      <c r="J682" s="1"/>
      <c r="K682" s="1"/>
      <c r="L682" s="1"/>
    </row>
    <row r="683" ht="15.75" customHeight="1">
      <c r="A683" s="36"/>
      <c r="B683" s="37"/>
      <c r="C683" s="1"/>
      <c r="D683" s="1"/>
      <c r="E683" s="1"/>
      <c r="F683" s="1"/>
      <c r="G683" s="1"/>
      <c r="H683" s="1"/>
      <c r="I683" s="1"/>
      <c r="J683" s="1"/>
      <c r="K683" s="1"/>
      <c r="L683" s="1"/>
    </row>
    <row r="684" ht="15.75" customHeight="1">
      <c r="A684" s="36"/>
      <c r="B684" s="37"/>
      <c r="C684" s="1"/>
      <c r="D684" s="1"/>
      <c r="E684" s="1"/>
      <c r="F684" s="1"/>
      <c r="G684" s="1"/>
      <c r="H684" s="1"/>
      <c r="I684" s="1"/>
      <c r="J684" s="1"/>
      <c r="K684" s="1"/>
      <c r="L684" s="1"/>
    </row>
    <row r="685" ht="15.75" customHeight="1">
      <c r="A685" s="36"/>
      <c r="B685" s="37"/>
      <c r="C685" s="1"/>
      <c r="D685" s="1"/>
      <c r="E685" s="1"/>
      <c r="F685" s="1"/>
      <c r="G685" s="1"/>
      <c r="H685" s="1"/>
      <c r="I685" s="1"/>
      <c r="J685" s="1"/>
      <c r="K685" s="1"/>
      <c r="L685" s="1"/>
    </row>
    <row r="686" ht="15.75" customHeight="1">
      <c r="A686" s="36"/>
      <c r="B686" s="37"/>
      <c r="C686" s="1"/>
      <c r="D686" s="1"/>
      <c r="E686" s="1"/>
      <c r="F686" s="1"/>
      <c r="G686" s="1"/>
      <c r="H686" s="1"/>
      <c r="I686" s="1"/>
      <c r="J686" s="1"/>
      <c r="K686" s="1"/>
      <c r="L686" s="1"/>
    </row>
    <row r="687" ht="15.75" customHeight="1">
      <c r="A687" s="36"/>
      <c r="B687" s="37"/>
      <c r="C687" s="1"/>
      <c r="D687" s="1"/>
      <c r="E687" s="1"/>
      <c r="F687" s="1"/>
      <c r="G687" s="1"/>
      <c r="H687" s="1"/>
      <c r="I687" s="1"/>
      <c r="J687" s="1"/>
      <c r="K687" s="1"/>
      <c r="L687" s="1"/>
    </row>
    <row r="688" ht="15.75" customHeight="1">
      <c r="A688" s="36"/>
      <c r="B688" s="37"/>
      <c r="C688" s="1"/>
      <c r="D688" s="1"/>
      <c r="E688" s="1"/>
      <c r="F688" s="1"/>
      <c r="G688" s="1"/>
      <c r="H688" s="1"/>
      <c r="I688" s="1"/>
      <c r="J688" s="1"/>
      <c r="K688" s="1"/>
      <c r="L688" s="1"/>
    </row>
    <row r="689" ht="15.75" customHeight="1">
      <c r="A689" s="36"/>
      <c r="B689" s="37"/>
      <c r="C689" s="1"/>
      <c r="D689" s="1"/>
      <c r="E689" s="1"/>
      <c r="F689" s="1"/>
      <c r="G689" s="1"/>
      <c r="H689" s="1"/>
      <c r="I689" s="1"/>
      <c r="J689" s="1"/>
      <c r="K689" s="1"/>
      <c r="L689" s="1"/>
    </row>
    <row r="690" ht="15.75" customHeight="1">
      <c r="A690" s="36"/>
      <c r="B690" s="37"/>
      <c r="C690" s="1"/>
      <c r="D690" s="1"/>
      <c r="E690" s="1"/>
      <c r="F690" s="1"/>
      <c r="G690" s="1"/>
      <c r="H690" s="1"/>
      <c r="I690" s="1"/>
      <c r="J690" s="1"/>
      <c r="K690" s="1"/>
      <c r="L690" s="1"/>
    </row>
    <row r="691" ht="15.75" customHeight="1">
      <c r="A691" s="36"/>
      <c r="B691" s="37"/>
      <c r="C691" s="1"/>
      <c r="D691" s="1"/>
      <c r="E691" s="1"/>
      <c r="F691" s="1"/>
      <c r="G691" s="1"/>
      <c r="H691" s="1"/>
      <c r="I691" s="1"/>
      <c r="J691" s="1"/>
      <c r="K691" s="1"/>
      <c r="L691" s="1"/>
    </row>
    <row r="692" ht="15.75" customHeight="1">
      <c r="A692" s="36"/>
      <c r="B692" s="37"/>
      <c r="C692" s="1"/>
      <c r="D692" s="1"/>
      <c r="E692" s="1"/>
      <c r="F692" s="1"/>
      <c r="G692" s="1"/>
      <c r="H692" s="1"/>
      <c r="I692" s="1"/>
      <c r="J692" s="1"/>
      <c r="K692" s="1"/>
      <c r="L692" s="1"/>
    </row>
    <row r="693" ht="15.75" customHeight="1">
      <c r="A693" s="36"/>
      <c r="B693" s="37"/>
      <c r="C693" s="1"/>
      <c r="D693" s="1"/>
      <c r="E693" s="1"/>
      <c r="F693" s="1"/>
      <c r="G693" s="1"/>
      <c r="H693" s="1"/>
      <c r="I693" s="1"/>
      <c r="J693" s="1"/>
      <c r="K693" s="1"/>
      <c r="L693" s="1"/>
    </row>
    <row r="694" ht="15.75" customHeight="1">
      <c r="A694" s="36"/>
      <c r="B694" s="37"/>
      <c r="C694" s="1"/>
      <c r="D694" s="1"/>
      <c r="E694" s="1"/>
      <c r="F694" s="1"/>
      <c r="G694" s="1"/>
      <c r="H694" s="1"/>
      <c r="I694" s="1"/>
      <c r="J694" s="1"/>
      <c r="K694" s="1"/>
      <c r="L694" s="1"/>
    </row>
    <row r="695" ht="15.75" customHeight="1">
      <c r="A695" s="36"/>
      <c r="B695" s="37"/>
      <c r="C695" s="1"/>
      <c r="D695" s="1"/>
      <c r="E695" s="1"/>
      <c r="F695" s="1"/>
      <c r="G695" s="1"/>
      <c r="H695" s="1"/>
      <c r="I695" s="1"/>
      <c r="J695" s="1"/>
      <c r="K695" s="1"/>
      <c r="L695" s="1"/>
    </row>
    <row r="696" ht="15.75" customHeight="1">
      <c r="A696" s="36"/>
      <c r="B696" s="37"/>
      <c r="C696" s="1"/>
      <c r="D696" s="1"/>
      <c r="E696" s="1"/>
      <c r="F696" s="1"/>
      <c r="G696" s="1"/>
      <c r="H696" s="1"/>
      <c r="I696" s="1"/>
      <c r="J696" s="1"/>
      <c r="K696" s="1"/>
      <c r="L696" s="1"/>
    </row>
    <row r="697" ht="15.75" customHeight="1">
      <c r="A697" s="36"/>
      <c r="B697" s="37"/>
      <c r="C697" s="1"/>
      <c r="D697" s="1"/>
      <c r="E697" s="1"/>
      <c r="F697" s="1"/>
      <c r="G697" s="1"/>
      <c r="H697" s="1"/>
      <c r="I697" s="1"/>
      <c r="J697" s="1"/>
      <c r="K697" s="1"/>
      <c r="L697" s="1"/>
    </row>
    <row r="698" ht="15.75" customHeight="1">
      <c r="A698" s="36"/>
      <c r="B698" s="37"/>
      <c r="C698" s="1"/>
      <c r="D698" s="1"/>
      <c r="E698" s="1"/>
      <c r="F698" s="1"/>
      <c r="G698" s="1"/>
      <c r="H698" s="1"/>
      <c r="I698" s="1"/>
      <c r="J698" s="1"/>
      <c r="K698" s="1"/>
      <c r="L698" s="1"/>
    </row>
    <row r="699" ht="15.75" customHeight="1">
      <c r="A699" s="36"/>
      <c r="B699" s="37"/>
      <c r="C699" s="1"/>
      <c r="D699" s="1"/>
      <c r="E699" s="1"/>
      <c r="F699" s="1"/>
      <c r="G699" s="1"/>
      <c r="H699" s="1"/>
      <c r="I699" s="1"/>
      <c r="J699" s="1"/>
      <c r="K699" s="1"/>
      <c r="L699" s="1"/>
    </row>
    <row r="700" ht="15.75" customHeight="1">
      <c r="A700" s="36"/>
      <c r="B700" s="37"/>
      <c r="C700" s="1"/>
      <c r="D700" s="1"/>
      <c r="E700" s="1"/>
      <c r="F700" s="1"/>
      <c r="G700" s="1"/>
      <c r="H700" s="1"/>
      <c r="I700" s="1"/>
      <c r="J700" s="1"/>
      <c r="K700" s="1"/>
      <c r="L700" s="1"/>
    </row>
    <row r="701" ht="15.75" customHeight="1">
      <c r="A701" s="36"/>
      <c r="B701" s="37"/>
      <c r="C701" s="1"/>
      <c r="D701" s="1"/>
      <c r="E701" s="1"/>
      <c r="F701" s="1"/>
      <c r="G701" s="1"/>
      <c r="H701" s="1"/>
      <c r="I701" s="1"/>
      <c r="J701" s="1"/>
      <c r="K701" s="1"/>
      <c r="L701" s="1"/>
    </row>
    <row r="702" ht="15.75" customHeight="1">
      <c r="A702" s="36"/>
      <c r="B702" s="37"/>
      <c r="C702" s="1"/>
      <c r="D702" s="1"/>
      <c r="E702" s="1"/>
      <c r="F702" s="1"/>
      <c r="G702" s="1"/>
      <c r="H702" s="1"/>
      <c r="I702" s="1"/>
      <c r="J702" s="1"/>
      <c r="K702" s="1"/>
      <c r="L702" s="1"/>
    </row>
    <row r="703" ht="15.75" customHeight="1">
      <c r="A703" s="36"/>
      <c r="B703" s="37"/>
      <c r="C703" s="1"/>
      <c r="D703" s="1"/>
      <c r="E703" s="1"/>
      <c r="F703" s="1"/>
      <c r="G703" s="1"/>
      <c r="H703" s="1"/>
      <c r="I703" s="1"/>
      <c r="J703" s="1"/>
      <c r="K703" s="1"/>
      <c r="L703" s="1"/>
    </row>
    <row r="704" ht="15.75" customHeight="1">
      <c r="A704" s="36"/>
      <c r="B704" s="37"/>
      <c r="C704" s="1"/>
      <c r="D704" s="1"/>
      <c r="E704" s="1"/>
      <c r="F704" s="1"/>
      <c r="G704" s="1"/>
      <c r="H704" s="1"/>
      <c r="I704" s="1"/>
      <c r="J704" s="1"/>
      <c r="K704" s="1"/>
      <c r="L704" s="1"/>
    </row>
    <row r="705" ht="15.75" customHeight="1">
      <c r="A705" s="36"/>
      <c r="B705" s="37"/>
      <c r="C705" s="1"/>
      <c r="D705" s="1"/>
      <c r="E705" s="1"/>
      <c r="F705" s="1"/>
      <c r="G705" s="1"/>
      <c r="H705" s="1"/>
      <c r="I705" s="1"/>
      <c r="J705" s="1"/>
      <c r="K705" s="1"/>
      <c r="L705" s="1"/>
    </row>
    <row r="706" ht="15.75" customHeight="1">
      <c r="A706" s="36"/>
      <c r="B706" s="37"/>
      <c r="C706" s="1"/>
      <c r="D706" s="1"/>
      <c r="E706" s="1"/>
      <c r="F706" s="1"/>
      <c r="G706" s="1"/>
      <c r="H706" s="1"/>
      <c r="I706" s="1"/>
      <c r="J706" s="1"/>
      <c r="K706" s="1"/>
      <c r="L706" s="1"/>
    </row>
    <row r="707" ht="15.75" customHeight="1">
      <c r="A707" s="36"/>
      <c r="B707" s="37"/>
      <c r="C707" s="1"/>
      <c r="D707" s="1"/>
      <c r="E707" s="1"/>
      <c r="F707" s="1"/>
      <c r="G707" s="1"/>
      <c r="H707" s="1"/>
      <c r="I707" s="1"/>
      <c r="J707" s="1"/>
      <c r="K707" s="1"/>
      <c r="L707" s="1"/>
    </row>
    <row r="708" ht="15.75" customHeight="1">
      <c r="A708" s="36"/>
      <c r="B708" s="37"/>
      <c r="C708" s="1"/>
      <c r="D708" s="1"/>
      <c r="E708" s="1"/>
      <c r="F708" s="1"/>
      <c r="G708" s="1"/>
      <c r="H708" s="1"/>
      <c r="I708" s="1"/>
      <c r="J708" s="1"/>
      <c r="K708" s="1"/>
      <c r="L708" s="1"/>
    </row>
    <row r="709" ht="15.75" customHeight="1">
      <c r="A709" s="36"/>
      <c r="B709" s="37"/>
      <c r="C709" s="1"/>
      <c r="D709" s="1"/>
      <c r="E709" s="1"/>
      <c r="F709" s="1"/>
      <c r="G709" s="1"/>
      <c r="H709" s="1"/>
      <c r="I709" s="1"/>
      <c r="J709" s="1"/>
      <c r="K709" s="1"/>
      <c r="L709" s="1"/>
    </row>
    <row r="710" ht="15.75" customHeight="1">
      <c r="A710" s="36"/>
      <c r="B710" s="37"/>
      <c r="C710" s="1"/>
      <c r="D710" s="1"/>
      <c r="E710" s="1"/>
      <c r="F710" s="1"/>
      <c r="G710" s="1"/>
      <c r="H710" s="1"/>
      <c r="I710" s="1"/>
      <c r="J710" s="1"/>
      <c r="K710" s="1"/>
      <c r="L710" s="1"/>
    </row>
    <row r="711" ht="15.75" customHeight="1">
      <c r="A711" s="36"/>
      <c r="B711" s="37"/>
      <c r="C711" s="1"/>
      <c r="D711" s="1"/>
      <c r="E711" s="1"/>
      <c r="F711" s="1"/>
      <c r="G711" s="1"/>
      <c r="H711" s="1"/>
      <c r="I711" s="1"/>
      <c r="J711" s="1"/>
      <c r="K711" s="1"/>
      <c r="L711" s="1"/>
    </row>
    <row r="712" ht="15.75" customHeight="1">
      <c r="A712" s="36"/>
      <c r="B712" s="37"/>
      <c r="C712" s="1"/>
      <c r="D712" s="1"/>
      <c r="E712" s="1"/>
      <c r="F712" s="1"/>
      <c r="G712" s="1"/>
      <c r="H712" s="1"/>
      <c r="I712" s="1"/>
      <c r="J712" s="1"/>
      <c r="K712" s="1"/>
      <c r="L712" s="1"/>
    </row>
    <row r="713" ht="15.75" customHeight="1">
      <c r="A713" s="36"/>
      <c r="B713" s="37"/>
      <c r="C713" s="1"/>
      <c r="D713" s="1"/>
      <c r="E713" s="1"/>
      <c r="F713" s="1"/>
      <c r="G713" s="1"/>
      <c r="H713" s="1"/>
      <c r="I713" s="1"/>
      <c r="J713" s="1"/>
      <c r="K713" s="1"/>
      <c r="L713" s="1"/>
    </row>
    <row r="714" ht="15.75" customHeight="1">
      <c r="A714" s="36"/>
      <c r="B714" s="37"/>
      <c r="C714" s="1"/>
      <c r="D714" s="1"/>
      <c r="E714" s="1"/>
      <c r="F714" s="1"/>
      <c r="G714" s="1"/>
      <c r="H714" s="1"/>
      <c r="I714" s="1"/>
      <c r="J714" s="1"/>
      <c r="K714" s="1"/>
      <c r="L714" s="1"/>
    </row>
    <row r="715" ht="15.75" customHeight="1">
      <c r="A715" s="36"/>
      <c r="B715" s="37"/>
      <c r="C715" s="1"/>
      <c r="D715" s="1"/>
      <c r="E715" s="1"/>
      <c r="F715" s="1"/>
      <c r="G715" s="1"/>
      <c r="H715" s="1"/>
      <c r="I715" s="1"/>
      <c r="J715" s="1"/>
      <c r="K715" s="1"/>
      <c r="L715" s="1"/>
    </row>
    <row r="716" ht="15.75" customHeight="1">
      <c r="A716" s="36"/>
      <c r="B716" s="37"/>
      <c r="C716" s="1"/>
      <c r="D716" s="1"/>
      <c r="E716" s="1"/>
      <c r="F716" s="1"/>
      <c r="G716" s="1"/>
      <c r="H716" s="1"/>
      <c r="I716" s="1"/>
      <c r="J716" s="1"/>
      <c r="K716" s="1"/>
      <c r="L716" s="1"/>
    </row>
    <row r="717" ht="15.75" customHeight="1">
      <c r="A717" s="36"/>
      <c r="B717" s="37"/>
      <c r="C717" s="1"/>
      <c r="D717" s="1"/>
      <c r="E717" s="1"/>
      <c r="F717" s="1"/>
      <c r="G717" s="1"/>
      <c r="H717" s="1"/>
      <c r="I717" s="1"/>
      <c r="J717" s="1"/>
      <c r="K717" s="1"/>
      <c r="L717" s="1"/>
    </row>
    <row r="718" ht="15.75" customHeight="1">
      <c r="A718" s="36"/>
      <c r="B718" s="37"/>
      <c r="C718" s="1"/>
      <c r="D718" s="1"/>
      <c r="E718" s="1"/>
      <c r="F718" s="1"/>
      <c r="G718" s="1"/>
      <c r="H718" s="1"/>
      <c r="I718" s="1"/>
      <c r="J718" s="1"/>
      <c r="K718" s="1"/>
      <c r="L718" s="1"/>
    </row>
    <row r="719" ht="15.75" customHeight="1">
      <c r="A719" s="36"/>
      <c r="B719" s="37"/>
      <c r="C719" s="1"/>
      <c r="D719" s="1"/>
      <c r="E719" s="1"/>
      <c r="F719" s="1"/>
      <c r="G719" s="1"/>
      <c r="H719" s="1"/>
      <c r="I719" s="1"/>
      <c r="J719" s="1"/>
      <c r="K719" s="1"/>
      <c r="L719" s="1"/>
    </row>
    <row r="720" ht="15.75" customHeight="1">
      <c r="A720" s="36"/>
      <c r="B720" s="37"/>
      <c r="C720" s="1"/>
      <c r="D720" s="1"/>
      <c r="E720" s="1"/>
      <c r="F720" s="1"/>
      <c r="G720" s="1"/>
      <c r="H720" s="1"/>
      <c r="I720" s="1"/>
      <c r="J720" s="1"/>
      <c r="K720" s="1"/>
      <c r="L720" s="1"/>
    </row>
    <row r="721" ht="15.75" customHeight="1">
      <c r="A721" s="36"/>
      <c r="B721" s="37"/>
      <c r="C721" s="1"/>
      <c r="D721" s="1"/>
      <c r="E721" s="1"/>
      <c r="F721" s="1"/>
      <c r="G721" s="1"/>
      <c r="H721" s="1"/>
      <c r="I721" s="1"/>
      <c r="J721" s="1"/>
      <c r="K721" s="1"/>
      <c r="L721" s="1"/>
    </row>
    <row r="722" ht="15.75" customHeight="1">
      <c r="A722" s="36"/>
      <c r="B722" s="37"/>
      <c r="C722" s="1"/>
      <c r="D722" s="1"/>
      <c r="E722" s="1"/>
      <c r="F722" s="1"/>
      <c r="G722" s="1"/>
      <c r="H722" s="1"/>
      <c r="I722" s="1"/>
      <c r="J722" s="1"/>
      <c r="K722" s="1"/>
      <c r="L722" s="1"/>
    </row>
    <row r="723" ht="15.75" customHeight="1">
      <c r="A723" s="36"/>
      <c r="B723" s="37"/>
      <c r="C723" s="1"/>
      <c r="D723" s="1"/>
      <c r="E723" s="1"/>
      <c r="F723" s="1"/>
      <c r="G723" s="1"/>
      <c r="H723" s="1"/>
      <c r="I723" s="1"/>
      <c r="J723" s="1"/>
      <c r="K723" s="1"/>
      <c r="L723" s="1"/>
    </row>
    <row r="724" ht="15.75" customHeight="1">
      <c r="A724" s="36"/>
      <c r="B724" s="37"/>
      <c r="C724" s="1"/>
      <c r="D724" s="1"/>
      <c r="E724" s="1"/>
      <c r="F724" s="1"/>
      <c r="G724" s="1"/>
      <c r="H724" s="1"/>
      <c r="I724" s="1"/>
      <c r="J724" s="1"/>
      <c r="K724" s="1"/>
      <c r="L724" s="1"/>
    </row>
    <row r="725" ht="15.75" customHeight="1">
      <c r="A725" s="36"/>
      <c r="B725" s="37"/>
      <c r="C725" s="1"/>
      <c r="D725" s="1"/>
      <c r="E725" s="1"/>
      <c r="F725" s="1"/>
      <c r="G725" s="1"/>
      <c r="H725" s="1"/>
      <c r="I725" s="1"/>
      <c r="J725" s="1"/>
      <c r="K725" s="1"/>
      <c r="L725" s="1"/>
    </row>
    <row r="726" ht="15.75" customHeight="1">
      <c r="A726" s="36"/>
      <c r="B726" s="37"/>
      <c r="C726" s="1"/>
      <c r="D726" s="1"/>
      <c r="E726" s="1"/>
      <c r="F726" s="1"/>
      <c r="G726" s="1"/>
      <c r="H726" s="1"/>
      <c r="I726" s="1"/>
      <c r="J726" s="1"/>
      <c r="K726" s="1"/>
      <c r="L726" s="1"/>
    </row>
    <row r="727" ht="15.75" customHeight="1">
      <c r="A727" s="36"/>
      <c r="B727" s="37"/>
      <c r="C727" s="1"/>
      <c r="D727" s="1"/>
      <c r="E727" s="1"/>
      <c r="F727" s="1"/>
      <c r="G727" s="1"/>
      <c r="H727" s="1"/>
      <c r="I727" s="1"/>
      <c r="J727" s="1"/>
      <c r="K727" s="1"/>
      <c r="L727" s="1"/>
    </row>
    <row r="728" ht="15.75" customHeight="1">
      <c r="A728" s="36"/>
      <c r="B728" s="37"/>
      <c r="C728" s="1"/>
      <c r="D728" s="1"/>
      <c r="E728" s="1"/>
      <c r="F728" s="1"/>
      <c r="G728" s="1"/>
      <c r="H728" s="1"/>
      <c r="I728" s="1"/>
      <c r="J728" s="1"/>
      <c r="K728" s="1"/>
      <c r="L728" s="1"/>
    </row>
    <row r="729" ht="15.75" customHeight="1">
      <c r="A729" s="36"/>
      <c r="B729" s="37"/>
      <c r="C729" s="1"/>
      <c r="D729" s="1"/>
      <c r="E729" s="1"/>
      <c r="F729" s="1"/>
      <c r="G729" s="1"/>
      <c r="H729" s="1"/>
      <c r="I729" s="1"/>
      <c r="J729" s="1"/>
      <c r="K729" s="1"/>
      <c r="L729" s="1"/>
    </row>
    <row r="730" ht="15.75" customHeight="1">
      <c r="A730" s="36"/>
      <c r="B730" s="37"/>
      <c r="C730" s="1"/>
      <c r="D730" s="1"/>
      <c r="E730" s="1"/>
      <c r="F730" s="1"/>
      <c r="G730" s="1"/>
      <c r="H730" s="1"/>
      <c r="I730" s="1"/>
      <c r="J730" s="1"/>
      <c r="K730" s="1"/>
      <c r="L730" s="1"/>
    </row>
    <row r="731" ht="15.75" customHeight="1">
      <c r="A731" s="36"/>
      <c r="B731" s="37"/>
      <c r="C731" s="1"/>
      <c r="D731" s="1"/>
      <c r="E731" s="1"/>
      <c r="F731" s="1"/>
      <c r="G731" s="1"/>
      <c r="H731" s="1"/>
      <c r="I731" s="1"/>
      <c r="J731" s="1"/>
      <c r="K731" s="1"/>
      <c r="L731" s="1"/>
    </row>
    <row r="732" ht="15.75" customHeight="1">
      <c r="A732" s="36"/>
      <c r="B732" s="37"/>
      <c r="C732" s="1"/>
      <c r="D732" s="1"/>
      <c r="E732" s="1"/>
      <c r="F732" s="1"/>
      <c r="G732" s="1"/>
      <c r="H732" s="1"/>
      <c r="I732" s="1"/>
      <c r="J732" s="1"/>
      <c r="K732" s="1"/>
      <c r="L732" s="1"/>
    </row>
    <row r="733" ht="15.75" customHeight="1">
      <c r="A733" s="36"/>
      <c r="B733" s="37"/>
      <c r="C733" s="1"/>
      <c r="D733" s="1"/>
      <c r="E733" s="1"/>
      <c r="F733" s="1"/>
      <c r="G733" s="1"/>
      <c r="H733" s="1"/>
      <c r="I733" s="1"/>
      <c r="J733" s="1"/>
      <c r="K733" s="1"/>
      <c r="L733" s="1"/>
    </row>
    <row r="734" ht="15.75" customHeight="1">
      <c r="A734" s="36"/>
      <c r="B734" s="37"/>
      <c r="C734" s="1"/>
      <c r="D734" s="1"/>
      <c r="E734" s="1"/>
      <c r="F734" s="1"/>
      <c r="G734" s="1"/>
      <c r="H734" s="1"/>
      <c r="I734" s="1"/>
      <c r="J734" s="1"/>
      <c r="K734" s="1"/>
      <c r="L734" s="1"/>
    </row>
    <row r="735" ht="15.75" customHeight="1">
      <c r="A735" s="36"/>
      <c r="B735" s="37"/>
      <c r="C735" s="1"/>
      <c r="D735" s="1"/>
      <c r="E735" s="1"/>
      <c r="F735" s="1"/>
      <c r="G735" s="1"/>
      <c r="H735" s="1"/>
      <c r="I735" s="1"/>
      <c r="J735" s="1"/>
      <c r="K735" s="1"/>
      <c r="L735" s="1"/>
    </row>
    <row r="736" ht="15.75" customHeight="1">
      <c r="A736" s="36"/>
      <c r="B736" s="37"/>
      <c r="C736" s="1"/>
      <c r="D736" s="1"/>
      <c r="E736" s="1"/>
      <c r="F736" s="1"/>
      <c r="G736" s="1"/>
      <c r="H736" s="1"/>
      <c r="I736" s="1"/>
      <c r="J736" s="1"/>
      <c r="K736" s="1"/>
      <c r="L736" s="1"/>
    </row>
    <row r="737" ht="15.75" customHeight="1">
      <c r="A737" s="36"/>
      <c r="B737" s="37"/>
      <c r="C737" s="1"/>
      <c r="D737" s="1"/>
      <c r="E737" s="1"/>
      <c r="F737" s="1"/>
      <c r="G737" s="1"/>
      <c r="H737" s="1"/>
      <c r="I737" s="1"/>
      <c r="J737" s="1"/>
      <c r="K737" s="1"/>
      <c r="L737" s="1"/>
    </row>
    <row r="738" ht="15.75" customHeight="1">
      <c r="A738" s="36"/>
      <c r="B738" s="37"/>
      <c r="C738" s="1"/>
      <c r="D738" s="1"/>
      <c r="E738" s="1"/>
      <c r="F738" s="1"/>
      <c r="G738" s="1"/>
      <c r="H738" s="1"/>
      <c r="I738" s="1"/>
      <c r="J738" s="1"/>
      <c r="K738" s="1"/>
      <c r="L738" s="1"/>
    </row>
    <row r="739" ht="15.75" customHeight="1">
      <c r="A739" s="36"/>
      <c r="B739" s="37"/>
      <c r="C739" s="1"/>
      <c r="D739" s="1"/>
      <c r="E739" s="1"/>
      <c r="F739" s="1"/>
      <c r="G739" s="1"/>
      <c r="H739" s="1"/>
      <c r="I739" s="1"/>
      <c r="J739" s="1"/>
      <c r="K739" s="1"/>
      <c r="L739" s="1"/>
    </row>
    <row r="740" ht="15.75" customHeight="1">
      <c r="A740" s="36"/>
      <c r="B740" s="37"/>
      <c r="C740" s="1"/>
      <c r="D740" s="1"/>
      <c r="E740" s="1"/>
      <c r="F740" s="1"/>
      <c r="G740" s="1"/>
      <c r="H740" s="1"/>
      <c r="I740" s="1"/>
      <c r="J740" s="1"/>
      <c r="K740" s="1"/>
      <c r="L740" s="1"/>
    </row>
    <row r="741" ht="15.75" customHeight="1">
      <c r="A741" s="36"/>
      <c r="B741" s="37"/>
      <c r="C741" s="1"/>
      <c r="D741" s="1"/>
      <c r="E741" s="1"/>
      <c r="F741" s="1"/>
      <c r="G741" s="1"/>
      <c r="H741" s="1"/>
      <c r="I741" s="1"/>
      <c r="J741" s="1"/>
      <c r="K741" s="1"/>
      <c r="L741" s="1"/>
    </row>
    <row r="742" ht="15.75" customHeight="1">
      <c r="A742" s="36"/>
      <c r="B742" s="37"/>
      <c r="C742" s="1"/>
      <c r="D742" s="1"/>
      <c r="E742" s="1"/>
      <c r="F742" s="1"/>
      <c r="G742" s="1"/>
      <c r="H742" s="1"/>
      <c r="I742" s="1"/>
      <c r="J742" s="1"/>
      <c r="K742" s="1"/>
      <c r="L742" s="1"/>
    </row>
    <row r="743" ht="15.75" customHeight="1">
      <c r="A743" s="36"/>
      <c r="B743" s="37"/>
      <c r="C743" s="1"/>
      <c r="D743" s="1"/>
      <c r="E743" s="1"/>
      <c r="F743" s="1"/>
      <c r="G743" s="1"/>
      <c r="H743" s="1"/>
      <c r="I743" s="1"/>
      <c r="J743" s="1"/>
      <c r="K743" s="1"/>
      <c r="L743" s="1"/>
    </row>
    <row r="744" ht="15.75" customHeight="1">
      <c r="A744" s="36"/>
      <c r="B744" s="37"/>
      <c r="C744" s="1"/>
      <c r="D744" s="1"/>
      <c r="E744" s="1"/>
      <c r="F744" s="1"/>
      <c r="G744" s="1"/>
      <c r="H744" s="1"/>
      <c r="I744" s="1"/>
      <c r="J744" s="1"/>
      <c r="K744" s="1"/>
      <c r="L744" s="1"/>
    </row>
    <row r="745" ht="15.75" customHeight="1">
      <c r="A745" s="36"/>
      <c r="B745" s="37"/>
      <c r="C745" s="1"/>
      <c r="D745" s="1"/>
      <c r="E745" s="1"/>
      <c r="F745" s="1"/>
      <c r="G745" s="1"/>
      <c r="H745" s="1"/>
      <c r="I745" s="1"/>
      <c r="J745" s="1"/>
      <c r="K745" s="1"/>
      <c r="L745" s="1"/>
    </row>
    <row r="746" ht="15.75" customHeight="1">
      <c r="A746" s="36"/>
      <c r="B746" s="37"/>
      <c r="C746" s="1"/>
      <c r="D746" s="1"/>
      <c r="E746" s="1"/>
      <c r="F746" s="1"/>
      <c r="G746" s="1"/>
      <c r="H746" s="1"/>
      <c r="I746" s="1"/>
      <c r="J746" s="1"/>
      <c r="K746" s="1"/>
      <c r="L746" s="1"/>
    </row>
    <row r="747" ht="15.75" customHeight="1">
      <c r="A747" s="36"/>
      <c r="B747" s="37"/>
      <c r="C747" s="1"/>
      <c r="D747" s="1"/>
      <c r="E747" s="1"/>
      <c r="F747" s="1"/>
      <c r="G747" s="1"/>
      <c r="H747" s="1"/>
      <c r="I747" s="1"/>
      <c r="J747" s="1"/>
      <c r="K747" s="1"/>
      <c r="L747" s="1"/>
    </row>
    <row r="748" ht="15.75" customHeight="1">
      <c r="A748" s="36"/>
      <c r="B748" s="37"/>
      <c r="C748" s="1"/>
      <c r="D748" s="1"/>
      <c r="E748" s="1"/>
      <c r="F748" s="1"/>
      <c r="G748" s="1"/>
      <c r="H748" s="1"/>
      <c r="I748" s="1"/>
      <c r="J748" s="1"/>
      <c r="K748" s="1"/>
      <c r="L748" s="1"/>
    </row>
    <row r="749" ht="15.75" customHeight="1">
      <c r="A749" s="36"/>
      <c r="B749" s="37"/>
      <c r="C749" s="1"/>
      <c r="D749" s="1"/>
      <c r="E749" s="1"/>
      <c r="F749" s="1"/>
      <c r="G749" s="1"/>
      <c r="H749" s="1"/>
      <c r="I749" s="1"/>
      <c r="J749" s="1"/>
      <c r="K749" s="1"/>
      <c r="L749" s="1"/>
    </row>
    <row r="750" ht="15.75" customHeight="1">
      <c r="A750" s="36"/>
      <c r="B750" s="37"/>
      <c r="C750" s="1"/>
      <c r="D750" s="1"/>
      <c r="E750" s="1"/>
      <c r="F750" s="1"/>
      <c r="G750" s="1"/>
      <c r="H750" s="1"/>
      <c r="I750" s="1"/>
      <c r="J750" s="1"/>
      <c r="K750" s="1"/>
      <c r="L750" s="1"/>
    </row>
    <row r="751" ht="15.75" customHeight="1">
      <c r="A751" s="36"/>
      <c r="B751" s="37"/>
      <c r="C751" s="1"/>
      <c r="D751" s="1"/>
      <c r="E751" s="1"/>
      <c r="F751" s="1"/>
      <c r="G751" s="1"/>
      <c r="H751" s="1"/>
      <c r="I751" s="1"/>
      <c r="J751" s="1"/>
      <c r="K751" s="1"/>
      <c r="L751" s="1"/>
    </row>
    <row r="752" ht="15.75" customHeight="1">
      <c r="A752" s="36"/>
      <c r="B752" s="37"/>
      <c r="C752" s="1"/>
      <c r="D752" s="1"/>
      <c r="E752" s="1"/>
      <c r="F752" s="1"/>
      <c r="G752" s="1"/>
      <c r="H752" s="1"/>
      <c r="I752" s="1"/>
      <c r="J752" s="1"/>
      <c r="K752" s="1"/>
      <c r="L752" s="1"/>
    </row>
    <row r="753" ht="15.75" customHeight="1">
      <c r="A753" s="36"/>
      <c r="B753" s="37"/>
      <c r="C753" s="1"/>
      <c r="D753" s="1"/>
      <c r="E753" s="1"/>
      <c r="F753" s="1"/>
      <c r="G753" s="1"/>
      <c r="H753" s="1"/>
      <c r="I753" s="1"/>
      <c r="J753" s="1"/>
      <c r="K753" s="1"/>
      <c r="L753" s="1"/>
    </row>
    <row r="754" ht="15.75" customHeight="1">
      <c r="A754" s="36"/>
      <c r="B754" s="37"/>
      <c r="C754" s="1"/>
      <c r="D754" s="1"/>
      <c r="E754" s="1"/>
      <c r="F754" s="1"/>
      <c r="G754" s="1"/>
      <c r="H754" s="1"/>
      <c r="I754" s="1"/>
      <c r="J754" s="1"/>
      <c r="K754" s="1"/>
      <c r="L754" s="1"/>
    </row>
    <row r="755" ht="15.75" customHeight="1">
      <c r="A755" s="36"/>
      <c r="B755" s="37"/>
      <c r="C755" s="1"/>
      <c r="D755" s="1"/>
      <c r="E755" s="1"/>
      <c r="F755" s="1"/>
      <c r="G755" s="1"/>
      <c r="H755" s="1"/>
      <c r="I755" s="1"/>
      <c r="J755" s="1"/>
      <c r="K755" s="1"/>
      <c r="L755" s="1"/>
    </row>
    <row r="756" ht="15.75" customHeight="1">
      <c r="A756" s="36"/>
      <c r="B756" s="37"/>
      <c r="C756" s="1"/>
      <c r="D756" s="1"/>
      <c r="E756" s="1"/>
      <c r="F756" s="1"/>
      <c r="G756" s="1"/>
      <c r="H756" s="1"/>
      <c r="I756" s="1"/>
      <c r="J756" s="1"/>
      <c r="K756" s="1"/>
      <c r="L756" s="1"/>
    </row>
    <row r="757" ht="15.75" customHeight="1">
      <c r="A757" s="36"/>
      <c r="B757" s="37"/>
      <c r="C757" s="1"/>
      <c r="D757" s="1"/>
      <c r="E757" s="1"/>
      <c r="F757" s="1"/>
      <c r="G757" s="1"/>
      <c r="H757" s="1"/>
      <c r="I757" s="1"/>
      <c r="J757" s="1"/>
      <c r="K757" s="1"/>
      <c r="L757" s="1"/>
    </row>
    <row r="758" ht="15.75" customHeight="1">
      <c r="A758" s="36"/>
      <c r="B758" s="37"/>
      <c r="C758" s="1"/>
      <c r="D758" s="1"/>
      <c r="E758" s="1"/>
      <c r="F758" s="1"/>
      <c r="G758" s="1"/>
      <c r="H758" s="1"/>
      <c r="I758" s="1"/>
      <c r="J758" s="1"/>
      <c r="K758" s="1"/>
      <c r="L758" s="1"/>
    </row>
    <row r="759" ht="15.75" customHeight="1">
      <c r="A759" s="36"/>
      <c r="B759" s="37"/>
      <c r="C759" s="1"/>
      <c r="D759" s="1"/>
      <c r="E759" s="1"/>
      <c r="F759" s="1"/>
      <c r="G759" s="1"/>
      <c r="H759" s="1"/>
      <c r="I759" s="1"/>
      <c r="J759" s="1"/>
      <c r="K759" s="1"/>
      <c r="L759" s="1"/>
    </row>
    <row r="760" ht="15.75" customHeight="1">
      <c r="A760" s="36"/>
      <c r="B760" s="37"/>
      <c r="C760" s="1"/>
      <c r="D760" s="1"/>
      <c r="E760" s="1"/>
      <c r="F760" s="1"/>
      <c r="G760" s="1"/>
      <c r="H760" s="1"/>
      <c r="I760" s="1"/>
      <c r="J760" s="1"/>
      <c r="K760" s="1"/>
      <c r="L760" s="1"/>
    </row>
    <row r="761" ht="15.75" customHeight="1">
      <c r="A761" s="36"/>
      <c r="B761" s="37"/>
      <c r="C761" s="1"/>
      <c r="D761" s="1"/>
      <c r="E761" s="1"/>
      <c r="F761" s="1"/>
      <c r="G761" s="1"/>
      <c r="H761" s="1"/>
      <c r="I761" s="1"/>
      <c r="J761" s="1"/>
      <c r="K761" s="1"/>
      <c r="L761" s="1"/>
    </row>
    <row r="762" ht="15.75" customHeight="1">
      <c r="A762" s="36"/>
      <c r="B762" s="37"/>
      <c r="C762" s="1"/>
      <c r="D762" s="1"/>
      <c r="E762" s="1"/>
      <c r="F762" s="1"/>
      <c r="G762" s="1"/>
      <c r="H762" s="1"/>
      <c r="I762" s="1"/>
      <c r="J762" s="1"/>
      <c r="K762" s="1"/>
      <c r="L762" s="1"/>
    </row>
    <row r="763" ht="15.75" customHeight="1">
      <c r="A763" s="36"/>
      <c r="B763" s="37"/>
      <c r="C763" s="1"/>
      <c r="D763" s="1"/>
      <c r="E763" s="1"/>
      <c r="F763" s="1"/>
      <c r="G763" s="1"/>
      <c r="H763" s="1"/>
      <c r="I763" s="1"/>
      <c r="J763" s="1"/>
      <c r="K763" s="1"/>
      <c r="L763" s="1"/>
    </row>
    <row r="764" ht="15.75" customHeight="1">
      <c r="A764" s="36"/>
      <c r="B764" s="37"/>
      <c r="C764" s="1"/>
      <c r="D764" s="1"/>
      <c r="E764" s="1"/>
      <c r="F764" s="1"/>
      <c r="G764" s="1"/>
      <c r="H764" s="1"/>
      <c r="I764" s="1"/>
      <c r="J764" s="1"/>
      <c r="K764" s="1"/>
      <c r="L764" s="1"/>
    </row>
    <row r="765" ht="15.75" customHeight="1">
      <c r="A765" s="36"/>
      <c r="B765" s="37"/>
      <c r="C765" s="1"/>
      <c r="D765" s="1"/>
      <c r="E765" s="1"/>
      <c r="F765" s="1"/>
      <c r="G765" s="1"/>
      <c r="H765" s="1"/>
      <c r="I765" s="1"/>
      <c r="J765" s="1"/>
      <c r="K765" s="1"/>
      <c r="L765" s="1"/>
    </row>
    <row r="766" ht="15.75" customHeight="1">
      <c r="A766" s="36"/>
      <c r="B766" s="37"/>
      <c r="C766" s="1"/>
      <c r="D766" s="1"/>
      <c r="E766" s="1"/>
      <c r="F766" s="1"/>
      <c r="G766" s="1"/>
      <c r="H766" s="1"/>
      <c r="I766" s="1"/>
      <c r="J766" s="1"/>
      <c r="K766" s="1"/>
      <c r="L766" s="1"/>
    </row>
    <row r="767" ht="15.75" customHeight="1">
      <c r="A767" s="36"/>
      <c r="B767" s="37"/>
      <c r="C767" s="1"/>
      <c r="D767" s="1"/>
      <c r="E767" s="1"/>
      <c r="F767" s="1"/>
      <c r="G767" s="1"/>
      <c r="H767" s="1"/>
      <c r="I767" s="1"/>
      <c r="J767" s="1"/>
      <c r="K767" s="1"/>
      <c r="L767" s="1"/>
    </row>
    <row r="768" ht="15.75" customHeight="1">
      <c r="A768" s="36"/>
      <c r="B768" s="37"/>
      <c r="C768" s="1"/>
      <c r="D768" s="1"/>
      <c r="E768" s="1"/>
      <c r="F768" s="1"/>
      <c r="G768" s="1"/>
      <c r="H768" s="1"/>
      <c r="I768" s="1"/>
      <c r="J768" s="1"/>
      <c r="K768" s="1"/>
      <c r="L768" s="1"/>
    </row>
    <row r="769" ht="15.75" customHeight="1">
      <c r="A769" s="36"/>
      <c r="B769" s="37"/>
      <c r="C769" s="1"/>
      <c r="D769" s="1"/>
      <c r="E769" s="1"/>
      <c r="F769" s="1"/>
      <c r="G769" s="1"/>
      <c r="H769" s="1"/>
      <c r="I769" s="1"/>
      <c r="J769" s="1"/>
      <c r="K769" s="1"/>
      <c r="L769" s="1"/>
    </row>
    <row r="770" ht="15.75" customHeight="1">
      <c r="A770" s="36"/>
      <c r="B770" s="37"/>
      <c r="C770" s="1"/>
      <c r="D770" s="1"/>
      <c r="E770" s="1"/>
      <c r="F770" s="1"/>
      <c r="G770" s="1"/>
      <c r="H770" s="1"/>
      <c r="I770" s="1"/>
      <c r="J770" s="1"/>
      <c r="K770" s="1"/>
      <c r="L770" s="1"/>
    </row>
    <row r="771" ht="15.75" customHeight="1">
      <c r="A771" s="36"/>
      <c r="B771" s="37"/>
      <c r="C771" s="1"/>
      <c r="D771" s="1"/>
      <c r="E771" s="1"/>
      <c r="F771" s="1"/>
      <c r="G771" s="1"/>
      <c r="H771" s="1"/>
      <c r="I771" s="1"/>
      <c r="J771" s="1"/>
      <c r="K771" s="1"/>
      <c r="L771" s="1"/>
    </row>
    <row r="772" ht="15.75" customHeight="1">
      <c r="A772" s="36"/>
      <c r="B772" s="37"/>
      <c r="C772" s="1"/>
      <c r="D772" s="1"/>
      <c r="E772" s="1"/>
      <c r="F772" s="1"/>
      <c r="G772" s="1"/>
      <c r="H772" s="1"/>
      <c r="I772" s="1"/>
      <c r="J772" s="1"/>
      <c r="K772" s="1"/>
      <c r="L772" s="1"/>
    </row>
    <row r="773" ht="15.75" customHeight="1">
      <c r="A773" s="36"/>
      <c r="B773" s="37"/>
      <c r="C773" s="1"/>
      <c r="D773" s="1"/>
      <c r="E773" s="1"/>
      <c r="F773" s="1"/>
      <c r="G773" s="1"/>
      <c r="H773" s="1"/>
      <c r="I773" s="1"/>
      <c r="J773" s="1"/>
      <c r="K773" s="1"/>
      <c r="L773" s="1"/>
    </row>
    <row r="774" ht="15.75" customHeight="1">
      <c r="A774" s="36"/>
      <c r="B774" s="37"/>
      <c r="C774" s="1"/>
      <c r="D774" s="1"/>
      <c r="E774" s="1"/>
      <c r="F774" s="1"/>
      <c r="G774" s="1"/>
      <c r="H774" s="1"/>
      <c r="I774" s="1"/>
      <c r="J774" s="1"/>
      <c r="K774" s="1"/>
      <c r="L774" s="1"/>
    </row>
    <row r="775" ht="15.75" customHeight="1">
      <c r="A775" s="36"/>
      <c r="B775" s="37"/>
      <c r="C775" s="1"/>
      <c r="D775" s="1"/>
      <c r="E775" s="1"/>
      <c r="F775" s="1"/>
      <c r="G775" s="1"/>
      <c r="H775" s="1"/>
      <c r="I775" s="1"/>
      <c r="J775" s="1"/>
      <c r="K775" s="1"/>
      <c r="L775" s="1"/>
    </row>
    <row r="776" ht="15.75" customHeight="1">
      <c r="A776" s="36"/>
      <c r="B776" s="37"/>
      <c r="C776" s="1"/>
      <c r="D776" s="1"/>
      <c r="E776" s="1"/>
      <c r="F776" s="1"/>
      <c r="G776" s="1"/>
      <c r="H776" s="1"/>
      <c r="I776" s="1"/>
      <c r="J776" s="1"/>
      <c r="K776" s="1"/>
      <c r="L776" s="1"/>
    </row>
    <row r="777" ht="15.75" customHeight="1">
      <c r="A777" s="36"/>
      <c r="B777" s="37"/>
      <c r="C777" s="1"/>
      <c r="D777" s="1"/>
      <c r="E777" s="1"/>
      <c r="F777" s="1"/>
      <c r="G777" s="1"/>
      <c r="H777" s="1"/>
      <c r="I777" s="1"/>
      <c r="J777" s="1"/>
      <c r="K777" s="1"/>
      <c r="L777" s="1"/>
    </row>
    <row r="778" ht="15.75" customHeight="1">
      <c r="A778" s="36"/>
      <c r="B778" s="37"/>
      <c r="C778" s="1"/>
      <c r="D778" s="1"/>
      <c r="E778" s="1"/>
      <c r="F778" s="1"/>
      <c r="G778" s="1"/>
      <c r="H778" s="1"/>
      <c r="I778" s="1"/>
      <c r="J778" s="1"/>
      <c r="K778" s="1"/>
      <c r="L778" s="1"/>
    </row>
    <row r="779" ht="15.75" customHeight="1">
      <c r="A779" s="36"/>
      <c r="B779" s="37"/>
      <c r="C779" s="1"/>
      <c r="D779" s="1"/>
      <c r="E779" s="1"/>
      <c r="F779" s="1"/>
      <c r="G779" s="1"/>
      <c r="H779" s="1"/>
      <c r="I779" s="1"/>
      <c r="J779" s="1"/>
      <c r="K779" s="1"/>
      <c r="L779" s="1"/>
    </row>
    <row r="780" ht="15.75" customHeight="1">
      <c r="A780" s="36"/>
      <c r="B780" s="37"/>
      <c r="C780" s="1"/>
      <c r="D780" s="1"/>
      <c r="E780" s="1"/>
      <c r="F780" s="1"/>
      <c r="G780" s="1"/>
      <c r="H780" s="1"/>
      <c r="I780" s="1"/>
      <c r="J780" s="1"/>
      <c r="K780" s="1"/>
      <c r="L780" s="1"/>
    </row>
    <row r="781" ht="15.75" customHeight="1">
      <c r="A781" s="36"/>
      <c r="B781" s="37"/>
      <c r="C781" s="1"/>
      <c r="D781" s="1"/>
      <c r="E781" s="1"/>
      <c r="F781" s="1"/>
      <c r="G781" s="1"/>
      <c r="H781" s="1"/>
      <c r="I781" s="1"/>
      <c r="J781" s="1"/>
      <c r="K781" s="1"/>
      <c r="L781" s="1"/>
    </row>
    <row r="782" ht="15.75" customHeight="1">
      <c r="A782" s="36"/>
      <c r="B782" s="37"/>
      <c r="C782" s="1"/>
      <c r="D782" s="1"/>
      <c r="E782" s="1"/>
      <c r="F782" s="1"/>
      <c r="G782" s="1"/>
      <c r="H782" s="1"/>
      <c r="I782" s="1"/>
      <c r="J782" s="1"/>
      <c r="K782" s="1"/>
      <c r="L782" s="1"/>
    </row>
    <row r="783" ht="15.75" customHeight="1">
      <c r="A783" s="36"/>
      <c r="B783" s="37"/>
      <c r="C783" s="1"/>
      <c r="D783" s="1"/>
      <c r="E783" s="1"/>
      <c r="F783" s="1"/>
      <c r="G783" s="1"/>
      <c r="H783" s="1"/>
      <c r="I783" s="1"/>
      <c r="J783" s="1"/>
      <c r="K783" s="1"/>
      <c r="L783" s="1"/>
    </row>
    <row r="784" ht="15.75" customHeight="1">
      <c r="A784" s="36"/>
      <c r="B784" s="37"/>
      <c r="C784" s="1"/>
      <c r="D784" s="1"/>
      <c r="E784" s="1"/>
      <c r="F784" s="1"/>
      <c r="G784" s="1"/>
      <c r="H784" s="1"/>
      <c r="I784" s="1"/>
      <c r="J784" s="1"/>
      <c r="K784" s="1"/>
      <c r="L784" s="1"/>
    </row>
    <row r="785" ht="15.75" customHeight="1">
      <c r="A785" s="36"/>
      <c r="B785" s="37"/>
      <c r="C785" s="1"/>
      <c r="D785" s="1"/>
      <c r="E785" s="1"/>
      <c r="F785" s="1"/>
      <c r="G785" s="1"/>
      <c r="H785" s="1"/>
      <c r="I785" s="1"/>
      <c r="J785" s="1"/>
      <c r="K785" s="1"/>
      <c r="L785" s="1"/>
    </row>
    <row r="786" ht="15.75" customHeight="1">
      <c r="A786" s="36"/>
      <c r="B786" s="37"/>
      <c r="C786" s="1"/>
      <c r="D786" s="1"/>
      <c r="E786" s="1"/>
      <c r="F786" s="1"/>
      <c r="G786" s="1"/>
      <c r="H786" s="1"/>
      <c r="I786" s="1"/>
      <c r="J786" s="1"/>
      <c r="K786" s="1"/>
      <c r="L786" s="1"/>
    </row>
    <row r="787" ht="15.75" customHeight="1">
      <c r="A787" s="36"/>
      <c r="B787" s="37"/>
      <c r="C787" s="1"/>
      <c r="D787" s="1"/>
      <c r="E787" s="1"/>
      <c r="F787" s="1"/>
      <c r="G787" s="1"/>
      <c r="H787" s="1"/>
      <c r="I787" s="1"/>
      <c r="J787" s="1"/>
      <c r="K787" s="1"/>
      <c r="L787" s="1"/>
    </row>
    <row r="788" ht="15.75" customHeight="1">
      <c r="A788" s="36"/>
      <c r="B788" s="37"/>
      <c r="C788" s="1"/>
      <c r="D788" s="1"/>
      <c r="E788" s="1"/>
      <c r="F788" s="1"/>
      <c r="G788" s="1"/>
      <c r="H788" s="1"/>
      <c r="I788" s="1"/>
      <c r="J788" s="1"/>
      <c r="K788" s="1"/>
      <c r="L788" s="1"/>
    </row>
    <row r="789" ht="15.75" customHeight="1">
      <c r="A789" s="36"/>
      <c r="B789" s="37"/>
      <c r="C789" s="1"/>
      <c r="D789" s="1"/>
      <c r="E789" s="1"/>
      <c r="F789" s="1"/>
      <c r="G789" s="1"/>
      <c r="H789" s="1"/>
      <c r="I789" s="1"/>
      <c r="J789" s="1"/>
      <c r="K789" s="1"/>
      <c r="L789" s="1"/>
    </row>
    <row r="790" ht="15.75" customHeight="1">
      <c r="A790" s="36"/>
      <c r="B790" s="37"/>
      <c r="C790" s="1"/>
      <c r="D790" s="1"/>
      <c r="E790" s="1"/>
      <c r="F790" s="1"/>
      <c r="G790" s="1"/>
      <c r="H790" s="1"/>
      <c r="I790" s="1"/>
      <c r="J790" s="1"/>
      <c r="K790" s="1"/>
      <c r="L790" s="1"/>
    </row>
    <row r="791" ht="15.75" customHeight="1">
      <c r="A791" s="36"/>
      <c r="B791" s="37"/>
      <c r="C791" s="1"/>
      <c r="D791" s="1"/>
      <c r="E791" s="1"/>
      <c r="F791" s="1"/>
      <c r="G791" s="1"/>
      <c r="H791" s="1"/>
      <c r="I791" s="1"/>
      <c r="J791" s="1"/>
      <c r="K791" s="1"/>
      <c r="L791" s="1"/>
    </row>
    <row r="792" ht="15.75" customHeight="1">
      <c r="A792" s="36"/>
      <c r="B792" s="37"/>
      <c r="C792" s="1"/>
      <c r="D792" s="1"/>
      <c r="E792" s="1"/>
      <c r="F792" s="1"/>
      <c r="G792" s="1"/>
      <c r="H792" s="1"/>
      <c r="I792" s="1"/>
      <c r="J792" s="1"/>
      <c r="K792" s="1"/>
      <c r="L792" s="1"/>
    </row>
    <row r="793" ht="15.75" customHeight="1">
      <c r="A793" s="36"/>
      <c r="B793" s="37"/>
      <c r="C793" s="1"/>
      <c r="D793" s="1"/>
      <c r="E793" s="1"/>
      <c r="F793" s="1"/>
      <c r="G793" s="1"/>
      <c r="H793" s="1"/>
      <c r="I793" s="1"/>
      <c r="J793" s="1"/>
      <c r="K793" s="1"/>
      <c r="L793" s="1"/>
    </row>
    <row r="794" ht="15.75" customHeight="1">
      <c r="A794" s="36"/>
      <c r="B794" s="37"/>
      <c r="C794" s="1"/>
      <c r="D794" s="1"/>
      <c r="E794" s="1"/>
      <c r="F794" s="1"/>
      <c r="G794" s="1"/>
      <c r="H794" s="1"/>
      <c r="I794" s="1"/>
      <c r="J794" s="1"/>
      <c r="K794" s="1"/>
      <c r="L794" s="1"/>
    </row>
    <row r="795" ht="15.75" customHeight="1">
      <c r="A795" s="36"/>
      <c r="B795" s="37"/>
      <c r="C795" s="1"/>
      <c r="D795" s="1"/>
      <c r="E795" s="1"/>
      <c r="F795" s="1"/>
      <c r="G795" s="1"/>
      <c r="H795" s="1"/>
      <c r="I795" s="1"/>
      <c r="J795" s="1"/>
      <c r="K795" s="1"/>
      <c r="L795" s="1"/>
    </row>
    <row r="796" ht="15.75" customHeight="1">
      <c r="A796" s="36"/>
      <c r="B796" s="37"/>
      <c r="C796" s="1"/>
      <c r="D796" s="1"/>
      <c r="E796" s="1"/>
      <c r="F796" s="1"/>
      <c r="G796" s="1"/>
      <c r="H796" s="1"/>
      <c r="I796" s="1"/>
      <c r="J796" s="1"/>
      <c r="K796" s="1"/>
      <c r="L796" s="1"/>
    </row>
    <row r="797" ht="15.75" customHeight="1">
      <c r="A797" s="36"/>
      <c r="B797" s="37"/>
      <c r="C797" s="1"/>
      <c r="D797" s="1"/>
      <c r="E797" s="1"/>
      <c r="F797" s="1"/>
      <c r="G797" s="1"/>
      <c r="H797" s="1"/>
      <c r="I797" s="1"/>
      <c r="J797" s="1"/>
      <c r="K797" s="1"/>
      <c r="L797" s="1"/>
    </row>
    <row r="798" ht="15.75" customHeight="1">
      <c r="A798" s="36"/>
      <c r="B798" s="37"/>
      <c r="C798" s="1"/>
      <c r="D798" s="1"/>
      <c r="E798" s="1"/>
      <c r="F798" s="1"/>
      <c r="G798" s="1"/>
      <c r="H798" s="1"/>
      <c r="I798" s="1"/>
      <c r="J798" s="1"/>
      <c r="K798" s="1"/>
      <c r="L798" s="1"/>
    </row>
    <row r="799" ht="15.75" customHeight="1">
      <c r="A799" s="36"/>
      <c r="B799" s="37"/>
      <c r="C799" s="1"/>
      <c r="D799" s="1"/>
      <c r="E799" s="1"/>
      <c r="F799" s="1"/>
      <c r="G799" s="1"/>
      <c r="H799" s="1"/>
      <c r="I799" s="1"/>
      <c r="J799" s="1"/>
      <c r="K799" s="1"/>
      <c r="L799" s="1"/>
    </row>
    <row r="800" ht="15.75" customHeight="1">
      <c r="A800" s="36"/>
      <c r="B800" s="37"/>
      <c r="C800" s="1"/>
      <c r="D800" s="1"/>
      <c r="E800" s="1"/>
      <c r="F800" s="1"/>
      <c r="G800" s="1"/>
      <c r="H800" s="1"/>
      <c r="I800" s="1"/>
      <c r="J800" s="1"/>
      <c r="K800" s="1"/>
      <c r="L800" s="1"/>
    </row>
    <row r="801" ht="15.75" customHeight="1">
      <c r="A801" s="36"/>
      <c r="B801" s="37"/>
      <c r="C801" s="1"/>
      <c r="D801" s="1"/>
      <c r="E801" s="1"/>
      <c r="F801" s="1"/>
      <c r="G801" s="1"/>
      <c r="H801" s="1"/>
      <c r="I801" s="1"/>
      <c r="J801" s="1"/>
      <c r="K801" s="1"/>
      <c r="L801" s="1"/>
    </row>
    <row r="802" ht="15.75" customHeight="1">
      <c r="A802" s="36"/>
      <c r="B802" s="37"/>
      <c r="C802" s="1"/>
      <c r="D802" s="1"/>
      <c r="E802" s="1"/>
      <c r="F802" s="1"/>
      <c r="G802" s="1"/>
      <c r="H802" s="1"/>
      <c r="I802" s="1"/>
      <c r="J802" s="1"/>
      <c r="K802" s="1"/>
      <c r="L802" s="1"/>
    </row>
    <row r="803" ht="15.75" customHeight="1">
      <c r="A803" s="36"/>
      <c r="B803" s="37"/>
      <c r="C803" s="1"/>
      <c r="D803" s="1"/>
      <c r="E803" s="1"/>
      <c r="F803" s="1"/>
      <c r="G803" s="1"/>
      <c r="H803" s="1"/>
      <c r="I803" s="1"/>
      <c r="J803" s="1"/>
      <c r="K803" s="1"/>
      <c r="L803" s="1"/>
    </row>
    <row r="804" ht="15.75" customHeight="1">
      <c r="A804" s="36"/>
      <c r="B804" s="37"/>
      <c r="C804" s="1"/>
      <c r="D804" s="1"/>
      <c r="E804" s="1"/>
      <c r="F804" s="1"/>
      <c r="G804" s="1"/>
      <c r="H804" s="1"/>
      <c r="I804" s="1"/>
      <c r="J804" s="1"/>
      <c r="K804" s="1"/>
      <c r="L804" s="1"/>
    </row>
    <row r="805" ht="15.75" customHeight="1">
      <c r="A805" s="36"/>
      <c r="B805" s="37"/>
      <c r="C805" s="1"/>
      <c r="D805" s="1"/>
      <c r="E805" s="1"/>
      <c r="F805" s="1"/>
      <c r="G805" s="1"/>
      <c r="H805" s="1"/>
      <c r="I805" s="1"/>
      <c r="J805" s="1"/>
      <c r="K805" s="1"/>
      <c r="L805" s="1"/>
    </row>
    <row r="806" ht="15.75" customHeight="1">
      <c r="A806" s="36"/>
      <c r="B806" s="37"/>
      <c r="C806" s="1"/>
      <c r="D806" s="1"/>
      <c r="E806" s="1"/>
      <c r="F806" s="1"/>
      <c r="G806" s="1"/>
      <c r="H806" s="1"/>
      <c r="I806" s="1"/>
      <c r="J806" s="1"/>
      <c r="K806" s="1"/>
      <c r="L806" s="1"/>
    </row>
    <row r="807" ht="15.75" customHeight="1">
      <c r="A807" s="36"/>
      <c r="B807" s="37"/>
      <c r="C807" s="1"/>
      <c r="D807" s="1"/>
      <c r="E807" s="1"/>
      <c r="F807" s="1"/>
      <c r="G807" s="1"/>
      <c r="H807" s="1"/>
      <c r="I807" s="1"/>
      <c r="J807" s="1"/>
      <c r="K807" s="1"/>
      <c r="L807" s="1"/>
    </row>
    <row r="808" ht="15.75" customHeight="1">
      <c r="A808" s="36"/>
      <c r="B808" s="37"/>
      <c r="C808" s="1"/>
      <c r="D808" s="1"/>
      <c r="E808" s="1"/>
      <c r="F808" s="1"/>
      <c r="G808" s="1"/>
      <c r="H808" s="1"/>
      <c r="I808" s="1"/>
      <c r="J808" s="1"/>
      <c r="K808" s="1"/>
      <c r="L808" s="1"/>
    </row>
    <row r="809" ht="15.75" customHeight="1">
      <c r="A809" s="36"/>
      <c r="B809" s="37"/>
      <c r="C809" s="1"/>
      <c r="D809" s="1"/>
      <c r="E809" s="1"/>
      <c r="F809" s="1"/>
      <c r="G809" s="1"/>
      <c r="H809" s="1"/>
      <c r="I809" s="1"/>
      <c r="J809" s="1"/>
      <c r="K809" s="1"/>
      <c r="L809" s="1"/>
    </row>
    <row r="810" ht="15.75" customHeight="1">
      <c r="A810" s="36"/>
      <c r="B810" s="37"/>
      <c r="C810" s="1"/>
      <c r="D810" s="1"/>
      <c r="E810" s="1"/>
      <c r="F810" s="1"/>
      <c r="G810" s="1"/>
      <c r="H810" s="1"/>
      <c r="I810" s="1"/>
      <c r="J810" s="1"/>
      <c r="K810" s="1"/>
      <c r="L810" s="1"/>
    </row>
    <row r="811" ht="15.75" customHeight="1">
      <c r="A811" s="36"/>
      <c r="B811" s="37"/>
      <c r="C811" s="1"/>
      <c r="D811" s="1"/>
      <c r="E811" s="1"/>
      <c r="F811" s="1"/>
      <c r="G811" s="1"/>
      <c r="H811" s="1"/>
      <c r="I811" s="1"/>
      <c r="J811" s="1"/>
      <c r="K811" s="1"/>
      <c r="L811" s="1"/>
    </row>
    <row r="812" ht="15.75" customHeight="1">
      <c r="A812" s="36"/>
      <c r="B812" s="37"/>
      <c r="C812" s="1"/>
      <c r="D812" s="1"/>
      <c r="E812" s="1"/>
      <c r="F812" s="1"/>
      <c r="G812" s="1"/>
      <c r="H812" s="1"/>
      <c r="I812" s="1"/>
      <c r="J812" s="1"/>
      <c r="K812" s="1"/>
      <c r="L812" s="1"/>
    </row>
    <row r="813" ht="15.75" customHeight="1">
      <c r="A813" s="36"/>
      <c r="B813" s="37"/>
      <c r="C813" s="1"/>
      <c r="D813" s="1"/>
      <c r="E813" s="1"/>
      <c r="F813" s="1"/>
      <c r="G813" s="1"/>
      <c r="H813" s="1"/>
      <c r="I813" s="1"/>
      <c r="J813" s="1"/>
      <c r="K813" s="1"/>
      <c r="L813" s="1"/>
    </row>
    <row r="814" ht="15.75" customHeight="1">
      <c r="A814" s="36"/>
      <c r="B814" s="37"/>
      <c r="C814" s="1"/>
      <c r="D814" s="1"/>
      <c r="E814" s="1"/>
      <c r="F814" s="1"/>
      <c r="G814" s="1"/>
      <c r="H814" s="1"/>
      <c r="I814" s="1"/>
      <c r="J814" s="1"/>
      <c r="K814" s="1"/>
      <c r="L814" s="1"/>
    </row>
    <row r="815" ht="15.75" customHeight="1">
      <c r="A815" s="36"/>
      <c r="B815" s="37"/>
      <c r="C815" s="1"/>
      <c r="D815" s="1"/>
      <c r="E815" s="1"/>
      <c r="F815" s="1"/>
      <c r="G815" s="1"/>
      <c r="H815" s="1"/>
      <c r="I815" s="1"/>
      <c r="J815" s="1"/>
      <c r="K815" s="1"/>
      <c r="L815" s="1"/>
    </row>
    <row r="816" ht="15.75" customHeight="1">
      <c r="A816" s="36"/>
      <c r="B816" s="37"/>
      <c r="C816" s="1"/>
      <c r="D816" s="1"/>
      <c r="E816" s="1"/>
      <c r="F816" s="1"/>
      <c r="G816" s="1"/>
      <c r="H816" s="1"/>
      <c r="I816" s="1"/>
      <c r="J816" s="1"/>
      <c r="K816" s="1"/>
      <c r="L816" s="1"/>
    </row>
    <row r="817" ht="15.75" customHeight="1">
      <c r="A817" s="36"/>
      <c r="B817" s="37"/>
      <c r="C817" s="1"/>
      <c r="D817" s="1"/>
      <c r="E817" s="1"/>
      <c r="F817" s="1"/>
      <c r="G817" s="1"/>
      <c r="H817" s="1"/>
      <c r="I817" s="1"/>
      <c r="J817" s="1"/>
      <c r="K817" s="1"/>
      <c r="L817" s="1"/>
    </row>
    <row r="818" ht="15.75" customHeight="1">
      <c r="A818" s="36"/>
      <c r="B818" s="37"/>
      <c r="C818" s="1"/>
      <c r="D818" s="1"/>
      <c r="E818" s="1"/>
      <c r="F818" s="1"/>
      <c r="G818" s="1"/>
      <c r="H818" s="1"/>
      <c r="I818" s="1"/>
      <c r="J818" s="1"/>
      <c r="K818" s="1"/>
      <c r="L818" s="1"/>
    </row>
    <row r="819" ht="15.75" customHeight="1">
      <c r="A819" s="36"/>
      <c r="B819" s="37"/>
      <c r="C819" s="1"/>
      <c r="D819" s="1"/>
      <c r="E819" s="1"/>
      <c r="F819" s="1"/>
      <c r="G819" s="1"/>
      <c r="H819" s="1"/>
      <c r="I819" s="1"/>
      <c r="J819" s="1"/>
      <c r="K819" s="1"/>
      <c r="L819" s="1"/>
    </row>
    <row r="820" ht="15.75" customHeight="1">
      <c r="A820" s="36"/>
      <c r="B820" s="37"/>
      <c r="C820" s="1"/>
      <c r="D820" s="1"/>
      <c r="E820" s="1"/>
      <c r="F820" s="1"/>
      <c r="G820" s="1"/>
      <c r="H820" s="1"/>
      <c r="I820" s="1"/>
      <c r="J820" s="1"/>
      <c r="K820" s="1"/>
      <c r="L820" s="1"/>
    </row>
    <row r="821" ht="15.75" customHeight="1">
      <c r="A821" s="36"/>
      <c r="B821" s="37"/>
      <c r="C821" s="1"/>
      <c r="D821" s="1"/>
      <c r="E821" s="1"/>
      <c r="F821" s="1"/>
      <c r="G821" s="1"/>
      <c r="H821" s="1"/>
      <c r="I821" s="1"/>
      <c r="J821" s="1"/>
      <c r="K821" s="1"/>
      <c r="L821" s="1"/>
    </row>
    <row r="822" ht="15.75" customHeight="1">
      <c r="A822" s="36"/>
      <c r="B822" s="37"/>
      <c r="C822" s="1"/>
      <c r="D822" s="1"/>
      <c r="E822" s="1"/>
      <c r="F822" s="1"/>
      <c r="G822" s="1"/>
      <c r="H822" s="1"/>
      <c r="I822" s="1"/>
      <c r="J822" s="1"/>
      <c r="K822" s="1"/>
      <c r="L822" s="1"/>
    </row>
    <row r="823" ht="15.75" customHeight="1">
      <c r="A823" s="36"/>
      <c r="B823" s="37"/>
      <c r="C823" s="1"/>
      <c r="D823" s="1"/>
      <c r="E823" s="1"/>
      <c r="F823" s="1"/>
      <c r="G823" s="1"/>
      <c r="H823" s="1"/>
      <c r="I823" s="1"/>
      <c r="J823" s="1"/>
      <c r="K823" s="1"/>
      <c r="L823" s="1"/>
    </row>
    <row r="824" ht="15.75" customHeight="1">
      <c r="A824" s="36"/>
      <c r="B824" s="37"/>
      <c r="C824" s="1"/>
      <c r="D824" s="1"/>
      <c r="E824" s="1"/>
      <c r="F824" s="1"/>
      <c r="G824" s="1"/>
      <c r="H824" s="1"/>
      <c r="I824" s="1"/>
      <c r="J824" s="1"/>
      <c r="K824" s="1"/>
      <c r="L824" s="1"/>
    </row>
    <row r="825" ht="15.75" customHeight="1">
      <c r="A825" s="36"/>
      <c r="B825" s="37"/>
      <c r="C825" s="1"/>
      <c r="D825" s="1"/>
      <c r="E825" s="1"/>
      <c r="F825" s="1"/>
      <c r="G825" s="1"/>
      <c r="H825" s="1"/>
      <c r="I825" s="1"/>
      <c r="J825" s="1"/>
      <c r="K825" s="1"/>
      <c r="L825" s="1"/>
    </row>
    <row r="826" ht="15.75" customHeight="1">
      <c r="A826" s="36"/>
      <c r="B826" s="37"/>
      <c r="C826" s="1"/>
      <c r="D826" s="1"/>
      <c r="E826" s="1"/>
      <c r="F826" s="1"/>
      <c r="G826" s="1"/>
      <c r="H826" s="1"/>
      <c r="I826" s="1"/>
      <c r="J826" s="1"/>
      <c r="K826" s="1"/>
      <c r="L826" s="1"/>
    </row>
    <row r="827" ht="15.75" customHeight="1">
      <c r="A827" s="36"/>
      <c r="B827" s="37"/>
      <c r="C827" s="1"/>
      <c r="D827" s="1"/>
      <c r="E827" s="1"/>
      <c r="F827" s="1"/>
      <c r="G827" s="1"/>
      <c r="H827" s="1"/>
      <c r="I827" s="1"/>
      <c r="J827" s="1"/>
      <c r="K827" s="1"/>
      <c r="L827" s="1"/>
    </row>
    <row r="828" ht="15.75" customHeight="1">
      <c r="A828" s="36"/>
      <c r="B828" s="37"/>
      <c r="C828" s="1"/>
      <c r="D828" s="1"/>
      <c r="E828" s="1"/>
      <c r="F828" s="1"/>
      <c r="G828" s="1"/>
      <c r="H828" s="1"/>
      <c r="I828" s="1"/>
      <c r="J828" s="1"/>
      <c r="K828" s="1"/>
      <c r="L828" s="1"/>
    </row>
    <row r="829" ht="15.75" customHeight="1">
      <c r="A829" s="36"/>
      <c r="B829" s="37"/>
      <c r="C829" s="1"/>
      <c r="D829" s="1"/>
      <c r="E829" s="1"/>
      <c r="F829" s="1"/>
      <c r="G829" s="1"/>
      <c r="H829" s="1"/>
      <c r="I829" s="1"/>
      <c r="J829" s="1"/>
      <c r="K829" s="1"/>
      <c r="L829" s="1"/>
    </row>
    <row r="830" ht="15.75" customHeight="1">
      <c r="A830" s="36"/>
      <c r="B830" s="37"/>
      <c r="C830" s="1"/>
      <c r="D830" s="1"/>
      <c r="E830" s="1"/>
      <c r="F830" s="1"/>
      <c r="G830" s="1"/>
      <c r="H830" s="1"/>
      <c r="I830" s="1"/>
      <c r="J830" s="1"/>
      <c r="K830" s="1"/>
      <c r="L830" s="1"/>
    </row>
    <row r="831" ht="15.75" customHeight="1">
      <c r="A831" s="36"/>
      <c r="B831" s="37"/>
      <c r="C831" s="1"/>
      <c r="D831" s="1"/>
      <c r="E831" s="1"/>
      <c r="F831" s="1"/>
      <c r="G831" s="1"/>
      <c r="H831" s="1"/>
      <c r="I831" s="1"/>
      <c r="J831" s="1"/>
      <c r="K831" s="1"/>
      <c r="L831" s="1"/>
    </row>
    <row r="832" ht="15.75" customHeight="1">
      <c r="A832" s="36"/>
      <c r="B832" s="37"/>
      <c r="C832" s="1"/>
      <c r="D832" s="1"/>
      <c r="E832" s="1"/>
      <c r="F832" s="1"/>
      <c r="G832" s="1"/>
      <c r="H832" s="1"/>
      <c r="I832" s="1"/>
      <c r="J832" s="1"/>
      <c r="K832" s="1"/>
      <c r="L832" s="1"/>
    </row>
    <row r="833" ht="15.75" customHeight="1">
      <c r="A833" s="36"/>
      <c r="B833" s="37"/>
      <c r="C833" s="1"/>
      <c r="D833" s="1"/>
      <c r="E833" s="1"/>
      <c r="F833" s="1"/>
      <c r="G833" s="1"/>
      <c r="H833" s="1"/>
      <c r="I833" s="1"/>
      <c r="J833" s="1"/>
      <c r="K833" s="1"/>
      <c r="L833" s="1"/>
    </row>
    <row r="834" ht="15.75" customHeight="1">
      <c r="A834" s="36"/>
      <c r="B834" s="37"/>
      <c r="C834" s="1"/>
      <c r="D834" s="1"/>
      <c r="E834" s="1"/>
      <c r="F834" s="1"/>
      <c r="G834" s="1"/>
      <c r="H834" s="1"/>
      <c r="I834" s="1"/>
      <c r="J834" s="1"/>
      <c r="K834" s="1"/>
      <c r="L834" s="1"/>
    </row>
    <row r="835" ht="15.75" customHeight="1">
      <c r="A835" s="36"/>
      <c r="B835" s="37"/>
      <c r="C835" s="1"/>
      <c r="D835" s="1"/>
      <c r="E835" s="1"/>
      <c r="F835" s="1"/>
      <c r="G835" s="1"/>
      <c r="H835" s="1"/>
      <c r="I835" s="1"/>
      <c r="J835" s="1"/>
      <c r="K835" s="1"/>
      <c r="L835" s="1"/>
    </row>
    <row r="836" ht="15.75" customHeight="1">
      <c r="A836" s="36"/>
      <c r="B836" s="37"/>
      <c r="C836" s="1"/>
      <c r="D836" s="1"/>
      <c r="E836" s="1"/>
      <c r="F836" s="1"/>
      <c r="G836" s="1"/>
      <c r="H836" s="1"/>
      <c r="I836" s="1"/>
      <c r="J836" s="1"/>
      <c r="K836" s="1"/>
      <c r="L836" s="1"/>
    </row>
    <row r="837" ht="15.75" customHeight="1">
      <c r="A837" s="36"/>
      <c r="B837" s="37"/>
      <c r="C837" s="1"/>
      <c r="D837" s="1"/>
      <c r="E837" s="1"/>
      <c r="F837" s="1"/>
      <c r="G837" s="1"/>
      <c r="H837" s="1"/>
      <c r="I837" s="1"/>
      <c r="J837" s="1"/>
      <c r="K837" s="1"/>
      <c r="L837" s="1"/>
    </row>
    <row r="838" ht="15.75" customHeight="1">
      <c r="A838" s="36"/>
      <c r="B838" s="37"/>
      <c r="C838" s="1"/>
      <c r="D838" s="1"/>
      <c r="E838" s="1"/>
      <c r="F838" s="1"/>
      <c r="G838" s="1"/>
      <c r="H838" s="1"/>
      <c r="I838" s="1"/>
      <c r="J838" s="1"/>
      <c r="K838" s="1"/>
      <c r="L838" s="1"/>
    </row>
    <row r="839" ht="15.75" customHeight="1">
      <c r="A839" s="36"/>
      <c r="B839" s="37"/>
      <c r="C839" s="1"/>
      <c r="D839" s="1"/>
      <c r="E839" s="1"/>
      <c r="F839" s="1"/>
      <c r="G839" s="1"/>
      <c r="H839" s="1"/>
      <c r="I839" s="1"/>
      <c r="J839" s="1"/>
      <c r="K839" s="1"/>
      <c r="L839" s="1"/>
    </row>
    <row r="840" ht="15.75" customHeight="1">
      <c r="A840" s="36"/>
      <c r="B840" s="37"/>
      <c r="C840" s="1"/>
      <c r="D840" s="1"/>
      <c r="E840" s="1"/>
      <c r="F840" s="1"/>
      <c r="G840" s="1"/>
      <c r="H840" s="1"/>
      <c r="I840" s="1"/>
      <c r="J840" s="1"/>
      <c r="K840" s="1"/>
      <c r="L840" s="1"/>
    </row>
    <row r="841" ht="15.75" customHeight="1">
      <c r="A841" s="36"/>
      <c r="B841" s="37"/>
      <c r="C841" s="1"/>
      <c r="D841" s="1"/>
      <c r="E841" s="1"/>
      <c r="F841" s="1"/>
      <c r="G841" s="1"/>
      <c r="H841" s="1"/>
      <c r="I841" s="1"/>
      <c r="J841" s="1"/>
      <c r="K841" s="1"/>
      <c r="L841" s="1"/>
    </row>
    <row r="842" ht="15.75" customHeight="1">
      <c r="A842" s="36"/>
      <c r="B842" s="37"/>
      <c r="C842" s="1"/>
      <c r="D842" s="1"/>
      <c r="E842" s="1"/>
      <c r="F842" s="1"/>
      <c r="G842" s="1"/>
      <c r="H842" s="1"/>
      <c r="I842" s="1"/>
      <c r="J842" s="1"/>
      <c r="K842" s="1"/>
      <c r="L842" s="1"/>
    </row>
    <row r="843" ht="15.75" customHeight="1">
      <c r="A843" s="36"/>
      <c r="B843" s="37"/>
      <c r="C843" s="1"/>
      <c r="D843" s="1"/>
      <c r="E843" s="1"/>
      <c r="F843" s="1"/>
      <c r="G843" s="1"/>
      <c r="H843" s="1"/>
      <c r="I843" s="1"/>
      <c r="J843" s="1"/>
      <c r="K843" s="1"/>
      <c r="L843" s="1"/>
    </row>
    <row r="844" ht="15.75" customHeight="1">
      <c r="A844" s="36"/>
      <c r="B844" s="37"/>
      <c r="C844" s="1"/>
      <c r="D844" s="1"/>
      <c r="E844" s="1"/>
      <c r="F844" s="1"/>
      <c r="G844" s="1"/>
      <c r="H844" s="1"/>
      <c r="I844" s="1"/>
      <c r="J844" s="1"/>
      <c r="K844" s="1"/>
      <c r="L844" s="1"/>
    </row>
    <row r="845" ht="15.75" customHeight="1">
      <c r="A845" s="36"/>
      <c r="B845" s="37"/>
      <c r="C845" s="1"/>
      <c r="D845" s="1"/>
      <c r="E845" s="1"/>
      <c r="F845" s="1"/>
      <c r="G845" s="1"/>
      <c r="H845" s="1"/>
      <c r="I845" s="1"/>
      <c r="J845" s="1"/>
      <c r="K845" s="1"/>
      <c r="L845" s="1"/>
    </row>
    <row r="846" ht="15.75" customHeight="1">
      <c r="A846" s="36"/>
      <c r="B846" s="37"/>
      <c r="C846" s="1"/>
      <c r="D846" s="1"/>
      <c r="E846" s="1"/>
      <c r="F846" s="1"/>
      <c r="G846" s="1"/>
      <c r="H846" s="1"/>
      <c r="I846" s="1"/>
      <c r="J846" s="1"/>
      <c r="K846" s="1"/>
      <c r="L846" s="1"/>
    </row>
    <row r="847" ht="15.75" customHeight="1">
      <c r="A847" s="36"/>
      <c r="B847" s="37"/>
      <c r="C847" s="1"/>
      <c r="D847" s="1"/>
      <c r="E847" s="1"/>
      <c r="F847" s="1"/>
      <c r="G847" s="1"/>
      <c r="H847" s="1"/>
      <c r="I847" s="1"/>
      <c r="J847" s="1"/>
      <c r="K847" s="1"/>
      <c r="L847" s="1"/>
    </row>
    <row r="848" ht="15.75" customHeight="1">
      <c r="A848" s="36"/>
      <c r="B848" s="37"/>
      <c r="C848" s="1"/>
      <c r="D848" s="1"/>
      <c r="E848" s="1"/>
      <c r="F848" s="1"/>
      <c r="G848" s="1"/>
      <c r="H848" s="1"/>
      <c r="I848" s="1"/>
      <c r="J848" s="1"/>
      <c r="K848" s="1"/>
      <c r="L848" s="1"/>
    </row>
    <row r="849" ht="15.75" customHeight="1">
      <c r="A849" s="36"/>
      <c r="B849" s="37"/>
      <c r="C849" s="1"/>
      <c r="D849" s="1"/>
      <c r="E849" s="1"/>
      <c r="F849" s="1"/>
      <c r="G849" s="1"/>
      <c r="H849" s="1"/>
      <c r="I849" s="1"/>
      <c r="J849" s="1"/>
      <c r="K849" s="1"/>
      <c r="L849" s="1"/>
    </row>
    <row r="850" ht="15.75" customHeight="1">
      <c r="A850" s="36"/>
      <c r="B850" s="37"/>
      <c r="C850" s="1"/>
      <c r="D850" s="1"/>
      <c r="E850" s="1"/>
      <c r="F850" s="1"/>
      <c r="G850" s="1"/>
      <c r="H850" s="1"/>
      <c r="I850" s="1"/>
      <c r="J850" s="1"/>
      <c r="K850" s="1"/>
      <c r="L850" s="1"/>
    </row>
    <row r="851" ht="15.75" customHeight="1">
      <c r="A851" s="36"/>
      <c r="B851" s="37"/>
      <c r="C851" s="1"/>
      <c r="D851" s="1"/>
      <c r="E851" s="1"/>
      <c r="F851" s="1"/>
      <c r="G851" s="1"/>
      <c r="H851" s="1"/>
      <c r="I851" s="1"/>
      <c r="J851" s="1"/>
      <c r="K851" s="1"/>
      <c r="L851" s="1"/>
    </row>
    <row r="852" ht="15.75" customHeight="1">
      <c r="A852" s="36"/>
      <c r="B852" s="37"/>
      <c r="C852" s="1"/>
      <c r="D852" s="1"/>
      <c r="E852" s="1"/>
      <c r="F852" s="1"/>
      <c r="G852" s="1"/>
      <c r="H852" s="1"/>
      <c r="I852" s="1"/>
      <c r="J852" s="1"/>
      <c r="K852" s="1"/>
      <c r="L852" s="1"/>
    </row>
    <row r="853" ht="15.75" customHeight="1">
      <c r="A853" s="36"/>
      <c r="B853" s="37"/>
      <c r="C853" s="1"/>
      <c r="D853" s="1"/>
      <c r="E853" s="1"/>
      <c r="F853" s="1"/>
      <c r="G853" s="1"/>
      <c r="H853" s="1"/>
      <c r="I853" s="1"/>
      <c r="J853" s="1"/>
      <c r="K853" s="1"/>
      <c r="L853" s="1"/>
    </row>
    <row r="854" ht="15.75" customHeight="1">
      <c r="A854" s="36"/>
      <c r="B854" s="37"/>
      <c r="C854" s="1"/>
      <c r="D854" s="1"/>
      <c r="E854" s="1"/>
      <c r="F854" s="1"/>
      <c r="G854" s="1"/>
      <c r="H854" s="1"/>
      <c r="I854" s="1"/>
      <c r="J854" s="1"/>
      <c r="K854" s="1"/>
      <c r="L854" s="1"/>
    </row>
    <row r="855" ht="15.75" customHeight="1">
      <c r="A855" s="36"/>
      <c r="B855" s="37"/>
      <c r="C855" s="1"/>
      <c r="D855" s="1"/>
      <c r="E855" s="1"/>
      <c r="F855" s="1"/>
      <c r="G855" s="1"/>
      <c r="H855" s="1"/>
      <c r="I855" s="1"/>
      <c r="J855" s="1"/>
      <c r="K855" s="1"/>
      <c r="L855" s="1"/>
    </row>
    <row r="856" ht="15.75" customHeight="1">
      <c r="A856" s="36"/>
      <c r="B856" s="37"/>
      <c r="C856" s="1"/>
      <c r="D856" s="1"/>
      <c r="E856" s="1"/>
      <c r="F856" s="1"/>
      <c r="G856" s="1"/>
      <c r="H856" s="1"/>
      <c r="I856" s="1"/>
      <c r="J856" s="1"/>
      <c r="K856" s="1"/>
      <c r="L856" s="1"/>
    </row>
    <row r="857" ht="15.75" customHeight="1">
      <c r="A857" s="36"/>
      <c r="B857" s="37"/>
      <c r="C857" s="1"/>
      <c r="D857" s="1"/>
      <c r="E857" s="1"/>
      <c r="F857" s="1"/>
      <c r="G857" s="1"/>
      <c r="H857" s="1"/>
      <c r="I857" s="1"/>
      <c r="J857" s="1"/>
      <c r="K857" s="1"/>
      <c r="L857" s="1"/>
    </row>
    <row r="858" ht="15.75" customHeight="1">
      <c r="A858" s="36"/>
      <c r="B858" s="37"/>
      <c r="C858" s="1"/>
      <c r="D858" s="1"/>
      <c r="E858" s="1"/>
      <c r="F858" s="1"/>
      <c r="G858" s="1"/>
      <c r="H858" s="1"/>
      <c r="I858" s="1"/>
      <c r="J858" s="1"/>
      <c r="K858" s="1"/>
      <c r="L858" s="1"/>
    </row>
    <row r="859" ht="15.75" customHeight="1">
      <c r="A859" s="36"/>
      <c r="B859" s="37"/>
      <c r="C859" s="1"/>
      <c r="D859" s="1"/>
      <c r="E859" s="1"/>
      <c r="F859" s="1"/>
      <c r="G859" s="1"/>
      <c r="H859" s="1"/>
      <c r="I859" s="1"/>
      <c r="J859" s="1"/>
      <c r="K859" s="1"/>
      <c r="L859" s="1"/>
    </row>
    <row r="860" ht="15.75" customHeight="1">
      <c r="A860" s="36"/>
      <c r="B860" s="37"/>
      <c r="C860" s="1"/>
      <c r="D860" s="1"/>
      <c r="E860" s="1"/>
      <c r="F860" s="1"/>
      <c r="G860" s="1"/>
      <c r="H860" s="1"/>
      <c r="I860" s="1"/>
      <c r="J860" s="1"/>
      <c r="K860" s="1"/>
      <c r="L860" s="1"/>
    </row>
    <row r="861" ht="15.75" customHeight="1">
      <c r="A861" s="36"/>
      <c r="B861" s="37"/>
      <c r="C861" s="1"/>
      <c r="D861" s="1"/>
      <c r="E861" s="1"/>
      <c r="F861" s="1"/>
      <c r="G861" s="1"/>
      <c r="H861" s="1"/>
      <c r="I861" s="1"/>
      <c r="J861" s="1"/>
      <c r="K861" s="1"/>
      <c r="L861" s="1"/>
    </row>
    <row r="862" ht="15.75" customHeight="1">
      <c r="A862" s="36"/>
      <c r="B862" s="37"/>
      <c r="C862" s="1"/>
      <c r="D862" s="1"/>
      <c r="E862" s="1"/>
      <c r="F862" s="1"/>
      <c r="G862" s="1"/>
      <c r="H862" s="1"/>
      <c r="I862" s="1"/>
      <c r="J862" s="1"/>
      <c r="K862" s="1"/>
      <c r="L862" s="1"/>
    </row>
    <row r="863" ht="15.75" customHeight="1">
      <c r="A863" s="36"/>
      <c r="B863" s="37"/>
      <c r="C863" s="1"/>
      <c r="D863" s="1"/>
      <c r="E863" s="1"/>
      <c r="F863" s="1"/>
      <c r="G863" s="1"/>
      <c r="H863" s="1"/>
      <c r="I863" s="1"/>
      <c r="J863" s="1"/>
      <c r="K863" s="1"/>
      <c r="L863" s="1"/>
    </row>
    <row r="864" ht="15.75" customHeight="1">
      <c r="A864" s="36"/>
      <c r="B864" s="37"/>
      <c r="C864" s="1"/>
      <c r="D864" s="1"/>
      <c r="E864" s="1"/>
      <c r="F864" s="1"/>
      <c r="G864" s="1"/>
      <c r="H864" s="1"/>
      <c r="I864" s="1"/>
      <c r="J864" s="1"/>
      <c r="K864" s="1"/>
      <c r="L864" s="1"/>
    </row>
    <row r="865" ht="15.75" customHeight="1">
      <c r="A865" s="36"/>
      <c r="B865" s="37"/>
      <c r="C865" s="1"/>
      <c r="D865" s="1"/>
      <c r="E865" s="1"/>
      <c r="F865" s="1"/>
      <c r="G865" s="1"/>
      <c r="H865" s="1"/>
      <c r="I865" s="1"/>
      <c r="J865" s="1"/>
      <c r="K865" s="1"/>
      <c r="L865" s="1"/>
    </row>
    <row r="866" ht="15.75" customHeight="1">
      <c r="A866" s="36"/>
      <c r="B866" s="37"/>
      <c r="C866" s="1"/>
      <c r="D866" s="1"/>
      <c r="E866" s="1"/>
      <c r="F866" s="1"/>
      <c r="G866" s="1"/>
      <c r="H866" s="1"/>
      <c r="I866" s="1"/>
      <c r="J866" s="1"/>
      <c r="K866" s="1"/>
      <c r="L866" s="1"/>
    </row>
    <row r="867" ht="15.75" customHeight="1">
      <c r="A867" s="36"/>
      <c r="B867" s="37"/>
      <c r="C867" s="1"/>
      <c r="D867" s="1"/>
      <c r="E867" s="1"/>
      <c r="F867" s="1"/>
      <c r="G867" s="1"/>
      <c r="H867" s="1"/>
      <c r="I867" s="1"/>
      <c r="J867" s="1"/>
      <c r="K867" s="1"/>
      <c r="L867" s="1"/>
    </row>
    <row r="868" ht="15.75" customHeight="1">
      <c r="A868" s="36"/>
      <c r="B868" s="37"/>
      <c r="C868" s="1"/>
      <c r="D868" s="1"/>
      <c r="E868" s="1"/>
      <c r="F868" s="1"/>
      <c r="G868" s="1"/>
      <c r="H868" s="1"/>
      <c r="I868" s="1"/>
      <c r="J868" s="1"/>
      <c r="K868" s="1"/>
      <c r="L868" s="1"/>
    </row>
    <row r="869" ht="15.75" customHeight="1">
      <c r="A869" s="36"/>
      <c r="B869" s="37"/>
      <c r="C869" s="1"/>
      <c r="D869" s="1"/>
      <c r="E869" s="1"/>
      <c r="F869" s="1"/>
      <c r="G869" s="1"/>
      <c r="H869" s="1"/>
      <c r="I869" s="1"/>
      <c r="J869" s="1"/>
      <c r="K869" s="1"/>
      <c r="L869" s="1"/>
    </row>
    <row r="870" ht="15.75" customHeight="1">
      <c r="A870" s="36"/>
      <c r="B870" s="37"/>
      <c r="C870" s="1"/>
      <c r="D870" s="1"/>
      <c r="E870" s="1"/>
      <c r="F870" s="1"/>
      <c r="G870" s="1"/>
      <c r="H870" s="1"/>
      <c r="I870" s="1"/>
      <c r="J870" s="1"/>
      <c r="K870" s="1"/>
      <c r="L870" s="1"/>
    </row>
    <row r="871" ht="15.75" customHeight="1">
      <c r="A871" s="36"/>
      <c r="B871" s="37"/>
      <c r="C871" s="1"/>
      <c r="D871" s="1"/>
      <c r="E871" s="1"/>
      <c r="F871" s="1"/>
      <c r="G871" s="1"/>
      <c r="H871" s="1"/>
      <c r="I871" s="1"/>
      <c r="J871" s="1"/>
      <c r="K871" s="1"/>
      <c r="L871" s="1"/>
    </row>
    <row r="872" ht="15.75" customHeight="1">
      <c r="A872" s="36"/>
      <c r="B872" s="37"/>
      <c r="C872" s="1"/>
      <c r="D872" s="1"/>
      <c r="E872" s="1"/>
      <c r="F872" s="1"/>
      <c r="G872" s="1"/>
      <c r="H872" s="1"/>
      <c r="I872" s="1"/>
      <c r="J872" s="1"/>
      <c r="K872" s="1"/>
      <c r="L872" s="1"/>
    </row>
    <row r="873" ht="15.75" customHeight="1">
      <c r="A873" s="36"/>
      <c r="B873" s="37"/>
      <c r="C873" s="1"/>
      <c r="D873" s="1"/>
      <c r="E873" s="1"/>
      <c r="F873" s="1"/>
      <c r="G873" s="1"/>
      <c r="H873" s="1"/>
      <c r="I873" s="1"/>
      <c r="J873" s="1"/>
      <c r="K873" s="1"/>
      <c r="L873" s="1"/>
    </row>
    <row r="874" ht="15.75" customHeight="1">
      <c r="A874" s="36"/>
      <c r="B874" s="37"/>
      <c r="C874" s="1"/>
      <c r="D874" s="1"/>
      <c r="E874" s="1"/>
      <c r="F874" s="1"/>
      <c r="G874" s="1"/>
      <c r="H874" s="1"/>
      <c r="I874" s="1"/>
      <c r="J874" s="1"/>
      <c r="K874" s="1"/>
      <c r="L874" s="1"/>
    </row>
    <row r="875" ht="15.75" customHeight="1">
      <c r="A875" s="36"/>
      <c r="B875" s="37"/>
      <c r="C875" s="1"/>
      <c r="D875" s="1"/>
      <c r="E875" s="1"/>
      <c r="F875" s="1"/>
      <c r="G875" s="1"/>
      <c r="H875" s="1"/>
      <c r="I875" s="1"/>
      <c r="J875" s="1"/>
      <c r="K875" s="1"/>
      <c r="L875" s="1"/>
    </row>
    <row r="876" ht="15.75" customHeight="1">
      <c r="A876" s="36"/>
      <c r="B876" s="37"/>
      <c r="C876" s="1"/>
      <c r="D876" s="1"/>
      <c r="E876" s="1"/>
      <c r="F876" s="1"/>
      <c r="G876" s="1"/>
      <c r="H876" s="1"/>
      <c r="I876" s="1"/>
      <c r="J876" s="1"/>
      <c r="K876" s="1"/>
      <c r="L876" s="1"/>
    </row>
    <row r="877" ht="15.75" customHeight="1">
      <c r="A877" s="36"/>
      <c r="B877" s="37"/>
      <c r="C877" s="1"/>
      <c r="D877" s="1"/>
      <c r="E877" s="1"/>
      <c r="F877" s="1"/>
      <c r="G877" s="1"/>
      <c r="H877" s="1"/>
      <c r="I877" s="1"/>
      <c r="J877" s="1"/>
      <c r="K877" s="1"/>
      <c r="L877" s="1"/>
    </row>
    <row r="878" ht="15.75" customHeight="1">
      <c r="A878" s="36"/>
      <c r="B878" s="37"/>
      <c r="C878" s="1"/>
      <c r="D878" s="1"/>
      <c r="E878" s="1"/>
      <c r="F878" s="1"/>
      <c r="G878" s="1"/>
      <c r="H878" s="1"/>
      <c r="I878" s="1"/>
      <c r="J878" s="1"/>
      <c r="K878" s="1"/>
      <c r="L878" s="1"/>
    </row>
    <row r="879" ht="15.75" customHeight="1">
      <c r="A879" s="36"/>
      <c r="B879" s="37"/>
      <c r="C879" s="1"/>
      <c r="D879" s="1"/>
      <c r="E879" s="1"/>
      <c r="F879" s="1"/>
      <c r="G879" s="1"/>
      <c r="H879" s="1"/>
      <c r="I879" s="1"/>
      <c r="J879" s="1"/>
      <c r="K879" s="1"/>
      <c r="L879" s="1"/>
    </row>
    <row r="880" ht="15.75" customHeight="1">
      <c r="A880" s="36"/>
      <c r="B880" s="37"/>
      <c r="C880" s="1"/>
      <c r="D880" s="1"/>
      <c r="E880" s="1"/>
      <c r="F880" s="1"/>
      <c r="G880" s="1"/>
      <c r="H880" s="1"/>
      <c r="I880" s="1"/>
      <c r="J880" s="1"/>
      <c r="K880" s="1"/>
      <c r="L880" s="1"/>
    </row>
    <row r="881" ht="15.75" customHeight="1">
      <c r="A881" s="36"/>
      <c r="B881" s="37"/>
      <c r="C881" s="1"/>
      <c r="D881" s="1"/>
      <c r="E881" s="1"/>
      <c r="F881" s="1"/>
      <c r="G881" s="1"/>
      <c r="H881" s="1"/>
      <c r="I881" s="1"/>
      <c r="J881" s="1"/>
      <c r="K881" s="1"/>
      <c r="L881" s="1"/>
    </row>
    <row r="882" ht="15.75" customHeight="1">
      <c r="A882" s="36"/>
      <c r="B882" s="37"/>
      <c r="C882" s="1"/>
      <c r="D882" s="1"/>
      <c r="E882" s="1"/>
      <c r="F882" s="1"/>
      <c r="G882" s="1"/>
      <c r="H882" s="1"/>
      <c r="I882" s="1"/>
      <c r="J882" s="1"/>
      <c r="K882" s="1"/>
      <c r="L882" s="1"/>
    </row>
    <row r="883" ht="15.75" customHeight="1">
      <c r="A883" s="36"/>
      <c r="B883" s="37"/>
      <c r="C883" s="1"/>
      <c r="D883" s="1"/>
      <c r="E883" s="1"/>
      <c r="F883" s="1"/>
      <c r="G883" s="1"/>
      <c r="H883" s="1"/>
      <c r="I883" s="1"/>
      <c r="J883" s="1"/>
      <c r="K883" s="1"/>
      <c r="L883" s="1"/>
    </row>
    <row r="884" ht="15.75" customHeight="1">
      <c r="A884" s="36"/>
      <c r="B884" s="37"/>
      <c r="C884" s="1"/>
      <c r="D884" s="1"/>
      <c r="E884" s="1"/>
      <c r="F884" s="1"/>
      <c r="G884" s="1"/>
      <c r="H884" s="1"/>
      <c r="I884" s="1"/>
      <c r="J884" s="1"/>
      <c r="K884" s="1"/>
      <c r="L884" s="1"/>
    </row>
    <row r="885" ht="15.75" customHeight="1">
      <c r="A885" s="36"/>
      <c r="B885" s="37"/>
      <c r="C885" s="1"/>
      <c r="D885" s="1"/>
      <c r="E885" s="1"/>
      <c r="F885" s="1"/>
      <c r="G885" s="1"/>
      <c r="H885" s="1"/>
      <c r="I885" s="1"/>
      <c r="J885" s="1"/>
      <c r="K885" s="1"/>
      <c r="L885" s="1"/>
    </row>
    <row r="886" ht="15.75" customHeight="1">
      <c r="A886" s="36"/>
      <c r="B886" s="37"/>
      <c r="C886" s="1"/>
      <c r="D886" s="1"/>
      <c r="E886" s="1"/>
      <c r="F886" s="1"/>
      <c r="G886" s="1"/>
      <c r="H886" s="1"/>
      <c r="I886" s="1"/>
      <c r="J886" s="1"/>
      <c r="K886" s="1"/>
      <c r="L886" s="1"/>
    </row>
    <row r="887" ht="15.75" customHeight="1">
      <c r="A887" s="36"/>
      <c r="B887" s="37"/>
      <c r="C887" s="1"/>
      <c r="D887" s="1"/>
      <c r="E887" s="1"/>
      <c r="F887" s="1"/>
      <c r="G887" s="1"/>
      <c r="H887" s="1"/>
      <c r="I887" s="1"/>
      <c r="J887" s="1"/>
      <c r="K887" s="1"/>
      <c r="L887" s="1"/>
    </row>
    <row r="888" ht="15.75" customHeight="1">
      <c r="A888" s="36"/>
      <c r="B888" s="37"/>
      <c r="C888" s="1"/>
      <c r="D888" s="1"/>
      <c r="E888" s="1"/>
      <c r="F888" s="1"/>
      <c r="G888" s="1"/>
      <c r="H888" s="1"/>
      <c r="I888" s="1"/>
      <c r="J888" s="1"/>
      <c r="K888" s="1"/>
      <c r="L888" s="1"/>
    </row>
    <row r="889" ht="15.75" customHeight="1">
      <c r="A889" s="36"/>
      <c r="B889" s="37"/>
      <c r="C889" s="1"/>
      <c r="D889" s="1"/>
      <c r="E889" s="1"/>
      <c r="F889" s="1"/>
      <c r="G889" s="1"/>
      <c r="H889" s="1"/>
      <c r="I889" s="1"/>
      <c r="J889" s="1"/>
      <c r="K889" s="1"/>
      <c r="L889" s="1"/>
    </row>
    <row r="890" ht="15.75" customHeight="1">
      <c r="A890" s="36"/>
      <c r="B890" s="37"/>
      <c r="C890" s="1"/>
      <c r="D890" s="1"/>
      <c r="E890" s="1"/>
      <c r="F890" s="1"/>
      <c r="G890" s="1"/>
      <c r="H890" s="1"/>
      <c r="I890" s="1"/>
      <c r="J890" s="1"/>
      <c r="K890" s="1"/>
      <c r="L890" s="1"/>
    </row>
    <row r="891" ht="15.75" customHeight="1">
      <c r="A891" s="36"/>
      <c r="B891" s="37"/>
      <c r="C891" s="1"/>
      <c r="D891" s="1"/>
      <c r="E891" s="1"/>
      <c r="F891" s="1"/>
      <c r="G891" s="1"/>
      <c r="H891" s="1"/>
      <c r="I891" s="1"/>
      <c r="J891" s="1"/>
      <c r="K891" s="1"/>
      <c r="L891" s="1"/>
    </row>
    <row r="892" ht="15.75" customHeight="1">
      <c r="A892" s="36"/>
      <c r="B892" s="37"/>
      <c r="C892" s="1"/>
      <c r="D892" s="1"/>
      <c r="E892" s="1"/>
      <c r="F892" s="1"/>
      <c r="G892" s="1"/>
      <c r="H892" s="1"/>
      <c r="I892" s="1"/>
      <c r="J892" s="1"/>
      <c r="K892" s="1"/>
      <c r="L892" s="1"/>
    </row>
    <row r="893" ht="15.75" customHeight="1">
      <c r="A893" s="36"/>
      <c r="B893" s="37"/>
      <c r="C893" s="1"/>
      <c r="D893" s="1"/>
      <c r="E893" s="1"/>
      <c r="F893" s="1"/>
      <c r="G893" s="1"/>
      <c r="H893" s="1"/>
      <c r="I893" s="1"/>
      <c r="J893" s="1"/>
      <c r="K893" s="1"/>
      <c r="L893" s="1"/>
    </row>
    <row r="894" ht="15.75" customHeight="1">
      <c r="A894" s="36"/>
      <c r="B894" s="37"/>
      <c r="C894" s="1"/>
      <c r="D894" s="1"/>
      <c r="E894" s="1"/>
      <c r="F894" s="1"/>
      <c r="G894" s="1"/>
      <c r="H894" s="1"/>
      <c r="I894" s="1"/>
      <c r="J894" s="1"/>
      <c r="K894" s="1"/>
      <c r="L894" s="1"/>
    </row>
    <row r="895" ht="15.75" customHeight="1">
      <c r="A895" s="36"/>
      <c r="B895" s="37"/>
      <c r="C895" s="1"/>
      <c r="D895" s="1"/>
      <c r="E895" s="1"/>
      <c r="F895" s="1"/>
      <c r="G895" s="1"/>
      <c r="H895" s="1"/>
      <c r="I895" s="1"/>
      <c r="J895" s="1"/>
      <c r="K895" s="1"/>
      <c r="L895" s="1"/>
    </row>
    <row r="896" ht="15.75" customHeight="1">
      <c r="A896" s="36"/>
      <c r="B896" s="37"/>
      <c r="C896" s="1"/>
      <c r="D896" s="1"/>
      <c r="E896" s="1"/>
      <c r="F896" s="1"/>
      <c r="G896" s="1"/>
      <c r="H896" s="1"/>
      <c r="I896" s="1"/>
      <c r="J896" s="1"/>
      <c r="K896" s="1"/>
      <c r="L896" s="1"/>
    </row>
    <row r="897" ht="15.75" customHeight="1">
      <c r="A897" s="36"/>
      <c r="B897" s="37"/>
      <c r="C897" s="1"/>
      <c r="D897" s="1"/>
      <c r="E897" s="1"/>
      <c r="F897" s="1"/>
      <c r="G897" s="1"/>
      <c r="H897" s="1"/>
      <c r="I897" s="1"/>
      <c r="J897" s="1"/>
      <c r="K897" s="1"/>
      <c r="L897" s="1"/>
    </row>
    <row r="898" ht="15.75" customHeight="1">
      <c r="A898" s="36"/>
      <c r="B898" s="37"/>
      <c r="C898" s="1"/>
      <c r="D898" s="1"/>
      <c r="E898" s="1"/>
      <c r="F898" s="1"/>
      <c r="G898" s="1"/>
      <c r="H898" s="1"/>
      <c r="I898" s="1"/>
      <c r="J898" s="1"/>
      <c r="K898" s="1"/>
      <c r="L898" s="1"/>
    </row>
    <row r="899" ht="15.75" customHeight="1">
      <c r="A899" s="36"/>
      <c r="B899" s="37"/>
      <c r="C899" s="1"/>
      <c r="D899" s="1"/>
      <c r="E899" s="1"/>
      <c r="F899" s="1"/>
      <c r="G899" s="1"/>
      <c r="H899" s="1"/>
      <c r="I899" s="1"/>
      <c r="J899" s="1"/>
      <c r="K899" s="1"/>
      <c r="L899" s="1"/>
    </row>
    <row r="900" ht="15.75" customHeight="1">
      <c r="A900" s="36"/>
      <c r="B900" s="37"/>
      <c r="C900" s="1"/>
      <c r="D900" s="1"/>
      <c r="E900" s="1"/>
      <c r="F900" s="1"/>
      <c r="G900" s="1"/>
      <c r="H900" s="1"/>
      <c r="I900" s="1"/>
      <c r="J900" s="1"/>
      <c r="K900" s="1"/>
      <c r="L900" s="1"/>
    </row>
    <row r="901" ht="15.75" customHeight="1">
      <c r="A901" s="36"/>
      <c r="B901" s="37"/>
      <c r="C901" s="1"/>
      <c r="D901" s="1"/>
      <c r="E901" s="1"/>
      <c r="F901" s="1"/>
      <c r="G901" s="1"/>
      <c r="H901" s="1"/>
      <c r="I901" s="1"/>
      <c r="J901" s="1"/>
      <c r="K901" s="1"/>
      <c r="L901" s="1"/>
    </row>
    <row r="902" ht="15.75" customHeight="1">
      <c r="A902" s="36"/>
      <c r="B902" s="37"/>
      <c r="C902" s="1"/>
      <c r="D902" s="1"/>
      <c r="E902" s="1"/>
      <c r="F902" s="1"/>
      <c r="G902" s="1"/>
      <c r="H902" s="1"/>
      <c r="I902" s="1"/>
      <c r="J902" s="1"/>
      <c r="K902" s="1"/>
      <c r="L902" s="1"/>
    </row>
    <row r="903" ht="15.75" customHeight="1">
      <c r="A903" s="36"/>
      <c r="B903" s="37"/>
      <c r="C903" s="1"/>
      <c r="D903" s="1"/>
      <c r="E903" s="1"/>
      <c r="F903" s="1"/>
      <c r="G903" s="1"/>
      <c r="H903" s="1"/>
      <c r="I903" s="1"/>
      <c r="J903" s="1"/>
      <c r="K903" s="1"/>
      <c r="L903" s="1"/>
    </row>
    <row r="904" ht="15.75" customHeight="1">
      <c r="A904" s="36"/>
      <c r="B904" s="37"/>
      <c r="C904" s="1"/>
      <c r="D904" s="1"/>
      <c r="E904" s="1"/>
      <c r="F904" s="1"/>
      <c r="G904" s="1"/>
      <c r="H904" s="1"/>
      <c r="I904" s="1"/>
      <c r="J904" s="1"/>
      <c r="K904" s="1"/>
      <c r="L904" s="1"/>
    </row>
    <row r="905" ht="15.75" customHeight="1">
      <c r="A905" s="36"/>
      <c r="B905" s="37"/>
      <c r="C905" s="1"/>
      <c r="D905" s="1"/>
      <c r="E905" s="1"/>
      <c r="F905" s="1"/>
      <c r="G905" s="1"/>
      <c r="H905" s="1"/>
      <c r="I905" s="1"/>
      <c r="J905" s="1"/>
      <c r="K905" s="1"/>
      <c r="L905" s="1"/>
    </row>
    <row r="906" ht="15.75" customHeight="1">
      <c r="A906" s="36"/>
      <c r="B906" s="37"/>
      <c r="C906" s="1"/>
      <c r="D906" s="1"/>
      <c r="E906" s="1"/>
      <c r="F906" s="1"/>
      <c r="G906" s="1"/>
      <c r="H906" s="1"/>
      <c r="I906" s="1"/>
      <c r="J906" s="1"/>
      <c r="K906" s="1"/>
      <c r="L906" s="1"/>
    </row>
    <row r="907" ht="15.75" customHeight="1">
      <c r="A907" s="36"/>
      <c r="B907" s="37"/>
      <c r="C907" s="1"/>
      <c r="D907" s="1"/>
      <c r="E907" s="1"/>
      <c r="F907" s="1"/>
      <c r="G907" s="1"/>
      <c r="H907" s="1"/>
      <c r="I907" s="1"/>
      <c r="J907" s="1"/>
      <c r="K907" s="1"/>
      <c r="L907" s="1"/>
    </row>
    <row r="908" ht="15.75" customHeight="1">
      <c r="A908" s="36"/>
      <c r="B908" s="37"/>
      <c r="C908" s="1"/>
      <c r="D908" s="1"/>
      <c r="E908" s="1"/>
      <c r="F908" s="1"/>
      <c r="G908" s="1"/>
      <c r="H908" s="1"/>
      <c r="I908" s="1"/>
      <c r="J908" s="1"/>
      <c r="K908" s="1"/>
      <c r="L908" s="1"/>
    </row>
    <row r="909" ht="15.75" customHeight="1">
      <c r="A909" s="36"/>
      <c r="B909" s="37"/>
      <c r="C909" s="1"/>
      <c r="D909" s="1"/>
      <c r="E909" s="1"/>
      <c r="F909" s="1"/>
      <c r="G909" s="1"/>
      <c r="H909" s="1"/>
      <c r="I909" s="1"/>
      <c r="J909" s="1"/>
      <c r="K909" s="1"/>
      <c r="L909" s="1"/>
    </row>
    <row r="910" ht="15.75" customHeight="1">
      <c r="A910" s="36"/>
      <c r="B910" s="37"/>
      <c r="C910" s="1"/>
      <c r="D910" s="1"/>
      <c r="E910" s="1"/>
      <c r="F910" s="1"/>
      <c r="G910" s="1"/>
      <c r="H910" s="1"/>
      <c r="I910" s="1"/>
      <c r="J910" s="1"/>
      <c r="K910" s="1"/>
      <c r="L910" s="1"/>
    </row>
    <row r="911" ht="15.75" customHeight="1">
      <c r="A911" s="36"/>
      <c r="B911" s="37"/>
      <c r="C911" s="1"/>
      <c r="D911" s="1"/>
      <c r="E911" s="1"/>
      <c r="F911" s="1"/>
      <c r="G911" s="1"/>
      <c r="H911" s="1"/>
      <c r="I911" s="1"/>
      <c r="J911" s="1"/>
      <c r="K911" s="1"/>
      <c r="L911" s="1"/>
    </row>
    <row r="912" ht="15.75" customHeight="1">
      <c r="A912" s="36"/>
      <c r="B912" s="37"/>
      <c r="C912" s="1"/>
      <c r="D912" s="1"/>
      <c r="E912" s="1"/>
      <c r="F912" s="1"/>
      <c r="G912" s="1"/>
      <c r="H912" s="1"/>
      <c r="I912" s="1"/>
      <c r="J912" s="1"/>
      <c r="K912" s="1"/>
      <c r="L912" s="1"/>
    </row>
    <row r="913" ht="15.75" customHeight="1">
      <c r="A913" s="36"/>
      <c r="B913" s="37"/>
      <c r="C913" s="1"/>
      <c r="D913" s="1"/>
      <c r="E913" s="1"/>
      <c r="F913" s="1"/>
      <c r="G913" s="1"/>
      <c r="H913" s="1"/>
      <c r="I913" s="1"/>
      <c r="J913" s="1"/>
      <c r="K913" s="1"/>
      <c r="L913" s="1"/>
    </row>
    <row r="914" ht="15.75" customHeight="1">
      <c r="A914" s="36"/>
      <c r="B914" s="37"/>
      <c r="C914" s="1"/>
      <c r="D914" s="1"/>
      <c r="E914" s="1"/>
      <c r="F914" s="1"/>
      <c r="G914" s="1"/>
      <c r="H914" s="1"/>
      <c r="I914" s="1"/>
      <c r="J914" s="1"/>
      <c r="K914" s="1"/>
      <c r="L914" s="1"/>
    </row>
    <row r="915" ht="15.75" customHeight="1">
      <c r="A915" s="36"/>
      <c r="B915" s="37"/>
      <c r="C915" s="1"/>
      <c r="D915" s="1"/>
      <c r="E915" s="1"/>
      <c r="F915" s="1"/>
      <c r="G915" s="1"/>
      <c r="H915" s="1"/>
      <c r="I915" s="1"/>
      <c r="J915" s="1"/>
      <c r="K915" s="1"/>
      <c r="L915" s="1"/>
    </row>
    <row r="916" ht="15.75" customHeight="1">
      <c r="A916" s="36"/>
      <c r="B916" s="37"/>
      <c r="C916" s="1"/>
      <c r="D916" s="1"/>
      <c r="E916" s="1"/>
      <c r="F916" s="1"/>
      <c r="G916" s="1"/>
      <c r="H916" s="1"/>
      <c r="I916" s="1"/>
      <c r="J916" s="1"/>
      <c r="K916" s="1"/>
      <c r="L916" s="1"/>
    </row>
    <row r="917" ht="15.75" customHeight="1">
      <c r="A917" s="36"/>
      <c r="B917" s="37"/>
      <c r="C917" s="1"/>
      <c r="D917" s="1"/>
      <c r="E917" s="1"/>
      <c r="F917" s="1"/>
      <c r="G917" s="1"/>
      <c r="H917" s="1"/>
      <c r="I917" s="1"/>
      <c r="J917" s="1"/>
      <c r="K917" s="1"/>
      <c r="L917" s="1"/>
    </row>
    <row r="918" ht="15.75" customHeight="1">
      <c r="A918" s="36"/>
      <c r="B918" s="37"/>
      <c r="C918" s="1"/>
      <c r="D918" s="1"/>
      <c r="E918" s="1"/>
      <c r="F918" s="1"/>
      <c r="G918" s="1"/>
      <c r="H918" s="1"/>
      <c r="I918" s="1"/>
      <c r="J918" s="1"/>
      <c r="K918" s="1"/>
      <c r="L918" s="1"/>
    </row>
    <row r="919" ht="15.75" customHeight="1">
      <c r="A919" s="36"/>
      <c r="B919" s="37"/>
      <c r="C919" s="1"/>
      <c r="D919" s="1"/>
      <c r="E919" s="1"/>
      <c r="F919" s="1"/>
      <c r="G919" s="1"/>
      <c r="H919" s="1"/>
      <c r="I919" s="1"/>
      <c r="J919" s="1"/>
      <c r="K919" s="1"/>
      <c r="L919" s="1"/>
    </row>
    <row r="920" ht="15.75" customHeight="1">
      <c r="A920" s="36"/>
      <c r="B920" s="37"/>
      <c r="C920" s="1"/>
      <c r="D920" s="1"/>
      <c r="E920" s="1"/>
      <c r="F920" s="1"/>
      <c r="G920" s="1"/>
      <c r="H920" s="1"/>
      <c r="I920" s="1"/>
      <c r="J920" s="1"/>
      <c r="K920" s="1"/>
      <c r="L920" s="1"/>
    </row>
    <row r="921" ht="15.75" customHeight="1">
      <c r="A921" s="36"/>
      <c r="B921" s="37"/>
      <c r="C921" s="1"/>
      <c r="D921" s="1"/>
      <c r="E921" s="1"/>
      <c r="F921" s="1"/>
      <c r="G921" s="1"/>
      <c r="H921" s="1"/>
      <c r="I921" s="1"/>
      <c r="J921" s="1"/>
      <c r="K921" s="1"/>
      <c r="L921" s="1"/>
    </row>
    <row r="922" ht="15.75" customHeight="1">
      <c r="A922" s="36"/>
      <c r="B922" s="37"/>
      <c r="C922" s="1"/>
      <c r="D922" s="1"/>
      <c r="E922" s="1"/>
      <c r="F922" s="1"/>
      <c r="G922" s="1"/>
      <c r="H922" s="1"/>
      <c r="I922" s="1"/>
      <c r="J922" s="1"/>
      <c r="K922" s="1"/>
      <c r="L922" s="1"/>
    </row>
    <row r="923" ht="15.75" customHeight="1">
      <c r="A923" s="36"/>
      <c r="B923" s="37"/>
      <c r="C923" s="1"/>
      <c r="D923" s="1"/>
      <c r="E923" s="1"/>
      <c r="F923" s="1"/>
      <c r="G923" s="1"/>
      <c r="H923" s="1"/>
      <c r="I923" s="1"/>
      <c r="J923" s="1"/>
      <c r="K923" s="1"/>
      <c r="L923" s="1"/>
    </row>
    <row r="924" ht="15.75" customHeight="1">
      <c r="A924" s="36"/>
      <c r="B924" s="37"/>
      <c r="C924" s="1"/>
      <c r="D924" s="1"/>
      <c r="E924" s="1"/>
      <c r="F924" s="1"/>
      <c r="G924" s="1"/>
      <c r="H924" s="1"/>
      <c r="I924" s="1"/>
      <c r="J924" s="1"/>
      <c r="K924" s="1"/>
      <c r="L924" s="1"/>
    </row>
    <row r="925" ht="15.75" customHeight="1">
      <c r="A925" s="36"/>
      <c r="B925" s="37"/>
      <c r="C925" s="1"/>
      <c r="D925" s="1"/>
      <c r="E925" s="1"/>
      <c r="F925" s="1"/>
      <c r="G925" s="1"/>
      <c r="H925" s="1"/>
      <c r="I925" s="1"/>
      <c r="J925" s="1"/>
      <c r="K925" s="1"/>
      <c r="L925" s="1"/>
    </row>
    <row r="926" ht="15.75" customHeight="1">
      <c r="A926" s="36"/>
      <c r="B926" s="37"/>
      <c r="C926" s="1"/>
      <c r="D926" s="1"/>
      <c r="E926" s="1"/>
      <c r="F926" s="1"/>
      <c r="G926" s="1"/>
      <c r="H926" s="1"/>
      <c r="I926" s="1"/>
      <c r="J926" s="1"/>
      <c r="K926" s="1"/>
      <c r="L926" s="1"/>
    </row>
    <row r="927" ht="15.75" customHeight="1">
      <c r="A927" s="36"/>
      <c r="B927" s="37"/>
      <c r="C927" s="1"/>
      <c r="D927" s="1"/>
      <c r="E927" s="1"/>
      <c r="F927" s="1"/>
      <c r="G927" s="1"/>
      <c r="H927" s="1"/>
      <c r="I927" s="1"/>
      <c r="J927" s="1"/>
      <c r="K927" s="1"/>
      <c r="L927" s="1"/>
    </row>
    <row r="928" ht="15.75" customHeight="1">
      <c r="A928" s="36"/>
      <c r="B928" s="37"/>
      <c r="C928" s="1"/>
      <c r="D928" s="1"/>
      <c r="E928" s="1"/>
      <c r="F928" s="1"/>
      <c r="G928" s="1"/>
      <c r="H928" s="1"/>
      <c r="I928" s="1"/>
      <c r="J928" s="1"/>
      <c r="K928" s="1"/>
      <c r="L928" s="1"/>
    </row>
    <row r="929" ht="15.75" customHeight="1">
      <c r="A929" s="36"/>
      <c r="B929" s="37"/>
      <c r="C929" s="1"/>
      <c r="D929" s="1"/>
      <c r="E929" s="1"/>
      <c r="F929" s="1"/>
      <c r="G929" s="1"/>
      <c r="H929" s="1"/>
      <c r="I929" s="1"/>
      <c r="J929" s="1"/>
      <c r="K929" s="1"/>
      <c r="L929" s="1"/>
    </row>
    <row r="930" ht="15.75" customHeight="1">
      <c r="A930" s="36"/>
      <c r="B930" s="37"/>
      <c r="C930" s="1"/>
      <c r="D930" s="1"/>
      <c r="E930" s="1"/>
      <c r="F930" s="1"/>
      <c r="G930" s="1"/>
      <c r="H930" s="1"/>
      <c r="I930" s="1"/>
      <c r="J930" s="1"/>
      <c r="K930" s="1"/>
      <c r="L930" s="1"/>
    </row>
    <row r="931" ht="15.75" customHeight="1">
      <c r="A931" s="36"/>
      <c r="B931" s="37"/>
      <c r="C931" s="1"/>
      <c r="D931" s="1"/>
      <c r="E931" s="1"/>
      <c r="F931" s="1"/>
      <c r="G931" s="1"/>
      <c r="H931" s="1"/>
      <c r="I931" s="1"/>
      <c r="J931" s="1"/>
      <c r="K931" s="1"/>
      <c r="L931" s="1"/>
    </row>
    <row r="932" ht="15.75" customHeight="1">
      <c r="A932" s="36"/>
      <c r="B932" s="37"/>
      <c r="C932" s="1"/>
      <c r="D932" s="1"/>
      <c r="E932" s="1"/>
      <c r="F932" s="1"/>
      <c r="G932" s="1"/>
      <c r="H932" s="1"/>
      <c r="I932" s="1"/>
      <c r="J932" s="1"/>
      <c r="K932" s="1"/>
      <c r="L932" s="1"/>
    </row>
    <row r="933" ht="15.75" customHeight="1">
      <c r="A933" s="36"/>
      <c r="B933" s="37"/>
      <c r="C933" s="1"/>
      <c r="D933" s="1"/>
      <c r="E933" s="1"/>
      <c r="F933" s="1"/>
      <c r="G933" s="1"/>
      <c r="H933" s="1"/>
      <c r="I933" s="1"/>
      <c r="J933" s="1"/>
      <c r="K933" s="1"/>
      <c r="L933" s="1"/>
    </row>
    <row r="934" ht="15.75" customHeight="1">
      <c r="A934" s="36"/>
      <c r="B934" s="37"/>
      <c r="C934" s="1"/>
      <c r="D934" s="1"/>
      <c r="E934" s="1"/>
      <c r="F934" s="1"/>
      <c r="G934" s="1"/>
      <c r="H934" s="1"/>
      <c r="I934" s="1"/>
      <c r="J934" s="1"/>
      <c r="K934" s="1"/>
      <c r="L934" s="1"/>
    </row>
    <row r="935" ht="15.75" customHeight="1">
      <c r="A935" s="36"/>
      <c r="B935" s="37"/>
      <c r="C935" s="1"/>
      <c r="D935" s="1"/>
      <c r="E935" s="1"/>
      <c r="F935" s="1"/>
      <c r="G935" s="1"/>
      <c r="H935" s="1"/>
      <c r="I935" s="1"/>
      <c r="J935" s="1"/>
      <c r="K935" s="1"/>
      <c r="L935" s="1"/>
    </row>
    <row r="936" ht="15.75" customHeight="1">
      <c r="A936" s="36"/>
      <c r="B936" s="37"/>
      <c r="C936" s="1"/>
      <c r="D936" s="1"/>
      <c r="E936" s="1"/>
      <c r="F936" s="1"/>
      <c r="G936" s="1"/>
      <c r="H936" s="1"/>
      <c r="I936" s="1"/>
      <c r="J936" s="1"/>
      <c r="K936" s="1"/>
      <c r="L936" s="1"/>
    </row>
    <row r="937" ht="15.75" customHeight="1">
      <c r="A937" s="36"/>
      <c r="B937" s="37"/>
      <c r="C937" s="1"/>
      <c r="D937" s="1"/>
      <c r="E937" s="1"/>
      <c r="F937" s="1"/>
      <c r="G937" s="1"/>
      <c r="H937" s="1"/>
      <c r="I937" s="1"/>
      <c r="J937" s="1"/>
      <c r="K937" s="1"/>
      <c r="L937" s="1"/>
    </row>
    <row r="938" ht="15.75" customHeight="1">
      <c r="A938" s="36"/>
      <c r="B938" s="37"/>
      <c r="C938" s="1"/>
      <c r="D938" s="1"/>
      <c r="E938" s="1"/>
      <c r="F938" s="1"/>
      <c r="G938" s="1"/>
      <c r="H938" s="1"/>
      <c r="I938" s="1"/>
      <c r="J938" s="1"/>
      <c r="K938" s="1"/>
      <c r="L938" s="1"/>
    </row>
    <row r="939" ht="15.75" customHeight="1">
      <c r="A939" s="36"/>
      <c r="B939" s="37"/>
      <c r="C939" s="1"/>
      <c r="D939" s="1"/>
      <c r="E939" s="1"/>
      <c r="F939" s="1"/>
      <c r="G939" s="1"/>
      <c r="H939" s="1"/>
      <c r="I939" s="1"/>
      <c r="J939" s="1"/>
      <c r="K939" s="1"/>
      <c r="L939" s="1"/>
    </row>
    <row r="940" ht="15.75" customHeight="1">
      <c r="A940" s="36"/>
      <c r="B940" s="37"/>
      <c r="C940" s="1"/>
      <c r="D940" s="1"/>
      <c r="E940" s="1"/>
      <c r="F940" s="1"/>
      <c r="G940" s="1"/>
      <c r="H940" s="1"/>
      <c r="I940" s="1"/>
      <c r="J940" s="1"/>
      <c r="K940" s="1"/>
      <c r="L940" s="1"/>
    </row>
    <row r="941" ht="15.75" customHeight="1">
      <c r="A941" s="36"/>
      <c r="B941" s="37"/>
      <c r="C941" s="1"/>
      <c r="D941" s="1"/>
      <c r="E941" s="1"/>
      <c r="F941" s="1"/>
      <c r="G941" s="1"/>
      <c r="H941" s="1"/>
      <c r="I941" s="1"/>
      <c r="J941" s="1"/>
      <c r="K941" s="1"/>
      <c r="L941" s="1"/>
    </row>
    <row r="942" ht="15.75" customHeight="1">
      <c r="A942" s="36"/>
      <c r="B942" s="37"/>
      <c r="C942" s="1"/>
      <c r="D942" s="1"/>
      <c r="E942" s="1"/>
      <c r="F942" s="1"/>
      <c r="G942" s="1"/>
      <c r="H942" s="1"/>
      <c r="I942" s="1"/>
      <c r="J942" s="1"/>
      <c r="K942" s="1"/>
      <c r="L942" s="1"/>
    </row>
    <row r="943" ht="15.75" customHeight="1">
      <c r="A943" s="36"/>
      <c r="B943" s="37"/>
      <c r="C943" s="1"/>
      <c r="D943" s="1"/>
      <c r="E943" s="1"/>
      <c r="F943" s="1"/>
      <c r="G943" s="1"/>
      <c r="H943" s="1"/>
      <c r="I943" s="1"/>
      <c r="J943" s="1"/>
      <c r="K943" s="1"/>
      <c r="L943" s="1"/>
    </row>
    <row r="944" ht="15.75" customHeight="1">
      <c r="A944" s="36"/>
      <c r="B944" s="37"/>
      <c r="C944" s="1"/>
      <c r="D944" s="1"/>
      <c r="E944" s="1"/>
      <c r="F944" s="1"/>
      <c r="G944" s="1"/>
      <c r="H944" s="1"/>
      <c r="I944" s="1"/>
      <c r="J944" s="1"/>
      <c r="K944" s="1"/>
      <c r="L944" s="1"/>
    </row>
    <row r="945" ht="15.75" customHeight="1">
      <c r="A945" s="36"/>
      <c r="B945" s="37"/>
      <c r="C945" s="1"/>
      <c r="D945" s="1"/>
      <c r="E945" s="1"/>
      <c r="F945" s="1"/>
      <c r="G945" s="1"/>
      <c r="H945" s="1"/>
      <c r="I945" s="1"/>
      <c r="J945" s="1"/>
      <c r="K945" s="1"/>
      <c r="L945" s="1"/>
    </row>
    <row r="946" ht="15.75" customHeight="1">
      <c r="A946" s="36"/>
      <c r="B946" s="37"/>
      <c r="C946" s="1"/>
      <c r="D946" s="1"/>
      <c r="E946" s="1"/>
      <c r="F946" s="1"/>
      <c r="G946" s="1"/>
      <c r="H946" s="1"/>
      <c r="I946" s="1"/>
      <c r="J946" s="1"/>
      <c r="K946" s="1"/>
      <c r="L946" s="1"/>
    </row>
    <row r="947" ht="15.75" customHeight="1">
      <c r="A947" s="36"/>
      <c r="B947" s="37"/>
      <c r="C947" s="1"/>
      <c r="D947" s="1"/>
      <c r="E947" s="1"/>
      <c r="F947" s="1"/>
      <c r="G947" s="1"/>
      <c r="H947" s="1"/>
      <c r="I947" s="1"/>
      <c r="J947" s="1"/>
      <c r="K947" s="1"/>
      <c r="L947" s="1"/>
    </row>
    <row r="948" ht="15.75" customHeight="1">
      <c r="A948" s="36"/>
      <c r="B948" s="37"/>
      <c r="C948" s="1"/>
      <c r="D948" s="1"/>
      <c r="E948" s="1"/>
      <c r="F948" s="1"/>
      <c r="G948" s="1"/>
      <c r="H948" s="1"/>
      <c r="I948" s="1"/>
      <c r="J948" s="1"/>
      <c r="K948" s="1"/>
      <c r="L948" s="1"/>
    </row>
    <row r="949" ht="15.75" customHeight="1">
      <c r="A949" s="36"/>
      <c r="B949" s="37"/>
      <c r="C949" s="1"/>
      <c r="D949" s="1"/>
      <c r="E949" s="1"/>
      <c r="F949" s="1"/>
      <c r="G949" s="1"/>
      <c r="H949" s="1"/>
      <c r="I949" s="1"/>
      <c r="J949" s="1"/>
      <c r="K949" s="1"/>
      <c r="L949" s="1"/>
    </row>
    <row r="950" ht="15.75" customHeight="1">
      <c r="A950" s="36"/>
      <c r="B950" s="37"/>
      <c r="C950" s="1"/>
      <c r="D950" s="1"/>
      <c r="E950" s="1"/>
      <c r="F950" s="1"/>
      <c r="G950" s="1"/>
      <c r="H950" s="1"/>
      <c r="I950" s="1"/>
      <c r="J950" s="1"/>
      <c r="K950" s="1"/>
      <c r="L950" s="1"/>
    </row>
    <row r="951" ht="15.75" customHeight="1">
      <c r="A951" s="36"/>
      <c r="B951" s="37"/>
      <c r="C951" s="1"/>
      <c r="D951" s="1"/>
      <c r="E951" s="1"/>
      <c r="F951" s="1"/>
      <c r="G951" s="1"/>
      <c r="H951" s="1"/>
      <c r="I951" s="1"/>
      <c r="J951" s="1"/>
      <c r="K951" s="1"/>
      <c r="L951" s="1"/>
    </row>
    <row r="952" ht="15.75" customHeight="1">
      <c r="A952" s="36"/>
      <c r="B952" s="37"/>
      <c r="C952" s="1"/>
      <c r="D952" s="1"/>
      <c r="E952" s="1"/>
      <c r="F952" s="1"/>
      <c r="G952" s="1"/>
      <c r="H952" s="1"/>
      <c r="I952" s="1"/>
      <c r="J952" s="1"/>
      <c r="K952" s="1"/>
      <c r="L952" s="1"/>
    </row>
    <row r="953" ht="15.75" customHeight="1">
      <c r="A953" s="36"/>
      <c r="B953" s="37"/>
      <c r="C953" s="1"/>
      <c r="D953" s="1"/>
      <c r="E953" s="1"/>
      <c r="F953" s="1"/>
      <c r="G953" s="1"/>
      <c r="H953" s="1"/>
      <c r="I953" s="1"/>
      <c r="J953" s="1"/>
      <c r="K953" s="1"/>
      <c r="L953" s="1"/>
    </row>
    <row r="954" ht="15.75" customHeight="1">
      <c r="A954" s="36"/>
      <c r="B954" s="37"/>
      <c r="C954" s="1"/>
      <c r="D954" s="1"/>
      <c r="E954" s="1"/>
      <c r="F954" s="1"/>
      <c r="G954" s="1"/>
      <c r="H954" s="1"/>
      <c r="I954" s="1"/>
      <c r="J954" s="1"/>
      <c r="K954" s="1"/>
      <c r="L954" s="1"/>
    </row>
    <row r="955" ht="15.75" customHeight="1">
      <c r="A955" s="36"/>
      <c r="B955" s="37"/>
      <c r="C955" s="1"/>
      <c r="D955" s="1"/>
      <c r="E955" s="1"/>
      <c r="F955" s="1"/>
      <c r="G955" s="1"/>
      <c r="H955" s="1"/>
      <c r="I955" s="1"/>
      <c r="J955" s="1"/>
      <c r="K955" s="1"/>
      <c r="L955" s="1"/>
    </row>
    <row r="956" ht="15.75" customHeight="1">
      <c r="A956" s="36"/>
      <c r="B956" s="37"/>
      <c r="C956" s="1"/>
      <c r="D956" s="1"/>
      <c r="E956" s="1"/>
      <c r="F956" s="1"/>
      <c r="G956" s="1"/>
      <c r="H956" s="1"/>
      <c r="I956" s="1"/>
      <c r="J956" s="1"/>
      <c r="K956" s="1"/>
      <c r="L956" s="1"/>
    </row>
    <row r="957" ht="15.75" customHeight="1">
      <c r="A957" s="36"/>
      <c r="B957" s="37"/>
      <c r="C957" s="1"/>
      <c r="D957" s="1"/>
      <c r="E957" s="1"/>
      <c r="F957" s="1"/>
      <c r="G957" s="1"/>
      <c r="H957" s="1"/>
      <c r="I957" s="1"/>
      <c r="J957" s="1"/>
      <c r="K957" s="1"/>
      <c r="L957" s="1"/>
    </row>
    <row r="958" ht="15.75" customHeight="1">
      <c r="A958" s="36"/>
      <c r="B958" s="37"/>
      <c r="C958" s="1"/>
      <c r="D958" s="1"/>
      <c r="E958" s="1"/>
      <c r="F958" s="1"/>
      <c r="G958" s="1"/>
      <c r="H958" s="1"/>
      <c r="I958" s="1"/>
      <c r="J958" s="1"/>
      <c r="K958" s="1"/>
      <c r="L958" s="1"/>
    </row>
    <row r="959" ht="15.75" customHeight="1">
      <c r="A959" s="36"/>
      <c r="B959" s="37"/>
      <c r="C959" s="1"/>
      <c r="D959" s="1"/>
      <c r="E959" s="1"/>
      <c r="F959" s="1"/>
      <c r="G959" s="1"/>
      <c r="H959" s="1"/>
      <c r="I959" s="1"/>
      <c r="J959" s="1"/>
      <c r="K959" s="1"/>
      <c r="L959" s="1"/>
    </row>
    <row r="960" ht="15.75" customHeight="1">
      <c r="A960" s="36"/>
      <c r="B960" s="37"/>
      <c r="C960" s="1"/>
      <c r="D960" s="1"/>
      <c r="E960" s="1"/>
      <c r="F960" s="1"/>
      <c r="G960" s="1"/>
      <c r="H960" s="1"/>
      <c r="I960" s="1"/>
      <c r="J960" s="1"/>
      <c r="K960" s="1"/>
      <c r="L960" s="1"/>
    </row>
    <row r="961" ht="15.75" customHeight="1">
      <c r="A961" s="36"/>
      <c r="B961" s="37"/>
      <c r="C961" s="1"/>
      <c r="D961" s="1"/>
      <c r="E961" s="1"/>
      <c r="F961" s="1"/>
      <c r="G961" s="1"/>
      <c r="H961" s="1"/>
      <c r="I961" s="1"/>
      <c r="J961" s="1"/>
      <c r="K961" s="1"/>
      <c r="L961" s="1"/>
    </row>
    <row r="962" ht="15.75" customHeight="1">
      <c r="A962" s="36"/>
      <c r="B962" s="37"/>
      <c r="C962" s="1"/>
      <c r="D962" s="1"/>
      <c r="E962" s="1"/>
      <c r="F962" s="1"/>
      <c r="G962" s="1"/>
      <c r="H962" s="1"/>
      <c r="I962" s="1"/>
      <c r="J962" s="1"/>
      <c r="K962" s="1"/>
      <c r="L962" s="1"/>
    </row>
    <row r="963" ht="15.75" customHeight="1">
      <c r="A963" s="36"/>
      <c r="B963" s="37"/>
      <c r="C963" s="1"/>
      <c r="D963" s="1"/>
      <c r="E963" s="1"/>
      <c r="F963" s="1"/>
      <c r="G963" s="1"/>
      <c r="H963" s="1"/>
      <c r="I963" s="1"/>
      <c r="J963" s="1"/>
      <c r="K963" s="1"/>
      <c r="L963" s="1"/>
    </row>
    <row r="964" ht="15.75" customHeight="1">
      <c r="A964" s="36"/>
      <c r="B964" s="37"/>
      <c r="C964" s="1"/>
      <c r="D964" s="1"/>
      <c r="E964" s="1"/>
      <c r="F964" s="1"/>
      <c r="G964" s="1"/>
      <c r="H964" s="1"/>
      <c r="I964" s="1"/>
      <c r="J964" s="1"/>
      <c r="K964" s="1"/>
      <c r="L964" s="1"/>
    </row>
    <row r="965" ht="15.75" customHeight="1">
      <c r="A965" s="36"/>
      <c r="B965" s="37"/>
      <c r="C965" s="1"/>
      <c r="D965" s="1"/>
      <c r="E965" s="1"/>
      <c r="F965" s="1"/>
      <c r="G965" s="1"/>
      <c r="H965" s="1"/>
      <c r="I965" s="1"/>
      <c r="J965" s="1"/>
      <c r="K965" s="1"/>
      <c r="L965" s="1"/>
    </row>
    <row r="966" ht="15.75" customHeight="1">
      <c r="A966" s="36"/>
      <c r="B966" s="37"/>
      <c r="C966" s="1"/>
      <c r="D966" s="1"/>
      <c r="E966" s="1"/>
      <c r="F966" s="1"/>
      <c r="G966" s="1"/>
      <c r="H966" s="1"/>
      <c r="I966" s="1"/>
      <c r="J966" s="1"/>
      <c r="K966" s="1"/>
      <c r="L966" s="1"/>
    </row>
    <row r="967" ht="15.75" customHeight="1">
      <c r="A967" s="36"/>
      <c r="B967" s="37"/>
      <c r="C967" s="1"/>
      <c r="D967" s="1"/>
      <c r="E967" s="1"/>
      <c r="F967" s="1"/>
      <c r="G967" s="1"/>
      <c r="H967" s="1"/>
      <c r="I967" s="1"/>
      <c r="J967" s="1"/>
      <c r="K967" s="1"/>
      <c r="L967" s="1"/>
    </row>
    <row r="968" ht="15.75" customHeight="1">
      <c r="A968" s="36"/>
      <c r="B968" s="37"/>
      <c r="C968" s="1"/>
      <c r="D968" s="1"/>
      <c r="E968" s="1"/>
      <c r="F968" s="1"/>
      <c r="G968" s="1"/>
      <c r="H968" s="1"/>
      <c r="I968" s="1"/>
      <c r="J968" s="1"/>
      <c r="K968" s="1"/>
      <c r="L968" s="1"/>
    </row>
    <row r="969" ht="15.75" customHeight="1">
      <c r="A969" s="36"/>
      <c r="B969" s="37"/>
      <c r="C969" s="1"/>
      <c r="D969" s="1"/>
      <c r="E969" s="1"/>
      <c r="F969" s="1"/>
      <c r="G969" s="1"/>
      <c r="H969" s="1"/>
      <c r="I969" s="1"/>
      <c r="J969" s="1"/>
      <c r="K969" s="1"/>
      <c r="L969" s="1"/>
    </row>
    <row r="970" ht="15.75" customHeight="1">
      <c r="A970" s="36"/>
      <c r="B970" s="37"/>
      <c r="C970" s="1"/>
      <c r="D970" s="1"/>
      <c r="E970" s="1"/>
      <c r="F970" s="1"/>
      <c r="G970" s="1"/>
      <c r="H970" s="1"/>
      <c r="I970" s="1"/>
      <c r="J970" s="1"/>
      <c r="K970" s="1"/>
      <c r="L970" s="1"/>
    </row>
    <row r="971" ht="15.75" customHeight="1">
      <c r="A971" s="36"/>
      <c r="B971" s="37"/>
      <c r="C971" s="1"/>
      <c r="D971" s="1"/>
      <c r="E971" s="1"/>
      <c r="F971" s="1"/>
      <c r="G971" s="1"/>
      <c r="H971" s="1"/>
      <c r="I971" s="1"/>
      <c r="J971" s="1"/>
      <c r="K971" s="1"/>
      <c r="L971" s="1"/>
    </row>
    <row r="972" ht="15.75" customHeight="1">
      <c r="A972" s="36"/>
      <c r="B972" s="37"/>
      <c r="C972" s="1"/>
      <c r="D972" s="1"/>
      <c r="E972" s="1"/>
      <c r="F972" s="1"/>
      <c r="G972" s="1"/>
      <c r="H972" s="1"/>
      <c r="I972" s="1"/>
      <c r="J972" s="1"/>
      <c r="K972" s="1"/>
      <c r="L972" s="1"/>
    </row>
    <row r="973" ht="15.75" customHeight="1">
      <c r="A973" s="36"/>
      <c r="B973" s="37"/>
      <c r="C973" s="1"/>
      <c r="D973" s="1"/>
      <c r="E973" s="1"/>
      <c r="F973" s="1"/>
      <c r="G973" s="1"/>
      <c r="H973" s="1"/>
      <c r="I973" s="1"/>
      <c r="J973" s="1"/>
      <c r="K973" s="1"/>
      <c r="L973" s="1"/>
    </row>
    <row r="974" ht="15.75" customHeight="1">
      <c r="A974" s="36"/>
      <c r="B974" s="37"/>
      <c r="C974" s="1"/>
      <c r="D974" s="1"/>
      <c r="E974" s="1"/>
      <c r="F974" s="1"/>
      <c r="G974" s="1"/>
      <c r="H974" s="1"/>
      <c r="I974" s="1"/>
      <c r="J974" s="1"/>
      <c r="K974" s="1"/>
      <c r="L974" s="1"/>
    </row>
    <row r="975" ht="15.75" customHeight="1">
      <c r="A975" s="36"/>
      <c r="B975" s="37"/>
      <c r="C975" s="1"/>
      <c r="D975" s="1"/>
      <c r="E975" s="1"/>
      <c r="F975" s="1"/>
      <c r="G975" s="1"/>
      <c r="H975" s="1"/>
      <c r="I975" s="1"/>
      <c r="J975" s="1"/>
      <c r="K975" s="1"/>
      <c r="L975" s="1"/>
    </row>
    <row r="976" ht="15.75" customHeight="1">
      <c r="A976" s="36"/>
      <c r="B976" s="37"/>
      <c r="C976" s="1"/>
      <c r="D976" s="1"/>
      <c r="E976" s="1"/>
      <c r="F976" s="1"/>
      <c r="G976" s="1"/>
      <c r="H976" s="1"/>
      <c r="I976" s="1"/>
      <c r="J976" s="1"/>
      <c r="K976" s="1"/>
      <c r="L976" s="1"/>
    </row>
    <row r="977" ht="15.75" customHeight="1">
      <c r="A977" s="36"/>
      <c r="B977" s="37"/>
      <c r="C977" s="1"/>
      <c r="D977" s="1"/>
      <c r="E977" s="1"/>
      <c r="F977" s="1"/>
      <c r="G977" s="1"/>
      <c r="H977" s="1"/>
      <c r="I977" s="1"/>
      <c r="J977" s="1"/>
      <c r="K977" s="1"/>
      <c r="L977" s="1"/>
    </row>
    <row r="978" ht="15.75" customHeight="1">
      <c r="A978" s="36"/>
      <c r="B978" s="37"/>
      <c r="C978" s="1"/>
      <c r="D978" s="1"/>
      <c r="E978" s="1"/>
      <c r="F978" s="1"/>
      <c r="G978" s="1"/>
      <c r="H978" s="1"/>
      <c r="I978" s="1"/>
      <c r="J978" s="1"/>
      <c r="K978" s="1"/>
      <c r="L978" s="1"/>
    </row>
    <row r="979" ht="15.75" customHeight="1">
      <c r="A979" s="36"/>
      <c r="B979" s="37"/>
      <c r="C979" s="1"/>
      <c r="D979" s="1"/>
      <c r="E979" s="1"/>
      <c r="F979" s="1"/>
      <c r="G979" s="1"/>
      <c r="H979" s="1"/>
      <c r="I979" s="1"/>
      <c r="J979" s="1"/>
      <c r="K979" s="1"/>
      <c r="L979" s="1"/>
    </row>
    <row r="980" ht="15.75" customHeight="1">
      <c r="A980" s="36"/>
      <c r="B980" s="37"/>
      <c r="C980" s="1"/>
      <c r="D980" s="1"/>
      <c r="E980" s="1"/>
      <c r="F980" s="1"/>
      <c r="G980" s="1"/>
      <c r="H980" s="1"/>
      <c r="I980" s="1"/>
      <c r="J980" s="1"/>
      <c r="K980" s="1"/>
      <c r="L980" s="1"/>
    </row>
    <row r="981" ht="15.75" customHeight="1">
      <c r="A981" s="36"/>
      <c r="B981" s="37"/>
      <c r="C981" s="1"/>
      <c r="D981" s="1"/>
      <c r="E981" s="1"/>
      <c r="F981" s="1"/>
      <c r="G981" s="1"/>
      <c r="H981" s="1"/>
      <c r="I981" s="1"/>
      <c r="J981" s="1"/>
      <c r="K981" s="1"/>
      <c r="L981" s="1"/>
    </row>
    <row r="982" ht="15.75" customHeight="1">
      <c r="A982" s="36"/>
      <c r="B982" s="37"/>
      <c r="C982" s="1"/>
      <c r="D982" s="1"/>
      <c r="E982" s="1"/>
      <c r="F982" s="1"/>
      <c r="G982" s="1"/>
      <c r="H982" s="1"/>
      <c r="I982" s="1"/>
      <c r="J982" s="1"/>
      <c r="K982" s="1"/>
      <c r="L982" s="1"/>
    </row>
    <row r="983" ht="15.75" customHeight="1">
      <c r="A983" s="36"/>
      <c r="B983" s="37"/>
      <c r="C983" s="1"/>
      <c r="D983" s="1"/>
      <c r="E983" s="1"/>
      <c r="F983" s="1"/>
      <c r="G983" s="1"/>
      <c r="H983" s="1"/>
      <c r="I983" s="1"/>
      <c r="J983" s="1"/>
      <c r="K983" s="1"/>
      <c r="L983" s="1"/>
    </row>
    <row r="984" ht="15.75" customHeight="1">
      <c r="A984" s="36"/>
      <c r="B984" s="37"/>
      <c r="C984" s="1"/>
      <c r="D984" s="1"/>
      <c r="E984" s="1"/>
      <c r="F984" s="1"/>
      <c r="G984" s="1"/>
      <c r="H984" s="1"/>
      <c r="I984" s="1"/>
      <c r="J984" s="1"/>
      <c r="K984" s="1"/>
      <c r="L984" s="1"/>
    </row>
    <row r="985" ht="15.75" customHeight="1">
      <c r="A985" s="36"/>
      <c r="B985" s="37"/>
      <c r="C985" s="1"/>
      <c r="D985" s="1"/>
      <c r="E985" s="1"/>
      <c r="F985" s="1"/>
      <c r="G985" s="1"/>
      <c r="H985" s="1"/>
      <c r="I985" s="1"/>
      <c r="J985" s="1"/>
      <c r="K985" s="1"/>
      <c r="L985" s="1"/>
    </row>
    <row r="986" ht="15.75" customHeight="1">
      <c r="A986" s="36"/>
      <c r="B986" s="37"/>
      <c r="C986" s="1"/>
      <c r="D986" s="1"/>
      <c r="E986" s="1"/>
      <c r="F986" s="1"/>
      <c r="G986" s="1"/>
      <c r="H986" s="1"/>
      <c r="I986" s="1"/>
      <c r="J986" s="1"/>
      <c r="K986" s="1"/>
      <c r="L986" s="1"/>
    </row>
    <row r="987" ht="15.75" customHeight="1">
      <c r="A987" s="36"/>
      <c r="B987" s="37"/>
      <c r="C987" s="1"/>
      <c r="D987" s="1"/>
      <c r="E987" s="1"/>
      <c r="F987" s="1"/>
      <c r="G987" s="1"/>
      <c r="H987" s="1"/>
      <c r="I987" s="1"/>
      <c r="J987" s="1"/>
      <c r="K987" s="1"/>
      <c r="L987" s="1"/>
    </row>
    <row r="988" ht="15.75" customHeight="1">
      <c r="A988" s="36"/>
      <c r="B988" s="37"/>
      <c r="C988" s="1"/>
      <c r="D988" s="1"/>
      <c r="E988" s="1"/>
      <c r="F988" s="1"/>
      <c r="G988" s="1"/>
      <c r="H988" s="1"/>
      <c r="I988" s="1"/>
      <c r="J988" s="1"/>
      <c r="K988" s="1"/>
      <c r="L988" s="1"/>
    </row>
    <row r="989" ht="15.75" customHeight="1">
      <c r="A989" s="36"/>
      <c r="B989" s="37"/>
      <c r="C989" s="1"/>
      <c r="D989" s="1"/>
      <c r="E989" s="1"/>
      <c r="F989" s="1"/>
      <c r="G989" s="1"/>
      <c r="H989" s="1"/>
      <c r="I989" s="1"/>
      <c r="J989" s="1"/>
      <c r="K989" s="1"/>
      <c r="L989" s="1"/>
    </row>
    <row r="990" ht="15.75" customHeight="1">
      <c r="A990" s="36"/>
      <c r="B990" s="37"/>
      <c r="C990" s="1"/>
      <c r="D990" s="1"/>
      <c r="E990" s="1"/>
      <c r="F990" s="1"/>
      <c r="G990" s="1"/>
      <c r="H990" s="1"/>
      <c r="I990" s="1"/>
      <c r="J990" s="1"/>
      <c r="K990" s="1"/>
      <c r="L990" s="1"/>
    </row>
    <row r="991" ht="15.75" customHeight="1">
      <c r="A991" s="36"/>
      <c r="B991" s="37"/>
      <c r="C991" s="1"/>
      <c r="D991" s="1"/>
      <c r="E991" s="1"/>
      <c r="F991" s="1"/>
      <c r="G991" s="1"/>
      <c r="H991" s="1"/>
      <c r="I991" s="1"/>
      <c r="J991" s="1"/>
      <c r="K991" s="1"/>
      <c r="L991" s="1"/>
    </row>
    <row r="992" ht="15.75" customHeight="1">
      <c r="A992" s="36"/>
      <c r="B992" s="37"/>
      <c r="C992" s="1"/>
      <c r="D992" s="1"/>
      <c r="E992" s="1"/>
      <c r="F992" s="1"/>
      <c r="G992" s="1"/>
      <c r="H992" s="1"/>
      <c r="I992" s="1"/>
      <c r="J992" s="1"/>
      <c r="K992" s="1"/>
      <c r="L992" s="1"/>
    </row>
    <row r="993" ht="15.75" customHeight="1">
      <c r="A993" s="36"/>
      <c r="B993" s="37"/>
      <c r="C993" s="1"/>
      <c r="D993" s="1"/>
      <c r="E993" s="1"/>
      <c r="F993" s="1"/>
      <c r="G993" s="1"/>
      <c r="H993" s="1"/>
      <c r="I993" s="1"/>
      <c r="J993" s="1"/>
      <c r="K993" s="1"/>
      <c r="L993" s="1"/>
    </row>
    <row r="994" ht="15.75" customHeight="1">
      <c r="A994" s="36"/>
      <c r="B994" s="37"/>
      <c r="C994" s="1"/>
      <c r="D994" s="1"/>
      <c r="E994" s="1"/>
      <c r="F994" s="1"/>
      <c r="G994" s="1"/>
      <c r="H994" s="1"/>
      <c r="I994" s="1"/>
      <c r="J994" s="1"/>
      <c r="K994" s="1"/>
      <c r="L994" s="1"/>
    </row>
    <row r="995" ht="15.75" customHeight="1">
      <c r="A995" s="36"/>
      <c r="B995" s="37"/>
      <c r="C995" s="1"/>
      <c r="D995" s="1"/>
      <c r="E995" s="1"/>
      <c r="F995" s="1"/>
      <c r="G995" s="1"/>
      <c r="H995" s="1"/>
      <c r="I995" s="1"/>
      <c r="J995" s="1"/>
      <c r="K995" s="1"/>
      <c r="L995" s="1"/>
    </row>
    <row r="996" ht="15.75" customHeight="1">
      <c r="A996" s="36"/>
      <c r="B996" s="37"/>
      <c r="C996" s="1"/>
      <c r="D996" s="1"/>
      <c r="E996" s="1"/>
      <c r="F996" s="1"/>
      <c r="G996" s="1"/>
      <c r="H996" s="1"/>
      <c r="I996" s="1"/>
      <c r="J996" s="1"/>
      <c r="K996" s="1"/>
      <c r="L996" s="1"/>
    </row>
    <row r="997" ht="15.75" customHeight="1">
      <c r="A997" s="36"/>
      <c r="B997" s="37"/>
      <c r="C997" s="1"/>
      <c r="D997" s="1"/>
      <c r="E997" s="1"/>
      <c r="F997" s="1"/>
      <c r="G997" s="1"/>
      <c r="H997" s="1"/>
      <c r="I997" s="1"/>
      <c r="J997" s="1"/>
      <c r="K997" s="1"/>
      <c r="L997" s="1"/>
    </row>
    <row r="998" ht="15.75" customHeight="1">
      <c r="A998" s="36"/>
      <c r="B998" s="37"/>
      <c r="C998" s="1"/>
      <c r="D998" s="1"/>
      <c r="E998" s="1"/>
      <c r="F998" s="1"/>
      <c r="G998" s="1"/>
      <c r="H998" s="1"/>
      <c r="I998" s="1"/>
      <c r="J998" s="1"/>
      <c r="K998" s="1"/>
      <c r="L998" s="1"/>
    </row>
    <row r="999" ht="15.75" customHeight="1">
      <c r="A999" s="36"/>
      <c r="B999" s="37"/>
      <c r="C999" s="1"/>
      <c r="D999" s="1"/>
      <c r="E999" s="1"/>
      <c r="F999" s="1"/>
      <c r="G999" s="1"/>
      <c r="H999" s="1"/>
      <c r="I999" s="1"/>
      <c r="J999" s="1"/>
      <c r="K999" s="1"/>
      <c r="L999" s="1"/>
    </row>
    <row r="1000" ht="15.75" customHeight="1">
      <c r="A1000" s="36"/>
      <c r="B1000" s="37"/>
      <c r="C1000" s="1"/>
      <c r="D1000" s="1"/>
      <c r="E1000" s="1"/>
      <c r="F1000" s="1"/>
      <c r="G1000" s="1"/>
      <c r="H1000" s="1"/>
      <c r="I1000" s="1"/>
      <c r="J1000" s="1"/>
      <c r="K1000" s="1"/>
      <c r="L1000" s="1"/>
    </row>
  </sheetData>
  <mergeCells count="7">
    <mergeCell ref="A2:N2"/>
    <mergeCell ref="A4:N4"/>
    <mergeCell ref="A5:N5"/>
    <mergeCell ref="A6:N6"/>
    <mergeCell ref="A7:N7"/>
    <mergeCell ref="A8:N8"/>
    <mergeCell ref="A60:N60"/>
  </mergeCells>
  <hyperlinks>
    <hyperlink r:id="rId1" ref="H14"/>
    <hyperlink r:id="rId2" ref="A15"/>
    <hyperlink r:id="rId3" ref="D15"/>
    <hyperlink r:id="rId4" ref="H18"/>
    <hyperlink r:id="rId5" ref="H19"/>
    <hyperlink r:id="rId6" ref="H20"/>
    <hyperlink r:id="rId7" ref="H21"/>
    <hyperlink r:id="rId8" ref="H22"/>
    <hyperlink r:id="rId9" ref="H23"/>
    <hyperlink r:id="rId10" ref="H24"/>
    <hyperlink r:id="rId11" ref="H25"/>
    <hyperlink r:id="rId12" ref="H26"/>
    <hyperlink r:id="rId13" ref="H27"/>
    <hyperlink r:id="rId14" ref="I27"/>
    <hyperlink r:id="rId15" ref="I28"/>
    <hyperlink r:id="rId16" ref="B30"/>
    <hyperlink r:id="rId17" ref="A32"/>
    <hyperlink r:id="rId18" ref="D32"/>
    <hyperlink r:id="rId19" ref="I32"/>
    <hyperlink r:id="rId20" ref="H36"/>
    <hyperlink r:id="rId21" ref="H37"/>
    <hyperlink r:id="rId22" ref="J37"/>
    <hyperlink r:id="rId23" ref="H38"/>
    <hyperlink r:id="rId24" ref="I38"/>
    <hyperlink r:id="rId25" ref="J38"/>
    <hyperlink r:id="rId26" ref="H39"/>
    <hyperlink r:id="rId27" ref="I39"/>
    <hyperlink r:id="rId28" ref="J39"/>
    <hyperlink r:id="rId29" ref="H40"/>
    <hyperlink r:id="rId30" ref="I40"/>
    <hyperlink r:id="rId31" ref="H43"/>
    <hyperlink r:id="rId32" ref="A44"/>
    <hyperlink r:id="rId33" ref="H44"/>
    <hyperlink r:id="rId34" ref="H45"/>
    <hyperlink r:id="rId35" ref="H46"/>
    <hyperlink r:id="rId36" ref="A47"/>
    <hyperlink r:id="rId37" ref="H47"/>
  </hyperlinks>
  <printOptions/>
  <pageMargins bottom="0.75" footer="0.0" header="0.0" left="0.7" right="0.7" top="0.75"/>
  <pageSetup orientation="landscape"/>
  <drawing r:id="rId3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3" width="15.43"/>
    <col customWidth="1" min="4" max="4" width="8.14"/>
    <col customWidth="1" min="5" max="5" width="17.43"/>
    <col customWidth="1" min="6" max="6" width="7.71"/>
    <col customWidth="1" min="7" max="7" width="8.43"/>
    <col customWidth="1" min="8" max="8" width="10.71"/>
    <col customWidth="1" min="9" max="9" width="18.57"/>
    <col customWidth="1" min="10" max="10" width="10.0"/>
    <col customWidth="1" min="11" max="11" width="7.71"/>
    <col customWidth="1" min="12" max="12" width="8.71"/>
    <col customWidth="1" min="13" max="13" width="9.14"/>
    <col customWidth="1" min="14" max="14" width="20.71"/>
    <col customWidth="1" min="15" max="26" width="8.0"/>
  </cols>
  <sheetData>
    <row r="1">
      <c r="A1" s="36"/>
      <c r="B1" s="37"/>
      <c r="C1" s="37"/>
      <c r="D1" s="1"/>
      <c r="E1" s="1"/>
      <c r="F1" s="1"/>
      <c r="G1" s="1"/>
      <c r="H1" s="185"/>
      <c r="I1" s="185"/>
      <c r="J1" s="1"/>
      <c r="K1" s="1"/>
      <c r="L1" s="1"/>
      <c r="M1" s="1"/>
    </row>
    <row r="2" ht="15.75" customHeight="1">
      <c r="A2" s="38" t="s">
        <v>456</v>
      </c>
      <c r="B2" s="39"/>
      <c r="C2" s="39"/>
      <c r="D2" s="39"/>
      <c r="E2" s="39"/>
      <c r="F2" s="39"/>
      <c r="G2" s="39"/>
      <c r="H2" s="39"/>
      <c r="I2" s="39"/>
      <c r="J2" s="39"/>
      <c r="K2" s="39"/>
      <c r="L2" s="39"/>
      <c r="M2" s="40"/>
      <c r="N2" s="42"/>
      <c r="O2" s="42"/>
      <c r="P2" s="42"/>
      <c r="Q2" s="42"/>
      <c r="R2" s="42"/>
      <c r="S2" s="42"/>
      <c r="T2" s="42"/>
      <c r="U2" s="42"/>
      <c r="V2" s="42"/>
      <c r="W2" s="42"/>
      <c r="X2" s="42"/>
      <c r="Y2" s="42"/>
      <c r="Z2" s="42"/>
    </row>
    <row r="3" ht="15.75" customHeight="1">
      <c r="A3" s="186"/>
      <c r="B3" s="186"/>
      <c r="C3" s="186"/>
      <c r="D3" s="186"/>
      <c r="E3" s="186"/>
      <c r="F3" s="186"/>
      <c r="G3" s="186"/>
      <c r="H3" s="187"/>
      <c r="I3" s="187"/>
      <c r="J3" s="186"/>
      <c r="K3" s="186"/>
      <c r="L3" s="186"/>
      <c r="M3" s="186"/>
      <c r="N3" s="42"/>
      <c r="O3" s="42"/>
      <c r="P3" s="42"/>
      <c r="Q3" s="42"/>
      <c r="R3" s="42"/>
      <c r="S3" s="42"/>
      <c r="T3" s="42"/>
      <c r="U3" s="42"/>
      <c r="V3" s="42"/>
      <c r="W3" s="42"/>
      <c r="X3" s="42"/>
      <c r="Y3" s="42"/>
      <c r="Z3" s="42"/>
    </row>
    <row r="4" ht="28.5" customHeight="1">
      <c r="A4" s="188" t="s">
        <v>457</v>
      </c>
      <c r="B4" s="39"/>
      <c r="C4" s="39"/>
      <c r="D4" s="39"/>
      <c r="E4" s="39"/>
      <c r="F4" s="39"/>
      <c r="G4" s="39"/>
      <c r="H4" s="39"/>
      <c r="I4" s="39"/>
      <c r="J4" s="39"/>
      <c r="K4" s="39"/>
      <c r="L4" s="39"/>
      <c r="M4" s="40"/>
      <c r="N4" s="42"/>
      <c r="O4" s="42"/>
      <c r="P4" s="42"/>
      <c r="Q4" s="42"/>
      <c r="R4" s="42"/>
      <c r="S4" s="42"/>
      <c r="T4" s="42"/>
      <c r="U4" s="42"/>
      <c r="V4" s="42"/>
      <c r="W4" s="42"/>
      <c r="X4" s="42"/>
      <c r="Y4" s="42"/>
      <c r="Z4" s="42"/>
    </row>
    <row r="5">
      <c r="A5" s="107" t="s">
        <v>458</v>
      </c>
      <c r="B5" s="39"/>
      <c r="C5" s="39"/>
      <c r="D5" s="39"/>
      <c r="E5" s="39"/>
      <c r="F5" s="39"/>
      <c r="G5" s="39"/>
      <c r="H5" s="39"/>
      <c r="I5" s="39"/>
      <c r="J5" s="39"/>
      <c r="K5" s="39"/>
      <c r="L5" s="39"/>
      <c r="M5" s="40"/>
      <c r="N5" s="42"/>
      <c r="O5" s="42"/>
      <c r="P5" s="42"/>
      <c r="Q5" s="42"/>
      <c r="R5" s="42"/>
      <c r="S5" s="42"/>
      <c r="T5" s="42"/>
      <c r="U5" s="42"/>
      <c r="V5" s="42"/>
      <c r="W5" s="42"/>
      <c r="X5" s="42"/>
      <c r="Y5" s="42"/>
      <c r="Z5" s="42"/>
    </row>
    <row r="6">
      <c r="A6" s="43" t="s">
        <v>100</v>
      </c>
      <c r="B6" s="39"/>
      <c r="C6" s="39"/>
      <c r="D6" s="39"/>
      <c r="E6" s="39"/>
      <c r="F6" s="39"/>
      <c r="G6" s="39"/>
      <c r="H6" s="39"/>
      <c r="I6" s="39"/>
      <c r="J6" s="39"/>
      <c r="K6" s="39"/>
      <c r="L6" s="39"/>
      <c r="M6" s="189"/>
      <c r="N6" s="42"/>
      <c r="O6" s="42"/>
      <c r="P6" s="42"/>
      <c r="Q6" s="42"/>
      <c r="R6" s="42"/>
      <c r="S6" s="42"/>
      <c r="T6" s="42"/>
      <c r="U6" s="42"/>
      <c r="V6" s="42"/>
      <c r="W6" s="42"/>
      <c r="X6" s="42"/>
      <c r="Y6" s="42"/>
      <c r="Z6" s="42"/>
    </row>
    <row r="7" ht="56.25" customHeight="1">
      <c r="A7" s="44" t="s">
        <v>459</v>
      </c>
      <c r="B7" s="39"/>
      <c r="C7" s="39"/>
      <c r="D7" s="39"/>
      <c r="E7" s="39"/>
      <c r="F7" s="39"/>
      <c r="G7" s="39"/>
      <c r="H7" s="39"/>
      <c r="I7" s="39"/>
      <c r="J7" s="39"/>
      <c r="K7" s="39"/>
      <c r="L7" s="39"/>
      <c r="M7" s="40"/>
      <c r="N7" s="42"/>
      <c r="O7" s="42"/>
      <c r="P7" s="42"/>
      <c r="Q7" s="42"/>
      <c r="R7" s="42"/>
      <c r="S7" s="42"/>
      <c r="T7" s="42"/>
      <c r="U7" s="42"/>
      <c r="V7" s="42"/>
      <c r="W7" s="42"/>
      <c r="X7" s="42"/>
      <c r="Y7" s="42"/>
      <c r="Z7" s="42"/>
    </row>
    <row r="8">
      <c r="A8" s="36"/>
      <c r="B8" s="37"/>
      <c r="C8" s="37"/>
      <c r="D8" s="1"/>
      <c r="E8" s="1"/>
      <c r="F8" s="1"/>
      <c r="G8" s="1"/>
      <c r="H8" s="185"/>
      <c r="I8" s="185"/>
      <c r="J8" s="1"/>
      <c r="K8" s="1"/>
      <c r="L8" s="1"/>
      <c r="M8" s="1"/>
    </row>
    <row r="9" ht="63.75" customHeight="1">
      <c r="A9" s="47" t="s">
        <v>102</v>
      </c>
      <c r="B9" s="47" t="s">
        <v>460</v>
      </c>
      <c r="C9" s="47" t="s">
        <v>103</v>
      </c>
      <c r="D9" s="48" t="s">
        <v>9</v>
      </c>
      <c r="E9" s="190" t="s">
        <v>461</v>
      </c>
      <c r="F9" s="47" t="s">
        <v>462</v>
      </c>
      <c r="G9" s="48" t="s">
        <v>463</v>
      </c>
      <c r="H9" s="48" t="s">
        <v>110</v>
      </c>
      <c r="I9" s="48" t="s">
        <v>111</v>
      </c>
      <c r="J9" s="48" t="s">
        <v>464</v>
      </c>
      <c r="K9" s="48" t="s">
        <v>113</v>
      </c>
      <c r="L9" s="47" t="s">
        <v>116</v>
      </c>
      <c r="M9" s="47" t="s">
        <v>117</v>
      </c>
      <c r="N9" s="49" t="s">
        <v>118</v>
      </c>
    </row>
    <row r="10" ht="51.0" customHeight="1">
      <c r="A10" s="191" t="s">
        <v>465</v>
      </c>
      <c r="B10" s="192" t="s">
        <v>466</v>
      </c>
      <c r="C10" s="192" t="s">
        <v>467</v>
      </c>
      <c r="D10" s="191" t="s">
        <v>38</v>
      </c>
      <c r="E10" s="191" t="s">
        <v>468</v>
      </c>
      <c r="F10" s="193"/>
      <c r="G10" s="191"/>
      <c r="H10" s="194"/>
      <c r="I10" s="195"/>
      <c r="J10" s="196" t="s">
        <v>469</v>
      </c>
      <c r="K10" s="197">
        <v>2020.0</v>
      </c>
      <c r="L10" s="198">
        <v>100.0</v>
      </c>
      <c r="M10" s="191">
        <v>50.0</v>
      </c>
      <c r="N10" s="62" t="s">
        <v>470</v>
      </c>
    </row>
    <row r="11">
      <c r="A11" s="52"/>
      <c r="B11" s="54"/>
      <c r="C11" s="52"/>
      <c r="D11" s="199"/>
      <c r="E11" s="199"/>
      <c r="F11" s="135"/>
      <c r="G11" s="200"/>
      <c r="H11" s="52"/>
      <c r="I11" s="70"/>
      <c r="J11" s="58"/>
      <c r="K11" s="201"/>
      <c r="L11" s="202"/>
      <c r="M11" s="52"/>
      <c r="N11" s="62"/>
    </row>
    <row r="12" ht="195.0" customHeight="1">
      <c r="A12" s="52" t="s">
        <v>471</v>
      </c>
      <c r="B12" s="54" t="s">
        <v>472</v>
      </c>
      <c r="C12" s="54" t="s">
        <v>473</v>
      </c>
      <c r="D12" s="199" t="s">
        <v>38</v>
      </c>
      <c r="E12" s="52" t="s">
        <v>474</v>
      </c>
      <c r="F12" s="52" t="s">
        <v>330</v>
      </c>
      <c r="G12" s="52" t="s">
        <v>330</v>
      </c>
      <c r="H12" s="203" t="s">
        <v>475</v>
      </c>
      <c r="I12" s="203" t="s">
        <v>330</v>
      </c>
      <c r="J12" s="71" t="s">
        <v>476</v>
      </c>
      <c r="K12" s="201">
        <v>2020.0</v>
      </c>
      <c r="L12" s="202">
        <v>100.0</v>
      </c>
      <c r="M12" s="52">
        <f>100/4</f>
        <v>25</v>
      </c>
      <c r="N12" s="62" t="s">
        <v>146</v>
      </c>
    </row>
    <row r="13" ht="51.0" customHeight="1">
      <c r="A13" s="52" t="s">
        <v>477</v>
      </c>
      <c r="B13" s="54" t="s">
        <v>478</v>
      </c>
      <c r="C13" s="54" t="s">
        <v>479</v>
      </c>
      <c r="D13" s="199" t="s">
        <v>38</v>
      </c>
      <c r="E13" s="52" t="s">
        <v>480</v>
      </c>
      <c r="F13" s="52" t="s">
        <v>481</v>
      </c>
      <c r="G13" s="52" t="s">
        <v>482</v>
      </c>
      <c r="H13" s="203" t="s">
        <v>483</v>
      </c>
      <c r="I13" s="203"/>
      <c r="J13" s="204" t="s">
        <v>484</v>
      </c>
      <c r="K13" s="201">
        <v>2020.0</v>
      </c>
      <c r="L13" s="202">
        <v>100.0</v>
      </c>
      <c r="M13" s="52">
        <v>50.0</v>
      </c>
      <c r="N13" s="62" t="s">
        <v>485</v>
      </c>
    </row>
    <row r="14">
      <c r="A14" s="52"/>
      <c r="B14" s="54"/>
      <c r="C14" s="205"/>
      <c r="D14" s="199"/>
      <c r="E14" s="52"/>
      <c r="F14" s="52"/>
      <c r="G14" s="52"/>
      <c r="H14" s="206"/>
      <c r="I14" s="206"/>
      <c r="J14" s="207"/>
      <c r="K14" s="208"/>
      <c r="L14" s="202"/>
      <c r="M14" s="209"/>
      <c r="N14" s="62"/>
    </row>
    <row r="15">
      <c r="A15" s="52"/>
      <c r="B15" s="54"/>
      <c r="C15" s="205"/>
      <c r="D15" s="199"/>
      <c r="E15" s="52"/>
      <c r="F15" s="52"/>
      <c r="G15" s="52"/>
      <c r="H15" s="206"/>
      <c r="I15" s="206"/>
      <c r="J15" s="207"/>
      <c r="K15" s="208"/>
      <c r="L15" s="202"/>
      <c r="M15" s="209"/>
      <c r="N15" s="62"/>
    </row>
    <row r="16">
      <c r="A16" s="52"/>
      <c r="B16" s="54"/>
      <c r="C16" s="205"/>
      <c r="D16" s="199"/>
      <c r="E16" s="52"/>
      <c r="F16" s="52"/>
      <c r="G16" s="52"/>
      <c r="H16" s="206"/>
      <c r="I16" s="206"/>
      <c r="J16" s="207"/>
      <c r="K16" s="208"/>
      <c r="L16" s="202"/>
      <c r="M16" s="209"/>
      <c r="N16" s="62"/>
    </row>
    <row r="17">
      <c r="A17" s="52"/>
      <c r="B17" s="54"/>
      <c r="C17" s="205"/>
      <c r="D17" s="199"/>
      <c r="E17" s="52"/>
      <c r="F17" s="52"/>
      <c r="G17" s="52"/>
      <c r="H17" s="206"/>
      <c r="I17" s="206"/>
      <c r="J17" s="207"/>
      <c r="K17" s="208"/>
      <c r="L17" s="202"/>
      <c r="M17" s="209"/>
      <c r="N17" s="62"/>
    </row>
    <row r="18">
      <c r="A18" s="52"/>
      <c r="B18" s="54"/>
      <c r="C18" s="205"/>
      <c r="D18" s="199"/>
      <c r="E18" s="52"/>
      <c r="F18" s="52"/>
      <c r="G18" s="52"/>
      <c r="H18" s="206"/>
      <c r="I18" s="206"/>
      <c r="J18" s="207"/>
      <c r="K18" s="208"/>
      <c r="L18" s="202"/>
      <c r="M18" s="209"/>
      <c r="N18" s="62"/>
    </row>
    <row r="19">
      <c r="A19" s="52"/>
      <c r="B19" s="54"/>
      <c r="C19" s="205"/>
      <c r="D19" s="199"/>
      <c r="E19" s="52"/>
      <c r="F19" s="52"/>
      <c r="G19" s="52"/>
      <c r="H19" s="206"/>
      <c r="I19" s="206"/>
      <c r="J19" s="207"/>
      <c r="K19" s="208"/>
      <c r="L19" s="202"/>
      <c r="M19" s="209"/>
      <c r="N19" s="62"/>
    </row>
    <row r="20">
      <c r="A20" s="52"/>
      <c r="B20" s="54"/>
      <c r="C20" s="205"/>
      <c r="D20" s="199"/>
      <c r="E20" s="52"/>
      <c r="F20" s="52"/>
      <c r="G20" s="52"/>
      <c r="H20" s="206"/>
      <c r="I20" s="206"/>
      <c r="J20" s="207"/>
      <c r="K20" s="208"/>
      <c r="L20" s="202"/>
      <c r="M20" s="209"/>
      <c r="N20" s="62"/>
    </row>
    <row r="21" ht="15.75" customHeight="1">
      <c r="A21" s="52"/>
      <c r="B21" s="54"/>
      <c r="C21" s="205"/>
      <c r="D21" s="199"/>
      <c r="E21" s="52"/>
      <c r="F21" s="52"/>
      <c r="G21" s="52"/>
      <c r="H21" s="206"/>
      <c r="I21" s="206"/>
      <c r="J21" s="207"/>
      <c r="K21" s="208"/>
      <c r="L21" s="202"/>
      <c r="M21" s="209"/>
      <c r="N21" s="62"/>
    </row>
    <row r="22" ht="15.75" customHeight="1">
      <c r="A22" s="52"/>
      <c r="B22" s="54"/>
      <c r="C22" s="205"/>
      <c r="D22" s="199"/>
      <c r="E22" s="52"/>
      <c r="F22" s="52"/>
      <c r="G22" s="52"/>
      <c r="H22" s="206"/>
      <c r="I22" s="206"/>
      <c r="J22" s="207"/>
      <c r="K22" s="208"/>
      <c r="L22" s="202"/>
      <c r="M22" s="209"/>
      <c r="N22" s="62"/>
    </row>
    <row r="23" ht="15.75" customHeight="1">
      <c r="A23" s="52"/>
      <c r="B23" s="54"/>
      <c r="C23" s="205"/>
      <c r="D23" s="199"/>
      <c r="E23" s="52"/>
      <c r="F23" s="52"/>
      <c r="G23" s="52"/>
      <c r="H23" s="206"/>
      <c r="I23" s="206"/>
      <c r="J23" s="207"/>
      <c r="K23" s="208"/>
      <c r="L23" s="202"/>
      <c r="M23" s="209"/>
      <c r="N23" s="62"/>
    </row>
    <row r="24" ht="15.75" customHeight="1">
      <c r="A24" s="52"/>
      <c r="B24" s="54"/>
      <c r="C24" s="205"/>
      <c r="D24" s="199"/>
      <c r="E24" s="52"/>
      <c r="F24" s="52"/>
      <c r="G24" s="52"/>
      <c r="H24" s="206"/>
      <c r="I24" s="206"/>
      <c r="J24" s="207"/>
      <c r="K24" s="208"/>
      <c r="L24" s="202"/>
      <c r="M24" s="209"/>
      <c r="N24" s="62"/>
    </row>
    <row r="25" ht="15.75" customHeight="1">
      <c r="A25" s="52"/>
      <c r="B25" s="54"/>
      <c r="C25" s="205"/>
      <c r="D25" s="199"/>
      <c r="E25" s="52"/>
      <c r="F25" s="52"/>
      <c r="G25" s="52"/>
      <c r="H25" s="206"/>
      <c r="I25" s="206"/>
      <c r="J25" s="207"/>
      <c r="K25" s="208"/>
      <c r="L25" s="202"/>
      <c r="M25" s="209"/>
      <c r="N25" s="62"/>
    </row>
    <row r="26" ht="15.75" customHeight="1">
      <c r="A26" s="52"/>
      <c r="B26" s="54"/>
      <c r="C26" s="205"/>
      <c r="D26" s="199"/>
      <c r="E26" s="52"/>
      <c r="F26" s="52"/>
      <c r="G26" s="52"/>
      <c r="H26" s="206"/>
      <c r="I26" s="206"/>
      <c r="J26" s="207"/>
      <c r="K26" s="208"/>
      <c r="L26" s="202"/>
      <c r="M26" s="209"/>
      <c r="N26" s="62"/>
    </row>
    <row r="27" ht="15.75" customHeight="1">
      <c r="A27" s="52"/>
      <c r="B27" s="54"/>
      <c r="C27" s="205"/>
      <c r="D27" s="199"/>
      <c r="E27" s="52"/>
      <c r="F27" s="52"/>
      <c r="G27" s="52"/>
      <c r="H27" s="206"/>
      <c r="I27" s="206"/>
      <c r="J27" s="207"/>
      <c r="K27" s="208"/>
      <c r="L27" s="202"/>
      <c r="M27" s="209"/>
      <c r="N27" s="62"/>
    </row>
    <row r="28" ht="15.75" customHeight="1">
      <c r="A28" s="52"/>
      <c r="B28" s="54"/>
      <c r="C28" s="205"/>
      <c r="D28" s="199"/>
      <c r="E28" s="52"/>
      <c r="F28" s="52"/>
      <c r="G28" s="52"/>
      <c r="H28" s="206"/>
      <c r="I28" s="206"/>
      <c r="J28" s="207"/>
      <c r="K28" s="208"/>
      <c r="L28" s="202"/>
      <c r="M28" s="209"/>
      <c r="N28" s="62"/>
    </row>
    <row r="29" ht="15.75" customHeight="1">
      <c r="A29" s="52"/>
      <c r="B29" s="54"/>
      <c r="C29" s="205"/>
      <c r="D29" s="199"/>
      <c r="E29" s="52"/>
      <c r="F29" s="52"/>
      <c r="G29" s="52"/>
      <c r="H29" s="206"/>
      <c r="I29" s="206"/>
      <c r="J29" s="207"/>
      <c r="K29" s="208"/>
      <c r="L29" s="202"/>
      <c r="M29" s="209"/>
      <c r="N29" s="62"/>
    </row>
    <row r="30" ht="15.75" customHeight="1">
      <c r="A30" s="52"/>
      <c r="B30" s="54"/>
      <c r="C30" s="205"/>
      <c r="D30" s="199"/>
      <c r="E30" s="52"/>
      <c r="F30" s="52"/>
      <c r="G30" s="52"/>
      <c r="H30" s="206"/>
      <c r="I30" s="206"/>
      <c r="J30" s="207"/>
      <c r="K30" s="208"/>
      <c r="L30" s="202"/>
      <c r="M30" s="209"/>
      <c r="N30" s="62"/>
    </row>
    <row r="31" ht="15.75" customHeight="1">
      <c r="A31" s="52"/>
      <c r="B31" s="54"/>
      <c r="C31" s="205"/>
      <c r="D31" s="199"/>
      <c r="E31" s="52"/>
      <c r="F31" s="52"/>
      <c r="G31" s="52"/>
      <c r="H31" s="206"/>
      <c r="I31" s="206"/>
      <c r="J31" s="207"/>
      <c r="K31" s="208"/>
      <c r="L31" s="202"/>
      <c r="M31" s="209"/>
      <c r="N31" s="62"/>
    </row>
    <row r="32" ht="15.75" customHeight="1">
      <c r="A32" s="52"/>
      <c r="B32" s="54"/>
      <c r="C32" s="205"/>
      <c r="D32" s="199"/>
      <c r="E32" s="52"/>
      <c r="F32" s="52"/>
      <c r="G32" s="52"/>
      <c r="H32" s="206"/>
      <c r="I32" s="206"/>
      <c r="J32" s="207"/>
      <c r="K32" s="208"/>
      <c r="L32" s="202"/>
      <c r="M32" s="209"/>
      <c r="N32" s="62"/>
    </row>
    <row r="33" ht="15.75" customHeight="1">
      <c r="A33" s="52"/>
      <c r="B33" s="54"/>
      <c r="C33" s="205"/>
      <c r="D33" s="199"/>
      <c r="E33" s="52"/>
      <c r="F33" s="52"/>
      <c r="G33" s="52"/>
      <c r="H33" s="206"/>
      <c r="I33" s="206"/>
      <c r="J33" s="207"/>
      <c r="K33" s="208"/>
      <c r="L33" s="202"/>
      <c r="M33" s="209"/>
      <c r="N33" s="62"/>
    </row>
    <row r="34" ht="15.75" customHeight="1">
      <c r="A34" s="52"/>
      <c r="B34" s="54"/>
      <c r="C34" s="205"/>
      <c r="D34" s="199"/>
      <c r="E34" s="52"/>
      <c r="F34" s="52"/>
      <c r="G34" s="52"/>
      <c r="H34" s="206"/>
      <c r="I34" s="206"/>
      <c r="J34" s="207"/>
      <c r="K34" s="208"/>
      <c r="L34" s="202"/>
      <c r="M34" s="209"/>
      <c r="N34" s="62"/>
    </row>
    <row r="35" ht="15.75" customHeight="1">
      <c r="A35" s="52"/>
      <c r="B35" s="54"/>
      <c r="C35" s="205"/>
      <c r="D35" s="199"/>
      <c r="E35" s="52"/>
      <c r="F35" s="52"/>
      <c r="G35" s="52"/>
      <c r="H35" s="206"/>
      <c r="I35" s="206"/>
      <c r="J35" s="207"/>
      <c r="K35" s="208"/>
      <c r="L35" s="202"/>
      <c r="M35" s="209"/>
      <c r="N35" s="62"/>
    </row>
    <row r="36" ht="15.75" customHeight="1">
      <c r="A36" s="52"/>
      <c r="B36" s="54"/>
      <c r="C36" s="205"/>
      <c r="D36" s="199"/>
      <c r="E36" s="52"/>
      <c r="F36" s="52"/>
      <c r="G36" s="52"/>
      <c r="H36" s="206"/>
      <c r="I36" s="206"/>
      <c r="J36" s="207"/>
      <c r="K36" s="208"/>
      <c r="L36" s="202"/>
      <c r="M36" s="209"/>
      <c r="N36" s="62"/>
    </row>
    <row r="37" ht="15.75" customHeight="1">
      <c r="A37" s="52"/>
      <c r="B37" s="54"/>
      <c r="C37" s="205"/>
      <c r="D37" s="199"/>
      <c r="E37" s="52"/>
      <c r="F37" s="52"/>
      <c r="G37" s="52"/>
      <c r="H37" s="206"/>
      <c r="I37" s="206"/>
      <c r="J37" s="207"/>
      <c r="K37" s="208"/>
      <c r="L37" s="202"/>
      <c r="M37" s="209"/>
      <c r="N37" s="62"/>
    </row>
    <row r="38" ht="15.75" customHeight="1">
      <c r="A38" s="52"/>
      <c r="B38" s="54"/>
      <c r="C38" s="205"/>
      <c r="D38" s="199"/>
      <c r="E38" s="52"/>
      <c r="F38" s="52"/>
      <c r="G38" s="52"/>
      <c r="H38" s="206"/>
      <c r="I38" s="206"/>
      <c r="J38" s="207"/>
      <c r="K38" s="208"/>
      <c r="L38" s="202"/>
      <c r="M38" s="209"/>
      <c r="N38" s="62"/>
    </row>
    <row r="39" ht="15.75" customHeight="1">
      <c r="A39" s="52"/>
      <c r="B39" s="54"/>
      <c r="C39" s="205"/>
      <c r="D39" s="199"/>
      <c r="E39" s="52"/>
      <c r="F39" s="52"/>
      <c r="G39" s="52"/>
      <c r="H39" s="206"/>
      <c r="I39" s="206"/>
      <c r="J39" s="207"/>
      <c r="K39" s="208"/>
      <c r="L39" s="202"/>
      <c r="M39" s="209"/>
      <c r="N39" s="62"/>
    </row>
    <row r="40" ht="15.75" customHeight="1">
      <c r="A40" s="52"/>
      <c r="B40" s="54"/>
      <c r="C40" s="205"/>
      <c r="D40" s="199"/>
      <c r="E40" s="52"/>
      <c r="F40" s="52"/>
      <c r="G40" s="52"/>
      <c r="H40" s="206"/>
      <c r="I40" s="206"/>
      <c r="J40" s="207"/>
      <c r="K40" s="208"/>
      <c r="L40" s="202"/>
      <c r="M40" s="209"/>
      <c r="N40" s="62"/>
    </row>
    <row r="41" ht="15.75" customHeight="1">
      <c r="A41" s="52"/>
      <c r="B41" s="54"/>
      <c r="C41" s="205"/>
      <c r="D41" s="199"/>
      <c r="E41" s="52"/>
      <c r="F41" s="52"/>
      <c r="G41" s="52"/>
      <c r="H41" s="206"/>
      <c r="I41" s="206"/>
      <c r="J41" s="207"/>
      <c r="K41" s="208"/>
      <c r="L41" s="202"/>
      <c r="M41" s="209"/>
      <c r="N41" s="62"/>
    </row>
    <row r="42" ht="15.75" customHeight="1">
      <c r="A42" s="52"/>
      <c r="B42" s="54"/>
      <c r="C42" s="205"/>
      <c r="D42" s="199"/>
      <c r="E42" s="52"/>
      <c r="F42" s="52"/>
      <c r="G42" s="52"/>
      <c r="H42" s="206"/>
      <c r="I42" s="206"/>
      <c r="J42" s="207"/>
      <c r="K42" s="208"/>
      <c r="L42" s="202"/>
      <c r="M42" s="209"/>
      <c r="N42" s="62"/>
    </row>
    <row r="43" ht="15.75" customHeight="1">
      <c r="A43" s="52"/>
      <c r="B43" s="54"/>
      <c r="C43" s="205"/>
      <c r="D43" s="199"/>
      <c r="E43" s="52"/>
      <c r="F43" s="52"/>
      <c r="G43" s="52"/>
      <c r="H43" s="206"/>
      <c r="I43" s="206"/>
      <c r="J43" s="207"/>
      <c r="K43" s="208"/>
      <c r="L43" s="202"/>
      <c r="M43" s="209"/>
      <c r="N43" s="62"/>
    </row>
    <row r="44" ht="15.75" customHeight="1">
      <c r="A44" s="52"/>
      <c r="B44" s="54"/>
      <c r="C44" s="205"/>
      <c r="D44" s="199"/>
      <c r="E44" s="52"/>
      <c r="F44" s="52"/>
      <c r="G44" s="52"/>
      <c r="H44" s="206"/>
      <c r="I44" s="206"/>
      <c r="J44" s="207"/>
      <c r="K44" s="208"/>
      <c r="L44" s="202"/>
      <c r="M44" s="209"/>
      <c r="N44" s="62"/>
    </row>
    <row r="45" ht="15.75" customHeight="1">
      <c r="A45" s="52"/>
      <c r="B45" s="54"/>
      <c r="C45" s="205"/>
      <c r="D45" s="199"/>
      <c r="E45" s="52"/>
      <c r="F45" s="52"/>
      <c r="G45" s="52"/>
      <c r="H45" s="206"/>
      <c r="I45" s="206"/>
      <c r="J45" s="207"/>
      <c r="K45" s="208"/>
      <c r="L45" s="202"/>
      <c r="M45" s="209"/>
      <c r="N45" s="62"/>
    </row>
    <row r="46" ht="15.75" customHeight="1">
      <c r="A46" s="52"/>
      <c r="B46" s="54"/>
      <c r="C46" s="205"/>
      <c r="D46" s="199"/>
      <c r="E46" s="52"/>
      <c r="F46" s="52"/>
      <c r="G46" s="52"/>
      <c r="H46" s="206"/>
      <c r="I46" s="206"/>
      <c r="J46" s="207"/>
      <c r="K46" s="208"/>
      <c r="L46" s="202"/>
      <c r="M46" s="209"/>
      <c r="N46" s="62"/>
    </row>
    <row r="47" ht="15.75" customHeight="1">
      <c r="A47" s="52"/>
      <c r="B47" s="54"/>
      <c r="C47" s="205"/>
      <c r="D47" s="199"/>
      <c r="E47" s="52"/>
      <c r="F47" s="52"/>
      <c r="G47" s="52"/>
      <c r="H47" s="206"/>
      <c r="I47" s="206"/>
      <c r="J47" s="207"/>
      <c r="K47" s="208"/>
      <c r="L47" s="202"/>
      <c r="M47" s="209"/>
      <c r="N47" s="62"/>
    </row>
    <row r="48" ht="15.75" customHeight="1">
      <c r="A48" s="52"/>
      <c r="B48" s="54"/>
      <c r="C48" s="205"/>
      <c r="D48" s="199"/>
      <c r="E48" s="52"/>
      <c r="F48" s="52"/>
      <c r="G48" s="52"/>
      <c r="H48" s="206"/>
      <c r="I48" s="206"/>
      <c r="J48" s="207"/>
      <c r="K48" s="208"/>
      <c r="L48" s="202"/>
      <c r="M48" s="209"/>
      <c r="N48" s="62"/>
    </row>
    <row r="49" ht="15.75" customHeight="1">
      <c r="A49" s="52"/>
      <c r="B49" s="54"/>
      <c r="C49" s="205"/>
      <c r="D49" s="199"/>
      <c r="E49" s="52"/>
      <c r="F49" s="52"/>
      <c r="G49" s="52"/>
      <c r="H49" s="206"/>
      <c r="I49" s="206"/>
      <c r="J49" s="207"/>
      <c r="K49" s="208"/>
      <c r="L49" s="202"/>
      <c r="M49" s="209"/>
      <c r="N49" s="62"/>
    </row>
    <row r="50" ht="15.75" customHeight="1">
      <c r="A50" s="52"/>
      <c r="B50" s="54"/>
      <c r="C50" s="205"/>
      <c r="D50" s="199"/>
      <c r="E50" s="52"/>
      <c r="F50" s="52"/>
      <c r="G50" s="52"/>
      <c r="H50" s="206"/>
      <c r="I50" s="206"/>
      <c r="J50" s="207"/>
      <c r="K50" s="208"/>
      <c r="L50" s="202"/>
      <c r="M50" s="209"/>
      <c r="N50" s="62"/>
    </row>
    <row r="51" ht="15.75" customHeight="1">
      <c r="A51" s="52"/>
      <c r="B51" s="54"/>
      <c r="C51" s="205"/>
      <c r="D51" s="199"/>
      <c r="E51" s="52"/>
      <c r="F51" s="52"/>
      <c r="G51" s="52"/>
      <c r="H51" s="206"/>
      <c r="I51" s="206"/>
      <c r="J51" s="207"/>
      <c r="K51" s="208"/>
      <c r="L51" s="202"/>
      <c r="M51" s="209"/>
      <c r="N51" s="62"/>
    </row>
    <row r="52" ht="15.75" customHeight="1">
      <c r="A52" s="52"/>
      <c r="B52" s="54"/>
      <c r="C52" s="205"/>
      <c r="D52" s="199"/>
      <c r="E52" s="52"/>
      <c r="F52" s="52"/>
      <c r="G52" s="52"/>
      <c r="H52" s="206"/>
      <c r="I52" s="206"/>
      <c r="J52" s="207"/>
      <c r="K52" s="208"/>
      <c r="L52" s="202"/>
      <c r="M52" s="209"/>
      <c r="N52" s="62"/>
    </row>
    <row r="53" ht="15.75" customHeight="1">
      <c r="A53" s="52"/>
      <c r="B53" s="54"/>
      <c r="C53" s="205"/>
      <c r="D53" s="199"/>
      <c r="E53" s="52"/>
      <c r="F53" s="52"/>
      <c r="G53" s="52"/>
      <c r="H53" s="206"/>
      <c r="I53" s="206"/>
      <c r="J53" s="207"/>
      <c r="K53" s="208"/>
      <c r="L53" s="202"/>
      <c r="M53" s="209"/>
      <c r="N53" s="62"/>
    </row>
    <row r="54" ht="15.75" customHeight="1">
      <c r="A54" s="52"/>
      <c r="B54" s="54"/>
      <c r="C54" s="205"/>
      <c r="D54" s="199"/>
      <c r="E54" s="52"/>
      <c r="F54" s="52"/>
      <c r="G54" s="52"/>
      <c r="H54" s="206"/>
      <c r="I54" s="206"/>
      <c r="J54" s="207"/>
      <c r="K54" s="208"/>
      <c r="L54" s="202"/>
      <c r="M54" s="209"/>
      <c r="N54" s="62"/>
    </row>
    <row r="55" ht="15.75" customHeight="1">
      <c r="A55" s="52"/>
      <c r="B55" s="54"/>
      <c r="C55" s="205"/>
      <c r="D55" s="199"/>
      <c r="E55" s="52"/>
      <c r="F55" s="52"/>
      <c r="G55" s="52"/>
      <c r="H55" s="206"/>
      <c r="I55" s="206"/>
      <c r="J55" s="207"/>
      <c r="K55" s="208"/>
      <c r="L55" s="202"/>
      <c r="M55" s="209"/>
      <c r="N55" s="62"/>
    </row>
    <row r="56" ht="15.75" customHeight="1">
      <c r="A56" s="52"/>
      <c r="B56" s="54"/>
      <c r="C56" s="205"/>
      <c r="D56" s="199"/>
      <c r="E56" s="52"/>
      <c r="F56" s="52"/>
      <c r="G56" s="52"/>
      <c r="H56" s="206"/>
      <c r="I56" s="206"/>
      <c r="J56" s="207"/>
      <c r="K56" s="208"/>
      <c r="L56" s="202"/>
      <c r="M56" s="209"/>
      <c r="N56" s="62"/>
    </row>
    <row r="57" ht="15.75" customHeight="1">
      <c r="A57" s="52"/>
      <c r="B57" s="54"/>
      <c r="C57" s="205"/>
      <c r="D57" s="199"/>
      <c r="E57" s="52"/>
      <c r="F57" s="52"/>
      <c r="G57" s="52"/>
      <c r="H57" s="206"/>
      <c r="I57" s="206"/>
      <c r="J57" s="207"/>
      <c r="K57" s="208"/>
      <c r="L57" s="202"/>
      <c r="M57" s="209"/>
      <c r="N57" s="62"/>
    </row>
    <row r="58" ht="15.75" customHeight="1">
      <c r="A58" s="52"/>
      <c r="B58" s="54"/>
      <c r="C58" s="205"/>
      <c r="D58" s="199"/>
      <c r="E58" s="52"/>
      <c r="F58" s="52"/>
      <c r="G58" s="52"/>
      <c r="H58" s="206"/>
      <c r="I58" s="206"/>
      <c r="J58" s="207"/>
      <c r="K58" s="208"/>
      <c r="L58" s="202"/>
      <c r="M58" s="209"/>
      <c r="N58" s="62"/>
    </row>
    <row r="59" ht="15.75" customHeight="1">
      <c r="A59" s="52"/>
      <c r="B59" s="52"/>
      <c r="C59" s="52"/>
      <c r="D59" s="60"/>
      <c r="E59" s="52"/>
      <c r="F59" s="60"/>
      <c r="G59" s="74"/>
      <c r="H59" s="60"/>
      <c r="I59" s="60"/>
      <c r="J59" s="52"/>
      <c r="K59" s="60"/>
      <c r="L59" s="210"/>
      <c r="M59" s="209"/>
      <c r="N59" s="62"/>
    </row>
    <row r="60" ht="15.75" customHeight="1">
      <c r="A60" s="88" t="s">
        <v>88</v>
      </c>
      <c r="B60" s="37"/>
      <c r="C60" s="37"/>
      <c r="D60" s="1"/>
      <c r="E60" s="1"/>
      <c r="F60" s="1"/>
      <c r="G60" s="1"/>
      <c r="H60" s="185"/>
      <c r="I60" s="185"/>
      <c r="J60" s="1"/>
      <c r="K60" s="1"/>
      <c r="L60" s="41"/>
      <c r="M60" s="211">
        <f>SUM(M10:M59)</f>
        <v>125</v>
      </c>
    </row>
    <row r="61" ht="15.75" customHeight="1">
      <c r="A61" s="88"/>
      <c r="B61" s="37"/>
      <c r="C61" s="37"/>
      <c r="D61" s="1"/>
      <c r="E61" s="1"/>
      <c r="F61" s="1"/>
      <c r="G61" s="1"/>
      <c r="H61" s="185"/>
      <c r="I61" s="185"/>
      <c r="J61" s="1"/>
      <c r="K61" s="1"/>
      <c r="L61" s="1"/>
      <c r="M61" s="88"/>
    </row>
    <row r="62" ht="15.75" customHeight="1">
      <c r="A62" s="90" t="s">
        <v>178</v>
      </c>
      <c r="B62" s="91"/>
      <c r="C62" s="91"/>
      <c r="D62" s="91"/>
      <c r="E62" s="91"/>
      <c r="F62" s="91"/>
      <c r="G62" s="91"/>
      <c r="H62" s="91"/>
      <c r="I62" s="91"/>
      <c r="J62" s="91"/>
      <c r="K62" s="91"/>
      <c r="L62" s="91"/>
      <c r="M62" s="92"/>
    </row>
    <row r="63" ht="15.75" customHeight="1">
      <c r="A63" s="36"/>
      <c r="B63" s="37"/>
      <c r="C63" s="37"/>
      <c r="D63" s="1"/>
      <c r="E63" s="1"/>
      <c r="F63" s="1"/>
      <c r="G63" s="1"/>
      <c r="H63" s="185"/>
      <c r="I63" s="185"/>
      <c r="J63" s="1"/>
      <c r="K63" s="1"/>
      <c r="L63" s="1"/>
      <c r="M63" s="36"/>
    </row>
    <row r="64" ht="15.75" customHeight="1">
      <c r="A64" s="36"/>
      <c r="B64" s="37"/>
      <c r="C64" s="37"/>
      <c r="D64" s="1"/>
      <c r="E64" s="1"/>
      <c r="F64" s="1"/>
      <c r="G64" s="1"/>
      <c r="H64" s="185"/>
      <c r="I64" s="185"/>
      <c r="J64" s="1"/>
      <c r="K64" s="1"/>
      <c r="L64" s="1"/>
      <c r="M64" s="36"/>
    </row>
    <row r="65" ht="15.75" customHeight="1">
      <c r="A65" s="36"/>
      <c r="B65" s="37"/>
      <c r="C65" s="37"/>
      <c r="D65" s="1"/>
      <c r="E65" s="1"/>
      <c r="F65" s="1"/>
      <c r="G65" s="1"/>
      <c r="H65" s="185"/>
      <c r="I65" s="185"/>
      <c r="J65" s="1"/>
      <c r="K65" s="1"/>
      <c r="L65" s="1"/>
      <c r="M65" s="1"/>
    </row>
    <row r="66" ht="15.75" customHeight="1">
      <c r="A66" s="212"/>
      <c r="B66" s="37"/>
      <c r="C66" s="37"/>
      <c r="D66" s="1"/>
      <c r="E66" s="1"/>
      <c r="F66" s="1"/>
      <c r="G66" s="1"/>
      <c r="H66" s="185"/>
      <c r="I66" s="185"/>
      <c r="J66" s="1"/>
      <c r="K66" s="1"/>
      <c r="L66" s="1"/>
      <c r="M66" s="1"/>
    </row>
    <row r="67" ht="15.75" customHeight="1">
      <c r="A67" s="36"/>
      <c r="B67" s="37"/>
      <c r="C67" s="37"/>
      <c r="D67" s="1"/>
      <c r="E67" s="1"/>
      <c r="F67" s="1"/>
      <c r="G67" s="1"/>
      <c r="H67" s="185"/>
      <c r="I67" s="185"/>
      <c r="J67" s="1"/>
      <c r="K67" s="1"/>
      <c r="L67" s="1"/>
      <c r="M67" s="1"/>
    </row>
    <row r="68" ht="15.75" customHeight="1">
      <c r="A68" s="36"/>
      <c r="B68" s="37"/>
      <c r="C68" s="37"/>
      <c r="D68" s="1"/>
      <c r="E68" s="1"/>
      <c r="F68" s="1"/>
      <c r="G68" s="1"/>
      <c r="H68" s="185"/>
      <c r="I68" s="185"/>
      <c r="J68" s="1"/>
      <c r="K68" s="1"/>
      <c r="L68" s="1"/>
      <c r="M68" s="1"/>
    </row>
    <row r="69" ht="15.75" customHeight="1">
      <c r="A69" s="36"/>
      <c r="B69" s="37"/>
      <c r="C69" s="37"/>
      <c r="D69" s="1"/>
      <c r="E69" s="1"/>
      <c r="F69" s="1"/>
      <c r="G69" s="1"/>
      <c r="H69" s="185"/>
      <c r="I69" s="185"/>
      <c r="J69" s="1"/>
      <c r="K69" s="1"/>
      <c r="L69" s="1"/>
      <c r="M69" s="1"/>
    </row>
    <row r="70" ht="15.75" customHeight="1">
      <c r="A70" s="36"/>
      <c r="B70" s="37"/>
      <c r="C70" s="37"/>
      <c r="D70" s="1"/>
      <c r="E70" s="1"/>
      <c r="F70" s="1"/>
      <c r="G70" s="1"/>
      <c r="H70" s="185"/>
      <c r="I70" s="185"/>
      <c r="J70" s="1"/>
      <c r="K70" s="1"/>
      <c r="L70" s="1"/>
      <c r="M70" s="1"/>
    </row>
    <row r="71" ht="15.75" customHeight="1">
      <c r="A71" s="36"/>
      <c r="B71" s="37"/>
      <c r="C71" s="37"/>
      <c r="D71" s="1"/>
      <c r="E71" s="1"/>
      <c r="F71" s="1"/>
      <c r="G71" s="1"/>
      <c r="H71" s="185"/>
      <c r="I71" s="185"/>
      <c r="J71" s="1"/>
      <c r="K71" s="1"/>
      <c r="L71" s="1"/>
      <c r="M71" s="1"/>
    </row>
    <row r="72" ht="15.75" customHeight="1">
      <c r="A72" s="36"/>
      <c r="B72" s="37"/>
      <c r="C72" s="37"/>
      <c r="D72" s="1"/>
      <c r="E72" s="1"/>
      <c r="F72" s="1"/>
      <c r="G72" s="1"/>
      <c r="H72" s="185"/>
      <c r="I72" s="185"/>
      <c r="J72" s="1"/>
      <c r="K72" s="1"/>
      <c r="L72" s="1"/>
      <c r="M72" s="1"/>
    </row>
    <row r="73" ht="15.75" customHeight="1">
      <c r="A73" s="36"/>
      <c r="B73" s="37"/>
      <c r="C73" s="37"/>
      <c r="D73" s="1"/>
      <c r="E73" s="1"/>
      <c r="F73" s="1"/>
      <c r="G73" s="1"/>
      <c r="H73" s="185"/>
      <c r="I73" s="185"/>
      <c r="J73" s="1"/>
      <c r="K73" s="1"/>
      <c r="L73" s="1"/>
      <c r="M73" s="1"/>
    </row>
    <row r="74" ht="15.75" customHeight="1">
      <c r="A74" s="36"/>
      <c r="B74" s="37"/>
      <c r="C74" s="37"/>
      <c r="D74" s="1"/>
      <c r="E74" s="1"/>
      <c r="F74" s="1"/>
      <c r="G74" s="1"/>
      <c r="H74" s="185"/>
      <c r="I74" s="185"/>
      <c r="J74" s="1"/>
      <c r="K74" s="1"/>
      <c r="L74" s="1"/>
      <c r="M74" s="1"/>
    </row>
    <row r="75" ht="15.75" customHeight="1">
      <c r="A75" s="36"/>
      <c r="B75" s="37"/>
      <c r="C75" s="37"/>
      <c r="D75" s="1"/>
      <c r="E75" s="1"/>
      <c r="F75" s="1"/>
      <c r="G75" s="1"/>
      <c r="H75" s="185"/>
      <c r="I75" s="185"/>
      <c r="J75" s="1"/>
      <c r="K75" s="1"/>
      <c r="L75" s="1"/>
      <c r="M75" s="1"/>
    </row>
    <row r="76" ht="15.75" customHeight="1">
      <c r="A76" s="36"/>
      <c r="B76" s="37"/>
      <c r="C76" s="37"/>
      <c r="D76" s="1"/>
      <c r="E76" s="1"/>
      <c r="F76" s="1"/>
      <c r="G76" s="1"/>
      <c r="H76" s="185"/>
      <c r="I76" s="185"/>
      <c r="J76" s="1"/>
      <c r="K76" s="1"/>
      <c r="L76" s="1"/>
      <c r="M76" s="1"/>
    </row>
    <row r="77" ht="15.75" customHeight="1">
      <c r="A77" s="36"/>
      <c r="B77" s="37"/>
      <c r="C77" s="37"/>
      <c r="D77" s="1"/>
      <c r="E77" s="1"/>
      <c r="F77" s="1"/>
      <c r="G77" s="1"/>
      <c r="H77" s="185"/>
      <c r="I77" s="185"/>
      <c r="J77" s="1"/>
      <c r="K77" s="1"/>
      <c r="L77" s="1"/>
      <c r="M77" s="1"/>
    </row>
    <row r="78" ht="15.75" customHeight="1">
      <c r="A78" s="36"/>
      <c r="B78" s="37"/>
      <c r="C78" s="37"/>
      <c r="D78" s="1"/>
      <c r="E78" s="1"/>
      <c r="F78" s="1"/>
      <c r="G78" s="1"/>
      <c r="H78" s="185"/>
      <c r="I78" s="185"/>
      <c r="J78" s="1"/>
      <c r="K78" s="1"/>
      <c r="L78" s="1"/>
      <c r="M78" s="1"/>
    </row>
    <row r="79" ht="15.75" customHeight="1">
      <c r="A79" s="36"/>
      <c r="B79" s="37"/>
      <c r="C79" s="37"/>
      <c r="D79" s="1"/>
      <c r="E79" s="1"/>
      <c r="F79" s="1"/>
      <c r="G79" s="1"/>
      <c r="H79" s="185"/>
      <c r="I79" s="185"/>
      <c r="J79" s="1"/>
      <c r="K79" s="1"/>
      <c r="L79" s="1"/>
      <c r="M79" s="1"/>
    </row>
    <row r="80" ht="15.75" customHeight="1">
      <c r="A80" s="36"/>
      <c r="B80" s="37"/>
      <c r="C80" s="37"/>
      <c r="D80" s="1"/>
      <c r="E80" s="1"/>
      <c r="F80" s="1"/>
      <c r="G80" s="1"/>
      <c r="H80" s="185"/>
      <c r="I80" s="185"/>
      <c r="J80" s="1"/>
      <c r="K80" s="1"/>
      <c r="L80" s="1"/>
      <c r="M80" s="1"/>
    </row>
    <row r="81" ht="15.75" customHeight="1">
      <c r="A81" s="36"/>
      <c r="B81" s="37"/>
      <c r="C81" s="37"/>
      <c r="D81" s="1"/>
      <c r="E81" s="1"/>
      <c r="F81" s="1"/>
      <c r="G81" s="1"/>
      <c r="H81" s="185"/>
      <c r="I81" s="185"/>
      <c r="J81" s="1"/>
      <c r="K81" s="1"/>
      <c r="L81" s="1"/>
      <c r="M81" s="1"/>
    </row>
    <row r="82" ht="15.75" customHeight="1">
      <c r="A82" s="36"/>
      <c r="B82" s="37"/>
      <c r="C82" s="37"/>
      <c r="D82" s="1"/>
      <c r="E82" s="1"/>
      <c r="F82" s="1"/>
      <c r="G82" s="1"/>
      <c r="H82" s="185"/>
      <c r="I82" s="185"/>
      <c r="J82" s="1"/>
      <c r="K82" s="1"/>
      <c r="L82" s="1"/>
      <c r="M82" s="1"/>
    </row>
    <row r="83" ht="15.75" customHeight="1">
      <c r="A83" s="36"/>
      <c r="B83" s="37"/>
      <c r="C83" s="37"/>
      <c r="D83" s="1"/>
      <c r="E83" s="1"/>
      <c r="F83" s="1"/>
      <c r="G83" s="1"/>
      <c r="H83" s="185"/>
      <c r="I83" s="185"/>
      <c r="J83" s="1"/>
      <c r="K83" s="1"/>
      <c r="L83" s="1"/>
      <c r="M83" s="1"/>
    </row>
    <row r="84" ht="15.75" customHeight="1">
      <c r="A84" s="36"/>
      <c r="B84" s="37"/>
      <c r="C84" s="37"/>
      <c r="D84" s="1"/>
      <c r="E84" s="1"/>
      <c r="F84" s="1"/>
      <c r="G84" s="1"/>
      <c r="H84" s="185"/>
      <c r="I84" s="185"/>
      <c r="J84" s="1"/>
      <c r="K84" s="1"/>
      <c r="L84" s="1"/>
      <c r="M84" s="1"/>
    </row>
    <row r="85" ht="15.75" customHeight="1">
      <c r="A85" s="36"/>
      <c r="B85" s="37"/>
      <c r="C85" s="37"/>
      <c r="D85" s="1"/>
      <c r="E85" s="1"/>
      <c r="F85" s="1"/>
      <c r="G85" s="1"/>
      <c r="H85" s="185"/>
      <c r="I85" s="185"/>
      <c r="J85" s="1"/>
      <c r="K85" s="1"/>
      <c r="L85" s="1"/>
      <c r="M85" s="1"/>
    </row>
    <row r="86" ht="15.75" customHeight="1">
      <c r="A86" s="36"/>
      <c r="B86" s="37"/>
      <c r="C86" s="37"/>
      <c r="D86" s="1"/>
      <c r="E86" s="1"/>
      <c r="F86" s="1"/>
      <c r="G86" s="1"/>
      <c r="H86" s="185"/>
      <c r="I86" s="185"/>
      <c r="J86" s="1"/>
      <c r="K86" s="1"/>
      <c r="L86" s="1"/>
      <c r="M86" s="1"/>
    </row>
    <row r="87" ht="15.75" customHeight="1">
      <c r="A87" s="36"/>
      <c r="B87" s="37"/>
      <c r="C87" s="37"/>
      <c r="D87" s="1"/>
      <c r="E87" s="1"/>
      <c r="F87" s="1"/>
      <c r="G87" s="1"/>
      <c r="H87" s="185"/>
      <c r="I87" s="185"/>
      <c r="J87" s="1"/>
      <c r="K87" s="1"/>
      <c r="L87" s="1"/>
      <c r="M87" s="1"/>
    </row>
    <row r="88" ht="15.75" customHeight="1">
      <c r="A88" s="36"/>
      <c r="B88" s="37"/>
      <c r="C88" s="37"/>
      <c r="D88" s="1"/>
      <c r="E88" s="1"/>
      <c r="F88" s="1"/>
      <c r="G88" s="1"/>
      <c r="H88" s="185"/>
      <c r="I88" s="185"/>
      <c r="J88" s="1"/>
      <c r="K88" s="1"/>
      <c r="L88" s="1"/>
      <c r="M88" s="1"/>
    </row>
    <row r="89" ht="15.75" customHeight="1">
      <c r="A89" s="36"/>
      <c r="B89" s="37"/>
      <c r="C89" s="37"/>
      <c r="D89" s="1"/>
      <c r="E89" s="1"/>
      <c r="F89" s="1"/>
      <c r="G89" s="1"/>
      <c r="H89" s="185"/>
      <c r="I89" s="185"/>
      <c r="J89" s="1"/>
      <c r="K89" s="1"/>
      <c r="L89" s="1"/>
      <c r="M89" s="1"/>
    </row>
    <row r="90" ht="15.75" customHeight="1">
      <c r="A90" s="36"/>
      <c r="B90" s="37"/>
      <c r="C90" s="37"/>
      <c r="D90" s="1"/>
      <c r="E90" s="1"/>
      <c r="F90" s="1"/>
      <c r="G90" s="1"/>
      <c r="H90" s="185"/>
      <c r="I90" s="185"/>
      <c r="J90" s="1"/>
      <c r="K90" s="1"/>
      <c r="L90" s="1"/>
      <c r="M90" s="1"/>
    </row>
    <row r="91" ht="15.75" customHeight="1">
      <c r="A91" s="36"/>
      <c r="B91" s="37"/>
      <c r="C91" s="37"/>
      <c r="D91" s="1"/>
      <c r="E91" s="1"/>
      <c r="F91" s="1"/>
      <c r="G91" s="1"/>
      <c r="H91" s="185"/>
      <c r="I91" s="185"/>
      <c r="J91" s="1"/>
      <c r="K91" s="1"/>
      <c r="L91" s="1"/>
      <c r="M91" s="1"/>
    </row>
    <row r="92" ht="15.75" customHeight="1">
      <c r="A92" s="36"/>
      <c r="B92" s="37"/>
      <c r="C92" s="37"/>
      <c r="D92" s="1"/>
      <c r="E92" s="1"/>
      <c r="F92" s="1"/>
      <c r="G92" s="1"/>
      <c r="H92" s="185"/>
      <c r="I92" s="185"/>
      <c r="J92" s="1"/>
      <c r="K92" s="1"/>
      <c r="L92" s="1"/>
      <c r="M92" s="1"/>
    </row>
    <row r="93" ht="15.75" customHeight="1">
      <c r="A93" s="36"/>
      <c r="B93" s="37"/>
      <c r="C93" s="37"/>
      <c r="D93" s="1"/>
      <c r="E93" s="1"/>
      <c r="F93" s="1"/>
      <c r="G93" s="1"/>
      <c r="H93" s="185"/>
      <c r="I93" s="185"/>
      <c r="J93" s="1"/>
      <c r="K93" s="1"/>
      <c r="L93" s="1"/>
      <c r="M93" s="1"/>
    </row>
    <row r="94" ht="15.75" customHeight="1">
      <c r="A94" s="36"/>
      <c r="B94" s="37"/>
      <c r="C94" s="37"/>
      <c r="D94" s="1"/>
      <c r="E94" s="1"/>
      <c r="F94" s="1"/>
      <c r="G94" s="1"/>
      <c r="H94" s="185"/>
      <c r="I94" s="185"/>
      <c r="J94" s="1"/>
      <c r="K94" s="1"/>
      <c r="L94" s="1"/>
      <c r="M94" s="1"/>
    </row>
    <row r="95" ht="15.75" customHeight="1">
      <c r="A95" s="36"/>
      <c r="B95" s="37"/>
      <c r="C95" s="37"/>
      <c r="D95" s="1"/>
      <c r="E95" s="1"/>
      <c r="F95" s="1"/>
      <c r="G95" s="1"/>
      <c r="H95" s="185"/>
      <c r="I95" s="185"/>
      <c r="J95" s="1"/>
      <c r="K95" s="1"/>
      <c r="L95" s="1"/>
      <c r="M95" s="1"/>
    </row>
    <row r="96" ht="15.75" customHeight="1">
      <c r="A96" s="36"/>
      <c r="B96" s="37"/>
      <c r="C96" s="37"/>
      <c r="D96" s="1"/>
      <c r="E96" s="1"/>
      <c r="F96" s="1"/>
      <c r="G96" s="1"/>
      <c r="H96" s="185"/>
      <c r="I96" s="185"/>
      <c r="J96" s="1"/>
      <c r="K96" s="1"/>
      <c r="L96" s="1"/>
      <c r="M96" s="1"/>
    </row>
    <row r="97" ht="15.75" customHeight="1">
      <c r="A97" s="36"/>
      <c r="B97" s="37"/>
      <c r="C97" s="37"/>
      <c r="D97" s="1"/>
      <c r="E97" s="1"/>
      <c r="F97" s="1"/>
      <c r="G97" s="1"/>
      <c r="H97" s="185"/>
      <c r="I97" s="185"/>
      <c r="J97" s="1"/>
      <c r="K97" s="1"/>
      <c r="L97" s="1"/>
      <c r="M97" s="1"/>
    </row>
    <row r="98" ht="15.75" customHeight="1">
      <c r="A98" s="36"/>
      <c r="B98" s="37"/>
      <c r="C98" s="37"/>
      <c r="D98" s="1"/>
      <c r="E98" s="1"/>
      <c r="F98" s="1"/>
      <c r="G98" s="1"/>
      <c r="H98" s="185"/>
      <c r="I98" s="185"/>
      <c r="J98" s="1"/>
      <c r="K98" s="1"/>
      <c r="L98" s="1"/>
      <c r="M98" s="1"/>
    </row>
    <row r="99" ht="15.75" customHeight="1">
      <c r="A99" s="36"/>
      <c r="B99" s="37"/>
      <c r="C99" s="37"/>
      <c r="D99" s="1"/>
      <c r="E99" s="1"/>
      <c r="F99" s="1"/>
      <c r="G99" s="1"/>
      <c r="H99" s="185"/>
      <c r="I99" s="185"/>
      <c r="J99" s="1"/>
      <c r="K99" s="1"/>
      <c r="L99" s="1"/>
      <c r="M99" s="1"/>
    </row>
    <row r="100" ht="15.75" customHeight="1">
      <c r="A100" s="36"/>
      <c r="B100" s="37"/>
      <c r="C100" s="37"/>
      <c r="D100" s="1"/>
      <c r="E100" s="1"/>
      <c r="F100" s="1"/>
      <c r="G100" s="1"/>
      <c r="H100" s="185"/>
      <c r="I100" s="185"/>
      <c r="J100" s="1"/>
      <c r="K100" s="1"/>
      <c r="L100" s="1"/>
      <c r="M100" s="1"/>
    </row>
    <row r="101" ht="15.75" customHeight="1">
      <c r="A101" s="36"/>
      <c r="B101" s="37"/>
      <c r="C101" s="37"/>
      <c r="D101" s="1"/>
      <c r="E101" s="1"/>
      <c r="F101" s="1"/>
      <c r="G101" s="1"/>
      <c r="H101" s="185"/>
      <c r="I101" s="185"/>
      <c r="J101" s="1"/>
      <c r="K101" s="1"/>
      <c r="L101" s="1"/>
      <c r="M101" s="1"/>
    </row>
    <row r="102" ht="15.75" customHeight="1">
      <c r="A102" s="36"/>
      <c r="B102" s="37"/>
      <c r="C102" s="37"/>
      <c r="D102" s="1"/>
      <c r="E102" s="1"/>
      <c r="F102" s="1"/>
      <c r="G102" s="1"/>
      <c r="H102" s="185"/>
      <c r="I102" s="185"/>
      <c r="J102" s="1"/>
      <c r="K102" s="1"/>
      <c r="L102" s="1"/>
      <c r="M102" s="1"/>
    </row>
    <row r="103" ht="15.75" customHeight="1">
      <c r="A103" s="36"/>
      <c r="B103" s="37"/>
      <c r="C103" s="37"/>
      <c r="D103" s="1"/>
      <c r="E103" s="1"/>
      <c r="F103" s="1"/>
      <c r="G103" s="1"/>
      <c r="H103" s="185"/>
      <c r="I103" s="185"/>
      <c r="J103" s="1"/>
      <c r="K103" s="1"/>
      <c r="L103" s="1"/>
      <c r="M103" s="1"/>
    </row>
    <row r="104" ht="15.75" customHeight="1">
      <c r="A104" s="36"/>
      <c r="B104" s="37"/>
      <c r="C104" s="37"/>
      <c r="D104" s="1"/>
      <c r="E104" s="1"/>
      <c r="F104" s="1"/>
      <c r="G104" s="1"/>
      <c r="H104" s="185"/>
      <c r="I104" s="185"/>
      <c r="J104" s="1"/>
      <c r="K104" s="1"/>
      <c r="L104" s="1"/>
      <c r="M104" s="1"/>
    </row>
    <row r="105" ht="15.75" customHeight="1">
      <c r="A105" s="36"/>
      <c r="B105" s="37"/>
      <c r="C105" s="37"/>
      <c r="D105" s="1"/>
      <c r="E105" s="1"/>
      <c r="F105" s="1"/>
      <c r="G105" s="1"/>
      <c r="H105" s="185"/>
      <c r="I105" s="185"/>
      <c r="J105" s="1"/>
      <c r="K105" s="1"/>
      <c r="L105" s="1"/>
      <c r="M105" s="1"/>
    </row>
    <row r="106" ht="15.75" customHeight="1">
      <c r="A106" s="36"/>
      <c r="B106" s="37"/>
      <c r="C106" s="37"/>
      <c r="D106" s="1"/>
      <c r="E106" s="1"/>
      <c r="F106" s="1"/>
      <c r="G106" s="1"/>
      <c r="H106" s="185"/>
      <c r="I106" s="185"/>
      <c r="J106" s="1"/>
      <c r="K106" s="1"/>
      <c r="L106" s="1"/>
      <c r="M106" s="1"/>
    </row>
    <row r="107" ht="15.75" customHeight="1">
      <c r="A107" s="36"/>
      <c r="B107" s="37"/>
      <c r="C107" s="37"/>
      <c r="D107" s="1"/>
      <c r="E107" s="1"/>
      <c r="F107" s="1"/>
      <c r="G107" s="1"/>
      <c r="H107" s="185"/>
      <c r="I107" s="185"/>
      <c r="J107" s="1"/>
      <c r="K107" s="1"/>
      <c r="L107" s="1"/>
      <c r="M107" s="1"/>
    </row>
    <row r="108" ht="15.75" customHeight="1">
      <c r="A108" s="36"/>
      <c r="B108" s="37"/>
      <c r="C108" s="37"/>
      <c r="D108" s="1"/>
      <c r="E108" s="1"/>
      <c r="F108" s="1"/>
      <c r="G108" s="1"/>
      <c r="H108" s="185"/>
      <c r="I108" s="185"/>
      <c r="J108" s="1"/>
      <c r="K108" s="1"/>
      <c r="L108" s="1"/>
      <c r="M108" s="1"/>
    </row>
    <row r="109" ht="15.75" customHeight="1">
      <c r="A109" s="36"/>
      <c r="B109" s="37"/>
      <c r="C109" s="37"/>
      <c r="D109" s="1"/>
      <c r="E109" s="1"/>
      <c r="F109" s="1"/>
      <c r="G109" s="1"/>
      <c r="H109" s="185"/>
      <c r="I109" s="185"/>
      <c r="J109" s="1"/>
      <c r="K109" s="1"/>
      <c r="L109" s="1"/>
      <c r="M109" s="1"/>
    </row>
    <row r="110" ht="15.75" customHeight="1">
      <c r="A110" s="36"/>
      <c r="B110" s="37"/>
      <c r="C110" s="37"/>
      <c r="D110" s="1"/>
      <c r="E110" s="1"/>
      <c r="F110" s="1"/>
      <c r="G110" s="1"/>
      <c r="H110" s="185"/>
      <c r="I110" s="185"/>
      <c r="J110" s="1"/>
      <c r="K110" s="1"/>
      <c r="L110" s="1"/>
      <c r="M110" s="1"/>
    </row>
    <row r="111" ht="15.75" customHeight="1">
      <c r="A111" s="36"/>
      <c r="B111" s="37"/>
      <c r="C111" s="37"/>
      <c r="D111" s="1"/>
      <c r="E111" s="1"/>
      <c r="F111" s="1"/>
      <c r="G111" s="1"/>
      <c r="H111" s="185"/>
      <c r="I111" s="185"/>
      <c r="J111" s="1"/>
      <c r="K111" s="1"/>
      <c r="L111" s="1"/>
      <c r="M111" s="1"/>
    </row>
    <row r="112" ht="15.75" customHeight="1">
      <c r="A112" s="36"/>
      <c r="B112" s="37"/>
      <c r="C112" s="37"/>
      <c r="D112" s="1"/>
      <c r="E112" s="1"/>
      <c r="F112" s="1"/>
      <c r="G112" s="1"/>
      <c r="H112" s="185"/>
      <c r="I112" s="185"/>
      <c r="J112" s="1"/>
      <c r="K112" s="1"/>
      <c r="L112" s="1"/>
      <c r="M112" s="1"/>
    </row>
    <row r="113" ht="15.75" customHeight="1">
      <c r="A113" s="36"/>
      <c r="B113" s="37"/>
      <c r="C113" s="37"/>
      <c r="D113" s="1"/>
      <c r="E113" s="1"/>
      <c r="F113" s="1"/>
      <c r="G113" s="1"/>
      <c r="H113" s="185"/>
      <c r="I113" s="185"/>
      <c r="J113" s="1"/>
      <c r="K113" s="1"/>
      <c r="L113" s="1"/>
      <c r="M113" s="1"/>
    </row>
    <row r="114" ht="15.75" customHeight="1">
      <c r="A114" s="36"/>
      <c r="B114" s="37"/>
      <c r="C114" s="37"/>
      <c r="D114" s="1"/>
      <c r="E114" s="1"/>
      <c r="F114" s="1"/>
      <c r="G114" s="1"/>
      <c r="H114" s="185"/>
      <c r="I114" s="185"/>
      <c r="J114" s="1"/>
      <c r="K114" s="1"/>
      <c r="L114" s="1"/>
      <c r="M114" s="1"/>
    </row>
    <row r="115" ht="15.75" customHeight="1">
      <c r="A115" s="36"/>
      <c r="B115" s="37"/>
      <c r="C115" s="37"/>
      <c r="D115" s="1"/>
      <c r="E115" s="1"/>
      <c r="F115" s="1"/>
      <c r="G115" s="1"/>
      <c r="H115" s="185"/>
      <c r="I115" s="185"/>
      <c r="J115" s="1"/>
      <c r="K115" s="1"/>
      <c r="L115" s="1"/>
      <c r="M115" s="1"/>
    </row>
    <row r="116" ht="15.75" customHeight="1">
      <c r="A116" s="36"/>
      <c r="B116" s="37"/>
      <c r="C116" s="37"/>
      <c r="D116" s="1"/>
      <c r="E116" s="1"/>
      <c r="F116" s="1"/>
      <c r="G116" s="1"/>
      <c r="H116" s="185"/>
      <c r="I116" s="185"/>
      <c r="J116" s="1"/>
      <c r="K116" s="1"/>
      <c r="L116" s="1"/>
      <c r="M116" s="1"/>
    </row>
    <row r="117" ht="15.75" customHeight="1">
      <c r="A117" s="36"/>
      <c r="B117" s="37"/>
      <c r="C117" s="37"/>
      <c r="D117" s="1"/>
      <c r="E117" s="1"/>
      <c r="F117" s="1"/>
      <c r="G117" s="1"/>
      <c r="H117" s="185"/>
      <c r="I117" s="185"/>
      <c r="J117" s="1"/>
      <c r="K117" s="1"/>
      <c r="L117" s="1"/>
      <c r="M117" s="1"/>
    </row>
    <row r="118" ht="15.75" customHeight="1">
      <c r="A118" s="36"/>
      <c r="B118" s="37"/>
      <c r="C118" s="37"/>
      <c r="D118" s="1"/>
      <c r="E118" s="1"/>
      <c r="F118" s="1"/>
      <c r="G118" s="1"/>
      <c r="H118" s="185"/>
      <c r="I118" s="185"/>
      <c r="J118" s="1"/>
      <c r="K118" s="1"/>
      <c r="L118" s="1"/>
      <c r="M118" s="1"/>
    </row>
    <row r="119" ht="15.75" customHeight="1">
      <c r="A119" s="36"/>
      <c r="B119" s="37"/>
      <c r="C119" s="37"/>
      <c r="D119" s="1"/>
      <c r="E119" s="1"/>
      <c r="F119" s="1"/>
      <c r="G119" s="1"/>
      <c r="H119" s="185"/>
      <c r="I119" s="185"/>
      <c r="J119" s="1"/>
      <c r="K119" s="1"/>
      <c r="L119" s="1"/>
      <c r="M119" s="1"/>
    </row>
    <row r="120" ht="15.75" customHeight="1">
      <c r="A120" s="36"/>
      <c r="B120" s="37"/>
      <c r="C120" s="37"/>
      <c r="D120" s="1"/>
      <c r="E120" s="1"/>
      <c r="F120" s="1"/>
      <c r="G120" s="1"/>
      <c r="H120" s="185"/>
      <c r="I120" s="185"/>
      <c r="J120" s="1"/>
      <c r="K120" s="1"/>
      <c r="L120" s="1"/>
      <c r="M120" s="1"/>
    </row>
    <row r="121" ht="15.75" customHeight="1">
      <c r="A121" s="36"/>
      <c r="B121" s="37"/>
      <c r="C121" s="37"/>
      <c r="D121" s="1"/>
      <c r="E121" s="1"/>
      <c r="F121" s="1"/>
      <c r="G121" s="1"/>
      <c r="H121" s="185"/>
      <c r="I121" s="185"/>
      <c r="J121" s="1"/>
      <c r="K121" s="1"/>
      <c r="L121" s="1"/>
      <c r="M121" s="1"/>
    </row>
    <row r="122" ht="15.75" customHeight="1">
      <c r="A122" s="36"/>
      <c r="B122" s="37"/>
      <c r="C122" s="37"/>
      <c r="D122" s="1"/>
      <c r="E122" s="1"/>
      <c r="F122" s="1"/>
      <c r="G122" s="1"/>
      <c r="H122" s="185"/>
      <c r="I122" s="185"/>
      <c r="J122" s="1"/>
      <c r="K122" s="1"/>
      <c r="L122" s="1"/>
      <c r="M122" s="1"/>
    </row>
    <row r="123" ht="15.75" customHeight="1">
      <c r="A123" s="36"/>
      <c r="B123" s="37"/>
      <c r="C123" s="37"/>
      <c r="D123" s="1"/>
      <c r="E123" s="1"/>
      <c r="F123" s="1"/>
      <c r="G123" s="1"/>
      <c r="H123" s="185"/>
      <c r="I123" s="185"/>
      <c r="J123" s="1"/>
      <c r="K123" s="1"/>
      <c r="L123" s="1"/>
      <c r="M123" s="1"/>
    </row>
    <row r="124" ht="15.75" customHeight="1">
      <c r="A124" s="36"/>
      <c r="B124" s="37"/>
      <c r="C124" s="37"/>
      <c r="D124" s="1"/>
      <c r="E124" s="1"/>
      <c r="F124" s="1"/>
      <c r="G124" s="1"/>
      <c r="H124" s="185"/>
      <c r="I124" s="185"/>
      <c r="J124" s="1"/>
      <c r="K124" s="1"/>
      <c r="L124" s="1"/>
      <c r="M124" s="1"/>
    </row>
    <row r="125" ht="15.75" customHeight="1">
      <c r="A125" s="36"/>
      <c r="B125" s="37"/>
      <c r="C125" s="37"/>
      <c r="D125" s="1"/>
      <c r="E125" s="1"/>
      <c r="F125" s="1"/>
      <c r="G125" s="1"/>
      <c r="H125" s="185"/>
      <c r="I125" s="185"/>
      <c r="J125" s="1"/>
      <c r="K125" s="1"/>
      <c r="L125" s="1"/>
      <c r="M125" s="1"/>
    </row>
    <row r="126" ht="15.75" customHeight="1">
      <c r="A126" s="36"/>
      <c r="B126" s="37"/>
      <c r="C126" s="37"/>
      <c r="D126" s="1"/>
      <c r="E126" s="1"/>
      <c r="F126" s="1"/>
      <c r="G126" s="1"/>
      <c r="H126" s="185"/>
      <c r="I126" s="185"/>
      <c r="J126" s="1"/>
      <c r="K126" s="1"/>
      <c r="L126" s="1"/>
      <c r="M126" s="1"/>
    </row>
    <row r="127" ht="15.75" customHeight="1">
      <c r="A127" s="36"/>
      <c r="B127" s="37"/>
      <c r="C127" s="37"/>
      <c r="D127" s="1"/>
      <c r="E127" s="1"/>
      <c r="F127" s="1"/>
      <c r="G127" s="1"/>
      <c r="H127" s="185"/>
      <c r="I127" s="185"/>
      <c r="J127" s="1"/>
      <c r="K127" s="1"/>
      <c r="L127" s="1"/>
      <c r="M127" s="1"/>
    </row>
    <row r="128" ht="15.75" customHeight="1">
      <c r="A128" s="36"/>
      <c r="B128" s="37"/>
      <c r="C128" s="37"/>
      <c r="D128" s="1"/>
      <c r="E128" s="1"/>
      <c r="F128" s="1"/>
      <c r="G128" s="1"/>
      <c r="H128" s="185"/>
      <c r="I128" s="185"/>
      <c r="J128" s="1"/>
      <c r="K128" s="1"/>
      <c r="L128" s="1"/>
      <c r="M128" s="1"/>
    </row>
    <row r="129" ht="15.75" customHeight="1">
      <c r="A129" s="36"/>
      <c r="B129" s="37"/>
      <c r="C129" s="37"/>
      <c r="D129" s="1"/>
      <c r="E129" s="1"/>
      <c r="F129" s="1"/>
      <c r="G129" s="1"/>
      <c r="H129" s="185"/>
      <c r="I129" s="185"/>
      <c r="J129" s="1"/>
      <c r="K129" s="1"/>
      <c r="L129" s="1"/>
      <c r="M129" s="1"/>
    </row>
    <row r="130" ht="15.75" customHeight="1">
      <c r="A130" s="36"/>
      <c r="B130" s="37"/>
      <c r="C130" s="37"/>
      <c r="D130" s="1"/>
      <c r="E130" s="1"/>
      <c r="F130" s="1"/>
      <c r="G130" s="1"/>
      <c r="H130" s="185"/>
      <c r="I130" s="185"/>
      <c r="J130" s="1"/>
      <c r="K130" s="1"/>
      <c r="L130" s="1"/>
      <c r="M130" s="1"/>
    </row>
    <row r="131" ht="15.75" customHeight="1">
      <c r="A131" s="36"/>
      <c r="B131" s="37"/>
      <c r="C131" s="37"/>
      <c r="D131" s="1"/>
      <c r="E131" s="1"/>
      <c r="F131" s="1"/>
      <c r="G131" s="1"/>
      <c r="H131" s="185"/>
      <c r="I131" s="185"/>
      <c r="J131" s="1"/>
      <c r="K131" s="1"/>
      <c r="L131" s="1"/>
      <c r="M131" s="1"/>
    </row>
    <row r="132" ht="15.75" customHeight="1">
      <c r="A132" s="36"/>
      <c r="B132" s="37"/>
      <c r="C132" s="37"/>
      <c r="D132" s="1"/>
      <c r="E132" s="1"/>
      <c r="F132" s="1"/>
      <c r="G132" s="1"/>
      <c r="H132" s="185"/>
      <c r="I132" s="185"/>
      <c r="J132" s="1"/>
      <c r="K132" s="1"/>
      <c r="L132" s="1"/>
      <c r="M132" s="1"/>
    </row>
    <row r="133" ht="15.75" customHeight="1">
      <c r="A133" s="36"/>
      <c r="B133" s="37"/>
      <c r="C133" s="37"/>
      <c r="D133" s="1"/>
      <c r="E133" s="1"/>
      <c r="F133" s="1"/>
      <c r="G133" s="1"/>
      <c r="H133" s="185"/>
      <c r="I133" s="185"/>
      <c r="J133" s="1"/>
      <c r="K133" s="1"/>
      <c r="L133" s="1"/>
      <c r="M133" s="1"/>
    </row>
    <row r="134" ht="15.75" customHeight="1">
      <c r="A134" s="36"/>
      <c r="B134" s="37"/>
      <c r="C134" s="37"/>
      <c r="D134" s="1"/>
      <c r="E134" s="1"/>
      <c r="F134" s="1"/>
      <c r="G134" s="1"/>
      <c r="H134" s="185"/>
      <c r="I134" s="185"/>
      <c r="J134" s="1"/>
      <c r="K134" s="1"/>
      <c r="L134" s="1"/>
      <c r="M134" s="1"/>
    </row>
    <row r="135" ht="15.75" customHeight="1">
      <c r="A135" s="36"/>
      <c r="B135" s="37"/>
      <c r="C135" s="37"/>
      <c r="D135" s="1"/>
      <c r="E135" s="1"/>
      <c r="F135" s="1"/>
      <c r="G135" s="1"/>
      <c r="H135" s="185"/>
      <c r="I135" s="185"/>
      <c r="J135" s="1"/>
      <c r="K135" s="1"/>
      <c r="L135" s="1"/>
      <c r="M135" s="1"/>
    </row>
    <row r="136" ht="15.75" customHeight="1">
      <c r="A136" s="36"/>
      <c r="B136" s="37"/>
      <c r="C136" s="37"/>
      <c r="D136" s="1"/>
      <c r="E136" s="1"/>
      <c r="F136" s="1"/>
      <c r="G136" s="1"/>
      <c r="H136" s="185"/>
      <c r="I136" s="185"/>
      <c r="J136" s="1"/>
      <c r="K136" s="1"/>
      <c r="L136" s="1"/>
      <c r="M136" s="1"/>
    </row>
    <row r="137" ht="15.75" customHeight="1">
      <c r="A137" s="36"/>
      <c r="B137" s="37"/>
      <c r="C137" s="37"/>
      <c r="D137" s="1"/>
      <c r="E137" s="1"/>
      <c r="F137" s="1"/>
      <c r="G137" s="1"/>
      <c r="H137" s="185"/>
      <c r="I137" s="185"/>
      <c r="J137" s="1"/>
      <c r="K137" s="1"/>
      <c r="L137" s="1"/>
      <c r="M137" s="1"/>
    </row>
    <row r="138" ht="15.75" customHeight="1">
      <c r="A138" s="36"/>
      <c r="B138" s="37"/>
      <c r="C138" s="37"/>
      <c r="D138" s="1"/>
      <c r="E138" s="1"/>
      <c r="F138" s="1"/>
      <c r="G138" s="1"/>
      <c r="H138" s="185"/>
      <c r="I138" s="185"/>
      <c r="J138" s="1"/>
      <c r="K138" s="1"/>
      <c r="L138" s="1"/>
      <c r="M138" s="1"/>
    </row>
    <row r="139" ht="15.75" customHeight="1">
      <c r="A139" s="36"/>
      <c r="B139" s="37"/>
      <c r="C139" s="37"/>
      <c r="D139" s="1"/>
      <c r="E139" s="1"/>
      <c r="F139" s="1"/>
      <c r="G139" s="1"/>
      <c r="H139" s="185"/>
      <c r="I139" s="185"/>
      <c r="J139" s="1"/>
      <c r="K139" s="1"/>
      <c r="L139" s="1"/>
      <c r="M139" s="1"/>
    </row>
    <row r="140" ht="15.75" customHeight="1">
      <c r="A140" s="36"/>
      <c r="B140" s="37"/>
      <c r="C140" s="37"/>
      <c r="D140" s="1"/>
      <c r="E140" s="1"/>
      <c r="F140" s="1"/>
      <c r="G140" s="1"/>
      <c r="H140" s="185"/>
      <c r="I140" s="185"/>
      <c r="J140" s="1"/>
      <c r="K140" s="1"/>
      <c r="L140" s="1"/>
      <c r="M140" s="1"/>
    </row>
    <row r="141" ht="15.75" customHeight="1">
      <c r="A141" s="36"/>
      <c r="B141" s="37"/>
      <c r="C141" s="37"/>
      <c r="D141" s="1"/>
      <c r="E141" s="1"/>
      <c r="F141" s="1"/>
      <c r="G141" s="1"/>
      <c r="H141" s="185"/>
      <c r="I141" s="185"/>
      <c r="J141" s="1"/>
      <c r="K141" s="1"/>
      <c r="L141" s="1"/>
      <c r="M141" s="1"/>
    </row>
    <row r="142" ht="15.75" customHeight="1">
      <c r="A142" s="36"/>
      <c r="B142" s="37"/>
      <c r="C142" s="37"/>
      <c r="D142" s="1"/>
      <c r="E142" s="1"/>
      <c r="F142" s="1"/>
      <c r="G142" s="1"/>
      <c r="H142" s="185"/>
      <c r="I142" s="185"/>
      <c r="J142" s="1"/>
      <c r="K142" s="1"/>
      <c r="L142" s="1"/>
      <c r="M142" s="1"/>
    </row>
    <row r="143" ht="15.75" customHeight="1">
      <c r="A143" s="36"/>
      <c r="B143" s="37"/>
      <c r="C143" s="37"/>
      <c r="D143" s="1"/>
      <c r="E143" s="1"/>
      <c r="F143" s="1"/>
      <c r="G143" s="1"/>
      <c r="H143" s="185"/>
      <c r="I143" s="185"/>
      <c r="J143" s="1"/>
      <c r="K143" s="1"/>
      <c r="L143" s="1"/>
      <c r="M143" s="1"/>
    </row>
    <row r="144" ht="15.75" customHeight="1">
      <c r="A144" s="36"/>
      <c r="B144" s="37"/>
      <c r="C144" s="37"/>
      <c r="D144" s="1"/>
      <c r="E144" s="1"/>
      <c r="F144" s="1"/>
      <c r="G144" s="1"/>
      <c r="H144" s="185"/>
      <c r="I144" s="185"/>
      <c r="J144" s="1"/>
      <c r="K144" s="1"/>
      <c r="L144" s="1"/>
      <c r="M144" s="1"/>
    </row>
    <row r="145" ht="15.75" customHeight="1">
      <c r="A145" s="36"/>
      <c r="B145" s="37"/>
      <c r="C145" s="37"/>
      <c r="D145" s="1"/>
      <c r="E145" s="1"/>
      <c r="F145" s="1"/>
      <c r="G145" s="1"/>
      <c r="H145" s="185"/>
      <c r="I145" s="185"/>
      <c r="J145" s="1"/>
      <c r="K145" s="1"/>
      <c r="L145" s="1"/>
      <c r="M145" s="1"/>
    </row>
    <row r="146" ht="15.75" customHeight="1">
      <c r="A146" s="36"/>
      <c r="B146" s="37"/>
      <c r="C146" s="37"/>
      <c r="D146" s="1"/>
      <c r="E146" s="1"/>
      <c r="F146" s="1"/>
      <c r="G146" s="1"/>
      <c r="H146" s="185"/>
      <c r="I146" s="185"/>
      <c r="J146" s="1"/>
      <c r="K146" s="1"/>
      <c r="L146" s="1"/>
      <c r="M146" s="1"/>
    </row>
    <row r="147" ht="15.75" customHeight="1">
      <c r="A147" s="36"/>
      <c r="B147" s="37"/>
      <c r="C147" s="37"/>
      <c r="D147" s="1"/>
      <c r="E147" s="1"/>
      <c r="F147" s="1"/>
      <c r="G147" s="1"/>
      <c r="H147" s="185"/>
      <c r="I147" s="185"/>
      <c r="J147" s="1"/>
      <c r="K147" s="1"/>
      <c r="L147" s="1"/>
      <c r="M147" s="1"/>
    </row>
    <row r="148" ht="15.75" customHeight="1">
      <c r="A148" s="36"/>
      <c r="B148" s="37"/>
      <c r="C148" s="37"/>
      <c r="D148" s="1"/>
      <c r="E148" s="1"/>
      <c r="F148" s="1"/>
      <c r="G148" s="1"/>
      <c r="H148" s="185"/>
      <c r="I148" s="185"/>
      <c r="J148" s="1"/>
      <c r="K148" s="1"/>
      <c r="L148" s="1"/>
      <c r="M148" s="1"/>
    </row>
    <row r="149" ht="15.75" customHeight="1">
      <c r="A149" s="36"/>
      <c r="B149" s="37"/>
      <c r="C149" s="37"/>
      <c r="D149" s="1"/>
      <c r="E149" s="1"/>
      <c r="F149" s="1"/>
      <c r="G149" s="1"/>
      <c r="H149" s="185"/>
      <c r="I149" s="185"/>
      <c r="J149" s="1"/>
      <c r="K149" s="1"/>
      <c r="L149" s="1"/>
      <c r="M149" s="1"/>
    </row>
    <row r="150" ht="15.75" customHeight="1">
      <c r="A150" s="36"/>
      <c r="B150" s="37"/>
      <c r="C150" s="37"/>
      <c r="D150" s="1"/>
      <c r="E150" s="1"/>
      <c r="F150" s="1"/>
      <c r="G150" s="1"/>
      <c r="H150" s="185"/>
      <c r="I150" s="185"/>
      <c r="J150" s="1"/>
      <c r="K150" s="1"/>
      <c r="L150" s="1"/>
      <c r="M150" s="1"/>
    </row>
    <row r="151" ht="15.75" customHeight="1">
      <c r="A151" s="36"/>
      <c r="B151" s="37"/>
      <c r="C151" s="37"/>
      <c r="D151" s="1"/>
      <c r="E151" s="1"/>
      <c r="F151" s="1"/>
      <c r="G151" s="1"/>
      <c r="H151" s="185"/>
      <c r="I151" s="185"/>
      <c r="J151" s="1"/>
      <c r="K151" s="1"/>
      <c r="L151" s="1"/>
      <c r="M151" s="1"/>
    </row>
    <row r="152" ht="15.75" customHeight="1">
      <c r="A152" s="36"/>
      <c r="B152" s="37"/>
      <c r="C152" s="37"/>
      <c r="D152" s="1"/>
      <c r="E152" s="1"/>
      <c r="F152" s="1"/>
      <c r="G152" s="1"/>
      <c r="H152" s="185"/>
      <c r="I152" s="185"/>
      <c r="J152" s="1"/>
      <c r="K152" s="1"/>
      <c r="L152" s="1"/>
      <c r="M152" s="1"/>
    </row>
    <row r="153" ht="15.75" customHeight="1">
      <c r="A153" s="36"/>
      <c r="B153" s="37"/>
      <c r="C153" s="37"/>
      <c r="D153" s="1"/>
      <c r="E153" s="1"/>
      <c r="F153" s="1"/>
      <c r="G153" s="1"/>
      <c r="H153" s="185"/>
      <c r="I153" s="185"/>
      <c r="J153" s="1"/>
      <c r="K153" s="1"/>
      <c r="L153" s="1"/>
      <c r="M153" s="1"/>
    </row>
    <row r="154" ht="15.75" customHeight="1">
      <c r="A154" s="36"/>
      <c r="B154" s="37"/>
      <c r="C154" s="37"/>
      <c r="D154" s="1"/>
      <c r="E154" s="1"/>
      <c r="F154" s="1"/>
      <c r="G154" s="1"/>
      <c r="H154" s="185"/>
      <c r="I154" s="185"/>
      <c r="J154" s="1"/>
      <c r="K154" s="1"/>
      <c r="L154" s="1"/>
      <c r="M154" s="1"/>
    </row>
    <row r="155" ht="15.75" customHeight="1">
      <c r="A155" s="36"/>
      <c r="B155" s="37"/>
      <c r="C155" s="37"/>
      <c r="D155" s="1"/>
      <c r="E155" s="1"/>
      <c r="F155" s="1"/>
      <c r="G155" s="1"/>
      <c r="H155" s="185"/>
      <c r="I155" s="185"/>
      <c r="J155" s="1"/>
      <c r="K155" s="1"/>
      <c r="L155" s="1"/>
      <c r="M155" s="1"/>
    </row>
    <row r="156" ht="15.75" customHeight="1">
      <c r="A156" s="36"/>
      <c r="B156" s="37"/>
      <c r="C156" s="37"/>
      <c r="D156" s="1"/>
      <c r="E156" s="1"/>
      <c r="F156" s="1"/>
      <c r="G156" s="1"/>
      <c r="H156" s="185"/>
      <c r="I156" s="185"/>
      <c r="J156" s="1"/>
      <c r="K156" s="1"/>
      <c r="L156" s="1"/>
      <c r="M156" s="1"/>
    </row>
    <row r="157" ht="15.75" customHeight="1">
      <c r="A157" s="36"/>
      <c r="B157" s="37"/>
      <c r="C157" s="37"/>
      <c r="D157" s="1"/>
      <c r="E157" s="1"/>
      <c r="F157" s="1"/>
      <c r="G157" s="1"/>
      <c r="H157" s="185"/>
      <c r="I157" s="185"/>
      <c r="J157" s="1"/>
      <c r="K157" s="1"/>
      <c r="L157" s="1"/>
      <c r="M157" s="1"/>
    </row>
    <row r="158" ht="15.75" customHeight="1">
      <c r="A158" s="36"/>
      <c r="B158" s="37"/>
      <c r="C158" s="37"/>
      <c r="D158" s="1"/>
      <c r="E158" s="1"/>
      <c r="F158" s="1"/>
      <c r="G158" s="1"/>
      <c r="H158" s="185"/>
      <c r="I158" s="185"/>
      <c r="J158" s="1"/>
      <c r="K158" s="1"/>
      <c r="L158" s="1"/>
      <c r="M158" s="1"/>
    </row>
    <row r="159" ht="15.75" customHeight="1">
      <c r="A159" s="36"/>
      <c r="B159" s="37"/>
      <c r="C159" s="37"/>
      <c r="D159" s="1"/>
      <c r="E159" s="1"/>
      <c r="F159" s="1"/>
      <c r="G159" s="1"/>
      <c r="H159" s="185"/>
      <c r="I159" s="185"/>
      <c r="J159" s="1"/>
      <c r="K159" s="1"/>
      <c r="L159" s="1"/>
      <c r="M159" s="1"/>
    </row>
    <row r="160" ht="15.75" customHeight="1">
      <c r="A160" s="36"/>
      <c r="B160" s="37"/>
      <c r="C160" s="37"/>
      <c r="D160" s="1"/>
      <c r="E160" s="1"/>
      <c r="F160" s="1"/>
      <c r="G160" s="1"/>
      <c r="H160" s="185"/>
      <c r="I160" s="185"/>
      <c r="J160" s="1"/>
      <c r="K160" s="1"/>
      <c r="L160" s="1"/>
      <c r="M160" s="1"/>
    </row>
    <row r="161" ht="15.75" customHeight="1">
      <c r="A161" s="36"/>
      <c r="B161" s="37"/>
      <c r="C161" s="37"/>
      <c r="D161" s="1"/>
      <c r="E161" s="1"/>
      <c r="F161" s="1"/>
      <c r="G161" s="1"/>
      <c r="H161" s="185"/>
      <c r="I161" s="185"/>
      <c r="J161" s="1"/>
      <c r="K161" s="1"/>
      <c r="L161" s="1"/>
      <c r="M161" s="1"/>
    </row>
    <row r="162" ht="15.75" customHeight="1">
      <c r="A162" s="36"/>
      <c r="B162" s="37"/>
      <c r="C162" s="37"/>
      <c r="D162" s="1"/>
      <c r="E162" s="1"/>
      <c r="F162" s="1"/>
      <c r="G162" s="1"/>
      <c r="H162" s="185"/>
      <c r="I162" s="185"/>
      <c r="J162" s="1"/>
      <c r="K162" s="1"/>
      <c r="L162" s="1"/>
      <c r="M162" s="1"/>
    </row>
    <row r="163" ht="15.75" customHeight="1">
      <c r="A163" s="36"/>
      <c r="B163" s="37"/>
      <c r="C163" s="37"/>
      <c r="D163" s="1"/>
      <c r="E163" s="1"/>
      <c r="F163" s="1"/>
      <c r="G163" s="1"/>
      <c r="H163" s="185"/>
      <c r="I163" s="185"/>
      <c r="J163" s="1"/>
      <c r="K163" s="1"/>
      <c r="L163" s="1"/>
      <c r="M163" s="1"/>
    </row>
    <row r="164" ht="15.75" customHeight="1">
      <c r="A164" s="36"/>
      <c r="B164" s="37"/>
      <c r="C164" s="37"/>
      <c r="D164" s="1"/>
      <c r="E164" s="1"/>
      <c r="F164" s="1"/>
      <c r="G164" s="1"/>
      <c r="H164" s="185"/>
      <c r="I164" s="185"/>
      <c r="J164" s="1"/>
      <c r="K164" s="1"/>
      <c r="L164" s="1"/>
      <c r="M164" s="1"/>
    </row>
    <row r="165" ht="15.75" customHeight="1">
      <c r="A165" s="36"/>
      <c r="B165" s="37"/>
      <c r="C165" s="37"/>
      <c r="D165" s="1"/>
      <c r="E165" s="1"/>
      <c r="F165" s="1"/>
      <c r="G165" s="1"/>
      <c r="H165" s="185"/>
      <c r="I165" s="185"/>
      <c r="J165" s="1"/>
      <c r="K165" s="1"/>
      <c r="L165" s="1"/>
      <c r="M165" s="1"/>
    </row>
    <row r="166" ht="15.75" customHeight="1">
      <c r="A166" s="36"/>
      <c r="B166" s="37"/>
      <c r="C166" s="37"/>
      <c r="D166" s="1"/>
      <c r="E166" s="1"/>
      <c r="F166" s="1"/>
      <c r="G166" s="1"/>
      <c r="H166" s="185"/>
      <c r="I166" s="185"/>
      <c r="J166" s="1"/>
      <c r="K166" s="1"/>
      <c r="L166" s="1"/>
      <c r="M166" s="1"/>
    </row>
    <row r="167" ht="15.75" customHeight="1">
      <c r="A167" s="36"/>
      <c r="B167" s="37"/>
      <c r="C167" s="37"/>
      <c r="D167" s="1"/>
      <c r="E167" s="1"/>
      <c r="F167" s="1"/>
      <c r="G167" s="1"/>
      <c r="H167" s="185"/>
      <c r="I167" s="185"/>
      <c r="J167" s="1"/>
      <c r="K167" s="1"/>
      <c r="L167" s="1"/>
      <c r="M167" s="1"/>
    </row>
    <row r="168" ht="15.75" customHeight="1">
      <c r="A168" s="36"/>
      <c r="B168" s="37"/>
      <c r="C168" s="37"/>
      <c r="D168" s="1"/>
      <c r="E168" s="1"/>
      <c r="F168" s="1"/>
      <c r="G168" s="1"/>
      <c r="H168" s="185"/>
      <c r="I168" s="185"/>
      <c r="J168" s="1"/>
      <c r="K168" s="1"/>
      <c r="L168" s="1"/>
      <c r="M168" s="1"/>
    </row>
    <row r="169" ht="15.75" customHeight="1">
      <c r="A169" s="36"/>
      <c r="B169" s="37"/>
      <c r="C169" s="37"/>
      <c r="D169" s="1"/>
      <c r="E169" s="1"/>
      <c r="F169" s="1"/>
      <c r="G169" s="1"/>
      <c r="H169" s="185"/>
      <c r="I169" s="185"/>
      <c r="J169" s="1"/>
      <c r="K169" s="1"/>
      <c r="L169" s="1"/>
      <c r="M169" s="1"/>
    </row>
    <row r="170" ht="15.75" customHeight="1">
      <c r="A170" s="36"/>
      <c r="B170" s="37"/>
      <c r="C170" s="37"/>
      <c r="D170" s="1"/>
      <c r="E170" s="1"/>
      <c r="F170" s="1"/>
      <c r="G170" s="1"/>
      <c r="H170" s="185"/>
      <c r="I170" s="185"/>
      <c r="J170" s="1"/>
      <c r="K170" s="1"/>
      <c r="L170" s="1"/>
      <c r="M170" s="1"/>
    </row>
    <row r="171" ht="15.75" customHeight="1">
      <c r="A171" s="36"/>
      <c r="B171" s="37"/>
      <c r="C171" s="37"/>
      <c r="D171" s="1"/>
      <c r="E171" s="1"/>
      <c r="F171" s="1"/>
      <c r="G171" s="1"/>
      <c r="H171" s="185"/>
      <c r="I171" s="185"/>
      <c r="J171" s="1"/>
      <c r="K171" s="1"/>
      <c r="L171" s="1"/>
      <c r="M171" s="1"/>
    </row>
    <row r="172" ht="15.75" customHeight="1">
      <c r="A172" s="36"/>
      <c r="B172" s="37"/>
      <c r="C172" s="37"/>
      <c r="D172" s="1"/>
      <c r="E172" s="1"/>
      <c r="F172" s="1"/>
      <c r="G172" s="1"/>
      <c r="H172" s="185"/>
      <c r="I172" s="185"/>
      <c r="J172" s="1"/>
      <c r="K172" s="1"/>
      <c r="L172" s="1"/>
      <c r="M172" s="1"/>
    </row>
    <row r="173" ht="15.75" customHeight="1">
      <c r="A173" s="36"/>
      <c r="B173" s="37"/>
      <c r="C173" s="37"/>
      <c r="D173" s="1"/>
      <c r="E173" s="1"/>
      <c r="F173" s="1"/>
      <c r="G173" s="1"/>
      <c r="H173" s="185"/>
      <c r="I173" s="185"/>
      <c r="J173" s="1"/>
      <c r="K173" s="1"/>
      <c r="L173" s="1"/>
      <c r="M173" s="1"/>
    </row>
    <row r="174" ht="15.75" customHeight="1">
      <c r="A174" s="36"/>
      <c r="B174" s="37"/>
      <c r="C174" s="37"/>
      <c r="D174" s="1"/>
      <c r="E174" s="1"/>
      <c r="F174" s="1"/>
      <c r="G174" s="1"/>
      <c r="H174" s="185"/>
      <c r="I174" s="185"/>
      <c r="J174" s="1"/>
      <c r="K174" s="1"/>
      <c r="L174" s="1"/>
      <c r="M174" s="1"/>
    </row>
    <row r="175" ht="15.75" customHeight="1">
      <c r="A175" s="36"/>
      <c r="B175" s="37"/>
      <c r="C175" s="37"/>
      <c r="D175" s="1"/>
      <c r="E175" s="1"/>
      <c r="F175" s="1"/>
      <c r="G175" s="1"/>
      <c r="H175" s="185"/>
      <c r="I175" s="185"/>
      <c r="J175" s="1"/>
      <c r="K175" s="1"/>
      <c r="L175" s="1"/>
      <c r="M175" s="1"/>
    </row>
    <row r="176" ht="15.75" customHeight="1">
      <c r="A176" s="36"/>
      <c r="B176" s="37"/>
      <c r="C176" s="37"/>
      <c r="D176" s="1"/>
      <c r="E176" s="1"/>
      <c r="F176" s="1"/>
      <c r="G176" s="1"/>
      <c r="H176" s="185"/>
      <c r="I176" s="185"/>
      <c r="J176" s="1"/>
      <c r="K176" s="1"/>
      <c r="L176" s="1"/>
      <c r="M176" s="1"/>
    </row>
    <row r="177" ht="15.75" customHeight="1">
      <c r="A177" s="36"/>
      <c r="B177" s="37"/>
      <c r="C177" s="37"/>
      <c r="D177" s="1"/>
      <c r="E177" s="1"/>
      <c r="F177" s="1"/>
      <c r="G177" s="1"/>
      <c r="H177" s="185"/>
      <c r="I177" s="185"/>
      <c r="J177" s="1"/>
      <c r="K177" s="1"/>
      <c r="L177" s="1"/>
      <c r="M177" s="1"/>
    </row>
    <row r="178" ht="15.75" customHeight="1">
      <c r="A178" s="36"/>
      <c r="B178" s="37"/>
      <c r="C178" s="37"/>
      <c r="D178" s="1"/>
      <c r="E178" s="1"/>
      <c r="F178" s="1"/>
      <c r="G178" s="1"/>
      <c r="H178" s="185"/>
      <c r="I178" s="185"/>
      <c r="J178" s="1"/>
      <c r="K178" s="1"/>
      <c r="L178" s="1"/>
      <c r="M178" s="1"/>
    </row>
    <row r="179" ht="15.75" customHeight="1">
      <c r="A179" s="36"/>
      <c r="B179" s="37"/>
      <c r="C179" s="37"/>
      <c r="D179" s="1"/>
      <c r="E179" s="1"/>
      <c r="F179" s="1"/>
      <c r="G179" s="1"/>
      <c r="H179" s="185"/>
      <c r="I179" s="185"/>
      <c r="J179" s="1"/>
      <c r="K179" s="1"/>
      <c r="L179" s="1"/>
      <c r="M179" s="1"/>
    </row>
    <row r="180" ht="15.75" customHeight="1">
      <c r="A180" s="36"/>
      <c r="B180" s="37"/>
      <c r="C180" s="37"/>
      <c r="D180" s="1"/>
      <c r="E180" s="1"/>
      <c r="F180" s="1"/>
      <c r="G180" s="1"/>
      <c r="H180" s="185"/>
      <c r="I180" s="185"/>
      <c r="J180" s="1"/>
      <c r="K180" s="1"/>
      <c r="L180" s="1"/>
      <c r="M180" s="1"/>
    </row>
    <row r="181" ht="15.75" customHeight="1">
      <c r="A181" s="36"/>
      <c r="B181" s="37"/>
      <c r="C181" s="37"/>
      <c r="D181" s="1"/>
      <c r="E181" s="1"/>
      <c r="F181" s="1"/>
      <c r="G181" s="1"/>
      <c r="H181" s="185"/>
      <c r="I181" s="185"/>
      <c r="J181" s="1"/>
      <c r="K181" s="1"/>
      <c r="L181" s="1"/>
      <c r="M181" s="1"/>
    </row>
    <row r="182" ht="15.75" customHeight="1">
      <c r="A182" s="36"/>
      <c r="B182" s="37"/>
      <c r="C182" s="37"/>
      <c r="D182" s="1"/>
      <c r="E182" s="1"/>
      <c r="F182" s="1"/>
      <c r="G182" s="1"/>
      <c r="H182" s="185"/>
      <c r="I182" s="185"/>
      <c r="J182" s="1"/>
      <c r="K182" s="1"/>
      <c r="L182" s="1"/>
      <c r="M182" s="1"/>
    </row>
    <row r="183" ht="15.75" customHeight="1">
      <c r="A183" s="36"/>
      <c r="B183" s="37"/>
      <c r="C183" s="37"/>
      <c r="D183" s="1"/>
      <c r="E183" s="1"/>
      <c r="F183" s="1"/>
      <c r="G183" s="1"/>
      <c r="H183" s="185"/>
      <c r="I183" s="185"/>
      <c r="J183" s="1"/>
      <c r="K183" s="1"/>
      <c r="L183" s="1"/>
      <c r="M183" s="1"/>
    </row>
    <row r="184" ht="15.75" customHeight="1">
      <c r="A184" s="36"/>
      <c r="B184" s="37"/>
      <c r="C184" s="37"/>
      <c r="D184" s="1"/>
      <c r="E184" s="1"/>
      <c r="F184" s="1"/>
      <c r="G184" s="1"/>
      <c r="H184" s="185"/>
      <c r="I184" s="185"/>
      <c r="J184" s="1"/>
      <c r="K184" s="1"/>
      <c r="L184" s="1"/>
      <c r="M184" s="1"/>
    </row>
    <row r="185" ht="15.75" customHeight="1">
      <c r="A185" s="36"/>
      <c r="B185" s="37"/>
      <c r="C185" s="37"/>
      <c r="D185" s="1"/>
      <c r="E185" s="1"/>
      <c r="F185" s="1"/>
      <c r="G185" s="1"/>
      <c r="H185" s="185"/>
      <c r="I185" s="185"/>
      <c r="J185" s="1"/>
      <c r="K185" s="1"/>
      <c r="L185" s="1"/>
      <c r="M185" s="1"/>
    </row>
    <row r="186" ht="15.75" customHeight="1">
      <c r="A186" s="36"/>
      <c r="B186" s="37"/>
      <c r="C186" s="37"/>
      <c r="D186" s="1"/>
      <c r="E186" s="1"/>
      <c r="F186" s="1"/>
      <c r="G186" s="1"/>
      <c r="H186" s="185"/>
      <c r="I186" s="185"/>
      <c r="J186" s="1"/>
      <c r="K186" s="1"/>
      <c r="L186" s="1"/>
      <c r="M186" s="1"/>
    </row>
    <row r="187" ht="15.75" customHeight="1">
      <c r="A187" s="36"/>
      <c r="B187" s="37"/>
      <c r="C187" s="37"/>
      <c r="D187" s="1"/>
      <c r="E187" s="1"/>
      <c r="F187" s="1"/>
      <c r="G187" s="1"/>
      <c r="H187" s="185"/>
      <c r="I187" s="185"/>
      <c r="J187" s="1"/>
      <c r="K187" s="1"/>
      <c r="L187" s="1"/>
      <c r="M187" s="1"/>
    </row>
    <row r="188" ht="15.75" customHeight="1">
      <c r="A188" s="36"/>
      <c r="B188" s="37"/>
      <c r="C188" s="37"/>
      <c r="D188" s="1"/>
      <c r="E188" s="1"/>
      <c r="F188" s="1"/>
      <c r="G188" s="1"/>
      <c r="H188" s="185"/>
      <c r="I188" s="185"/>
      <c r="J188" s="1"/>
      <c r="K188" s="1"/>
      <c r="L188" s="1"/>
      <c r="M188" s="1"/>
    </row>
    <row r="189" ht="15.75" customHeight="1">
      <c r="A189" s="36"/>
      <c r="B189" s="37"/>
      <c r="C189" s="37"/>
      <c r="D189" s="1"/>
      <c r="E189" s="1"/>
      <c r="F189" s="1"/>
      <c r="G189" s="1"/>
      <c r="H189" s="185"/>
      <c r="I189" s="185"/>
      <c r="J189" s="1"/>
      <c r="K189" s="1"/>
      <c r="L189" s="1"/>
      <c r="M189" s="1"/>
    </row>
    <row r="190" ht="15.75" customHeight="1">
      <c r="A190" s="36"/>
      <c r="B190" s="37"/>
      <c r="C190" s="37"/>
      <c r="D190" s="1"/>
      <c r="E190" s="1"/>
      <c r="F190" s="1"/>
      <c r="G190" s="1"/>
      <c r="H190" s="185"/>
      <c r="I190" s="185"/>
      <c r="J190" s="1"/>
      <c r="K190" s="1"/>
      <c r="L190" s="1"/>
      <c r="M190" s="1"/>
    </row>
    <row r="191" ht="15.75" customHeight="1">
      <c r="A191" s="36"/>
      <c r="B191" s="37"/>
      <c r="C191" s="37"/>
      <c r="D191" s="1"/>
      <c r="E191" s="1"/>
      <c r="F191" s="1"/>
      <c r="G191" s="1"/>
      <c r="H191" s="185"/>
      <c r="I191" s="185"/>
      <c r="J191" s="1"/>
      <c r="K191" s="1"/>
      <c r="L191" s="1"/>
      <c r="M191" s="1"/>
    </row>
    <row r="192" ht="15.75" customHeight="1">
      <c r="A192" s="36"/>
      <c r="B192" s="37"/>
      <c r="C192" s="37"/>
      <c r="D192" s="1"/>
      <c r="E192" s="1"/>
      <c r="F192" s="1"/>
      <c r="G192" s="1"/>
      <c r="H192" s="185"/>
      <c r="I192" s="185"/>
      <c r="J192" s="1"/>
      <c r="K192" s="1"/>
      <c r="L192" s="1"/>
      <c r="M192" s="1"/>
    </row>
    <row r="193" ht="15.75" customHeight="1">
      <c r="A193" s="36"/>
      <c r="B193" s="37"/>
      <c r="C193" s="37"/>
      <c r="D193" s="1"/>
      <c r="E193" s="1"/>
      <c r="F193" s="1"/>
      <c r="G193" s="1"/>
      <c r="H193" s="185"/>
      <c r="I193" s="185"/>
      <c r="J193" s="1"/>
      <c r="K193" s="1"/>
      <c r="L193" s="1"/>
      <c r="M193" s="1"/>
    </row>
    <row r="194" ht="15.75" customHeight="1">
      <c r="A194" s="36"/>
      <c r="B194" s="37"/>
      <c r="C194" s="37"/>
      <c r="D194" s="1"/>
      <c r="E194" s="1"/>
      <c r="F194" s="1"/>
      <c r="G194" s="1"/>
      <c r="H194" s="185"/>
      <c r="I194" s="185"/>
      <c r="J194" s="1"/>
      <c r="K194" s="1"/>
      <c r="L194" s="1"/>
      <c r="M194" s="1"/>
    </row>
    <row r="195" ht="15.75" customHeight="1">
      <c r="A195" s="36"/>
      <c r="B195" s="37"/>
      <c r="C195" s="37"/>
      <c r="D195" s="1"/>
      <c r="E195" s="1"/>
      <c r="F195" s="1"/>
      <c r="G195" s="1"/>
      <c r="H195" s="185"/>
      <c r="I195" s="185"/>
      <c r="J195" s="1"/>
      <c r="K195" s="1"/>
      <c r="L195" s="1"/>
      <c r="M195" s="1"/>
    </row>
    <row r="196" ht="15.75" customHeight="1">
      <c r="A196" s="36"/>
      <c r="B196" s="37"/>
      <c r="C196" s="37"/>
      <c r="D196" s="1"/>
      <c r="E196" s="1"/>
      <c r="F196" s="1"/>
      <c r="G196" s="1"/>
      <c r="H196" s="185"/>
      <c r="I196" s="185"/>
      <c r="J196" s="1"/>
      <c r="K196" s="1"/>
      <c r="L196" s="1"/>
      <c r="M196" s="1"/>
    </row>
    <row r="197" ht="15.75" customHeight="1">
      <c r="A197" s="36"/>
      <c r="B197" s="37"/>
      <c r="C197" s="37"/>
      <c r="D197" s="1"/>
      <c r="E197" s="1"/>
      <c r="F197" s="1"/>
      <c r="G197" s="1"/>
      <c r="H197" s="185"/>
      <c r="I197" s="185"/>
      <c r="J197" s="1"/>
      <c r="K197" s="1"/>
      <c r="L197" s="1"/>
      <c r="M197" s="1"/>
    </row>
    <row r="198" ht="15.75" customHeight="1">
      <c r="A198" s="36"/>
      <c r="B198" s="37"/>
      <c r="C198" s="37"/>
      <c r="D198" s="1"/>
      <c r="E198" s="1"/>
      <c r="F198" s="1"/>
      <c r="G198" s="1"/>
      <c r="H198" s="185"/>
      <c r="I198" s="185"/>
      <c r="J198" s="1"/>
      <c r="K198" s="1"/>
      <c r="L198" s="1"/>
      <c r="M198" s="1"/>
    </row>
    <row r="199" ht="15.75" customHeight="1">
      <c r="A199" s="36"/>
      <c r="B199" s="37"/>
      <c r="C199" s="37"/>
      <c r="D199" s="1"/>
      <c r="E199" s="1"/>
      <c r="F199" s="1"/>
      <c r="G199" s="1"/>
      <c r="H199" s="185"/>
      <c r="I199" s="185"/>
      <c r="J199" s="1"/>
      <c r="K199" s="1"/>
      <c r="L199" s="1"/>
      <c r="M199" s="1"/>
    </row>
    <row r="200" ht="15.75" customHeight="1">
      <c r="A200" s="36"/>
      <c r="B200" s="37"/>
      <c r="C200" s="37"/>
      <c r="D200" s="1"/>
      <c r="E200" s="1"/>
      <c r="F200" s="1"/>
      <c r="G200" s="1"/>
      <c r="H200" s="185"/>
      <c r="I200" s="185"/>
      <c r="J200" s="1"/>
      <c r="K200" s="1"/>
      <c r="L200" s="1"/>
      <c r="M200" s="1"/>
    </row>
    <row r="201" ht="15.75" customHeight="1">
      <c r="A201" s="36"/>
      <c r="B201" s="37"/>
      <c r="C201" s="37"/>
      <c r="D201" s="1"/>
      <c r="E201" s="1"/>
      <c r="F201" s="1"/>
      <c r="G201" s="1"/>
      <c r="H201" s="185"/>
      <c r="I201" s="185"/>
      <c r="J201" s="1"/>
      <c r="K201" s="1"/>
      <c r="L201" s="1"/>
      <c r="M201" s="1"/>
    </row>
    <row r="202" ht="15.75" customHeight="1">
      <c r="A202" s="36"/>
      <c r="B202" s="37"/>
      <c r="C202" s="37"/>
      <c r="D202" s="1"/>
      <c r="E202" s="1"/>
      <c r="F202" s="1"/>
      <c r="G202" s="1"/>
      <c r="H202" s="185"/>
      <c r="I202" s="185"/>
      <c r="J202" s="1"/>
      <c r="K202" s="1"/>
      <c r="L202" s="1"/>
      <c r="M202" s="1"/>
    </row>
    <row r="203" ht="15.75" customHeight="1">
      <c r="A203" s="36"/>
      <c r="B203" s="37"/>
      <c r="C203" s="37"/>
      <c r="D203" s="1"/>
      <c r="E203" s="1"/>
      <c r="F203" s="1"/>
      <c r="G203" s="1"/>
      <c r="H203" s="185"/>
      <c r="I203" s="185"/>
      <c r="J203" s="1"/>
      <c r="K203" s="1"/>
      <c r="L203" s="1"/>
      <c r="M203" s="1"/>
    </row>
    <row r="204" ht="15.75" customHeight="1">
      <c r="A204" s="36"/>
      <c r="B204" s="37"/>
      <c r="C204" s="37"/>
      <c r="D204" s="1"/>
      <c r="E204" s="1"/>
      <c r="F204" s="1"/>
      <c r="G204" s="1"/>
      <c r="H204" s="185"/>
      <c r="I204" s="185"/>
      <c r="J204" s="1"/>
      <c r="K204" s="1"/>
      <c r="L204" s="1"/>
      <c r="M204" s="1"/>
    </row>
    <row r="205" ht="15.75" customHeight="1">
      <c r="A205" s="36"/>
      <c r="B205" s="37"/>
      <c r="C205" s="37"/>
      <c r="D205" s="1"/>
      <c r="E205" s="1"/>
      <c r="F205" s="1"/>
      <c r="G205" s="1"/>
      <c r="H205" s="185"/>
      <c r="I205" s="185"/>
      <c r="J205" s="1"/>
      <c r="K205" s="1"/>
      <c r="L205" s="1"/>
      <c r="M205" s="1"/>
    </row>
    <row r="206" ht="15.75" customHeight="1">
      <c r="A206" s="36"/>
      <c r="B206" s="37"/>
      <c r="C206" s="37"/>
      <c r="D206" s="1"/>
      <c r="E206" s="1"/>
      <c r="F206" s="1"/>
      <c r="G206" s="1"/>
      <c r="H206" s="185"/>
      <c r="I206" s="185"/>
      <c r="J206" s="1"/>
      <c r="K206" s="1"/>
      <c r="L206" s="1"/>
      <c r="M206" s="1"/>
    </row>
    <row r="207" ht="15.75" customHeight="1">
      <c r="A207" s="36"/>
      <c r="B207" s="37"/>
      <c r="C207" s="37"/>
      <c r="D207" s="1"/>
      <c r="E207" s="1"/>
      <c r="F207" s="1"/>
      <c r="G207" s="1"/>
      <c r="H207" s="185"/>
      <c r="I207" s="185"/>
      <c r="J207" s="1"/>
      <c r="K207" s="1"/>
      <c r="L207" s="1"/>
      <c r="M207" s="1"/>
    </row>
    <row r="208" ht="15.75" customHeight="1">
      <c r="A208" s="36"/>
      <c r="B208" s="37"/>
      <c r="C208" s="37"/>
      <c r="D208" s="1"/>
      <c r="E208" s="1"/>
      <c r="F208" s="1"/>
      <c r="G208" s="1"/>
      <c r="H208" s="185"/>
      <c r="I208" s="185"/>
      <c r="J208" s="1"/>
      <c r="K208" s="1"/>
      <c r="L208" s="1"/>
      <c r="M208" s="1"/>
    </row>
    <row r="209" ht="15.75" customHeight="1">
      <c r="A209" s="36"/>
      <c r="B209" s="37"/>
      <c r="C209" s="37"/>
      <c r="D209" s="1"/>
      <c r="E209" s="1"/>
      <c r="F209" s="1"/>
      <c r="G209" s="1"/>
      <c r="H209" s="185"/>
      <c r="I209" s="185"/>
      <c r="J209" s="1"/>
      <c r="K209" s="1"/>
      <c r="L209" s="1"/>
      <c r="M209" s="1"/>
    </row>
    <row r="210" ht="15.75" customHeight="1">
      <c r="A210" s="36"/>
      <c r="B210" s="37"/>
      <c r="C210" s="37"/>
      <c r="D210" s="1"/>
      <c r="E210" s="1"/>
      <c r="F210" s="1"/>
      <c r="G210" s="1"/>
      <c r="H210" s="185"/>
      <c r="I210" s="185"/>
      <c r="J210" s="1"/>
      <c r="K210" s="1"/>
      <c r="L210" s="1"/>
      <c r="M210" s="1"/>
    </row>
    <row r="211" ht="15.75" customHeight="1">
      <c r="A211" s="36"/>
      <c r="B211" s="37"/>
      <c r="C211" s="37"/>
      <c r="D211" s="1"/>
      <c r="E211" s="1"/>
      <c r="F211" s="1"/>
      <c r="G211" s="1"/>
      <c r="H211" s="185"/>
      <c r="I211" s="185"/>
      <c r="J211" s="1"/>
      <c r="K211" s="1"/>
      <c r="L211" s="1"/>
      <c r="M211" s="1"/>
    </row>
    <row r="212" ht="15.75" customHeight="1">
      <c r="A212" s="36"/>
      <c r="B212" s="37"/>
      <c r="C212" s="37"/>
      <c r="D212" s="1"/>
      <c r="E212" s="1"/>
      <c r="F212" s="1"/>
      <c r="G212" s="1"/>
      <c r="H212" s="185"/>
      <c r="I212" s="185"/>
      <c r="J212" s="1"/>
      <c r="K212" s="1"/>
      <c r="L212" s="1"/>
      <c r="M212" s="1"/>
    </row>
    <row r="213" ht="15.75" customHeight="1">
      <c r="A213" s="36"/>
      <c r="B213" s="37"/>
      <c r="C213" s="37"/>
      <c r="D213" s="1"/>
      <c r="E213" s="1"/>
      <c r="F213" s="1"/>
      <c r="G213" s="1"/>
      <c r="H213" s="185"/>
      <c r="I213" s="185"/>
      <c r="J213" s="1"/>
      <c r="K213" s="1"/>
      <c r="L213" s="1"/>
      <c r="M213" s="1"/>
    </row>
    <row r="214" ht="15.75" customHeight="1">
      <c r="A214" s="36"/>
      <c r="B214" s="37"/>
      <c r="C214" s="37"/>
      <c r="D214" s="1"/>
      <c r="E214" s="1"/>
      <c r="F214" s="1"/>
      <c r="G214" s="1"/>
      <c r="H214" s="185"/>
      <c r="I214" s="185"/>
      <c r="J214" s="1"/>
      <c r="K214" s="1"/>
      <c r="L214" s="1"/>
      <c r="M214" s="1"/>
    </row>
    <row r="215" ht="15.75" customHeight="1">
      <c r="A215" s="36"/>
      <c r="B215" s="37"/>
      <c r="C215" s="37"/>
      <c r="D215" s="1"/>
      <c r="E215" s="1"/>
      <c r="F215" s="1"/>
      <c r="G215" s="1"/>
      <c r="H215" s="185"/>
      <c r="I215" s="185"/>
      <c r="J215" s="1"/>
      <c r="K215" s="1"/>
      <c r="L215" s="1"/>
      <c r="M215" s="1"/>
    </row>
    <row r="216" ht="15.75" customHeight="1">
      <c r="A216" s="36"/>
      <c r="B216" s="37"/>
      <c r="C216" s="37"/>
      <c r="D216" s="1"/>
      <c r="E216" s="1"/>
      <c r="F216" s="1"/>
      <c r="G216" s="1"/>
      <c r="H216" s="185"/>
      <c r="I216" s="185"/>
      <c r="J216" s="1"/>
      <c r="K216" s="1"/>
      <c r="L216" s="1"/>
      <c r="M216" s="1"/>
    </row>
    <row r="217" ht="15.75" customHeight="1">
      <c r="A217" s="36"/>
      <c r="B217" s="37"/>
      <c r="C217" s="37"/>
      <c r="D217" s="1"/>
      <c r="E217" s="1"/>
      <c r="F217" s="1"/>
      <c r="G217" s="1"/>
      <c r="H217" s="185"/>
      <c r="I217" s="185"/>
      <c r="J217" s="1"/>
      <c r="K217" s="1"/>
      <c r="L217" s="1"/>
      <c r="M217" s="1"/>
    </row>
    <row r="218" ht="15.75" customHeight="1">
      <c r="A218" s="36"/>
      <c r="B218" s="37"/>
      <c r="C218" s="37"/>
      <c r="D218" s="1"/>
      <c r="E218" s="1"/>
      <c r="F218" s="1"/>
      <c r="G218" s="1"/>
      <c r="H218" s="185"/>
      <c r="I218" s="185"/>
      <c r="J218" s="1"/>
      <c r="K218" s="1"/>
      <c r="L218" s="1"/>
      <c r="M218" s="1"/>
    </row>
    <row r="219" ht="15.75" customHeight="1">
      <c r="A219" s="36"/>
      <c r="B219" s="37"/>
      <c r="C219" s="37"/>
      <c r="D219" s="1"/>
      <c r="E219" s="1"/>
      <c r="F219" s="1"/>
      <c r="G219" s="1"/>
      <c r="H219" s="185"/>
      <c r="I219" s="185"/>
      <c r="J219" s="1"/>
      <c r="K219" s="1"/>
      <c r="L219" s="1"/>
      <c r="M219" s="1"/>
    </row>
    <row r="220" ht="15.75" customHeight="1">
      <c r="A220" s="36"/>
      <c r="B220" s="37"/>
      <c r="C220" s="37"/>
      <c r="D220" s="1"/>
      <c r="E220" s="1"/>
      <c r="F220" s="1"/>
      <c r="G220" s="1"/>
      <c r="H220" s="185"/>
      <c r="I220" s="185"/>
      <c r="J220" s="1"/>
      <c r="K220" s="1"/>
      <c r="L220" s="1"/>
      <c r="M220" s="1"/>
    </row>
    <row r="221" ht="15.75" customHeight="1">
      <c r="A221" s="36"/>
      <c r="B221" s="37"/>
      <c r="C221" s="37"/>
      <c r="D221" s="1"/>
      <c r="E221" s="1"/>
      <c r="F221" s="1"/>
      <c r="G221" s="1"/>
      <c r="H221" s="185"/>
      <c r="I221" s="185"/>
      <c r="J221" s="1"/>
      <c r="K221" s="1"/>
      <c r="L221" s="1"/>
      <c r="M221" s="1"/>
    </row>
    <row r="222" ht="15.75" customHeight="1">
      <c r="A222" s="36"/>
      <c r="B222" s="37"/>
      <c r="C222" s="37"/>
      <c r="D222" s="1"/>
      <c r="E222" s="1"/>
      <c r="F222" s="1"/>
      <c r="G222" s="1"/>
      <c r="H222" s="185"/>
      <c r="I222" s="185"/>
      <c r="J222" s="1"/>
      <c r="K222" s="1"/>
      <c r="L222" s="1"/>
      <c r="M222" s="1"/>
    </row>
    <row r="223" ht="15.75" customHeight="1">
      <c r="A223" s="36"/>
      <c r="B223" s="37"/>
      <c r="C223" s="37"/>
      <c r="D223" s="1"/>
      <c r="E223" s="1"/>
      <c r="F223" s="1"/>
      <c r="G223" s="1"/>
      <c r="H223" s="185"/>
      <c r="I223" s="185"/>
      <c r="J223" s="1"/>
      <c r="K223" s="1"/>
      <c r="L223" s="1"/>
      <c r="M223" s="1"/>
    </row>
    <row r="224" ht="15.75" customHeight="1">
      <c r="A224" s="36"/>
      <c r="B224" s="37"/>
      <c r="C224" s="37"/>
      <c r="D224" s="1"/>
      <c r="E224" s="1"/>
      <c r="F224" s="1"/>
      <c r="G224" s="1"/>
      <c r="H224" s="185"/>
      <c r="I224" s="185"/>
      <c r="J224" s="1"/>
      <c r="K224" s="1"/>
      <c r="L224" s="1"/>
      <c r="M224" s="1"/>
    </row>
    <row r="225" ht="15.75" customHeight="1">
      <c r="A225" s="36"/>
      <c r="B225" s="37"/>
      <c r="C225" s="37"/>
      <c r="D225" s="1"/>
      <c r="E225" s="1"/>
      <c r="F225" s="1"/>
      <c r="G225" s="1"/>
      <c r="H225" s="185"/>
      <c r="I225" s="185"/>
      <c r="J225" s="1"/>
      <c r="K225" s="1"/>
      <c r="L225" s="1"/>
      <c r="M225" s="1"/>
    </row>
    <row r="226" ht="15.75" customHeight="1">
      <c r="A226" s="36"/>
      <c r="B226" s="37"/>
      <c r="C226" s="37"/>
      <c r="D226" s="1"/>
      <c r="E226" s="1"/>
      <c r="F226" s="1"/>
      <c r="G226" s="1"/>
      <c r="H226" s="185"/>
      <c r="I226" s="185"/>
      <c r="J226" s="1"/>
      <c r="K226" s="1"/>
      <c r="L226" s="1"/>
      <c r="M226" s="1"/>
    </row>
    <row r="227" ht="15.75" customHeight="1">
      <c r="A227" s="36"/>
      <c r="B227" s="37"/>
      <c r="C227" s="37"/>
      <c r="D227" s="1"/>
      <c r="E227" s="1"/>
      <c r="F227" s="1"/>
      <c r="G227" s="1"/>
      <c r="H227" s="185"/>
      <c r="I227" s="185"/>
      <c r="J227" s="1"/>
      <c r="K227" s="1"/>
      <c r="L227" s="1"/>
      <c r="M227" s="1"/>
    </row>
    <row r="228" ht="15.75" customHeight="1">
      <c r="A228" s="36"/>
      <c r="B228" s="37"/>
      <c r="C228" s="37"/>
      <c r="D228" s="1"/>
      <c r="E228" s="1"/>
      <c r="F228" s="1"/>
      <c r="G228" s="1"/>
      <c r="H228" s="185"/>
      <c r="I228" s="185"/>
      <c r="J228" s="1"/>
      <c r="K228" s="1"/>
      <c r="L228" s="1"/>
      <c r="M228" s="1"/>
    </row>
    <row r="229" ht="15.75" customHeight="1">
      <c r="A229" s="36"/>
      <c r="B229" s="37"/>
      <c r="C229" s="37"/>
      <c r="D229" s="1"/>
      <c r="E229" s="1"/>
      <c r="F229" s="1"/>
      <c r="G229" s="1"/>
      <c r="H229" s="185"/>
      <c r="I229" s="185"/>
      <c r="J229" s="1"/>
      <c r="K229" s="1"/>
      <c r="L229" s="1"/>
      <c r="M229" s="1"/>
    </row>
    <row r="230" ht="15.75" customHeight="1">
      <c r="A230" s="36"/>
      <c r="B230" s="37"/>
      <c r="C230" s="37"/>
      <c r="D230" s="1"/>
      <c r="E230" s="1"/>
      <c r="F230" s="1"/>
      <c r="G230" s="1"/>
      <c r="H230" s="185"/>
      <c r="I230" s="185"/>
      <c r="J230" s="1"/>
      <c r="K230" s="1"/>
      <c r="L230" s="1"/>
      <c r="M230" s="1"/>
    </row>
    <row r="231" ht="15.75" customHeight="1">
      <c r="A231" s="36"/>
      <c r="B231" s="37"/>
      <c r="C231" s="37"/>
      <c r="D231" s="1"/>
      <c r="E231" s="1"/>
      <c r="F231" s="1"/>
      <c r="G231" s="1"/>
      <c r="H231" s="185"/>
      <c r="I231" s="185"/>
      <c r="J231" s="1"/>
      <c r="K231" s="1"/>
      <c r="L231" s="1"/>
      <c r="M231" s="1"/>
    </row>
    <row r="232" ht="15.75" customHeight="1">
      <c r="A232" s="36"/>
      <c r="B232" s="37"/>
      <c r="C232" s="37"/>
      <c r="D232" s="1"/>
      <c r="E232" s="1"/>
      <c r="F232" s="1"/>
      <c r="G232" s="1"/>
      <c r="H232" s="185"/>
      <c r="I232" s="185"/>
      <c r="J232" s="1"/>
      <c r="K232" s="1"/>
      <c r="L232" s="1"/>
      <c r="M232" s="1"/>
    </row>
    <row r="233" ht="15.75" customHeight="1">
      <c r="A233" s="36"/>
      <c r="B233" s="37"/>
      <c r="C233" s="37"/>
      <c r="D233" s="1"/>
      <c r="E233" s="1"/>
      <c r="F233" s="1"/>
      <c r="G233" s="1"/>
      <c r="H233" s="185"/>
      <c r="I233" s="185"/>
      <c r="J233" s="1"/>
      <c r="K233" s="1"/>
      <c r="L233" s="1"/>
      <c r="M233" s="1"/>
    </row>
    <row r="234" ht="15.75" customHeight="1">
      <c r="A234" s="36"/>
      <c r="B234" s="37"/>
      <c r="C234" s="37"/>
      <c r="D234" s="1"/>
      <c r="E234" s="1"/>
      <c r="F234" s="1"/>
      <c r="G234" s="1"/>
      <c r="H234" s="185"/>
      <c r="I234" s="185"/>
      <c r="J234" s="1"/>
      <c r="K234" s="1"/>
      <c r="L234" s="1"/>
      <c r="M234" s="1"/>
    </row>
    <row r="235" ht="15.75" customHeight="1">
      <c r="A235" s="36"/>
      <c r="B235" s="37"/>
      <c r="C235" s="37"/>
      <c r="D235" s="1"/>
      <c r="E235" s="1"/>
      <c r="F235" s="1"/>
      <c r="G235" s="1"/>
      <c r="H235" s="185"/>
      <c r="I235" s="185"/>
      <c r="J235" s="1"/>
      <c r="K235" s="1"/>
      <c r="L235" s="1"/>
      <c r="M235" s="1"/>
    </row>
    <row r="236" ht="15.75" customHeight="1">
      <c r="A236" s="36"/>
      <c r="B236" s="37"/>
      <c r="C236" s="37"/>
      <c r="D236" s="1"/>
      <c r="E236" s="1"/>
      <c r="F236" s="1"/>
      <c r="G236" s="1"/>
      <c r="H236" s="185"/>
      <c r="I236" s="185"/>
      <c r="J236" s="1"/>
      <c r="K236" s="1"/>
      <c r="L236" s="1"/>
      <c r="M236" s="1"/>
    </row>
    <row r="237" ht="15.75" customHeight="1">
      <c r="A237" s="36"/>
      <c r="B237" s="37"/>
      <c r="C237" s="37"/>
      <c r="D237" s="1"/>
      <c r="E237" s="1"/>
      <c r="F237" s="1"/>
      <c r="G237" s="1"/>
      <c r="H237" s="185"/>
      <c r="I237" s="185"/>
      <c r="J237" s="1"/>
      <c r="K237" s="1"/>
      <c r="L237" s="1"/>
      <c r="M237" s="1"/>
    </row>
    <row r="238" ht="15.75" customHeight="1">
      <c r="A238" s="36"/>
      <c r="B238" s="37"/>
      <c r="C238" s="37"/>
      <c r="D238" s="1"/>
      <c r="E238" s="1"/>
      <c r="F238" s="1"/>
      <c r="G238" s="1"/>
      <c r="H238" s="185"/>
      <c r="I238" s="185"/>
      <c r="J238" s="1"/>
      <c r="K238" s="1"/>
      <c r="L238" s="1"/>
      <c r="M238" s="1"/>
    </row>
    <row r="239" ht="15.75" customHeight="1">
      <c r="A239" s="36"/>
      <c r="B239" s="37"/>
      <c r="C239" s="37"/>
      <c r="D239" s="1"/>
      <c r="E239" s="1"/>
      <c r="F239" s="1"/>
      <c r="G239" s="1"/>
      <c r="H239" s="185"/>
      <c r="I239" s="185"/>
      <c r="J239" s="1"/>
      <c r="K239" s="1"/>
      <c r="L239" s="1"/>
      <c r="M239" s="1"/>
    </row>
    <row r="240" ht="15.75" customHeight="1">
      <c r="A240" s="36"/>
      <c r="B240" s="37"/>
      <c r="C240" s="37"/>
      <c r="D240" s="1"/>
      <c r="E240" s="1"/>
      <c r="F240" s="1"/>
      <c r="G240" s="1"/>
      <c r="H240" s="185"/>
      <c r="I240" s="185"/>
      <c r="J240" s="1"/>
      <c r="K240" s="1"/>
      <c r="L240" s="1"/>
      <c r="M240" s="1"/>
    </row>
    <row r="241" ht="15.75" customHeight="1">
      <c r="A241" s="36"/>
      <c r="B241" s="37"/>
      <c r="C241" s="37"/>
      <c r="D241" s="1"/>
      <c r="E241" s="1"/>
      <c r="F241" s="1"/>
      <c r="G241" s="1"/>
      <c r="H241" s="185"/>
      <c r="I241" s="185"/>
      <c r="J241" s="1"/>
      <c r="K241" s="1"/>
      <c r="L241" s="1"/>
      <c r="M241" s="1"/>
    </row>
    <row r="242" ht="15.75" customHeight="1">
      <c r="A242" s="36"/>
      <c r="B242" s="37"/>
      <c r="C242" s="37"/>
      <c r="D242" s="1"/>
      <c r="E242" s="1"/>
      <c r="F242" s="1"/>
      <c r="G242" s="1"/>
      <c r="H242" s="185"/>
      <c r="I242" s="185"/>
      <c r="J242" s="1"/>
      <c r="K242" s="1"/>
      <c r="L242" s="1"/>
      <c r="M242" s="1"/>
    </row>
    <row r="243" ht="15.75" customHeight="1">
      <c r="A243" s="36"/>
      <c r="B243" s="37"/>
      <c r="C243" s="37"/>
      <c r="D243" s="1"/>
      <c r="E243" s="1"/>
      <c r="F243" s="1"/>
      <c r="G243" s="1"/>
      <c r="H243" s="185"/>
      <c r="I243" s="185"/>
      <c r="J243" s="1"/>
      <c r="K243" s="1"/>
      <c r="L243" s="1"/>
      <c r="M243" s="1"/>
    </row>
    <row r="244" ht="15.75" customHeight="1">
      <c r="A244" s="36"/>
      <c r="B244" s="37"/>
      <c r="C244" s="37"/>
      <c r="D244" s="1"/>
      <c r="E244" s="1"/>
      <c r="F244" s="1"/>
      <c r="G244" s="1"/>
      <c r="H244" s="185"/>
      <c r="I244" s="185"/>
      <c r="J244" s="1"/>
      <c r="K244" s="1"/>
      <c r="L244" s="1"/>
      <c r="M244" s="1"/>
    </row>
    <row r="245" ht="15.75" customHeight="1">
      <c r="A245" s="36"/>
      <c r="B245" s="37"/>
      <c r="C245" s="37"/>
      <c r="D245" s="1"/>
      <c r="E245" s="1"/>
      <c r="F245" s="1"/>
      <c r="G245" s="1"/>
      <c r="H245" s="185"/>
      <c r="I245" s="185"/>
      <c r="J245" s="1"/>
      <c r="K245" s="1"/>
      <c r="L245" s="1"/>
      <c r="M245" s="1"/>
    </row>
    <row r="246" ht="15.75" customHeight="1">
      <c r="A246" s="36"/>
      <c r="B246" s="37"/>
      <c r="C246" s="37"/>
      <c r="D246" s="1"/>
      <c r="E246" s="1"/>
      <c r="F246" s="1"/>
      <c r="G246" s="1"/>
      <c r="H246" s="185"/>
      <c r="I246" s="185"/>
      <c r="J246" s="1"/>
      <c r="K246" s="1"/>
      <c r="L246" s="1"/>
      <c r="M246" s="1"/>
    </row>
    <row r="247" ht="15.75" customHeight="1">
      <c r="A247" s="36"/>
      <c r="B247" s="37"/>
      <c r="C247" s="37"/>
      <c r="D247" s="1"/>
      <c r="E247" s="1"/>
      <c r="F247" s="1"/>
      <c r="G247" s="1"/>
      <c r="H247" s="185"/>
      <c r="I247" s="185"/>
      <c r="J247" s="1"/>
      <c r="K247" s="1"/>
      <c r="L247" s="1"/>
      <c r="M247" s="1"/>
    </row>
    <row r="248" ht="15.75" customHeight="1">
      <c r="A248" s="36"/>
      <c r="B248" s="37"/>
      <c r="C248" s="37"/>
      <c r="D248" s="1"/>
      <c r="E248" s="1"/>
      <c r="F248" s="1"/>
      <c r="G248" s="1"/>
      <c r="H248" s="185"/>
      <c r="I248" s="185"/>
      <c r="J248" s="1"/>
      <c r="K248" s="1"/>
      <c r="L248" s="1"/>
      <c r="M248" s="1"/>
    </row>
    <row r="249" ht="15.75" customHeight="1">
      <c r="A249" s="36"/>
      <c r="B249" s="37"/>
      <c r="C249" s="37"/>
      <c r="D249" s="1"/>
      <c r="E249" s="1"/>
      <c r="F249" s="1"/>
      <c r="G249" s="1"/>
      <c r="H249" s="185"/>
      <c r="I249" s="185"/>
      <c r="J249" s="1"/>
      <c r="K249" s="1"/>
      <c r="L249" s="1"/>
      <c r="M249" s="1"/>
    </row>
    <row r="250" ht="15.75" customHeight="1">
      <c r="A250" s="36"/>
      <c r="B250" s="37"/>
      <c r="C250" s="37"/>
      <c r="D250" s="1"/>
      <c r="E250" s="1"/>
      <c r="F250" s="1"/>
      <c r="G250" s="1"/>
      <c r="H250" s="185"/>
      <c r="I250" s="185"/>
      <c r="J250" s="1"/>
      <c r="K250" s="1"/>
      <c r="L250" s="1"/>
      <c r="M250" s="1"/>
    </row>
    <row r="251" ht="15.75" customHeight="1">
      <c r="A251" s="36"/>
      <c r="B251" s="37"/>
      <c r="C251" s="37"/>
      <c r="D251" s="1"/>
      <c r="E251" s="1"/>
      <c r="F251" s="1"/>
      <c r="G251" s="1"/>
      <c r="H251" s="185"/>
      <c r="I251" s="185"/>
      <c r="J251" s="1"/>
      <c r="K251" s="1"/>
      <c r="L251" s="1"/>
      <c r="M251" s="1"/>
    </row>
    <row r="252" ht="15.75" customHeight="1">
      <c r="A252" s="36"/>
      <c r="B252" s="37"/>
      <c r="C252" s="37"/>
      <c r="D252" s="1"/>
      <c r="E252" s="1"/>
      <c r="F252" s="1"/>
      <c r="G252" s="1"/>
      <c r="H252" s="185"/>
      <c r="I252" s="185"/>
      <c r="J252" s="1"/>
      <c r="K252" s="1"/>
      <c r="L252" s="1"/>
      <c r="M252" s="1"/>
    </row>
    <row r="253" ht="15.75" customHeight="1">
      <c r="A253" s="36"/>
      <c r="B253" s="37"/>
      <c r="C253" s="37"/>
      <c r="D253" s="1"/>
      <c r="E253" s="1"/>
      <c r="F253" s="1"/>
      <c r="G253" s="1"/>
      <c r="H253" s="185"/>
      <c r="I253" s="185"/>
      <c r="J253" s="1"/>
      <c r="K253" s="1"/>
      <c r="L253" s="1"/>
      <c r="M253" s="1"/>
    </row>
    <row r="254" ht="15.75" customHeight="1">
      <c r="A254" s="36"/>
      <c r="B254" s="37"/>
      <c r="C254" s="37"/>
      <c r="D254" s="1"/>
      <c r="E254" s="1"/>
      <c r="F254" s="1"/>
      <c r="G254" s="1"/>
      <c r="H254" s="185"/>
      <c r="I254" s="185"/>
      <c r="J254" s="1"/>
      <c r="K254" s="1"/>
      <c r="L254" s="1"/>
      <c r="M254" s="1"/>
    </row>
    <row r="255" ht="15.75" customHeight="1">
      <c r="A255" s="36"/>
      <c r="B255" s="37"/>
      <c r="C255" s="37"/>
      <c r="D255" s="1"/>
      <c r="E255" s="1"/>
      <c r="F255" s="1"/>
      <c r="G255" s="1"/>
      <c r="H255" s="185"/>
      <c r="I255" s="185"/>
      <c r="J255" s="1"/>
      <c r="K255" s="1"/>
      <c r="L255" s="1"/>
      <c r="M255" s="1"/>
    </row>
    <row r="256" ht="15.75" customHeight="1">
      <c r="A256" s="36"/>
      <c r="B256" s="37"/>
      <c r="C256" s="37"/>
      <c r="D256" s="1"/>
      <c r="E256" s="1"/>
      <c r="F256" s="1"/>
      <c r="G256" s="1"/>
      <c r="H256" s="185"/>
      <c r="I256" s="185"/>
      <c r="J256" s="1"/>
      <c r="K256" s="1"/>
      <c r="L256" s="1"/>
      <c r="M256" s="1"/>
    </row>
    <row r="257" ht="15.75" customHeight="1">
      <c r="A257" s="36"/>
      <c r="B257" s="37"/>
      <c r="C257" s="37"/>
      <c r="D257" s="1"/>
      <c r="E257" s="1"/>
      <c r="F257" s="1"/>
      <c r="G257" s="1"/>
      <c r="H257" s="185"/>
      <c r="I257" s="185"/>
      <c r="J257" s="1"/>
      <c r="K257" s="1"/>
      <c r="L257" s="1"/>
      <c r="M257" s="1"/>
    </row>
    <row r="258" ht="15.75" customHeight="1">
      <c r="A258" s="36"/>
      <c r="B258" s="37"/>
      <c r="C258" s="37"/>
      <c r="D258" s="1"/>
      <c r="E258" s="1"/>
      <c r="F258" s="1"/>
      <c r="G258" s="1"/>
      <c r="H258" s="185"/>
      <c r="I258" s="185"/>
      <c r="J258" s="1"/>
      <c r="K258" s="1"/>
      <c r="L258" s="1"/>
      <c r="M258" s="1"/>
    </row>
    <row r="259" ht="15.75" customHeight="1">
      <c r="A259" s="36"/>
      <c r="B259" s="37"/>
      <c r="C259" s="37"/>
      <c r="D259" s="1"/>
      <c r="E259" s="1"/>
      <c r="F259" s="1"/>
      <c r="G259" s="1"/>
      <c r="H259" s="185"/>
      <c r="I259" s="185"/>
      <c r="J259" s="1"/>
      <c r="K259" s="1"/>
      <c r="L259" s="1"/>
      <c r="M259" s="1"/>
    </row>
    <row r="260" ht="15.75" customHeight="1">
      <c r="A260" s="36"/>
      <c r="B260" s="37"/>
      <c r="C260" s="37"/>
      <c r="D260" s="1"/>
      <c r="E260" s="1"/>
      <c r="F260" s="1"/>
      <c r="G260" s="1"/>
      <c r="H260" s="185"/>
      <c r="I260" s="185"/>
      <c r="J260" s="1"/>
      <c r="K260" s="1"/>
      <c r="L260" s="1"/>
      <c r="M260" s="1"/>
    </row>
    <row r="261" ht="15.75" customHeight="1">
      <c r="A261" s="36"/>
      <c r="B261" s="37"/>
      <c r="C261" s="37"/>
      <c r="D261" s="1"/>
      <c r="E261" s="1"/>
      <c r="F261" s="1"/>
      <c r="G261" s="1"/>
      <c r="H261" s="185"/>
      <c r="I261" s="185"/>
      <c r="J261" s="1"/>
      <c r="K261" s="1"/>
      <c r="L261" s="1"/>
      <c r="M261" s="1"/>
    </row>
    <row r="262" ht="15.75" customHeight="1">
      <c r="A262" s="36"/>
      <c r="B262" s="37"/>
      <c r="C262" s="37"/>
      <c r="D262" s="1"/>
      <c r="E262" s="1"/>
      <c r="F262" s="1"/>
      <c r="G262" s="1"/>
      <c r="H262" s="185"/>
      <c r="I262" s="185"/>
      <c r="J262" s="1"/>
      <c r="K262" s="1"/>
      <c r="L262" s="1"/>
      <c r="M262" s="1"/>
    </row>
    <row r="263" ht="15.75" customHeight="1">
      <c r="A263" s="36"/>
      <c r="B263" s="37"/>
      <c r="C263" s="37"/>
      <c r="D263" s="1"/>
      <c r="E263" s="1"/>
      <c r="F263" s="1"/>
      <c r="G263" s="1"/>
      <c r="H263" s="185"/>
      <c r="I263" s="185"/>
      <c r="J263" s="1"/>
      <c r="K263" s="1"/>
      <c r="L263" s="1"/>
      <c r="M263" s="1"/>
    </row>
    <row r="264" ht="15.75" customHeight="1">
      <c r="A264" s="36"/>
      <c r="B264" s="37"/>
      <c r="C264" s="37"/>
      <c r="D264" s="1"/>
      <c r="E264" s="1"/>
      <c r="F264" s="1"/>
      <c r="G264" s="1"/>
      <c r="H264" s="185"/>
      <c r="I264" s="185"/>
      <c r="J264" s="1"/>
      <c r="K264" s="1"/>
      <c r="L264" s="1"/>
      <c r="M264" s="1"/>
    </row>
    <row r="265" ht="15.75" customHeight="1">
      <c r="A265" s="36"/>
      <c r="B265" s="37"/>
      <c r="C265" s="37"/>
      <c r="D265" s="1"/>
      <c r="E265" s="1"/>
      <c r="F265" s="1"/>
      <c r="G265" s="1"/>
      <c r="H265" s="185"/>
      <c r="I265" s="185"/>
      <c r="J265" s="1"/>
      <c r="K265" s="1"/>
      <c r="L265" s="1"/>
      <c r="M265" s="1"/>
    </row>
    <row r="266" ht="15.75" customHeight="1">
      <c r="A266" s="36"/>
      <c r="B266" s="37"/>
      <c r="C266" s="37"/>
      <c r="D266" s="1"/>
      <c r="E266" s="1"/>
      <c r="F266" s="1"/>
      <c r="G266" s="1"/>
      <c r="H266" s="185"/>
      <c r="I266" s="185"/>
      <c r="J266" s="1"/>
      <c r="K266" s="1"/>
      <c r="L266" s="1"/>
      <c r="M266" s="1"/>
    </row>
    <row r="267" ht="15.75" customHeight="1">
      <c r="A267" s="36"/>
      <c r="B267" s="37"/>
      <c r="C267" s="37"/>
      <c r="D267" s="1"/>
      <c r="E267" s="1"/>
      <c r="F267" s="1"/>
      <c r="G267" s="1"/>
      <c r="H267" s="185"/>
      <c r="I267" s="185"/>
      <c r="J267" s="1"/>
      <c r="K267" s="1"/>
      <c r="L267" s="1"/>
      <c r="M267" s="1"/>
    </row>
    <row r="268" ht="15.75" customHeight="1">
      <c r="A268" s="36"/>
      <c r="B268" s="37"/>
      <c r="C268" s="37"/>
      <c r="D268" s="1"/>
      <c r="E268" s="1"/>
      <c r="F268" s="1"/>
      <c r="G268" s="1"/>
      <c r="H268" s="185"/>
      <c r="I268" s="185"/>
      <c r="J268" s="1"/>
      <c r="K268" s="1"/>
      <c r="L268" s="1"/>
      <c r="M268" s="1"/>
    </row>
    <row r="269" ht="15.75" customHeight="1">
      <c r="A269" s="36"/>
      <c r="B269" s="37"/>
      <c r="C269" s="37"/>
      <c r="D269" s="1"/>
      <c r="E269" s="1"/>
      <c r="F269" s="1"/>
      <c r="G269" s="1"/>
      <c r="H269" s="185"/>
      <c r="I269" s="185"/>
      <c r="J269" s="1"/>
      <c r="K269" s="1"/>
      <c r="L269" s="1"/>
      <c r="M269" s="1"/>
    </row>
    <row r="270" ht="15.75" customHeight="1">
      <c r="A270" s="36"/>
      <c r="B270" s="37"/>
      <c r="C270" s="37"/>
      <c r="D270" s="1"/>
      <c r="E270" s="1"/>
      <c r="F270" s="1"/>
      <c r="G270" s="1"/>
      <c r="H270" s="185"/>
      <c r="I270" s="185"/>
      <c r="J270" s="1"/>
      <c r="K270" s="1"/>
      <c r="L270" s="1"/>
      <c r="M270" s="1"/>
    </row>
    <row r="271" ht="15.75" customHeight="1">
      <c r="A271" s="36"/>
      <c r="B271" s="37"/>
      <c r="C271" s="37"/>
      <c r="D271" s="1"/>
      <c r="E271" s="1"/>
      <c r="F271" s="1"/>
      <c r="G271" s="1"/>
      <c r="H271" s="185"/>
      <c r="I271" s="185"/>
      <c r="J271" s="1"/>
      <c r="K271" s="1"/>
      <c r="L271" s="1"/>
      <c r="M271" s="1"/>
    </row>
    <row r="272" ht="15.75" customHeight="1">
      <c r="A272" s="36"/>
      <c r="B272" s="37"/>
      <c r="C272" s="37"/>
      <c r="D272" s="1"/>
      <c r="E272" s="1"/>
      <c r="F272" s="1"/>
      <c r="G272" s="1"/>
      <c r="H272" s="185"/>
      <c r="I272" s="185"/>
      <c r="J272" s="1"/>
      <c r="K272" s="1"/>
      <c r="L272" s="1"/>
      <c r="M272" s="1"/>
    </row>
    <row r="273" ht="15.75" customHeight="1">
      <c r="A273" s="36"/>
      <c r="B273" s="37"/>
      <c r="C273" s="37"/>
      <c r="D273" s="1"/>
      <c r="E273" s="1"/>
      <c r="F273" s="1"/>
      <c r="G273" s="1"/>
      <c r="H273" s="185"/>
      <c r="I273" s="185"/>
      <c r="J273" s="1"/>
      <c r="K273" s="1"/>
      <c r="L273" s="1"/>
      <c r="M273" s="1"/>
    </row>
    <row r="274" ht="15.75" customHeight="1">
      <c r="A274" s="36"/>
      <c r="B274" s="37"/>
      <c r="C274" s="37"/>
      <c r="D274" s="1"/>
      <c r="E274" s="1"/>
      <c r="F274" s="1"/>
      <c r="G274" s="1"/>
      <c r="H274" s="185"/>
      <c r="I274" s="185"/>
      <c r="J274" s="1"/>
      <c r="K274" s="1"/>
      <c r="L274" s="1"/>
      <c r="M274" s="1"/>
    </row>
    <row r="275" ht="15.75" customHeight="1">
      <c r="A275" s="36"/>
      <c r="B275" s="37"/>
      <c r="C275" s="37"/>
      <c r="D275" s="1"/>
      <c r="E275" s="1"/>
      <c r="F275" s="1"/>
      <c r="G275" s="1"/>
      <c r="H275" s="185"/>
      <c r="I275" s="185"/>
      <c r="J275" s="1"/>
      <c r="K275" s="1"/>
      <c r="L275" s="1"/>
      <c r="M275" s="1"/>
    </row>
    <row r="276" ht="15.75" customHeight="1">
      <c r="A276" s="36"/>
      <c r="B276" s="37"/>
      <c r="C276" s="37"/>
      <c r="D276" s="1"/>
      <c r="E276" s="1"/>
      <c r="F276" s="1"/>
      <c r="G276" s="1"/>
      <c r="H276" s="185"/>
      <c r="I276" s="185"/>
      <c r="J276" s="1"/>
      <c r="K276" s="1"/>
      <c r="L276" s="1"/>
      <c r="M276" s="1"/>
    </row>
    <row r="277" ht="15.75" customHeight="1">
      <c r="A277" s="36"/>
      <c r="B277" s="37"/>
      <c r="C277" s="37"/>
      <c r="D277" s="1"/>
      <c r="E277" s="1"/>
      <c r="F277" s="1"/>
      <c r="G277" s="1"/>
      <c r="H277" s="185"/>
      <c r="I277" s="185"/>
      <c r="J277" s="1"/>
      <c r="K277" s="1"/>
      <c r="L277" s="1"/>
      <c r="M277" s="1"/>
    </row>
    <row r="278" ht="15.75" customHeight="1">
      <c r="A278" s="36"/>
      <c r="B278" s="37"/>
      <c r="C278" s="37"/>
      <c r="D278" s="1"/>
      <c r="E278" s="1"/>
      <c r="F278" s="1"/>
      <c r="G278" s="1"/>
      <c r="H278" s="185"/>
      <c r="I278" s="185"/>
      <c r="J278" s="1"/>
      <c r="K278" s="1"/>
      <c r="L278" s="1"/>
      <c r="M278" s="1"/>
    </row>
    <row r="279" ht="15.75" customHeight="1">
      <c r="A279" s="36"/>
      <c r="B279" s="37"/>
      <c r="C279" s="37"/>
      <c r="D279" s="1"/>
      <c r="E279" s="1"/>
      <c r="F279" s="1"/>
      <c r="G279" s="1"/>
      <c r="H279" s="185"/>
      <c r="I279" s="185"/>
      <c r="J279" s="1"/>
      <c r="K279" s="1"/>
      <c r="L279" s="1"/>
      <c r="M279" s="1"/>
    </row>
    <row r="280" ht="15.75" customHeight="1">
      <c r="A280" s="36"/>
      <c r="B280" s="37"/>
      <c r="C280" s="37"/>
      <c r="D280" s="1"/>
      <c r="E280" s="1"/>
      <c r="F280" s="1"/>
      <c r="G280" s="1"/>
      <c r="H280" s="185"/>
      <c r="I280" s="185"/>
      <c r="J280" s="1"/>
      <c r="K280" s="1"/>
      <c r="L280" s="1"/>
      <c r="M280" s="1"/>
    </row>
    <row r="281" ht="15.75" customHeight="1">
      <c r="A281" s="36"/>
      <c r="B281" s="37"/>
      <c r="C281" s="37"/>
      <c r="D281" s="1"/>
      <c r="E281" s="1"/>
      <c r="F281" s="1"/>
      <c r="G281" s="1"/>
      <c r="H281" s="185"/>
      <c r="I281" s="185"/>
      <c r="J281" s="1"/>
      <c r="K281" s="1"/>
      <c r="L281" s="1"/>
      <c r="M281" s="1"/>
    </row>
    <row r="282" ht="15.75" customHeight="1">
      <c r="A282" s="36"/>
      <c r="B282" s="37"/>
      <c r="C282" s="37"/>
      <c r="D282" s="1"/>
      <c r="E282" s="1"/>
      <c r="F282" s="1"/>
      <c r="G282" s="1"/>
      <c r="H282" s="185"/>
      <c r="I282" s="185"/>
      <c r="J282" s="1"/>
      <c r="K282" s="1"/>
      <c r="L282" s="1"/>
      <c r="M282" s="1"/>
    </row>
    <row r="283" ht="15.75" customHeight="1">
      <c r="A283" s="36"/>
      <c r="B283" s="37"/>
      <c r="C283" s="37"/>
      <c r="D283" s="1"/>
      <c r="E283" s="1"/>
      <c r="F283" s="1"/>
      <c r="G283" s="1"/>
      <c r="H283" s="185"/>
      <c r="I283" s="185"/>
      <c r="J283" s="1"/>
      <c r="K283" s="1"/>
      <c r="L283" s="1"/>
      <c r="M283" s="1"/>
    </row>
    <row r="284" ht="15.75" customHeight="1">
      <c r="A284" s="36"/>
      <c r="B284" s="37"/>
      <c r="C284" s="37"/>
      <c r="D284" s="1"/>
      <c r="E284" s="1"/>
      <c r="F284" s="1"/>
      <c r="G284" s="1"/>
      <c r="H284" s="185"/>
      <c r="I284" s="185"/>
      <c r="J284" s="1"/>
      <c r="K284" s="1"/>
      <c r="L284" s="1"/>
      <c r="M284" s="1"/>
    </row>
    <row r="285" ht="15.75" customHeight="1">
      <c r="A285" s="36"/>
      <c r="B285" s="37"/>
      <c r="C285" s="37"/>
      <c r="D285" s="1"/>
      <c r="E285" s="1"/>
      <c r="F285" s="1"/>
      <c r="G285" s="1"/>
      <c r="H285" s="185"/>
      <c r="I285" s="185"/>
      <c r="J285" s="1"/>
      <c r="K285" s="1"/>
      <c r="L285" s="1"/>
      <c r="M285" s="1"/>
    </row>
    <row r="286" ht="15.75" customHeight="1">
      <c r="A286" s="36"/>
      <c r="B286" s="37"/>
      <c r="C286" s="37"/>
      <c r="D286" s="1"/>
      <c r="E286" s="1"/>
      <c r="F286" s="1"/>
      <c r="G286" s="1"/>
      <c r="H286" s="185"/>
      <c r="I286" s="185"/>
      <c r="J286" s="1"/>
      <c r="K286" s="1"/>
      <c r="L286" s="1"/>
      <c r="M286" s="1"/>
    </row>
    <row r="287" ht="15.75" customHeight="1">
      <c r="A287" s="36"/>
      <c r="B287" s="37"/>
      <c r="C287" s="37"/>
      <c r="D287" s="1"/>
      <c r="E287" s="1"/>
      <c r="F287" s="1"/>
      <c r="G287" s="1"/>
      <c r="H287" s="185"/>
      <c r="I287" s="185"/>
      <c r="J287" s="1"/>
      <c r="K287" s="1"/>
      <c r="L287" s="1"/>
      <c r="M287" s="1"/>
    </row>
    <row r="288" ht="15.75" customHeight="1">
      <c r="A288" s="36"/>
      <c r="B288" s="37"/>
      <c r="C288" s="37"/>
      <c r="D288" s="1"/>
      <c r="E288" s="1"/>
      <c r="F288" s="1"/>
      <c r="G288" s="1"/>
      <c r="H288" s="185"/>
      <c r="I288" s="185"/>
      <c r="J288" s="1"/>
      <c r="K288" s="1"/>
      <c r="L288" s="1"/>
      <c r="M288" s="1"/>
    </row>
    <row r="289" ht="15.75" customHeight="1">
      <c r="A289" s="36"/>
      <c r="B289" s="37"/>
      <c r="C289" s="37"/>
      <c r="D289" s="1"/>
      <c r="E289" s="1"/>
      <c r="F289" s="1"/>
      <c r="G289" s="1"/>
      <c r="H289" s="185"/>
      <c r="I289" s="185"/>
      <c r="J289" s="1"/>
      <c r="K289" s="1"/>
      <c r="L289" s="1"/>
      <c r="M289" s="1"/>
    </row>
    <row r="290" ht="15.75" customHeight="1">
      <c r="A290" s="36"/>
      <c r="B290" s="37"/>
      <c r="C290" s="37"/>
      <c r="D290" s="1"/>
      <c r="E290" s="1"/>
      <c r="F290" s="1"/>
      <c r="G290" s="1"/>
      <c r="H290" s="185"/>
      <c r="I290" s="185"/>
      <c r="J290" s="1"/>
      <c r="K290" s="1"/>
      <c r="L290" s="1"/>
      <c r="M290" s="1"/>
    </row>
    <row r="291" ht="15.75" customHeight="1">
      <c r="A291" s="36"/>
      <c r="B291" s="37"/>
      <c r="C291" s="37"/>
      <c r="D291" s="1"/>
      <c r="E291" s="1"/>
      <c r="F291" s="1"/>
      <c r="G291" s="1"/>
      <c r="H291" s="185"/>
      <c r="I291" s="185"/>
      <c r="J291" s="1"/>
      <c r="K291" s="1"/>
      <c r="L291" s="1"/>
      <c r="M291" s="1"/>
    </row>
    <row r="292" ht="15.75" customHeight="1">
      <c r="A292" s="36"/>
      <c r="B292" s="37"/>
      <c r="C292" s="37"/>
      <c r="D292" s="1"/>
      <c r="E292" s="1"/>
      <c r="F292" s="1"/>
      <c r="G292" s="1"/>
      <c r="H292" s="185"/>
      <c r="I292" s="185"/>
      <c r="J292" s="1"/>
      <c r="K292" s="1"/>
      <c r="L292" s="1"/>
      <c r="M292" s="1"/>
    </row>
    <row r="293" ht="15.75" customHeight="1">
      <c r="A293" s="36"/>
      <c r="B293" s="37"/>
      <c r="C293" s="37"/>
      <c r="D293" s="1"/>
      <c r="E293" s="1"/>
      <c r="F293" s="1"/>
      <c r="G293" s="1"/>
      <c r="H293" s="185"/>
      <c r="I293" s="185"/>
      <c r="J293" s="1"/>
      <c r="K293" s="1"/>
      <c r="L293" s="1"/>
      <c r="M293" s="1"/>
    </row>
    <row r="294" ht="15.75" customHeight="1">
      <c r="A294" s="36"/>
      <c r="B294" s="37"/>
      <c r="C294" s="37"/>
      <c r="D294" s="1"/>
      <c r="E294" s="1"/>
      <c r="F294" s="1"/>
      <c r="G294" s="1"/>
      <c r="H294" s="185"/>
      <c r="I294" s="185"/>
      <c r="J294" s="1"/>
      <c r="K294" s="1"/>
      <c r="L294" s="1"/>
      <c r="M294" s="1"/>
    </row>
    <row r="295" ht="15.75" customHeight="1">
      <c r="A295" s="36"/>
      <c r="B295" s="37"/>
      <c r="C295" s="37"/>
      <c r="D295" s="1"/>
      <c r="E295" s="1"/>
      <c r="F295" s="1"/>
      <c r="G295" s="1"/>
      <c r="H295" s="185"/>
      <c r="I295" s="185"/>
      <c r="J295" s="1"/>
      <c r="K295" s="1"/>
      <c r="L295" s="1"/>
      <c r="M295" s="1"/>
    </row>
    <row r="296" ht="15.75" customHeight="1">
      <c r="A296" s="36"/>
      <c r="B296" s="37"/>
      <c r="C296" s="37"/>
      <c r="D296" s="1"/>
      <c r="E296" s="1"/>
      <c r="F296" s="1"/>
      <c r="G296" s="1"/>
      <c r="H296" s="185"/>
      <c r="I296" s="185"/>
      <c r="J296" s="1"/>
      <c r="K296" s="1"/>
      <c r="L296" s="1"/>
      <c r="M296" s="1"/>
    </row>
    <row r="297" ht="15.75" customHeight="1">
      <c r="A297" s="36"/>
      <c r="B297" s="37"/>
      <c r="C297" s="37"/>
      <c r="D297" s="1"/>
      <c r="E297" s="1"/>
      <c r="F297" s="1"/>
      <c r="G297" s="1"/>
      <c r="H297" s="185"/>
      <c r="I297" s="185"/>
      <c r="J297" s="1"/>
      <c r="K297" s="1"/>
      <c r="L297" s="1"/>
      <c r="M297" s="1"/>
    </row>
    <row r="298" ht="15.75" customHeight="1">
      <c r="A298" s="36"/>
      <c r="B298" s="37"/>
      <c r="C298" s="37"/>
      <c r="D298" s="1"/>
      <c r="E298" s="1"/>
      <c r="F298" s="1"/>
      <c r="G298" s="1"/>
      <c r="H298" s="185"/>
      <c r="I298" s="185"/>
      <c r="J298" s="1"/>
      <c r="K298" s="1"/>
      <c r="L298" s="1"/>
      <c r="M298" s="1"/>
    </row>
    <row r="299" ht="15.75" customHeight="1">
      <c r="A299" s="36"/>
      <c r="B299" s="37"/>
      <c r="C299" s="37"/>
      <c r="D299" s="1"/>
      <c r="E299" s="1"/>
      <c r="F299" s="1"/>
      <c r="G299" s="1"/>
      <c r="H299" s="185"/>
      <c r="I299" s="185"/>
      <c r="J299" s="1"/>
      <c r="K299" s="1"/>
      <c r="L299" s="1"/>
      <c r="M299" s="1"/>
    </row>
    <row r="300" ht="15.75" customHeight="1">
      <c r="A300" s="36"/>
      <c r="B300" s="37"/>
      <c r="C300" s="37"/>
      <c r="D300" s="1"/>
      <c r="E300" s="1"/>
      <c r="F300" s="1"/>
      <c r="G300" s="1"/>
      <c r="H300" s="185"/>
      <c r="I300" s="185"/>
      <c r="J300" s="1"/>
      <c r="K300" s="1"/>
      <c r="L300" s="1"/>
      <c r="M300" s="1"/>
    </row>
    <row r="301" ht="15.75" customHeight="1">
      <c r="A301" s="36"/>
      <c r="B301" s="37"/>
      <c r="C301" s="37"/>
      <c r="D301" s="1"/>
      <c r="E301" s="1"/>
      <c r="F301" s="1"/>
      <c r="G301" s="1"/>
      <c r="H301" s="185"/>
      <c r="I301" s="185"/>
      <c r="J301" s="1"/>
      <c r="K301" s="1"/>
      <c r="L301" s="1"/>
      <c r="M301" s="1"/>
    </row>
    <row r="302" ht="15.75" customHeight="1">
      <c r="A302" s="36"/>
      <c r="B302" s="37"/>
      <c r="C302" s="37"/>
      <c r="D302" s="1"/>
      <c r="E302" s="1"/>
      <c r="F302" s="1"/>
      <c r="G302" s="1"/>
      <c r="H302" s="185"/>
      <c r="I302" s="185"/>
      <c r="J302" s="1"/>
      <c r="K302" s="1"/>
      <c r="L302" s="1"/>
      <c r="M302" s="1"/>
    </row>
    <row r="303" ht="15.75" customHeight="1">
      <c r="A303" s="36"/>
      <c r="B303" s="37"/>
      <c r="C303" s="37"/>
      <c r="D303" s="1"/>
      <c r="E303" s="1"/>
      <c r="F303" s="1"/>
      <c r="G303" s="1"/>
      <c r="H303" s="185"/>
      <c r="I303" s="185"/>
      <c r="J303" s="1"/>
      <c r="K303" s="1"/>
      <c r="L303" s="1"/>
      <c r="M303" s="1"/>
    </row>
    <row r="304" ht="15.75" customHeight="1">
      <c r="A304" s="36"/>
      <c r="B304" s="37"/>
      <c r="C304" s="37"/>
      <c r="D304" s="1"/>
      <c r="E304" s="1"/>
      <c r="F304" s="1"/>
      <c r="G304" s="1"/>
      <c r="H304" s="185"/>
      <c r="I304" s="185"/>
      <c r="J304" s="1"/>
      <c r="K304" s="1"/>
      <c r="L304" s="1"/>
      <c r="M304" s="1"/>
    </row>
    <row r="305" ht="15.75" customHeight="1">
      <c r="A305" s="36"/>
      <c r="B305" s="37"/>
      <c r="C305" s="37"/>
      <c r="D305" s="1"/>
      <c r="E305" s="1"/>
      <c r="F305" s="1"/>
      <c r="G305" s="1"/>
      <c r="H305" s="185"/>
      <c r="I305" s="185"/>
      <c r="J305" s="1"/>
      <c r="K305" s="1"/>
      <c r="L305" s="1"/>
      <c r="M305" s="1"/>
    </row>
    <row r="306" ht="15.75" customHeight="1">
      <c r="A306" s="36"/>
      <c r="B306" s="37"/>
      <c r="C306" s="37"/>
      <c r="D306" s="1"/>
      <c r="E306" s="1"/>
      <c r="F306" s="1"/>
      <c r="G306" s="1"/>
      <c r="H306" s="185"/>
      <c r="I306" s="185"/>
      <c r="J306" s="1"/>
      <c r="K306" s="1"/>
      <c r="L306" s="1"/>
      <c r="M306" s="1"/>
    </row>
    <row r="307" ht="15.75" customHeight="1">
      <c r="A307" s="36"/>
      <c r="B307" s="37"/>
      <c r="C307" s="37"/>
      <c r="D307" s="1"/>
      <c r="E307" s="1"/>
      <c r="F307" s="1"/>
      <c r="G307" s="1"/>
      <c r="H307" s="185"/>
      <c r="I307" s="185"/>
      <c r="J307" s="1"/>
      <c r="K307" s="1"/>
      <c r="L307" s="1"/>
      <c r="M307" s="1"/>
    </row>
    <row r="308" ht="15.75" customHeight="1">
      <c r="A308" s="36"/>
      <c r="B308" s="37"/>
      <c r="C308" s="37"/>
      <c r="D308" s="1"/>
      <c r="E308" s="1"/>
      <c r="F308" s="1"/>
      <c r="G308" s="1"/>
      <c r="H308" s="185"/>
      <c r="I308" s="185"/>
      <c r="J308" s="1"/>
      <c r="K308" s="1"/>
      <c r="L308" s="1"/>
      <c r="M308" s="1"/>
    </row>
    <row r="309" ht="15.75" customHeight="1">
      <c r="A309" s="36"/>
      <c r="B309" s="37"/>
      <c r="C309" s="37"/>
      <c r="D309" s="1"/>
      <c r="E309" s="1"/>
      <c r="F309" s="1"/>
      <c r="G309" s="1"/>
      <c r="H309" s="185"/>
      <c r="I309" s="185"/>
      <c r="J309" s="1"/>
      <c r="K309" s="1"/>
      <c r="L309" s="1"/>
      <c r="M309" s="1"/>
    </row>
    <row r="310" ht="15.75" customHeight="1">
      <c r="A310" s="36"/>
      <c r="B310" s="37"/>
      <c r="C310" s="37"/>
      <c r="D310" s="1"/>
      <c r="E310" s="1"/>
      <c r="F310" s="1"/>
      <c r="G310" s="1"/>
      <c r="H310" s="185"/>
      <c r="I310" s="185"/>
      <c r="J310" s="1"/>
      <c r="K310" s="1"/>
      <c r="L310" s="1"/>
      <c r="M310" s="1"/>
    </row>
    <row r="311" ht="15.75" customHeight="1">
      <c r="A311" s="36"/>
      <c r="B311" s="37"/>
      <c r="C311" s="37"/>
      <c r="D311" s="1"/>
      <c r="E311" s="1"/>
      <c r="F311" s="1"/>
      <c r="G311" s="1"/>
      <c r="H311" s="185"/>
      <c r="I311" s="185"/>
      <c r="J311" s="1"/>
      <c r="K311" s="1"/>
      <c r="L311" s="1"/>
      <c r="M311" s="1"/>
    </row>
    <row r="312" ht="15.75" customHeight="1">
      <c r="A312" s="36"/>
      <c r="B312" s="37"/>
      <c r="C312" s="37"/>
      <c r="D312" s="1"/>
      <c r="E312" s="1"/>
      <c r="F312" s="1"/>
      <c r="G312" s="1"/>
      <c r="H312" s="185"/>
      <c r="I312" s="185"/>
      <c r="J312" s="1"/>
      <c r="K312" s="1"/>
      <c r="L312" s="1"/>
      <c r="M312" s="1"/>
    </row>
    <row r="313" ht="15.75" customHeight="1">
      <c r="A313" s="36"/>
      <c r="B313" s="37"/>
      <c r="C313" s="37"/>
      <c r="D313" s="1"/>
      <c r="E313" s="1"/>
      <c r="F313" s="1"/>
      <c r="G313" s="1"/>
      <c r="H313" s="185"/>
      <c r="I313" s="185"/>
      <c r="J313" s="1"/>
      <c r="K313" s="1"/>
      <c r="L313" s="1"/>
      <c r="M313" s="1"/>
    </row>
    <row r="314" ht="15.75" customHeight="1">
      <c r="A314" s="36"/>
      <c r="B314" s="37"/>
      <c r="C314" s="37"/>
      <c r="D314" s="1"/>
      <c r="E314" s="1"/>
      <c r="F314" s="1"/>
      <c r="G314" s="1"/>
      <c r="H314" s="185"/>
      <c r="I314" s="185"/>
      <c r="J314" s="1"/>
      <c r="K314" s="1"/>
      <c r="L314" s="1"/>
      <c r="M314" s="1"/>
    </row>
    <row r="315" ht="15.75" customHeight="1">
      <c r="A315" s="36"/>
      <c r="B315" s="37"/>
      <c r="C315" s="37"/>
      <c r="D315" s="1"/>
      <c r="E315" s="1"/>
      <c r="F315" s="1"/>
      <c r="G315" s="1"/>
      <c r="H315" s="185"/>
      <c r="I315" s="185"/>
      <c r="J315" s="1"/>
      <c r="K315" s="1"/>
      <c r="L315" s="1"/>
      <c r="M315" s="1"/>
    </row>
    <row r="316" ht="15.75" customHeight="1">
      <c r="A316" s="36"/>
      <c r="B316" s="37"/>
      <c r="C316" s="37"/>
      <c r="D316" s="1"/>
      <c r="E316" s="1"/>
      <c r="F316" s="1"/>
      <c r="G316" s="1"/>
      <c r="H316" s="185"/>
      <c r="I316" s="185"/>
      <c r="J316" s="1"/>
      <c r="K316" s="1"/>
      <c r="L316" s="1"/>
      <c r="M316" s="1"/>
    </row>
    <row r="317" ht="15.75" customHeight="1">
      <c r="A317" s="36"/>
      <c r="B317" s="37"/>
      <c r="C317" s="37"/>
      <c r="D317" s="1"/>
      <c r="E317" s="1"/>
      <c r="F317" s="1"/>
      <c r="G317" s="1"/>
      <c r="H317" s="185"/>
      <c r="I317" s="185"/>
      <c r="J317" s="1"/>
      <c r="K317" s="1"/>
      <c r="L317" s="1"/>
      <c r="M317" s="1"/>
    </row>
    <row r="318" ht="15.75" customHeight="1">
      <c r="A318" s="36"/>
      <c r="B318" s="37"/>
      <c r="C318" s="37"/>
      <c r="D318" s="1"/>
      <c r="E318" s="1"/>
      <c r="F318" s="1"/>
      <c r="G318" s="1"/>
      <c r="H318" s="185"/>
      <c r="I318" s="185"/>
      <c r="J318" s="1"/>
      <c r="K318" s="1"/>
      <c r="L318" s="1"/>
      <c r="M318" s="1"/>
    </row>
    <row r="319" ht="15.75" customHeight="1">
      <c r="A319" s="36"/>
      <c r="B319" s="37"/>
      <c r="C319" s="37"/>
      <c r="D319" s="1"/>
      <c r="E319" s="1"/>
      <c r="F319" s="1"/>
      <c r="G319" s="1"/>
      <c r="H319" s="185"/>
      <c r="I319" s="185"/>
      <c r="J319" s="1"/>
      <c r="K319" s="1"/>
      <c r="L319" s="1"/>
      <c r="M319" s="1"/>
    </row>
    <row r="320" ht="15.75" customHeight="1">
      <c r="A320" s="36"/>
      <c r="B320" s="37"/>
      <c r="C320" s="37"/>
      <c r="D320" s="1"/>
      <c r="E320" s="1"/>
      <c r="F320" s="1"/>
      <c r="G320" s="1"/>
      <c r="H320" s="185"/>
      <c r="I320" s="185"/>
      <c r="J320" s="1"/>
      <c r="K320" s="1"/>
      <c r="L320" s="1"/>
      <c r="M320" s="1"/>
    </row>
    <row r="321" ht="15.75" customHeight="1">
      <c r="A321" s="36"/>
      <c r="B321" s="37"/>
      <c r="C321" s="37"/>
      <c r="D321" s="1"/>
      <c r="E321" s="1"/>
      <c r="F321" s="1"/>
      <c r="G321" s="1"/>
      <c r="H321" s="185"/>
      <c r="I321" s="185"/>
      <c r="J321" s="1"/>
      <c r="K321" s="1"/>
      <c r="L321" s="1"/>
      <c r="M321" s="1"/>
    </row>
    <row r="322" ht="15.75" customHeight="1">
      <c r="A322" s="36"/>
      <c r="B322" s="37"/>
      <c r="C322" s="37"/>
      <c r="D322" s="1"/>
      <c r="E322" s="1"/>
      <c r="F322" s="1"/>
      <c r="G322" s="1"/>
      <c r="H322" s="185"/>
      <c r="I322" s="185"/>
      <c r="J322" s="1"/>
      <c r="K322" s="1"/>
      <c r="L322" s="1"/>
      <c r="M322" s="1"/>
    </row>
    <row r="323" ht="15.75" customHeight="1">
      <c r="A323" s="36"/>
      <c r="B323" s="37"/>
      <c r="C323" s="37"/>
      <c r="D323" s="1"/>
      <c r="E323" s="1"/>
      <c r="F323" s="1"/>
      <c r="G323" s="1"/>
      <c r="H323" s="185"/>
      <c r="I323" s="185"/>
      <c r="J323" s="1"/>
      <c r="K323" s="1"/>
      <c r="L323" s="1"/>
      <c r="M323" s="1"/>
    </row>
    <row r="324" ht="15.75" customHeight="1">
      <c r="A324" s="36"/>
      <c r="B324" s="37"/>
      <c r="C324" s="37"/>
      <c r="D324" s="1"/>
      <c r="E324" s="1"/>
      <c r="F324" s="1"/>
      <c r="G324" s="1"/>
      <c r="H324" s="185"/>
      <c r="I324" s="185"/>
      <c r="J324" s="1"/>
      <c r="K324" s="1"/>
      <c r="L324" s="1"/>
      <c r="M324" s="1"/>
    </row>
    <row r="325" ht="15.75" customHeight="1">
      <c r="A325" s="36"/>
      <c r="B325" s="37"/>
      <c r="C325" s="37"/>
      <c r="D325" s="1"/>
      <c r="E325" s="1"/>
      <c r="F325" s="1"/>
      <c r="G325" s="1"/>
      <c r="H325" s="185"/>
      <c r="I325" s="185"/>
      <c r="J325" s="1"/>
      <c r="K325" s="1"/>
      <c r="L325" s="1"/>
      <c r="M325" s="1"/>
    </row>
    <row r="326" ht="15.75" customHeight="1">
      <c r="A326" s="36"/>
      <c r="B326" s="37"/>
      <c r="C326" s="37"/>
      <c r="D326" s="1"/>
      <c r="E326" s="1"/>
      <c r="F326" s="1"/>
      <c r="G326" s="1"/>
      <c r="H326" s="185"/>
      <c r="I326" s="185"/>
      <c r="J326" s="1"/>
      <c r="K326" s="1"/>
      <c r="L326" s="1"/>
      <c r="M326" s="1"/>
    </row>
    <row r="327" ht="15.75" customHeight="1">
      <c r="A327" s="36"/>
      <c r="B327" s="37"/>
      <c r="C327" s="37"/>
      <c r="D327" s="1"/>
      <c r="E327" s="1"/>
      <c r="F327" s="1"/>
      <c r="G327" s="1"/>
      <c r="H327" s="185"/>
      <c r="I327" s="185"/>
      <c r="J327" s="1"/>
      <c r="K327" s="1"/>
      <c r="L327" s="1"/>
      <c r="M327" s="1"/>
    </row>
    <row r="328" ht="15.75" customHeight="1">
      <c r="A328" s="36"/>
      <c r="B328" s="37"/>
      <c r="C328" s="37"/>
      <c r="D328" s="1"/>
      <c r="E328" s="1"/>
      <c r="F328" s="1"/>
      <c r="G328" s="1"/>
      <c r="H328" s="185"/>
      <c r="I328" s="185"/>
      <c r="J328" s="1"/>
      <c r="K328" s="1"/>
      <c r="L328" s="1"/>
      <c r="M328" s="1"/>
    </row>
    <row r="329" ht="15.75" customHeight="1">
      <c r="A329" s="36"/>
      <c r="B329" s="37"/>
      <c r="C329" s="37"/>
      <c r="D329" s="1"/>
      <c r="E329" s="1"/>
      <c r="F329" s="1"/>
      <c r="G329" s="1"/>
      <c r="H329" s="185"/>
      <c r="I329" s="185"/>
      <c r="J329" s="1"/>
      <c r="K329" s="1"/>
      <c r="L329" s="1"/>
      <c r="M329" s="1"/>
    </row>
    <row r="330" ht="15.75" customHeight="1">
      <c r="A330" s="36"/>
      <c r="B330" s="37"/>
      <c r="C330" s="37"/>
      <c r="D330" s="1"/>
      <c r="E330" s="1"/>
      <c r="F330" s="1"/>
      <c r="G330" s="1"/>
      <c r="H330" s="185"/>
      <c r="I330" s="185"/>
      <c r="J330" s="1"/>
      <c r="K330" s="1"/>
      <c r="L330" s="1"/>
      <c r="M330" s="1"/>
    </row>
    <row r="331" ht="15.75" customHeight="1">
      <c r="A331" s="36"/>
      <c r="B331" s="37"/>
      <c r="C331" s="37"/>
      <c r="D331" s="1"/>
      <c r="E331" s="1"/>
      <c r="F331" s="1"/>
      <c r="G331" s="1"/>
      <c r="H331" s="185"/>
      <c r="I331" s="185"/>
      <c r="J331" s="1"/>
      <c r="K331" s="1"/>
      <c r="L331" s="1"/>
      <c r="M331" s="1"/>
    </row>
    <row r="332" ht="15.75" customHeight="1">
      <c r="A332" s="36"/>
      <c r="B332" s="37"/>
      <c r="C332" s="37"/>
      <c r="D332" s="1"/>
      <c r="E332" s="1"/>
      <c r="F332" s="1"/>
      <c r="G332" s="1"/>
      <c r="H332" s="185"/>
      <c r="I332" s="185"/>
      <c r="J332" s="1"/>
      <c r="K332" s="1"/>
      <c r="L332" s="1"/>
      <c r="M332" s="1"/>
    </row>
    <row r="333" ht="15.75" customHeight="1">
      <c r="A333" s="36"/>
      <c r="B333" s="37"/>
      <c r="C333" s="37"/>
      <c r="D333" s="1"/>
      <c r="E333" s="1"/>
      <c r="F333" s="1"/>
      <c r="G333" s="1"/>
      <c r="H333" s="185"/>
      <c r="I333" s="185"/>
      <c r="J333" s="1"/>
      <c r="K333" s="1"/>
      <c r="L333" s="1"/>
      <c r="M333" s="1"/>
    </row>
    <row r="334" ht="15.75" customHeight="1">
      <c r="A334" s="36"/>
      <c r="B334" s="37"/>
      <c r="C334" s="37"/>
      <c r="D334" s="1"/>
      <c r="E334" s="1"/>
      <c r="F334" s="1"/>
      <c r="G334" s="1"/>
      <c r="H334" s="185"/>
      <c r="I334" s="185"/>
      <c r="J334" s="1"/>
      <c r="K334" s="1"/>
      <c r="L334" s="1"/>
      <c r="M334" s="1"/>
    </row>
    <row r="335" ht="15.75" customHeight="1">
      <c r="A335" s="36"/>
      <c r="B335" s="37"/>
      <c r="C335" s="37"/>
      <c r="D335" s="1"/>
      <c r="E335" s="1"/>
      <c r="F335" s="1"/>
      <c r="G335" s="1"/>
      <c r="H335" s="185"/>
      <c r="I335" s="185"/>
      <c r="J335" s="1"/>
      <c r="K335" s="1"/>
      <c r="L335" s="1"/>
      <c r="M335" s="1"/>
    </row>
    <row r="336" ht="15.75" customHeight="1">
      <c r="A336" s="36"/>
      <c r="B336" s="37"/>
      <c r="C336" s="37"/>
      <c r="D336" s="1"/>
      <c r="E336" s="1"/>
      <c r="F336" s="1"/>
      <c r="G336" s="1"/>
      <c r="H336" s="185"/>
      <c r="I336" s="185"/>
      <c r="J336" s="1"/>
      <c r="K336" s="1"/>
      <c r="L336" s="1"/>
      <c r="M336" s="1"/>
    </row>
    <row r="337" ht="15.75" customHeight="1">
      <c r="A337" s="36"/>
      <c r="B337" s="37"/>
      <c r="C337" s="37"/>
      <c r="D337" s="1"/>
      <c r="E337" s="1"/>
      <c r="F337" s="1"/>
      <c r="G337" s="1"/>
      <c r="H337" s="185"/>
      <c r="I337" s="185"/>
      <c r="J337" s="1"/>
      <c r="K337" s="1"/>
      <c r="L337" s="1"/>
      <c r="M337" s="1"/>
    </row>
    <row r="338" ht="15.75" customHeight="1">
      <c r="A338" s="36"/>
      <c r="B338" s="37"/>
      <c r="C338" s="37"/>
      <c r="D338" s="1"/>
      <c r="E338" s="1"/>
      <c r="F338" s="1"/>
      <c r="G338" s="1"/>
      <c r="H338" s="185"/>
      <c r="I338" s="185"/>
      <c r="J338" s="1"/>
      <c r="K338" s="1"/>
      <c r="L338" s="1"/>
      <c r="M338" s="1"/>
    </row>
    <row r="339" ht="15.75" customHeight="1">
      <c r="A339" s="36"/>
      <c r="B339" s="37"/>
      <c r="C339" s="37"/>
      <c r="D339" s="1"/>
      <c r="E339" s="1"/>
      <c r="F339" s="1"/>
      <c r="G339" s="1"/>
      <c r="H339" s="185"/>
      <c r="I339" s="185"/>
      <c r="J339" s="1"/>
      <c r="K339" s="1"/>
      <c r="L339" s="1"/>
      <c r="M339" s="1"/>
    </row>
    <row r="340" ht="15.75" customHeight="1">
      <c r="A340" s="36"/>
      <c r="B340" s="37"/>
      <c r="C340" s="37"/>
      <c r="D340" s="1"/>
      <c r="E340" s="1"/>
      <c r="F340" s="1"/>
      <c r="G340" s="1"/>
      <c r="H340" s="185"/>
      <c r="I340" s="185"/>
      <c r="J340" s="1"/>
      <c r="K340" s="1"/>
      <c r="L340" s="1"/>
      <c r="M340" s="1"/>
    </row>
    <row r="341" ht="15.75" customHeight="1">
      <c r="A341" s="36"/>
      <c r="B341" s="37"/>
      <c r="C341" s="37"/>
      <c r="D341" s="1"/>
      <c r="E341" s="1"/>
      <c r="F341" s="1"/>
      <c r="G341" s="1"/>
      <c r="H341" s="185"/>
      <c r="I341" s="185"/>
      <c r="J341" s="1"/>
      <c r="K341" s="1"/>
      <c r="L341" s="1"/>
      <c r="M341" s="1"/>
    </row>
    <row r="342" ht="15.75" customHeight="1">
      <c r="A342" s="36"/>
      <c r="B342" s="37"/>
      <c r="C342" s="37"/>
      <c r="D342" s="1"/>
      <c r="E342" s="1"/>
      <c r="F342" s="1"/>
      <c r="G342" s="1"/>
      <c r="H342" s="185"/>
      <c r="I342" s="185"/>
      <c r="J342" s="1"/>
      <c r="K342" s="1"/>
      <c r="L342" s="1"/>
      <c r="M342" s="1"/>
    </row>
    <row r="343" ht="15.75" customHeight="1">
      <c r="A343" s="36"/>
      <c r="B343" s="37"/>
      <c r="C343" s="37"/>
      <c r="D343" s="1"/>
      <c r="E343" s="1"/>
      <c r="F343" s="1"/>
      <c r="G343" s="1"/>
      <c r="H343" s="185"/>
      <c r="I343" s="185"/>
      <c r="J343" s="1"/>
      <c r="K343" s="1"/>
      <c r="L343" s="1"/>
      <c r="M343" s="1"/>
    </row>
    <row r="344" ht="15.75" customHeight="1">
      <c r="A344" s="36"/>
      <c r="B344" s="37"/>
      <c r="C344" s="37"/>
      <c r="D344" s="1"/>
      <c r="E344" s="1"/>
      <c r="F344" s="1"/>
      <c r="G344" s="1"/>
      <c r="H344" s="185"/>
      <c r="I344" s="185"/>
      <c r="J344" s="1"/>
      <c r="K344" s="1"/>
      <c r="L344" s="1"/>
      <c r="M344" s="1"/>
    </row>
    <row r="345" ht="15.75" customHeight="1">
      <c r="A345" s="36"/>
      <c r="B345" s="37"/>
      <c r="C345" s="37"/>
      <c r="D345" s="1"/>
      <c r="E345" s="1"/>
      <c r="F345" s="1"/>
      <c r="G345" s="1"/>
      <c r="H345" s="185"/>
      <c r="I345" s="185"/>
      <c r="J345" s="1"/>
      <c r="K345" s="1"/>
      <c r="L345" s="1"/>
      <c r="M345" s="1"/>
    </row>
    <row r="346" ht="15.75" customHeight="1">
      <c r="A346" s="36"/>
      <c r="B346" s="37"/>
      <c r="C346" s="37"/>
      <c r="D346" s="1"/>
      <c r="E346" s="1"/>
      <c r="F346" s="1"/>
      <c r="G346" s="1"/>
      <c r="H346" s="185"/>
      <c r="I346" s="185"/>
      <c r="J346" s="1"/>
      <c r="K346" s="1"/>
      <c r="L346" s="1"/>
      <c r="M346" s="1"/>
    </row>
    <row r="347" ht="15.75" customHeight="1">
      <c r="A347" s="36"/>
      <c r="B347" s="37"/>
      <c r="C347" s="37"/>
      <c r="D347" s="1"/>
      <c r="E347" s="1"/>
      <c r="F347" s="1"/>
      <c r="G347" s="1"/>
      <c r="H347" s="185"/>
      <c r="I347" s="185"/>
      <c r="J347" s="1"/>
      <c r="K347" s="1"/>
      <c r="L347" s="1"/>
      <c r="M347" s="1"/>
    </row>
    <row r="348" ht="15.75" customHeight="1">
      <c r="A348" s="36"/>
      <c r="B348" s="37"/>
      <c r="C348" s="37"/>
      <c r="D348" s="1"/>
      <c r="E348" s="1"/>
      <c r="F348" s="1"/>
      <c r="G348" s="1"/>
      <c r="H348" s="185"/>
      <c r="I348" s="185"/>
      <c r="J348" s="1"/>
      <c r="K348" s="1"/>
      <c r="L348" s="1"/>
      <c r="M348" s="1"/>
    </row>
    <row r="349" ht="15.75" customHeight="1">
      <c r="A349" s="36"/>
      <c r="B349" s="37"/>
      <c r="C349" s="37"/>
      <c r="D349" s="1"/>
      <c r="E349" s="1"/>
      <c r="F349" s="1"/>
      <c r="G349" s="1"/>
      <c r="H349" s="185"/>
      <c r="I349" s="185"/>
      <c r="J349" s="1"/>
      <c r="K349" s="1"/>
      <c r="L349" s="1"/>
      <c r="M349" s="1"/>
    </row>
    <row r="350" ht="15.75" customHeight="1">
      <c r="A350" s="36"/>
      <c r="B350" s="37"/>
      <c r="C350" s="37"/>
      <c r="D350" s="1"/>
      <c r="E350" s="1"/>
      <c r="F350" s="1"/>
      <c r="G350" s="1"/>
      <c r="H350" s="185"/>
      <c r="I350" s="185"/>
      <c r="J350" s="1"/>
      <c r="K350" s="1"/>
      <c r="L350" s="1"/>
      <c r="M350" s="1"/>
    </row>
    <row r="351" ht="15.75" customHeight="1">
      <c r="A351" s="36"/>
      <c r="B351" s="37"/>
      <c r="C351" s="37"/>
      <c r="D351" s="1"/>
      <c r="E351" s="1"/>
      <c r="F351" s="1"/>
      <c r="G351" s="1"/>
      <c r="H351" s="185"/>
      <c r="I351" s="185"/>
      <c r="J351" s="1"/>
      <c r="K351" s="1"/>
      <c r="L351" s="1"/>
      <c r="M351" s="1"/>
    </row>
    <row r="352" ht="15.75" customHeight="1">
      <c r="A352" s="36"/>
      <c r="B352" s="37"/>
      <c r="C352" s="37"/>
      <c r="D352" s="1"/>
      <c r="E352" s="1"/>
      <c r="F352" s="1"/>
      <c r="G352" s="1"/>
      <c r="H352" s="185"/>
      <c r="I352" s="185"/>
      <c r="J352" s="1"/>
      <c r="K352" s="1"/>
      <c r="L352" s="1"/>
      <c r="M352" s="1"/>
    </row>
    <row r="353" ht="15.75" customHeight="1">
      <c r="A353" s="36"/>
      <c r="B353" s="37"/>
      <c r="C353" s="37"/>
      <c r="D353" s="1"/>
      <c r="E353" s="1"/>
      <c r="F353" s="1"/>
      <c r="G353" s="1"/>
      <c r="H353" s="185"/>
      <c r="I353" s="185"/>
      <c r="J353" s="1"/>
      <c r="K353" s="1"/>
      <c r="L353" s="1"/>
      <c r="M353" s="1"/>
    </row>
    <row r="354" ht="15.75" customHeight="1">
      <c r="A354" s="36"/>
      <c r="B354" s="37"/>
      <c r="C354" s="37"/>
      <c r="D354" s="1"/>
      <c r="E354" s="1"/>
      <c r="F354" s="1"/>
      <c r="G354" s="1"/>
      <c r="H354" s="185"/>
      <c r="I354" s="185"/>
      <c r="J354" s="1"/>
      <c r="K354" s="1"/>
      <c r="L354" s="1"/>
      <c r="M354" s="1"/>
    </row>
    <row r="355" ht="15.75" customHeight="1">
      <c r="A355" s="36"/>
      <c r="B355" s="37"/>
      <c r="C355" s="37"/>
      <c r="D355" s="1"/>
      <c r="E355" s="1"/>
      <c r="F355" s="1"/>
      <c r="G355" s="1"/>
      <c r="H355" s="185"/>
      <c r="I355" s="185"/>
      <c r="J355" s="1"/>
      <c r="K355" s="1"/>
      <c r="L355" s="1"/>
      <c r="M355" s="1"/>
    </row>
    <row r="356" ht="15.75" customHeight="1">
      <c r="A356" s="36"/>
      <c r="B356" s="37"/>
      <c r="C356" s="37"/>
      <c r="D356" s="1"/>
      <c r="E356" s="1"/>
      <c r="F356" s="1"/>
      <c r="G356" s="1"/>
      <c r="H356" s="185"/>
      <c r="I356" s="185"/>
      <c r="J356" s="1"/>
      <c r="K356" s="1"/>
      <c r="L356" s="1"/>
      <c r="M356" s="1"/>
    </row>
    <row r="357" ht="15.75" customHeight="1">
      <c r="A357" s="36"/>
      <c r="B357" s="37"/>
      <c r="C357" s="37"/>
      <c r="D357" s="1"/>
      <c r="E357" s="1"/>
      <c r="F357" s="1"/>
      <c r="G357" s="1"/>
      <c r="H357" s="185"/>
      <c r="I357" s="185"/>
      <c r="J357" s="1"/>
      <c r="K357" s="1"/>
      <c r="L357" s="1"/>
      <c r="M357" s="1"/>
    </row>
    <row r="358" ht="15.75" customHeight="1">
      <c r="A358" s="36"/>
      <c r="B358" s="37"/>
      <c r="C358" s="37"/>
      <c r="D358" s="1"/>
      <c r="E358" s="1"/>
      <c r="F358" s="1"/>
      <c r="G358" s="1"/>
      <c r="H358" s="185"/>
      <c r="I358" s="185"/>
      <c r="J358" s="1"/>
      <c r="K358" s="1"/>
      <c r="L358" s="1"/>
      <c r="M358" s="1"/>
    </row>
    <row r="359" ht="15.75" customHeight="1">
      <c r="A359" s="36"/>
      <c r="B359" s="37"/>
      <c r="C359" s="37"/>
      <c r="D359" s="1"/>
      <c r="E359" s="1"/>
      <c r="F359" s="1"/>
      <c r="G359" s="1"/>
      <c r="H359" s="185"/>
      <c r="I359" s="185"/>
      <c r="J359" s="1"/>
      <c r="K359" s="1"/>
      <c r="L359" s="1"/>
      <c r="M359" s="1"/>
    </row>
    <row r="360" ht="15.75" customHeight="1">
      <c r="A360" s="36"/>
      <c r="B360" s="37"/>
      <c r="C360" s="37"/>
      <c r="D360" s="1"/>
      <c r="E360" s="1"/>
      <c r="F360" s="1"/>
      <c r="G360" s="1"/>
      <c r="H360" s="185"/>
      <c r="I360" s="185"/>
      <c r="J360" s="1"/>
      <c r="K360" s="1"/>
      <c r="L360" s="1"/>
      <c r="M360" s="1"/>
    </row>
    <row r="361" ht="15.75" customHeight="1">
      <c r="A361" s="36"/>
      <c r="B361" s="37"/>
      <c r="C361" s="37"/>
      <c r="D361" s="1"/>
      <c r="E361" s="1"/>
      <c r="F361" s="1"/>
      <c r="G361" s="1"/>
      <c r="H361" s="185"/>
      <c r="I361" s="185"/>
      <c r="J361" s="1"/>
      <c r="K361" s="1"/>
      <c r="L361" s="1"/>
      <c r="M361" s="1"/>
    </row>
    <row r="362" ht="15.75" customHeight="1">
      <c r="A362" s="36"/>
      <c r="B362" s="37"/>
      <c r="C362" s="37"/>
      <c r="D362" s="1"/>
      <c r="E362" s="1"/>
      <c r="F362" s="1"/>
      <c r="G362" s="1"/>
      <c r="H362" s="185"/>
      <c r="I362" s="185"/>
      <c r="J362" s="1"/>
      <c r="K362" s="1"/>
      <c r="L362" s="1"/>
      <c r="M362" s="1"/>
    </row>
    <row r="363" ht="15.75" customHeight="1">
      <c r="A363" s="36"/>
      <c r="B363" s="37"/>
      <c r="C363" s="37"/>
      <c r="D363" s="1"/>
      <c r="E363" s="1"/>
      <c r="F363" s="1"/>
      <c r="G363" s="1"/>
      <c r="H363" s="185"/>
      <c r="I363" s="185"/>
      <c r="J363" s="1"/>
      <c r="K363" s="1"/>
      <c r="L363" s="1"/>
      <c r="M363" s="1"/>
    </row>
    <row r="364" ht="15.75" customHeight="1">
      <c r="A364" s="36"/>
      <c r="B364" s="37"/>
      <c r="C364" s="37"/>
      <c r="D364" s="1"/>
      <c r="E364" s="1"/>
      <c r="F364" s="1"/>
      <c r="G364" s="1"/>
      <c r="H364" s="185"/>
      <c r="I364" s="185"/>
      <c r="J364" s="1"/>
      <c r="K364" s="1"/>
      <c r="L364" s="1"/>
      <c r="M364" s="1"/>
    </row>
    <row r="365" ht="15.75" customHeight="1">
      <c r="A365" s="36"/>
      <c r="B365" s="37"/>
      <c r="C365" s="37"/>
      <c r="D365" s="1"/>
      <c r="E365" s="1"/>
      <c r="F365" s="1"/>
      <c r="G365" s="1"/>
      <c r="H365" s="185"/>
      <c r="I365" s="185"/>
      <c r="J365" s="1"/>
      <c r="K365" s="1"/>
      <c r="L365" s="1"/>
      <c r="M365" s="1"/>
    </row>
    <row r="366" ht="15.75" customHeight="1">
      <c r="A366" s="36"/>
      <c r="B366" s="37"/>
      <c r="C366" s="37"/>
      <c r="D366" s="1"/>
      <c r="E366" s="1"/>
      <c r="F366" s="1"/>
      <c r="G366" s="1"/>
      <c r="H366" s="185"/>
      <c r="I366" s="185"/>
      <c r="J366" s="1"/>
      <c r="K366" s="1"/>
      <c r="L366" s="1"/>
      <c r="M366" s="1"/>
    </row>
    <row r="367" ht="15.75" customHeight="1">
      <c r="A367" s="36"/>
      <c r="B367" s="37"/>
      <c r="C367" s="37"/>
      <c r="D367" s="1"/>
      <c r="E367" s="1"/>
      <c r="F367" s="1"/>
      <c r="G367" s="1"/>
      <c r="H367" s="185"/>
      <c r="I367" s="185"/>
      <c r="J367" s="1"/>
      <c r="K367" s="1"/>
      <c r="L367" s="1"/>
      <c r="M367" s="1"/>
    </row>
    <row r="368" ht="15.75" customHeight="1">
      <c r="A368" s="36"/>
      <c r="B368" s="37"/>
      <c r="C368" s="37"/>
      <c r="D368" s="1"/>
      <c r="E368" s="1"/>
      <c r="F368" s="1"/>
      <c r="G368" s="1"/>
      <c r="H368" s="185"/>
      <c r="I368" s="185"/>
      <c r="J368" s="1"/>
      <c r="K368" s="1"/>
      <c r="L368" s="1"/>
      <c r="M368" s="1"/>
    </row>
    <row r="369" ht="15.75" customHeight="1">
      <c r="A369" s="36"/>
      <c r="B369" s="37"/>
      <c r="C369" s="37"/>
      <c r="D369" s="1"/>
      <c r="E369" s="1"/>
      <c r="F369" s="1"/>
      <c r="G369" s="1"/>
      <c r="H369" s="185"/>
      <c r="I369" s="185"/>
      <c r="J369" s="1"/>
      <c r="K369" s="1"/>
      <c r="L369" s="1"/>
      <c r="M369" s="1"/>
    </row>
    <row r="370" ht="15.75" customHeight="1">
      <c r="A370" s="36"/>
      <c r="B370" s="37"/>
      <c r="C370" s="37"/>
      <c r="D370" s="1"/>
      <c r="E370" s="1"/>
      <c r="F370" s="1"/>
      <c r="G370" s="1"/>
      <c r="H370" s="185"/>
      <c r="I370" s="185"/>
      <c r="J370" s="1"/>
      <c r="K370" s="1"/>
      <c r="L370" s="1"/>
      <c r="M370" s="1"/>
    </row>
    <row r="371" ht="15.75" customHeight="1">
      <c r="A371" s="36"/>
      <c r="B371" s="37"/>
      <c r="C371" s="37"/>
      <c r="D371" s="1"/>
      <c r="E371" s="1"/>
      <c r="F371" s="1"/>
      <c r="G371" s="1"/>
      <c r="H371" s="185"/>
      <c r="I371" s="185"/>
      <c r="J371" s="1"/>
      <c r="K371" s="1"/>
      <c r="L371" s="1"/>
      <c r="M371" s="1"/>
    </row>
    <row r="372" ht="15.75" customHeight="1">
      <c r="A372" s="36"/>
      <c r="B372" s="37"/>
      <c r="C372" s="37"/>
      <c r="D372" s="1"/>
      <c r="E372" s="1"/>
      <c r="F372" s="1"/>
      <c r="G372" s="1"/>
      <c r="H372" s="185"/>
      <c r="I372" s="185"/>
      <c r="J372" s="1"/>
      <c r="K372" s="1"/>
      <c r="L372" s="1"/>
      <c r="M372" s="1"/>
    </row>
    <row r="373" ht="15.75" customHeight="1">
      <c r="A373" s="36"/>
      <c r="B373" s="37"/>
      <c r="C373" s="37"/>
      <c r="D373" s="1"/>
      <c r="E373" s="1"/>
      <c r="F373" s="1"/>
      <c r="G373" s="1"/>
      <c r="H373" s="185"/>
      <c r="I373" s="185"/>
      <c r="J373" s="1"/>
      <c r="K373" s="1"/>
      <c r="L373" s="1"/>
      <c r="M373" s="1"/>
    </row>
    <row r="374" ht="15.75" customHeight="1">
      <c r="A374" s="36"/>
      <c r="B374" s="37"/>
      <c r="C374" s="37"/>
      <c r="D374" s="1"/>
      <c r="E374" s="1"/>
      <c r="F374" s="1"/>
      <c r="G374" s="1"/>
      <c r="H374" s="185"/>
      <c r="I374" s="185"/>
      <c r="J374" s="1"/>
      <c r="K374" s="1"/>
      <c r="L374" s="1"/>
      <c r="M374" s="1"/>
    </row>
    <row r="375" ht="15.75" customHeight="1">
      <c r="A375" s="36"/>
      <c r="B375" s="37"/>
      <c r="C375" s="37"/>
      <c r="D375" s="1"/>
      <c r="E375" s="1"/>
      <c r="F375" s="1"/>
      <c r="G375" s="1"/>
      <c r="H375" s="185"/>
      <c r="I375" s="185"/>
      <c r="J375" s="1"/>
      <c r="K375" s="1"/>
      <c r="L375" s="1"/>
      <c r="M375" s="1"/>
    </row>
    <row r="376" ht="15.75" customHeight="1">
      <c r="A376" s="36"/>
      <c r="B376" s="37"/>
      <c r="C376" s="37"/>
      <c r="D376" s="1"/>
      <c r="E376" s="1"/>
      <c r="F376" s="1"/>
      <c r="G376" s="1"/>
      <c r="H376" s="185"/>
      <c r="I376" s="185"/>
      <c r="J376" s="1"/>
      <c r="K376" s="1"/>
      <c r="L376" s="1"/>
      <c r="M376" s="1"/>
    </row>
    <row r="377" ht="15.75" customHeight="1">
      <c r="A377" s="36"/>
      <c r="B377" s="37"/>
      <c r="C377" s="37"/>
      <c r="D377" s="1"/>
      <c r="E377" s="1"/>
      <c r="F377" s="1"/>
      <c r="G377" s="1"/>
      <c r="H377" s="185"/>
      <c r="I377" s="185"/>
      <c r="J377" s="1"/>
      <c r="K377" s="1"/>
      <c r="L377" s="1"/>
      <c r="M377" s="1"/>
    </row>
    <row r="378" ht="15.75" customHeight="1">
      <c r="A378" s="36"/>
      <c r="B378" s="37"/>
      <c r="C378" s="37"/>
      <c r="D378" s="1"/>
      <c r="E378" s="1"/>
      <c r="F378" s="1"/>
      <c r="G378" s="1"/>
      <c r="H378" s="185"/>
      <c r="I378" s="185"/>
      <c r="J378" s="1"/>
      <c r="K378" s="1"/>
      <c r="L378" s="1"/>
      <c r="M378" s="1"/>
    </row>
    <row r="379" ht="15.75" customHeight="1">
      <c r="A379" s="36"/>
      <c r="B379" s="37"/>
      <c r="C379" s="37"/>
      <c r="D379" s="1"/>
      <c r="E379" s="1"/>
      <c r="F379" s="1"/>
      <c r="G379" s="1"/>
      <c r="H379" s="185"/>
      <c r="I379" s="185"/>
      <c r="J379" s="1"/>
      <c r="K379" s="1"/>
      <c r="L379" s="1"/>
      <c r="M379" s="1"/>
    </row>
    <row r="380" ht="15.75" customHeight="1">
      <c r="A380" s="36"/>
      <c r="B380" s="37"/>
      <c r="C380" s="37"/>
      <c r="D380" s="1"/>
      <c r="E380" s="1"/>
      <c r="F380" s="1"/>
      <c r="G380" s="1"/>
      <c r="H380" s="185"/>
      <c r="I380" s="185"/>
      <c r="J380" s="1"/>
      <c r="K380" s="1"/>
      <c r="L380" s="1"/>
      <c r="M380" s="1"/>
    </row>
    <row r="381" ht="15.75" customHeight="1">
      <c r="A381" s="36"/>
      <c r="B381" s="37"/>
      <c r="C381" s="37"/>
      <c r="D381" s="1"/>
      <c r="E381" s="1"/>
      <c r="F381" s="1"/>
      <c r="G381" s="1"/>
      <c r="H381" s="185"/>
      <c r="I381" s="185"/>
      <c r="J381" s="1"/>
      <c r="K381" s="1"/>
      <c r="L381" s="1"/>
      <c r="M381" s="1"/>
    </row>
    <row r="382" ht="15.75" customHeight="1">
      <c r="A382" s="36"/>
      <c r="B382" s="37"/>
      <c r="C382" s="37"/>
      <c r="D382" s="1"/>
      <c r="E382" s="1"/>
      <c r="F382" s="1"/>
      <c r="G382" s="1"/>
      <c r="H382" s="185"/>
      <c r="I382" s="185"/>
      <c r="J382" s="1"/>
      <c r="K382" s="1"/>
      <c r="L382" s="1"/>
      <c r="M382" s="1"/>
    </row>
    <row r="383" ht="15.75" customHeight="1">
      <c r="A383" s="36"/>
      <c r="B383" s="37"/>
      <c r="C383" s="37"/>
      <c r="D383" s="1"/>
      <c r="E383" s="1"/>
      <c r="F383" s="1"/>
      <c r="G383" s="1"/>
      <c r="H383" s="185"/>
      <c r="I383" s="185"/>
      <c r="J383" s="1"/>
      <c r="K383" s="1"/>
      <c r="L383" s="1"/>
      <c r="M383" s="1"/>
    </row>
    <row r="384" ht="15.75" customHeight="1">
      <c r="A384" s="36"/>
      <c r="B384" s="37"/>
      <c r="C384" s="37"/>
      <c r="D384" s="1"/>
      <c r="E384" s="1"/>
      <c r="F384" s="1"/>
      <c r="G384" s="1"/>
      <c r="H384" s="185"/>
      <c r="I384" s="185"/>
      <c r="J384" s="1"/>
      <c r="K384" s="1"/>
      <c r="L384" s="1"/>
      <c r="M384" s="1"/>
    </row>
    <row r="385" ht="15.75" customHeight="1">
      <c r="A385" s="36"/>
      <c r="B385" s="37"/>
      <c r="C385" s="37"/>
      <c r="D385" s="1"/>
      <c r="E385" s="1"/>
      <c r="F385" s="1"/>
      <c r="G385" s="1"/>
      <c r="H385" s="185"/>
      <c r="I385" s="185"/>
      <c r="J385" s="1"/>
      <c r="K385" s="1"/>
      <c r="L385" s="1"/>
      <c r="M385" s="1"/>
    </row>
    <row r="386" ht="15.75" customHeight="1">
      <c r="A386" s="36"/>
      <c r="B386" s="37"/>
      <c r="C386" s="37"/>
      <c r="D386" s="1"/>
      <c r="E386" s="1"/>
      <c r="F386" s="1"/>
      <c r="G386" s="1"/>
      <c r="H386" s="185"/>
      <c r="I386" s="185"/>
      <c r="J386" s="1"/>
      <c r="K386" s="1"/>
      <c r="L386" s="1"/>
      <c r="M386" s="1"/>
    </row>
    <row r="387" ht="15.75" customHeight="1">
      <c r="A387" s="36"/>
      <c r="B387" s="37"/>
      <c r="C387" s="37"/>
      <c r="D387" s="1"/>
      <c r="E387" s="1"/>
      <c r="F387" s="1"/>
      <c r="G387" s="1"/>
      <c r="H387" s="185"/>
      <c r="I387" s="185"/>
      <c r="J387" s="1"/>
      <c r="K387" s="1"/>
      <c r="L387" s="1"/>
      <c r="M387" s="1"/>
    </row>
    <row r="388" ht="15.75" customHeight="1">
      <c r="A388" s="36"/>
      <c r="B388" s="37"/>
      <c r="C388" s="37"/>
      <c r="D388" s="1"/>
      <c r="E388" s="1"/>
      <c r="F388" s="1"/>
      <c r="G388" s="1"/>
      <c r="H388" s="185"/>
      <c r="I388" s="185"/>
      <c r="J388" s="1"/>
      <c r="K388" s="1"/>
      <c r="L388" s="1"/>
      <c r="M388" s="1"/>
    </row>
    <row r="389" ht="15.75" customHeight="1">
      <c r="A389" s="36"/>
      <c r="B389" s="37"/>
      <c r="C389" s="37"/>
      <c r="D389" s="1"/>
      <c r="E389" s="1"/>
      <c r="F389" s="1"/>
      <c r="G389" s="1"/>
      <c r="H389" s="185"/>
      <c r="I389" s="185"/>
      <c r="J389" s="1"/>
      <c r="K389" s="1"/>
      <c r="L389" s="1"/>
      <c r="M389" s="1"/>
    </row>
    <row r="390" ht="15.75" customHeight="1">
      <c r="A390" s="36"/>
      <c r="B390" s="37"/>
      <c r="C390" s="37"/>
      <c r="D390" s="1"/>
      <c r="E390" s="1"/>
      <c r="F390" s="1"/>
      <c r="G390" s="1"/>
      <c r="H390" s="185"/>
      <c r="I390" s="185"/>
      <c r="J390" s="1"/>
      <c r="K390" s="1"/>
      <c r="L390" s="1"/>
      <c r="M390" s="1"/>
    </row>
    <row r="391" ht="15.75" customHeight="1">
      <c r="A391" s="36"/>
      <c r="B391" s="37"/>
      <c r="C391" s="37"/>
      <c r="D391" s="1"/>
      <c r="E391" s="1"/>
      <c r="F391" s="1"/>
      <c r="G391" s="1"/>
      <c r="H391" s="185"/>
      <c r="I391" s="185"/>
      <c r="J391" s="1"/>
      <c r="K391" s="1"/>
      <c r="L391" s="1"/>
      <c r="M391" s="1"/>
    </row>
    <row r="392" ht="15.75" customHeight="1">
      <c r="A392" s="36"/>
      <c r="B392" s="37"/>
      <c r="C392" s="37"/>
      <c r="D392" s="1"/>
      <c r="E392" s="1"/>
      <c r="F392" s="1"/>
      <c r="G392" s="1"/>
      <c r="H392" s="185"/>
      <c r="I392" s="185"/>
      <c r="J392" s="1"/>
      <c r="K392" s="1"/>
      <c r="L392" s="1"/>
      <c r="M392" s="1"/>
    </row>
    <row r="393" ht="15.75" customHeight="1">
      <c r="A393" s="36"/>
      <c r="B393" s="37"/>
      <c r="C393" s="37"/>
      <c r="D393" s="1"/>
      <c r="E393" s="1"/>
      <c r="F393" s="1"/>
      <c r="G393" s="1"/>
      <c r="H393" s="185"/>
      <c r="I393" s="185"/>
      <c r="J393" s="1"/>
      <c r="K393" s="1"/>
      <c r="L393" s="1"/>
      <c r="M393" s="1"/>
    </row>
    <row r="394" ht="15.75" customHeight="1">
      <c r="A394" s="36"/>
      <c r="B394" s="37"/>
      <c r="C394" s="37"/>
      <c r="D394" s="1"/>
      <c r="E394" s="1"/>
      <c r="F394" s="1"/>
      <c r="G394" s="1"/>
      <c r="H394" s="185"/>
      <c r="I394" s="185"/>
      <c r="J394" s="1"/>
      <c r="K394" s="1"/>
      <c r="L394" s="1"/>
      <c r="M394" s="1"/>
    </row>
    <row r="395" ht="15.75" customHeight="1">
      <c r="A395" s="36"/>
      <c r="B395" s="37"/>
      <c r="C395" s="37"/>
      <c r="D395" s="1"/>
      <c r="E395" s="1"/>
      <c r="F395" s="1"/>
      <c r="G395" s="1"/>
      <c r="H395" s="185"/>
      <c r="I395" s="185"/>
      <c r="J395" s="1"/>
      <c r="K395" s="1"/>
      <c r="L395" s="1"/>
      <c r="M395" s="1"/>
    </row>
    <row r="396" ht="15.75" customHeight="1">
      <c r="A396" s="36"/>
      <c r="B396" s="37"/>
      <c r="C396" s="37"/>
      <c r="D396" s="1"/>
      <c r="E396" s="1"/>
      <c r="F396" s="1"/>
      <c r="G396" s="1"/>
      <c r="H396" s="185"/>
      <c r="I396" s="185"/>
      <c r="J396" s="1"/>
      <c r="K396" s="1"/>
      <c r="L396" s="1"/>
      <c r="M396" s="1"/>
    </row>
    <row r="397" ht="15.75" customHeight="1">
      <c r="A397" s="36"/>
      <c r="B397" s="37"/>
      <c r="C397" s="37"/>
      <c r="D397" s="1"/>
      <c r="E397" s="1"/>
      <c r="F397" s="1"/>
      <c r="G397" s="1"/>
      <c r="H397" s="185"/>
      <c r="I397" s="185"/>
      <c r="J397" s="1"/>
      <c r="K397" s="1"/>
      <c r="L397" s="1"/>
      <c r="M397" s="1"/>
    </row>
    <row r="398" ht="15.75" customHeight="1">
      <c r="A398" s="36"/>
      <c r="B398" s="37"/>
      <c r="C398" s="37"/>
      <c r="D398" s="1"/>
      <c r="E398" s="1"/>
      <c r="F398" s="1"/>
      <c r="G398" s="1"/>
      <c r="H398" s="185"/>
      <c r="I398" s="185"/>
      <c r="J398" s="1"/>
      <c r="K398" s="1"/>
      <c r="L398" s="1"/>
      <c r="M398" s="1"/>
    </row>
    <row r="399" ht="15.75" customHeight="1">
      <c r="A399" s="36"/>
      <c r="B399" s="37"/>
      <c r="C399" s="37"/>
      <c r="D399" s="1"/>
      <c r="E399" s="1"/>
      <c r="F399" s="1"/>
      <c r="G399" s="1"/>
      <c r="H399" s="185"/>
      <c r="I399" s="185"/>
      <c r="J399" s="1"/>
      <c r="K399" s="1"/>
      <c r="L399" s="1"/>
      <c r="M399" s="1"/>
    </row>
    <row r="400" ht="15.75" customHeight="1">
      <c r="A400" s="36"/>
      <c r="B400" s="37"/>
      <c r="C400" s="37"/>
      <c r="D400" s="1"/>
      <c r="E400" s="1"/>
      <c r="F400" s="1"/>
      <c r="G400" s="1"/>
      <c r="H400" s="185"/>
      <c r="I400" s="185"/>
      <c r="J400" s="1"/>
      <c r="K400" s="1"/>
      <c r="L400" s="1"/>
      <c r="M400" s="1"/>
    </row>
    <row r="401" ht="15.75" customHeight="1">
      <c r="A401" s="36"/>
      <c r="B401" s="37"/>
      <c r="C401" s="37"/>
      <c r="D401" s="1"/>
      <c r="E401" s="1"/>
      <c r="F401" s="1"/>
      <c r="G401" s="1"/>
      <c r="H401" s="185"/>
      <c r="I401" s="185"/>
      <c r="J401" s="1"/>
      <c r="K401" s="1"/>
      <c r="L401" s="1"/>
      <c r="M401" s="1"/>
    </row>
    <row r="402" ht="15.75" customHeight="1">
      <c r="A402" s="36"/>
      <c r="B402" s="37"/>
      <c r="C402" s="37"/>
      <c r="D402" s="1"/>
      <c r="E402" s="1"/>
      <c r="F402" s="1"/>
      <c r="G402" s="1"/>
      <c r="H402" s="185"/>
      <c r="I402" s="185"/>
      <c r="J402" s="1"/>
      <c r="K402" s="1"/>
      <c r="L402" s="1"/>
      <c r="M402" s="1"/>
    </row>
    <row r="403" ht="15.75" customHeight="1">
      <c r="A403" s="36"/>
      <c r="B403" s="37"/>
      <c r="C403" s="37"/>
      <c r="D403" s="1"/>
      <c r="E403" s="1"/>
      <c r="F403" s="1"/>
      <c r="G403" s="1"/>
      <c r="H403" s="185"/>
      <c r="I403" s="185"/>
      <c r="J403" s="1"/>
      <c r="K403" s="1"/>
      <c r="L403" s="1"/>
      <c r="M403" s="1"/>
    </row>
    <row r="404" ht="15.75" customHeight="1">
      <c r="A404" s="36"/>
      <c r="B404" s="37"/>
      <c r="C404" s="37"/>
      <c r="D404" s="1"/>
      <c r="E404" s="1"/>
      <c r="F404" s="1"/>
      <c r="G404" s="1"/>
      <c r="H404" s="185"/>
      <c r="I404" s="185"/>
      <c r="J404" s="1"/>
      <c r="K404" s="1"/>
      <c r="L404" s="1"/>
      <c r="M404" s="1"/>
    </row>
    <row r="405" ht="15.75" customHeight="1">
      <c r="A405" s="36"/>
      <c r="B405" s="37"/>
      <c r="C405" s="37"/>
      <c r="D405" s="1"/>
      <c r="E405" s="1"/>
      <c r="F405" s="1"/>
      <c r="G405" s="1"/>
      <c r="H405" s="185"/>
      <c r="I405" s="185"/>
      <c r="J405" s="1"/>
      <c r="K405" s="1"/>
      <c r="L405" s="1"/>
      <c r="M405" s="1"/>
    </row>
    <row r="406" ht="15.75" customHeight="1">
      <c r="A406" s="36"/>
      <c r="B406" s="37"/>
      <c r="C406" s="37"/>
      <c r="D406" s="1"/>
      <c r="E406" s="1"/>
      <c r="F406" s="1"/>
      <c r="G406" s="1"/>
      <c r="H406" s="185"/>
      <c r="I406" s="185"/>
      <c r="J406" s="1"/>
      <c r="K406" s="1"/>
      <c r="L406" s="1"/>
      <c r="M406" s="1"/>
    </row>
    <row r="407" ht="15.75" customHeight="1">
      <c r="A407" s="36"/>
      <c r="B407" s="37"/>
      <c r="C407" s="37"/>
      <c r="D407" s="1"/>
      <c r="E407" s="1"/>
      <c r="F407" s="1"/>
      <c r="G407" s="1"/>
      <c r="H407" s="185"/>
      <c r="I407" s="185"/>
      <c r="J407" s="1"/>
      <c r="K407" s="1"/>
      <c r="L407" s="1"/>
      <c r="M407" s="1"/>
    </row>
    <row r="408" ht="15.75" customHeight="1">
      <c r="A408" s="36"/>
      <c r="B408" s="37"/>
      <c r="C408" s="37"/>
      <c r="D408" s="1"/>
      <c r="E408" s="1"/>
      <c r="F408" s="1"/>
      <c r="G408" s="1"/>
      <c r="H408" s="185"/>
      <c r="I408" s="185"/>
      <c r="J408" s="1"/>
      <c r="K408" s="1"/>
      <c r="L408" s="1"/>
      <c r="M408" s="1"/>
    </row>
    <row r="409" ht="15.75" customHeight="1">
      <c r="A409" s="36"/>
      <c r="B409" s="37"/>
      <c r="C409" s="37"/>
      <c r="D409" s="1"/>
      <c r="E409" s="1"/>
      <c r="F409" s="1"/>
      <c r="G409" s="1"/>
      <c r="H409" s="185"/>
      <c r="I409" s="185"/>
      <c r="J409" s="1"/>
      <c r="K409" s="1"/>
      <c r="L409" s="1"/>
      <c r="M409" s="1"/>
    </row>
    <row r="410" ht="15.75" customHeight="1">
      <c r="A410" s="36"/>
      <c r="B410" s="37"/>
      <c r="C410" s="37"/>
      <c r="D410" s="1"/>
      <c r="E410" s="1"/>
      <c r="F410" s="1"/>
      <c r="G410" s="1"/>
      <c r="H410" s="185"/>
      <c r="I410" s="185"/>
      <c r="J410" s="1"/>
      <c r="K410" s="1"/>
      <c r="L410" s="1"/>
      <c r="M410" s="1"/>
    </row>
    <row r="411" ht="15.75" customHeight="1">
      <c r="A411" s="36"/>
      <c r="B411" s="37"/>
      <c r="C411" s="37"/>
      <c r="D411" s="1"/>
      <c r="E411" s="1"/>
      <c r="F411" s="1"/>
      <c r="G411" s="1"/>
      <c r="H411" s="185"/>
      <c r="I411" s="185"/>
      <c r="J411" s="1"/>
      <c r="K411" s="1"/>
      <c r="L411" s="1"/>
      <c r="M411" s="1"/>
    </row>
    <row r="412" ht="15.75" customHeight="1">
      <c r="A412" s="36"/>
      <c r="B412" s="37"/>
      <c r="C412" s="37"/>
      <c r="D412" s="1"/>
      <c r="E412" s="1"/>
      <c r="F412" s="1"/>
      <c r="G412" s="1"/>
      <c r="H412" s="185"/>
      <c r="I412" s="185"/>
      <c r="J412" s="1"/>
      <c r="K412" s="1"/>
      <c r="L412" s="1"/>
      <c r="M412" s="1"/>
    </row>
    <row r="413" ht="15.75" customHeight="1">
      <c r="A413" s="36"/>
      <c r="B413" s="37"/>
      <c r="C413" s="37"/>
      <c r="D413" s="1"/>
      <c r="E413" s="1"/>
      <c r="F413" s="1"/>
      <c r="G413" s="1"/>
      <c r="H413" s="185"/>
      <c r="I413" s="185"/>
      <c r="J413" s="1"/>
      <c r="K413" s="1"/>
      <c r="L413" s="1"/>
      <c r="M413" s="1"/>
    </row>
    <row r="414" ht="15.75" customHeight="1">
      <c r="A414" s="36"/>
      <c r="B414" s="37"/>
      <c r="C414" s="37"/>
      <c r="D414" s="1"/>
      <c r="E414" s="1"/>
      <c r="F414" s="1"/>
      <c r="G414" s="1"/>
      <c r="H414" s="185"/>
      <c r="I414" s="185"/>
      <c r="J414" s="1"/>
      <c r="K414" s="1"/>
      <c r="L414" s="1"/>
      <c r="M414" s="1"/>
    </row>
    <row r="415" ht="15.75" customHeight="1">
      <c r="A415" s="36"/>
      <c r="B415" s="37"/>
      <c r="C415" s="37"/>
      <c r="D415" s="1"/>
      <c r="E415" s="1"/>
      <c r="F415" s="1"/>
      <c r="G415" s="1"/>
      <c r="H415" s="185"/>
      <c r="I415" s="185"/>
      <c r="J415" s="1"/>
      <c r="K415" s="1"/>
      <c r="L415" s="1"/>
      <c r="M415" s="1"/>
    </row>
    <row r="416" ht="15.75" customHeight="1">
      <c r="A416" s="36"/>
      <c r="B416" s="37"/>
      <c r="C416" s="37"/>
      <c r="D416" s="1"/>
      <c r="E416" s="1"/>
      <c r="F416" s="1"/>
      <c r="G416" s="1"/>
      <c r="H416" s="185"/>
      <c r="I416" s="185"/>
      <c r="J416" s="1"/>
      <c r="K416" s="1"/>
      <c r="L416" s="1"/>
      <c r="M416" s="1"/>
    </row>
    <row r="417" ht="15.75" customHeight="1">
      <c r="A417" s="36"/>
      <c r="B417" s="37"/>
      <c r="C417" s="37"/>
      <c r="D417" s="1"/>
      <c r="E417" s="1"/>
      <c r="F417" s="1"/>
      <c r="G417" s="1"/>
      <c r="H417" s="185"/>
      <c r="I417" s="185"/>
      <c r="J417" s="1"/>
      <c r="K417" s="1"/>
      <c r="L417" s="1"/>
      <c r="M417" s="1"/>
    </row>
    <row r="418" ht="15.75" customHeight="1">
      <c r="A418" s="36"/>
      <c r="B418" s="37"/>
      <c r="C418" s="37"/>
      <c r="D418" s="1"/>
      <c r="E418" s="1"/>
      <c r="F418" s="1"/>
      <c r="G418" s="1"/>
      <c r="H418" s="185"/>
      <c r="I418" s="185"/>
      <c r="J418" s="1"/>
      <c r="K418" s="1"/>
      <c r="L418" s="1"/>
      <c r="M418" s="1"/>
    </row>
    <row r="419" ht="15.75" customHeight="1">
      <c r="A419" s="36"/>
      <c r="B419" s="37"/>
      <c r="C419" s="37"/>
      <c r="D419" s="1"/>
      <c r="E419" s="1"/>
      <c r="F419" s="1"/>
      <c r="G419" s="1"/>
      <c r="H419" s="185"/>
      <c r="I419" s="185"/>
      <c r="J419" s="1"/>
      <c r="K419" s="1"/>
      <c r="L419" s="1"/>
      <c r="M419" s="1"/>
    </row>
    <row r="420" ht="15.75" customHeight="1">
      <c r="A420" s="36"/>
      <c r="B420" s="37"/>
      <c r="C420" s="37"/>
      <c r="D420" s="1"/>
      <c r="E420" s="1"/>
      <c r="F420" s="1"/>
      <c r="G420" s="1"/>
      <c r="H420" s="185"/>
      <c r="I420" s="185"/>
      <c r="J420" s="1"/>
      <c r="K420" s="1"/>
      <c r="L420" s="1"/>
      <c r="M420" s="1"/>
    </row>
    <row r="421" ht="15.75" customHeight="1">
      <c r="A421" s="36"/>
      <c r="B421" s="37"/>
      <c r="C421" s="37"/>
      <c r="D421" s="1"/>
      <c r="E421" s="1"/>
      <c r="F421" s="1"/>
      <c r="G421" s="1"/>
      <c r="H421" s="185"/>
      <c r="I421" s="185"/>
      <c r="J421" s="1"/>
      <c r="K421" s="1"/>
      <c r="L421" s="1"/>
      <c r="M421" s="1"/>
    </row>
    <row r="422" ht="15.75" customHeight="1">
      <c r="A422" s="36"/>
      <c r="B422" s="37"/>
      <c r="C422" s="37"/>
      <c r="D422" s="1"/>
      <c r="E422" s="1"/>
      <c r="F422" s="1"/>
      <c r="G422" s="1"/>
      <c r="H422" s="185"/>
      <c r="I422" s="185"/>
      <c r="J422" s="1"/>
      <c r="K422" s="1"/>
      <c r="L422" s="1"/>
      <c r="M422" s="1"/>
    </row>
    <row r="423" ht="15.75" customHeight="1">
      <c r="A423" s="36"/>
      <c r="B423" s="37"/>
      <c r="C423" s="37"/>
      <c r="D423" s="1"/>
      <c r="E423" s="1"/>
      <c r="F423" s="1"/>
      <c r="G423" s="1"/>
      <c r="H423" s="185"/>
      <c r="I423" s="185"/>
      <c r="J423" s="1"/>
      <c r="K423" s="1"/>
      <c r="L423" s="1"/>
      <c r="M423" s="1"/>
    </row>
    <row r="424" ht="15.75" customHeight="1">
      <c r="A424" s="36"/>
      <c r="B424" s="37"/>
      <c r="C424" s="37"/>
      <c r="D424" s="1"/>
      <c r="E424" s="1"/>
      <c r="F424" s="1"/>
      <c r="G424" s="1"/>
      <c r="H424" s="185"/>
      <c r="I424" s="185"/>
      <c r="J424" s="1"/>
      <c r="K424" s="1"/>
      <c r="L424" s="1"/>
      <c r="M424" s="1"/>
    </row>
    <row r="425" ht="15.75" customHeight="1">
      <c r="A425" s="36"/>
      <c r="B425" s="37"/>
      <c r="C425" s="37"/>
      <c r="D425" s="1"/>
      <c r="E425" s="1"/>
      <c r="F425" s="1"/>
      <c r="G425" s="1"/>
      <c r="H425" s="185"/>
      <c r="I425" s="185"/>
      <c r="J425" s="1"/>
      <c r="K425" s="1"/>
      <c r="L425" s="1"/>
      <c r="M425" s="1"/>
    </row>
    <row r="426" ht="15.75" customHeight="1">
      <c r="A426" s="36"/>
      <c r="B426" s="37"/>
      <c r="C426" s="37"/>
      <c r="D426" s="1"/>
      <c r="E426" s="1"/>
      <c r="F426" s="1"/>
      <c r="G426" s="1"/>
      <c r="H426" s="185"/>
      <c r="I426" s="185"/>
      <c r="J426" s="1"/>
      <c r="K426" s="1"/>
      <c r="L426" s="1"/>
      <c r="M426" s="1"/>
    </row>
    <row r="427" ht="15.75" customHeight="1">
      <c r="A427" s="36"/>
      <c r="B427" s="37"/>
      <c r="C427" s="37"/>
      <c r="D427" s="1"/>
      <c r="E427" s="1"/>
      <c r="F427" s="1"/>
      <c r="G427" s="1"/>
      <c r="H427" s="185"/>
      <c r="I427" s="185"/>
      <c r="J427" s="1"/>
      <c r="K427" s="1"/>
      <c r="L427" s="1"/>
      <c r="M427" s="1"/>
    </row>
    <row r="428" ht="15.75" customHeight="1">
      <c r="A428" s="36"/>
      <c r="B428" s="37"/>
      <c r="C428" s="37"/>
      <c r="D428" s="1"/>
      <c r="E428" s="1"/>
      <c r="F428" s="1"/>
      <c r="G428" s="1"/>
      <c r="H428" s="185"/>
      <c r="I428" s="185"/>
      <c r="J428" s="1"/>
      <c r="K428" s="1"/>
      <c r="L428" s="1"/>
      <c r="M428" s="1"/>
    </row>
    <row r="429" ht="15.75" customHeight="1">
      <c r="A429" s="36"/>
      <c r="B429" s="37"/>
      <c r="C429" s="37"/>
      <c r="D429" s="1"/>
      <c r="E429" s="1"/>
      <c r="F429" s="1"/>
      <c r="G429" s="1"/>
      <c r="H429" s="185"/>
      <c r="I429" s="185"/>
      <c r="J429" s="1"/>
      <c r="K429" s="1"/>
      <c r="L429" s="1"/>
      <c r="M429" s="1"/>
    </row>
    <row r="430" ht="15.75" customHeight="1">
      <c r="A430" s="36"/>
      <c r="B430" s="37"/>
      <c r="C430" s="37"/>
      <c r="D430" s="1"/>
      <c r="E430" s="1"/>
      <c r="F430" s="1"/>
      <c r="G430" s="1"/>
      <c r="H430" s="185"/>
      <c r="I430" s="185"/>
      <c r="J430" s="1"/>
      <c r="K430" s="1"/>
      <c r="L430" s="1"/>
      <c r="M430" s="1"/>
    </row>
    <row r="431" ht="15.75" customHeight="1">
      <c r="A431" s="36"/>
      <c r="B431" s="37"/>
      <c r="C431" s="37"/>
      <c r="D431" s="1"/>
      <c r="E431" s="1"/>
      <c r="F431" s="1"/>
      <c r="G431" s="1"/>
      <c r="H431" s="185"/>
      <c r="I431" s="185"/>
      <c r="J431" s="1"/>
      <c r="K431" s="1"/>
      <c r="L431" s="1"/>
      <c r="M431" s="1"/>
    </row>
    <row r="432" ht="15.75" customHeight="1">
      <c r="A432" s="36"/>
      <c r="B432" s="37"/>
      <c r="C432" s="37"/>
      <c r="D432" s="1"/>
      <c r="E432" s="1"/>
      <c r="F432" s="1"/>
      <c r="G432" s="1"/>
      <c r="H432" s="185"/>
      <c r="I432" s="185"/>
      <c r="J432" s="1"/>
      <c r="K432" s="1"/>
      <c r="L432" s="1"/>
      <c r="M432" s="1"/>
    </row>
    <row r="433" ht="15.75" customHeight="1">
      <c r="A433" s="36"/>
      <c r="B433" s="37"/>
      <c r="C433" s="37"/>
      <c r="D433" s="1"/>
      <c r="E433" s="1"/>
      <c r="F433" s="1"/>
      <c r="G433" s="1"/>
      <c r="H433" s="185"/>
      <c r="I433" s="185"/>
      <c r="J433" s="1"/>
      <c r="K433" s="1"/>
      <c r="L433" s="1"/>
      <c r="M433" s="1"/>
    </row>
    <row r="434" ht="15.75" customHeight="1">
      <c r="A434" s="36"/>
      <c r="B434" s="37"/>
      <c r="C434" s="37"/>
      <c r="D434" s="1"/>
      <c r="E434" s="1"/>
      <c r="F434" s="1"/>
      <c r="G434" s="1"/>
      <c r="H434" s="185"/>
      <c r="I434" s="185"/>
      <c r="J434" s="1"/>
      <c r="K434" s="1"/>
      <c r="L434" s="1"/>
      <c r="M434" s="1"/>
    </row>
    <row r="435" ht="15.75" customHeight="1">
      <c r="A435" s="36"/>
      <c r="B435" s="37"/>
      <c r="C435" s="37"/>
      <c r="D435" s="1"/>
      <c r="E435" s="1"/>
      <c r="F435" s="1"/>
      <c r="G435" s="1"/>
      <c r="H435" s="185"/>
      <c r="I435" s="185"/>
      <c r="J435" s="1"/>
      <c r="K435" s="1"/>
      <c r="L435" s="1"/>
      <c r="M435" s="1"/>
    </row>
    <row r="436" ht="15.75" customHeight="1">
      <c r="A436" s="36"/>
      <c r="B436" s="37"/>
      <c r="C436" s="37"/>
      <c r="D436" s="1"/>
      <c r="E436" s="1"/>
      <c r="F436" s="1"/>
      <c r="G436" s="1"/>
      <c r="H436" s="185"/>
      <c r="I436" s="185"/>
      <c r="J436" s="1"/>
      <c r="K436" s="1"/>
      <c r="L436" s="1"/>
      <c r="M436" s="1"/>
    </row>
    <row r="437" ht="15.75" customHeight="1">
      <c r="A437" s="36"/>
      <c r="B437" s="37"/>
      <c r="C437" s="37"/>
      <c r="D437" s="1"/>
      <c r="E437" s="1"/>
      <c r="F437" s="1"/>
      <c r="G437" s="1"/>
      <c r="H437" s="185"/>
      <c r="I437" s="185"/>
      <c r="J437" s="1"/>
      <c r="K437" s="1"/>
      <c r="L437" s="1"/>
      <c r="M437" s="1"/>
    </row>
    <row r="438" ht="15.75" customHeight="1">
      <c r="A438" s="36"/>
      <c r="B438" s="37"/>
      <c r="C438" s="37"/>
      <c r="D438" s="1"/>
      <c r="E438" s="1"/>
      <c r="F438" s="1"/>
      <c r="G438" s="1"/>
      <c r="H438" s="185"/>
      <c r="I438" s="185"/>
      <c r="J438" s="1"/>
      <c r="K438" s="1"/>
      <c r="L438" s="1"/>
      <c r="M438" s="1"/>
    </row>
    <row r="439" ht="15.75" customHeight="1">
      <c r="A439" s="36"/>
      <c r="B439" s="37"/>
      <c r="C439" s="37"/>
      <c r="D439" s="1"/>
      <c r="E439" s="1"/>
      <c r="F439" s="1"/>
      <c r="G439" s="1"/>
      <c r="H439" s="185"/>
      <c r="I439" s="185"/>
      <c r="J439" s="1"/>
      <c r="K439" s="1"/>
      <c r="L439" s="1"/>
      <c r="M439" s="1"/>
    </row>
    <row r="440" ht="15.75" customHeight="1">
      <c r="A440" s="36"/>
      <c r="B440" s="37"/>
      <c r="C440" s="37"/>
      <c r="D440" s="1"/>
      <c r="E440" s="1"/>
      <c r="F440" s="1"/>
      <c r="G440" s="1"/>
      <c r="H440" s="185"/>
      <c r="I440" s="185"/>
      <c r="J440" s="1"/>
      <c r="K440" s="1"/>
      <c r="L440" s="1"/>
      <c r="M440" s="1"/>
    </row>
    <row r="441" ht="15.75" customHeight="1">
      <c r="A441" s="36"/>
      <c r="B441" s="37"/>
      <c r="C441" s="37"/>
      <c r="D441" s="1"/>
      <c r="E441" s="1"/>
      <c r="F441" s="1"/>
      <c r="G441" s="1"/>
      <c r="H441" s="185"/>
      <c r="I441" s="185"/>
      <c r="J441" s="1"/>
      <c r="K441" s="1"/>
      <c r="L441" s="1"/>
      <c r="M441" s="1"/>
    </row>
    <row r="442" ht="15.75" customHeight="1">
      <c r="A442" s="36"/>
      <c r="B442" s="37"/>
      <c r="C442" s="37"/>
      <c r="D442" s="1"/>
      <c r="E442" s="1"/>
      <c r="F442" s="1"/>
      <c r="G442" s="1"/>
      <c r="H442" s="185"/>
      <c r="I442" s="185"/>
      <c r="J442" s="1"/>
      <c r="K442" s="1"/>
      <c r="L442" s="1"/>
      <c r="M442" s="1"/>
    </row>
    <row r="443" ht="15.75" customHeight="1">
      <c r="A443" s="36"/>
      <c r="B443" s="37"/>
      <c r="C443" s="37"/>
      <c r="D443" s="1"/>
      <c r="E443" s="1"/>
      <c r="F443" s="1"/>
      <c r="G443" s="1"/>
      <c r="H443" s="185"/>
      <c r="I443" s="185"/>
      <c r="J443" s="1"/>
      <c r="K443" s="1"/>
      <c r="L443" s="1"/>
      <c r="M443" s="1"/>
    </row>
    <row r="444" ht="15.75" customHeight="1">
      <c r="A444" s="36"/>
      <c r="B444" s="37"/>
      <c r="C444" s="37"/>
      <c r="D444" s="1"/>
      <c r="E444" s="1"/>
      <c r="F444" s="1"/>
      <c r="G444" s="1"/>
      <c r="H444" s="185"/>
      <c r="I444" s="185"/>
      <c r="J444" s="1"/>
      <c r="K444" s="1"/>
      <c r="L444" s="1"/>
      <c r="M444" s="1"/>
    </row>
    <row r="445" ht="15.75" customHeight="1">
      <c r="A445" s="36"/>
      <c r="B445" s="37"/>
      <c r="C445" s="37"/>
      <c r="D445" s="1"/>
      <c r="E445" s="1"/>
      <c r="F445" s="1"/>
      <c r="G445" s="1"/>
      <c r="H445" s="185"/>
      <c r="I445" s="185"/>
      <c r="J445" s="1"/>
      <c r="K445" s="1"/>
      <c r="L445" s="1"/>
      <c r="M445" s="1"/>
    </row>
    <row r="446" ht="15.75" customHeight="1">
      <c r="A446" s="36"/>
      <c r="B446" s="37"/>
      <c r="C446" s="37"/>
      <c r="D446" s="1"/>
      <c r="E446" s="1"/>
      <c r="F446" s="1"/>
      <c r="G446" s="1"/>
      <c r="H446" s="185"/>
      <c r="I446" s="185"/>
      <c r="J446" s="1"/>
      <c r="K446" s="1"/>
      <c r="L446" s="1"/>
      <c r="M446" s="1"/>
    </row>
    <row r="447" ht="15.75" customHeight="1">
      <c r="A447" s="36"/>
      <c r="B447" s="37"/>
      <c r="C447" s="37"/>
      <c r="D447" s="1"/>
      <c r="E447" s="1"/>
      <c r="F447" s="1"/>
      <c r="G447" s="1"/>
      <c r="H447" s="185"/>
      <c r="I447" s="185"/>
      <c r="J447" s="1"/>
      <c r="K447" s="1"/>
      <c r="L447" s="1"/>
      <c r="M447" s="1"/>
    </row>
    <row r="448" ht="15.75" customHeight="1">
      <c r="A448" s="36"/>
      <c r="B448" s="37"/>
      <c r="C448" s="37"/>
      <c r="D448" s="1"/>
      <c r="E448" s="1"/>
      <c r="F448" s="1"/>
      <c r="G448" s="1"/>
      <c r="H448" s="185"/>
      <c r="I448" s="185"/>
      <c r="J448" s="1"/>
      <c r="K448" s="1"/>
      <c r="L448" s="1"/>
      <c r="M448" s="1"/>
    </row>
    <row r="449" ht="15.75" customHeight="1">
      <c r="A449" s="36"/>
      <c r="B449" s="37"/>
      <c r="C449" s="37"/>
      <c r="D449" s="1"/>
      <c r="E449" s="1"/>
      <c r="F449" s="1"/>
      <c r="G449" s="1"/>
      <c r="H449" s="185"/>
      <c r="I449" s="185"/>
      <c r="J449" s="1"/>
      <c r="K449" s="1"/>
      <c r="L449" s="1"/>
      <c r="M449" s="1"/>
    </row>
    <row r="450" ht="15.75" customHeight="1">
      <c r="A450" s="36"/>
      <c r="B450" s="37"/>
      <c r="C450" s="37"/>
      <c r="D450" s="1"/>
      <c r="E450" s="1"/>
      <c r="F450" s="1"/>
      <c r="G450" s="1"/>
      <c r="H450" s="185"/>
      <c r="I450" s="185"/>
      <c r="J450" s="1"/>
      <c r="K450" s="1"/>
      <c r="L450" s="1"/>
      <c r="M450" s="1"/>
    </row>
    <row r="451" ht="15.75" customHeight="1">
      <c r="A451" s="36"/>
      <c r="B451" s="37"/>
      <c r="C451" s="37"/>
      <c r="D451" s="1"/>
      <c r="E451" s="1"/>
      <c r="F451" s="1"/>
      <c r="G451" s="1"/>
      <c r="H451" s="185"/>
      <c r="I451" s="185"/>
      <c r="J451" s="1"/>
      <c r="K451" s="1"/>
      <c r="L451" s="1"/>
      <c r="M451" s="1"/>
    </row>
    <row r="452" ht="15.75" customHeight="1">
      <c r="A452" s="36"/>
      <c r="B452" s="37"/>
      <c r="C452" s="37"/>
      <c r="D452" s="1"/>
      <c r="E452" s="1"/>
      <c r="F452" s="1"/>
      <c r="G452" s="1"/>
      <c r="H452" s="185"/>
      <c r="I452" s="185"/>
      <c r="J452" s="1"/>
      <c r="K452" s="1"/>
      <c r="L452" s="1"/>
      <c r="M452" s="1"/>
    </row>
    <row r="453" ht="15.75" customHeight="1">
      <c r="A453" s="36"/>
      <c r="B453" s="37"/>
      <c r="C453" s="37"/>
      <c r="D453" s="1"/>
      <c r="E453" s="1"/>
      <c r="F453" s="1"/>
      <c r="G453" s="1"/>
      <c r="H453" s="185"/>
      <c r="I453" s="185"/>
      <c r="J453" s="1"/>
      <c r="K453" s="1"/>
      <c r="L453" s="1"/>
      <c r="M453" s="1"/>
    </row>
    <row r="454" ht="15.75" customHeight="1">
      <c r="A454" s="36"/>
      <c r="B454" s="37"/>
      <c r="C454" s="37"/>
      <c r="D454" s="1"/>
      <c r="E454" s="1"/>
      <c r="F454" s="1"/>
      <c r="G454" s="1"/>
      <c r="H454" s="185"/>
      <c r="I454" s="185"/>
      <c r="J454" s="1"/>
      <c r="K454" s="1"/>
      <c r="L454" s="1"/>
      <c r="M454" s="1"/>
    </row>
    <row r="455" ht="15.75" customHeight="1">
      <c r="A455" s="36"/>
      <c r="B455" s="37"/>
      <c r="C455" s="37"/>
      <c r="D455" s="1"/>
      <c r="E455" s="1"/>
      <c r="F455" s="1"/>
      <c r="G455" s="1"/>
      <c r="H455" s="185"/>
      <c r="I455" s="185"/>
      <c r="J455" s="1"/>
      <c r="K455" s="1"/>
      <c r="L455" s="1"/>
      <c r="M455" s="1"/>
    </row>
    <row r="456" ht="15.75" customHeight="1">
      <c r="A456" s="36"/>
      <c r="B456" s="37"/>
      <c r="C456" s="37"/>
      <c r="D456" s="1"/>
      <c r="E456" s="1"/>
      <c r="F456" s="1"/>
      <c r="G456" s="1"/>
      <c r="H456" s="185"/>
      <c r="I456" s="185"/>
      <c r="J456" s="1"/>
      <c r="K456" s="1"/>
      <c r="L456" s="1"/>
      <c r="M456" s="1"/>
    </row>
    <row r="457" ht="15.75" customHeight="1">
      <c r="A457" s="36"/>
      <c r="B457" s="37"/>
      <c r="C457" s="37"/>
      <c r="D457" s="1"/>
      <c r="E457" s="1"/>
      <c r="F457" s="1"/>
      <c r="G457" s="1"/>
      <c r="H457" s="185"/>
      <c r="I457" s="185"/>
      <c r="J457" s="1"/>
      <c r="K457" s="1"/>
      <c r="L457" s="1"/>
      <c r="M457" s="1"/>
    </row>
    <row r="458" ht="15.75" customHeight="1">
      <c r="A458" s="36"/>
      <c r="B458" s="37"/>
      <c r="C458" s="37"/>
      <c r="D458" s="1"/>
      <c r="E458" s="1"/>
      <c r="F458" s="1"/>
      <c r="G458" s="1"/>
      <c r="H458" s="185"/>
      <c r="I458" s="185"/>
      <c r="J458" s="1"/>
      <c r="K458" s="1"/>
      <c r="L458" s="1"/>
      <c r="M458" s="1"/>
    </row>
    <row r="459" ht="15.75" customHeight="1">
      <c r="A459" s="36"/>
      <c r="B459" s="37"/>
      <c r="C459" s="37"/>
      <c r="D459" s="1"/>
      <c r="E459" s="1"/>
      <c r="F459" s="1"/>
      <c r="G459" s="1"/>
      <c r="H459" s="185"/>
      <c r="I459" s="185"/>
      <c r="J459" s="1"/>
      <c r="K459" s="1"/>
      <c r="L459" s="1"/>
      <c r="M459" s="1"/>
    </row>
    <row r="460" ht="15.75" customHeight="1">
      <c r="A460" s="36"/>
      <c r="B460" s="37"/>
      <c r="C460" s="37"/>
      <c r="D460" s="1"/>
      <c r="E460" s="1"/>
      <c r="F460" s="1"/>
      <c r="G460" s="1"/>
      <c r="H460" s="185"/>
      <c r="I460" s="185"/>
      <c r="J460" s="1"/>
      <c r="K460" s="1"/>
      <c r="L460" s="1"/>
      <c r="M460" s="1"/>
    </row>
    <row r="461" ht="15.75" customHeight="1">
      <c r="A461" s="36"/>
      <c r="B461" s="37"/>
      <c r="C461" s="37"/>
      <c r="D461" s="1"/>
      <c r="E461" s="1"/>
      <c r="F461" s="1"/>
      <c r="G461" s="1"/>
      <c r="H461" s="185"/>
      <c r="I461" s="185"/>
      <c r="J461" s="1"/>
      <c r="K461" s="1"/>
      <c r="L461" s="1"/>
      <c r="M461" s="1"/>
    </row>
    <row r="462" ht="15.75" customHeight="1">
      <c r="A462" s="36"/>
      <c r="B462" s="37"/>
      <c r="C462" s="37"/>
      <c r="D462" s="1"/>
      <c r="E462" s="1"/>
      <c r="F462" s="1"/>
      <c r="G462" s="1"/>
      <c r="H462" s="185"/>
      <c r="I462" s="185"/>
      <c r="J462" s="1"/>
      <c r="K462" s="1"/>
      <c r="L462" s="1"/>
      <c r="M462" s="1"/>
    </row>
    <row r="463" ht="15.75" customHeight="1">
      <c r="A463" s="36"/>
      <c r="B463" s="37"/>
      <c r="C463" s="37"/>
      <c r="D463" s="1"/>
      <c r="E463" s="1"/>
      <c r="F463" s="1"/>
      <c r="G463" s="1"/>
      <c r="H463" s="185"/>
      <c r="I463" s="185"/>
      <c r="J463" s="1"/>
      <c r="K463" s="1"/>
      <c r="L463" s="1"/>
      <c r="M463" s="1"/>
    </row>
    <row r="464" ht="15.75" customHeight="1">
      <c r="A464" s="36"/>
      <c r="B464" s="37"/>
      <c r="C464" s="37"/>
      <c r="D464" s="1"/>
      <c r="E464" s="1"/>
      <c r="F464" s="1"/>
      <c r="G464" s="1"/>
      <c r="H464" s="185"/>
      <c r="I464" s="185"/>
      <c r="J464" s="1"/>
      <c r="K464" s="1"/>
      <c r="L464" s="1"/>
      <c r="M464" s="1"/>
    </row>
    <row r="465" ht="15.75" customHeight="1">
      <c r="A465" s="36"/>
      <c r="B465" s="37"/>
      <c r="C465" s="37"/>
      <c r="D465" s="1"/>
      <c r="E465" s="1"/>
      <c r="F465" s="1"/>
      <c r="G465" s="1"/>
      <c r="H465" s="185"/>
      <c r="I465" s="185"/>
      <c r="J465" s="1"/>
      <c r="K465" s="1"/>
      <c r="L465" s="1"/>
      <c r="M465" s="1"/>
    </row>
    <row r="466" ht="15.75" customHeight="1">
      <c r="A466" s="36"/>
      <c r="B466" s="37"/>
      <c r="C466" s="37"/>
      <c r="D466" s="1"/>
      <c r="E466" s="1"/>
      <c r="F466" s="1"/>
      <c r="G466" s="1"/>
      <c r="H466" s="185"/>
      <c r="I466" s="185"/>
      <c r="J466" s="1"/>
      <c r="K466" s="1"/>
      <c r="L466" s="1"/>
      <c r="M466" s="1"/>
    </row>
    <row r="467" ht="15.75" customHeight="1">
      <c r="A467" s="36"/>
      <c r="B467" s="37"/>
      <c r="C467" s="37"/>
      <c r="D467" s="1"/>
      <c r="E467" s="1"/>
      <c r="F467" s="1"/>
      <c r="G467" s="1"/>
      <c r="H467" s="185"/>
      <c r="I467" s="185"/>
      <c r="J467" s="1"/>
      <c r="K467" s="1"/>
      <c r="L467" s="1"/>
      <c r="M467" s="1"/>
    </row>
    <row r="468" ht="15.75" customHeight="1">
      <c r="A468" s="36"/>
      <c r="B468" s="37"/>
      <c r="C468" s="37"/>
      <c r="D468" s="1"/>
      <c r="E468" s="1"/>
      <c r="F468" s="1"/>
      <c r="G468" s="1"/>
      <c r="H468" s="185"/>
      <c r="I468" s="185"/>
      <c r="J468" s="1"/>
      <c r="K468" s="1"/>
      <c r="L468" s="1"/>
      <c r="M468" s="1"/>
    </row>
    <row r="469" ht="15.75" customHeight="1">
      <c r="A469" s="36"/>
      <c r="B469" s="37"/>
      <c r="C469" s="37"/>
      <c r="D469" s="1"/>
      <c r="E469" s="1"/>
      <c r="F469" s="1"/>
      <c r="G469" s="1"/>
      <c r="H469" s="185"/>
      <c r="I469" s="185"/>
      <c r="J469" s="1"/>
      <c r="K469" s="1"/>
      <c r="L469" s="1"/>
      <c r="M469" s="1"/>
    </row>
    <row r="470" ht="15.75" customHeight="1">
      <c r="A470" s="36"/>
      <c r="B470" s="37"/>
      <c r="C470" s="37"/>
      <c r="D470" s="1"/>
      <c r="E470" s="1"/>
      <c r="F470" s="1"/>
      <c r="G470" s="1"/>
      <c r="H470" s="185"/>
      <c r="I470" s="185"/>
      <c r="J470" s="1"/>
      <c r="K470" s="1"/>
      <c r="L470" s="1"/>
      <c r="M470" s="1"/>
    </row>
    <row r="471" ht="15.75" customHeight="1">
      <c r="A471" s="36"/>
      <c r="B471" s="37"/>
      <c r="C471" s="37"/>
      <c r="D471" s="1"/>
      <c r="E471" s="1"/>
      <c r="F471" s="1"/>
      <c r="G471" s="1"/>
      <c r="H471" s="185"/>
      <c r="I471" s="185"/>
      <c r="J471" s="1"/>
      <c r="K471" s="1"/>
      <c r="L471" s="1"/>
      <c r="M471" s="1"/>
    </row>
    <row r="472" ht="15.75" customHeight="1">
      <c r="A472" s="36"/>
      <c r="B472" s="37"/>
      <c r="C472" s="37"/>
      <c r="D472" s="1"/>
      <c r="E472" s="1"/>
      <c r="F472" s="1"/>
      <c r="G472" s="1"/>
      <c r="H472" s="185"/>
      <c r="I472" s="185"/>
      <c r="J472" s="1"/>
      <c r="K472" s="1"/>
      <c r="L472" s="1"/>
      <c r="M472" s="1"/>
    </row>
    <row r="473" ht="15.75" customHeight="1">
      <c r="A473" s="36"/>
      <c r="B473" s="37"/>
      <c r="C473" s="37"/>
      <c r="D473" s="1"/>
      <c r="E473" s="1"/>
      <c r="F473" s="1"/>
      <c r="G473" s="1"/>
      <c r="H473" s="185"/>
      <c r="I473" s="185"/>
      <c r="J473" s="1"/>
      <c r="K473" s="1"/>
      <c r="L473" s="1"/>
      <c r="M473" s="1"/>
    </row>
    <row r="474" ht="15.75" customHeight="1">
      <c r="A474" s="36"/>
      <c r="B474" s="37"/>
      <c r="C474" s="37"/>
      <c r="D474" s="1"/>
      <c r="E474" s="1"/>
      <c r="F474" s="1"/>
      <c r="G474" s="1"/>
      <c r="H474" s="185"/>
      <c r="I474" s="185"/>
      <c r="J474" s="1"/>
      <c r="K474" s="1"/>
      <c r="L474" s="1"/>
      <c r="M474" s="1"/>
    </row>
    <row r="475" ht="15.75" customHeight="1">
      <c r="A475" s="36"/>
      <c r="B475" s="37"/>
      <c r="C475" s="37"/>
      <c r="D475" s="1"/>
      <c r="E475" s="1"/>
      <c r="F475" s="1"/>
      <c r="G475" s="1"/>
      <c r="H475" s="185"/>
      <c r="I475" s="185"/>
      <c r="J475" s="1"/>
      <c r="K475" s="1"/>
      <c r="L475" s="1"/>
      <c r="M475" s="1"/>
    </row>
    <row r="476" ht="15.75" customHeight="1">
      <c r="A476" s="36"/>
      <c r="B476" s="37"/>
      <c r="C476" s="37"/>
      <c r="D476" s="1"/>
      <c r="E476" s="1"/>
      <c r="F476" s="1"/>
      <c r="G476" s="1"/>
      <c r="H476" s="185"/>
      <c r="I476" s="185"/>
      <c r="J476" s="1"/>
      <c r="K476" s="1"/>
      <c r="L476" s="1"/>
      <c r="M476" s="1"/>
    </row>
    <row r="477" ht="15.75" customHeight="1">
      <c r="A477" s="36"/>
      <c r="B477" s="37"/>
      <c r="C477" s="37"/>
      <c r="D477" s="1"/>
      <c r="E477" s="1"/>
      <c r="F477" s="1"/>
      <c r="G477" s="1"/>
      <c r="H477" s="185"/>
      <c r="I477" s="185"/>
      <c r="J477" s="1"/>
      <c r="K477" s="1"/>
      <c r="L477" s="1"/>
      <c r="M477" s="1"/>
    </row>
    <row r="478" ht="15.75" customHeight="1">
      <c r="A478" s="36"/>
      <c r="B478" s="37"/>
      <c r="C478" s="37"/>
      <c r="D478" s="1"/>
      <c r="E478" s="1"/>
      <c r="F478" s="1"/>
      <c r="G478" s="1"/>
      <c r="H478" s="185"/>
      <c r="I478" s="185"/>
      <c r="J478" s="1"/>
      <c r="K478" s="1"/>
      <c r="L478" s="1"/>
      <c r="M478" s="1"/>
    </row>
    <row r="479" ht="15.75" customHeight="1">
      <c r="A479" s="36"/>
      <c r="B479" s="37"/>
      <c r="C479" s="37"/>
      <c r="D479" s="1"/>
      <c r="E479" s="1"/>
      <c r="F479" s="1"/>
      <c r="G479" s="1"/>
      <c r="H479" s="185"/>
      <c r="I479" s="185"/>
      <c r="J479" s="1"/>
      <c r="K479" s="1"/>
      <c r="L479" s="1"/>
      <c r="M479" s="1"/>
    </row>
    <row r="480" ht="15.75" customHeight="1">
      <c r="A480" s="36"/>
      <c r="B480" s="37"/>
      <c r="C480" s="37"/>
      <c r="D480" s="1"/>
      <c r="E480" s="1"/>
      <c r="F480" s="1"/>
      <c r="G480" s="1"/>
      <c r="H480" s="185"/>
      <c r="I480" s="185"/>
      <c r="J480" s="1"/>
      <c r="K480" s="1"/>
      <c r="L480" s="1"/>
      <c r="M480" s="1"/>
    </row>
    <row r="481" ht="15.75" customHeight="1">
      <c r="A481" s="36"/>
      <c r="B481" s="37"/>
      <c r="C481" s="37"/>
      <c r="D481" s="1"/>
      <c r="E481" s="1"/>
      <c r="F481" s="1"/>
      <c r="G481" s="1"/>
      <c r="H481" s="185"/>
      <c r="I481" s="185"/>
      <c r="J481" s="1"/>
      <c r="K481" s="1"/>
      <c r="L481" s="1"/>
      <c r="M481" s="1"/>
    </row>
    <row r="482" ht="15.75" customHeight="1">
      <c r="A482" s="36"/>
      <c r="B482" s="37"/>
      <c r="C482" s="37"/>
      <c r="D482" s="1"/>
      <c r="E482" s="1"/>
      <c r="F482" s="1"/>
      <c r="G482" s="1"/>
      <c r="H482" s="185"/>
      <c r="I482" s="185"/>
      <c r="J482" s="1"/>
      <c r="K482" s="1"/>
      <c r="L482" s="1"/>
      <c r="M482" s="1"/>
    </row>
    <row r="483" ht="15.75" customHeight="1">
      <c r="A483" s="36"/>
      <c r="B483" s="37"/>
      <c r="C483" s="37"/>
      <c r="D483" s="1"/>
      <c r="E483" s="1"/>
      <c r="F483" s="1"/>
      <c r="G483" s="1"/>
      <c r="H483" s="185"/>
      <c r="I483" s="185"/>
      <c r="J483" s="1"/>
      <c r="K483" s="1"/>
      <c r="L483" s="1"/>
      <c r="M483" s="1"/>
    </row>
    <row r="484" ht="15.75" customHeight="1">
      <c r="A484" s="36"/>
      <c r="B484" s="37"/>
      <c r="C484" s="37"/>
      <c r="D484" s="1"/>
      <c r="E484" s="1"/>
      <c r="F484" s="1"/>
      <c r="G484" s="1"/>
      <c r="H484" s="185"/>
      <c r="I484" s="185"/>
      <c r="J484" s="1"/>
      <c r="K484" s="1"/>
      <c r="L484" s="1"/>
      <c r="M484" s="1"/>
    </row>
    <row r="485" ht="15.75" customHeight="1">
      <c r="A485" s="36"/>
      <c r="B485" s="37"/>
      <c r="C485" s="37"/>
      <c r="D485" s="1"/>
      <c r="E485" s="1"/>
      <c r="F485" s="1"/>
      <c r="G485" s="1"/>
      <c r="H485" s="185"/>
      <c r="I485" s="185"/>
      <c r="J485" s="1"/>
      <c r="K485" s="1"/>
      <c r="L485" s="1"/>
      <c r="M485" s="1"/>
    </row>
    <row r="486" ht="15.75" customHeight="1">
      <c r="A486" s="36"/>
      <c r="B486" s="37"/>
      <c r="C486" s="37"/>
      <c r="D486" s="1"/>
      <c r="E486" s="1"/>
      <c r="F486" s="1"/>
      <c r="G486" s="1"/>
      <c r="H486" s="185"/>
      <c r="I486" s="185"/>
      <c r="J486" s="1"/>
      <c r="K486" s="1"/>
      <c r="L486" s="1"/>
      <c r="M486" s="1"/>
    </row>
    <row r="487" ht="15.75" customHeight="1">
      <c r="A487" s="36"/>
      <c r="B487" s="37"/>
      <c r="C487" s="37"/>
      <c r="D487" s="1"/>
      <c r="E487" s="1"/>
      <c r="F487" s="1"/>
      <c r="G487" s="1"/>
      <c r="H487" s="185"/>
      <c r="I487" s="185"/>
      <c r="J487" s="1"/>
      <c r="K487" s="1"/>
      <c r="L487" s="1"/>
      <c r="M487" s="1"/>
    </row>
    <row r="488" ht="15.75" customHeight="1">
      <c r="A488" s="36"/>
      <c r="B488" s="37"/>
      <c r="C488" s="37"/>
      <c r="D488" s="1"/>
      <c r="E488" s="1"/>
      <c r="F488" s="1"/>
      <c r="G488" s="1"/>
      <c r="H488" s="185"/>
      <c r="I488" s="185"/>
      <c r="J488" s="1"/>
      <c r="K488" s="1"/>
      <c r="L488" s="1"/>
      <c r="M488" s="1"/>
    </row>
    <row r="489" ht="15.75" customHeight="1">
      <c r="A489" s="36"/>
      <c r="B489" s="37"/>
      <c r="C489" s="37"/>
      <c r="D489" s="1"/>
      <c r="E489" s="1"/>
      <c r="F489" s="1"/>
      <c r="G489" s="1"/>
      <c r="H489" s="185"/>
      <c r="I489" s="185"/>
      <c r="J489" s="1"/>
      <c r="K489" s="1"/>
      <c r="L489" s="1"/>
      <c r="M489" s="1"/>
    </row>
    <row r="490" ht="15.75" customHeight="1">
      <c r="A490" s="36"/>
      <c r="B490" s="37"/>
      <c r="C490" s="37"/>
      <c r="D490" s="1"/>
      <c r="E490" s="1"/>
      <c r="F490" s="1"/>
      <c r="G490" s="1"/>
      <c r="H490" s="185"/>
      <c r="I490" s="185"/>
      <c r="J490" s="1"/>
      <c r="K490" s="1"/>
      <c r="L490" s="1"/>
      <c r="M490" s="1"/>
    </row>
    <row r="491" ht="15.75" customHeight="1">
      <c r="A491" s="36"/>
      <c r="B491" s="37"/>
      <c r="C491" s="37"/>
      <c r="D491" s="1"/>
      <c r="E491" s="1"/>
      <c r="F491" s="1"/>
      <c r="G491" s="1"/>
      <c r="H491" s="185"/>
      <c r="I491" s="185"/>
      <c r="J491" s="1"/>
      <c r="K491" s="1"/>
      <c r="L491" s="1"/>
      <c r="M491" s="1"/>
    </row>
    <row r="492" ht="15.75" customHeight="1">
      <c r="A492" s="36"/>
      <c r="B492" s="37"/>
      <c r="C492" s="37"/>
      <c r="D492" s="1"/>
      <c r="E492" s="1"/>
      <c r="F492" s="1"/>
      <c r="G492" s="1"/>
      <c r="H492" s="185"/>
      <c r="I492" s="185"/>
      <c r="J492" s="1"/>
      <c r="K492" s="1"/>
      <c r="L492" s="1"/>
      <c r="M492" s="1"/>
    </row>
    <row r="493" ht="15.75" customHeight="1">
      <c r="A493" s="36"/>
      <c r="B493" s="37"/>
      <c r="C493" s="37"/>
      <c r="D493" s="1"/>
      <c r="E493" s="1"/>
      <c r="F493" s="1"/>
      <c r="G493" s="1"/>
      <c r="H493" s="185"/>
      <c r="I493" s="185"/>
      <c r="J493" s="1"/>
      <c r="K493" s="1"/>
      <c r="L493" s="1"/>
      <c r="M493" s="1"/>
    </row>
    <row r="494" ht="15.75" customHeight="1">
      <c r="A494" s="36"/>
      <c r="B494" s="37"/>
      <c r="C494" s="37"/>
      <c r="D494" s="1"/>
      <c r="E494" s="1"/>
      <c r="F494" s="1"/>
      <c r="G494" s="1"/>
      <c r="H494" s="185"/>
      <c r="I494" s="185"/>
      <c r="J494" s="1"/>
      <c r="K494" s="1"/>
      <c r="L494" s="1"/>
      <c r="M494" s="1"/>
    </row>
    <row r="495" ht="15.75" customHeight="1">
      <c r="A495" s="36"/>
      <c r="B495" s="37"/>
      <c r="C495" s="37"/>
      <c r="D495" s="1"/>
      <c r="E495" s="1"/>
      <c r="F495" s="1"/>
      <c r="G495" s="1"/>
      <c r="H495" s="185"/>
      <c r="I495" s="185"/>
      <c r="J495" s="1"/>
      <c r="K495" s="1"/>
      <c r="L495" s="1"/>
      <c r="M495" s="1"/>
    </row>
    <row r="496" ht="15.75" customHeight="1">
      <c r="A496" s="36"/>
      <c r="B496" s="37"/>
      <c r="C496" s="37"/>
      <c r="D496" s="1"/>
      <c r="E496" s="1"/>
      <c r="F496" s="1"/>
      <c r="G496" s="1"/>
      <c r="H496" s="185"/>
      <c r="I496" s="185"/>
      <c r="J496" s="1"/>
      <c r="K496" s="1"/>
      <c r="L496" s="1"/>
      <c r="M496" s="1"/>
    </row>
    <row r="497" ht="15.75" customHeight="1">
      <c r="A497" s="36"/>
      <c r="B497" s="37"/>
      <c r="C497" s="37"/>
      <c r="D497" s="1"/>
      <c r="E497" s="1"/>
      <c r="F497" s="1"/>
      <c r="G497" s="1"/>
      <c r="H497" s="185"/>
      <c r="I497" s="185"/>
      <c r="J497" s="1"/>
      <c r="K497" s="1"/>
      <c r="L497" s="1"/>
      <c r="M497" s="1"/>
    </row>
    <row r="498" ht="15.75" customHeight="1">
      <c r="A498" s="36"/>
      <c r="B498" s="37"/>
      <c r="C498" s="37"/>
      <c r="D498" s="1"/>
      <c r="E498" s="1"/>
      <c r="F498" s="1"/>
      <c r="G498" s="1"/>
      <c r="H498" s="185"/>
      <c r="I498" s="185"/>
      <c r="J498" s="1"/>
      <c r="K498" s="1"/>
      <c r="L498" s="1"/>
      <c r="M498" s="1"/>
    </row>
    <row r="499" ht="15.75" customHeight="1">
      <c r="A499" s="36"/>
      <c r="B499" s="37"/>
      <c r="C499" s="37"/>
      <c r="D499" s="1"/>
      <c r="E499" s="1"/>
      <c r="F499" s="1"/>
      <c r="G499" s="1"/>
      <c r="H499" s="185"/>
      <c r="I499" s="185"/>
      <c r="J499" s="1"/>
      <c r="K499" s="1"/>
      <c r="L499" s="1"/>
      <c r="M499" s="1"/>
    </row>
    <row r="500" ht="15.75" customHeight="1">
      <c r="A500" s="36"/>
      <c r="B500" s="37"/>
      <c r="C500" s="37"/>
      <c r="D500" s="1"/>
      <c r="E500" s="1"/>
      <c r="F500" s="1"/>
      <c r="G500" s="1"/>
      <c r="H500" s="185"/>
      <c r="I500" s="185"/>
      <c r="J500" s="1"/>
      <c r="K500" s="1"/>
      <c r="L500" s="1"/>
      <c r="M500" s="1"/>
    </row>
    <row r="501" ht="15.75" customHeight="1">
      <c r="A501" s="36"/>
      <c r="B501" s="37"/>
      <c r="C501" s="37"/>
      <c r="D501" s="1"/>
      <c r="E501" s="1"/>
      <c r="F501" s="1"/>
      <c r="G501" s="1"/>
      <c r="H501" s="185"/>
      <c r="I501" s="185"/>
      <c r="J501" s="1"/>
      <c r="K501" s="1"/>
      <c r="L501" s="1"/>
      <c r="M501" s="1"/>
    </row>
    <row r="502" ht="15.75" customHeight="1">
      <c r="A502" s="36"/>
      <c r="B502" s="37"/>
      <c r="C502" s="37"/>
      <c r="D502" s="1"/>
      <c r="E502" s="1"/>
      <c r="F502" s="1"/>
      <c r="G502" s="1"/>
      <c r="H502" s="185"/>
      <c r="I502" s="185"/>
      <c r="J502" s="1"/>
      <c r="K502" s="1"/>
      <c r="L502" s="1"/>
      <c r="M502" s="1"/>
    </row>
    <row r="503" ht="15.75" customHeight="1">
      <c r="A503" s="36"/>
      <c r="B503" s="37"/>
      <c r="C503" s="37"/>
      <c r="D503" s="1"/>
      <c r="E503" s="1"/>
      <c r="F503" s="1"/>
      <c r="G503" s="1"/>
      <c r="H503" s="185"/>
      <c r="I503" s="185"/>
      <c r="J503" s="1"/>
      <c r="K503" s="1"/>
      <c r="L503" s="1"/>
      <c r="M503" s="1"/>
    </row>
    <row r="504" ht="15.75" customHeight="1">
      <c r="A504" s="36"/>
      <c r="B504" s="37"/>
      <c r="C504" s="37"/>
      <c r="D504" s="1"/>
      <c r="E504" s="1"/>
      <c r="F504" s="1"/>
      <c r="G504" s="1"/>
      <c r="H504" s="185"/>
      <c r="I504" s="185"/>
      <c r="J504" s="1"/>
      <c r="K504" s="1"/>
      <c r="L504" s="1"/>
      <c r="M504" s="1"/>
    </row>
    <row r="505" ht="15.75" customHeight="1">
      <c r="A505" s="36"/>
      <c r="B505" s="37"/>
      <c r="C505" s="37"/>
      <c r="D505" s="1"/>
      <c r="E505" s="1"/>
      <c r="F505" s="1"/>
      <c r="G505" s="1"/>
      <c r="H505" s="185"/>
      <c r="I505" s="185"/>
      <c r="J505" s="1"/>
      <c r="K505" s="1"/>
      <c r="L505" s="1"/>
      <c r="M505" s="1"/>
    </row>
    <row r="506" ht="15.75" customHeight="1">
      <c r="A506" s="36"/>
      <c r="B506" s="37"/>
      <c r="C506" s="37"/>
      <c r="D506" s="1"/>
      <c r="E506" s="1"/>
      <c r="F506" s="1"/>
      <c r="G506" s="1"/>
      <c r="H506" s="185"/>
      <c r="I506" s="185"/>
      <c r="J506" s="1"/>
      <c r="K506" s="1"/>
      <c r="L506" s="1"/>
      <c r="M506" s="1"/>
    </row>
    <row r="507" ht="15.75" customHeight="1">
      <c r="A507" s="36"/>
      <c r="B507" s="37"/>
      <c r="C507" s="37"/>
      <c r="D507" s="1"/>
      <c r="E507" s="1"/>
      <c r="F507" s="1"/>
      <c r="G507" s="1"/>
      <c r="H507" s="185"/>
      <c r="I507" s="185"/>
      <c r="J507" s="1"/>
      <c r="K507" s="1"/>
      <c r="L507" s="1"/>
      <c r="M507" s="1"/>
    </row>
    <row r="508" ht="15.75" customHeight="1">
      <c r="A508" s="36"/>
      <c r="B508" s="37"/>
      <c r="C508" s="37"/>
      <c r="D508" s="1"/>
      <c r="E508" s="1"/>
      <c r="F508" s="1"/>
      <c r="G508" s="1"/>
      <c r="H508" s="185"/>
      <c r="I508" s="185"/>
      <c r="J508" s="1"/>
      <c r="K508" s="1"/>
      <c r="L508" s="1"/>
      <c r="M508" s="1"/>
    </row>
    <row r="509" ht="15.75" customHeight="1">
      <c r="A509" s="36"/>
      <c r="B509" s="37"/>
      <c r="C509" s="37"/>
      <c r="D509" s="1"/>
      <c r="E509" s="1"/>
      <c r="F509" s="1"/>
      <c r="G509" s="1"/>
      <c r="H509" s="185"/>
      <c r="I509" s="185"/>
      <c r="J509" s="1"/>
      <c r="K509" s="1"/>
      <c r="L509" s="1"/>
      <c r="M509" s="1"/>
    </row>
    <row r="510" ht="15.75" customHeight="1">
      <c r="A510" s="36"/>
      <c r="B510" s="37"/>
      <c r="C510" s="37"/>
      <c r="D510" s="1"/>
      <c r="E510" s="1"/>
      <c r="F510" s="1"/>
      <c r="G510" s="1"/>
      <c r="H510" s="185"/>
      <c r="I510" s="185"/>
      <c r="J510" s="1"/>
      <c r="K510" s="1"/>
      <c r="L510" s="1"/>
      <c r="M510" s="1"/>
    </row>
    <row r="511" ht="15.75" customHeight="1">
      <c r="A511" s="36"/>
      <c r="B511" s="37"/>
      <c r="C511" s="37"/>
      <c r="D511" s="1"/>
      <c r="E511" s="1"/>
      <c r="F511" s="1"/>
      <c r="G511" s="1"/>
      <c r="H511" s="185"/>
      <c r="I511" s="185"/>
      <c r="J511" s="1"/>
      <c r="K511" s="1"/>
      <c r="L511" s="1"/>
      <c r="M511" s="1"/>
    </row>
    <row r="512" ht="15.75" customHeight="1">
      <c r="A512" s="36"/>
      <c r="B512" s="37"/>
      <c r="C512" s="37"/>
      <c r="D512" s="1"/>
      <c r="E512" s="1"/>
      <c r="F512" s="1"/>
      <c r="G512" s="1"/>
      <c r="H512" s="185"/>
      <c r="I512" s="185"/>
      <c r="J512" s="1"/>
      <c r="K512" s="1"/>
      <c r="L512" s="1"/>
      <c r="M512" s="1"/>
    </row>
    <row r="513" ht="15.75" customHeight="1">
      <c r="A513" s="36"/>
      <c r="B513" s="37"/>
      <c r="C513" s="37"/>
      <c r="D513" s="1"/>
      <c r="E513" s="1"/>
      <c r="F513" s="1"/>
      <c r="G513" s="1"/>
      <c r="H513" s="185"/>
      <c r="I513" s="185"/>
      <c r="J513" s="1"/>
      <c r="K513" s="1"/>
      <c r="L513" s="1"/>
      <c r="M513" s="1"/>
    </row>
    <row r="514" ht="15.75" customHeight="1">
      <c r="A514" s="36"/>
      <c r="B514" s="37"/>
      <c r="C514" s="37"/>
      <c r="D514" s="1"/>
      <c r="E514" s="1"/>
      <c r="F514" s="1"/>
      <c r="G514" s="1"/>
      <c r="H514" s="185"/>
      <c r="I514" s="185"/>
      <c r="J514" s="1"/>
      <c r="K514" s="1"/>
      <c r="L514" s="1"/>
      <c r="M514" s="1"/>
    </row>
    <row r="515" ht="15.75" customHeight="1">
      <c r="A515" s="36"/>
      <c r="B515" s="37"/>
      <c r="C515" s="37"/>
      <c r="D515" s="1"/>
      <c r="E515" s="1"/>
      <c r="F515" s="1"/>
      <c r="G515" s="1"/>
      <c r="H515" s="185"/>
      <c r="I515" s="185"/>
      <c r="J515" s="1"/>
      <c r="K515" s="1"/>
      <c r="L515" s="1"/>
      <c r="M515" s="1"/>
    </row>
    <row r="516" ht="15.75" customHeight="1">
      <c r="A516" s="36"/>
      <c r="B516" s="37"/>
      <c r="C516" s="37"/>
      <c r="D516" s="1"/>
      <c r="E516" s="1"/>
      <c r="F516" s="1"/>
      <c r="G516" s="1"/>
      <c r="H516" s="185"/>
      <c r="I516" s="185"/>
      <c r="J516" s="1"/>
      <c r="K516" s="1"/>
      <c r="L516" s="1"/>
      <c r="M516" s="1"/>
    </row>
    <row r="517" ht="15.75" customHeight="1">
      <c r="A517" s="36"/>
      <c r="B517" s="37"/>
      <c r="C517" s="37"/>
      <c r="D517" s="1"/>
      <c r="E517" s="1"/>
      <c r="F517" s="1"/>
      <c r="G517" s="1"/>
      <c r="H517" s="185"/>
      <c r="I517" s="185"/>
      <c r="J517" s="1"/>
      <c r="K517" s="1"/>
      <c r="L517" s="1"/>
      <c r="M517" s="1"/>
    </row>
    <row r="518" ht="15.75" customHeight="1">
      <c r="A518" s="36"/>
      <c r="B518" s="37"/>
      <c r="C518" s="37"/>
      <c r="D518" s="1"/>
      <c r="E518" s="1"/>
      <c r="F518" s="1"/>
      <c r="G518" s="1"/>
      <c r="H518" s="185"/>
      <c r="I518" s="185"/>
      <c r="J518" s="1"/>
      <c r="K518" s="1"/>
      <c r="L518" s="1"/>
      <c r="M518" s="1"/>
    </row>
    <row r="519" ht="15.75" customHeight="1">
      <c r="A519" s="36"/>
      <c r="B519" s="37"/>
      <c r="C519" s="37"/>
      <c r="D519" s="1"/>
      <c r="E519" s="1"/>
      <c r="F519" s="1"/>
      <c r="G519" s="1"/>
      <c r="H519" s="185"/>
      <c r="I519" s="185"/>
      <c r="J519" s="1"/>
      <c r="K519" s="1"/>
      <c r="L519" s="1"/>
      <c r="M519" s="1"/>
    </row>
    <row r="520" ht="15.75" customHeight="1">
      <c r="A520" s="36"/>
      <c r="B520" s="37"/>
      <c r="C520" s="37"/>
      <c r="D520" s="1"/>
      <c r="E520" s="1"/>
      <c r="F520" s="1"/>
      <c r="G520" s="1"/>
      <c r="H520" s="185"/>
      <c r="I520" s="185"/>
      <c r="J520" s="1"/>
      <c r="K520" s="1"/>
      <c r="L520" s="1"/>
      <c r="M520" s="1"/>
    </row>
    <row r="521" ht="15.75" customHeight="1">
      <c r="A521" s="36"/>
      <c r="B521" s="37"/>
      <c r="C521" s="37"/>
      <c r="D521" s="1"/>
      <c r="E521" s="1"/>
      <c r="F521" s="1"/>
      <c r="G521" s="1"/>
      <c r="H521" s="185"/>
      <c r="I521" s="185"/>
      <c r="J521" s="1"/>
      <c r="K521" s="1"/>
      <c r="L521" s="1"/>
      <c r="M521" s="1"/>
    </row>
    <row r="522" ht="15.75" customHeight="1">
      <c r="A522" s="36"/>
      <c r="B522" s="37"/>
      <c r="C522" s="37"/>
      <c r="D522" s="1"/>
      <c r="E522" s="1"/>
      <c r="F522" s="1"/>
      <c r="G522" s="1"/>
      <c r="H522" s="185"/>
      <c r="I522" s="185"/>
      <c r="J522" s="1"/>
      <c r="K522" s="1"/>
      <c r="L522" s="1"/>
      <c r="M522" s="1"/>
    </row>
    <row r="523" ht="15.75" customHeight="1">
      <c r="A523" s="36"/>
      <c r="B523" s="37"/>
      <c r="C523" s="37"/>
      <c r="D523" s="1"/>
      <c r="E523" s="1"/>
      <c r="F523" s="1"/>
      <c r="G523" s="1"/>
      <c r="H523" s="185"/>
      <c r="I523" s="185"/>
      <c r="J523" s="1"/>
      <c r="K523" s="1"/>
      <c r="L523" s="1"/>
      <c r="M523" s="1"/>
    </row>
    <row r="524" ht="15.75" customHeight="1">
      <c r="A524" s="36"/>
      <c r="B524" s="37"/>
      <c r="C524" s="37"/>
      <c r="D524" s="1"/>
      <c r="E524" s="1"/>
      <c r="F524" s="1"/>
      <c r="G524" s="1"/>
      <c r="H524" s="185"/>
      <c r="I524" s="185"/>
      <c r="J524" s="1"/>
      <c r="K524" s="1"/>
      <c r="L524" s="1"/>
      <c r="M524" s="1"/>
    </row>
    <row r="525" ht="15.75" customHeight="1">
      <c r="A525" s="36"/>
      <c r="B525" s="37"/>
      <c r="C525" s="37"/>
      <c r="D525" s="1"/>
      <c r="E525" s="1"/>
      <c r="F525" s="1"/>
      <c r="G525" s="1"/>
      <c r="H525" s="185"/>
      <c r="I525" s="185"/>
      <c r="J525" s="1"/>
      <c r="K525" s="1"/>
      <c r="L525" s="1"/>
      <c r="M525" s="1"/>
    </row>
    <row r="526" ht="15.75" customHeight="1">
      <c r="A526" s="36"/>
      <c r="B526" s="37"/>
      <c r="C526" s="37"/>
      <c r="D526" s="1"/>
      <c r="E526" s="1"/>
      <c r="F526" s="1"/>
      <c r="G526" s="1"/>
      <c r="H526" s="185"/>
      <c r="I526" s="185"/>
      <c r="J526" s="1"/>
      <c r="K526" s="1"/>
      <c r="L526" s="1"/>
      <c r="M526" s="1"/>
    </row>
    <row r="527" ht="15.75" customHeight="1">
      <c r="A527" s="36"/>
      <c r="B527" s="37"/>
      <c r="C527" s="37"/>
      <c r="D527" s="1"/>
      <c r="E527" s="1"/>
      <c r="F527" s="1"/>
      <c r="G527" s="1"/>
      <c r="H527" s="185"/>
      <c r="I527" s="185"/>
      <c r="J527" s="1"/>
      <c r="K527" s="1"/>
      <c r="L527" s="1"/>
      <c r="M527" s="1"/>
    </row>
    <row r="528" ht="15.75" customHeight="1">
      <c r="A528" s="36"/>
      <c r="B528" s="37"/>
      <c r="C528" s="37"/>
      <c r="D528" s="1"/>
      <c r="E528" s="1"/>
      <c r="F528" s="1"/>
      <c r="G528" s="1"/>
      <c r="H528" s="185"/>
      <c r="I528" s="185"/>
      <c r="J528" s="1"/>
      <c r="K528" s="1"/>
      <c r="L528" s="1"/>
      <c r="M528" s="1"/>
    </row>
    <row r="529" ht="15.75" customHeight="1">
      <c r="A529" s="36"/>
      <c r="B529" s="37"/>
      <c r="C529" s="37"/>
      <c r="D529" s="1"/>
      <c r="E529" s="1"/>
      <c r="F529" s="1"/>
      <c r="G529" s="1"/>
      <c r="H529" s="185"/>
      <c r="I529" s="185"/>
      <c r="J529" s="1"/>
      <c r="K529" s="1"/>
      <c r="L529" s="1"/>
      <c r="M529" s="1"/>
    </row>
    <row r="530" ht="15.75" customHeight="1">
      <c r="A530" s="36"/>
      <c r="B530" s="37"/>
      <c r="C530" s="37"/>
      <c r="D530" s="1"/>
      <c r="E530" s="1"/>
      <c r="F530" s="1"/>
      <c r="G530" s="1"/>
      <c r="H530" s="185"/>
      <c r="I530" s="185"/>
      <c r="J530" s="1"/>
      <c r="K530" s="1"/>
      <c r="L530" s="1"/>
      <c r="M530" s="1"/>
    </row>
    <row r="531" ht="15.75" customHeight="1">
      <c r="A531" s="36"/>
      <c r="B531" s="37"/>
      <c r="C531" s="37"/>
      <c r="D531" s="1"/>
      <c r="E531" s="1"/>
      <c r="F531" s="1"/>
      <c r="G531" s="1"/>
      <c r="H531" s="185"/>
      <c r="I531" s="185"/>
      <c r="J531" s="1"/>
      <c r="K531" s="1"/>
      <c r="L531" s="1"/>
      <c r="M531" s="1"/>
    </row>
    <row r="532" ht="15.75" customHeight="1">
      <c r="A532" s="36"/>
      <c r="B532" s="37"/>
      <c r="C532" s="37"/>
      <c r="D532" s="1"/>
      <c r="E532" s="1"/>
      <c r="F532" s="1"/>
      <c r="G532" s="1"/>
      <c r="H532" s="185"/>
      <c r="I532" s="185"/>
      <c r="J532" s="1"/>
      <c r="K532" s="1"/>
      <c r="L532" s="1"/>
      <c r="M532" s="1"/>
    </row>
    <row r="533" ht="15.75" customHeight="1">
      <c r="A533" s="36"/>
      <c r="B533" s="37"/>
      <c r="C533" s="37"/>
      <c r="D533" s="1"/>
      <c r="E533" s="1"/>
      <c r="F533" s="1"/>
      <c r="G533" s="1"/>
      <c r="H533" s="185"/>
      <c r="I533" s="185"/>
      <c r="J533" s="1"/>
      <c r="K533" s="1"/>
      <c r="L533" s="1"/>
      <c r="M533" s="1"/>
    </row>
    <row r="534" ht="15.75" customHeight="1">
      <c r="A534" s="36"/>
      <c r="B534" s="37"/>
      <c r="C534" s="37"/>
      <c r="D534" s="1"/>
      <c r="E534" s="1"/>
      <c r="F534" s="1"/>
      <c r="G534" s="1"/>
      <c r="H534" s="185"/>
      <c r="I534" s="185"/>
      <c r="J534" s="1"/>
      <c r="K534" s="1"/>
      <c r="L534" s="1"/>
      <c r="M534" s="1"/>
    </row>
    <row r="535" ht="15.75" customHeight="1">
      <c r="A535" s="36"/>
      <c r="B535" s="37"/>
      <c r="C535" s="37"/>
      <c r="D535" s="1"/>
      <c r="E535" s="1"/>
      <c r="F535" s="1"/>
      <c r="G535" s="1"/>
      <c r="H535" s="185"/>
      <c r="I535" s="185"/>
      <c r="J535" s="1"/>
      <c r="K535" s="1"/>
      <c r="L535" s="1"/>
      <c r="M535" s="1"/>
    </row>
    <row r="536" ht="15.75" customHeight="1">
      <c r="A536" s="36"/>
      <c r="B536" s="37"/>
      <c r="C536" s="37"/>
      <c r="D536" s="1"/>
      <c r="E536" s="1"/>
      <c r="F536" s="1"/>
      <c r="G536" s="1"/>
      <c r="H536" s="185"/>
      <c r="I536" s="185"/>
      <c r="J536" s="1"/>
      <c r="K536" s="1"/>
      <c r="L536" s="1"/>
      <c r="M536" s="1"/>
    </row>
    <row r="537" ht="15.75" customHeight="1">
      <c r="A537" s="36"/>
      <c r="B537" s="37"/>
      <c r="C537" s="37"/>
      <c r="D537" s="1"/>
      <c r="E537" s="1"/>
      <c r="F537" s="1"/>
      <c r="G537" s="1"/>
      <c r="H537" s="185"/>
      <c r="I537" s="185"/>
      <c r="J537" s="1"/>
      <c r="K537" s="1"/>
      <c r="L537" s="1"/>
      <c r="M537" s="1"/>
    </row>
    <row r="538" ht="15.75" customHeight="1">
      <c r="A538" s="36"/>
      <c r="B538" s="37"/>
      <c r="C538" s="37"/>
      <c r="D538" s="1"/>
      <c r="E538" s="1"/>
      <c r="F538" s="1"/>
      <c r="G538" s="1"/>
      <c r="H538" s="185"/>
      <c r="I538" s="185"/>
      <c r="J538" s="1"/>
      <c r="K538" s="1"/>
      <c r="L538" s="1"/>
      <c r="M538" s="1"/>
    </row>
    <row r="539" ht="15.75" customHeight="1">
      <c r="A539" s="36"/>
      <c r="B539" s="37"/>
      <c r="C539" s="37"/>
      <c r="D539" s="1"/>
      <c r="E539" s="1"/>
      <c r="F539" s="1"/>
      <c r="G539" s="1"/>
      <c r="H539" s="185"/>
      <c r="I539" s="185"/>
      <c r="J539" s="1"/>
      <c r="K539" s="1"/>
      <c r="L539" s="1"/>
      <c r="M539" s="1"/>
    </row>
    <row r="540" ht="15.75" customHeight="1">
      <c r="A540" s="36"/>
      <c r="B540" s="37"/>
      <c r="C540" s="37"/>
      <c r="D540" s="1"/>
      <c r="E540" s="1"/>
      <c r="F540" s="1"/>
      <c r="G540" s="1"/>
      <c r="H540" s="185"/>
      <c r="I540" s="185"/>
      <c r="J540" s="1"/>
      <c r="K540" s="1"/>
      <c r="L540" s="1"/>
      <c r="M540" s="1"/>
    </row>
    <row r="541" ht="15.75" customHeight="1">
      <c r="A541" s="36"/>
      <c r="B541" s="37"/>
      <c r="C541" s="37"/>
      <c r="D541" s="1"/>
      <c r="E541" s="1"/>
      <c r="F541" s="1"/>
      <c r="G541" s="1"/>
      <c r="H541" s="185"/>
      <c r="I541" s="185"/>
      <c r="J541" s="1"/>
      <c r="K541" s="1"/>
      <c r="L541" s="1"/>
      <c r="M541" s="1"/>
    </row>
    <row r="542" ht="15.75" customHeight="1">
      <c r="A542" s="36"/>
      <c r="B542" s="37"/>
      <c r="C542" s="37"/>
      <c r="D542" s="1"/>
      <c r="E542" s="1"/>
      <c r="F542" s="1"/>
      <c r="G542" s="1"/>
      <c r="H542" s="185"/>
      <c r="I542" s="185"/>
      <c r="J542" s="1"/>
      <c r="K542" s="1"/>
      <c r="L542" s="1"/>
      <c r="M542" s="1"/>
    </row>
    <row r="543" ht="15.75" customHeight="1">
      <c r="A543" s="36"/>
      <c r="B543" s="37"/>
      <c r="C543" s="37"/>
      <c r="D543" s="1"/>
      <c r="E543" s="1"/>
      <c r="F543" s="1"/>
      <c r="G543" s="1"/>
      <c r="H543" s="185"/>
      <c r="I543" s="185"/>
      <c r="J543" s="1"/>
      <c r="K543" s="1"/>
      <c r="L543" s="1"/>
      <c r="M543" s="1"/>
    </row>
    <row r="544" ht="15.75" customHeight="1">
      <c r="A544" s="36"/>
      <c r="B544" s="37"/>
      <c r="C544" s="37"/>
      <c r="D544" s="1"/>
      <c r="E544" s="1"/>
      <c r="F544" s="1"/>
      <c r="G544" s="1"/>
      <c r="H544" s="185"/>
      <c r="I544" s="185"/>
      <c r="J544" s="1"/>
      <c r="K544" s="1"/>
      <c r="L544" s="1"/>
      <c r="M544" s="1"/>
    </row>
    <row r="545" ht="15.75" customHeight="1">
      <c r="A545" s="36"/>
      <c r="B545" s="37"/>
      <c r="C545" s="37"/>
      <c r="D545" s="1"/>
      <c r="E545" s="1"/>
      <c r="F545" s="1"/>
      <c r="G545" s="1"/>
      <c r="H545" s="185"/>
      <c r="I545" s="185"/>
      <c r="J545" s="1"/>
      <c r="K545" s="1"/>
      <c r="L545" s="1"/>
      <c r="M545" s="1"/>
    </row>
    <row r="546" ht="15.75" customHeight="1">
      <c r="A546" s="36"/>
      <c r="B546" s="37"/>
      <c r="C546" s="37"/>
      <c r="D546" s="1"/>
      <c r="E546" s="1"/>
      <c r="F546" s="1"/>
      <c r="G546" s="1"/>
      <c r="H546" s="185"/>
      <c r="I546" s="185"/>
      <c r="J546" s="1"/>
      <c r="K546" s="1"/>
      <c r="L546" s="1"/>
      <c r="M546" s="1"/>
    </row>
    <row r="547" ht="15.75" customHeight="1">
      <c r="A547" s="36"/>
      <c r="B547" s="37"/>
      <c r="C547" s="37"/>
      <c r="D547" s="1"/>
      <c r="E547" s="1"/>
      <c r="F547" s="1"/>
      <c r="G547" s="1"/>
      <c r="H547" s="185"/>
      <c r="I547" s="185"/>
      <c r="J547" s="1"/>
      <c r="K547" s="1"/>
      <c r="L547" s="1"/>
      <c r="M547" s="1"/>
    </row>
    <row r="548" ht="15.75" customHeight="1">
      <c r="A548" s="36"/>
      <c r="B548" s="37"/>
      <c r="C548" s="37"/>
      <c r="D548" s="1"/>
      <c r="E548" s="1"/>
      <c r="F548" s="1"/>
      <c r="G548" s="1"/>
      <c r="H548" s="185"/>
      <c r="I548" s="185"/>
      <c r="J548" s="1"/>
      <c r="K548" s="1"/>
      <c r="L548" s="1"/>
      <c r="M548" s="1"/>
    </row>
    <row r="549" ht="15.75" customHeight="1">
      <c r="A549" s="36"/>
      <c r="B549" s="37"/>
      <c r="C549" s="37"/>
      <c r="D549" s="1"/>
      <c r="E549" s="1"/>
      <c r="F549" s="1"/>
      <c r="G549" s="1"/>
      <c r="H549" s="185"/>
      <c r="I549" s="185"/>
      <c r="J549" s="1"/>
      <c r="K549" s="1"/>
      <c r="L549" s="1"/>
      <c r="M549" s="1"/>
    </row>
    <row r="550" ht="15.75" customHeight="1">
      <c r="A550" s="36"/>
      <c r="B550" s="37"/>
      <c r="C550" s="37"/>
      <c r="D550" s="1"/>
      <c r="E550" s="1"/>
      <c r="F550" s="1"/>
      <c r="G550" s="1"/>
      <c r="H550" s="185"/>
      <c r="I550" s="185"/>
      <c r="J550" s="1"/>
      <c r="K550" s="1"/>
      <c r="L550" s="1"/>
      <c r="M550" s="1"/>
    </row>
    <row r="551" ht="15.75" customHeight="1">
      <c r="A551" s="36"/>
      <c r="B551" s="37"/>
      <c r="C551" s="37"/>
      <c r="D551" s="1"/>
      <c r="E551" s="1"/>
      <c r="F551" s="1"/>
      <c r="G551" s="1"/>
      <c r="H551" s="185"/>
      <c r="I551" s="185"/>
      <c r="J551" s="1"/>
      <c r="K551" s="1"/>
      <c r="L551" s="1"/>
      <c r="M551" s="1"/>
    </row>
    <row r="552" ht="15.75" customHeight="1">
      <c r="A552" s="36"/>
      <c r="B552" s="37"/>
      <c r="C552" s="37"/>
      <c r="D552" s="1"/>
      <c r="E552" s="1"/>
      <c r="F552" s="1"/>
      <c r="G552" s="1"/>
      <c r="H552" s="185"/>
      <c r="I552" s="185"/>
      <c r="J552" s="1"/>
      <c r="K552" s="1"/>
      <c r="L552" s="1"/>
      <c r="M552" s="1"/>
    </row>
    <row r="553" ht="15.75" customHeight="1">
      <c r="A553" s="36"/>
      <c r="B553" s="37"/>
      <c r="C553" s="37"/>
      <c r="D553" s="1"/>
      <c r="E553" s="1"/>
      <c r="F553" s="1"/>
      <c r="G553" s="1"/>
      <c r="H553" s="185"/>
      <c r="I553" s="185"/>
      <c r="J553" s="1"/>
      <c r="K553" s="1"/>
      <c r="L553" s="1"/>
      <c r="M553" s="1"/>
    </row>
    <row r="554" ht="15.75" customHeight="1">
      <c r="A554" s="36"/>
      <c r="B554" s="37"/>
      <c r="C554" s="37"/>
      <c r="D554" s="1"/>
      <c r="E554" s="1"/>
      <c r="F554" s="1"/>
      <c r="G554" s="1"/>
      <c r="H554" s="185"/>
      <c r="I554" s="185"/>
      <c r="J554" s="1"/>
      <c r="K554" s="1"/>
      <c r="L554" s="1"/>
      <c r="M554" s="1"/>
    </row>
    <row r="555" ht="15.75" customHeight="1">
      <c r="A555" s="36"/>
      <c r="B555" s="37"/>
      <c r="C555" s="37"/>
      <c r="D555" s="1"/>
      <c r="E555" s="1"/>
      <c r="F555" s="1"/>
      <c r="G555" s="1"/>
      <c r="H555" s="185"/>
      <c r="I555" s="185"/>
      <c r="J555" s="1"/>
      <c r="K555" s="1"/>
      <c r="L555" s="1"/>
      <c r="M555" s="1"/>
    </row>
    <row r="556" ht="15.75" customHeight="1">
      <c r="A556" s="36"/>
      <c r="B556" s="37"/>
      <c r="C556" s="37"/>
      <c r="D556" s="1"/>
      <c r="E556" s="1"/>
      <c r="F556" s="1"/>
      <c r="G556" s="1"/>
      <c r="H556" s="185"/>
      <c r="I556" s="185"/>
      <c r="J556" s="1"/>
      <c r="K556" s="1"/>
      <c r="L556" s="1"/>
      <c r="M556" s="1"/>
    </row>
    <row r="557" ht="15.75" customHeight="1">
      <c r="A557" s="36"/>
      <c r="B557" s="37"/>
      <c r="C557" s="37"/>
      <c r="D557" s="1"/>
      <c r="E557" s="1"/>
      <c r="F557" s="1"/>
      <c r="G557" s="1"/>
      <c r="H557" s="185"/>
      <c r="I557" s="185"/>
      <c r="J557" s="1"/>
      <c r="K557" s="1"/>
      <c r="L557" s="1"/>
      <c r="M557" s="1"/>
    </row>
    <row r="558" ht="15.75" customHeight="1">
      <c r="A558" s="36"/>
      <c r="B558" s="37"/>
      <c r="C558" s="37"/>
      <c r="D558" s="1"/>
      <c r="E558" s="1"/>
      <c r="F558" s="1"/>
      <c r="G558" s="1"/>
      <c r="H558" s="185"/>
      <c r="I558" s="185"/>
      <c r="J558" s="1"/>
      <c r="K558" s="1"/>
      <c r="L558" s="1"/>
      <c r="M558" s="1"/>
    </row>
    <row r="559" ht="15.75" customHeight="1">
      <c r="A559" s="36"/>
      <c r="B559" s="37"/>
      <c r="C559" s="37"/>
      <c r="D559" s="1"/>
      <c r="E559" s="1"/>
      <c r="F559" s="1"/>
      <c r="G559" s="1"/>
      <c r="H559" s="185"/>
      <c r="I559" s="185"/>
      <c r="J559" s="1"/>
      <c r="K559" s="1"/>
      <c r="L559" s="1"/>
      <c r="M559" s="1"/>
    </row>
    <row r="560" ht="15.75" customHeight="1">
      <c r="A560" s="36"/>
      <c r="B560" s="37"/>
      <c r="C560" s="37"/>
      <c r="D560" s="1"/>
      <c r="E560" s="1"/>
      <c r="F560" s="1"/>
      <c r="G560" s="1"/>
      <c r="H560" s="185"/>
      <c r="I560" s="185"/>
      <c r="J560" s="1"/>
      <c r="K560" s="1"/>
      <c r="L560" s="1"/>
      <c r="M560" s="1"/>
    </row>
    <row r="561" ht="15.75" customHeight="1">
      <c r="A561" s="36"/>
      <c r="B561" s="37"/>
      <c r="C561" s="37"/>
      <c r="D561" s="1"/>
      <c r="E561" s="1"/>
      <c r="F561" s="1"/>
      <c r="G561" s="1"/>
      <c r="H561" s="185"/>
      <c r="I561" s="185"/>
      <c r="J561" s="1"/>
      <c r="K561" s="1"/>
      <c r="L561" s="1"/>
      <c r="M561" s="1"/>
    </row>
    <row r="562" ht="15.75" customHeight="1">
      <c r="A562" s="36"/>
      <c r="B562" s="37"/>
      <c r="C562" s="37"/>
      <c r="D562" s="1"/>
      <c r="E562" s="1"/>
      <c r="F562" s="1"/>
      <c r="G562" s="1"/>
      <c r="H562" s="185"/>
      <c r="I562" s="185"/>
      <c r="J562" s="1"/>
      <c r="K562" s="1"/>
      <c r="L562" s="1"/>
      <c r="M562" s="1"/>
    </row>
    <row r="563" ht="15.75" customHeight="1">
      <c r="A563" s="36"/>
      <c r="B563" s="37"/>
      <c r="C563" s="37"/>
      <c r="D563" s="1"/>
      <c r="E563" s="1"/>
      <c r="F563" s="1"/>
      <c r="G563" s="1"/>
      <c r="H563" s="185"/>
      <c r="I563" s="185"/>
      <c r="J563" s="1"/>
      <c r="K563" s="1"/>
      <c r="L563" s="1"/>
      <c r="M563" s="1"/>
    </row>
    <row r="564" ht="15.75" customHeight="1">
      <c r="A564" s="36"/>
      <c r="B564" s="37"/>
      <c r="C564" s="37"/>
      <c r="D564" s="1"/>
      <c r="E564" s="1"/>
      <c r="F564" s="1"/>
      <c r="G564" s="1"/>
      <c r="H564" s="185"/>
      <c r="I564" s="185"/>
      <c r="J564" s="1"/>
      <c r="K564" s="1"/>
      <c r="L564" s="1"/>
      <c r="M564" s="1"/>
    </row>
    <row r="565" ht="15.75" customHeight="1">
      <c r="A565" s="36"/>
      <c r="B565" s="37"/>
      <c r="C565" s="37"/>
      <c r="D565" s="1"/>
      <c r="E565" s="1"/>
      <c r="F565" s="1"/>
      <c r="G565" s="1"/>
      <c r="H565" s="185"/>
      <c r="I565" s="185"/>
      <c r="J565" s="1"/>
      <c r="K565" s="1"/>
      <c r="L565" s="1"/>
      <c r="M565" s="1"/>
    </row>
    <row r="566" ht="15.75" customHeight="1">
      <c r="A566" s="36"/>
      <c r="B566" s="37"/>
      <c r="C566" s="37"/>
      <c r="D566" s="1"/>
      <c r="E566" s="1"/>
      <c r="F566" s="1"/>
      <c r="G566" s="1"/>
      <c r="H566" s="185"/>
      <c r="I566" s="185"/>
      <c r="J566" s="1"/>
      <c r="K566" s="1"/>
      <c r="L566" s="1"/>
      <c r="M566" s="1"/>
    </row>
    <row r="567" ht="15.75" customHeight="1">
      <c r="A567" s="36"/>
      <c r="B567" s="37"/>
      <c r="C567" s="37"/>
      <c r="D567" s="1"/>
      <c r="E567" s="1"/>
      <c r="F567" s="1"/>
      <c r="G567" s="1"/>
      <c r="H567" s="185"/>
      <c r="I567" s="185"/>
      <c r="J567" s="1"/>
      <c r="K567" s="1"/>
      <c r="L567" s="1"/>
      <c r="M567" s="1"/>
    </row>
    <row r="568" ht="15.75" customHeight="1">
      <c r="A568" s="36"/>
      <c r="B568" s="37"/>
      <c r="C568" s="37"/>
      <c r="D568" s="1"/>
      <c r="E568" s="1"/>
      <c r="F568" s="1"/>
      <c r="G568" s="1"/>
      <c r="H568" s="185"/>
      <c r="I568" s="185"/>
      <c r="J568" s="1"/>
      <c r="K568" s="1"/>
      <c r="L568" s="1"/>
      <c r="M568" s="1"/>
    </row>
    <row r="569" ht="15.75" customHeight="1">
      <c r="A569" s="36"/>
      <c r="B569" s="37"/>
      <c r="C569" s="37"/>
      <c r="D569" s="1"/>
      <c r="E569" s="1"/>
      <c r="F569" s="1"/>
      <c r="G569" s="1"/>
      <c r="H569" s="185"/>
      <c r="I569" s="185"/>
      <c r="J569" s="1"/>
      <c r="K569" s="1"/>
      <c r="L569" s="1"/>
      <c r="M569" s="1"/>
    </row>
    <row r="570" ht="15.75" customHeight="1">
      <c r="A570" s="36"/>
      <c r="B570" s="37"/>
      <c r="C570" s="37"/>
      <c r="D570" s="1"/>
      <c r="E570" s="1"/>
      <c r="F570" s="1"/>
      <c r="G570" s="1"/>
      <c r="H570" s="185"/>
      <c r="I570" s="185"/>
      <c r="J570" s="1"/>
      <c r="K570" s="1"/>
      <c r="L570" s="1"/>
      <c r="M570" s="1"/>
    </row>
    <row r="571" ht="15.75" customHeight="1">
      <c r="A571" s="36"/>
      <c r="B571" s="37"/>
      <c r="C571" s="37"/>
      <c r="D571" s="1"/>
      <c r="E571" s="1"/>
      <c r="F571" s="1"/>
      <c r="G571" s="1"/>
      <c r="H571" s="185"/>
      <c r="I571" s="185"/>
      <c r="J571" s="1"/>
      <c r="K571" s="1"/>
      <c r="L571" s="1"/>
      <c r="M571" s="1"/>
    </row>
    <row r="572" ht="15.75" customHeight="1">
      <c r="A572" s="36"/>
      <c r="B572" s="37"/>
      <c r="C572" s="37"/>
      <c r="D572" s="1"/>
      <c r="E572" s="1"/>
      <c r="F572" s="1"/>
      <c r="G572" s="1"/>
      <c r="H572" s="185"/>
      <c r="I572" s="185"/>
      <c r="J572" s="1"/>
      <c r="K572" s="1"/>
      <c r="L572" s="1"/>
      <c r="M572" s="1"/>
    </row>
    <row r="573" ht="15.75" customHeight="1">
      <c r="A573" s="36"/>
      <c r="B573" s="37"/>
      <c r="C573" s="37"/>
      <c r="D573" s="1"/>
      <c r="E573" s="1"/>
      <c r="F573" s="1"/>
      <c r="G573" s="1"/>
      <c r="H573" s="185"/>
      <c r="I573" s="185"/>
      <c r="J573" s="1"/>
      <c r="K573" s="1"/>
      <c r="L573" s="1"/>
      <c r="M573" s="1"/>
    </row>
    <row r="574" ht="15.75" customHeight="1">
      <c r="A574" s="36"/>
      <c r="B574" s="37"/>
      <c r="C574" s="37"/>
      <c r="D574" s="1"/>
      <c r="E574" s="1"/>
      <c r="F574" s="1"/>
      <c r="G574" s="1"/>
      <c r="H574" s="185"/>
      <c r="I574" s="185"/>
      <c r="J574" s="1"/>
      <c r="K574" s="1"/>
      <c r="L574" s="1"/>
      <c r="M574" s="1"/>
    </row>
    <row r="575" ht="15.75" customHeight="1">
      <c r="A575" s="36"/>
      <c r="B575" s="37"/>
      <c r="C575" s="37"/>
      <c r="D575" s="1"/>
      <c r="E575" s="1"/>
      <c r="F575" s="1"/>
      <c r="G575" s="1"/>
      <c r="H575" s="185"/>
      <c r="I575" s="185"/>
      <c r="J575" s="1"/>
      <c r="K575" s="1"/>
      <c r="L575" s="1"/>
      <c r="M575" s="1"/>
    </row>
    <row r="576" ht="15.75" customHeight="1">
      <c r="A576" s="36"/>
      <c r="B576" s="37"/>
      <c r="C576" s="37"/>
      <c r="D576" s="1"/>
      <c r="E576" s="1"/>
      <c r="F576" s="1"/>
      <c r="G576" s="1"/>
      <c r="H576" s="185"/>
      <c r="I576" s="185"/>
      <c r="J576" s="1"/>
      <c r="K576" s="1"/>
      <c r="L576" s="1"/>
      <c r="M576" s="1"/>
    </row>
    <row r="577" ht="15.75" customHeight="1">
      <c r="A577" s="36"/>
      <c r="B577" s="37"/>
      <c r="C577" s="37"/>
      <c r="D577" s="1"/>
      <c r="E577" s="1"/>
      <c r="F577" s="1"/>
      <c r="G577" s="1"/>
      <c r="H577" s="185"/>
      <c r="I577" s="185"/>
      <c r="J577" s="1"/>
      <c r="K577" s="1"/>
      <c r="L577" s="1"/>
      <c r="M577" s="1"/>
    </row>
    <row r="578" ht="15.75" customHeight="1">
      <c r="A578" s="36"/>
      <c r="B578" s="37"/>
      <c r="C578" s="37"/>
      <c r="D578" s="1"/>
      <c r="E578" s="1"/>
      <c r="F578" s="1"/>
      <c r="G578" s="1"/>
      <c r="H578" s="185"/>
      <c r="I578" s="185"/>
      <c r="J578" s="1"/>
      <c r="K578" s="1"/>
      <c r="L578" s="1"/>
      <c r="M578" s="1"/>
    </row>
    <row r="579" ht="15.75" customHeight="1">
      <c r="A579" s="36"/>
      <c r="B579" s="37"/>
      <c r="C579" s="37"/>
      <c r="D579" s="1"/>
      <c r="E579" s="1"/>
      <c r="F579" s="1"/>
      <c r="G579" s="1"/>
      <c r="H579" s="185"/>
      <c r="I579" s="185"/>
      <c r="J579" s="1"/>
      <c r="K579" s="1"/>
      <c r="L579" s="1"/>
      <c r="M579" s="1"/>
    </row>
    <row r="580" ht="15.75" customHeight="1">
      <c r="A580" s="36"/>
      <c r="B580" s="37"/>
      <c r="C580" s="37"/>
      <c r="D580" s="1"/>
      <c r="E580" s="1"/>
      <c r="F580" s="1"/>
      <c r="G580" s="1"/>
      <c r="H580" s="185"/>
      <c r="I580" s="185"/>
      <c r="J580" s="1"/>
      <c r="K580" s="1"/>
      <c r="L580" s="1"/>
      <c r="M580" s="1"/>
    </row>
    <row r="581" ht="15.75" customHeight="1">
      <c r="A581" s="36"/>
      <c r="B581" s="37"/>
      <c r="C581" s="37"/>
      <c r="D581" s="1"/>
      <c r="E581" s="1"/>
      <c r="F581" s="1"/>
      <c r="G581" s="1"/>
      <c r="H581" s="185"/>
      <c r="I581" s="185"/>
      <c r="J581" s="1"/>
      <c r="K581" s="1"/>
      <c r="L581" s="1"/>
      <c r="M581" s="1"/>
    </row>
    <row r="582" ht="15.75" customHeight="1">
      <c r="A582" s="36"/>
      <c r="B582" s="37"/>
      <c r="C582" s="37"/>
      <c r="D582" s="1"/>
      <c r="E582" s="1"/>
      <c r="F582" s="1"/>
      <c r="G582" s="1"/>
      <c r="H582" s="185"/>
      <c r="I582" s="185"/>
      <c r="J582" s="1"/>
      <c r="K582" s="1"/>
      <c r="L582" s="1"/>
      <c r="M582" s="1"/>
    </row>
    <row r="583" ht="15.75" customHeight="1">
      <c r="A583" s="36"/>
      <c r="B583" s="37"/>
      <c r="C583" s="37"/>
      <c r="D583" s="1"/>
      <c r="E583" s="1"/>
      <c r="F583" s="1"/>
      <c r="G583" s="1"/>
      <c r="H583" s="185"/>
      <c r="I583" s="185"/>
      <c r="J583" s="1"/>
      <c r="K583" s="1"/>
      <c r="L583" s="1"/>
      <c r="M583" s="1"/>
    </row>
    <row r="584" ht="15.75" customHeight="1">
      <c r="A584" s="36"/>
      <c r="B584" s="37"/>
      <c r="C584" s="37"/>
      <c r="D584" s="1"/>
      <c r="E584" s="1"/>
      <c r="F584" s="1"/>
      <c r="G584" s="1"/>
      <c r="H584" s="185"/>
      <c r="I584" s="185"/>
      <c r="J584" s="1"/>
      <c r="K584" s="1"/>
      <c r="L584" s="1"/>
      <c r="M584" s="1"/>
    </row>
    <row r="585" ht="15.75" customHeight="1">
      <c r="A585" s="36"/>
      <c r="B585" s="37"/>
      <c r="C585" s="37"/>
      <c r="D585" s="1"/>
      <c r="E585" s="1"/>
      <c r="F585" s="1"/>
      <c r="G585" s="1"/>
      <c r="H585" s="185"/>
      <c r="I585" s="185"/>
      <c r="J585" s="1"/>
      <c r="K585" s="1"/>
      <c r="L585" s="1"/>
      <c r="M585" s="1"/>
    </row>
    <row r="586" ht="15.75" customHeight="1">
      <c r="A586" s="36"/>
      <c r="B586" s="37"/>
      <c r="C586" s="37"/>
      <c r="D586" s="1"/>
      <c r="E586" s="1"/>
      <c r="F586" s="1"/>
      <c r="G586" s="1"/>
      <c r="H586" s="185"/>
      <c r="I586" s="185"/>
      <c r="J586" s="1"/>
      <c r="K586" s="1"/>
      <c r="L586" s="1"/>
      <c r="M586" s="1"/>
    </row>
    <row r="587" ht="15.75" customHeight="1">
      <c r="A587" s="36"/>
      <c r="B587" s="37"/>
      <c r="C587" s="37"/>
      <c r="D587" s="1"/>
      <c r="E587" s="1"/>
      <c r="F587" s="1"/>
      <c r="G587" s="1"/>
      <c r="H587" s="185"/>
      <c r="I587" s="185"/>
      <c r="J587" s="1"/>
      <c r="K587" s="1"/>
      <c r="L587" s="1"/>
      <c r="M587" s="1"/>
    </row>
    <row r="588" ht="15.75" customHeight="1">
      <c r="A588" s="36"/>
      <c r="B588" s="37"/>
      <c r="C588" s="37"/>
      <c r="D588" s="1"/>
      <c r="E588" s="1"/>
      <c r="F588" s="1"/>
      <c r="G588" s="1"/>
      <c r="H588" s="185"/>
      <c r="I588" s="185"/>
      <c r="J588" s="1"/>
      <c r="K588" s="1"/>
      <c r="L588" s="1"/>
      <c r="M588" s="1"/>
    </row>
    <row r="589" ht="15.75" customHeight="1">
      <c r="A589" s="36"/>
      <c r="B589" s="37"/>
      <c r="C589" s="37"/>
      <c r="D589" s="1"/>
      <c r="E589" s="1"/>
      <c r="F589" s="1"/>
      <c r="G589" s="1"/>
      <c r="H589" s="185"/>
      <c r="I589" s="185"/>
      <c r="J589" s="1"/>
      <c r="K589" s="1"/>
      <c r="L589" s="1"/>
      <c r="M589" s="1"/>
    </row>
    <row r="590" ht="15.75" customHeight="1">
      <c r="A590" s="36"/>
      <c r="B590" s="37"/>
      <c r="C590" s="37"/>
      <c r="D590" s="1"/>
      <c r="E590" s="1"/>
      <c r="F590" s="1"/>
      <c r="G590" s="1"/>
      <c r="H590" s="185"/>
      <c r="I590" s="185"/>
      <c r="J590" s="1"/>
      <c r="K590" s="1"/>
      <c r="L590" s="1"/>
      <c r="M590" s="1"/>
    </row>
    <row r="591" ht="15.75" customHeight="1">
      <c r="A591" s="36"/>
      <c r="B591" s="37"/>
      <c r="C591" s="37"/>
      <c r="D591" s="1"/>
      <c r="E591" s="1"/>
      <c r="F591" s="1"/>
      <c r="G591" s="1"/>
      <c r="H591" s="185"/>
      <c r="I591" s="185"/>
      <c r="J591" s="1"/>
      <c r="K591" s="1"/>
      <c r="L591" s="1"/>
      <c r="M591" s="1"/>
    </row>
    <row r="592" ht="15.75" customHeight="1">
      <c r="A592" s="36"/>
      <c r="B592" s="37"/>
      <c r="C592" s="37"/>
      <c r="D592" s="1"/>
      <c r="E592" s="1"/>
      <c r="F592" s="1"/>
      <c r="G592" s="1"/>
      <c r="H592" s="185"/>
      <c r="I592" s="185"/>
      <c r="J592" s="1"/>
      <c r="K592" s="1"/>
      <c r="L592" s="1"/>
      <c r="M592" s="1"/>
    </row>
    <row r="593" ht="15.75" customHeight="1">
      <c r="A593" s="36"/>
      <c r="B593" s="37"/>
      <c r="C593" s="37"/>
      <c r="D593" s="1"/>
      <c r="E593" s="1"/>
      <c r="F593" s="1"/>
      <c r="G593" s="1"/>
      <c r="H593" s="185"/>
      <c r="I593" s="185"/>
      <c r="J593" s="1"/>
      <c r="K593" s="1"/>
      <c r="L593" s="1"/>
      <c r="M593" s="1"/>
    </row>
    <row r="594" ht="15.75" customHeight="1">
      <c r="A594" s="36"/>
      <c r="B594" s="37"/>
      <c r="C594" s="37"/>
      <c r="D594" s="1"/>
      <c r="E594" s="1"/>
      <c r="F594" s="1"/>
      <c r="G594" s="1"/>
      <c r="H594" s="185"/>
      <c r="I594" s="185"/>
      <c r="J594" s="1"/>
      <c r="K594" s="1"/>
      <c r="L594" s="1"/>
      <c r="M594" s="1"/>
    </row>
    <row r="595" ht="15.75" customHeight="1">
      <c r="A595" s="36"/>
      <c r="B595" s="37"/>
      <c r="C595" s="37"/>
      <c r="D595" s="1"/>
      <c r="E595" s="1"/>
      <c r="F595" s="1"/>
      <c r="G595" s="1"/>
      <c r="H595" s="185"/>
      <c r="I595" s="185"/>
      <c r="J595" s="1"/>
      <c r="K595" s="1"/>
      <c r="L595" s="1"/>
      <c r="M595" s="1"/>
    </row>
    <row r="596" ht="15.75" customHeight="1">
      <c r="A596" s="36"/>
      <c r="B596" s="37"/>
      <c r="C596" s="37"/>
      <c r="D596" s="1"/>
      <c r="E596" s="1"/>
      <c r="F596" s="1"/>
      <c r="G596" s="1"/>
      <c r="H596" s="185"/>
      <c r="I596" s="185"/>
      <c r="J596" s="1"/>
      <c r="K596" s="1"/>
      <c r="L596" s="1"/>
      <c r="M596" s="1"/>
    </row>
    <row r="597" ht="15.75" customHeight="1">
      <c r="A597" s="36"/>
      <c r="B597" s="37"/>
      <c r="C597" s="37"/>
      <c r="D597" s="1"/>
      <c r="E597" s="1"/>
      <c r="F597" s="1"/>
      <c r="G597" s="1"/>
      <c r="H597" s="185"/>
      <c r="I597" s="185"/>
      <c r="J597" s="1"/>
      <c r="K597" s="1"/>
      <c r="L597" s="1"/>
      <c r="M597" s="1"/>
    </row>
    <row r="598" ht="15.75" customHeight="1">
      <c r="A598" s="36"/>
      <c r="B598" s="37"/>
      <c r="C598" s="37"/>
      <c r="D598" s="1"/>
      <c r="E598" s="1"/>
      <c r="F598" s="1"/>
      <c r="G598" s="1"/>
      <c r="H598" s="185"/>
      <c r="I598" s="185"/>
      <c r="J598" s="1"/>
      <c r="K598" s="1"/>
      <c r="L598" s="1"/>
      <c r="M598" s="1"/>
    </row>
    <row r="599" ht="15.75" customHeight="1">
      <c r="A599" s="36"/>
      <c r="B599" s="37"/>
      <c r="C599" s="37"/>
      <c r="D599" s="1"/>
      <c r="E599" s="1"/>
      <c r="F599" s="1"/>
      <c r="G599" s="1"/>
      <c r="H599" s="185"/>
      <c r="I599" s="185"/>
      <c r="J599" s="1"/>
      <c r="K599" s="1"/>
      <c r="L599" s="1"/>
      <c r="M599" s="1"/>
    </row>
    <row r="600" ht="15.75" customHeight="1">
      <c r="A600" s="36"/>
      <c r="B600" s="37"/>
      <c r="C600" s="37"/>
      <c r="D600" s="1"/>
      <c r="E600" s="1"/>
      <c r="F600" s="1"/>
      <c r="G600" s="1"/>
      <c r="H600" s="185"/>
      <c r="I600" s="185"/>
      <c r="J600" s="1"/>
      <c r="K600" s="1"/>
      <c r="L600" s="1"/>
      <c r="M600" s="1"/>
    </row>
    <row r="601" ht="15.75" customHeight="1">
      <c r="A601" s="36"/>
      <c r="B601" s="37"/>
      <c r="C601" s="37"/>
      <c r="D601" s="1"/>
      <c r="E601" s="1"/>
      <c r="F601" s="1"/>
      <c r="G601" s="1"/>
      <c r="H601" s="185"/>
      <c r="I601" s="185"/>
      <c r="J601" s="1"/>
      <c r="K601" s="1"/>
      <c r="L601" s="1"/>
      <c r="M601" s="1"/>
    </row>
    <row r="602" ht="15.75" customHeight="1">
      <c r="A602" s="36"/>
      <c r="B602" s="37"/>
      <c r="C602" s="37"/>
      <c r="D602" s="1"/>
      <c r="E602" s="1"/>
      <c r="F602" s="1"/>
      <c r="G602" s="1"/>
      <c r="H602" s="185"/>
      <c r="I602" s="185"/>
      <c r="J602" s="1"/>
      <c r="K602" s="1"/>
      <c r="L602" s="1"/>
      <c r="M602" s="1"/>
    </row>
    <row r="603" ht="15.75" customHeight="1">
      <c r="A603" s="36"/>
      <c r="B603" s="37"/>
      <c r="C603" s="37"/>
      <c r="D603" s="1"/>
      <c r="E603" s="1"/>
      <c r="F603" s="1"/>
      <c r="G603" s="1"/>
      <c r="H603" s="185"/>
      <c r="I603" s="185"/>
      <c r="J603" s="1"/>
      <c r="K603" s="1"/>
      <c r="L603" s="1"/>
      <c r="M603" s="1"/>
    </row>
    <row r="604" ht="15.75" customHeight="1">
      <c r="A604" s="36"/>
      <c r="B604" s="37"/>
      <c r="C604" s="37"/>
      <c r="D604" s="1"/>
      <c r="E604" s="1"/>
      <c r="F604" s="1"/>
      <c r="G604" s="1"/>
      <c r="H604" s="185"/>
      <c r="I604" s="185"/>
      <c r="J604" s="1"/>
      <c r="K604" s="1"/>
      <c r="L604" s="1"/>
      <c r="M604" s="1"/>
    </row>
    <row r="605" ht="15.75" customHeight="1">
      <c r="A605" s="36"/>
      <c r="B605" s="37"/>
      <c r="C605" s="37"/>
      <c r="D605" s="1"/>
      <c r="E605" s="1"/>
      <c r="F605" s="1"/>
      <c r="G605" s="1"/>
      <c r="H605" s="185"/>
      <c r="I605" s="185"/>
      <c r="J605" s="1"/>
      <c r="K605" s="1"/>
      <c r="L605" s="1"/>
      <c r="M605" s="1"/>
    </row>
    <row r="606" ht="15.75" customHeight="1">
      <c r="A606" s="36"/>
      <c r="B606" s="37"/>
      <c r="C606" s="37"/>
      <c r="D606" s="1"/>
      <c r="E606" s="1"/>
      <c r="F606" s="1"/>
      <c r="G606" s="1"/>
      <c r="H606" s="185"/>
      <c r="I606" s="185"/>
      <c r="J606" s="1"/>
      <c r="K606" s="1"/>
      <c r="L606" s="1"/>
      <c r="M606" s="1"/>
    </row>
    <row r="607" ht="15.75" customHeight="1">
      <c r="A607" s="36"/>
      <c r="B607" s="37"/>
      <c r="C607" s="37"/>
      <c r="D607" s="1"/>
      <c r="E607" s="1"/>
      <c r="F607" s="1"/>
      <c r="G607" s="1"/>
      <c r="H607" s="185"/>
      <c r="I607" s="185"/>
      <c r="J607" s="1"/>
      <c r="K607" s="1"/>
      <c r="L607" s="1"/>
      <c r="M607" s="1"/>
    </row>
    <row r="608" ht="15.75" customHeight="1">
      <c r="A608" s="36"/>
      <c r="B608" s="37"/>
      <c r="C608" s="37"/>
      <c r="D608" s="1"/>
      <c r="E608" s="1"/>
      <c r="F608" s="1"/>
      <c r="G608" s="1"/>
      <c r="H608" s="185"/>
      <c r="I608" s="185"/>
      <c r="J608" s="1"/>
      <c r="K608" s="1"/>
      <c r="L608" s="1"/>
      <c r="M608" s="1"/>
    </row>
    <row r="609" ht="15.75" customHeight="1">
      <c r="A609" s="36"/>
      <c r="B609" s="37"/>
      <c r="C609" s="37"/>
      <c r="D609" s="1"/>
      <c r="E609" s="1"/>
      <c r="F609" s="1"/>
      <c r="G609" s="1"/>
      <c r="H609" s="185"/>
      <c r="I609" s="185"/>
      <c r="J609" s="1"/>
      <c r="K609" s="1"/>
      <c r="L609" s="1"/>
      <c r="M609" s="1"/>
    </row>
    <row r="610" ht="15.75" customHeight="1">
      <c r="A610" s="36"/>
      <c r="B610" s="37"/>
      <c r="C610" s="37"/>
      <c r="D610" s="1"/>
      <c r="E610" s="1"/>
      <c r="F610" s="1"/>
      <c r="G610" s="1"/>
      <c r="H610" s="185"/>
      <c r="I610" s="185"/>
      <c r="J610" s="1"/>
      <c r="K610" s="1"/>
      <c r="L610" s="1"/>
      <c r="M610" s="1"/>
    </row>
    <row r="611" ht="15.75" customHeight="1">
      <c r="A611" s="36"/>
      <c r="B611" s="37"/>
      <c r="C611" s="37"/>
      <c r="D611" s="1"/>
      <c r="E611" s="1"/>
      <c r="F611" s="1"/>
      <c r="G611" s="1"/>
      <c r="H611" s="185"/>
      <c r="I611" s="185"/>
      <c r="J611" s="1"/>
      <c r="K611" s="1"/>
      <c r="L611" s="1"/>
      <c r="M611" s="1"/>
    </row>
    <row r="612" ht="15.75" customHeight="1">
      <c r="A612" s="36"/>
      <c r="B612" s="37"/>
      <c r="C612" s="37"/>
      <c r="D612" s="1"/>
      <c r="E612" s="1"/>
      <c r="F612" s="1"/>
      <c r="G612" s="1"/>
      <c r="H612" s="185"/>
      <c r="I612" s="185"/>
      <c r="J612" s="1"/>
      <c r="K612" s="1"/>
      <c r="L612" s="1"/>
      <c r="M612" s="1"/>
    </row>
    <row r="613" ht="15.75" customHeight="1">
      <c r="A613" s="36"/>
      <c r="B613" s="37"/>
      <c r="C613" s="37"/>
      <c r="D613" s="1"/>
      <c r="E613" s="1"/>
      <c r="F613" s="1"/>
      <c r="G613" s="1"/>
      <c r="H613" s="185"/>
      <c r="I613" s="185"/>
      <c r="J613" s="1"/>
      <c r="K613" s="1"/>
      <c r="L613" s="1"/>
      <c r="M613" s="1"/>
    </row>
    <row r="614" ht="15.75" customHeight="1">
      <c r="A614" s="36"/>
      <c r="B614" s="37"/>
      <c r="C614" s="37"/>
      <c r="D614" s="1"/>
      <c r="E614" s="1"/>
      <c r="F614" s="1"/>
      <c r="G614" s="1"/>
      <c r="H614" s="185"/>
      <c r="I614" s="185"/>
      <c r="J614" s="1"/>
      <c r="K614" s="1"/>
      <c r="L614" s="1"/>
      <c r="M614" s="1"/>
    </row>
    <row r="615" ht="15.75" customHeight="1">
      <c r="A615" s="36"/>
      <c r="B615" s="37"/>
      <c r="C615" s="37"/>
      <c r="D615" s="1"/>
      <c r="E615" s="1"/>
      <c r="F615" s="1"/>
      <c r="G615" s="1"/>
      <c r="H615" s="185"/>
      <c r="I615" s="185"/>
      <c r="J615" s="1"/>
      <c r="K615" s="1"/>
      <c r="L615" s="1"/>
      <c r="M615" s="1"/>
    </row>
    <row r="616" ht="15.75" customHeight="1">
      <c r="A616" s="36"/>
      <c r="B616" s="37"/>
      <c r="C616" s="37"/>
      <c r="D616" s="1"/>
      <c r="E616" s="1"/>
      <c r="F616" s="1"/>
      <c r="G616" s="1"/>
      <c r="H616" s="185"/>
      <c r="I616" s="185"/>
      <c r="J616" s="1"/>
      <c r="K616" s="1"/>
      <c r="L616" s="1"/>
      <c r="M616" s="1"/>
    </row>
    <row r="617" ht="15.75" customHeight="1">
      <c r="A617" s="36"/>
      <c r="B617" s="37"/>
      <c r="C617" s="37"/>
      <c r="D617" s="1"/>
      <c r="E617" s="1"/>
      <c r="F617" s="1"/>
      <c r="G617" s="1"/>
      <c r="H617" s="185"/>
      <c r="I617" s="185"/>
      <c r="J617" s="1"/>
      <c r="K617" s="1"/>
      <c r="L617" s="1"/>
      <c r="M617" s="1"/>
    </row>
    <row r="618" ht="15.75" customHeight="1">
      <c r="A618" s="36"/>
      <c r="B618" s="37"/>
      <c r="C618" s="37"/>
      <c r="D618" s="1"/>
      <c r="E618" s="1"/>
      <c r="F618" s="1"/>
      <c r="G618" s="1"/>
      <c r="H618" s="185"/>
      <c r="I618" s="185"/>
      <c r="J618" s="1"/>
      <c r="K618" s="1"/>
      <c r="L618" s="1"/>
      <c r="M618" s="1"/>
    </row>
    <row r="619" ht="15.75" customHeight="1">
      <c r="A619" s="36"/>
      <c r="B619" s="37"/>
      <c r="C619" s="37"/>
      <c r="D619" s="1"/>
      <c r="E619" s="1"/>
      <c r="F619" s="1"/>
      <c r="G619" s="1"/>
      <c r="H619" s="185"/>
      <c r="I619" s="185"/>
      <c r="J619" s="1"/>
      <c r="K619" s="1"/>
      <c r="L619" s="1"/>
      <c r="M619" s="1"/>
    </row>
    <row r="620" ht="15.75" customHeight="1">
      <c r="A620" s="36"/>
      <c r="B620" s="37"/>
      <c r="C620" s="37"/>
      <c r="D620" s="1"/>
      <c r="E620" s="1"/>
      <c r="F620" s="1"/>
      <c r="G620" s="1"/>
      <c r="H620" s="185"/>
      <c r="I620" s="185"/>
      <c r="J620" s="1"/>
      <c r="K620" s="1"/>
      <c r="L620" s="1"/>
      <c r="M620" s="1"/>
    </row>
    <row r="621" ht="15.75" customHeight="1">
      <c r="A621" s="36"/>
      <c r="B621" s="37"/>
      <c r="C621" s="37"/>
      <c r="D621" s="1"/>
      <c r="E621" s="1"/>
      <c r="F621" s="1"/>
      <c r="G621" s="1"/>
      <c r="H621" s="185"/>
      <c r="I621" s="185"/>
      <c r="J621" s="1"/>
      <c r="K621" s="1"/>
      <c r="L621" s="1"/>
      <c r="M621" s="1"/>
    </row>
    <row r="622" ht="15.75" customHeight="1">
      <c r="A622" s="36"/>
      <c r="B622" s="37"/>
      <c r="C622" s="37"/>
      <c r="D622" s="1"/>
      <c r="E622" s="1"/>
      <c r="F622" s="1"/>
      <c r="G622" s="1"/>
      <c r="H622" s="185"/>
      <c r="I622" s="185"/>
      <c r="J622" s="1"/>
      <c r="K622" s="1"/>
      <c r="L622" s="1"/>
      <c r="M622" s="1"/>
    </row>
    <row r="623" ht="15.75" customHeight="1">
      <c r="A623" s="36"/>
      <c r="B623" s="37"/>
      <c r="C623" s="37"/>
      <c r="D623" s="1"/>
      <c r="E623" s="1"/>
      <c r="F623" s="1"/>
      <c r="G623" s="1"/>
      <c r="H623" s="185"/>
      <c r="I623" s="185"/>
      <c r="J623" s="1"/>
      <c r="K623" s="1"/>
      <c r="L623" s="1"/>
      <c r="M623" s="1"/>
    </row>
    <row r="624" ht="15.75" customHeight="1">
      <c r="A624" s="36"/>
      <c r="B624" s="37"/>
      <c r="C624" s="37"/>
      <c r="D624" s="1"/>
      <c r="E624" s="1"/>
      <c r="F624" s="1"/>
      <c r="G624" s="1"/>
      <c r="H624" s="185"/>
      <c r="I624" s="185"/>
      <c r="J624" s="1"/>
      <c r="K624" s="1"/>
      <c r="L624" s="1"/>
      <c r="M624" s="1"/>
    </row>
    <row r="625" ht="15.75" customHeight="1">
      <c r="A625" s="36"/>
      <c r="B625" s="37"/>
      <c r="C625" s="37"/>
      <c r="D625" s="1"/>
      <c r="E625" s="1"/>
      <c r="F625" s="1"/>
      <c r="G625" s="1"/>
      <c r="H625" s="185"/>
      <c r="I625" s="185"/>
      <c r="J625" s="1"/>
      <c r="K625" s="1"/>
      <c r="L625" s="1"/>
      <c r="M625" s="1"/>
    </row>
    <row r="626" ht="15.75" customHeight="1">
      <c r="A626" s="36"/>
      <c r="B626" s="37"/>
      <c r="C626" s="37"/>
      <c r="D626" s="1"/>
      <c r="E626" s="1"/>
      <c r="F626" s="1"/>
      <c r="G626" s="1"/>
      <c r="H626" s="185"/>
      <c r="I626" s="185"/>
      <c r="J626" s="1"/>
      <c r="K626" s="1"/>
      <c r="L626" s="1"/>
      <c r="M626" s="1"/>
    </row>
    <row r="627" ht="15.75" customHeight="1">
      <c r="A627" s="36"/>
      <c r="B627" s="37"/>
      <c r="C627" s="37"/>
      <c r="D627" s="1"/>
      <c r="E627" s="1"/>
      <c r="F627" s="1"/>
      <c r="G627" s="1"/>
      <c r="H627" s="185"/>
      <c r="I627" s="185"/>
      <c r="J627" s="1"/>
      <c r="K627" s="1"/>
      <c r="L627" s="1"/>
      <c r="M627" s="1"/>
    </row>
    <row r="628" ht="15.75" customHeight="1">
      <c r="A628" s="36"/>
      <c r="B628" s="37"/>
      <c r="C628" s="37"/>
      <c r="D628" s="1"/>
      <c r="E628" s="1"/>
      <c r="F628" s="1"/>
      <c r="G628" s="1"/>
      <c r="H628" s="185"/>
      <c r="I628" s="185"/>
      <c r="J628" s="1"/>
      <c r="K628" s="1"/>
      <c r="L628" s="1"/>
      <c r="M628" s="1"/>
    </row>
    <row r="629" ht="15.75" customHeight="1">
      <c r="A629" s="36"/>
      <c r="B629" s="37"/>
      <c r="C629" s="37"/>
      <c r="D629" s="1"/>
      <c r="E629" s="1"/>
      <c r="F629" s="1"/>
      <c r="G629" s="1"/>
      <c r="H629" s="185"/>
      <c r="I629" s="185"/>
      <c r="J629" s="1"/>
      <c r="K629" s="1"/>
      <c r="L629" s="1"/>
      <c r="M629" s="1"/>
    </row>
    <row r="630" ht="15.75" customHeight="1">
      <c r="A630" s="36"/>
      <c r="B630" s="37"/>
      <c r="C630" s="37"/>
      <c r="D630" s="1"/>
      <c r="E630" s="1"/>
      <c r="F630" s="1"/>
      <c r="G630" s="1"/>
      <c r="H630" s="185"/>
      <c r="I630" s="185"/>
      <c r="J630" s="1"/>
      <c r="K630" s="1"/>
      <c r="L630" s="1"/>
      <c r="M630" s="1"/>
    </row>
    <row r="631" ht="15.75" customHeight="1">
      <c r="A631" s="36"/>
      <c r="B631" s="37"/>
      <c r="C631" s="37"/>
      <c r="D631" s="1"/>
      <c r="E631" s="1"/>
      <c r="F631" s="1"/>
      <c r="G631" s="1"/>
      <c r="H631" s="185"/>
      <c r="I631" s="185"/>
      <c r="J631" s="1"/>
      <c r="K631" s="1"/>
      <c r="L631" s="1"/>
      <c r="M631" s="1"/>
    </row>
    <row r="632" ht="15.75" customHeight="1">
      <c r="A632" s="36"/>
      <c r="B632" s="37"/>
      <c r="C632" s="37"/>
      <c r="D632" s="1"/>
      <c r="E632" s="1"/>
      <c r="F632" s="1"/>
      <c r="G632" s="1"/>
      <c r="H632" s="185"/>
      <c r="I632" s="185"/>
      <c r="J632" s="1"/>
      <c r="K632" s="1"/>
      <c r="L632" s="1"/>
      <c r="M632" s="1"/>
    </row>
    <row r="633" ht="15.75" customHeight="1">
      <c r="A633" s="36"/>
      <c r="B633" s="37"/>
      <c r="C633" s="37"/>
      <c r="D633" s="1"/>
      <c r="E633" s="1"/>
      <c r="F633" s="1"/>
      <c r="G633" s="1"/>
      <c r="H633" s="185"/>
      <c r="I633" s="185"/>
      <c r="J633" s="1"/>
      <c r="K633" s="1"/>
      <c r="L633" s="1"/>
      <c r="M633" s="1"/>
    </row>
    <row r="634" ht="15.75" customHeight="1">
      <c r="A634" s="36"/>
      <c r="B634" s="37"/>
      <c r="C634" s="37"/>
      <c r="D634" s="1"/>
      <c r="E634" s="1"/>
      <c r="F634" s="1"/>
      <c r="G634" s="1"/>
      <c r="H634" s="185"/>
      <c r="I634" s="185"/>
      <c r="J634" s="1"/>
      <c r="K634" s="1"/>
      <c r="L634" s="1"/>
      <c r="M634" s="1"/>
    </row>
    <row r="635" ht="15.75" customHeight="1">
      <c r="A635" s="36"/>
      <c r="B635" s="37"/>
      <c r="C635" s="37"/>
      <c r="D635" s="1"/>
      <c r="E635" s="1"/>
      <c r="F635" s="1"/>
      <c r="G635" s="1"/>
      <c r="H635" s="185"/>
      <c r="I635" s="185"/>
      <c r="J635" s="1"/>
      <c r="K635" s="1"/>
      <c r="L635" s="1"/>
      <c r="M635" s="1"/>
    </row>
    <row r="636" ht="15.75" customHeight="1">
      <c r="A636" s="36"/>
      <c r="B636" s="37"/>
      <c r="C636" s="37"/>
      <c r="D636" s="1"/>
      <c r="E636" s="1"/>
      <c r="F636" s="1"/>
      <c r="G636" s="1"/>
      <c r="H636" s="185"/>
      <c r="I636" s="185"/>
      <c r="J636" s="1"/>
      <c r="K636" s="1"/>
      <c r="L636" s="1"/>
      <c r="M636" s="1"/>
    </row>
    <row r="637" ht="15.75" customHeight="1">
      <c r="A637" s="36"/>
      <c r="B637" s="37"/>
      <c r="C637" s="37"/>
      <c r="D637" s="1"/>
      <c r="E637" s="1"/>
      <c r="F637" s="1"/>
      <c r="G637" s="1"/>
      <c r="H637" s="185"/>
      <c r="I637" s="185"/>
      <c r="J637" s="1"/>
      <c r="K637" s="1"/>
      <c r="L637" s="1"/>
      <c r="M637" s="1"/>
    </row>
    <row r="638" ht="15.75" customHeight="1">
      <c r="A638" s="36"/>
      <c r="B638" s="37"/>
      <c r="C638" s="37"/>
      <c r="D638" s="1"/>
      <c r="E638" s="1"/>
      <c r="F638" s="1"/>
      <c r="G638" s="1"/>
      <c r="H638" s="185"/>
      <c r="I638" s="185"/>
      <c r="J638" s="1"/>
      <c r="K638" s="1"/>
      <c r="L638" s="1"/>
      <c r="M638" s="1"/>
    </row>
    <row r="639" ht="15.75" customHeight="1">
      <c r="A639" s="36"/>
      <c r="B639" s="37"/>
      <c r="C639" s="37"/>
      <c r="D639" s="1"/>
      <c r="E639" s="1"/>
      <c r="F639" s="1"/>
      <c r="G639" s="1"/>
      <c r="H639" s="185"/>
      <c r="I639" s="185"/>
      <c r="J639" s="1"/>
      <c r="K639" s="1"/>
      <c r="L639" s="1"/>
      <c r="M639" s="1"/>
    </row>
    <row r="640" ht="15.75" customHeight="1">
      <c r="A640" s="36"/>
      <c r="B640" s="37"/>
      <c r="C640" s="37"/>
      <c r="D640" s="1"/>
      <c r="E640" s="1"/>
      <c r="F640" s="1"/>
      <c r="G640" s="1"/>
      <c r="H640" s="185"/>
      <c r="I640" s="185"/>
      <c r="J640" s="1"/>
      <c r="K640" s="1"/>
      <c r="L640" s="1"/>
      <c r="M640" s="1"/>
    </row>
    <row r="641" ht="15.75" customHeight="1">
      <c r="A641" s="36"/>
      <c r="B641" s="37"/>
      <c r="C641" s="37"/>
      <c r="D641" s="1"/>
      <c r="E641" s="1"/>
      <c r="F641" s="1"/>
      <c r="G641" s="1"/>
      <c r="H641" s="185"/>
      <c r="I641" s="185"/>
      <c r="J641" s="1"/>
      <c r="K641" s="1"/>
      <c r="L641" s="1"/>
      <c r="M641" s="1"/>
    </row>
    <row r="642" ht="15.75" customHeight="1">
      <c r="A642" s="36"/>
      <c r="B642" s="37"/>
      <c r="C642" s="37"/>
      <c r="D642" s="1"/>
      <c r="E642" s="1"/>
      <c r="F642" s="1"/>
      <c r="G642" s="1"/>
      <c r="H642" s="185"/>
      <c r="I642" s="185"/>
      <c r="J642" s="1"/>
      <c r="K642" s="1"/>
      <c r="L642" s="1"/>
      <c r="M642" s="1"/>
    </row>
    <row r="643" ht="15.75" customHeight="1">
      <c r="A643" s="36"/>
      <c r="B643" s="37"/>
      <c r="C643" s="37"/>
      <c r="D643" s="1"/>
      <c r="E643" s="1"/>
      <c r="F643" s="1"/>
      <c r="G643" s="1"/>
      <c r="H643" s="185"/>
      <c r="I643" s="185"/>
      <c r="J643" s="1"/>
      <c r="K643" s="1"/>
      <c r="L643" s="1"/>
      <c r="M643" s="1"/>
    </row>
    <row r="644" ht="15.75" customHeight="1">
      <c r="A644" s="36"/>
      <c r="B644" s="37"/>
      <c r="C644" s="37"/>
      <c r="D644" s="1"/>
      <c r="E644" s="1"/>
      <c r="F644" s="1"/>
      <c r="G644" s="1"/>
      <c r="H644" s="185"/>
      <c r="I644" s="185"/>
      <c r="J644" s="1"/>
      <c r="K644" s="1"/>
      <c r="L644" s="1"/>
      <c r="M644" s="1"/>
    </row>
    <row r="645" ht="15.75" customHeight="1">
      <c r="A645" s="36"/>
      <c r="B645" s="37"/>
      <c r="C645" s="37"/>
      <c r="D645" s="1"/>
      <c r="E645" s="1"/>
      <c r="F645" s="1"/>
      <c r="G645" s="1"/>
      <c r="H645" s="185"/>
      <c r="I645" s="185"/>
      <c r="J645" s="1"/>
      <c r="K645" s="1"/>
      <c r="L645" s="1"/>
      <c r="M645" s="1"/>
    </row>
    <row r="646" ht="15.75" customHeight="1">
      <c r="A646" s="36"/>
      <c r="B646" s="37"/>
      <c r="C646" s="37"/>
      <c r="D646" s="1"/>
      <c r="E646" s="1"/>
      <c r="F646" s="1"/>
      <c r="G646" s="1"/>
      <c r="H646" s="185"/>
      <c r="I646" s="185"/>
      <c r="J646" s="1"/>
      <c r="K646" s="1"/>
      <c r="L646" s="1"/>
      <c r="M646" s="1"/>
    </row>
    <row r="647" ht="15.75" customHeight="1">
      <c r="A647" s="36"/>
      <c r="B647" s="37"/>
      <c r="C647" s="37"/>
      <c r="D647" s="1"/>
      <c r="E647" s="1"/>
      <c r="F647" s="1"/>
      <c r="G647" s="1"/>
      <c r="H647" s="185"/>
      <c r="I647" s="185"/>
      <c r="J647" s="1"/>
      <c r="K647" s="1"/>
      <c r="L647" s="1"/>
      <c r="M647" s="1"/>
    </row>
    <row r="648" ht="15.75" customHeight="1">
      <c r="A648" s="36"/>
      <c r="B648" s="37"/>
      <c r="C648" s="37"/>
      <c r="D648" s="1"/>
      <c r="E648" s="1"/>
      <c r="F648" s="1"/>
      <c r="G648" s="1"/>
      <c r="H648" s="185"/>
      <c r="I648" s="185"/>
      <c r="J648" s="1"/>
      <c r="K648" s="1"/>
      <c r="L648" s="1"/>
      <c r="M648" s="1"/>
    </row>
    <row r="649" ht="15.75" customHeight="1">
      <c r="A649" s="36"/>
      <c r="B649" s="37"/>
      <c r="C649" s="37"/>
      <c r="D649" s="1"/>
      <c r="E649" s="1"/>
      <c r="F649" s="1"/>
      <c r="G649" s="1"/>
      <c r="H649" s="185"/>
      <c r="I649" s="185"/>
      <c r="J649" s="1"/>
      <c r="K649" s="1"/>
      <c r="L649" s="1"/>
      <c r="M649" s="1"/>
    </row>
    <row r="650" ht="15.75" customHeight="1">
      <c r="A650" s="36"/>
      <c r="B650" s="37"/>
      <c r="C650" s="37"/>
      <c r="D650" s="1"/>
      <c r="E650" s="1"/>
      <c r="F650" s="1"/>
      <c r="G650" s="1"/>
      <c r="H650" s="185"/>
      <c r="I650" s="185"/>
      <c r="J650" s="1"/>
      <c r="K650" s="1"/>
      <c r="L650" s="1"/>
      <c r="M650" s="1"/>
    </row>
    <row r="651" ht="15.75" customHeight="1">
      <c r="A651" s="36"/>
      <c r="B651" s="37"/>
      <c r="C651" s="37"/>
      <c r="D651" s="1"/>
      <c r="E651" s="1"/>
      <c r="F651" s="1"/>
      <c r="G651" s="1"/>
      <c r="H651" s="185"/>
      <c r="I651" s="185"/>
      <c r="J651" s="1"/>
      <c r="K651" s="1"/>
      <c r="L651" s="1"/>
      <c r="M651" s="1"/>
    </row>
    <row r="652" ht="15.75" customHeight="1">
      <c r="A652" s="36"/>
      <c r="B652" s="37"/>
      <c r="C652" s="37"/>
      <c r="D652" s="1"/>
      <c r="E652" s="1"/>
      <c r="F652" s="1"/>
      <c r="G652" s="1"/>
      <c r="H652" s="185"/>
      <c r="I652" s="185"/>
      <c r="J652" s="1"/>
      <c r="K652" s="1"/>
      <c r="L652" s="1"/>
      <c r="M652" s="1"/>
    </row>
    <row r="653" ht="15.75" customHeight="1">
      <c r="A653" s="36"/>
      <c r="B653" s="37"/>
      <c r="C653" s="37"/>
      <c r="D653" s="1"/>
      <c r="E653" s="1"/>
      <c r="F653" s="1"/>
      <c r="G653" s="1"/>
      <c r="H653" s="185"/>
      <c r="I653" s="185"/>
      <c r="J653" s="1"/>
      <c r="K653" s="1"/>
      <c r="L653" s="1"/>
      <c r="M653" s="1"/>
    </row>
    <row r="654" ht="15.75" customHeight="1">
      <c r="A654" s="36"/>
      <c r="B654" s="37"/>
      <c r="C654" s="37"/>
      <c r="D654" s="1"/>
      <c r="E654" s="1"/>
      <c r="F654" s="1"/>
      <c r="G654" s="1"/>
      <c r="H654" s="185"/>
      <c r="I654" s="185"/>
      <c r="J654" s="1"/>
      <c r="K654" s="1"/>
      <c r="L654" s="1"/>
      <c r="M654" s="1"/>
    </row>
    <row r="655" ht="15.75" customHeight="1">
      <c r="A655" s="36"/>
      <c r="B655" s="37"/>
      <c r="C655" s="37"/>
      <c r="D655" s="1"/>
      <c r="E655" s="1"/>
      <c r="F655" s="1"/>
      <c r="G655" s="1"/>
      <c r="H655" s="185"/>
      <c r="I655" s="185"/>
      <c r="J655" s="1"/>
      <c r="K655" s="1"/>
      <c r="L655" s="1"/>
      <c r="M655" s="1"/>
    </row>
    <row r="656" ht="15.75" customHeight="1">
      <c r="A656" s="36"/>
      <c r="B656" s="37"/>
      <c r="C656" s="37"/>
      <c r="D656" s="1"/>
      <c r="E656" s="1"/>
      <c r="F656" s="1"/>
      <c r="G656" s="1"/>
      <c r="H656" s="185"/>
      <c r="I656" s="185"/>
      <c r="J656" s="1"/>
      <c r="K656" s="1"/>
      <c r="L656" s="1"/>
      <c r="M656" s="1"/>
    </row>
    <row r="657" ht="15.75" customHeight="1">
      <c r="A657" s="36"/>
      <c r="B657" s="37"/>
      <c r="C657" s="37"/>
      <c r="D657" s="1"/>
      <c r="E657" s="1"/>
      <c r="F657" s="1"/>
      <c r="G657" s="1"/>
      <c r="H657" s="185"/>
      <c r="I657" s="185"/>
      <c r="J657" s="1"/>
      <c r="K657" s="1"/>
      <c r="L657" s="1"/>
      <c r="M657" s="1"/>
    </row>
    <row r="658" ht="15.75" customHeight="1">
      <c r="A658" s="36"/>
      <c r="B658" s="37"/>
      <c r="C658" s="37"/>
      <c r="D658" s="1"/>
      <c r="E658" s="1"/>
      <c r="F658" s="1"/>
      <c r="G658" s="1"/>
      <c r="H658" s="185"/>
      <c r="I658" s="185"/>
      <c r="J658" s="1"/>
      <c r="K658" s="1"/>
      <c r="L658" s="1"/>
      <c r="M658" s="1"/>
    </row>
    <row r="659" ht="15.75" customHeight="1">
      <c r="A659" s="36"/>
      <c r="B659" s="37"/>
      <c r="C659" s="37"/>
      <c r="D659" s="1"/>
      <c r="E659" s="1"/>
      <c r="F659" s="1"/>
      <c r="G659" s="1"/>
      <c r="H659" s="185"/>
      <c r="I659" s="185"/>
      <c r="J659" s="1"/>
      <c r="K659" s="1"/>
      <c r="L659" s="1"/>
      <c r="M659" s="1"/>
    </row>
    <row r="660" ht="15.75" customHeight="1">
      <c r="A660" s="36"/>
      <c r="B660" s="37"/>
      <c r="C660" s="37"/>
      <c r="D660" s="1"/>
      <c r="E660" s="1"/>
      <c r="F660" s="1"/>
      <c r="G660" s="1"/>
      <c r="H660" s="185"/>
      <c r="I660" s="185"/>
      <c r="J660" s="1"/>
      <c r="K660" s="1"/>
      <c r="L660" s="1"/>
      <c r="M660" s="1"/>
    </row>
    <row r="661" ht="15.75" customHeight="1">
      <c r="A661" s="36"/>
      <c r="B661" s="37"/>
      <c r="C661" s="37"/>
      <c r="D661" s="1"/>
      <c r="E661" s="1"/>
      <c r="F661" s="1"/>
      <c r="G661" s="1"/>
      <c r="H661" s="185"/>
      <c r="I661" s="185"/>
      <c r="J661" s="1"/>
      <c r="K661" s="1"/>
      <c r="L661" s="1"/>
      <c r="M661" s="1"/>
    </row>
    <row r="662" ht="15.75" customHeight="1">
      <c r="A662" s="36"/>
      <c r="B662" s="37"/>
      <c r="C662" s="37"/>
      <c r="D662" s="1"/>
      <c r="E662" s="1"/>
      <c r="F662" s="1"/>
      <c r="G662" s="1"/>
      <c r="H662" s="185"/>
      <c r="I662" s="185"/>
      <c r="J662" s="1"/>
      <c r="K662" s="1"/>
      <c r="L662" s="1"/>
      <c r="M662" s="1"/>
    </row>
    <row r="663" ht="15.75" customHeight="1">
      <c r="A663" s="36"/>
      <c r="B663" s="37"/>
      <c r="C663" s="37"/>
      <c r="D663" s="1"/>
      <c r="E663" s="1"/>
      <c r="F663" s="1"/>
      <c r="G663" s="1"/>
      <c r="H663" s="185"/>
      <c r="I663" s="185"/>
      <c r="J663" s="1"/>
      <c r="K663" s="1"/>
      <c r="L663" s="1"/>
      <c r="M663" s="1"/>
    </row>
    <row r="664" ht="15.75" customHeight="1">
      <c r="A664" s="36"/>
      <c r="B664" s="37"/>
      <c r="C664" s="37"/>
      <c r="D664" s="1"/>
      <c r="E664" s="1"/>
      <c r="F664" s="1"/>
      <c r="G664" s="1"/>
      <c r="H664" s="185"/>
      <c r="I664" s="185"/>
      <c r="J664" s="1"/>
      <c r="K664" s="1"/>
      <c r="L664" s="1"/>
      <c r="M664" s="1"/>
    </row>
    <row r="665" ht="15.75" customHeight="1">
      <c r="A665" s="36"/>
      <c r="B665" s="37"/>
      <c r="C665" s="37"/>
      <c r="D665" s="1"/>
      <c r="E665" s="1"/>
      <c r="F665" s="1"/>
      <c r="G665" s="1"/>
      <c r="H665" s="185"/>
      <c r="I665" s="185"/>
      <c r="J665" s="1"/>
      <c r="K665" s="1"/>
      <c r="L665" s="1"/>
      <c r="M665" s="1"/>
    </row>
    <row r="666" ht="15.75" customHeight="1">
      <c r="A666" s="36"/>
      <c r="B666" s="37"/>
      <c r="C666" s="37"/>
      <c r="D666" s="1"/>
      <c r="E666" s="1"/>
      <c r="F666" s="1"/>
      <c r="G666" s="1"/>
      <c r="H666" s="185"/>
      <c r="I666" s="185"/>
      <c r="J666" s="1"/>
      <c r="K666" s="1"/>
      <c r="L666" s="1"/>
      <c r="M666" s="1"/>
    </row>
    <row r="667" ht="15.75" customHeight="1">
      <c r="A667" s="36"/>
      <c r="B667" s="37"/>
      <c r="C667" s="37"/>
      <c r="D667" s="1"/>
      <c r="E667" s="1"/>
      <c r="F667" s="1"/>
      <c r="G667" s="1"/>
      <c r="H667" s="185"/>
      <c r="I667" s="185"/>
      <c r="J667" s="1"/>
      <c r="K667" s="1"/>
      <c r="L667" s="1"/>
      <c r="M667" s="1"/>
    </row>
    <row r="668" ht="15.75" customHeight="1">
      <c r="A668" s="36"/>
      <c r="B668" s="37"/>
      <c r="C668" s="37"/>
      <c r="D668" s="1"/>
      <c r="E668" s="1"/>
      <c r="F668" s="1"/>
      <c r="G668" s="1"/>
      <c r="H668" s="185"/>
      <c r="I668" s="185"/>
      <c r="J668" s="1"/>
      <c r="K668" s="1"/>
      <c r="L668" s="1"/>
      <c r="M668" s="1"/>
    </row>
    <row r="669" ht="15.75" customHeight="1">
      <c r="A669" s="36"/>
      <c r="B669" s="37"/>
      <c r="C669" s="37"/>
      <c r="D669" s="1"/>
      <c r="E669" s="1"/>
      <c r="F669" s="1"/>
      <c r="G669" s="1"/>
      <c r="H669" s="185"/>
      <c r="I669" s="185"/>
      <c r="J669" s="1"/>
      <c r="K669" s="1"/>
      <c r="L669" s="1"/>
      <c r="M669" s="1"/>
    </row>
    <row r="670" ht="15.75" customHeight="1">
      <c r="A670" s="36"/>
      <c r="B670" s="37"/>
      <c r="C670" s="37"/>
      <c r="D670" s="1"/>
      <c r="E670" s="1"/>
      <c r="F670" s="1"/>
      <c r="G670" s="1"/>
      <c r="H670" s="185"/>
      <c r="I670" s="185"/>
      <c r="J670" s="1"/>
      <c r="K670" s="1"/>
      <c r="L670" s="1"/>
      <c r="M670" s="1"/>
    </row>
    <row r="671" ht="15.75" customHeight="1">
      <c r="A671" s="36"/>
      <c r="B671" s="37"/>
      <c r="C671" s="37"/>
      <c r="D671" s="1"/>
      <c r="E671" s="1"/>
      <c r="F671" s="1"/>
      <c r="G671" s="1"/>
      <c r="H671" s="185"/>
      <c r="I671" s="185"/>
      <c r="J671" s="1"/>
      <c r="K671" s="1"/>
      <c r="L671" s="1"/>
      <c r="M671" s="1"/>
    </row>
    <row r="672" ht="15.75" customHeight="1">
      <c r="A672" s="36"/>
      <c r="B672" s="37"/>
      <c r="C672" s="37"/>
      <c r="D672" s="1"/>
      <c r="E672" s="1"/>
      <c r="F672" s="1"/>
      <c r="G672" s="1"/>
      <c r="H672" s="185"/>
      <c r="I672" s="185"/>
      <c r="J672" s="1"/>
      <c r="K672" s="1"/>
      <c r="L672" s="1"/>
      <c r="M672" s="1"/>
    </row>
    <row r="673" ht="15.75" customHeight="1">
      <c r="A673" s="36"/>
      <c r="B673" s="37"/>
      <c r="C673" s="37"/>
      <c r="D673" s="1"/>
      <c r="E673" s="1"/>
      <c r="F673" s="1"/>
      <c r="G673" s="1"/>
      <c r="H673" s="185"/>
      <c r="I673" s="185"/>
      <c r="J673" s="1"/>
      <c r="K673" s="1"/>
      <c r="L673" s="1"/>
      <c r="M673" s="1"/>
    </row>
    <row r="674" ht="15.75" customHeight="1">
      <c r="A674" s="36"/>
      <c r="B674" s="37"/>
      <c r="C674" s="37"/>
      <c r="D674" s="1"/>
      <c r="E674" s="1"/>
      <c r="F674" s="1"/>
      <c r="G674" s="1"/>
      <c r="H674" s="185"/>
      <c r="I674" s="185"/>
      <c r="J674" s="1"/>
      <c r="K674" s="1"/>
      <c r="L674" s="1"/>
      <c r="M674" s="1"/>
    </row>
    <row r="675" ht="15.75" customHeight="1">
      <c r="A675" s="36"/>
      <c r="B675" s="37"/>
      <c r="C675" s="37"/>
      <c r="D675" s="1"/>
      <c r="E675" s="1"/>
      <c r="F675" s="1"/>
      <c r="G675" s="1"/>
      <c r="H675" s="185"/>
      <c r="I675" s="185"/>
      <c r="J675" s="1"/>
      <c r="K675" s="1"/>
      <c r="L675" s="1"/>
      <c r="M675" s="1"/>
    </row>
    <row r="676" ht="15.75" customHeight="1">
      <c r="A676" s="36"/>
      <c r="B676" s="37"/>
      <c r="C676" s="37"/>
      <c r="D676" s="1"/>
      <c r="E676" s="1"/>
      <c r="F676" s="1"/>
      <c r="G676" s="1"/>
      <c r="H676" s="185"/>
      <c r="I676" s="185"/>
      <c r="J676" s="1"/>
      <c r="K676" s="1"/>
      <c r="L676" s="1"/>
      <c r="M676" s="1"/>
    </row>
    <row r="677" ht="15.75" customHeight="1">
      <c r="A677" s="36"/>
      <c r="B677" s="37"/>
      <c r="C677" s="37"/>
      <c r="D677" s="1"/>
      <c r="E677" s="1"/>
      <c r="F677" s="1"/>
      <c r="G677" s="1"/>
      <c r="H677" s="185"/>
      <c r="I677" s="185"/>
      <c r="J677" s="1"/>
      <c r="K677" s="1"/>
      <c r="L677" s="1"/>
      <c r="M677" s="1"/>
    </row>
    <row r="678" ht="15.75" customHeight="1">
      <c r="A678" s="36"/>
      <c r="B678" s="37"/>
      <c r="C678" s="37"/>
      <c r="D678" s="1"/>
      <c r="E678" s="1"/>
      <c r="F678" s="1"/>
      <c r="G678" s="1"/>
      <c r="H678" s="185"/>
      <c r="I678" s="185"/>
      <c r="J678" s="1"/>
      <c r="K678" s="1"/>
      <c r="L678" s="1"/>
      <c r="M678" s="1"/>
    </row>
    <row r="679" ht="15.75" customHeight="1">
      <c r="A679" s="36"/>
      <c r="B679" s="37"/>
      <c r="C679" s="37"/>
      <c r="D679" s="1"/>
      <c r="E679" s="1"/>
      <c r="F679" s="1"/>
      <c r="G679" s="1"/>
      <c r="H679" s="185"/>
      <c r="I679" s="185"/>
      <c r="J679" s="1"/>
      <c r="K679" s="1"/>
      <c r="L679" s="1"/>
      <c r="M679" s="1"/>
    </row>
    <row r="680" ht="15.75" customHeight="1">
      <c r="A680" s="36"/>
      <c r="B680" s="37"/>
      <c r="C680" s="37"/>
      <c r="D680" s="1"/>
      <c r="E680" s="1"/>
      <c r="F680" s="1"/>
      <c r="G680" s="1"/>
      <c r="H680" s="185"/>
      <c r="I680" s="185"/>
      <c r="J680" s="1"/>
      <c r="K680" s="1"/>
      <c r="L680" s="1"/>
      <c r="M680" s="1"/>
    </row>
    <row r="681" ht="15.75" customHeight="1">
      <c r="A681" s="36"/>
      <c r="B681" s="37"/>
      <c r="C681" s="37"/>
      <c r="D681" s="1"/>
      <c r="E681" s="1"/>
      <c r="F681" s="1"/>
      <c r="G681" s="1"/>
      <c r="H681" s="185"/>
      <c r="I681" s="185"/>
      <c r="J681" s="1"/>
      <c r="K681" s="1"/>
      <c r="L681" s="1"/>
      <c r="M681" s="1"/>
    </row>
    <row r="682" ht="15.75" customHeight="1">
      <c r="A682" s="36"/>
      <c r="B682" s="37"/>
      <c r="C682" s="37"/>
      <c r="D682" s="1"/>
      <c r="E682" s="1"/>
      <c r="F682" s="1"/>
      <c r="G682" s="1"/>
      <c r="H682" s="185"/>
      <c r="I682" s="185"/>
      <c r="J682" s="1"/>
      <c r="K682" s="1"/>
      <c r="L682" s="1"/>
      <c r="M682" s="1"/>
    </row>
    <row r="683" ht="15.75" customHeight="1">
      <c r="A683" s="36"/>
      <c r="B683" s="37"/>
      <c r="C683" s="37"/>
      <c r="D683" s="1"/>
      <c r="E683" s="1"/>
      <c r="F683" s="1"/>
      <c r="G683" s="1"/>
      <c r="H683" s="185"/>
      <c r="I683" s="185"/>
      <c r="J683" s="1"/>
      <c r="K683" s="1"/>
      <c r="L683" s="1"/>
      <c r="M683" s="1"/>
    </row>
    <row r="684" ht="15.75" customHeight="1">
      <c r="A684" s="36"/>
      <c r="B684" s="37"/>
      <c r="C684" s="37"/>
      <c r="D684" s="1"/>
      <c r="E684" s="1"/>
      <c r="F684" s="1"/>
      <c r="G684" s="1"/>
      <c r="H684" s="185"/>
      <c r="I684" s="185"/>
      <c r="J684" s="1"/>
      <c r="K684" s="1"/>
      <c r="L684" s="1"/>
      <c r="M684" s="1"/>
    </row>
    <row r="685" ht="15.75" customHeight="1">
      <c r="A685" s="36"/>
      <c r="B685" s="37"/>
      <c r="C685" s="37"/>
      <c r="D685" s="1"/>
      <c r="E685" s="1"/>
      <c r="F685" s="1"/>
      <c r="G685" s="1"/>
      <c r="H685" s="185"/>
      <c r="I685" s="185"/>
      <c r="J685" s="1"/>
      <c r="K685" s="1"/>
      <c r="L685" s="1"/>
      <c r="M685" s="1"/>
    </row>
    <row r="686" ht="15.75" customHeight="1">
      <c r="A686" s="36"/>
      <c r="B686" s="37"/>
      <c r="C686" s="37"/>
      <c r="D686" s="1"/>
      <c r="E686" s="1"/>
      <c r="F686" s="1"/>
      <c r="G686" s="1"/>
      <c r="H686" s="185"/>
      <c r="I686" s="185"/>
      <c r="J686" s="1"/>
      <c r="K686" s="1"/>
      <c r="L686" s="1"/>
      <c r="M686" s="1"/>
    </row>
    <row r="687" ht="15.75" customHeight="1">
      <c r="A687" s="36"/>
      <c r="B687" s="37"/>
      <c r="C687" s="37"/>
      <c r="D687" s="1"/>
      <c r="E687" s="1"/>
      <c r="F687" s="1"/>
      <c r="G687" s="1"/>
      <c r="H687" s="185"/>
      <c r="I687" s="185"/>
      <c r="J687" s="1"/>
      <c r="K687" s="1"/>
      <c r="L687" s="1"/>
      <c r="M687" s="1"/>
    </row>
    <row r="688" ht="15.75" customHeight="1">
      <c r="A688" s="36"/>
      <c r="B688" s="37"/>
      <c r="C688" s="37"/>
      <c r="D688" s="1"/>
      <c r="E688" s="1"/>
      <c r="F688" s="1"/>
      <c r="G688" s="1"/>
      <c r="H688" s="185"/>
      <c r="I688" s="185"/>
      <c r="J688" s="1"/>
      <c r="K688" s="1"/>
      <c r="L688" s="1"/>
      <c r="M688" s="1"/>
    </row>
    <row r="689" ht="15.75" customHeight="1">
      <c r="A689" s="36"/>
      <c r="B689" s="37"/>
      <c r="C689" s="37"/>
      <c r="D689" s="1"/>
      <c r="E689" s="1"/>
      <c r="F689" s="1"/>
      <c r="G689" s="1"/>
      <c r="H689" s="185"/>
      <c r="I689" s="185"/>
      <c r="J689" s="1"/>
      <c r="K689" s="1"/>
      <c r="L689" s="1"/>
      <c r="M689" s="1"/>
    </row>
    <row r="690" ht="15.75" customHeight="1">
      <c r="A690" s="36"/>
      <c r="B690" s="37"/>
      <c r="C690" s="37"/>
      <c r="D690" s="1"/>
      <c r="E690" s="1"/>
      <c r="F690" s="1"/>
      <c r="G690" s="1"/>
      <c r="H690" s="185"/>
      <c r="I690" s="185"/>
      <c r="J690" s="1"/>
      <c r="K690" s="1"/>
      <c r="L690" s="1"/>
      <c r="M690" s="1"/>
    </row>
    <row r="691" ht="15.75" customHeight="1">
      <c r="A691" s="36"/>
      <c r="B691" s="37"/>
      <c r="C691" s="37"/>
      <c r="D691" s="1"/>
      <c r="E691" s="1"/>
      <c r="F691" s="1"/>
      <c r="G691" s="1"/>
      <c r="H691" s="185"/>
      <c r="I691" s="185"/>
      <c r="J691" s="1"/>
      <c r="K691" s="1"/>
      <c r="L691" s="1"/>
      <c r="M691" s="1"/>
    </row>
    <row r="692" ht="15.75" customHeight="1">
      <c r="A692" s="36"/>
      <c r="B692" s="37"/>
      <c r="C692" s="37"/>
      <c r="D692" s="1"/>
      <c r="E692" s="1"/>
      <c r="F692" s="1"/>
      <c r="G692" s="1"/>
      <c r="H692" s="185"/>
      <c r="I692" s="185"/>
      <c r="J692" s="1"/>
      <c r="K692" s="1"/>
      <c r="L692" s="1"/>
      <c r="M692" s="1"/>
    </row>
    <row r="693" ht="15.75" customHeight="1">
      <c r="A693" s="36"/>
      <c r="B693" s="37"/>
      <c r="C693" s="37"/>
      <c r="D693" s="1"/>
      <c r="E693" s="1"/>
      <c r="F693" s="1"/>
      <c r="G693" s="1"/>
      <c r="H693" s="185"/>
      <c r="I693" s="185"/>
      <c r="J693" s="1"/>
      <c r="K693" s="1"/>
      <c r="L693" s="1"/>
      <c r="M693" s="1"/>
    </row>
    <row r="694" ht="15.75" customHeight="1">
      <c r="A694" s="36"/>
      <c r="B694" s="37"/>
      <c r="C694" s="37"/>
      <c r="D694" s="1"/>
      <c r="E694" s="1"/>
      <c r="F694" s="1"/>
      <c r="G694" s="1"/>
      <c r="H694" s="185"/>
      <c r="I694" s="185"/>
      <c r="J694" s="1"/>
      <c r="K694" s="1"/>
      <c r="L694" s="1"/>
      <c r="M694" s="1"/>
    </row>
    <row r="695" ht="15.75" customHeight="1">
      <c r="A695" s="36"/>
      <c r="B695" s="37"/>
      <c r="C695" s="37"/>
      <c r="D695" s="1"/>
      <c r="E695" s="1"/>
      <c r="F695" s="1"/>
      <c r="G695" s="1"/>
      <c r="H695" s="185"/>
      <c r="I695" s="185"/>
      <c r="J695" s="1"/>
      <c r="K695" s="1"/>
      <c r="L695" s="1"/>
      <c r="M695" s="1"/>
    </row>
    <row r="696" ht="15.75" customHeight="1">
      <c r="A696" s="36"/>
      <c r="B696" s="37"/>
      <c r="C696" s="37"/>
      <c r="D696" s="1"/>
      <c r="E696" s="1"/>
      <c r="F696" s="1"/>
      <c r="G696" s="1"/>
      <c r="H696" s="185"/>
      <c r="I696" s="185"/>
      <c r="J696" s="1"/>
      <c r="K696" s="1"/>
      <c r="L696" s="1"/>
      <c r="M696" s="1"/>
    </row>
    <row r="697" ht="15.75" customHeight="1">
      <c r="A697" s="36"/>
      <c r="B697" s="37"/>
      <c r="C697" s="37"/>
      <c r="D697" s="1"/>
      <c r="E697" s="1"/>
      <c r="F697" s="1"/>
      <c r="G697" s="1"/>
      <c r="H697" s="185"/>
      <c r="I697" s="185"/>
      <c r="J697" s="1"/>
      <c r="K697" s="1"/>
      <c r="L697" s="1"/>
      <c r="M697" s="1"/>
    </row>
    <row r="698" ht="15.75" customHeight="1">
      <c r="A698" s="36"/>
      <c r="B698" s="37"/>
      <c r="C698" s="37"/>
      <c r="D698" s="1"/>
      <c r="E698" s="1"/>
      <c r="F698" s="1"/>
      <c r="G698" s="1"/>
      <c r="H698" s="185"/>
      <c r="I698" s="185"/>
      <c r="J698" s="1"/>
      <c r="K698" s="1"/>
      <c r="L698" s="1"/>
      <c r="M698" s="1"/>
    </row>
    <row r="699" ht="15.75" customHeight="1">
      <c r="A699" s="36"/>
      <c r="B699" s="37"/>
      <c r="C699" s="37"/>
      <c r="D699" s="1"/>
      <c r="E699" s="1"/>
      <c r="F699" s="1"/>
      <c r="G699" s="1"/>
      <c r="H699" s="185"/>
      <c r="I699" s="185"/>
      <c r="J699" s="1"/>
      <c r="K699" s="1"/>
      <c r="L699" s="1"/>
      <c r="M699" s="1"/>
    </row>
    <row r="700" ht="15.75" customHeight="1">
      <c r="A700" s="36"/>
      <c r="B700" s="37"/>
      <c r="C700" s="37"/>
      <c r="D700" s="1"/>
      <c r="E700" s="1"/>
      <c r="F700" s="1"/>
      <c r="G700" s="1"/>
      <c r="H700" s="185"/>
      <c r="I700" s="185"/>
      <c r="J700" s="1"/>
      <c r="K700" s="1"/>
      <c r="L700" s="1"/>
      <c r="M700" s="1"/>
    </row>
    <row r="701" ht="15.75" customHeight="1">
      <c r="A701" s="36"/>
      <c r="B701" s="37"/>
      <c r="C701" s="37"/>
      <c r="D701" s="1"/>
      <c r="E701" s="1"/>
      <c r="F701" s="1"/>
      <c r="G701" s="1"/>
      <c r="H701" s="185"/>
      <c r="I701" s="185"/>
      <c r="J701" s="1"/>
      <c r="K701" s="1"/>
      <c r="L701" s="1"/>
      <c r="M701" s="1"/>
    </row>
    <row r="702" ht="15.75" customHeight="1">
      <c r="A702" s="36"/>
      <c r="B702" s="37"/>
      <c r="C702" s="37"/>
      <c r="D702" s="1"/>
      <c r="E702" s="1"/>
      <c r="F702" s="1"/>
      <c r="G702" s="1"/>
      <c r="H702" s="185"/>
      <c r="I702" s="185"/>
      <c r="J702" s="1"/>
      <c r="K702" s="1"/>
      <c r="L702" s="1"/>
      <c r="M702" s="1"/>
    </row>
    <row r="703" ht="15.75" customHeight="1">
      <c r="A703" s="36"/>
      <c r="B703" s="37"/>
      <c r="C703" s="37"/>
      <c r="D703" s="1"/>
      <c r="E703" s="1"/>
      <c r="F703" s="1"/>
      <c r="G703" s="1"/>
      <c r="H703" s="185"/>
      <c r="I703" s="185"/>
      <c r="J703" s="1"/>
      <c r="K703" s="1"/>
      <c r="L703" s="1"/>
      <c r="M703" s="1"/>
    </row>
    <row r="704" ht="15.75" customHeight="1">
      <c r="A704" s="36"/>
      <c r="B704" s="37"/>
      <c r="C704" s="37"/>
      <c r="D704" s="1"/>
      <c r="E704" s="1"/>
      <c r="F704" s="1"/>
      <c r="G704" s="1"/>
      <c r="H704" s="185"/>
      <c r="I704" s="185"/>
      <c r="J704" s="1"/>
      <c r="K704" s="1"/>
      <c r="L704" s="1"/>
      <c r="M704" s="1"/>
    </row>
    <row r="705" ht="15.75" customHeight="1">
      <c r="A705" s="36"/>
      <c r="B705" s="37"/>
      <c r="C705" s="37"/>
      <c r="D705" s="1"/>
      <c r="E705" s="1"/>
      <c r="F705" s="1"/>
      <c r="G705" s="1"/>
      <c r="H705" s="185"/>
      <c r="I705" s="185"/>
      <c r="J705" s="1"/>
      <c r="K705" s="1"/>
      <c r="L705" s="1"/>
      <c r="M705" s="1"/>
    </row>
    <row r="706" ht="15.75" customHeight="1">
      <c r="A706" s="36"/>
      <c r="B706" s="37"/>
      <c r="C706" s="37"/>
      <c r="D706" s="1"/>
      <c r="E706" s="1"/>
      <c r="F706" s="1"/>
      <c r="G706" s="1"/>
      <c r="H706" s="185"/>
      <c r="I706" s="185"/>
      <c r="J706" s="1"/>
      <c r="K706" s="1"/>
      <c r="L706" s="1"/>
      <c r="M706" s="1"/>
    </row>
    <row r="707" ht="15.75" customHeight="1">
      <c r="A707" s="36"/>
      <c r="B707" s="37"/>
      <c r="C707" s="37"/>
      <c r="D707" s="1"/>
      <c r="E707" s="1"/>
      <c r="F707" s="1"/>
      <c r="G707" s="1"/>
      <c r="H707" s="185"/>
      <c r="I707" s="185"/>
      <c r="J707" s="1"/>
      <c r="K707" s="1"/>
      <c r="L707" s="1"/>
      <c r="M707" s="1"/>
    </row>
    <row r="708" ht="15.75" customHeight="1">
      <c r="A708" s="36"/>
      <c r="B708" s="37"/>
      <c r="C708" s="37"/>
      <c r="D708" s="1"/>
      <c r="E708" s="1"/>
      <c r="F708" s="1"/>
      <c r="G708" s="1"/>
      <c r="H708" s="185"/>
      <c r="I708" s="185"/>
      <c r="J708" s="1"/>
      <c r="K708" s="1"/>
      <c r="L708" s="1"/>
      <c r="M708" s="1"/>
    </row>
    <row r="709" ht="15.75" customHeight="1">
      <c r="A709" s="36"/>
      <c r="B709" s="37"/>
      <c r="C709" s="37"/>
      <c r="D709" s="1"/>
      <c r="E709" s="1"/>
      <c r="F709" s="1"/>
      <c r="G709" s="1"/>
      <c r="H709" s="185"/>
      <c r="I709" s="185"/>
      <c r="J709" s="1"/>
      <c r="K709" s="1"/>
      <c r="L709" s="1"/>
      <c r="M709" s="1"/>
    </row>
    <row r="710" ht="15.75" customHeight="1">
      <c r="A710" s="36"/>
      <c r="B710" s="37"/>
      <c r="C710" s="37"/>
      <c r="D710" s="1"/>
      <c r="E710" s="1"/>
      <c r="F710" s="1"/>
      <c r="G710" s="1"/>
      <c r="H710" s="185"/>
      <c r="I710" s="185"/>
      <c r="J710" s="1"/>
      <c r="K710" s="1"/>
      <c r="L710" s="1"/>
      <c r="M710" s="1"/>
    </row>
    <row r="711" ht="15.75" customHeight="1">
      <c r="A711" s="36"/>
      <c r="B711" s="37"/>
      <c r="C711" s="37"/>
      <c r="D711" s="1"/>
      <c r="E711" s="1"/>
      <c r="F711" s="1"/>
      <c r="G711" s="1"/>
      <c r="H711" s="185"/>
      <c r="I711" s="185"/>
      <c r="J711" s="1"/>
      <c r="K711" s="1"/>
      <c r="L711" s="1"/>
      <c r="M711" s="1"/>
    </row>
    <row r="712" ht="15.75" customHeight="1">
      <c r="A712" s="36"/>
      <c r="B712" s="37"/>
      <c r="C712" s="37"/>
      <c r="D712" s="1"/>
      <c r="E712" s="1"/>
      <c r="F712" s="1"/>
      <c r="G712" s="1"/>
      <c r="H712" s="185"/>
      <c r="I712" s="185"/>
      <c r="J712" s="1"/>
      <c r="K712" s="1"/>
      <c r="L712" s="1"/>
      <c r="M712" s="1"/>
    </row>
    <row r="713" ht="15.75" customHeight="1">
      <c r="A713" s="36"/>
      <c r="B713" s="37"/>
      <c r="C713" s="37"/>
      <c r="D713" s="1"/>
      <c r="E713" s="1"/>
      <c r="F713" s="1"/>
      <c r="G713" s="1"/>
      <c r="H713" s="185"/>
      <c r="I713" s="185"/>
      <c r="J713" s="1"/>
      <c r="K713" s="1"/>
      <c r="L713" s="1"/>
      <c r="M713" s="1"/>
    </row>
    <row r="714" ht="15.75" customHeight="1">
      <c r="A714" s="36"/>
      <c r="B714" s="37"/>
      <c r="C714" s="37"/>
      <c r="D714" s="1"/>
      <c r="E714" s="1"/>
      <c r="F714" s="1"/>
      <c r="G714" s="1"/>
      <c r="H714" s="185"/>
      <c r="I714" s="185"/>
      <c r="J714" s="1"/>
      <c r="K714" s="1"/>
      <c r="L714" s="1"/>
      <c r="M714" s="1"/>
    </row>
    <row r="715" ht="15.75" customHeight="1">
      <c r="A715" s="36"/>
      <c r="B715" s="37"/>
      <c r="C715" s="37"/>
      <c r="D715" s="1"/>
      <c r="E715" s="1"/>
      <c r="F715" s="1"/>
      <c r="G715" s="1"/>
      <c r="H715" s="185"/>
      <c r="I715" s="185"/>
      <c r="J715" s="1"/>
      <c r="K715" s="1"/>
      <c r="L715" s="1"/>
      <c r="M715" s="1"/>
    </row>
    <row r="716" ht="15.75" customHeight="1">
      <c r="A716" s="36"/>
      <c r="B716" s="37"/>
      <c r="C716" s="37"/>
      <c r="D716" s="1"/>
      <c r="E716" s="1"/>
      <c r="F716" s="1"/>
      <c r="G716" s="1"/>
      <c r="H716" s="185"/>
      <c r="I716" s="185"/>
      <c r="J716" s="1"/>
      <c r="K716" s="1"/>
      <c r="L716" s="1"/>
      <c r="M716" s="1"/>
    </row>
    <row r="717" ht="15.75" customHeight="1">
      <c r="A717" s="36"/>
      <c r="B717" s="37"/>
      <c r="C717" s="37"/>
      <c r="D717" s="1"/>
      <c r="E717" s="1"/>
      <c r="F717" s="1"/>
      <c r="G717" s="1"/>
      <c r="H717" s="185"/>
      <c r="I717" s="185"/>
      <c r="J717" s="1"/>
      <c r="K717" s="1"/>
      <c r="L717" s="1"/>
      <c r="M717" s="1"/>
    </row>
    <row r="718" ht="15.75" customHeight="1">
      <c r="A718" s="36"/>
      <c r="B718" s="37"/>
      <c r="C718" s="37"/>
      <c r="D718" s="1"/>
      <c r="E718" s="1"/>
      <c r="F718" s="1"/>
      <c r="G718" s="1"/>
      <c r="H718" s="185"/>
      <c r="I718" s="185"/>
      <c r="J718" s="1"/>
      <c r="K718" s="1"/>
      <c r="L718" s="1"/>
      <c r="M718" s="1"/>
    </row>
    <row r="719" ht="15.75" customHeight="1">
      <c r="A719" s="36"/>
      <c r="B719" s="37"/>
      <c r="C719" s="37"/>
      <c r="D719" s="1"/>
      <c r="E719" s="1"/>
      <c r="F719" s="1"/>
      <c r="G719" s="1"/>
      <c r="H719" s="185"/>
      <c r="I719" s="185"/>
      <c r="J719" s="1"/>
      <c r="K719" s="1"/>
      <c r="L719" s="1"/>
      <c r="M719" s="1"/>
    </row>
    <row r="720" ht="15.75" customHeight="1">
      <c r="A720" s="36"/>
      <c r="B720" s="37"/>
      <c r="C720" s="37"/>
      <c r="D720" s="1"/>
      <c r="E720" s="1"/>
      <c r="F720" s="1"/>
      <c r="G720" s="1"/>
      <c r="H720" s="185"/>
      <c r="I720" s="185"/>
      <c r="J720" s="1"/>
      <c r="K720" s="1"/>
      <c r="L720" s="1"/>
      <c r="M720" s="1"/>
    </row>
    <row r="721" ht="15.75" customHeight="1">
      <c r="A721" s="36"/>
      <c r="B721" s="37"/>
      <c r="C721" s="37"/>
      <c r="D721" s="1"/>
      <c r="E721" s="1"/>
      <c r="F721" s="1"/>
      <c r="G721" s="1"/>
      <c r="H721" s="185"/>
      <c r="I721" s="185"/>
      <c r="J721" s="1"/>
      <c r="K721" s="1"/>
      <c r="L721" s="1"/>
      <c r="M721" s="1"/>
    </row>
    <row r="722" ht="15.75" customHeight="1">
      <c r="A722" s="36"/>
      <c r="B722" s="37"/>
      <c r="C722" s="37"/>
      <c r="D722" s="1"/>
      <c r="E722" s="1"/>
      <c r="F722" s="1"/>
      <c r="G722" s="1"/>
      <c r="H722" s="185"/>
      <c r="I722" s="185"/>
      <c r="J722" s="1"/>
      <c r="K722" s="1"/>
      <c r="L722" s="1"/>
      <c r="M722" s="1"/>
    </row>
    <row r="723" ht="15.75" customHeight="1">
      <c r="A723" s="36"/>
      <c r="B723" s="37"/>
      <c r="C723" s="37"/>
      <c r="D723" s="1"/>
      <c r="E723" s="1"/>
      <c r="F723" s="1"/>
      <c r="G723" s="1"/>
      <c r="H723" s="185"/>
      <c r="I723" s="185"/>
      <c r="J723" s="1"/>
      <c r="K723" s="1"/>
      <c r="L723" s="1"/>
      <c r="M723" s="1"/>
    </row>
    <row r="724" ht="15.75" customHeight="1">
      <c r="A724" s="36"/>
      <c r="B724" s="37"/>
      <c r="C724" s="37"/>
      <c r="D724" s="1"/>
      <c r="E724" s="1"/>
      <c r="F724" s="1"/>
      <c r="G724" s="1"/>
      <c r="H724" s="185"/>
      <c r="I724" s="185"/>
      <c r="J724" s="1"/>
      <c r="K724" s="1"/>
      <c r="L724" s="1"/>
      <c r="M724" s="1"/>
    </row>
    <row r="725" ht="15.75" customHeight="1">
      <c r="A725" s="36"/>
      <c r="B725" s="37"/>
      <c r="C725" s="37"/>
      <c r="D725" s="1"/>
      <c r="E725" s="1"/>
      <c r="F725" s="1"/>
      <c r="G725" s="1"/>
      <c r="H725" s="185"/>
      <c r="I725" s="185"/>
      <c r="J725" s="1"/>
      <c r="K725" s="1"/>
      <c r="L725" s="1"/>
      <c r="M725" s="1"/>
    </row>
    <row r="726" ht="15.75" customHeight="1">
      <c r="A726" s="36"/>
      <c r="B726" s="37"/>
      <c r="C726" s="37"/>
      <c r="D726" s="1"/>
      <c r="E726" s="1"/>
      <c r="F726" s="1"/>
      <c r="G726" s="1"/>
      <c r="H726" s="185"/>
      <c r="I726" s="185"/>
      <c r="J726" s="1"/>
      <c r="K726" s="1"/>
      <c r="L726" s="1"/>
      <c r="M726" s="1"/>
    </row>
    <row r="727" ht="15.75" customHeight="1">
      <c r="A727" s="36"/>
      <c r="B727" s="37"/>
      <c r="C727" s="37"/>
      <c r="D727" s="1"/>
      <c r="E727" s="1"/>
      <c r="F727" s="1"/>
      <c r="G727" s="1"/>
      <c r="H727" s="185"/>
      <c r="I727" s="185"/>
      <c r="J727" s="1"/>
      <c r="K727" s="1"/>
      <c r="L727" s="1"/>
      <c r="M727" s="1"/>
    </row>
    <row r="728" ht="15.75" customHeight="1">
      <c r="A728" s="36"/>
      <c r="B728" s="37"/>
      <c r="C728" s="37"/>
      <c r="D728" s="1"/>
      <c r="E728" s="1"/>
      <c r="F728" s="1"/>
      <c r="G728" s="1"/>
      <c r="H728" s="185"/>
      <c r="I728" s="185"/>
      <c r="J728" s="1"/>
      <c r="K728" s="1"/>
      <c r="L728" s="1"/>
      <c r="M728" s="1"/>
    </row>
    <row r="729" ht="15.75" customHeight="1">
      <c r="A729" s="36"/>
      <c r="B729" s="37"/>
      <c r="C729" s="37"/>
      <c r="D729" s="1"/>
      <c r="E729" s="1"/>
      <c r="F729" s="1"/>
      <c r="G729" s="1"/>
      <c r="H729" s="185"/>
      <c r="I729" s="185"/>
      <c r="J729" s="1"/>
      <c r="K729" s="1"/>
      <c r="L729" s="1"/>
      <c r="M729" s="1"/>
    </row>
    <row r="730" ht="15.75" customHeight="1">
      <c r="A730" s="36"/>
      <c r="B730" s="37"/>
      <c r="C730" s="37"/>
      <c r="D730" s="1"/>
      <c r="E730" s="1"/>
      <c r="F730" s="1"/>
      <c r="G730" s="1"/>
      <c r="H730" s="185"/>
      <c r="I730" s="185"/>
      <c r="J730" s="1"/>
      <c r="K730" s="1"/>
      <c r="L730" s="1"/>
      <c r="M730" s="1"/>
    </row>
    <row r="731" ht="15.75" customHeight="1">
      <c r="A731" s="36"/>
      <c r="B731" s="37"/>
      <c r="C731" s="37"/>
      <c r="D731" s="1"/>
      <c r="E731" s="1"/>
      <c r="F731" s="1"/>
      <c r="G731" s="1"/>
      <c r="H731" s="185"/>
      <c r="I731" s="185"/>
      <c r="J731" s="1"/>
      <c r="K731" s="1"/>
      <c r="L731" s="1"/>
      <c r="M731" s="1"/>
    </row>
    <row r="732" ht="15.75" customHeight="1">
      <c r="A732" s="36"/>
      <c r="B732" s="37"/>
      <c r="C732" s="37"/>
      <c r="D732" s="1"/>
      <c r="E732" s="1"/>
      <c r="F732" s="1"/>
      <c r="G732" s="1"/>
      <c r="H732" s="185"/>
      <c r="I732" s="185"/>
      <c r="J732" s="1"/>
      <c r="K732" s="1"/>
      <c r="L732" s="1"/>
      <c r="M732" s="1"/>
    </row>
    <row r="733" ht="15.75" customHeight="1">
      <c r="A733" s="36"/>
      <c r="B733" s="37"/>
      <c r="C733" s="37"/>
      <c r="D733" s="1"/>
      <c r="E733" s="1"/>
      <c r="F733" s="1"/>
      <c r="G733" s="1"/>
      <c r="H733" s="185"/>
      <c r="I733" s="185"/>
      <c r="J733" s="1"/>
      <c r="K733" s="1"/>
      <c r="L733" s="1"/>
      <c r="M733" s="1"/>
    </row>
    <row r="734" ht="15.75" customHeight="1">
      <c r="A734" s="36"/>
      <c r="B734" s="37"/>
      <c r="C734" s="37"/>
      <c r="D734" s="1"/>
      <c r="E734" s="1"/>
      <c r="F734" s="1"/>
      <c r="G734" s="1"/>
      <c r="H734" s="185"/>
      <c r="I734" s="185"/>
      <c r="J734" s="1"/>
      <c r="K734" s="1"/>
      <c r="L734" s="1"/>
      <c r="M734" s="1"/>
    </row>
    <row r="735" ht="15.75" customHeight="1">
      <c r="A735" s="36"/>
      <c r="B735" s="37"/>
      <c r="C735" s="37"/>
      <c r="D735" s="1"/>
      <c r="E735" s="1"/>
      <c r="F735" s="1"/>
      <c r="G735" s="1"/>
      <c r="H735" s="185"/>
      <c r="I735" s="185"/>
      <c r="J735" s="1"/>
      <c r="K735" s="1"/>
      <c r="L735" s="1"/>
      <c r="M735" s="1"/>
    </row>
    <row r="736" ht="15.75" customHeight="1">
      <c r="A736" s="36"/>
      <c r="B736" s="37"/>
      <c r="C736" s="37"/>
      <c r="D736" s="1"/>
      <c r="E736" s="1"/>
      <c r="F736" s="1"/>
      <c r="G736" s="1"/>
      <c r="H736" s="185"/>
      <c r="I736" s="185"/>
      <c r="J736" s="1"/>
      <c r="K736" s="1"/>
      <c r="L736" s="1"/>
      <c r="M736" s="1"/>
    </row>
    <row r="737" ht="15.75" customHeight="1">
      <c r="A737" s="36"/>
      <c r="B737" s="37"/>
      <c r="C737" s="37"/>
      <c r="D737" s="1"/>
      <c r="E737" s="1"/>
      <c r="F737" s="1"/>
      <c r="G737" s="1"/>
      <c r="H737" s="185"/>
      <c r="I737" s="185"/>
      <c r="J737" s="1"/>
      <c r="K737" s="1"/>
      <c r="L737" s="1"/>
      <c r="M737" s="1"/>
    </row>
    <row r="738" ht="15.75" customHeight="1">
      <c r="A738" s="36"/>
      <c r="B738" s="37"/>
      <c r="C738" s="37"/>
      <c r="D738" s="1"/>
      <c r="E738" s="1"/>
      <c r="F738" s="1"/>
      <c r="G738" s="1"/>
      <c r="H738" s="185"/>
      <c r="I738" s="185"/>
      <c r="J738" s="1"/>
      <c r="K738" s="1"/>
      <c r="L738" s="1"/>
      <c r="M738" s="1"/>
    </row>
    <row r="739" ht="15.75" customHeight="1">
      <c r="A739" s="36"/>
      <c r="B739" s="37"/>
      <c r="C739" s="37"/>
      <c r="D739" s="1"/>
      <c r="E739" s="1"/>
      <c r="F739" s="1"/>
      <c r="G739" s="1"/>
      <c r="H739" s="185"/>
      <c r="I739" s="185"/>
      <c r="J739" s="1"/>
      <c r="K739" s="1"/>
      <c r="L739" s="1"/>
      <c r="M739" s="1"/>
    </row>
    <row r="740" ht="15.75" customHeight="1">
      <c r="A740" s="36"/>
      <c r="B740" s="37"/>
      <c r="C740" s="37"/>
      <c r="D740" s="1"/>
      <c r="E740" s="1"/>
      <c r="F740" s="1"/>
      <c r="G740" s="1"/>
      <c r="H740" s="185"/>
      <c r="I740" s="185"/>
      <c r="J740" s="1"/>
      <c r="K740" s="1"/>
      <c r="L740" s="1"/>
      <c r="M740" s="1"/>
    </row>
    <row r="741" ht="15.75" customHeight="1">
      <c r="A741" s="36"/>
      <c r="B741" s="37"/>
      <c r="C741" s="37"/>
      <c r="D741" s="1"/>
      <c r="E741" s="1"/>
      <c r="F741" s="1"/>
      <c r="G741" s="1"/>
      <c r="H741" s="185"/>
      <c r="I741" s="185"/>
      <c r="J741" s="1"/>
      <c r="K741" s="1"/>
      <c r="L741" s="1"/>
      <c r="M741" s="1"/>
    </row>
    <row r="742" ht="15.75" customHeight="1">
      <c r="A742" s="36"/>
      <c r="B742" s="37"/>
      <c r="C742" s="37"/>
      <c r="D742" s="1"/>
      <c r="E742" s="1"/>
      <c r="F742" s="1"/>
      <c r="G742" s="1"/>
      <c r="H742" s="185"/>
      <c r="I742" s="185"/>
      <c r="J742" s="1"/>
      <c r="K742" s="1"/>
      <c r="L742" s="1"/>
      <c r="M742" s="1"/>
    </row>
    <row r="743" ht="15.75" customHeight="1">
      <c r="A743" s="36"/>
      <c r="B743" s="37"/>
      <c r="C743" s="37"/>
      <c r="D743" s="1"/>
      <c r="E743" s="1"/>
      <c r="F743" s="1"/>
      <c r="G743" s="1"/>
      <c r="H743" s="185"/>
      <c r="I743" s="185"/>
      <c r="J743" s="1"/>
      <c r="K743" s="1"/>
      <c r="L743" s="1"/>
      <c r="M743" s="1"/>
    </row>
    <row r="744" ht="15.75" customHeight="1">
      <c r="A744" s="36"/>
      <c r="B744" s="37"/>
      <c r="C744" s="37"/>
      <c r="D744" s="1"/>
      <c r="E744" s="1"/>
      <c r="F744" s="1"/>
      <c r="G744" s="1"/>
      <c r="H744" s="185"/>
      <c r="I744" s="185"/>
      <c r="J744" s="1"/>
      <c r="K744" s="1"/>
      <c r="L744" s="1"/>
      <c r="M744" s="1"/>
    </row>
    <row r="745" ht="15.75" customHeight="1">
      <c r="A745" s="36"/>
      <c r="B745" s="37"/>
      <c r="C745" s="37"/>
      <c r="D745" s="1"/>
      <c r="E745" s="1"/>
      <c r="F745" s="1"/>
      <c r="G745" s="1"/>
      <c r="H745" s="185"/>
      <c r="I745" s="185"/>
      <c r="J745" s="1"/>
      <c r="K745" s="1"/>
      <c r="L745" s="1"/>
      <c r="M745" s="1"/>
    </row>
    <row r="746" ht="15.75" customHeight="1">
      <c r="A746" s="36"/>
      <c r="B746" s="37"/>
      <c r="C746" s="37"/>
      <c r="D746" s="1"/>
      <c r="E746" s="1"/>
      <c r="F746" s="1"/>
      <c r="G746" s="1"/>
      <c r="H746" s="185"/>
      <c r="I746" s="185"/>
      <c r="J746" s="1"/>
      <c r="K746" s="1"/>
      <c r="L746" s="1"/>
      <c r="M746" s="1"/>
    </row>
    <row r="747" ht="15.75" customHeight="1">
      <c r="A747" s="36"/>
      <c r="B747" s="37"/>
      <c r="C747" s="37"/>
      <c r="D747" s="1"/>
      <c r="E747" s="1"/>
      <c r="F747" s="1"/>
      <c r="G747" s="1"/>
      <c r="H747" s="185"/>
      <c r="I747" s="185"/>
      <c r="J747" s="1"/>
      <c r="K747" s="1"/>
      <c r="L747" s="1"/>
      <c r="M747" s="1"/>
    </row>
    <row r="748" ht="15.75" customHeight="1">
      <c r="A748" s="36"/>
      <c r="B748" s="37"/>
      <c r="C748" s="37"/>
      <c r="D748" s="1"/>
      <c r="E748" s="1"/>
      <c r="F748" s="1"/>
      <c r="G748" s="1"/>
      <c r="H748" s="185"/>
      <c r="I748" s="185"/>
      <c r="J748" s="1"/>
      <c r="K748" s="1"/>
      <c r="L748" s="1"/>
      <c r="M748" s="1"/>
    </row>
    <row r="749" ht="15.75" customHeight="1">
      <c r="A749" s="36"/>
      <c r="B749" s="37"/>
      <c r="C749" s="37"/>
      <c r="D749" s="1"/>
      <c r="E749" s="1"/>
      <c r="F749" s="1"/>
      <c r="G749" s="1"/>
      <c r="H749" s="185"/>
      <c r="I749" s="185"/>
      <c r="J749" s="1"/>
      <c r="K749" s="1"/>
      <c r="L749" s="1"/>
      <c r="M749" s="1"/>
    </row>
    <row r="750" ht="15.75" customHeight="1">
      <c r="A750" s="36"/>
      <c r="B750" s="37"/>
      <c r="C750" s="37"/>
      <c r="D750" s="1"/>
      <c r="E750" s="1"/>
      <c r="F750" s="1"/>
      <c r="G750" s="1"/>
      <c r="H750" s="185"/>
      <c r="I750" s="185"/>
      <c r="J750" s="1"/>
      <c r="K750" s="1"/>
      <c r="L750" s="1"/>
      <c r="M750" s="1"/>
    </row>
    <row r="751" ht="15.75" customHeight="1">
      <c r="A751" s="36"/>
      <c r="B751" s="37"/>
      <c r="C751" s="37"/>
      <c r="D751" s="1"/>
      <c r="E751" s="1"/>
      <c r="F751" s="1"/>
      <c r="G751" s="1"/>
      <c r="H751" s="185"/>
      <c r="I751" s="185"/>
      <c r="J751" s="1"/>
      <c r="K751" s="1"/>
      <c r="L751" s="1"/>
      <c r="M751" s="1"/>
    </row>
    <row r="752" ht="15.75" customHeight="1">
      <c r="A752" s="36"/>
      <c r="B752" s="37"/>
      <c r="C752" s="37"/>
      <c r="D752" s="1"/>
      <c r="E752" s="1"/>
      <c r="F752" s="1"/>
      <c r="G752" s="1"/>
      <c r="H752" s="185"/>
      <c r="I752" s="185"/>
      <c r="J752" s="1"/>
      <c r="K752" s="1"/>
      <c r="L752" s="1"/>
      <c r="M752" s="1"/>
    </row>
    <row r="753" ht="15.75" customHeight="1">
      <c r="A753" s="36"/>
      <c r="B753" s="37"/>
      <c r="C753" s="37"/>
      <c r="D753" s="1"/>
      <c r="E753" s="1"/>
      <c r="F753" s="1"/>
      <c r="G753" s="1"/>
      <c r="H753" s="185"/>
      <c r="I753" s="185"/>
      <c r="J753" s="1"/>
      <c r="K753" s="1"/>
      <c r="L753" s="1"/>
      <c r="M753" s="1"/>
    </row>
    <row r="754" ht="15.75" customHeight="1">
      <c r="A754" s="36"/>
      <c r="B754" s="37"/>
      <c r="C754" s="37"/>
      <c r="D754" s="1"/>
      <c r="E754" s="1"/>
      <c r="F754" s="1"/>
      <c r="G754" s="1"/>
      <c r="H754" s="185"/>
      <c r="I754" s="185"/>
      <c r="J754" s="1"/>
      <c r="K754" s="1"/>
      <c r="L754" s="1"/>
      <c r="M754" s="1"/>
    </row>
    <row r="755" ht="15.75" customHeight="1">
      <c r="A755" s="36"/>
      <c r="B755" s="37"/>
      <c r="C755" s="37"/>
      <c r="D755" s="1"/>
      <c r="E755" s="1"/>
      <c r="F755" s="1"/>
      <c r="G755" s="1"/>
      <c r="H755" s="185"/>
      <c r="I755" s="185"/>
      <c r="J755" s="1"/>
      <c r="K755" s="1"/>
      <c r="L755" s="1"/>
      <c r="M755" s="1"/>
    </row>
    <row r="756" ht="15.75" customHeight="1">
      <c r="A756" s="36"/>
      <c r="B756" s="37"/>
      <c r="C756" s="37"/>
      <c r="D756" s="1"/>
      <c r="E756" s="1"/>
      <c r="F756" s="1"/>
      <c r="G756" s="1"/>
      <c r="H756" s="185"/>
      <c r="I756" s="185"/>
      <c r="J756" s="1"/>
      <c r="K756" s="1"/>
      <c r="L756" s="1"/>
      <c r="M756" s="1"/>
    </row>
    <row r="757" ht="15.75" customHeight="1">
      <c r="A757" s="36"/>
      <c r="B757" s="37"/>
      <c r="C757" s="37"/>
      <c r="D757" s="1"/>
      <c r="E757" s="1"/>
      <c r="F757" s="1"/>
      <c r="G757" s="1"/>
      <c r="H757" s="185"/>
      <c r="I757" s="185"/>
      <c r="J757" s="1"/>
      <c r="K757" s="1"/>
      <c r="L757" s="1"/>
      <c r="M757" s="1"/>
    </row>
    <row r="758" ht="15.75" customHeight="1">
      <c r="A758" s="36"/>
      <c r="B758" s="37"/>
      <c r="C758" s="37"/>
      <c r="D758" s="1"/>
      <c r="E758" s="1"/>
      <c r="F758" s="1"/>
      <c r="G758" s="1"/>
      <c r="H758" s="185"/>
      <c r="I758" s="185"/>
      <c r="J758" s="1"/>
      <c r="K758" s="1"/>
      <c r="L758" s="1"/>
      <c r="M758" s="1"/>
    </row>
    <row r="759" ht="15.75" customHeight="1">
      <c r="A759" s="36"/>
      <c r="B759" s="37"/>
      <c r="C759" s="37"/>
      <c r="D759" s="1"/>
      <c r="E759" s="1"/>
      <c r="F759" s="1"/>
      <c r="G759" s="1"/>
      <c r="H759" s="185"/>
      <c r="I759" s="185"/>
      <c r="J759" s="1"/>
      <c r="K759" s="1"/>
      <c r="L759" s="1"/>
      <c r="M759" s="1"/>
    </row>
    <row r="760" ht="15.75" customHeight="1">
      <c r="A760" s="36"/>
      <c r="B760" s="37"/>
      <c r="C760" s="37"/>
      <c r="D760" s="1"/>
      <c r="E760" s="1"/>
      <c r="F760" s="1"/>
      <c r="G760" s="1"/>
      <c r="H760" s="185"/>
      <c r="I760" s="185"/>
      <c r="J760" s="1"/>
      <c r="K760" s="1"/>
      <c r="L760" s="1"/>
      <c r="M760" s="1"/>
    </row>
    <row r="761" ht="15.75" customHeight="1">
      <c r="A761" s="36"/>
      <c r="B761" s="37"/>
      <c r="C761" s="37"/>
      <c r="D761" s="1"/>
      <c r="E761" s="1"/>
      <c r="F761" s="1"/>
      <c r="G761" s="1"/>
      <c r="H761" s="185"/>
      <c r="I761" s="185"/>
      <c r="J761" s="1"/>
      <c r="K761" s="1"/>
      <c r="L761" s="1"/>
      <c r="M761" s="1"/>
    </row>
    <row r="762" ht="15.75" customHeight="1">
      <c r="A762" s="36"/>
      <c r="B762" s="37"/>
      <c r="C762" s="37"/>
      <c r="D762" s="1"/>
      <c r="E762" s="1"/>
      <c r="F762" s="1"/>
      <c r="G762" s="1"/>
      <c r="H762" s="185"/>
      <c r="I762" s="185"/>
      <c r="J762" s="1"/>
      <c r="K762" s="1"/>
      <c r="L762" s="1"/>
      <c r="M762" s="1"/>
    </row>
    <row r="763" ht="15.75" customHeight="1">
      <c r="A763" s="36"/>
      <c r="B763" s="37"/>
      <c r="C763" s="37"/>
      <c r="D763" s="1"/>
      <c r="E763" s="1"/>
      <c r="F763" s="1"/>
      <c r="G763" s="1"/>
      <c r="H763" s="185"/>
      <c r="I763" s="185"/>
      <c r="J763" s="1"/>
      <c r="K763" s="1"/>
      <c r="L763" s="1"/>
      <c r="M763" s="1"/>
    </row>
    <row r="764" ht="15.75" customHeight="1">
      <c r="A764" s="36"/>
      <c r="B764" s="37"/>
      <c r="C764" s="37"/>
      <c r="D764" s="1"/>
      <c r="E764" s="1"/>
      <c r="F764" s="1"/>
      <c r="G764" s="1"/>
      <c r="H764" s="185"/>
      <c r="I764" s="185"/>
      <c r="J764" s="1"/>
      <c r="K764" s="1"/>
      <c r="L764" s="1"/>
      <c r="M764" s="1"/>
    </row>
    <row r="765" ht="15.75" customHeight="1">
      <c r="A765" s="36"/>
      <c r="B765" s="37"/>
      <c r="C765" s="37"/>
      <c r="D765" s="1"/>
      <c r="E765" s="1"/>
      <c r="F765" s="1"/>
      <c r="G765" s="1"/>
      <c r="H765" s="185"/>
      <c r="I765" s="185"/>
      <c r="J765" s="1"/>
      <c r="K765" s="1"/>
      <c r="L765" s="1"/>
      <c r="M765" s="1"/>
    </row>
    <row r="766" ht="15.75" customHeight="1">
      <c r="A766" s="36"/>
      <c r="B766" s="37"/>
      <c r="C766" s="37"/>
      <c r="D766" s="1"/>
      <c r="E766" s="1"/>
      <c r="F766" s="1"/>
      <c r="G766" s="1"/>
      <c r="H766" s="185"/>
      <c r="I766" s="185"/>
      <c r="J766" s="1"/>
      <c r="K766" s="1"/>
      <c r="L766" s="1"/>
      <c r="M766" s="1"/>
    </row>
    <row r="767" ht="15.75" customHeight="1">
      <c r="A767" s="36"/>
      <c r="B767" s="37"/>
      <c r="C767" s="37"/>
      <c r="D767" s="1"/>
      <c r="E767" s="1"/>
      <c r="F767" s="1"/>
      <c r="G767" s="1"/>
      <c r="H767" s="185"/>
      <c r="I767" s="185"/>
      <c r="J767" s="1"/>
      <c r="K767" s="1"/>
      <c r="L767" s="1"/>
      <c r="M767" s="1"/>
    </row>
    <row r="768" ht="15.75" customHeight="1">
      <c r="A768" s="36"/>
      <c r="B768" s="37"/>
      <c r="C768" s="37"/>
      <c r="D768" s="1"/>
      <c r="E768" s="1"/>
      <c r="F768" s="1"/>
      <c r="G768" s="1"/>
      <c r="H768" s="185"/>
      <c r="I768" s="185"/>
      <c r="J768" s="1"/>
      <c r="K768" s="1"/>
      <c r="L768" s="1"/>
      <c r="M768" s="1"/>
    </row>
    <row r="769" ht="15.75" customHeight="1">
      <c r="A769" s="36"/>
      <c r="B769" s="37"/>
      <c r="C769" s="37"/>
      <c r="D769" s="1"/>
      <c r="E769" s="1"/>
      <c r="F769" s="1"/>
      <c r="G769" s="1"/>
      <c r="H769" s="185"/>
      <c r="I769" s="185"/>
      <c r="J769" s="1"/>
      <c r="K769" s="1"/>
      <c r="L769" s="1"/>
      <c r="M769" s="1"/>
    </row>
    <row r="770" ht="15.75" customHeight="1">
      <c r="A770" s="36"/>
      <c r="B770" s="37"/>
      <c r="C770" s="37"/>
      <c r="D770" s="1"/>
      <c r="E770" s="1"/>
      <c r="F770" s="1"/>
      <c r="G770" s="1"/>
      <c r="H770" s="185"/>
      <c r="I770" s="185"/>
      <c r="J770" s="1"/>
      <c r="K770" s="1"/>
      <c r="L770" s="1"/>
      <c r="M770" s="1"/>
    </row>
    <row r="771" ht="15.75" customHeight="1">
      <c r="A771" s="36"/>
      <c r="B771" s="37"/>
      <c r="C771" s="37"/>
      <c r="D771" s="1"/>
      <c r="E771" s="1"/>
      <c r="F771" s="1"/>
      <c r="G771" s="1"/>
      <c r="H771" s="185"/>
      <c r="I771" s="185"/>
      <c r="J771" s="1"/>
      <c r="K771" s="1"/>
      <c r="L771" s="1"/>
      <c r="M771" s="1"/>
    </row>
    <row r="772" ht="15.75" customHeight="1">
      <c r="A772" s="36"/>
      <c r="B772" s="37"/>
      <c r="C772" s="37"/>
      <c r="D772" s="1"/>
      <c r="E772" s="1"/>
      <c r="F772" s="1"/>
      <c r="G772" s="1"/>
      <c r="H772" s="185"/>
      <c r="I772" s="185"/>
      <c r="J772" s="1"/>
      <c r="K772" s="1"/>
      <c r="L772" s="1"/>
      <c r="M772" s="1"/>
    </row>
    <row r="773" ht="15.75" customHeight="1">
      <c r="A773" s="36"/>
      <c r="B773" s="37"/>
      <c r="C773" s="37"/>
      <c r="D773" s="1"/>
      <c r="E773" s="1"/>
      <c r="F773" s="1"/>
      <c r="G773" s="1"/>
      <c r="H773" s="185"/>
      <c r="I773" s="185"/>
      <c r="J773" s="1"/>
      <c r="K773" s="1"/>
      <c r="L773" s="1"/>
      <c r="M773" s="1"/>
    </row>
    <row r="774" ht="15.75" customHeight="1">
      <c r="A774" s="36"/>
      <c r="B774" s="37"/>
      <c r="C774" s="37"/>
      <c r="D774" s="1"/>
      <c r="E774" s="1"/>
      <c r="F774" s="1"/>
      <c r="G774" s="1"/>
      <c r="H774" s="185"/>
      <c r="I774" s="185"/>
      <c r="J774" s="1"/>
      <c r="K774" s="1"/>
      <c r="L774" s="1"/>
      <c r="M774" s="1"/>
    </row>
    <row r="775" ht="15.75" customHeight="1">
      <c r="A775" s="36"/>
      <c r="B775" s="37"/>
      <c r="C775" s="37"/>
      <c r="D775" s="1"/>
      <c r="E775" s="1"/>
      <c r="F775" s="1"/>
      <c r="G775" s="1"/>
      <c r="H775" s="185"/>
      <c r="I775" s="185"/>
      <c r="J775" s="1"/>
      <c r="K775" s="1"/>
      <c r="L775" s="1"/>
      <c r="M775" s="1"/>
    </row>
    <row r="776" ht="15.75" customHeight="1">
      <c r="A776" s="36"/>
      <c r="B776" s="37"/>
      <c r="C776" s="37"/>
      <c r="D776" s="1"/>
      <c r="E776" s="1"/>
      <c r="F776" s="1"/>
      <c r="G776" s="1"/>
      <c r="H776" s="185"/>
      <c r="I776" s="185"/>
      <c r="J776" s="1"/>
      <c r="K776" s="1"/>
      <c r="L776" s="1"/>
      <c r="M776" s="1"/>
    </row>
    <row r="777" ht="15.75" customHeight="1">
      <c r="A777" s="36"/>
      <c r="B777" s="37"/>
      <c r="C777" s="37"/>
      <c r="D777" s="1"/>
      <c r="E777" s="1"/>
      <c r="F777" s="1"/>
      <c r="G777" s="1"/>
      <c r="H777" s="185"/>
      <c r="I777" s="185"/>
      <c r="J777" s="1"/>
      <c r="K777" s="1"/>
      <c r="L777" s="1"/>
      <c r="M777" s="1"/>
    </row>
    <row r="778" ht="15.75" customHeight="1">
      <c r="A778" s="36"/>
      <c r="B778" s="37"/>
      <c r="C778" s="37"/>
      <c r="D778" s="1"/>
      <c r="E778" s="1"/>
      <c r="F778" s="1"/>
      <c r="G778" s="1"/>
      <c r="H778" s="185"/>
      <c r="I778" s="185"/>
      <c r="J778" s="1"/>
      <c r="K778" s="1"/>
      <c r="L778" s="1"/>
      <c r="M778" s="1"/>
    </row>
    <row r="779" ht="15.75" customHeight="1">
      <c r="A779" s="36"/>
      <c r="B779" s="37"/>
      <c r="C779" s="37"/>
      <c r="D779" s="1"/>
      <c r="E779" s="1"/>
      <c r="F779" s="1"/>
      <c r="G779" s="1"/>
      <c r="H779" s="185"/>
      <c r="I779" s="185"/>
      <c r="J779" s="1"/>
      <c r="K779" s="1"/>
      <c r="L779" s="1"/>
      <c r="M779" s="1"/>
    </row>
    <row r="780" ht="15.75" customHeight="1">
      <c r="A780" s="36"/>
      <c r="B780" s="37"/>
      <c r="C780" s="37"/>
      <c r="D780" s="1"/>
      <c r="E780" s="1"/>
      <c r="F780" s="1"/>
      <c r="G780" s="1"/>
      <c r="H780" s="185"/>
      <c r="I780" s="185"/>
      <c r="J780" s="1"/>
      <c r="K780" s="1"/>
      <c r="L780" s="1"/>
      <c r="M780" s="1"/>
    </row>
    <row r="781" ht="15.75" customHeight="1">
      <c r="A781" s="36"/>
      <c r="B781" s="37"/>
      <c r="C781" s="37"/>
      <c r="D781" s="1"/>
      <c r="E781" s="1"/>
      <c r="F781" s="1"/>
      <c r="G781" s="1"/>
      <c r="H781" s="185"/>
      <c r="I781" s="185"/>
      <c r="J781" s="1"/>
      <c r="K781" s="1"/>
      <c r="L781" s="1"/>
      <c r="M781" s="1"/>
    </row>
    <row r="782" ht="15.75" customHeight="1">
      <c r="A782" s="36"/>
      <c r="B782" s="37"/>
      <c r="C782" s="37"/>
      <c r="D782" s="1"/>
      <c r="E782" s="1"/>
      <c r="F782" s="1"/>
      <c r="G782" s="1"/>
      <c r="H782" s="185"/>
      <c r="I782" s="185"/>
      <c r="J782" s="1"/>
      <c r="K782" s="1"/>
      <c r="L782" s="1"/>
      <c r="M782" s="1"/>
    </row>
    <row r="783" ht="15.75" customHeight="1">
      <c r="A783" s="36"/>
      <c r="B783" s="37"/>
      <c r="C783" s="37"/>
      <c r="D783" s="1"/>
      <c r="E783" s="1"/>
      <c r="F783" s="1"/>
      <c r="G783" s="1"/>
      <c r="H783" s="185"/>
      <c r="I783" s="185"/>
      <c r="J783" s="1"/>
      <c r="K783" s="1"/>
      <c r="L783" s="1"/>
      <c r="M783" s="1"/>
    </row>
    <row r="784" ht="15.75" customHeight="1">
      <c r="A784" s="36"/>
      <c r="B784" s="37"/>
      <c r="C784" s="37"/>
      <c r="D784" s="1"/>
      <c r="E784" s="1"/>
      <c r="F784" s="1"/>
      <c r="G784" s="1"/>
      <c r="H784" s="185"/>
      <c r="I784" s="185"/>
      <c r="J784" s="1"/>
      <c r="K784" s="1"/>
      <c r="L784" s="1"/>
      <c r="M784" s="1"/>
    </row>
    <row r="785" ht="15.75" customHeight="1">
      <c r="A785" s="36"/>
      <c r="B785" s="37"/>
      <c r="C785" s="37"/>
      <c r="D785" s="1"/>
      <c r="E785" s="1"/>
      <c r="F785" s="1"/>
      <c r="G785" s="1"/>
      <c r="H785" s="185"/>
      <c r="I785" s="185"/>
      <c r="J785" s="1"/>
      <c r="K785" s="1"/>
      <c r="L785" s="1"/>
      <c r="M785" s="1"/>
    </row>
    <row r="786" ht="15.75" customHeight="1">
      <c r="A786" s="36"/>
      <c r="B786" s="37"/>
      <c r="C786" s="37"/>
      <c r="D786" s="1"/>
      <c r="E786" s="1"/>
      <c r="F786" s="1"/>
      <c r="G786" s="1"/>
      <c r="H786" s="185"/>
      <c r="I786" s="185"/>
      <c r="J786" s="1"/>
      <c r="K786" s="1"/>
      <c r="L786" s="1"/>
      <c r="M786" s="1"/>
    </row>
    <row r="787" ht="15.75" customHeight="1">
      <c r="A787" s="36"/>
      <c r="B787" s="37"/>
      <c r="C787" s="37"/>
      <c r="D787" s="1"/>
      <c r="E787" s="1"/>
      <c r="F787" s="1"/>
      <c r="G787" s="1"/>
      <c r="H787" s="185"/>
      <c r="I787" s="185"/>
      <c r="J787" s="1"/>
      <c r="K787" s="1"/>
      <c r="L787" s="1"/>
      <c r="M787" s="1"/>
    </row>
    <row r="788" ht="15.75" customHeight="1">
      <c r="A788" s="36"/>
      <c r="B788" s="37"/>
      <c r="C788" s="37"/>
      <c r="D788" s="1"/>
      <c r="E788" s="1"/>
      <c r="F788" s="1"/>
      <c r="G788" s="1"/>
      <c r="H788" s="185"/>
      <c r="I788" s="185"/>
      <c r="J788" s="1"/>
      <c r="K788" s="1"/>
      <c r="L788" s="1"/>
      <c r="M788" s="1"/>
    </row>
    <row r="789" ht="15.75" customHeight="1">
      <c r="A789" s="36"/>
      <c r="B789" s="37"/>
      <c r="C789" s="37"/>
      <c r="D789" s="1"/>
      <c r="E789" s="1"/>
      <c r="F789" s="1"/>
      <c r="G789" s="1"/>
      <c r="H789" s="185"/>
      <c r="I789" s="185"/>
      <c r="J789" s="1"/>
      <c r="K789" s="1"/>
      <c r="L789" s="1"/>
      <c r="M789" s="1"/>
    </row>
    <row r="790" ht="15.75" customHeight="1">
      <c r="A790" s="36"/>
      <c r="B790" s="37"/>
      <c r="C790" s="37"/>
      <c r="D790" s="1"/>
      <c r="E790" s="1"/>
      <c r="F790" s="1"/>
      <c r="G790" s="1"/>
      <c r="H790" s="185"/>
      <c r="I790" s="185"/>
      <c r="J790" s="1"/>
      <c r="K790" s="1"/>
      <c r="L790" s="1"/>
      <c r="M790" s="1"/>
    </row>
    <row r="791" ht="15.75" customHeight="1">
      <c r="A791" s="36"/>
      <c r="B791" s="37"/>
      <c r="C791" s="37"/>
      <c r="D791" s="1"/>
      <c r="E791" s="1"/>
      <c r="F791" s="1"/>
      <c r="G791" s="1"/>
      <c r="H791" s="185"/>
      <c r="I791" s="185"/>
      <c r="J791" s="1"/>
      <c r="K791" s="1"/>
      <c r="L791" s="1"/>
      <c r="M791" s="1"/>
    </row>
    <row r="792" ht="15.75" customHeight="1">
      <c r="A792" s="36"/>
      <c r="B792" s="37"/>
      <c r="C792" s="37"/>
      <c r="D792" s="1"/>
      <c r="E792" s="1"/>
      <c r="F792" s="1"/>
      <c r="G792" s="1"/>
      <c r="H792" s="185"/>
      <c r="I792" s="185"/>
      <c r="J792" s="1"/>
      <c r="K792" s="1"/>
      <c r="L792" s="1"/>
      <c r="M792" s="1"/>
    </row>
    <row r="793" ht="15.75" customHeight="1">
      <c r="A793" s="36"/>
      <c r="B793" s="37"/>
      <c r="C793" s="37"/>
      <c r="D793" s="1"/>
      <c r="E793" s="1"/>
      <c r="F793" s="1"/>
      <c r="G793" s="1"/>
      <c r="H793" s="185"/>
      <c r="I793" s="185"/>
      <c r="J793" s="1"/>
      <c r="K793" s="1"/>
      <c r="L793" s="1"/>
      <c r="M793" s="1"/>
    </row>
    <row r="794" ht="15.75" customHeight="1">
      <c r="A794" s="36"/>
      <c r="B794" s="37"/>
      <c r="C794" s="37"/>
      <c r="D794" s="1"/>
      <c r="E794" s="1"/>
      <c r="F794" s="1"/>
      <c r="G794" s="1"/>
      <c r="H794" s="185"/>
      <c r="I794" s="185"/>
      <c r="J794" s="1"/>
      <c r="K794" s="1"/>
      <c r="L794" s="1"/>
      <c r="M794" s="1"/>
    </row>
    <row r="795" ht="15.75" customHeight="1">
      <c r="A795" s="36"/>
      <c r="B795" s="37"/>
      <c r="C795" s="37"/>
      <c r="D795" s="1"/>
      <c r="E795" s="1"/>
      <c r="F795" s="1"/>
      <c r="G795" s="1"/>
      <c r="H795" s="185"/>
      <c r="I795" s="185"/>
      <c r="J795" s="1"/>
      <c r="K795" s="1"/>
      <c r="L795" s="1"/>
      <c r="M795" s="1"/>
    </row>
    <row r="796" ht="15.75" customHeight="1">
      <c r="A796" s="36"/>
      <c r="B796" s="37"/>
      <c r="C796" s="37"/>
      <c r="D796" s="1"/>
      <c r="E796" s="1"/>
      <c r="F796" s="1"/>
      <c r="G796" s="1"/>
      <c r="H796" s="185"/>
      <c r="I796" s="185"/>
      <c r="J796" s="1"/>
      <c r="K796" s="1"/>
      <c r="L796" s="1"/>
      <c r="M796" s="1"/>
    </row>
    <row r="797" ht="15.75" customHeight="1">
      <c r="A797" s="36"/>
      <c r="B797" s="37"/>
      <c r="C797" s="37"/>
      <c r="D797" s="1"/>
      <c r="E797" s="1"/>
      <c r="F797" s="1"/>
      <c r="G797" s="1"/>
      <c r="H797" s="185"/>
      <c r="I797" s="185"/>
      <c r="J797" s="1"/>
      <c r="K797" s="1"/>
      <c r="L797" s="1"/>
      <c r="M797" s="1"/>
    </row>
    <row r="798" ht="15.75" customHeight="1">
      <c r="A798" s="36"/>
      <c r="B798" s="37"/>
      <c r="C798" s="37"/>
      <c r="D798" s="1"/>
      <c r="E798" s="1"/>
      <c r="F798" s="1"/>
      <c r="G798" s="1"/>
      <c r="H798" s="185"/>
      <c r="I798" s="185"/>
      <c r="J798" s="1"/>
      <c r="K798" s="1"/>
      <c r="L798" s="1"/>
      <c r="M798" s="1"/>
    </row>
    <row r="799" ht="15.75" customHeight="1">
      <c r="A799" s="36"/>
      <c r="B799" s="37"/>
      <c r="C799" s="37"/>
      <c r="D799" s="1"/>
      <c r="E799" s="1"/>
      <c r="F799" s="1"/>
      <c r="G799" s="1"/>
      <c r="H799" s="185"/>
      <c r="I799" s="185"/>
      <c r="J799" s="1"/>
      <c r="K799" s="1"/>
      <c r="L799" s="1"/>
      <c r="M799" s="1"/>
    </row>
    <row r="800" ht="15.75" customHeight="1">
      <c r="A800" s="36"/>
      <c r="B800" s="37"/>
      <c r="C800" s="37"/>
      <c r="D800" s="1"/>
      <c r="E800" s="1"/>
      <c r="F800" s="1"/>
      <c r="G800" s="1"/>
      <c r="H800" s="185"/>
      <c r="I800" s="185"/>
      <c r="J800" s="1"/>
      <c r="K800" s="1"/>
      <c r="L800" s="1"/>
      <c r="M800" s="1"/>
    </row>
    <row r="801" ht="15.75" customHeight="1">
      <c r="A801" s="36"/>
      <c r="B801" s="37"/>
      <c r="C801" s="37"/>
      <c r="D801" s="1"/>
      <c r="E801" s="1"/>
      <c r="F801" s="1"/>
      <c r="G801" s="1"/>
      <c r="H801" s="185"/>
      <c r="I801" s="185"/>
      <c r="J801" s="1"/>
      <c r="K801" s="1"/>
      <c r="L801" s="1"/>
      <c r="M801" s="1"/>
    </row>
    <row r="802" ht="15.75" customHeight="1">
      <c r="A802" s="36"/>
      <c r="B802" s="37"/>
      <c r="C802" s="37"/>
      <c r="D802" s="1"/>
      <c r="E802" s="1"/>
      <c r="F802" s="1"/>
      <c r="G802" s="1"/>
      <c r="H802" s="185"/>
      <c r="I802" s="185"/>
      <c r="J802" s="1"/>
      <c r="K802" s="1"/>
      <c r="L802" s="1"/>
      <c r="M802" s="1"/>
    </row>
    <row r="803" ht="15.75" customHeight="1">
      <c r="A803" s="36"/>
      <c r="B803" s="37"/>
      <c r="C803" s="37"/>
      <c r="D803" s="1"/>
      <c r="E803" s="1"/>
      <c r="F803" s="1"/>
      <c r="G803" s="1"/>
      <c r="H803" s="185"/>
      <c r="I803" s="185"/>
      <c r="J803" s="1"/>
      <c r="K803" s="1"/>
      <c r="L803" s="1"/>
      <c r="M803" s="1"/>
    </row>
    <row r="804" ht="15.75" customHeight="1">
      <c r="A804" s="36"/>
      <c r="B804" s="37"/>
      <c r="C804" s="37"/>
      <c r="D804" s="1"/>
      <c r="E804" s="1"/>
      <c r="F804" s="1"/>
      <c r="G804" s="1"/>
      <c r="H804" s="185"/>
      <c r="I804" s="185"/>
      <c r="J804" s="1"/>
      <c r="K804" s="1"/>
      <c r="L804" s="1"/>
      <c r="M804" s="1"/>
    </row>
    <row r="805" ht="15.75" customHeight="1">
      <c r="A805" s="36"/>
      <c r="B805" s="37"/>
      <c r="C805" s="37"/>
      <c r="D805" s="1"/>
      <c r="E805" s="1"/>
      <c r="F805" s="1"/>
      <c r="G805" s="1"/>
      <c r="H805" s="185"/>
      <c r="I805" s="185"/>
      <c r="J805" s="1"/>
      <c r="K805" s="1"/>
      <c r="L805" s="1"/>
      <c r="M805" s="1"/>
    </row>
    <row r="806" ht="15.75" customHeight="1">
      <c r="A806" s="36"/>
      <c r="B806" s="37"/>
      <c r="C806" s="37"/>
      <c r="D806" s="1"/>
      <c r="E806" s="1"/>
      <c r="F806" s="1"/>
      <c r="G806" s="1"/>
      <c r="H806" s="185"/>
      <c r="I806" s="185"/>
      <c r="J806" s="1"/>
      <c r="K806" s="1"/>
      <c r="L806" s="1"/>
      <c r="M806" s="1"/>
    </row>
    <row r="807" ht="15.75" customHeight="1">
      <c r="A807" s="36"/>
      <c r="B807" s="37"/>
      <c r="C807" s="37"/>
      <c r="D807" s="1"/>
      <c r="E807" s="1"/>
      <c r="F807" s="1"/>
      <c r="G807" s="1"/>
      <c r="H807" s="185"/>
      <c r="I807" s="185"/>
      <c r="J807" s="1"/>
      <c r="K807" s="1"/>
      <c r="L807" s="1"/>
      <c r="M807" s="1"/>
    </row>
    <row r="808" ht="15.75" customHeight="1">
      <c r="A808" s="36"/>
      <c r="B808" s="37"/>
      <c r="C808" s="37"/>
      <c r="D808" s="1"/>
      <c r="E808" s="1"/>
      <c r="F808" s="1"/>
      <c r="G808" s="1"/>
      <c r="H808" s="185"/>
      <c r="I808" s="185"/>
      <c r="J808" s="1"/>
      <c r="K808" s="1"/>
      <c r="L808" s="1"/>
      <c r="M808" s="1"/>
    </row>
    <row r="809" ht="15.75" customHeight="1">
      <c r="A809" s="36"/>
      <c r="B809" s="37"/>
      <c r="C809" s="37"/>
      <c r="D809" s="1"/>
      <c r="E809" s="1"/>
      <c r="F809" s="1"/>
      <c r="G809" s="1"/>
      <c r="H809" s="185"/>
      <c r="I809" s="185"/>
      <c r="J809" s="1"/>
      <c r="K809" s="1"/>
      <c r="L809" s="1"/>
      <c r="M809" s="1"/>
    </row>
    <row r="810" ht="15.75" customHeight="1">
      <c r="A810" s="36"/>
      <c r="B810" s="37"/>
      <c r="C810" s="37"/>
      <c r="D810" s="1"/>
      <c r="E810" s="1"/>
      <c r="F810" s="1"/>
      <c r="G810" s="1"/>
      <c r="H810" s="185"/>
      <c r="I810" s="185"/>
      <c r="J810" s="1"/>
      <c r="K810" s="1"/>
      <c r="L810" s="1"/>
      <c r="M810" s="1"/>
    </row>
    <row r="811" ht="15.75" customHeight="1">
      <c r="A811" s="36"/>
      <c r="B811" s="37"/>
      <c r="C811" s="37"/>
      <c r="D811" s="1"/>
      <c r="E811" s="1"/>
      <c r="F811" s="1"/>
      <c r="G811" s="1"/>
      <c r="H811" s="185"/>
      <c r="I811" s="185"/>
      <c r="J811" s="1"/>
      <c r="K811" s="1"/>
      <c r="L811" s="1"/>
      <c r="M811" s="1"/>
    </row>
    <row r="812" ht="15.75" customHeight="1">
      <c r="A812" s="36"/>
      <c r="B812" s="37"/>
      <c r="C812" s="37"/>
      <c r="D812" s="1"/>
      <c r="E812" s="1"/>
      <c r="F812" s="1"/>
      <c r="G812" s="1"/>
      <c r="H812" s="185"/>
      <c r="I812" s="185"/>
      <c r="J812" s="1"/>
      <c r="K812" s="1"/>
      <c r="L812" s="1"/>
      <c r="M812" s="1"/>
    </row>
    <row r="813" ht="15.75" customHeight="1">
      <c r="A813" s="36"/>
      <c r="B813" s="37"/>
      <c r="C813" s="37"/>
      <c r="D813" s="1"/>
      <c r="E813" s="1"/>
      <c r="F813" s="1"/>
      <c r="G813" s="1"/>
      <c r="H813" s="185"/>
      <c r="I813" s="185"/>
      <c r="J813" s="1"/>
      <c r="K813" s="1"/>
      <c r="L813" s="1"/>
      <c r="M813" s="1"/>
    </row>
    <row r="814" ht="15.75" customHeight="1">
      <c r="A814" s="36"/>
      <c r="B814" s="37"/>
      <c r="C814" s="37"/>
      <c r="D814" s="1"/>
      <c r="E814" s="1"/>
      <c r="F814" s="1"/>
      <c r="G814" s="1"/>
      <c r="H814" s="185"/>
      <c r="I814" s="185"/>
      <c r="J814" s="1"/>
      <c r="K814" s="1"/>
      <c r="L814" s="1"/>
      <c r="M814" s="1"/>
    </row>
    <row r="815" ht="15.75" customHeight="1">
      <c r="A815" s="36"/>
      <c r="B815" s="37"/>
      <c r="C815" s="37"/>
      <c r="D815" s="1"/>
      <c r="E815" s="1"/>
      <c r="F815" s="1"/>
      <c r="G815" s="1"/>
      <c r="H815" s="185"/>
      <c r="I815" s="185"/>
      <c r="J815" s="1"/>
      <c r="K815" s="1"/>
      <c r="L815" s="1"/>
      <c r="M815" s="1"/>
    </row>
    <row r="816" ht="15.75" customHeight="1">
      <c r="A816" s="36"/>
      <c r="B816" s="37"/>
      <c r="C816" s="37"/>
      <c r="D816" s="1"/>
      <c r="E816" s="1"/>
      <c r="F816" s="1"/>
      <c r="G816" s="1"/>
      <c r="H816" s="185"/>
      <c r="I816" s="185"/>
      <c r="J816" s="1"/>
      <c r="K816" s="1"/>
      <c r="L816" s="1"/>
      <c r="M816" s="1"/>
    </row>
    <row r="817" ht="15.75" customHeight="1">
      <c r="A817" s="36"/>
      <c r="B817" s="37"/>
      <c r="C817" s="37"/>
      <c r="D817" s="1"/>
      <c r="E817" s="1"/>
      <c r="F817" s="1"/>
      <c r="G817" s="1"/>
      <c r="H817" s="185"/>
      <c r="I817" s="185"/>
      <c r="J817" s="1"/>
      <c r="K817" s="1"/>
      <c r="L817" s="1"/>
      <c r="M817" s="1"/>
    </row>
    <row r="818" ht="15.75" customHeight="1">
      <c r="A818" s="36"/>
      <c r="B818" s="37"/>
      <c r="C818" s="37"/>
      <c r="D818" s="1"/>
      <c r="E818" s="1"/>
      <c r="F818" s="1"/>
      <c r="G818" s="1"/>
      <c r="H818" s="185"/>
      <c r="I818" s="185"/>
      <c r="J818" s="1"/>
      <c r="K818" s="1"/>
      <c r="L818" s="1"/>
      <c r="M818" s="1"/>
    </row>
    <row r="819" ht="15.75" customHeight="1">
      <c r="A819" s="36"/>
      <c r="B819" s="37"/>
      <c r="C819" s="37"/>
      <c r="D819" s="1"/>
      <c r="E819" s="1"/>
      <c r="F819" s="1"/>
      <c r="G819" s="1"/>
      <c r="H819" s="185"/>
      <c r="I819" s="185"/>
      <c r="J819" s="1"/>
      <c r="K819" s="1"/>
      <c r="L819" s="1"/>
      <c r="M819" s="1"/>
    </row>
    <row r="820" ht="15.75" customHeight="1">
      <c r="A820" s="36"/>
      <c r="B820" s="37"/>
      <c r="C820" s="37"/>
      <c r="D820" s="1"/>
      <c r="E820" s="1"/>
      <c r="F820" s="1"/>
      <c r="G820" s="1"/>
      <c r="H820" s="185"/>
      <c r="I820" s="185"/>
      <c r="J820" s="1"/>
      <c r="K820" s="1"/>
      <c r="L820" s="1"/>
      <c r="M820" s="1"/>
    </row>
    <row r="821" ht="15.75" customHeight="1">
      <c r="A821" s="36"/>
      <c r="B821" s="37"/>
      <c r="C821" s="37"/>
      <c r="D821" s="1"/>
      <c r="E821" s="1"/>
      <c r="F821" s="1"/>
      <c r="G821" s="1"/>
      <c r="H821" s="185"/>
      <c r="I821" s="185"/>
      <c r="J821" s="1"/>
      <c r="K821" s="1"/>
      <c r="L821" s="1"/>
      <c r="M821" s="1"/>
    </row>
    <row r="822" ht="15.75" customHeight="1">
      <c r="A822" s="36"/>
      <c r="B822" s="37"/>
      <c r="C822" s="37"/>
      <c r="D822" s="1"/>
      <c r="E822" s="1"/>
      <c r="F822" s="1"/>
      <c r="G822" s="1"/>
      <c r="H822" s="185"/>
      <c r="I822" s="185"/>
      <c r="J822" s="1"/>
      <c r="K822" s="1"/>
      <c r="L822" s="1"/>
      <c r="M822" s="1"/>
    </row>
    <row r="823" ht="15.75" customHeight="1">
      <c r="A823" s="36"/>
      <c r="B823" s="37"/>
      <c r="C823" s="37"/>
      <c r="D823" s="1"/>
      <c r="E823" s="1"/>
      <c r="F823" s="1"/>
      <c r="G823" s="1"/>
      <c r="H823" s="185"/>
      <c r="I823" s="185"/>
      <c r="J823" s="1"/>
      <c r="K823" s="1"/>
      <c r="L823" s="1"/>
      <c r="M823" s="1"/>
    </row>
    <row r="824" ht="15.75" customHeight="1">
      <c r="A824" s="36"/>
      <c r="B824" s="37"/>
      <c r="C824" s="37"/>
      <c r="D824" s="1"/>
      <c r="E824" s="1"/>
      <c r="F824" s="1"/>
      <c r="G824" s="1"/>
      <c r="H824" s="185"/>
      <c r="I824" s="185"/>
      <c r="J824" s="1"/>
      <c r="K824" s="1"/>
      <c r="L824" s="1"/>
      <c r="M824" s="1"/>
    </row>
    <row r="825" ht="15.75" customHeight="1">
      <c r="A825" s="36"/>
      <c r="B825" s="37"/>
      <c r="C825" s="37"/>
      <c r="D825" s="1"/>
      <c r="E825" s="1"/>
      <c r="F825" s="1"/>
      <c r="G825" s="1"/>
      <c r="H825" s="185"/>
      <c r="I825" s="185"/>
      <c r="J825" s="1"/>
      <c r="K825" s="1"/>
      <c r="L825" s="1"/>
      <c r="M825" s="1"/>
    </row>
    <row r="826" ht="15.75" customHeight="1">
      <c r="A826" s="36"/>
      <c r="B826" s="37"/>
      <c r="C826" s="37"/>
      <c r="D826" s="1"/>
      <c r="E826" s="1"/>
      <c r="F826" s="1"/>
      <c r="G826" s="1"/>
      <c r="H826" s="185"/>
      <c r="I826" s="185"/>
      <c r="J826" s="1"/>
      <c r="K826" s="1"/>
      <c r="L826" s="1"/>
      <c r="M826" s="1"/>
    </row>
    <row r="827" ht="15.75" customHeight="1">
      <c r="A827" s="36"/>
      <c r="B827" s="37"/>
      <c r="C827" s="37"/>
      <c r="D827" s="1"/>
      <c r="E827" s="1"/>
      <c r="F827" s="1"/>
      <c r="G827" s="1"/>
      <c r="H827" s="185"/>
      <c r="I827" s="185"/>
      <c r="J827" s="1"/>
      <c r="K827" s="1"/>
      <c r="L827" s="1"/>
      <c r="M827" s="1"/>
    </row>
    <row r="828" ht="15.75" customHeight="1">
      <c r="A828" s="36"/>
      <c r="B828" s="37"/>
      <c r="C828" s="37"/>
      <c r="D828" s="1"/>
      <c r="E828" s="1"/>
      <c r="F828" s="1"/>
      <c r="G828" s="1"/>
      <c r="H828" s="185"/>
      <c r="I828" s="185"/>
      <c r="J828" s="1"/>
      <c r="K828" s="1"/>
      <c r="L828" s="1"/>
      <c r="M828" s="1"/>
    </row>
    <row r="829" ht="15.75" customHeight="1">
      <c r="A829" s="36"/>
      <c r="B829" s="37"/>
      <c r="C829" s="37"/>
      <c r="D829" s="1"/>
      <c r="E829" s="1"/>
      <c r="F829" s="1"/>
      <c r="G829" s="1"/>
      <c r="H829" s="185"/>
      <c r="I829" s="185"/>
      <c r="J829" s="1"/>
      <c r="K829" s="1"/>
      <c r="L829" s="1"/>
      <c r="M829" s="1"/>
    </row>
    <row r="830" ht="15.75" customHeight="1">
      <c r="A830" s="36"/>
      <c r="B830" s="37"/>
      <c r="C830" s="37"/>
      <c r="D830" s="1"/>
      <c r="E830" s="1"/>
      <c r="F830" s="1"/>
      <c r="G830" s="1"/>
      <c r="H830" s="185"/>
      <c r="I830" s="185"/>
      <c r="J830" s="1"/>
      <c r="K830" s="1"/>
      <c r="L830" s="1"/>
      <c r="M830" s="1"/>
    </row>
    <row r="831" ht="15.75" customHeight="1">
      <c r="A831" s="36"/>
      <c r="B831" s="37"/>
      <c r="C831" s="37"/>
      <c r="D831" s="1"/>
      <c r="E831" s="1"/>
      <c r="F831" s="1"/>
      <c r="G831" s="1"/>
      <c r="H831" s="185"/>
      <c r="I831" s="185"/>
      <c r="J831" s="1"/>
      <c r="K831" s="1"/>
      <c r="L831" s="1"/>
      <c r="M831" s="1"/>
    </row>
    <row r="832" ht="15.75" customHeight="1">
      <c r="A832" s="36"/>
      <c r="B832" s="37"/>
      <c r="C832" s="37"/>
      <c r="D832" s="1"/>
      <c r="E832" s="1"/>
      <c r="F832" s="1"/>
      <c r="G832" s="1"/>
      <c r="H832" s="185"/>
      <c r="I832" s="185"/>
      <c r="J832" s="1"/>
      <c r="K832" s="1"/>
      <c r="L832" s="1"/>
      <c r="M832" s="1"/>
    </row>
    <row r="833" ht="15.75" customHeight="1">
      <c r="A833" s="36"/>
      <c r="B833" s="37"/>
      <c r="C833" s="37"/>
      <c r="D833" s="1"/>
      <c r="E833" s="1"/>
      <c r="F833" s="1"/>
      <c r="G833" s="1"/>
      <c r="H833" s="185"/>
      <c r="I833" s="185"/>
      <c r="J833" s="1"/>
      <c r="K833" s="1"/>
      <c r="L833" s="1"/>
      <c r="M833" s="1"/>
    </row>
    <row r="834" ht="15.75" customHeight="1">
      <c r="A834" s="36"/>
      <c r="B834" s="37"/>
      <c r="C834" s="37"/>
      <c r="D834" s="1"/>
      <c r="E834" s="1"/>
      <c r="F834" s="1"/>
      <c r="G834" s="1"/>
      <c r="H834" s="185"/>
      <c r="I834" s="185"/>
      <c r="J834" s="1"/>
      <c r="K834" s="1"/>
      <c r="L834" s="1"/>
      <c r="M834" s="1"/>
    </row>
    <row r="835" ht="15.75" customHeight="1">
      <c r="A835" s="36"/>
      <c r="B835" s="37"/>
      <c r="C835" s="37"/>
      <c r="D835" s="1"/>
      <c r="E835" s="1"/>
      <c r="F835" s="1"/>
      <c r="G835" s="1"/>
      <c r="H835" s="185"/>
      <c r="I835" s="185"/>
      <c r="J835" s="1"/>
      <c r="K835" s="1"/>
      <c r="L835" s="1"/>
      <c r="M835" s="1"/>
    </row>
    <row r="836" ht="15.75" customHeight="1">
      <c r="A836" s="36"/>
      <c r="B836" s="37"/>
      <c r="C836" s="37"/>
      <c r="D836" s="1"/>
      <c r="E836" s="1"/>
      <c r="F836" s="1"/>
      <c r="G836" s="1"/>
      <c r="H836" s="185"/>
      <c r="I836" s="185"/>
      <c r="J836" s="1"/>
      <c r="K836" s="1"/>
      <c r="L836" s="1"/>
      <c r="M836" s="1"/>
    </row>
    <row r="837" ht="15.75" customHeight="1">
      <c r="A837" s="36"/>
      <c r="B837" s="37"/>
      <c r="C837" s="37"/>
      <c r="D837" s="1"/>
      <c r="E837" s="1"/>
      <c r="F837" s="1"/>
      <c r="G837" s="1"/>
      <c r="H837" s="185"/>
      <c r="I837" s="185"/>
      <c r="J837" s="1"/>
      <c r="K837" s="1"/>
      <c r="L837" s="1"/>
      <c r="M837" s="1"/>
    </row>
    <row r="838" ht="15.75" customHeight="1">
      <c r="A838" s="36"/>
      <c r="B838" s="37"/>
      <c r="C838" s="37"/>
      <c r="D838" s="1"/>
      <c r="E838" s="1"/>
      <c r="F838" s="1"/>
      <c r="G838" s="1"/>
      <c r="H838" s="185"/>
      <c r="I838" s="185"/>
      <c r="J838" s="1"/>
      <c r="K838" s="1"/>
      <c r="L838" s="1"/>
      <c r="M838" s="1"/>
    </row>
    <row r="839" ht="15.75" customHeight="1">
      <c r="A839" s="36"/>
      <c r="B839" s="37"/>
      <c r="C839" s="37"/>
      <c r="D839" s="1"/>
      <c r="E839" s="1"/>
      <c r="F839" s="1"/>
      <c r="G839" s="1"/>
      <c r="H839" s="185"/>
      <c r="I839" s="185"/>
      <c r="J839" s="1"/>
      <c r="K839" s="1"/>
      <c r="L839" s="1"/>
      <c r="M839" s="1"/>
    </row>
    <row r="840" ht="15.75" customHeight="1">
      <c r="A840" s="36"/>
      <c r="B840" s="37"/>
      <c r="C840" s="37"/>
      <c r="D840" s="1"/>
      <c r="E840" s="1"/>
      <c r="F840" s="1"/>
      <c r="G840" s="1"/>
      <c r="H840" s="185"/>
      <c r="I840" s="185"/>
      <c r="J840" s="1"/>
      <c r="K840" s="1"/>
      <c r="L840" s="1"/>
      <c r="M840" s="1"/>
    </row>
    <row r="841" ht="15.75" customHeight="1">
      <c r="A841" s="36"/>
      <c r="B841" s="37"/>
      <c r="C841" s="37"/>
      <c r="D841" s="1"/>
      <c r="E841" s="1"/>
      <c r="F841" s="1"/>
      <c r="G841" s="1"/>
      <c r="H841" s="185"/>
      <c r="I841" s="185"/>
      <c r="J841" s="1"/>
      <c r="K841" s="1"/>
      <c r="L841" s="1"/>
      <c r="M841" s="1"/>
    </row>
    <row r="842" ht="15.75" customHeight="1">
      <c r="A842" s="36"/>
      <c r="B842" s="37"/>
      <c r="C842" s="37"/>
      <c r="D842" s="1"/>
      <c r="E842" s="1"/>
      <c r="F842" s="1"/>
      <c r="G842" s="1"/>
      <c r="H842" s="185"/>
      <c r="I842" s="185"/>
      <c r="J842" s="1"/>
      <c r="K842" s="1"/>
      <c r="L842" s="1"/>
      <c r="M842" s="1"/>
    </row>
    <row r="843" ht="15.75" customHeight="1">
      <c r="A843" s="36"/>
      <c r="B843" s="37"/>
      <c r="C843" s="37"/>
      <c r="D843" s="1"/>
      <c r="E843" s="1"/>
      <c r="F843" s="1"/>
      <c r="G843" s="1"/>
      <c r="H843" s="185"/>
      <c r="I843" s="185"/>
      <c r="J843" s="1"/>
      <c r="K843" s="1"/>
      <c r="L843" s="1"/>
      <c r="M843" s="1"/>
    </row>
    <row r="844" ht="15.75" customHeight="1">
      <c r="A844" s="36"/>
      <c r="B844" s="37"/>
      <c r="C844" s="37"/>
      <c r="D844" s="1"/>
      <c r="E844" s="1"/>
      <c r="F844" s="1"/>
      <c r="G844" s="1"/>
      <c r="H844" s="185"/>
      <c r="I844" s="185"/>
      <c r="J844" s="1"/>
      <c r="K844" s="1"/>
      <c r="L844" s="1"/>
      <c r="M844" s="1"/>
    </row>
    <row r="845" ht="15.75" customHeight="1">
      <c r="A845" s="36"/>
      <c r="B845" s="37"/>
      <c r="C845" s="37"/>
      <c r="D845" s="1"/>
      <c r="E845" s="1"/>
      <c r="F845" s="1"/>
      <c r="G845" s="1"/>
      <c r="H845" s="185"/>
      <c r="I845" s="185"/>
      <c r="J845" s="1"/>
      <c r="K845" s="1"/>
      <c r="L845" s="1"/>
      <c r="M845" s="1"/>
    </row>
    <row r="846" ht="15.75" customHeight="1">
      <c r="A846" s="36"/>
      <c r="B846" s="37"/>
      <c r="C846" s="37"/>
      <c r="D846" s="1"/>
      <c r="E846" s="1"/>
      <c r="F846" s="1"/>
      <c r="G846" s="1"/>
      <c r="H846" s="185"/>
      <c r="I846" s="185"/>
      <c r="J846" s="1"/>
      <c r="K846" s="1"/>
      <c r="L846" s="1"/>
      <c r="M846" s="1"/>
    </row>
    <row r="847" ht="15.75" customHeight="1">
      <c r="A847" s="36"/>
      <c r="B847" s="37"/>
      <c r="C847" s="37"/>
      <c r="D847" s="1"/>
      <c r="E847" s="1"/>
      <c r="F847" s="1"/>
      <c r="G847" s="1"/>
      <c r="H847" s="185"/>
      <c r="I847" s="185"/>
      <c r="J847" s="1"/>
      <c r="K847" s="1"/>
      <c r="L847" s="1"/>
      <c r="M847" s="1"/>
    </row>
    <row r="848" ht="15.75" customHeight="1">
      <c r="A848" s="36"/>
      <c r="B848" s="37"/>
      <c r="C848" s="37"/>
      <c r="D848" s="1"/>
      <c r="E848" s="1"/>
      <c r="F848" s="1"/>
      <c r="G848" s="1"/>
      <c r="H848" s="185"/>
      <c r="I848" s="185"/>
      <c r="J848" s="1"/>
      <c r="K848" s="1"/>
      <c r="L848" s="1"/>
      <c r="M848" s="1"/>
    </row>
    <row r="849" ht="15.75" customHeight="1">
      <c r="A849" s="36"/>
      <c r="B849" s="37"/>
      <c r="C849" s="37"/>
      <c r="D849" s="1"/>
      <c r="E849" s="1"/>
      <c r="F849" s="1"/>
      <c r="G849" s="1"/>
      <c r="H849" s="185"/>
      <c r="I849" s="185"/>
      <c r="J849" s="1"/>
      <c r="K849" s="1"/>
      <c r="L849" s="1"/>
      <c r="M849" s="1"/>
    </row>
    <row r="850" ht="15.75" customHeight="1">
      <c r="A850" s="36"/>
      <c r="B850" s="37"/>
      <c r="C850" s="37"/>
      <c r="D850" s="1"/>
      <c r="E850" s="1"/>
      <c r="F850" s="1"/>
      <c r="G850" s="1"/>
      <c r="H850" s="185"/>
      <c r="I850" s="185"/>
      <c r="J850" s="1"/>
      <c r="K850" s="1"/>
      <c r="L850" s="1"/>
      <c r="M850" s="1"/>
    </row>
    <row r="851" ht="15.75" customHeight="1">
      <c r="A851" s="36"/>
      <c r="B851" s="37"/>
      <c r="C851" s="37"/>
      <c r="D851" s="1"/>
      <c r="E851" s="1"/>
      <c r="F851" s="1"/>
      <c r="G851" s="1"/>
      <c r="H851" s="185"/>
      <c r="I851" s="185"/>
      <c r="J851" s="1"/>
      <c r="K851" s="1"/>
      <c r="L851" s="1"/>
      <c r="M851" s="1"/>
    </row>
    <row r="852" ht="15.75" customHeight="1">
      <c r="A852" s="36"/>
      <c r="B852" s="37"/>
      <c r="C852" s="37"/>
      <c r="D852" s="1"/>
      <c r="E852" s="1"/>
      <c r="F852" s="1"/>
      <c r="G852" s="1"/>
      <c r="H852" s="185"/>
      <c r="I852" s="185"/>
      <c r="J852" s="1"/>
      <c r="K852" s="1"/>
      <c r="L852" s="1"/>
      <c r="M852" s="1"/>
    </row>
    <row r="853" ht="15.75" customHeight="1">
      <c r="A853" s="36"/>
      <c r="B853" s="37"/>
      <c r="C853" s="37"/>
      <c r="D853" s="1"/>
      <c r="E853" s="1"/>
      <c r="F853" s="1"/>
      <c r="G853" s="1"/>
      <c r="H853" s="185"/>
      <c r="I853" s="185"/>
      <c r="J853" s="1"/>
      <c r="K853" s="1"/>
      <c r="L853" s="1"/>
      <c r="M853" s="1"/>
    </row>
    <row r="854" ht="15.75" customHeight="1">
      <c r="A854" s="36"/>
      <c r="B854" s="37"/>
      <c r="C854" s="37"/>
      <c r="D854" s="1"/>
      <c r="E854" s="1"/>
      <c r="F854" s="1"/>
      <c r="G854" s="1"/>
      <c r="H854" s="185"/>
      <c r="I854" s="185"/>
      <c r="J854" s="1"/>
      <c r="K854" s="1"/>
      <c r="L854" s="1"/>
      <c r="M854" s="1"/>
    </row>
    <row r="855" ht="15.75" customHeight="1">
      <c r="A855" s="36"/>
      <c r="B855" s="37"/>
      <c r="C855" s="37"/>
      <c r="D855" s="1"/>
      <c r="E855" s="1"/>
      <c r="F855" s="1"/>
      <c r="G855" s="1"/>
      <c r="H855" s="185"/>
      <c r="I855" s="185"/>
      <c r="J855" s="1"/>
      <c r="K855" s="1"/>
      <c r="L855" s="1"/>
      <c r="M855" s="1"/>
    </row>
    <row r="856" ht="15.75" customHeight="1">
      <c r="A856" s="36"/>
      <c r="B856" s="37"/>
      <c r="C856" s="37"/>
      <c r="D856" s="1"/>
      <c r="E856" s="1"/>
      <c r="F856" s="1"/>
      <c r="G856" s="1"/>
      <c r="H856" s="185"/>
      <c r="I856" s="185"/>
      <c r="J856" s="1"/>
      <c r="K856" s="1"/>
      <c r="L856" s="1"/>
      <c r="M856" s="1"/>
    </row>
    <row r="857" ht="15.75" customHeight="1">
      <c r="A857" s="36"/>
      <c r="B857" s="37"/>
      <c r="C857" s="37"/>
      <c r="D857" s="1"/>
      <c r="E857" s="1"/>
      <c r="F857" s="1"/>
      <c r="G857" s="1"/>
      <c r="H857" s="185"/>
      <c r="I857" s="185"/>
      <c r="J857" s="1"/>
      <c r="K857" s="1"/>
      <c r="L857" s="1"/>
      <c r="M857" s="1"/>
    </row>
    <row r="858" ht="15.75" customHeight="1">
      <c r="A858" s="36"/>
      <c r="B858" s="37"/>
      <c r="C858" s="37"/>
      <c r="D858" s="1"/>
      <c r="E858" s="1"/>
      <c r="F858" s="1"/>
      <c r="G858" s="1"/>
      <c r="H858" s="185"/>
      <c r="I858" s="185"/>
      <c r="J858" s="1"/>
      <c r="K858" s="1"/>
      <c r="L858" s="1"/>
      <c r="M858" s="1"/>
    </row>
    <row r="859" ht="15.75" customHeight="1">
      <c r="A859" s="36"/>
      <c r="B859" s="37"/>
      <c r="C859" s="37"/>
      <c r="D859" s="1"/>
      <c r="E859" s="1"/>
      <c r="F859" s="1"/>
      <c r="G859" s="1"/>
      <c r="H859" s="185"/>
      <c r="I859" s="185"/>
      <c r="J859" s="1"/>
      <c r="K859" s="1"/>
      <c r="L859" s="1"/>
      <c r="M859" s="1"/>
    </row>
    <row r="860" ht="15.75" customHeight="1">
      <c r="A860" s="36"/>
      <c r="B860" s="37"/>
      <c r="C860" s="37"/>
      <c r="D860" s="1"/>
      <c r="E860" s="1"/>
      <c r="F860" s="1"/>
      <c r="G860" s="1"/>
      <c r="H860" s="185"/>
      <c r="I860" s="185"/>
      <c r="J860" s="1"/>
      <c r="K860" s="1"/>
      <c r="L860" s="1"/>
      <c r="M860" s="1"/>
    </row>
    <row r="861" ht="15.75" customHeight="1">
      <c r="A861" s="36"/>
      <c r="B861" s="37"/>
      <c r="C861" s="37"/>
      <c r="D861" s="1"/>
      <c r="E861" s="1"/>
      <c r="F861" s="1"/>
      <c r="G861" s="1"/>
      <c r="H861" s="185"/>
      <c r="I861" s="185"/>
      <c r="J861" s="1"/>
      <c r="K861" s="1"/>
      <c r="L861" s="1"/>
      <c r="M861" s="1"/>
    </row>
    <row r="862" ht="15.75" customHeight="1">
      <c r="A862" s="36"/>
      <c r="B862" s="37"/>
      <c r="C862" s="37"/>
      <c r="D862" s="1"/>
      <c r="E862" s="1"/>
      <c r="F862" s="1"/>
      <c r="G862" s="1"/>
      <c r="H862" s="185"/>
      <c r="I862" s="185"/>
      <c r="J862" s="1"/>
      <c r="K862" s="1"/>
      <c r="L862" s="1"/>
      <c r="M862" s="1"/>
    </row>
    <row r="863" ht="15.75" customHeight="1">
      <c r="A863" s="36"/>
      <c r="B863" s="37"/>
      <c r="C863" s="37"/>
      <c r="D863" s="1"/>
      <c r="E863" s="1"/>
      <c r="F863" s="1"/>
      <c r="G863" s="1"/>
      <c r="H863" s="185"/>
      <c r="I863" s="185"/>
      <c r="J863" s="1"/>
      <c r="K863" s="1"/>
      <c r="L863" s="1"/>
      <c r="M863" s="1"/>
    </row>
    <row r="864" ht="15.75" customHeight="1">
      <c r="A864" s="36"/>
      <c r="B864" s="37"/>
      <c r="C864" s="37"/>
      <c r="D864" s="1"/>
      <c r="E864" s="1"/>
      <c r="F864" s="1"/>
      <c r="G864" s="1"/>
      <c r="H864" s="185"/>
      <c r="I864" s="185"/>
      <c r="J864" s="1"/>
      <c r="K864" s="1"/>
      <c r="L864" s="1"/>
      <c r="M864" s="1"/>
    </row>
    <row r="865" ht="15.75" customHeight="1">
      <c r="A865" s="36"/>
      <c r="B865" s="37"/>
      <c r="C865" s="37"/>
      <c r="D865" s="1"/>
      <c r="E865" s="1"/>
      <c r="F865" s="1"/>
      <c r="G865" s="1"/>
      <c r="H865" s="185"/>
      <c r="I865" s="185"/>
      <c r="J865" s="1"/>
      <c r="K865" s="1"/>
      <c r="L865" s="1"/>
      <c r="M865" s="1"/>
    </row>
    <row r="866" ht="15.75" customHeight="1">
      <c r="A866" s="36"/>
      <c r="B866" s="37"/>
      <c r="C866" s="37"/>
      <c r="D866" s="1"/>
      <c r="E866" s="1"/>
      <c r="F866" s="1"/>
      <c r="G866" s="1"/>
      <c r="H866" s="185"/>
      <c r="I866" s="185"/>
      <c r="J866" s="1"/>
      <c r="K866" s="1"/>
      <c r="L866" s="1"/>
      <c r="M866" s="1"/>
    </row>
    <row r="867" ht="15.75" customHeight="1">
      <c r="A867" s="36"/>
      <c r="B867" s="37"/>
      <c r="C867" s="37"/>
      <c r="D867" s="1"/>
      <c r="E867" s="1"/>
      <c r="F867" s="1"/>
      <c r="G867" s="1"/>
      <c r="H867" s="185"/>
      <c r="I867" s="185"/>
      <c r="J867" s="1"/>
      <c r="K867" s="1"/>
      <c r="L867" s="1"/>
      <c r="M867" s="1"/>
    </row>
    <row r="868" ht="15.75" customHeight="1">
      <c r="A868" s="36"/>
      <c r="B868" s="37"/>
      <c r="C868" s="37"/>
      <c r="D868" s="1"/>
      <c r="E868" s="1"/>
      <c r="F868" s="1"/>
      <c r="G868" s="1"/>
      <c r="H868" s="185"/>
      <c r="I868" s="185"/>
      <c r="J868" s="1"/>
      <c r="K868" s="1"/>
      <c r="L868" s="1"/>
      <c r="M868" s="1"/>
    </row>
    <row r="869" ht="15.75" customHeight="1">
      <c r="A869" s="36"/>
      <c r="B869" s="37"/>
      <c r="C869" s="37"/>
      <c r="D869" s="1"/>
      <c r="E869" s="1"/>
      <c r="F869" s="1"/>
      <c r="G869" s="1"/>
      <c r="H869" s="185"/>
      <c r="I869" s="185"/>
      <c r="J869" s="1"/>
      <c r="K869" s="1"/>
      <c r="L869" s="1"/>
      <c r="M869" s="1"/>
    </row>
    <row r="870" ht="15.75" customHeight="1">
      <c r="A870" s="36"/>
      <c r="B870" s="37"/>
      <c r="C870" s="37"/>
      <c r="D870" s="1"/>
      <c r="E870" s="1"/>
      <c r="F870" s="1"/>
      <c r="G870" s="1"/>
      <c r="H870" s="185"/>
      <c r="I870" s="185"/>
      <c r="J870" s="1"/>
      <c r="K870" s="1"/>
      <c r="L870" s="1"/>
      <c r="M870" s="1"/>
    </row>
    <row r="871" ht="15.75" customHeight="1">
      <c r="A871" s="36"/>
      <c r="B871" s="37"/>
      <c r="C871" s="37"/>
      <c r="D871" s="1"/>
      <c r="E871" s="1"/>
      <c r="F871" s="1"/>
      <c r="G871" s="1"/>
      <c r="H871" s="185"/>
      <c r="I871" s="185"/>
      <c r="J871" s="1"/>
      <c r="K871" s="1"/>
      <c r="L871" s="1"/>
      <c r="M871" s="1"/>
    </row>
    <row r="872" ht="15.75" customHeight="1">
      <c r="A872" s="36"/>
      <c r="B872" s="37"/>
      <c r="C872" s="37"/>
      <c r="D872" s="1"/>
      <c r="E872" s="1"/>
      <c r="F872" s="1"/>
      <c r="G872" s="1"/>
      <c r="H872" s="185"/>
      <c r="I872" s="185"/>
      <c r="J872" s="1"/>
      <c r="K872" s="1"/>
      <c r="L872" s="1"/>
      <c r="M872" s="1"/>
    </row>
    <row r="873" ht="15.75" customHeight="1">
      <c r="A873" s="36"/>
      <c r="B873" s="37"/>
      <c r="C873" s="37"/>
      <c r="D873" s="1"/>
      <c r="E873" s="1"/>
      <c r="F873" s="1"/>
      <c r="G873" s="1"/>
      <c r="H873" s="185"/>
      <c r="I873" s="185"/>
      <c r="J873" s="1"/>
      <c r="K873" s="1"/>
      <c r="L873" s="1"/>
      <c r="M873" s="1"/>
    </row>
    <row r="874" ht="15.75" customHeight="1">
      <c r="A874" s="36"/>
      <c r="B874" s="37"/>
      <c r="C874" s="37"/>
      <c r="D874" s="1"/>
      <c r="E874" s="1"/>
      <c r="F874" s="1"/>
      <c r="G874" s="1"/>
      <c r="H874" s="185"/>
      <c r="I874" s="185"/>
      <c r="J874" s="1"/>
      <c r="K874" s="1"/>
      <c r="L874" s="1"/>
      <c r="M874" s="1"/>
    </row>
    <row r="875" ht="15.75" customHeight="1">
      <c r="A875" s="36"/>
      <c r="B875" s="37"/>
      <c r="C875" s="37"/>
      <c r="D875" s="1"/>
      <c r="E875" s="1"/>
      <c r="F875" s="1"/>
      <c r="G875" s="1"/>
      <c r="H875" s="185"/>
      <c r="I875" s="185"/>
      <c r="J875" s="1"/>
      <c r="K875" s="1"/>
      <c r="L875" s="1"/>
      <c r="M875" s="1"/>
    </row>
    <row r="876" ht="15.75" customHeight="1">
      <c r="A876" s="36"/>
      <c r="B876" s="37"/>
      <c r="C876" s="37"/>
      <c r="D876" s="1"/>
      <c r="E876" s="1"/>
      <c r="F876" s="1"/>
      <c r="G876" s="1"/>
      <c r="H876" s="185"/>
      <c r="I876" s="185"/>
      <c r="J876" s="1"/>
      <c r="K876" s="1"/>
      <c r="L876" s="1"/>
      <c r="M876" s="1"/>
    </row>
    <row r="877" ht="15.75" customHeight="1">
      <c r="A877" s="36"/>
      <c r="B877" s="37"/>
      <c r="C877" s="37"/>
      <c r="D877" s="1"/>
      <c r="E877" s="1"/>
      <c r="F877" s="1"/>
      <c r="G877" s="1"/>
      <c r="H877" s="185"/>
      <c r="I877" s="185"/>
      <c r="J877" s="1"/>
      <c r="K877" s="1"/>
      <c r="L877" s="1"/>
      <c r="M877" s="1"/>
    </row>
    <row r="878" ht="15.75" customHeight="1">
      <c r="A878" s="36"/>
      <c r="B878" s="37"/>
      <c r="C878" s="37"/>
      <c r="D878" s="1"/>
      <c r="E878" s="1"/>
      <c r="F878" s="1"/>
      <c r="G878" s="1"/>
      <c r="H878" s="185"/>
      <c r="I878" s="185"/>
      <c r="J878" s="1"/>
      <c r="K878" s="1"/>
      <c r="L878" s="1"/>
      <c r="M878" s="1"/>
    </row>
    <row r="879" ht="15.75" customHeight="1">
      <c r="A879" s="36"/>
      <c r="B879" s="37"/>
      <c r="C879" s="37"/>
      <c r="D879" s="1"/>
      <c r="E879" s="1"/>
      <c r="F879" s="1"/>
      <c r="G879" s="1"/>
      <c r="H879" s="185"/>
      <c r="I879" s="185"/>
      <c r="J879" s="1"/>
      <c r="K879" s="1"/>
      <c r="L879" s="1"/>
      <c r="M879" s="1"/>
    </row>
    <row r="880" ht="15.75" customHeight="1">
      <c r="A880" s="36"/>
      <c r="B880" s="37"/>
      <c r="C880" s="37"/>
      <c r="D880" s="1"/>
      <c r="E880" s="1"/>
      <c r="F880" s="1"/>
      <c r="G880" s="1"/>
      <c r="H880" s="185"/>
      <c r="I880" s="185"/>
      <c r="J880" s="1"/>
      <c r="K880" s="1"/>
      <c r="L880" s="1"/>
      <c r="M880" s="1"/>
    </row>
    <row r="881" ht="15.75" customHeight="1">
      <c r="A881" s="36"/>
      <c r="B881" s="37"/>
      <c r="C881" s="37"/>
      <c r="D881" s="1"/>
      <c r="E881" s="1"/>
      <c r="F881" s="1"/>
      <c r="G881" s="1"/>
      <c r="H881" s="185"/>
      <c r="I881" s="185"/>
      <c r="J881" s="1"/>
      <c r="K881" s="1"/>
      <c r="L881" s="1"/>
      <c r="M881" s="1"/>
    </row>
    <row r="882" ht="15.75" customHeight="1">
      <c r="A882" s="36"/>
      <c r="B882" s="37"/>
      <c r="C882" s="37"/>
      <c r="D882" s="1"/>
      <c r="E882" s="1"/>
      <c r="F882" s="1"/>
      <c r="G882" s="1"/>
      <c r="H882" s="185"/>
      <c r="I882" s="185"/>
      <c r="J882" s="1"/>
      <c r="K882" s="1"/>
      <c r="L882" s="1"/>
      <c r="M882" s="1"/>
    </row>
    <row r="883" ht="15.75" customHeight="1">
      <c r="A883" s="36"/>
      <c r="B883" s="37"/>
      <c r="C883" s="37"/>
      <c r="D883" s="1"/>
      <c r="E883" s="1"/>
      <c r="F883" s="1"/>
      <c r="G883" s="1"/>
      <c r="H883" s="185"/>
      <c r="I883" s="185"/>
      <c r="J883" s="1"/>
      <c r="K883" s="1"/>
      <c r="L883" s="1"/>
      <c r="M883" s="1"/>
    </row>
    <row r="884" ht="15.75" customHeight="1">
      <c r="A884" s="36"/>
      <c r="B884" s="37"/>
      <c r="C884" s="37"/>
      <c r="D884" s="1"/>
      <c r="E884" s="1"/>
      <c r="F884" s="1"/>
      <c r="G884" s="1"/>
      <c r="H884" s="185"/>
      <c r="I884" s="185"/>
      <c r="J884" s="1"/>
      <c r="K884" s="1"/>
      <c r="L884" s="1"/>
      <c r="M884" s="1"/>
    </row>
    <row r="885" ht="15.75" customHeight="1">
      <c r="A885" s="36"/>
      <c r="B885" s="37"/>
      <c r="C885" s="37"/>
      <c r="D885" s="1"/>
      <c r="E885" s="1"/>
      <c r="F885" s="1"/>
      <c r="G885" s="1"/>
      <c r="H885" s="185"/>
      <c r="I885" s="185"/>
      <c r="J885" s="1"/>
      <c r="K885" s="1"/>
      <c r="L885" s="1"/>
      <c r="M885" s="1"/>
    </row>
    <row r="886" ht="15.75" customHeight="1">
      <c r="A886" s="36"/>
      <c r="B886" s="37"/>
      <c r="C886" s="37"/>
      <c r="D886" s="1"/>
      <c r="E886" s="1"/>
      <c r="F886" s="1"/>
      <c r="G886" s="1"/>
      <c r="H886" s="185"/>
      <c r="I886" s="185"/>
      <c r="J886" s="1"/>
      <c r="K886" s="1"/>
      <c r="L886" s="1"/>
      <c r="M886" s="1"/>
    </row>
    <row r="887" ht="15.75" customHeight="1">
      <c r="A887" s="36"/>
      <c r="B887" s="37"/>
      <c r="C887" s="37"/>
      <c r="D887" s="1"/>
      <c r="E887" s="1"/>
      <c r="F887" s="1"/>
      <c r="G887" s="1"/>
      <c r="H887" s="185"/>
      <c r="I887" s="185"/>
      <c r="J887" s="1"/>
      <c r="K887" s="1"/>
      <c r="L887" s="1"/>
      <c r="M887" s="1"/>
    </row>
    <row r="888" ht="15.75" customHeight="1">
      <c r="A888" s="36"/>
      <c r="B888" s="37"/>
      <c r="C888" s="37"/>
      <c r="D888" s="1"/>
      <c r="E888" s="1"/>
      <c r="F888" s="1"/>
      <c r="G888" s="1"/>
      <c r="H888" s="185"/>
      <c r="I888" s="185"/>
      <c r="J888" s="1"/>
      <c r="K888" s="1"/>
      <c r="L888" s="1"/>
      <c r="M888" s="1"/>
    </row>
    <row r="889" ht="15.75" customHeight="1">
      <c r="A889" s="36"/>
      <c r="B889" s="37"/>
      <c r="C889" s="37"/>
      <c r="D889" s="1"/>
      <c r="E889" s="1"/>
      <c r="F889" s="1"/>
      <c r="G889" s="1"/>
      <c r="H889" s="185"/>
      <c r="I889" s="185"/>
      <c r="J889" s="1"/>
      <c r="K889" s="1"/>
      <c r="L889" s="1"/>
      <c r="M889" s="1"/>
    </row>
    <row r="890" ht="15.75" customHeight="1">
      <c r="A890" s="36"/>
      <c r="B890" s="37"/>
      <c r="C890" s="37"/>
      <c r="D890" s="1"/>
      <c r="E890" s="1"/>
      <c r="F890" s="1"/>
      <c r="G890" s="1"/>
      <c r="H890" s="185"/>
      <c r="I890" s="185"/>
      <c r="J890" s="1"/>
      <c r="K890" s="1"/>
      <c r="L890" s="1"/>
      <c r="M890" s="1"/>
    </row>
    <row r="891" ht="15.75" customHeight="1">
      <c r="A891" s="36"/>
      <c r="B891" s="37"/>
      <c r="C891" s="37"/>
      <c r="D891" s="1"/>
      <c r="E891" s="1"/>
      <c r="F891" s="1"/>
      <c r="G891" s="1"/>
      <c r="H891" s="185"/>
      <c r="I891" s="185"/>
      <c r="J891" s="1"/>
      <c r="K891" s="1"/>
      <c r="L891" s="1"/>
      <c r="M891" s="1"/>
    </row>
    <row r="892" ht="15.75" customHeight="1">
      <c r="A892" s="36"/>
      <c r="B892" s="37"/>
      <c r="C892" s="37"/>
      <c r="D892" s="1"/>
      <c r="E892" s="1"/>
      <c r="F892" s="1"/>
      <c r="G892" s="1"/>
      <c r="H892" s="185"/>
      <c r="I892" s="185"/>
      <c r="J892" s="1"/>
      <c r="K892" s="1"/>
      <c r="L892" s="1"/>
      <c r="M892" s="1"/>
    </row>
    <row r="893" ht="15.75" customHeight="1">
      <c r="A893" s="36"/>
      <c r="B893" s="37"/>
      <c r="C893" s="37"/>
      <c r="D893" s="1"/>
      <c r="E893" s="1"/>
      <c r="F893" s="1"/>
      <c r="G893" s="1"/>
      <c r="H893" s="185"/>
      <c r="I893" s="185"/>
      <c r="J893" s="1"/>
      <c r="K893" s="1"/>
      <c r="L893" s="1"/>
      <c r="M893" s="1"/>
    </row>
    <row r="894" ht="15.75" customHeight="1">
      <c r="A894" s="36"/>
      <c r="B894" s="37"/>
      <c r="C894" s="37"/>
      <c r="D894" s="1"/>
      <c r="E894" s="1"/>
      <c r="F894" s="1"/>
      <c r="G894" s="1"/>
      <c r="H894" s="185"/>
      <c r="I894" s="185"/>
      <c r="J894" s="1"/>
      <c r="K894" s="1"/>
      <c r="L894" s="1"/>
      <c r="M894" s="1"/>
    </row>
    <row r="895" ht="15.75" customHeight="1">
      <c r="A895" s="36"/>
      <c r="B895" s="37"/>
      <c r="C895" s="37"/>
      <c r="D895" s="1"/>
      <c r="E895" s="1"/>
      <c r="F895" s="1"/>
      <c r="G895" s="1"/>
      <c r="H895" s="185"/>
      <c r="I895" s="185"/>
      <c r="J895" s="1"/>
      <c r="K895" s="1"/>
      <c r="L895" s="1"/>
      <c r="M895" s="1"/>
    </row>
    <row r="896" ht="15.75" customHeight="1">
      <c r="A896" s="36"/>
      <c r="B896" s="37"/>
      <c r="C896" s="37"/>
      <c r="D896" s="1"/>
      <c r="E896" s="1"/>
      <c r="F896" s="1"/>
      <c r="G896" s="1"/>
      <c r="H896" s="185"/>
      <c r="I896" s="185"/>
      <c r="J896" s="1"/>
      <c r="K896" s="1"/>
      <c r="L896" s="1"/>
      <c r="M896" s="1"/>
    </row>
    <row r="897" ht="15.75" customHeight="1">
      <c r="A897" s="36"/>
      <c r="B897" s="37"/>
      <c r="C897" s="37"/>
      <c r="D897" s="1"/>
      <c r="E897" s="1"/>
      <c r="F897" s="1"/>
      <c r="G897" s="1"/>
      <c r="H897" s="185"/>
      <c r="I897" s="185"/>
      <c r="J897" s="1"/>
      <c r="K897" s="1"/>
      <c r="L897" s="1"/>
      <c r="M897" s="1"/>
    </row>
    <row r="898" ht="15.75" customHeight="1">
      <c r="A898" s="36"/>
      <c r="B898" s="37"/>
      <c r="C898" s="37"/>
      <c r="D898" s="1"/>
      <c r="E898" s="1"/>
      <c r="F898" s="1"/>
      <c r="G898" s="1"/>
      <c r="H898" s="185"/>
      <c r="I898" s="185"/>
      <c r="J898" s="1"/>
      <c r="K898" s="1"/>
      <c r="L898" s="1"/>
      <c r="M898" s="1"/>
    </row>
    <row r="899" ht="15.75" customHeight="1">
      <c r="A899" s="36"/>
      <c r="B899" s="37"/>
      <c r="C899" s="37"/>
      <c r="D899" s="1"/>
      <c r="E899" s="1"/>
      <c r="F899" s="1"/>
      <c r="G899" s="1"/>
      <c r="H899" s="185"/>
      <c r="I899" s="185"/>
      <c r="J899" s="1"/>
      <c r="K899" s="1"/>
      <c r="L899" s="1"/>
      <c r="M899" s="1"/>
    </row>
    <row r="900" ht="15.75" customHeight="1">
      <c r="A900" s="36"/>
      <c r="B900" s="37"/>
      <c r="C900" s="37"/>
      <c r="D900" s="1"/>
      <c r="E900" s="1"/>
      <c r="F900" s="1"/>
      <c r="G900" s="1"/>
      <c r="H900" s="185"/>
      <c r="I900" s="185"/>
      <c r="J900" s="1"/>
      <c r="K900" s="1"/>
      <c r="L900" s="1"/>
      <c r="M900" s="1"/>
    </row>
    <row r="901" ht="15.75" customHeight="1">
      <c r="A901" s="36"/>
      <c r="B901" s="37"/>
      <c r="C901" s="37"/>
      <c r="D901" s="1"/>
      <c r="E901" s="1"/>
      <c r="F901" s="1"/>
      <c r="G901" s="1"/>
      <c r="H901" s="185"/>
      <c r="I901" s="185"/>
      <c r="J901" s="1"/>
      <c r="K901" s="1"/>
      <c r="L901" s="1"/>
      <c r="M901" s="1"/>
    </row>
    <row r="902" ht="15.75" customHeight="1">
      <c r="A902" s="36"/>
      <c r="B902" s="37"/>
      <c r="C902" s="37"/>
      <c r="D902" s="1"/>
      <c r="E902" s="1"/>
      <c r="F902" s="1"/>
      <c r="G902" s="1"/>
      <c r="H902" s="185"/>
      <c r="I902" s="185"/>
      <c r="J902" s="1"/>
      <c r="K902" s="1"/>
      <c r="L902" s="1"/>
      <c r="M902" s="1"/>
    </row>
    <row r="903" ht="15.75" customHeight="1">
      <c r="A903" s="36"/>
      <c r="B903" s="37"/>
      <c r="C903" s="37"/>
      <c r="D903" s="1"/>
      <c r="E903" s="1"/>
      <c r="F903" s="1"/>
      <c r="G903" s="1"/>
      <c r="H903" s="185"/>
      <c r="I903" s="185"/>
      <c r="J903" s="1"/>
      <c r="K903" s="1"/>
      <c r="L903" s="1"/>
      <c r="M903" s="1"/>
    </row>
    <row r="904" ht="15.75" customHeight="1">
      <c r="A904" s="36"/>
      <c r="B904" s="37"/>
      <c r="C904" s="37"/>
      <c r="D904" s="1"/>
      <c r="E904" s="1"/>
      <c r="F904" s="1"/>
      <c r="G904" s="1"/>
      <c r="H904" s="185"/>
      <c r="I904" s="185"/>
      <c r="J904" s="1"/>
      <c r="K904" s="1"/>
      <c r="L904" s="1"/>
      <c r="M904" s="1"/>
    </row>
    <row r="905" ht="15.75" customHeight="1">
      <c r="A905" s="36"/>
      <c r="B905" s="37"/>
      <c r="C905" s="37"/>
      <c r="D905" s="1"/>
      <c r="E905" s="1"/>
      <c r="F905" s="1"/>
      <c r="G905" s="1"/>
      <c r="H905" s="185"/>
      <c r="I905" s="185"/>
      <c r="J905" s="1"/>
      <c r="K905" s="1"/>
      <c r="L905" s="1"/>
      <c r="M905" s="1"/>
    </row>
    <row r="906" ht="15.75" customHeight="1">
      <c r="A906" s="36"/>
      <c r="B906" s="37"/>
      <c r="C906" s="37"/>
      <c r="D906" s="1"/>
      <c r="E906" s="1"/>
      <c r="F906" s="1"/>
      <c r="G906" s="1"/>
      <c r="H906" s="185"/>
      <c r="I906" s="185"/>
      <c r="J906" s="1"/>
      <c r="K906" s="1"/>
      <c r="L906" s="1"/>
      <c r="M906" s="1"/>
    </row>
    <row r="907" ht="15.75" customHeight="1">
      <c r="A907" s="36"/>
      <c r="B907" s="37"/>
      <c r="C907" s="37"/>
      <c r="D907" s="1"/>
      <c r="E907" s="1"/>
      <c r="F907" s="1"/>
      <c r="G907" s="1"/>
      <c r="H907" s="185"/>
      <c r="I907" s="185"/>
      <c r="J907" s="1"/>
      <c r="K907" s="1"/>
      <c r="L907" s="1"/>
      <c r="M907" s="1"/>
    </row>
    <row r="908" ht="15.75" customHeight="1">
      <c r="A908" s="36"/>
      <c r="B908" s="37"/>
      <c r="C908" s="37"/>
      <c r="D908" s="1"/>
      <c r="E908" s="1"/>
      <c r="F908" s="1"/>
      <c r="G908" s="1"/>
      <c r="H908" s="185"/>
      <c r="I908" s="185"/>
      <c r="J908" s="1"/>
      <c r="K908" s="1"/>
      <c r="L908" s="1"/>
      <c r="M908" s="1"/>
    </row>
    <row r="909" ht="15.75" customHeight="1">
      <c r="A909" s="36"/>
      <c r="B909" s="37"/>
      <c r="C909" s="37"/>
      <c r="D909" s="1"/>
      <c r="E909" s="1"/>
      <c r="F909" s="1"/>
      <c r="G909" s="1"/>
      <c r="H909" s="185"/>
      <c r="I909" s="185"/>
      <c r="J909" s="1"/>
      <c r="K909" s="1"/>
      <c r="L909" s="1"/>
      <c r="M909" s="1"/>
    </row>
    <row r="910" ht="15.75" customHeight="1">
      <c r="A910" s="36"/>
      <c r="B910" s="37"/>
      <c r="C910" s="37"/>
      <c r="D910" s="1"/>
      <c r="E910" s="1"/>
      <c r="F910" s="1"/>
      <c r="G910" s="1"/>
      <c r="H910" s="185"/>
      <c r="I910" s="185"/>
      <c r="J910" s="1"/>
      <c r="K910" s="1"/>
      <c r="L910" s="1"/>
      <c r="M910" s="1"/>
    </row>
    <row r="911" ht="15.75" customHeight="1">
      <c r="A911" s="36"/>
      <c r="B911" s="37"/>
      <c r="C911" s="37"/>
      <c r="D911" s="1"/>
      <c r="E911" s="1"/>
      <c r="F911" s="1"/>
      <c r="G911" s="1"/>
      <c r="H911" s="185"/>
      <c r="I911" s="185"/>
      <c r="J911" s="1"/>
      <c r="K911" s="1"/>
      <c r="L911" s="1"/>
      <c r="M911" s="1"/>
    </row>
    <row r="912" ht="15.75" customHeight="1">
      <c r="A912" s="36"/>
      <c r="B912" s="37"/>
      <c r="C912" s="37"/>
      <c r="D912" s="1"/>
      <c r="E912" s="1"/>
      <c r="F912" s="1"/>
      <c r="G912" s="1"/>
      <c r="H912" s="185"/>
      <c r="I912" s="185"/>
      <c r="J912" s="1"/>
      <c r="K912" s="1"/>
      <c r="L912" s="1"/>
      <c r="M912" s="1"/>
    </row>
    <row r="913" ht="15.75" customHeight="1">
      <c r="A913" s="36"/>
      <c r="B913" s="37"/>
      <c r="C913" s="37"/>
      <c r="D913" s="1"/>
      <c r="E913" s="1"/>
      <c r="F913" s="1"/>
      <c r="G913" s="1"/>
      <c r="H913" s="185"/>
      <c r="I913" s="185"/>
      <c r="J913" s="1"/>
      <c r="K913" s="1"/>
      <c r="L913" s="1"/>
      <c r="M913" s="1"/>
    </row>
    <row r="914" ht="15.75" customHeight="1">
      <c r="A914" s="36"/>
      <c r="B914" s="37"/>
      <c r="C914" s="37"/>
      <c r="D914" s="1"/>
      <c r="E914" s="1"/>
      <c r="F914" s="1"/>
      <c r="G914" s="1"/>
      <c r="H914" s="185"/>
      <c r="I914" s="185"/>
      <c r="J914" s="1"/>
      <c r="K914" s="1"/>
      <c r="L914" s="1"/>
      <c r="M914" s="1"/>
    </row>
    <row r="915" ht="15.75" customHeight="1">
      <c r="A915" s="36"/>
      <c r="B915" s="37"/>
      <c r="C915" s="37"/>
      <c r="D915" s="1"/>
      <c r="E915" s="1"/>
      <c r="F915" s="1"/>
      <c r="G915" s="1"/>
      <c r="H915" s="185"/>
      <c r="I915" s="185"/>
      <c r="J915" s="1"/>
      <c r="K915" s="1"/>
      <c r="L915" s="1"/>
      <c r="M915" s="1"/>
    </row>
    <row r="916" ht="15.75" customHeight="1">
      <c r="A916" s="36"/>
      <c r="B916" s="37"/>
      <c r="C916" s="37"/>
      <c r="D916" s="1"/>
      <c r="E916" s="1"/>
      <c r="F916" s="1"/>
      <c r="G916" s="1"/>
      <c r="H916" s="185"/>
      <c r="I916" s="185"/>
      <c r="J916" s="1"/>
      <c r="K916" s="1"/>
      <c r="L916" s="1"/>
      <c r="M916" s="1"/>
    </row>
    <row r="917" ht="15.75" customHeight="1">
      <c r="A917" s="36"/>
      <c r="B917" s="37"/>
      <c r="C917" s="37"/>
      <c r="D917" s="1"/>
      <c r="E917" s="1"/>
      <c r="F917" s="1"/>
      <c r="G917" s="1"/>
      <c r="H917" s="185"/>
      <c r="I917" s="185"/>
      <c r="J917" s="1"/>
      <c r="K917" s="1"/>
      <c r="L917" s="1"/>
      <c r="M917" s="1"/>
    </row>
    <row r="918" ht="15.75" customHeight="1">
      <c r="A918" s="36"/>
      <c r="B918" s="37"/>
      <c r="C918" s="37"/>
      <c r="D918" s="1"/>
      <c r="E918" s="1"/>
      <c r="F918" s="1"/>
      <c r="G918" s="1"/>
      <c r="H918" s="185"/>
      <c r="I918" s="185"/>
      <c r="J918" s="1"/>
      <c r="K918" s="1"/>
      <c r="L918" s="1"/>
      <c r="M918" s="1"/>
    </row>
    <row r="919" ht="15.75" customHeight="1">
      <c r="A919" s="36"/>
      <c r="B919" s="37"/>
      <c r="C919" s="37"/>
      <c r="D919" s="1"/>
      <c r="E919" s="1"/>
      <c r="F919" s="1"/>
      <c r="G919" s="1"/>
      <c r="H919" s="185"/>
      <c r="I919" s="185"/>
      <c r="J919" s="1"/>
      <c r="K919" s="1"/>
      <c r="L919" s="1"/>
      <c r="M919" s="1"/>
    </row>
    <row r="920" ht="15.75" customHeight="1">
      <c r="A920" s="36"/>
      <c r="B920" s="37"/>
      <c r="C920" s="37"/>
      <c r="D920" s="1"/>
      <c r="E920" s="1"/>
      <c r="F920" s="1"/>
      <c r="G920" s="1"/>
      <c r="H920" s="185"/>
      <c r="I920" s="185"/>
      <c r="J920" s="1"/>
      <c r="K920" s="1"/>
      <c r="L920" s="1"/>
      <c r="M920" s="1"/>
    </row>
    <row r="921" ht="15.75" customHeight="1">
      <c r="A921" s="36"/>
      <c r="B921" s="37"/>
      <c r="C921" s="37"/>
      <c r="D921" s="1"/>
      <c r="E921" s="1"/>
      <c r="F921" s="1"/>
      <c r="G921" s="1"/>
      <c r="H921" s="185"/>
      <c r="I921" s="185"/>
      <c r="J921" s="1"/>
      <c r="K921" s="1"/>
      <c r="L921" s="1"/>
      <c r="M921" s="1"/>
    </row>
    <row r="922" ht="15.75" customHeight="1">
      <c r="A922" s="36"/>
      <c r="B922" s="37"/>
      <c r="C922" s="37"/>
      <c r="D922" s="1"/>
      <c r="E922" s="1"/>
      <c r="F922" s="1"/>
      <c r="G922" s="1"/>
      <c r="H922" s="185"/>
      <c r="I922" s="185"/>
      <c r="J922" s="1"/>
      <c r="K922" s="1"/>
      <c r="L922" s="1"/>
      <c r="M922" s="1"/>
    </row>
    <row r="923" ht="15.75" customHeight="1">
      <c r="A923" s="36"/>
      <c r="B923" s="37"/>
      <c r="C923" s="37"/>
      <c r="D923" s="1"/>
      <c r="E923" s="1"/>
      <c r="F923" s="1"/>
      <c r="G923" s="1"/>
      <c r="H923" s="185"/>
      <c r="I923" s="185"/>
      <c r="J923" s="1"/>
      <c r="K923" s="1"/>
      <c r="L923" s="1"/>
      <c r="M923" s="1"/>
    </row>
    <row r="924" ht="15.75" customHeight="1">
      <c r="A924" s="36"/>
      <c r="B924" s="37"/>
      <c r="C924" s="37"/>
      <c r="D924" s="1"/>
      <c r="E924" s="1"/>
      <c r="F924" s="1"/>
      <c r="G924" s="1"/>
      <c r="H924" s="185"/>
      <c r="I924" s="185"/>
      <c r="J924" s="1"/>
      <c r="K924" s="1"/>
      <c r="L924" s="1"/>
      <c r="M924" s="1"/>
    </row>
    <row r="925" ht="15.75" customHeight="1">
      <c r="A925" s="36"/>
      <c r="B925" s="37"/>
      <c r="C925" s="37"/>
      <c r="D925" s="1"/>
      <c r="E925" s="1"/>
      <c r="F925" s="1"/>
      <c r="G925" s="1"/>
      <c r="H925" s="185"/>
      <c r="I925" s="185"/>
      <c r="J925" s="1"/>
      <c r="K925" s="1"/>
      <c r="L925" s="1"/>
      <c r="M925" s="1"/>
    </row>
    <row r="926" ht="15.75" customHeight="1">
      <c r="A926" s="36"/>
      <c r="B926" s="37"/>
      <c r="C926" s="37"/>
      <c r="D926" s="1"/>
      <c r="E926" s="1"/>
      <c r="F926" s="1"/>
      <c r="G926" s="1"/>
      <c r="H926" s="185"/>
      <c r="I926" s="185"/>
      <c r="J926" s="1"/>
      <c r="K926" s="1"/>
      <c r="L926" s="1"/>
      <c r="M926" s="1"/>
    </row>
    <row r="927" ht="15.75" customHeight="1">
      <c r="A927" s="36"/>
      <c r="B927" s="37"/>
      <c r="C927" s="37"/>
      <c r="D927" s="1"/>
      <c r="E927" s="1"/>
      <c r="F927" s="1"/>
      <c r="G927" s="1"/>
      <c r="H927" s="185"/>
      <c r="I927" s="185"/>
      <c r="J927" s="1"/>
      <c r="K927" s="1"/>
      <c r="L927" s="1"/>
      <c r="M927" s="1"/>
    </row>
    <row r="928" ht="15.75" customHeight="1">
      <c r="A928" s="36"/>
      <c r="B928" s="37"/>
      <c r="C928" s="37"/>
      <c r="D928" s="1"/>
      <c r="E928" s="1"/>
      <c r="F928" s="1"/>
      <c r="G928" s="1"/>
      <c r="H928" s="185"/>
      <c r="I928" s="185"/>
      <c r="J928" s="1"/>
      <c r="K928" s="1"/>
      <c r="L928" s="1"/>
      <c r="M928" s="1"/>
    </row>
    <row r="929" ht="15.75" customHeight="1">
      <c r="A929" s="36"/>
      <c r="B929" s="37"/>
      <c r="C929" s="37"/>
      <c r="D929" s="1"/>
      <c r="E929" s="1"/>
      <c r="F929" s="1"/>
      <c r="G929" s="1"/>
      <c r="H929" s="185"/>
      <c r="I929" s="185"/>
      <c r="J929" s="1"/>
      <c r="K929" s="1"/>
      <c r="L929" s="1"/>
      <c r="M929" s="1"/>
    </row>
    <row r="930" ht="15.75" customHeight="1">
      <c r="A930" s="36"/>
      <c r="B930" s="37"/>
      <c r="C930" s="37"/>
      <c r="D930" s="1"/>
      <c r="E930" s="1"/>
      <c r="F930" s="1"/>
      <c r="G930" s="1"/>
      <c r="H930" s="185"/>
      <c r="I930" s="185"/>
      <c r="J930" s="1"/>
      <c r="K930" s="1"/>
      <c r="L930" s="1"/>
      <c r="M930" s="1"/>
    </row>
    <row r="931" ht="15.75" customHeight="1">
      <c r="A931" s="36"/>
      <c r="B931" s="37"/>
      <c r="C931" s="37"/>
      <c r="D931" s="1"/>
      <c r="E931" s="1"/>
      <c r="F931" s="1"/>
      <c r="G931" s="1"/>
      <c r="H931" s="185"/>
      <c r="I931" s="185"/>
      <c r="J931" s="1"/>
      <c r="K931" s="1"/>
      <c r="L931" s="1"/>
      <c r="M931" s="1"/>
    </row>
    <row r="932" ht="15.75" customHeight="1">
      <c r="A932" s="36"/>
      <c r="B932" s="37"/>
      <c r="C932" s="37"/>
      <c r="D932" s="1"/>
      <c r="E932" s="1"/>
      <c r="F932" s="1"/>
      <c r="G932" s="1"/>
      <c r="H932" s="185"/>
      <c r="I932" s="185"/>
      <c r="J932" s="1"/>
      <c r="K932" s="1"/>
      <c r="L932" s="1"/>
      <c r="M932" s="1"/>
    </row>
    <row r="933" ht="15.75" customHeight="1">
      <c r="A933" s="36"/>
      <c r="B933" s="37"/>
      <c r="C933" s="37"/>
      <c r="D933" s="1"/>
      <c r="E933" s="1"/>
      <c r="F933" s="1"/>
      <c r="G933" s="1"/>
      <c r="H933" s="185"/>
      <c r="I933" s="185"/>
      <c r="J933" s="1"/>
      <c r="K933" s="1"/>
      <c r="L933" s="1"/>
      <c r="M933" s="1"/>
    </row>
    <row r="934" ht="15.75" customHeight="1">
      <c r="A934" s="36"/>
      <c r="B934" s="37"/>
      <c r="C934" s="37"/>
      <c r="D934" s="1"/>
      <c r="E934" s="1"/>
      <c r="F934" s="1"/>
      <c r="G934" s="1"/>
      <c r="H934" s="185"/>
      <c r="I934" s="185"/>
      <c r="J934" s="1"/>
      <c r="K934" s="1"/>
      <c r="L934" s="1"/>
      <c r="M934" s="1"/>
    </row>
    <row r="935" ht="15.75" customHeight="1">
      <c r="A935" s="36"/>
      <c r="B935" s="37"/>
      <c r="C935" s="37"/>
      <c r="D935" s="1"/>
      <c r="E935" s="1"/>
      <c r="F935" s="1"/>
      <c r="G935" s="1"/>
      <c r="H935" s="185"/>
      <c r="I935" s="185"/>
      <c r="J935" s="1"/>
      <c r="K935" s="1"/>
      <c r="L935" s="1"/>
      <c r="M935" s="1"/>
    </row>
    <row r="936" ht="15.75" customHeight="1">
      <c r="A936" s="36"/>
      <c r="B936" s="37"/>
      <c r="C936" s="37"/>
      <c r="D936" s="1"/>
      <c r="E936" s="1"/>
      <c r="F936" s="1"/>
      <c r="G936" s="1"/>
      <c r="H936" s="185"/>
      <c r="I936" s="185"/>
      <c r="J936" s="1"/>
      <c r="K936" s="1"/>
      <c r="L936" s="1"/>
      <c r="M936" s="1"/>
    </row>
    <row r="937" ht="15.75" customHeight="1">
      <c r="A937" s="36"/>
      <c r="B937" s="37"/>
      <c r="C937" s="37"/>
      <c r="D937" s="1"/>
      <c r="E937" s="1"/>
      <c r="F937" s="1"/>
      <c r="G937" s="1"/>
      <c r="H937" s="185"/>
      <c r="I937" s="185"/>
      <c r="J937" s="1"/>
      <c r="K937" s="1"/>
      <c r="L937" s="1"/>
      <c r="M937" s="1"/>
    </row>
    <row r="938" ht="15.75" customHeight="1">
      <c r="A938" s="36"/>
      <c r="B938" s="37"/>
      <c r="C938" s="37"/>
      <c r="D938" s="1"/>
      <c r="E938" s="1"/>
      <c r="F938" s="1"/>
      <c r="G938" s="1"/>
      <c r="H938" s="185"/>
      <c r="I938" s="185"/>
      <c r="J938" s="1"/>
      <c r="K938" s="1"/>
      <c r="L938" s="1"/>
      <c r="M938" s="1"/>
    </row>
    <row r="939" ht="15.75" customHeight="1">
      <c r="A939" s="36"/>
      <c r="B939" s="37"/>
      <c r="C939" s="37"/>
      <c r="D939" s="1"/>
      <c r="E939" s="1"/>
      <c r="F939" s="1"/>
      <c r="G939" s="1"/>
      <c r="H939" s="185"/>
      <c r="I939" s="185"/>
      <c r="J939" s="1"/>
      <c r="K939" s="1"/>
      <c r="L939" s="1"/>
      <c r="M939" s="1"/>
    </row>
    <row r="940" ht="15.75" customHeight="1">
      <c r="A940" s="36"/>
      <c r="B940" s="37"/>
      <c r="C940" s="37"/>
      <c r="D940" s="1"/>
      <c r="E940" s="1"/>
      <c r="F940" s="1"/>
      <c r="G940" s="1"/>
      <c r="H940" s="185"/>
      <c r="I940" s="185"/>
      <c r="J940" s="1"/>
      <c r="K940" s="1"/>
      <c r="L940" s="1"/>
      <c r="M940" s="1"/>
    </row>
    <row r="941" ht="15.75" customHeight="1">
      <c r="A941" s="36"/>
      <c r="B941" s="37"/>
      <c r="C941" s="37"/>
      <c r="D941" s="1"/>
      <c r="E941" s="1"/>
      <c r="F941" s="1"/>
      <c r="G941" s="1"/>
      <c r="H941" s="185"/>
      <c r="I941" s="185"/>
      <c r="J941" s="1"/>
      <c r="K941" s="1"/>
      <c r="L941" s="1"/>
      <c r="M941" s="1"/>
    </row>
    <row r="942" ht="15.75" customHeight="1">
      <c r="A942" s="36"/>
      <c r="B942" s="37"/>
      <c r="C942" s="37"/>
      <c r="D942" s="1"/>
      <c r="E942" s="1"/>
      <c r="F942" s="1"/>
      <c r="G942" s="1"/>
      <c r="H942" s="185"/>
      <c r="I942" s="185"/>
      <c r="J942" s="1"/>
      <c r="K942" s="1"/>
      <c r="L942" s="1"/>
      <c r="M942" s="1"/>
    </row>
    <row r="943" ht="15.75" customHeight="1">
      <c r="A943" s="36"/>
      <c r="B943" s="37"/>
      <c r="C943" s="37"/>
      <c r="D943" s="1"/>
      <c r="E943" s="1"/>
      <c r="F943" s="1"/>
      <c r="G943" s="1"/>
      <c r="H943" s="185"/>
      <c r="I943" s="185"/>
      <c r="J943" s="1"/>
      <c r="K943" s="1"/>
      <c r="L943" s="1"/>
      <c r="M943" s="1"/>
    </row>
    <row r="944" ht="15.75" customHeight="1">
      <c r="A944" s="36"/>
      <c r="B944" s="37"/>
      <c r="C944" s="37"/>
      <c r="D944" s="1"/>
      <c r="E944" s="1"/>
      <c r="F944" s="1"/>
      <c r="G944" s="1"/>
      <c r="H944" s="185"/>
      <c r="I944" s="185"/>
      <c r="J944" s="1"/>
      <c r="K944" s="1"/>
      <c r="L944" s="1"/>
      <c r="M944" s="1"/>
    </row>
    <row r="945" ht="15.75" customHeight="1">
      <c r="A945" s="36"/>
      <c r="B945" s="37"/>
      <c r="C945" s="37"/>
      <c r="D945" s="1"/>
      <c r="E945" s="1"/>
      <c r="F945" s="1"/>
      <c r="G945" s="1"/>
      <c r="H945" s="185"/>
      <c r="I945" s="185"/>
      <c r="J945" s="1"/>
      <c r="K945" s="1"/>
      <c r="L945" s="1"/>
      <c r="M945" s="1"/>
    </row>
    <row r="946" ht="15.75" customHeight="1">
      <c r="A946" s="36"/>
      <c r="B946" s="37"/>
      <c r="C946" s="37"/>
      <c r="D946" s="1"/>
      <c r="E946" s="1"/>
      <c r="F946" s="1"/>
      <c r="G946" s="1"/>
      <c r="H946" s="185"/>
      <c r="I946" s="185"/>
      <c r="J946" s="1"/>
      <c r="K946" s="1"/>
      <c r="L946" s="1"/>
      <c r="M946" s="1"/>
    </row>
    <row r="947" ht="15.75" customHeight="1">
      <c r="A947" s="36"/>
      <c r="B947" s="37"/>
      <c r="C947" s="37"/>
      <c r="D947" s="1"/>
      <c r="E947" s="1"/>
      <c r="F947" s="1"/>
      <c r="G947" s="1"/>
      <c r="H947" s="185"/>
      <c r="I947" s="185"/>
      <c r="J947" s="1"/>
      <c r="K947" s="1"/>
      <c r="L947" s="1"/>
      <c r="M947" s="1"/>
    </row>
    <row r="948" ht="15.75" customHeight="1">
      <c r="A948" s="36"/>
      <c r="B948" s="37"/>
      <c r="C948" s="37"/>
      <c r="D948" s="1"/>
      <c r="E948" s="1"/>
      <c r="F948" s="1"/>
      <c r="G948" s="1"/>
      <c r="H948" s="185"/>
      <c r="I948" s="185"/>
      <c r="J948" s="1"/>
      <c r="K948" s="1"/>
      <c r="L948" s="1"/>
      <c r="M948" s="1"/>
    </row>
    <row r="949" ht="15.75" customHeight="1">
      <c r="A949" s="36"/>
      <c r="B949" s="37"/>
      <c r="C949" s="37"/>
      <c r="D949" s="1"/>
      <c r="E949" s="1"/>
      <c r="F949" s="1"/>
      <c r="G949" s="1"/>
      <c r="H949" s="185"/>
      <c r="I949" s="185"/>
      <c r="J949" s="1"/>
      <c r="K949" s="1"/>
      <c r="L949" s="1"/>
      <c r="M949" s="1"/>
    </row>
    <row r="950" ht="15.75" customHeight="1">
      <c r="A950" s="36"/>
      <c r="B950" s="37"/>
      <c r="C950" s="37"/>
      <c r="D950" s="1"/>
      <c r="E950" s="1"/>
      <c r="F950" s="1"/>
      <c r="G950" s="1"/>
      <c r="H950" s="185"/>
      <c r="I950" s="185"/>
      <c r="J950" s="1"/>
      <c r="K950" s="1"/>
      <c r="L950" s="1"/>
      <c r="M950" s="1"/>
    </row>
    <row r="951" ht="15.75" customHeight="1">
      <c r="A951" s="36"/>
      <c r="B951" s="37"/>
      <c r="C951" s="37"/>
      <c r="D951" s="1"/>
      <c r="E951" s="1"/>
      <c r="F951" s="1"/>
      <c r="G951" s="1"/>
      <c r="H951" s="185"/>
      <c r="I951" s="185"/>
      <c r="J951" s="1"/>
      <c r="K951" s="1"/>
      <c r="L951" s="1"/>
      <c r="M951" s="1"/>
    </row>
    <row r="952" ht="15.75" customHeight="1">
      <c r="A952" s="36"/>
      <c r="B952" s="37"/>
      <c r="C952" s="37"/>
      <c r="D952" s="1"/>
      <c r="E952" s="1"/>
      <c r="F952" s="1"/>
      <c r="G952" s="1"/>
      <c r="H952" s="185"/>
      <c r="I952" s="185"/>
      <c r="J952" s="1"/>
      <c r="K952" s="1"/>
      <c r="L952" s="1"/>
      <c r="M952" s="1"/>
    </row>
    <row r="953" ht="15.75" customHeight="1">
      <c r="A953" s="36"/>
      <c r="B953" s="37"/>
      <c r="C953" s="37"/>
      <c r="D953" s="1"/>
      <c r="E953" s="1"/>
      <c r="F953" s="1"/>
      <c r="G953" s="1"/>
      <c r="H953" s="185"/>
      <c r="I953" s="185"/>
      <c r="J953" s="1"/>
      <c r="K953" s="1"/>
      <c r="L953" s="1"/>
      <c r="M953" s="1"/>
    </row>
    <row r="954" ht="15.75" customHeight="1">
      <c r="A954" s="36"/>
      <c r="B954" s="37"/>
      <c r="C954" s="37"/>
      <c r="D954" s="1"/>
      <c r="E954" s="1"/>
      <c r="F954" s="1"/>
      <c r="G954" s="1"/>
      <c r="H954" s="185"/>
      <c r="I954" s="185"/>
      <c r="J954" s="1"/>
      <c r="K954" s="1"/>
      <c r="L954" s="1"/>
      <c r="M954" s="1"/>
    </row>
    <row r="955" ht="15.75" customHeight="1">
      <c r="A955" s="36"/>
      <c r="B955" s="37"/>
      <c r="C955" s="37"/>
      <c r="D955" s="1"/>
      <c r="E955" s="1"/>
      <c r="F955" s="1"/>
      <c r="G955" s="1"/>
      <c r="H955" s="185"/>
      <c r="I955" s="185"/>
      <c r="J955" s="1"/>
      <c r="K955" s="1"/>
      <c r="L955" s="1"/>
      <c r="M955" s="1"/>
    </row>
    <row r="956" ht="15.75" customHeight="1">
      <c r="A956" s="36"/>
      <c r="B956" s="37"/>
      <c r="C956" s="37"/>
      <c r="D956" s="1"/>
      <c r="E956" s="1"/>
      <c r="F956" s="1"/>
      <c r="G956" s="1"/>
      <c r="H956" s="185"/>
      <c r="I956" s="185"/>
      <c r="J956" s="1"/>
      <c r="K956" s="1"/>
      <c r="L956" s="1"/>
      <c r="M956" s="1"/>
    </row>
    <row r="957" ht="15.75" customHeight="1">
      <c r="A957" s="36"/>
      <c r="B957" s="37"/>
      <c r="C957" s="37"/>
      <c r="D957" s="1"/>
      <c r="E957" s="1"/>
      <c r="F957" s="1"/>
      <c r="G957" s="1"/>
      <c r="H957" s="185"/>
      <c r="I957" s="185"/>
      <c r="J957" s="1"/>
      <c r="K957" s="1"/>
      <c r="L957" s="1"/>
      <c r="M957" s="1"/>
    </row>
    <row r="958" ht="15.75" customHeight="1">
      <c r="A958" s="36"/>
      <c r="B958" s="37"/>
      <c r="C958" s="37"/>
      <c r="D958" s="1"/>
      <c r="E958" s="1"/>
      <c r="F958" s="1"/>
      <c r="G958" s="1"/>
      <c r="H958" s="185"/>
      <c r="I958" s="185"/>
      <c r="J958" s="1"/>
      <c r="K958" s="1"/>
      <c r="L958" s="1"/>
      <c r="M958" s="1"/>
    </row>
    <row r="959" ht="15.75" customHeight="1">
      <c r="A959" s="36"/>
      <c r="B959" s="37"/>
      <c r="C959" s="37"/>
      <c r="D959" s="1"/>
      <c r="E959" s="1"/>
      <c r="F959" s="1"/>
      <c r="G959" s="1"/>
      <c r="H959" s="185"/>
      <c r="I959" s="185"/>
      <c r="J959" s="1"/>
      <c r="K959" s="1"/>
      <c r="L959" s="1"/>
      <c r="M959" s="1"/>
    </row>
    <row r="960" ht="15.75" customHeight="1">
      <c r="A960" s="36"/>
      <c r="B960" s="37"/>
      <c r="C960" s="37"/>
      <c r="D960" s="1"/>
      <c r="E960" s="1"/>
      <c r="F960" s="1"/>
      <c r="G960" s="1"/>
      <c r="H960" s="185"/>
      <c r="I960" s="185"/>
      <c r="J960" s="1"/>
      <c r="K960" s="1"/>
      <c r="L960" s="1"/>
      <c r="M960" s="1"/>
    </row>
    <row r="961" ht="15.75" customHeight="1">
      <c r="A961" s="36"/>
      <c r="B961" s="37"/>
      <c r="C961" s="37"/>
      <c r="D961" s="1"/>
      <c r="E961" s="1"/>
      <c r="F961" s="1"/>
      <c r="G961" s="1"/>
      <c r="H961" s="185"/>
      <c r="I961" s="185"/>
      <c r="J961" s="1"/>
      <c r="K961" s="1"/>
      <c r="L961" s="1"/>
      <c r="M961" s="1"/>
    </row>
    <row r="962" ht="15.75" customHeight="1">
      <c r="A962" s="36"/>
      <c r="B962" s="37"/>
      <c r="C962" s="37"/>
      <c r="D962" s="1"/>
      <c r="E962" s="1"/>
      <c r="F962" s="1"/>
      <c r="G962" s="1"/>
      <c r="H962" s="185"/>
      <c r="I962" s="185"/>
      <c r="J962" s="1"/>
      <c r="K962" s="1"/>
      <c r="L962" s="1"/>
      <c r="M962" s="1"/>
    </row>
    <row r="963" ht="15.75" customHeight="1">
      <c r="A963" s="36"/>
      <c r="B963" s="37"/>
      <c r="C963" s="37"/>
      <c r="D963" s="1"/>
      <c r="E963" s="1"/>
      <c r="F963" s="1"/>
      <c r="G963" s="1"/>
      <c r="H963" s="185"/>
      <c r="I963" s="185"/>
      <c r="J963" s="1"/>
      <c r="K963" s="1"/>
      <c r="L963" s="1"/>
      <c r="M963" s="1"/>
    </row>
    <row r="964" ht="15.75" customHeight="1">
      <c r="A964" s="36"/>
      <c r="B964" s="37"/>
      <c r="C964" s="37"/>
      <c r="D964" s="1"/>
      <c r="E964" s="1"/>
      <c r="F964" s="1"/>
      <c r="G964" s="1"/>
      <c r="H964" s="185"/>
      <c r="I964" s="185"/>
      <c r="J964" s="1"/>
      <c r="K964" s="1"/>
      <c r="L964" s="1"/>
      <c r="M964" s="1"/>
    </row>
    <row r="965" ht="15.75" customHeight="1">
      <c r="A965" s="36"/>
      <c r="B965" s="37"/>
      <c r="C965" s="37"/>
      <c r="D965" s="1"/>
      <c r="E965" s="1"/>
      <c r="F965" s="1"/>
      <c r="G965" s="1"/>
      <c r="H965" s="185"/>
      <c r="I965" s="185"/>
      <c r="J965" s="1"/>
      <c r="K965" s="1"/>
      <c r="L965" s="1"/>
      <c r="M965" s="1"/>
    </row>
    <row r="966" ht="15.75" customHeight="1">
      <c r="A966" s="36"/>
      <c r="B966" s="37"/>
      <c r="C966" s="37"/>
      <c r="D966" s="1"/>
      <c r="E966" s="1"/>
      <c r="F966" s="1"/>
      <c r="G966" s="1"/>
      <c r="H966" s="185"/>
      <c r="I966" s="185"/>
      <c r="J966" s="1"/>
      <c r="K966" s="1"/>
      <c r="L966" s="1"/>
      <c r="M966" s="1"/>
    </row>
    <row r="967" ht="15.75" customHeight="1">
      <c r="A967" s="36"/>
      <c r="B967" s="37"/>
      <c r="C967" s="37"/>
      <c r="D967" s="1"/>
      <c r="E967" s="1"/>
      <c r="F967" s="1"/>
      <c r="G967" s="1"/>
      <c r="H967" s="185"/>
      <c r="I967" s="185"/>
      <c r="J967" s="1"/>
      <c r="K967" s="1"/>
      <c r="L967" s="1"/>
      <c r="M967" s="1"/>
    </row>
    <row r="968" ht="15.75" customHeight="1">
      <c r="A968" s="36"/>
      <c r="B968" s="37"/>
      <c r="C968" s="37"/>
      <c r="D968" s="1"/>
      <c r="E968" s="1"/>
      <c r="F968" s="1"/>
      <c r="G968" s="1"/>
      <c r="H968" s="185"/>
      <c r="I968" s="185"/>
      <c r="J968" s="1"/>
      <c r="K968" s="1"/>
      <c r="L968" s="1"/>
      <c r="M968" s="1"/>
    </row>
    <row r="969" ht="15.75" customHeight="1">
      <c r="A969" s="36"/>
      <c r="B969" s="37"/>
      <c r="C969" s="37"/>
      <c r="D969" s="1"/>
      <c r="E969" s="1"/>
      <c r="F969" s="1"/>
      <c r="G969" s="1"/>
      <c r="H969" s="185"/>
      <c r="I969" s="185"/>
      <c r="J969" s="1"/>
      <c r="K969" s="1"/>
      <c r="L969" s="1"/>
      <c r="M969" s="1"/>
    </row>
    <row r="970" ht="15.75" customHeight="1">
      <c r="A970" s="36"/>
      <c r="B970" s="37"/>
      <c r="C970" s="37"/>
      <c r="D970" s="1"/>
      <c r="E970" s="1"/>
      <c r="F970" s="1"/>
      <c r="G970" s="1"/>
      <c r="H970" s="185"/>
      <c r="I970" s="185"/>
      <c r="J970" s="1"/>
      <c r="K970" s="1"/>
      <c r="L970" s="1"/>
      <c r="M970" s="1"/>
    </row>
    <row r="971" ht="15.75" customHeight="1">
      <c r="A971" s="36"/>
      <c r="B971" s="37"/>
      <c r="C971" s="37"/>
      <c r="D971" s="1"/>
      <c r="E971" s="1"/>
      <c r="F971" s="1"/>
      <c r="G971" s="1"/>
      <c r="H971" s="185"/>
      <c r="I971" s="185"/>
      <c r="J971" s="1"/>
      <c r="K971" s="1"/>
      <c r="L971" s="1"/>
      <c r="M971" s="1"/>
    </row>
    <row r="972" ht="15.75" customHeight="1">
      <c r="A972" s="36"/>
      <c r="B972" s="37"/>
      <c r="C972" s="37"/>
      <c r="D972" s="1"/>
      <c r="E972" s="1"/>
      <c r="F972" s="1"/>
      <c r="G972" s="1"/>
      <c r="H972" s="185"/>
      <c r="I972" s="185"/>
      <c r="J972" s="1"/>
      <c r="K972" s="1"/>
      <c r="L972" s="1"/>
      <c r="M972" s="1"/>
    </row>
    <row r="973" ht="15.75" customHeight="1">
      <c r="A973" s="36"/>
      <c r="B973" s="37"/>
      <c r="C973" s="37"/>
      <c r="D973" s="1"/>
      <c r="E973" s="1"/>
      <c r="F973" s="1"/>
      <c r="G973" s="1"/>
      <c r="H973" s="185"/>
      <c r="I973" s="185"/>
      <c r="J973" s="1"/>
      <c r="K973" s="1"/>
      <c r="L973" s="1"/>
      <c r="M973" s="1"/>
    </row>
    <row r="974" ht="15.75" customHeight="1">
      <c r="A974" s="36"/>
      <c r="B974" s="37"/>
      <c r="C974" s="37"/>
      <c r="D974" s="1"/>
      <c r="E974" s="1"/>
      <c r="F974" s="1"/>
      <c r="G974" s="1"/>
      <c r="H974" s="185"/>
      <c r="I974" s="185"/>
      <c r="J974" s="1"/>
      <c r="K974" s="1"/>
      <c r="L974" s="1"/>
      <c r="M974" s="1"/>
    </row>
    <row r="975" ht="15.75" customHeight="1">
      <c r="A975" s="36"/>
      <c r="B975" s="37"/>
      <c r="C975" s="37"/>
      <c r="D975" s="1"/>
      <c r="E975" s="1"/>
      <c r="F975" s="1"/>
      <c r="G975" s="1"/>
      <c r="H975" s="185"/>
      <c r="I975" s="185"/>
      <c r="J975" s="1"/>
      <c r="K975" s="1"/>
      <c r="L975" s="1"/>
      <c r="M975" s="1"/>
    </row>
    <row r="976" ht="15.75" customHeight="1">
      <c r="A976" s="36"/>
      <c r="B976" s="37"/>
      <c r="C976" s="37"/>
      <c r="D976" s="1"/>
      <c r="E976" s="1"/>
      <c r="F976" s="1"/>
      <c r="G976" s="1"/>
      <c r="H976" s="185"/>
      <c r="I976" s="185"/>
      <c r="J976" s="1"/>
      <c r="K976" s="1"/>
      <c r="L976" s="1"/>
      <c r="M976" s="1"/>
    </row>
    <row r="977" ht="15.75" customHeight="1">
      <c r="A977" s="36"/>
      <c r="B977" s="37"/>
      <c r="C977" s="37"/>
      <c r="D977" s="1"/>
      <c r="E977" s="1"/>
      <c r="F977" s="1"/>
      <c r="G977" s="1"/>
      <c r="H977" s="185"/>
      <c r="I977" s="185"/>
      <c r="J977" s="1"/>
      <c r="K977" s="1"/>
      <c r="L977" s="1"/>
      <c r="M977" s="1"/>
    </row>
    <row r="978" ht="15.75" customHeight="1">
      <c r="A978" s="36"/>
      <c r="B978" s="37"/>
      <c r="C978" s="37"/>
      <c r="D978" s="1"/>
      <c r="E978" s="1"/>
      <c r="F978" s="1"/>
      <c r="G978" s="1"/>
      <c r="H978" s="185"/>
      <c r="I978" s="185"/>
      <c r="J978" s="1"/>
      <c r="K978" s="1"/>
      <c r="L978" s="1"/>
      <c r="M978" s="1"/>
    </row>
    <row r="979" ht="15.75" customHeight="1">
      <c r="A979" s="36"/>
      <c r="B979" s="37"/>
      <c r="C979" s="37"/>
      <c r="D979" s="1"/>
      <c r="E979" s="1"/>
      <c r="F979" s="1"/>
      <c r="G979" s="1"/>
      <c r="H979" s="185"/>
      <c r="I979" s="185"/>
      <c r="J979" s="1"/>
      <c r="K979" s="1"/>
      <c r="L979" s="1"/>
      <c r="M979" s="1"/>
    </row>
    <row r="980" ht="15.75" customHeight="1">
      <c r="A980" s="36"/>
      <c r="B980" s="37"/>
      <c r="C980" s="37"/>
      <c r="D980" s="1"/>
      <c r="E980" s="1"/>
      <c r="F980" s="1"/>
      <c r="G980" s="1"/>
      <c r="H980" s="185"/>
      <c r="I980" s="185"/>
      <c r="J980" s="1"/>
      <c r="K980" s="1"/>
      <c r="L980" s="1"/>
      <c r="M980" s="1"/>
    </row>
    <row r="981" ht="15.75" customHeight="1">
      <c r="A981" s="36"/>
      <c r="B981" s="37"/>
      <c r="C981" s="37"/>
      <c r="D981" s="1"/>
      <c r="E981" s="1"/>
      <c r="F981" s="1"/>
      <c r="G981" s="1"/>
      <c r="H981" s="185"/>
      <c r="I981" s="185"/>
      <c r="J981" s="1"/>
      <c r="K981" s="1"/>
      <c r="L981" s="1"/>
      <c r="M981" s="1"/>
    </row>
    <row r="982" ht="15.75" customHeight="1">
      <c r="A982" s="36"/>
      <c r="B982" s="37"/>
      <c r="C982" s="37"/>
      <c r="D982" s="1"/>
      <c r="E982" s="1"/>
      <c r="F982" s="1"/>
      <c r="G982" s="1"/>
      <c r="H982" s="185"/>
      <c r="I982" s="185"/>
      <c r="J982" s="1"/>
      <c r="K982" s="1"/>
      <c r="L982" s="1"/>
      <c r="M982" s="1"/>
    </row>
    <row r="983" ht="15.75" customHeight="1">
      <c r="A983" s="36"/>
      <c r="B983" s="37"/>
      <c r="C983" s="37"/>
      <c r="D983" s="1"/>
      <c r="E983" s="1"/>
      <c r="F983" s="1"/>
      <c r="G983" s="1"/>
      <c r="H983" s="185"/>
      <c r="I983" s="185"/>
      <c r="J983" s="1"/>
      <c r="K983" s="1"/>
      <c r="L983" s="1"/>
      <c r="M983" s="1"/>
    </row>
    <row r="984" ht="15.75" customHeight="1">
      <c r="A984" s="36"/>
      <c r="B984" s="37"/>
      <c r="C984" s="37"/>
      <c r="D984" s="1"/>
      <c r="E984" s="1"/>
      <c r="F984" s="1"/>
      <c r="G984" s="1"/>
      <c r="H984" s="185"/>
      <c r="I984" s="185"/>
      <c r="J984" s="1"/>
      <c r="K984" s="1"/>
      <c r="L984" s="1"/>
      <c r="M984" s="1"/>
    </row>
    <row r="985" ht="15.75" customHeight="1">
      <c r="A985" s="36"/>
      <c r="B985" s="37"/>
      <c r="C985" s="37"/>
      <c r="D985" s="1"/>
      <c r="E985" s="1"/>
      <c r="F985" s="1"/>
      <c r="G985" s="1"/>
      <c r="H985" s="185"/>
      <c r="I985" s="185"/>
      <c r="J985" s="1"/>
      <c r="K985" s="1"/>
      <c r="L985" s="1"/>
      <c r="M985" s="1"/>
    </row>
    <row r="986" ht="15.75" customHeight="1">
      <c r="A986" s="36"/>
      <c r="B986" s="37"/>
      <c r="C986" s="37"/>
      <c r="D986" s="1"/>
      <c r="E986" s="1"/>
      <c r="F986" s="1"/>
      <c r="G986" s="1"/>
      <c r="H986" s="185"/>
      <c r="I986" s="185"/>
      <c r="J986" s="1"/>
      <c r="K986" s="1"/>
      <c r="L986" s="1"/>
      <c r="M986" s="1"/>
    </row>
    <row r="987" ht="15.75" customHeight="1">
      <c r="A987" s="36"/>
      <c r="B987" s="37"/>
      <c r="C987" s="37"/>
      <c r="D987" s="1"/>
      <c r="E987" s="1"/>
      <c r="F987" s="1"/>
      <c r="G987" s="1"/>
      <c r="H987" s="185"/>
      <c r="I987" s="185"/>
      <c r="J987" s="1"/>
      <c r="K987" s="1"/>
      <c r="L987" s="1"/>
      <c r="M987" s="1"/>
    </row>
    <row r="988" ht="15.75" customHeight="1">
      <c r="A988" s="36"/>
      <c r="B988" s="37"/>
      <c r="C988" s="37"/>
      <c r="D988" s="1"/>
      <c r="E988" s="1"/>
      <c r="F988" s="1"/>
      <c r="G988" s="1"/>
      <c r="H988" s="185"/>
      <c r="I988" s="185"/>
      <c r="J988" s="1"/>
      <c r="K988" s="1"/>
      <c r="L988" s="1"/>
      <c r="M988" s="1"/>
    </row>
    <row r="989" ht="15.75" customHeight="1">
      <c r="A989" s="36"/>
      <c r="B989" s="37"/>
      <c r="C989" s="37"/>
      <c r="D989" s="1"/>
      <c r="E989" s="1"/>
      <c r="F989" s="1"/>
      <c r="G989" s="1"/>
      <c r="H989" s="185"/>
      <c r="I989" s="185"/>
      <c r="J989" s="1"/>
      <c r="K989" s="1"/>
      <c r="L989" s="1"/>
      <c r="M989" s="1"/>
    </row>
    <row r="990" ht="15.75" customHeight="1">
      <c r="A990" s="36"/>
      <c r="B990" s="37"/>
      <c r="C990" s="37"/>
      <c r="D990" s="1"/>
      <c r="E990" s="1"/>
      <c r="F990" s="1"/>
      <c r="G990" s="1"/>
      <c r="H990" s="185"/>
      <c r="I990" s="185"/>
      <c r="J990" s="1"/>
      <c r="K990" s="1"/>
      <c r="L990" s="1"/>
      <c r="M990" s="1"/>
    </row>
    <row r="991" ht="15.75" customHeight="1">
      <c r="A991" s="36"/>
      <c r="B991" s="37"/>
      <c r="C991" s="37"/>
      <c r="D991" s="1"/>
      <c r="E991" s="1"/>
      <c r="F991" s="1"/>
      <c r="G991" s="1"/>
      <c r="H991" s="185"/>
      <c r="I991" s="185"/>
      <c r="J991" s="1"/>
      <c r="K991" s="1"/>
      <c r="L991" s="1"/>
      <c r="M991" s="1"/>
    </row>
    <row r="992" ht="15.75" customHeight="1">
      <c r="A992" s="36"/>
      <c r="B992" s="37"/>
      <c r="C992" s="37"/>
      <c r="D992" s="1"/>
      <c r="E992" s="1"/>
      <c r="F992" s="1"/>
      <c r="G992" s="1"/>
      <c r="H992" s="185"/>
      <c r="I992" s="185"/>
      <c r="J992" s="1"/>
      <c r="K992" s="1"/>
      <c r="L992" s="1"/>
      <c r="M992" s="1"/>
    </row>
    <row r="993" ht="15.75" customHeight="1">
      <c r="A993" s="36"/>
      <c r="B993" s="37"/>
      <c r="C993" s="37"/>
      <c r="D993" s="1"/>
      <c r="E993" s="1"/>
      <c r="F993" s="1"/>
      <c r="G993" s="1"/>
      <c r="H993" s="185"/>
      <c r="I993" s="185"/>
      <c r="J993" s="1"/>
      <c r="K993" s="1"/>
      <c r="L993" s="1"/>
      <c r="M993" s="1"/>
    </row>
    <row r="994" ht="15.75" customHeight="1">
      <c r="A994" s="36"/>
      <c r="B994" s="37"/>
      <c r="C994" s="37"/>
      <c r="D994" s="1"/>
      <c r="E994" s="1"/>
      <c r="F994" s="1"/>
      <c r="G994" s="1"/>
      <c r="H994" s="185"/>
      <c r="I994" s="185"/>
      <c r="J994" s="1"/>
      <c r="K994" s="1"/>
      <c r="L994" s="1"/>
      <c r="M994" s="1"/>
    </row>
    <row r="995" ht="15.75" customHeight="1">
      <c r="A995" s="36"/>
      <c r="B995" s="37"/>
      <c r="C995" s="37"/>
      <c r="D995" s="1"/>
      <c r="E995" s="1"/>
      <c r="F995" s="1"/>
      <c r="G995" s="1"/>
      <c r="H995" s="185"/>
      <c r="I995" s="185"/>
      <c r="J995" s="1"/>
      <c r="K995" s="1"/>
      <c r="L995" s="1"/>
      <c r="M995" s="1"/>
    </row>
    <row r="996" ht="15.75" customHeight="1">
      <c r="A996" s="36"/>
      <c r="B996" s="37"/>
      <c r="C996" s="37"/>
      <c r="D996" s="1"/>
      <c r="E996" s="1"/>
      <c r="F996" s="1"/>
      <c r="G996" s="1"/>
      <c r="H996" s="185"/>
      <c r="I996" s="185"/>
      <c r="J996" s="1"/>
      <c r="K996" s="1"/>
      <c r="L996" s="1"/>
      <c r="M996" s="1"/>
    </row>
    <row r="997" ht="15.75" customHeight="1">
      <c r="A997" s="36"/>
      <c r="B997" s="37"/>
      <c r="C997" s="37"/>
      <c r="D997" s="1"/>
      <c r="E997" s="1"/>
      <c r="F997" s="1"/>
      <c r="G997" s="1"/>
      <c r="H997" s="185"/>
      <c r="I997" s="185"/>
      <c r="J997" s="1"/>
      <c r="K997" s="1"/>
      <c r="L997" s="1"/>
      <c r="M997" s="1"/>
    </row>
    <row r="998" ht="15.75" customHeight="1">
      <c r="A998" s="36"/>
      <c r="B998" s="37"/>
      <c r="C998" s="37"/>
      <c r="D998" s="1"/>
      <c r="E998" s="1"/>
      <c r="F998" s="1"/>
      <c r="G998" s="1"/>
      <c r="H998" s="185"/>
      <c r="I998" s="185"/>
      <c r="J998" s="1"/>
      <c r="K998" s="1"/>
      <c r="L998" s="1"/>
      <c r="M998" s="1"/>
    </row>
    <row r="999" ht="15.75" customHeight="1">
      <c r="A999" s="36"/>
      <c r="B999" s="37"/>
      <c r="C999" s="37"/>
      <c r="D999" s="1"/>
      <c r="E999" s="1"/>
      <c r="F999" s="1"/>
      <c r="G999" s="1"/>
      <c r="H999" s="185"/>
      <c r="I999" s="185"/>
      <c r="J999" s="1"/>
      <c r="K999" s="1"/>
      <c r="L999" s="1"/>
      <c r="M999" s="1"/>
    </row>
    <row r="1000" ht="15.75" customHeight="1">
      <c r="A1000" s="36"/>
      <c r="B1000" s="37"/>
      <c r="C1000" s="37"/>
      <c r="D1000" s="1"/>
      <c r="E1000" s="1"/>
      <c r="F1000" s="1"/>
      <c r="G1000" s="1"/>
      <c r="H1000" s="185"/>
      <c r="I1000" s="185"/>
      <c r="J1000" s="1"/>
      <c r="K1000" s="1"/>
      <c r="L1000" s="1"/>
      <c r="M1000" s="1"/>
    </row>
  </sheetData>
  <mergeCells count="6">
    <mergeCell ref="A2:M2"/>
    <mergeCell ref="A4:M4"/>
    <mergeCell ref="A5:M5"/>
    <mergeCell ref="A6:M6"/>
    <mergeCell ref="A7:M7"/>
    <mergeCell ref="A62:M62"/>
  </mergeCells>
  <hyperlinks>
    <hyperlink r:id="rId1" ref="J10"/>
    <hyperlink r:id="rId2" ref="J12"/>
    <hyperlink r:id="rId3" ref="J13"/>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9.71"/>
    <col customWidth="1" min="3" max="3" width="10.71"/>
    <col customWidth="1" min="4" max="4" width="12.43"/>
    <col customWidth="1" min="5" max="5" width="7.0"/>
    <col customWidth="1" min="6" max="6" width="7.14"/>
    <col customWidth="1" min="7" max="7" width="9.14"/>
    <col customWidth="1" min="8" max="8" width="8.71"/>
    <col customWidth="1" min="9" max="9" width="9.14"/>
    <col customWidth="1" min="10" max="10" width="12.71"/>
    <col customWidth="1" min="11" max="11" width="15.0"/>
    <col customWidth="1" min="12" max="13" width="8.71"/>
    <col customWidth="1" min="14" max="14" width="20.71"/>
    <col customWidth="1" min="15" max="17" width="8.71"/>
    <col customWidth="1" min="18" max="26" width="8.0"/>
  </cols>
  <sheetData>
    <row r="1">
      <c r="A1" s="213"/>
      <c r="B1" s="214"/>
      <c r="C1" s="57"/>
      <c r="D1" s="185"/>
      <c r="E1" s="215"/>
      <c r="F1" s="215"/>
      <c r="G1" s="215"/>
      <c r="H1" s="185"/>
      <c r="I1" s="215"/>
      <c r="J1" s="185"/>
      <c r="K1" s="185"/>
      <c r="L1" s="185"/>
      <c r="M1" s="185"/>
    </row>
    <row r="2">
      <c r="A2" s="216" t="s">
        <v>486</v>
      </c>
      <c r="B2" s="39"/>
      <c r="C2" s="39"/>
      <c r="D2" s="39"/>
      <c r="E2" s="39"/>
      <c r="F2" s="39"/>
      <c r="G2" s="39"/>
      <c r="H2" s="39"/>
      <c r="I2" s="39"/>
      <c r="J2" s="39"/>
      <c r="K2" s="39"/>
      <c r="L2" s="39"/>
      <c r="M2" s="40"/>
      <c r="N2" s="42"/>
      <c r="O2" s="42"/>
      <c r="P2" s="42"/>
      <c r="Q2" s="42"/>
      <c r="R2" s="42"/>
      <c r="S2" s="42"/>
      <c r="T2" s="42"/>
      <c r="U2" s="42"/>
      <c r="V2" s="42"/>
      <c r="W2" s="42"/>
      <c r="X2" s="42"/>
      <c r="Y2" s="42"/>
      <c r="Z2" s="42"/>
    </row>
    <row r="3">
      <c r="A3" s="217"/>
      <c r="B3" s="217"/>
      <c r="C3" s="187"/>
      <c r="D3" s="187"/>
      <c r="E3" s="218"/>
      <c r="F3" s="218"/>
      <c r="G3" s="218"/>
      <c r="H3" s="187"/>
      <c r="I3" s="218"/>
      <c r="J3" s="187"/>
      <c r="K3" s="187"/>
      <c r="L3" s="187"/>
      <c r="M3" s="187"/>
      <c r="N3" s="42"/>
      <c r="O3" s="42"/>
      <c r="P3" s="42"/>
      <c r="Q3" s="42"/>
      <c r="R3" s="42"/>
      <c r="S3" s="42"/>
      <c r="T3" s="42"/>
      <c r="U3" s="42"/>
      <c r="V3" s="42"/>
      <c r="W3" s="42"/>
      <c r="X3" s="42"/>
      <c r="Y3" s="42"/>
      <c r="Z3" s="42"/>
    </row>
    <row r="4">
      <c r="A4" s="43" t="s">
        <v>487</v>
      </c>
      <c r="B4" s="39"/>
      <c r="C4" s="39"/>
      <c r="D4" s="39"/>
      <c r="E4" s="39"/>
      <c r="F4" s="39"/>
      <c r="G4" s="39"/>
      <c r="H4" s="39"/>
      <c r="I4" s="39"/>
      <c r="J4" s="39"/>
      <c r="K4" s="39"/>
      <c r="L4" s="39"/>
      <c r="M4" s="40"/>
      <c r="N4" s="42"/>
      <c r="O4" s="42"/>
      <c r="P4" s="42"/>
      <c r="Q4" s="42"/>
      <c r="R4" s="42"/>
      <c r="S4" s="42"/>
      <c r="T4" s="42"/>
      <c r="U4" s="42"/>
      <c r="V4" s="42"/>
      <c r="W4" s="42"/>
      <c r="X4" s="42"/>
      <c r="Y4" s="42"/>
      <c r="Z4" s="42"/>
    </row>
    <row r="5">
      <c r="A5" s="43" t="s">
        <v>488</v>
      </c>
      <c r="B5" s="39"/>
      <c r="C5" s="39"/>
      <c r="D5" s="39"/>
      <c r="E5" s="39"/>
      <c r="F5" s="39"/>
      <c r="G5" s="39"/>
      <c r="H5" s="39"/>
      <c r="I5" s="39"/>
      <c r="J5" s="39"/>
      <c r="K5" s="39"/>
      <c r="L5" s="39"/>
      <c r="M5" s="40"/>
      <c r="N5" s="42"/>
      <c r="O5" s="42"/>
      <c r="P5" s="42"/>
      <c r="Q5" s="42"/>
      <c r="R5" s="42"/>
      <c r="S5" s="42"/>
      <c r="T5" s="42"/>
      <c r="U5" s="42"/>
      <c r="V5" s="42"/>
      <c r="W5" s="42"/>
      <c r="X5" s="42"/>
      <c r="Y5" s="42"/>
      <c r="Z5" s="42"/>
    </row>
    <row r="6">
      <c r="A6" s="43" t="s">
        <v>489</v>
      </c>
      <c r="B6" s="39"/>
      <c r="C6" s="39"/>
      <c r="D6" s="39"/>
      <c r="E6" s="39"/>
      <c r="F6" s="39"/>
      <c r="G6" s="39"/>
      <c r="H6" s="39"/>
      <c r="I6" s="39"/>
      <c r="J6" s="39"/>
      <c r="K6" s="39"/>
      <c r="L6" s="39"/>
      <c r="M6" s="40"/>
      <c r="N6" s="42"/>
      <c r="O6" s="42"/>
      <c r="P6" s="42"/>
      <c r="Q6" s="42"/>
      <c r="R6" s="42"/>
      <c r="S6" s="42"/>
      <c r="T6" s="42"/>
      <c r="U6" s="42"/>
      <c r="V6" s="42"/>
      <c r="W6" s="42"/>
      <c r="X6" s="42"/>
      <c r="Y6" s="42"/>
      <c r="Z6" s="42"/>
    </row>
    <row r="7" ht="72.0" customHeight="1">
      <c r="A7" s="44" t="s">
        <v>490</v>
      </c>
      <c r="B7" s="39"/>
      <c r="C7" s="39"/>
      <c r="D7" s="39"/>
      <c r="E7" s="39"/>
      <c r="F7" s="39"/>
      <c r="G7" s="39"/>
      <c r="H7" s="39"/>
      <c r="I7" s="39"/>
      <c r="J7" s="39"/>
      <c r="K7" s="39"/>
      <c r="L7" s="39"/>
      <c r="M7" s="40"/>
      <c r="N7" s="42"/>
      <c r="O7" s="42"/>
      <c r="P7" s="42"/>
      <c r="Q7" s="42"/>
      <c r="R7" s="42"/>
      <c r="S7" s="42"/>
      <c r="T7" s="42"/>
      <c r="U7" s="42"/>
      <c r="V7" s="42"/>
      <c r="W7" s="42"/>
      <c r="X7" s="42"/>
      <c r="Y7" s="42"/>
      <c r="Z7" s="42"/>
    </row>
    <row r="8">
      <c r="A8" s="219"/>
      <c r="B8" s="220"/>
      <c r="C8" s="221"/>
      <c r="D8" s="222"/>
      <c r="E8" s="223"/>
      <c r="F8" s="223"/>
      <c r="G8" s="223"/>
      <c r="H8" s="222"/>
      <c r="I8" s="224"/>
      <c r="J8" s="225"/>
      <c r="K8" s="225"/>
      <c r="L8" s="225"/>
      <c r="M8" s="225"/>
      <c r="N8" s="42"/>
      <c r="O8" s="42"/>
      <c r="P8" s="42"/>
      <c r="Q8" s="42"/>
      <c r="R8" s="42"/>
      <c r="S8" s="42"/>
      <c r="T8" s="42"/>
      <c r="U8" s="42"/>
      <c r="V8" s="42"/>
      <c r="W8" s="42"/>
      <c r="X8" s="42"/>
      <c r="Y8" s="42"/>
      <c r="Z8" s="42"/>
    </row>
    <row r="9" ht="51.0" customHeight="1">
      <c r="A9" s="226" t="s">
        <v>102</v>
      </c>
      <c r="B9" s="47" t="s">
        <v>103</v>
      </c>
      <c r="C9" s="109" t="s">
        <v>9</v>
      </c>
      <c r="D9" s="48" t="s">
        <v>105</v>
      </c>
      <c r="E9" s="227" t="s">
        <v>491</v>
      </c>
      <c r="F9" s="227" t="s">
        <v>492</v>
      </c>
      <c r="G9" s="228" t="s">
        <v>462</v>
      </c>
      <c r="H9" s="109" t="s">
        <v>113</v>
      </c>
      <c r="I9" s="227" t="s">
        <v>112</v>
      </c>
      <c r="J9" s="229" t="s">
        <v>493</v>
      </c>
      <c r="K9" s="109" t="s">
        <v>494</v>
      </c>
      <c r="L9" s="47" t="s">
        <v>116</v>
      </c>
      <c r="M9" s="47" t="s">
        <v>117</v>
      </c>
      <c r="N9" s="49" t="s">
        <v>118</v>
      </c>
    </row>
    <row r="10" ht="114.75" customHeight="1">
      <c r="A10" s="191" t="s">
        <v>495</v>
      </c>
      <c r="B10" s="120" t="s">
        <v>496</v>
      </c>
      <c r="C10" s="230" t="s">
        <v>38</v>
      </c>
      <c r="D10" s="191" t="s">
        <v>497</v>
      </c>
      <c r="E10" s="230">
        <v>77.0</v>
      </c>
      <c r="F10" s="230">
        <v>2.0</v>
      </c>
      <c r="G10" s="231" t="s">
        <v>498</v>
      </c>
      <c r="H10" s="230">
        <v>2020.0</v>
      </c>
      <c r="I10" s="232" t="s">
        <v>499</v>
      </c>
      <c r="J10" s="121" t="s">
        <v>500</v>
      </c>
      <c r="K10" s="233" t="s">
        <v>501</v>
      </c>
      <c r="L10" s="234">
        <v>70.0</v>
      </c>
      <c r="M10" s="235">
        <v>35.0</v>
      </c>
      <c r="N10" s="62" t="s">
        <v>470</v>
      </c>
    </row>
    <row r="11" ht="105.0" customHeight="1">
      <c r="A11" s="236" t="s">
        <v>502</v>
      </c>
      <c r="B11" s="120" t="s">
        <v>496</v>
      </c>
      <c r="C11" s="230" t="s">
        <v>38</v>
      </c>
      <c r="D11" s="237" t="s">
        <v>503</v>
      </c>
      <c r="E11" s="230">
        <v>24.0</v>
      </c>
      <c r="F11" s="230">
        <v>1.0</v>
      </c>
      <c r="G11" s="238" t="s">
        <v>504</v>
      </c>
      <c r="H11" s="230">
        <v>2020.0</v>
      </c>
      <c r="I11" s="232" t="s">
        <v>505</v>
      </c>
      <c r="J11" s="121" t="s">
        <v>506</v>
      </c>
      <c r="K11" s="239" t="s">
        <v>507</v>
      </c>
      <c r="L11" s="234">
        <v>70.0</v>
      </c>
      <c r="M11" s="235">
        <v>35.0</v>
      </c>
      <c r="N11" s="62" t="s">
        <v>470</v>
      </c>
    </row>
    <row r="12" ht="409.5" customHeight="1">
      <c r="A12" s="52" t="s">
        <v>508</v>
      </c>
      <c r="B12" s="52" t="s">
        <v>509</v>
      </c>
      <c r="C12" s="52" t="s">
        <v>38</v>
      </c>
      <c r="D12" s="199" t="s">
        <v>510</v>
      </c>
      <c r="E12" s="52">
        <v>215.0</v>
      </c>
      <c r="F12" s="52"/>
      <c r="G12" s="135" t="s">
        <v>511</v>
      </c>
      <c r="H12" s="52">
        <v>2020.0</v>
      </c>
      <c r="I12" s="240" t="s">
        <v>512</v>
      </c>
      <c r="J12" s="52" t="s">
        <v>513</v>
      </c>
      <c r="K12" s="58" t="s">
        <v>514</v>
      </c>
      <c r="L12" s="52">
        <v>70.0</v>
      </c>
      <c r="M12" s="52">
        <v>8.75</v>
      </c>
      <c r="N12" s="62" t="s">
        <v>128</v>
      </c>
    </row>
    <row r="13" ht="76.5" customHeight="1">
      <c r="A13" s="240" t="s">
        <v>515</v>
      </c>
      <c r="B13" s="240" t="s">
        <v>516</v>
      </c>
      <c r="C13" s="241" t="s">
        <v>38</v>
      </c>
      <c r="D13" s="102" t="s">
        <v>517</v>
      </c>
      <c r="E13" s="241">
        <v>20.0</v>
      </c>
      <c r="F13" s="241">
        <v>2.0</v>
      </c>
      <c r="G13" s="242" t="s">
        <v>518</v>
      </c>
      <c r="H13" s="241">
        <v>2020.0</v>
      </c>
      <c r="I13" s="243" t="s">
        <v>519</v>
      </c>
      <c r="J13" s="52" t="s">
        <v>520</v>
      </c>
      <c r="K13" s="70" t="s">
        <v>521</v>
      </c>
      <c r="L13" s="61">
        <v>70.0</v>
      </c>
      <c r="M13" s="244">
        <f>L13/2</f>
        <v>35</v>
      </c>
      <c r="N13" s="62" t="s">
        <v>223</v>
      </c>
    </row>
    <row r="14" ht="180.0" customHeight="1">
      <c r="A14" s="95" t="s">
        <v>522</v>
      </c>
      <c r="B14" s="245" t="s">
        <v>523</v>
      </c>
      <c r="C14" s="111" t="s">
        <v>38</v>
      </c>
      <c r="D14" s="68" t="s">
        <v>524</v>
      </c>
      <c r="E14" s="111">
        <v>12.0</v>
      </c>
      <c r="F14" s="111">
        <v>3.0</v>
      </c>
      <c r="G14" s="246" t="s">
        <v>525</v>
      </c>
      <c r="H14" s="111">
        <v>2020.0</v>
      </c>
      <c r="I14" s="113" t="s">
        <v>526</v>
      </c>
      <c r="J14" s="52" t="s">
        <v>527</v>
      </c>
      <c r="K14" s="52" t="s">
        <v>528</v>
      </c>
      <c r="L14" s="61">
        <v>70.0</v>
      </c>
      <c r="M14" s="244">
        <v>14.0</v>
      </c>
      <c r="N14" s="62" t="s">
        <v>364</v>
      </c>
    </row>
    <row r="15" ht="409.5" customHeight="1">
      <c r="A15" s="52" t="s">
        <v>508</v>
      </c>
      <c r="B15" s="52" t="s">
        <v>529</v>
      </c>
      <c r="C15" s="199" t="s">
        <v>530</v>
      </c>
      <c r="D15" s="199" t="s">
        <v>531</v>
      </c>
      <c r="E15" s="215">
        <v>215.0</v>
      </c>
      <c r="F15" s="215"/>
      <c r="G15" s="135" t="s">
        <v>511</v>
      </c>
      <c r="H15" s="52">
        <v>2020.0</v>
      </c>
      <c r="I15" s="70"/>
      <c r="J15" s="185"/>
      <c r="K15" s="58" t="s">
        <v>514</v>
      </c>
      <c r="L15" s="202">
        <v>70.0</v>
      </c>
      <c r="M15" s="52">
        <v>8.75</v>
      </c>
      <c r="N15" s="62" t="s">
        <v>532</v>
      </c>
      <c r="O15" s="247"/>
      <c r="P15" s="247"/>
      <c r="Q15" s="247"/>
      <c r="R15" s="247"/>
      <c r="S15" s="247"/>
      <c r="T15" s="247"/>
      <c r="U15" s="247"/>
      <c r="V15" s="247"/>
      <c r="W15" s="247"/>
      <c r="X15" s="247"/>
      <c r="Y15" s="247"/>
      <c r="Z15" s="247"/>
    </row>
    <row r="16" ht="191.25" customHeight="1">
      <c r="A16" s="245" t="s">
        <v>533</v>
      </c>
      <c r="B16" s="130" t="s">
        <v>534</v>
      </c>
      <c r="C16" s="111" t="s">
        <v>535</v>
      </c>
      <c r="D16" s="68" t="s">
        <v>536</v>
      </c>
      <c r="E16" s="111">
        <v>12.0</v>
      </c>
      <c r="F16" s="111">
        <v>1.0</v>
      </c>
      <c r="G16" s="131" t="s">
        <v>537</v>
      </c>
      <c r="H16" s="111" t="s">
        <v>538</v>
      </c>
      <c r="I16" s="113" t="s">
        <v>539</v>
      </c>
      <c r="J16" s="52" t="s">
        <v>540</v>
      </c>
      <c r="K16" s="70" t="s">
        <v>541</v>
      </c>
      <c r="L16" s="61">
        <v>70.0</v>
      </c>
      <c r="M16" s="244">
        <v>70.0</v>
      </c>
      <c r="N16" s="62" t="s">
        <v>542</v>
      </c>
    </row>
    <row r="17" ht="191.25" customHeight="1">
      <c r="A17" s="130" t="s">
        <v>543</v>
      </c>
      <c r="B17" s="130" t="s">
        <v>544</v>
      </c>
      <c r="C17" s="111" t="s">
        <v>535</v>
      </c>
      <c r="D17" s="68" t="s">
        <v>536</v>
      </c>
      <c r="E17" s="111">
        <v>12.0</v>
      </c>
      <c r="F17" s="111">
        <v>2.0</v>
      </c>
      <c r="G17" s="131" t="s">
        <v>537</v>
      </c>
      <c r="H17" s="111" t="s">
        <v>545</v>
      </c>
      <c r="I17" s="113" t="s">
        <v>546</v>
      </c>
      <c r="J17" s="52" t="s">
        <v>540</v>
      </c>
      <c r="K17" s="52" t="s">
        <v>547</v>
      </c>
      <c r="L17" s="248">
        <v>70.0</v>
      </c>
      <c r="M17" s="244">
        <v>70.0</v>
      </c>
      <c r="N17" s="62" t="s">
        <v>542</v>
      </c>
    </row>
    <row r="18" ht="189.0" customHeight="1">
      <c r="A18" s="171" t="s">
        <v>548</v>
      </c>
      <c r="B18" s="171" t="s">
        <v>549</v>
      </c>
      <c r="C18" s="111" t="s">
        <v>38</v>
      </c>
      <c r="D18" s="68" t="s">
        <v>550</v>
      </c>
      <c r="E18" s="249" t="s">
        <v>551</v>
      </c>
      <c r="F18" s="249" t="s">
        <v>552</v>
      </c>
      <c r="G18" s="131" t="s">
        <v>553</v>
      </c>
      <c r="H18" s="111">
        <v>2020.0</v>
      </c>
      <c r="I18" s="113" t="s">
        <v>554</v>
      </c>
      <c r="J18" s="52" t="s">
        <v>555</v>
      </c>
      <c r="K18" s="70" t="s">
        <v>556</v>
      </c>
      <c r="L18" s="66">
        <v>70.0</v>
      </c>
      <c r="M18" s="250">
        <v>70.0</v>
      </c>
      <c r="N18" s="62" t="s">
        <v>167</v>
      </c>
    </row>
    <row r="19" ht="140.25" customHeight="1">
      <c r="A19" s="171" t="s">
        <v>557</v>
      </c>
      <c r="B19" s="130" t="s">
        <v>558</v>
      </c>
      <c r="C19" s="111" t="s">
        <v>38</v>
      </c>
      <c r="D19" s="68" t="s">
        <v>550</v>
      </c>
      <c r="E19" s="111" t="s">
        <v>559</v>
      </c>
      <c r="F19" s="111" t="s">
        <v>560</v>
      </c>
      <c r="G19" s="131" t="s">
        <v>537</v>
      </c>
      <c r="H19" s="111">
        <v>2020.0</v>
      </c>
      <c r="I19" s="113" t="s">
        <v>561</v>
      </c>
      <c r="J19" s="52" t="s">
        <v>555</v>
      </c>
      <c r="K19" s="70"/>
      <c r="L19" s="251">
        <v>70.0</v>
      </c>
      <c r="M19" s="250">
        <v>70.0</v>
      </c>
      <c r="N19" s="62" t="s">
        <v>167</v>
      </c>
    </row>
    <row r="20" ht="94.5" customHeight="1">
      <c r="A20" s="171" t="s">
        <v>562</v>
      </c>
      <c r="B20" s="171" t="s">
        <v>563</v>
      </c>
      <c r="C20" s="111" t="s">
        <v>38</v>
      </c>
      <c r="D20" s="68" t="s">
        <v>564</v>
      </c>
      <c r="E20" s="111" t="s">
        <v>565</v>
      </c>
      <c r="F20" s="75" t="s">
        <v>560</v>
      </c>
      <c r="G20" s="131" t="s">
        <v>566</v>
      </c>
      <c r="H20" s="111">
        <v>2020.0</v>
      </c>
      <c r="I20" s="113" t="s">
        <v>567</v>
      </c>
      <c r="J20" s="52" t="s">
        <v>568</v>
      </c>
      <c r="K20" s="178" t="s">
        <v>569</v>
      </c>
      <c r="L20" s="200">
        <v>70.0</v>
      </c>
      <c r="M20" s="118">
        <v>70.0</v>
      </c>
      <c r="N20" s="62" t="s">
        <v>167</v>
      </c>
    </row>
    <row r="21" ht="63.75" customHeight="1">
      <c r="A21" s="75" t="s">
        <v>570</v>
      </c>
      <c r="B21" s="171" t="s">
        <v>571</v>
      </c>
      <c r="C21" s="111" t="s">
        <v>38</v>
      </c>
      <c r="D21" s="68" t="s">
        <v>564</v>
      </c>
      <c r="E21" s="111" t="s">
        <v>565</v>
      </c>
      <c r="F21" s="111" t="s">
        <v>560</v>
      </c>
      <c r="G21" s="131" t="s">
        <v>566</v>
      </c>
      <c r="H21" s="111">
        <v>2020.0</v>
      </c>
      <c r="I21" s="113" t="s">
        <v>572</v>
      </c>
      <c r="J21" s="52" t="s">
        <v>568</v>
      </c>
      <c r="K21" s="178" t="s">
        <v>569</v>
      </c>
      <c r="L21" s="200">
        <v>70.0</v>
      </c>
      <c r="M21" s="118">
        <v>35.0</v>
      </c>
      <c r="N21" s="62" t="s">
        <v>167</v>
      </c>
    </row>
    <row r="22" ht="409.5" customHeight="1">
      <c r="A22" s="130" t="s">
        <v>573</v>
      </c>
      <c r="B22" s="130" t="s">
        <v>574</v>
      </c>
      <c r="C22" s="111" t="s">
        <v>38</v>
      </c>
      <c r="D22" s="68" t="s">
        <v>575</v>
      </c>
      <c r="E22" s="171" t="s">
        <v>576</v>
      </c>
      <c r="F22" s="111" t="s">
        <v>560</v>
      </c>
      <c r="G22" s="171" t="s">
        <v>577</v>
      </c>
      <c r="H22" s="111">
        <v>2020.0</v>
      </c>
      <c r="I22" s="75" t="s">
        <v>578</v>
      </c>
      <c r="J22" s="252" t="s">
        <v>579</v>
      </c>
      <c r="K22" s="153" t="s">
        <v>580</v>
      </c>
      <c r="L22" s="253">
        <v>70.0</v>
      </c>
      <c r="M22" s="62">
        <v>70.0</v>
      </c>
      <c r="N22" s="62" t="s">
        <v>167</v>
      </c>
    </row>
    <row r="23" ht="45.0" customHeight="1">
      <c r="A23" s="254" t="s">
        <v>581</v>
      </c>
      <c r="B23" s="255" t="s">
        <v>173</v>
      </c>
      <c r="C23" s="53" t="s">
        <v>38</v>
      </c>
      <c r="D23" s="255" t="s">
        <v>582</v>
      </c>
      <c r="E23" s="111">
        <v>16.0</v>
      </c>
      <c r="F23" s="111">
        <v>2.0</v>
      </c>
      <c r="G23" s="255" t="s">
        <v>583</v>
      </c>
      <c r="H23" s="111">
        <v>2020.0</v>
      </c>
      <c r="I23" s="256" t="s">
        <v>584</v>
      </c>
      <c r="J23" s="184" t="s">
        <v>585</v>
      </c>
      <c r="K23" s="70" t="s">
        <v>586</v>
      </c>
      <c r="L23" s="61">
        <v>70.0</v>
      </c>
      <c r="M23" s="244">
        <v>70.0</v>
      </c>
      <c r="N23" s="62" t="s">
        <v>173</v>
      </c>
    </row>
    <row r="24" ht="306.0" customHeight="1">
      <c r="A24" s="257" t="s">
        <v>587</v>
      </c>
      <c r="B24" s="182" t="s">
        <v>588</v>
      </c>
      <c r="C24" s="53" t="s">
        <v>38</v>
      </c>
      <c r="D24" s="184" t="s">
        <v>589</v>
      </c>
      <c r="E24" s="258" t="s">
        <v>590</v>
      </c>
      <c r="F24" s="111">
        <v>1.0</v>
      </c>
      <c r="G24" s="184" t="s">
        <v>591</v>
      </c>
      <c r="H24" s="111">
        <v>2020.0</v>
      </c>
      <c r="I24" s="113" t="s">
        <v>592</v>
      </c>
      <c r="J24" s="85" t="s">
        <v>593</v>
      </c>
      <c r="K24" s="259" t="s">
        <v>594</v>
      </c>
      <c r="L24" s="260">
        <v>70.0</v>
      </c>
      <c r="M24" s="244">
        <v>17.5</v>
      </c>
      <c r="N24" s="62" t="s">
        <v>173</v>
      </c>
    </row>
    <row r="25" ht="15.75" customHeight="1">
      <c r="A25" s="130"/>
      <c r="B25" s="130"/>
      <c r="C25" s="111"/>
      <c r="D25" s="68"/>
      <c r="E25" s="111"/>
      <c r="F25" s="111"/>
      <c r="G25" s="131"/>
      <c r="H25" s="111"/>
      <c r="I25" s="113"/>
      <c r="J25" s="52"/>
      <c r="K25" s="52"/>
      <c r="L25" s="260"/>
      <c r="M25" s="244"/>
      <c r="N25" s="62"/>
    </row>
    <row r="26" ht="15.75" customHeight="1">
      <c r="A26" s="130"/>
      <c r="B26" s="130"/>
      <c r="C26" s="111"/>
      <c r="D26" s="68"/>
      <c r="E26" s="111"/>
      <c r="F26" s="111"/>
      <c r="G26" s="131"/>
      <c r="H26" s="111"/>
      <c r="I26" s="113"/>
      <c r="J26" s="52"/>
      <c r="K26" s="52"/>
      <c r="L26" s="260"/>
      <c r="M26" s="244"/>
      <c r="N26" s="62"/>
    </row>
    <row r="27" ht="15.75" customHeight="1">
      <c r="A27" s="130"/>
      <c r="B27" s="130"/>
      <c r="C27" s="111"/>
      <c r="D27" s="68"/>
      <c r="E27" s="111"/>
      <c r="F27" s="111"/>
      <c r="G27" s="131"/>
      <c r="H27" s="111"/>
      <c r="I27" s="113"/>
      <c r="J27" s="52"/>
      <c r="K27" s="52"/>
      <c r="L27" s="260"/>
      <c r="M27" s="244"/>
      <c r="N27" s="62"/>
    </row>
    <row r="28" ht="15.75" customHeight="1">
      <c r="A28" s="130"/>
      <c r="B28" s="130"/>
      <c r="C28" s="111"/>
      <c r="D28" s="68"/>
      <c r="E28" s="111"/>
      <c r="F28" s="111"/>
      <c r="G28" s="131"/>
      <c r="H28" s="111"/>
      <c r="I28" s="113"/>
      <c r="J28" s="52"/>
      <c r="K28" s="52"/>
      <c r="L28" s="260"/>
      <c r="M28" s="244"/>
      <c r="N28" s="62"/>
    </row>
    <row r="29" ht="15.75" customHeight="1">
      <c r="A29" s="130"/>
      <c r="B29" s="130"/>
      <c r="C29" s="111"/>
      <c r="D29" s="68"/>
      <c r="E29" s="111"/>
      <c r="F29" s="111"/>
      <c r="G29" s="131"/>
      <c r="H29" s="111"/>
      <c r="I29" s="113"/>
      <c r="J29" s="52"/>
      <c r="K29" s="52"/>
      <c r="L29" s="260"/>
      <c r="M29" s="244"/>
      <c r="N29" s="62"/>
    </row>
    <row r="30" ht="15.75" customHeight="1">
      <c r="A30" s="130"/>
      <c r="B30" s="130"/>
      <c r="C30" s="111"/>
      <c r="D30" s="68"/>
      <c r="E30" s="111"/>
      <c r="F30" s="111"/>
      <c r="G30" s="131"/>
      <c r="H30" s="111"/>
      <c r="I30" s="113"/>
      <c r="J30" s="52"/>
      <c r="K30" s="52"/>
      <c r="L30" s="260"/>
      <c r="M30" s="244"/>
      <c r="N30" s="62"/>
    </row>
    <row r="31" ht="15.75" customHeight="1">
      <c r="A31" s="130"/>
      <c r="B31" s="130"/>
      <c r="C31" s="111"/>
      <c r="D31" s="68"/>
      <c r="E31" s="111"/>
      <c r="F31" s="111"/>
      <c r="G31" s="131"/>
      <c r="H31" s="111"/>
      <c r="I31" s="113"/>
      <c r="J31" s="52"/>
      <c r="K31" s="52"/>
      <c r="L31" s="260"/>
      <c r="M31" s="244"/>
      <c r="N31" s="62"/>
    </row>
    <row r="32" ht="15.75" customHeight="1">
      <c r="A32" s="130"/>
      <c r="B32" s="130"/>
      <c r="C32" s="111"/>
      <c r="D32" s="68"/>
      <c r="E32" s="111"/>
      <c r="F32" s="111"/>
      <c r="G32" s="131"/>
      <c r="H32" s="111"/>
      <c r="I32" s="113"/>
      <c r="J32" s="52"/>
      <c r="K32" s="52"/>
      <c r="L32" s="260"/>
      <c r="M32" s="244"/>
      <c r="N32" s="62"/>
    </row>
    <row r="33" ht="15.75" customHeight="1">
      <c r="A33" s="130"/>
      <c r="B33" s="130"/>
      <c r="C33" s="111"/>
      <c r="D33" s="68"/>
      <c r="E33" s="111"/>
      <c r="F33" s="111"/>
      <c r="G33" s="131"/>
      <c r="H33" s="111"/>
      <c r="I33" s="113"/>
      <c r="J33" s="52"/>
      <c r="K33" s="52"/>
      <c r="L33" s="260"/>
      <c r="M33" s="244"/>
      <c r="N33" s="62"/>
    </row>
    <row r="34" ht="15.75" customHeight="1">
      <c r="A34" s="130"/>
      <c r="B34" s="130"/>
      <c r="C34" s="111"/>
      <c r="D34" s="68"/>
      <c r="E34" s="111"/>
      <c r="F34" s="111"/>
      <c r="G34" s="131"/>
      <c r="H34" s="111"/>
      <c r="I34" s="113"/>
      <c r="J34" s="52"/>
      <c r="K34" s="52"/>
      <c r="L34" s="260"/>
      <c r="M34" s="244"/>
      <c r="N34" s="62"/>
    </row>
    <row r="35" ht="15.75" customHeight="1">
      <c r="A35" s="130"/>
      <c r="B35" s="130"/>
      <c r="C35" s="111"/>
      <c r="D35" s="68"/>
      <c r="E35" s="111"/>
      <c r="F35" s="111"/>
      <c r="G35" s="131"/>
      <c r="H35" s="111"/>
      <c r="I35" s="113"/>
      <c r="J35" s="52"/>
      <c r="K35" s="52"/>
      <c r="L35" s="260"/>
      <c r="M35" s="244"/>
      <c r="N35" s="62"/>
    </row>
    <row r="36" ht="15.75" customHeight="1">
      <c r="A36" s="130"/>
      <c r="B36" s="130"/>
      <c r="C36" s="111"/>
      <c r="D36" s="68"/>
      <c r="E36" s="111"/>
      <c r="F36" s="111"/>
      <c r="G36" s="131"/>
      <c r="H36" s="111"/>
      <c r="I36" s="113"/>
      <c r="J36" s="52"/>
      <c r="K36" s="52"/>
      <c r="L36" s="260"/>
      <c r="M36" s="244"/>
      <c r="N36" s="62"/>
    </row>
    <row r="37" ht="15.75" customHeight="1">
      <c r="A37" s="130"/>
      <c r="B37" s="130"/>
      <c r="C37" s="111"/>
      <c r="D37" s="68"/>
      <c r="E37" s="111"/>
      <c r="F37" s="111"/>
      <c r="G37" s="131"/>
      <c r="H37" s="111"/>
      <c r="I37" s="113"/>
      <c r="J37" s="52"/>
      <c r="K37" s="52"/>
      <c r="L37" s="260"/>
      <c r="M37" s="244"/>
      <c r="N37" s="62"/>
    </row>
    <row r="38" ht="15.75" customHeight="1">
      <c r="A38" s="130"/>
      <c r="B38" s="130"/>
      <c r="C38" s="111"/>
      <c r="D38" s="68"/>
      <c r="E38" s="111"/>
      <c r="F38" s="111"/>
      <c r="G38" s="131"/>
      <c r="H38" s="111"/>
      <c r="I38" s="113"/>
      <c r="J38" s="52"/>
      <c r="K38" s="52"/>
      <c r="L38" s="260"/>
      <c r="M38" s="244"/>
      <c r="N38" s="62"/>
    </row>
    <row r="39" ht="15.75" customHeight="1">
      <c r="A39" s="130"/>
      <c r="B39" s="130"/>
      <c r="C39" s="111"/>
      <c r="D39" s="68"/>
      <c r="E39" s="111"/>
      <c r="F39" s="111"/>
      <c r="G39" s="131"/>
      <c r="H39" s="111"/>
      <c r="I39" s="113"/>
      <c r="J39" s="52"/>
      <c r="K39" s="52"/>
      <c r="L39" s="260"/>
      <c r="M39" s="244"/>
      <c r="N39" s="62"/>
    </row>
    <row r="40" ht="15.75" customHeight="1">
      <c r="A40" s="130"/>
      <c r="B40" s="130"/>
      <c r="C40" s="111"/>
      <c r="D40" s="68"/>
      <c r="E40" s="111"/>
      <c r="F40" s="111"/>
      <c r="G40" s="131"/>
      <c r="H40" s="111"/>
      <c r="I40" s="113"/>
      <c r="J40" s="52"/>
      <c r="K40" s="52"/>
      <c r="L40" s="260"/>
      <c r="M40" s="244"/>
      <c r="N40" s="62"/>
    </row>
    <row r="41" ht="15.75" customHeight="1">
      <c r="A41" s="130"/>
      <c r="B41" s="130"/>
      <c r="C41" s="111"/>
      <c r="D41" s="68"/>
      <c r="E41" s="111"/>
      <c r="F41" s="111"/>
      <c r="G41" s="131"/>
      <c r="H41" s="111"/>
      <c r="I41" s="113"/>
      <c r="J41" s="52"/>
      <c r="K41" s="52"/>
      <c r="L41" s="260"/>
      <c r="M41" s="244"/>
      <c r="N41" s="62"/>
    </row>
    <row r="42" ht="15.75" customHeight="1">
      <c r="A42" s="130"/>
      <c r="B42" s="130"/>
      <c r="C42" s="111"/>
      <c r="D42" s="68"/>
      <c r="E42" s="111"/>
      <c r="F42" s="111"/>
      <c r="G42" s="131"/>
      <c r="H42" s="111"/>
      <c r="I42" s="113"/>
      <c r="J42" s="52"/>
      <c r="K42" s="52"/>
      <c r="L42" s="260"/>
      <c r="M42" s="244"/>
      <c r="N42" s="62"/>
    </row>
    <row r="43" ht="15.75" customHeight="1">
      <c r="A43" s="130"/>
      <c r="B43" s="130"/>
      <c r="C43" s="111"/>
      <c r="D43" s="68"/>
      <c r="E43" s="111"/>
      <c r="F43" s="111"/>
      <c r="G43" s="131"/>
      <c r="H43" s="111"/>
      <c r="I43" s="113"/>
      <c r="J43" s="52"/>
      <c r="K43" s="52"/>
      <c r="L43" s="260"/>
      <c r="M43" s="244"/>
      <c r="N43" s="62"/>
    </row>
    <row r="44" ht="15.75" customHeight="1">
      <c r="A44" s="130"/>
      <c r="B44" s="130"/>
      <c r="C44" s="111"/>
      <c r="D44" s="68"/>
      <c r="E44" s="111"/>
      <c r="F44" s="111"/>
      <c r="G44" s="131"/>
      <c r="H44" s="111"/>
      <c r="I44" s="113"/>
      <c r="J44" s="52"/>
      <c r="K44" s="52"/>
      <c r="L44" s="260"/>
      <c r="M44" s="244"/>
      <c r="N44" s="62"/>
    </row>
    <row r="45" ht="15.75" customHeight="1">
      <c r="A45" s="130"/>
      <c r="B45" s="130"/>
      <c r="C45" s="111"/>
      <c r="D45" s="68"/>
      <c r="E45" s="111"/>
      <c r="F45" s="111"/>
      <c r="G45" s="131"/>
      <c r="H45" s="111"/>
      <c r="I45" s="113"/>
      <c r="J45" s="52"/>
      <c r="K45" s="52"/>
      <c r="L45" s="260"/>
      <c r="M45" s="244"/>
      <c r="N45" s="62"/>
    </row>
    <row r="46" ht="15.75" customHeight="1">
      <c r="A46" s="130"/>
      <c r="B46" s="130"/>
      <c r="C46" s="111"/>
      <c r="D46" s="68"/>
      <c r="E46" s="111"/>
      <c r="F46" s="111"/>
      <c r="G46" s="131"/>
      <c r="H46" s="111"/>
      <c r="I46" s="113"/>
      <c r="J46" s="52"/>
      <c r="K46" s="52"/>
      <c r="L46" s="260"/>
      <c r="M46" s="244"/>
      <c r="N46" s="62"/>
    </row>
    <row r="47" ht="15.75" customHeight="1">
      <c r="A47" s="130"/>
      <c r="B47" s="130"/>
      <c r="C47" s="111"/>
      <c r="D47" s="68"/>
      <c r="E47" s="111"/>
      <c r="F47" s="111"/>
      <c r="G47" s="131"/>
      <c r="H47" s="111"/>
      <c r="I47" s="113"/>
      <c r="J47" s="52"/>
      <c r="K47" s="52"/>
      <c r="L47" s="260"/>
      <c r="M47" s="244"/>
      <c r="N47" s="62"/>
    </row>
    <row r="48" ht="15.75" customHeight="1">
      <c r="A48" s="130"/>
      <c r="B48" s="130"/>
      <c r="C48" s="111"/>
      <c r="D48" s="68"/>
      <c r="E48" s="111"/>
      <c r="F48" s="111"/>
      <c r="G48" s="131"/>
      <c r="H48" s="111"/>
      <c r="I48" s="113"/>
      <c r="J48" s="52"/>
      <c r="K48" s="52"/>
      <c r="L48" s="260"/>
      <c r="M48" s="244"/>
      <c r="N48" s="62"/>
    </row>
    <row r="49" ht="15.75" customHeight="1">
      <c r="A49" s="130"/>
      <c r="B49" s="130"/>
      <c r="C49" s="111"/>
      <c r="D49" s="68"/>
      <c r="E49" s="111"/>
      <c r="F49" s="111"/>
      <c r="G49" s="131"/>
      <c r="H49" s="111"/>
      <c r="I49" s="113"/>
      <c r="J49" s="52"/>
      <c r="K49" s="52"/>
      <c r="L49" s="260"/>
      <c r="M49" s="244"/>
      <c r="N49" s="62"/>
    </row>
    <row r="50" ht="15.75" customHeight="1">
      <c r="A50" s="130"/>
      <c r="B50" s="130"/>
      <c r="C50" s="111"/>
      <c r="D50" s="68"/>
      <c r="E50" s="111"/>
      <c r="F50" s="111"/>
      <c r="G50" s="131"/>
      <c r="H50" s="111"/>
      <c r="I50" s="113"/>
      <c r="J50" s="52"/>
      <c r="K50" s="52"/>
      <c r="L50" s="260"/>
      <c r="M50" s="244"/>
      <c r="N50" s="62"/>
    </row>
    <row r="51" ht="15.75" customHeight="1">
      <c r="A51" s="130"/>
      <c r="B51" s="130"/>
      <c r="C51" s="111"/>
      <c r="D51" s="68"/>
      <c r="E51" s="111"/>
      <c r="F51" s="111"/>
      <c r="G51" s="131"/>
      <c r="H51" s="111"/>
      <c r="I51" s="113"/>
      <c r="J51" s="52"/>
      <c r="K51" s="52"/>
      <c r="L51" s="260"/>
      <c r="M51" s="244"/>
      <c r="N51" s="62"/>
    </row>
    <row r="52" ht="15.75" customHeight="1">
      <c r="A52" s="130"/>
      <c r="B52" s="130"/>
      <c r="C52" s="111"/>
      <c r="D52" s="68"/>
      <c r="E52" s="111"/>
      <c r="F52" s="111"/>
      <c r="G52" s="131"/>
      <c r="H52" s="111"/>
      <c r="I52" s="113"/>
      <c r="J52" s="52"/>
      <c r="K52" s="52"/>
      <c r="L52" s="260"/>
      <c r="M52" s="244"/>
      <c r="N52" s="62"/>
    </row>
    <row r="53" ht="15.75" customHeight="1">
      <c r="A53" s="130"/>
      <c r="B53" s="130"/>
      <c r="C53" s="111"/>
      <c r="D53" s="68"/>
      <c r="E53" s="111"/>
      <c r="F53" s="111"/>
      <c r="G53" s="131"/>
      <c r="H53" s="111"/>
      <c r="I53" s="113"/>
      <c r="J53" s="52"/>
      <c r="K53" s="52"/>
      <c r="L53" s="260"/>
      <c r="M53" s="244"/>
      <c r="N53" s="62"/>
    </row>
    <row r="54" ht="15.75" customHeight="1">
      <c r="A54" s="130"/>
      <c r="B54" s="130"/>
      <c r="C54" s="111"/>
      <c r="D54" s="68"/>
      <c r="E54" s="111"/>
      <c r="F54" s="111"/>
      <c r="G54" s="131"/>
      <c r="H54" s="111"/>
      <c r="I54" s="113"/>
      <c r="J54" s="52"/>
      <c r="K54" s="52"/>
      <c r="L54" s="260"/>
      <c r="M54" s="244"/>
      <c r="N54" s="62"/>
    </row>
    <row r="55" ht="15.75" customHeight="1">
      <c r="A55" s="130"/>
      <c r="B55" s="130"/>
      <c r="C55" s="111"/>
      <c r="D55" s="68"/>
      <c r="E55" s="111"/>
      <c r="F55" s="111"/>
      <c r="G55" s="131"/>
      <c r="H55" s="111"/>
      <c r="I55" s="113"/>
      <c r="J55" s="52"/>
      <c r="K55" s="52"/>
      <c r="L55" s="248"/>
      <c r="M55" s="244"/>
      <c r="N55" s="62"/>
    </row>
    <row r="56" ht="15.75" customHeight="1">
      <c r="A56" s="130"/>
      <c r="B56" s="130"/>
      <c r="C56" s="111"/>
      <c r="D56" s="68"/>
      <c r="E56" s="111"/>
      <c r="F56" s="111"/>
      <c r="G56" s="131"/>
      <c r="H56" s="111"/>
      <c r="I56" s="113"/>
      <c r="J56" s="52"/>
      <c r="K56" s="52"/>
      <c r="L56" s="253"/>
      <c r="M56" s="62"/>
      <c r="N56" s="62"/>
    </row>
    <row r="57" ht="15.75" customHeight="1">
      <c r="A57" s="130"/>
      <c r="B57" s="130"/>
      <c r="C57" s="111"/>
      <c r="D57" s="68"/>
      <c r="E57" s="111"/>
      <c r="F57" s="111"/>
      <c r="G57" s="131"/>
      <c r="H57" s="111"/>
      <c r="I57" s="113"/>
      <c r="J57" s="52"/>
      <c r="K57" s="52"/>
      <c r="L57" s="253"/>
      <c r="M57" s="62"/>
      <c r="N57" s="62"/>
      <c r="Q57" s="261"/>
    </row>
    <row r="58" ht="15.75" customHeight="1">
      <c r="A58" s="130"/>
      <c r="B58" s="130"/>
      <c r="C58" s="111"/>
      <c r="D58" s="68"/>
      <c r="E58" s="111"/>
      <c r="F58" s="111"/>
      <c r="G58" s="131"/>
      <c r="H58" s="111"/>
      <c r="I58" s="113"/>
      <c r="J58" s="52"/>
      <c r="K58" s="52"/>
      <c r="L58" s="253"/>
      <c r="M58" s="62"/>
      <c r="N58" s="62"/>
    </row>
    <row r="59" ht="15.75" customHeight="1">
      <c r="A59" s="262"/>
      <c r="B59" s="262"/>
      <c r="C59" s="53"/>
      <c r="D59" s="54"/>
      <c r="E59" s="53"/>
      <c r="F59" s="53"/>
      <c r="G59" s="263"/>
      <c r="H59" s="53"/>
      <c r="I59" s="74"/>
      <c r="J59" s="52"/>
      <c r="K59" s="52"/>
      <c r="L59" s="264"/>
      <c r="M59" s="118"/>
      <c r="N59" s="62"/>
    </row>
    <row r="60" ht="15.75" customHeight="1">
      <c r="A60" s="262"/>
      <c r="B60" s="262"/>
      <c r="C60" s="53"/>
      <c r="D60" s="54"/>
      <c r="E60" s="53"/>
      <c r="F60" s="53"/>
      <c r="G60" s="263"/>
      <c r="H60" s="53"/>
      <c r="I60" s="74"/>
      <c r="J60" s="52"/>
      <c r="K60" s="52"/>
      <c r="L60" s="200"/>
      <c r="M60" s="118"/>
      <c r="N60" s="62"/>
    </row>
    <row r="61" ht="15.75" customHeight="1">
      <c r="A61" s="265" t="s">
        <v>88</v>
      </c>
      <c r="B61" s="214"/>
      <c r="C61" s="57"/>
      <c r="D61" s="57"/>
      <c r="E61" s="266"/>
      <c r="F61" s="266"/>
      <c r="G61" s="266"/>
      <c r="H61" s="185"/>
      <c r="I61" s="215"/>
      <c r="J61" s="185"/>
      <c r="K61" s="185"/>
      <c r="L61" s="225"/>
      <c r="M61" s="267">
        <f>SUM(M10:M60)</f>
        <v>679</v>
      </c>
    </row>
    <row r="62" ht="15.75" customHeight="1">
      <c r="A62" s="213"/>
      <c r="B62" s="214"/>
      <c r="C62" s="57"/>
      <c r="D62" s="185"/>
      <c r="E62" s="215"/>
      <c r="F62" s="215"/>
      <c r="G62" s="215"/>
      <c r="H62" s="185"/>
      <c r="I62" s="215"/>
      <c r="J62" s="185"/>
      <c r="K62" s="185"/>
      <c r="L62" s="185"/>
      <c r="M62" s="185"/>
    </row>
    <row r="63" ht="15.75" customHeight="1">
      <c r="A63" s="90" t="s">
        <v>178</v>
      </c>
      <c r="B63" s="91"/>
      <c r="C63" s="91"/>
      <c r="D63" s="91"/>
      <c r="E63" s="91"/>
      <c r="F63" s="91"/>
      <c r="G63" s="91"/>
      <c r="H63" s="91"/>
      <c r="I63" s="91"/>
      <c r="J63" s="91"/>
      <c r="K63" s="91"/>
      <c r="L63" s="91"/>
      <c r="M63" s="92"/>
    </row>
    <row r="64" ht="15.75" customHeight="1">
      <c r="A64" s="213"/>
      <c r="B64" s="214"/>
      <c r="C64" s="57"/>
      <c r="D64" s="185"/>
      <c r="E64" s="215"/>
      <c r="F64" s="215"/>
      <c r="G64" s="215"/>
      <c r="H64" s="185"/>
      <c r="I64" s="215"/>
      <c r="J64" s="185"/>
      <c r="K64" s="185"/>
      <c r="L64" s="185"/>
      <c r="M64" s="185"/>
    </row>
    <row r="65" ht="15.75" customHeight="1">
      <c r="A65" s="213"/>
      <c r="B65" s="214"/>
      <c r="C65" s="57"/>
      <c r="D65" s="185"/>
      <c r="E65" s="215"/>
      <c r="F65" s="215"/>
      <c r="G65" s="215"/>
      <c r="H65" s="185"/>
      <c r="I65" s="215"/>
      <c r="J65" s="185"/>
      <c r="K65" s="185"/>
      <c r="L65" s="185"/>
      <c r="M65" s="185"/>
    </row>
    <row r="66" ht="15.75" customHeight="1">
      <c r="A66" s="213"/>
      <c r="B66" s="214"/>
      <c r="C66" s="57"/>
      <c r="D66" s="185"/>
      <c r="E66" s="215"/>
      <c r="F66" s="215"/>
      <c r="G66" s="215"/>
      <c r="H66" s="185"/>
      <c r="I66" s="215"/>
      <c r="J66" s="185"/>
      <c r="K66" s="185"/>
      <c r="L66" s="185"/>
      <c r="M66" s="185"/>
    </row>
    <row r="67" ht="15.75" customHeight="1">
      <c r="A67" s="213"/>
      <c r="B67" s="214"/>
      <c r="C67" s="57"/>
      <c r="D67" s="185"/>
      <c r="E67" s="215"/>
      <c r="F67" s="215"/>
      <c r="G67" s="215"/>
      <c r="H67" s="185"/>
      <c r="I67" s="215"/>
      <c r="J67" s="185"/>
      <c r="K67" s="185"/>
      <c r="L67" s="185"/>
      <c r="M67" s="185"/>
    </row>
    <row r="68" ht="15.75" customHeight="1">
      <c r="A68" s="213"/>
      <c r="B68" s="214"/>
      <c r="C68" s="57"/>
      <c r="D68" s="185"/>
      <c r="E68" s="215"/>
      <c r="F68" s="215"/>
      <c r="G68" s="215"/>
      <c r="H68" s="185"/>
      <c r="I68" s="215"/>
      <c r="J68" s="185"/>
      <c r="K68" s="185"/>
      <c r="L68" s="185"/>
      <c r="M68" s="185"/>
    </row>
    <row r="69" ht="15.75" customHeight="1">
      <c r="A69" s="213"/>
      <c r="B69" s="214"/>
      <c r="C69" s="57"/>
      <c r="D69" s="185"/>
      <c r="E69" s="215"/>
      <c r="F69" s="215"/>
      <c r="G69" s="215"/>
      <c r="H69" s="185"/>
      <c r="I69" s="215"/>
      <c r="J69" s="185"/>
      <c r="K69" s="185"/>
      <c r="L69" s="185"/>
      <c r="M69" s="185"/>
    </row>
    <row r="70" ht="15.75" customHeight="1">
      <c r="A70" s="213"/>
      <c r="B70" s="214"/>
      <c r="C70" s="57"/>
      <c r="D70" s="185"/>
      <c r="E70" s="215"/>
      <c r="F70" s="215"/>
      <c r="G70" s="215"/>
      <c r="H70" s="185"/>
      <c r="I70" s="215"/>
      <c r="J70" s="185"/>
      <c r="K70" s="185"/>
      <c r="L70" s="185"/>
      <c r="M70" s="185"/>
    </row>
    <row r="71" ht="15.75" customHeight="1">
      <c r="A71" s="213"/>
      <c r="B71" s="214"/>
      <c r="C71" s="57"/>
      <c r="D71" s="185"/>
      <c r="E71" s="215"/>
      <c r="F71" s="215"/>
      <c r="G71" s="215"/>
      <c r="H71" s="185"/>
      <c r="I71" s="215"/>
      <c r="J71" s="185"/>
      <c r="K71" s="185"/>
      <c r="L71" s="185"/>
      <c r="M71" s="185"/>
    </row>
    <row r="72" ht="15.75" customHeight="1">
      <c r="A72" s="213"/>
      <c r="B72" s="214"/>
      <c r="C72" s="57"/>
      <c r="D72" s="185"/>
      <c r="E72" s="215"/>
      <c r="F72" s="215"/>
      <c r="G72" s="215"/>
      <c r="H72" s="185"/>
      <c r="I72" s="215"/>
      <c r="J72" s="185"/>
      <c r="K72" s="185"/>
      <c r="L72" s="185"/>
      <c r="M72" s="185"/>
    </row>
    <row r="73" ht="15.75" customHeight="1">
      <c r="A73" s="213"/>
      <c r="B73" s="214"/>
      <c r="C73" s="57"/>
      <c r="D73" s="185"/>
      <c r="E73" s="215"/>
      <c r="F73" s="215"/>
      <c r="G73" s="215"/>
      <c r="H73" s="185"/>
      <c r="I73" s="215"/>
      <c r="J73" s="185"/>
      <c r="K73" s="185"/>
      <c r="L73" s="185"/>
      <c r="M73" s="185"/>
    </row>
    <row r="74" ht="15.75" customHeight="1">
      <c r="A74" s="213"/>
      <c r="B74" s="214"/>
      <c r="C74" s="57"/>
      <c r="D74" s="185"/>
      <c r="E74" s="215"/>
      <c r="F74" s="215"/>
      <c r="G74" s="215"/>
      <c r="H74" s="185"/>
      <c r="I74" s="215"/>
      <c r="J74" s="185"/>
      <c r="K74" s="185"/>
      <c r="L74" s="185"/>
      <c r="M74" s="185"/>
    </row>
    <row r="75" ht="15.75" customHeight="1">
      <c r="A75" s="213"/>
      <c r="B75" s="214"/>
      <c r="C75" s="57"/>
      <c r="D75" s="185"/>
      <c r="E75" s="215"/>
      <c r="F75" s="215"/>
      <c r="G75" s="215"/>
      <c r="H75" s="185"/>
      <c r="I75" s="215"/>
      <c r="J75" s="185"/>
      <c r="K75" s="185"/>
      <c r="L75" s="185"/>
      <c r="M75" s="185"/>
    </row>
    <row r="76" ht="15.75" customHeight="1">
      <c r="A76" s="213"/>
      <c r="B76" s="214"/>
      <c r="C76" s="57"/>
      <c r="D76" s="185"/>
      <c r="E76" s="215"/>
      <c r="F76" s="215"/>
      <c r="G76" s="215"/>
      <c r="H76" s="185"/>
      <c r="I76" s="215"/>
      <c r="J76" s="185"/>
      <c r="K76" s="185"/>
      <c r="L76" s="185"/>
      <c r="M76" s="185"/>
    </row>
    <row r="77" ht="15.75" customHeight="1">
      <c r="A77" s="213"/>
      <c r="B77" s="214"/>
      <c r="C77" s="57"/>
      <c r="D77" s="185"/>
      <c r="E77" s="215"/>
      <c r="F77" s="215"/>
      <c r="G77" s="215"/>
      <c r="H77" s="185"/>
      <c r="I77" s="215"/>
      <c r="J77" s="185"/>
      <c r="K77" s="185"/>
      <c r="L77" s="185"/>
      <c r="M77" s="185"/>
    </row>
    <row r="78" ht="15.75" customHeight="1">
      <c r="A78" s="213"/>
      <c r="B78" s="214"/>
      <c r="C78" s="57"/>
      <c r="D78" s="185"/>
      <c r="E78" s="215"/>
      <c r="F78" s="215"/>
      <c r="G78" s="215"/>
      <c r="H78" s="185"/>
      <c r="I78" s="215"/>
      <c r="J78" s="185"/>
      <c r="K78" s="185"/>
      <c r="L78" s="185"/>
      <c r="M78" s="185"/>
    </row>
    <row r="79" ht="15.75" customHeight="1">
      <c r="A79" s="213"/>
      <c r="B79" s="214"/>
      <c r="C79" s="57"/>
      <c r="D79" s="185"/>
      <c r="E79" s="215"/>
      <c r="F79" s="215"/>
      <c r="G79" s="215"/>
      <c r="H79" s="185"/>
      <c r="I79" s="215"/>
      <c r="J79" s="185"/>
      <c r="K79" s="185"/>
      <c r="L79" s="185"/>
      <c r="M79" s="185"/>
    </row>
    <row r="80" ht="15.75" customHeight="1">
      <c r="A80" s="213"/>
      <c r="B80" s="214"/>
      <c r="C80" s="57"/>
      <c r="D80" s="185"/>
      <c r="E80" s="215"/>
      <c r="F80" s="215"/>
      <c r="G80" s="215"/>
      <c r="H80" s="185"/>
      <c r="I80" s="215"/>
      <c r="J80" s="185"/>
      <c r="K80" s="185"/>
      <c r="L80" s="185"/>
      <c r="M80" s="185"/>
    </row>
    <row r="81" ht="15.75" customHeight="1">
      <c r="A81" s="213"/>
      <c r="B81" s="214"/>
      <c r="C81" s="57"/>
      <c r="D81" s="185"/>
      <c r="E81" s="215"/>
      <c r="F81" s="215"/>
      <c r="G81" s="215"/>
      <c r="H81" s="185"/>
      <c r="I81" s="215"/>
      <c r="J81" s="185"/>
      <c r="K81" s="185"/>
      <c r="L81" s="185"/>
      <c r="M81" s="185"/>
    </row>
    <row r="82" ht="15.75" customHeight="1">
      <c r="A82" s="213"/>
      <c r="B82" s="214"/>
      <c r="C82" s="57"/>
      <c r="D82" s="185"/>
      <c r="E82" s="215"/>
      <c r="F82" s="215"/>
      <c r="G82" s="215"/>
      <c r="H82" s="185"/>
      <c r="I82" s="215"/>
      <c r="J82" s="185"/>
      <c r="K82" s="185"/>
      <c r="L82" s="185"/>
      <c r="M82" s="185"/>
    </row>
    <row r="83" ht="15.75" customHeight="1">
      <c r="A83" s="213"/>
      <c r="B83" s="214"/>
      <c r="C83" s="57"/>
      <c r="D83" s="185"/>
      <c r="E83" s="215"/>
      <c r="F83" s="215"/>
      <c r="G83" s="215"/>
      <c r="H83" s="185"/>
      <c r="I83" s="215"/>
      <c r="J83" s="185"/>
      <c r="K83" s="185"/>
      <c r="L83" s="185"/>
      <c r="M83" s="185"/>
    </row>
    <row r="84" ht="15.75" customHeight="1">
      <c r="A84" s="213"/>
      <c r="B84" s="214"/>
      <c r="C84" s="57"/>
      <c r="D84" s="185"/>
      <c r="E84" s="215"/>
      <c r="F84" s="215"/>
      <c r="G84" s="215"/>
      <c r="H84" s="185"/>
      <c r="I84" s="215"/>
      <c r="J84" s="185"/>
      <c r="K84" s="185"/>
      <c r="L84" s="185"/>
      <c r="M84" s="185"/>
    </row>
    <row r="85" ht="15.75" customHeight="1">
      <c r="A85" s="213"/>
      <c r="B85" s="214"/>
      <c r="C85" s="57"/>
      <c r="D85" s="185"/>
      <c r="E85" s="215"/>
      <c r="F85" s="215"/>
      <c r="G85" s="215"/>
      <c r="H85" s="185"/>
      <c r="I85" s="215"/>
      <c r="J85" s="185"/>
      <c r="K85" s="185"/>
      <c r="L85" s="185"/>
      <c r="M85" s="185"/>
    </row>
    <row r="86" ht="15.75" customHeight="1">
      <c r="A86" s="213"/>
      <c r="B86" s="214"/>
      <c r="C86" s="57"/>
      <c r="D86" s="185"/>
      <c r="E86" s="215"/>
      <c r="F86" s="215"/>
      <c r="G86" s="215"/>
      <c r="H86" s="185"/>
      <c r="I86" s="215"/>
      <c r="J86" s="185"/>
      <c r="K86" s="185"/>
      <c r="L86" s="185"/>
      <c r="M86" s="185"/>
    </row>
    <row r="87" ht="15.75" customHeight="1">
      <c r="A87" s="213"/>
      <c r="B87" s="214"/>
      <c r="C87" s="57"/>
      <c r="D87" s="185"/>
      <c r="E87" s="215"/>
      <c r="F87" s="215"/>
      <c r="G87" s="215"/>
      <c r="H87" s="185"/>
      <c r="I87" s="215"/>
      <c r="J87" s="185"/>
      <c r="K87" s="185"/>
      <c r="L87" s="185"/>
      <c r="M87" s="185"/>
    </row>
    <row r="88" ht="15.75" customHeight="1">
      <c r="A88" s="213"/>
      <c r="B88" s="214"/>
      <c r="C88" s="57"/>
      <c r="D88" s="185"/>
      <c r="E88" s="215"/>
      <c r="F88" s="215"/>
      <c r="G88" s="215"/>
      <c r="H88" s="185"/>
      <c r="I88" s="215"/>
      <c r="J88" s="185"/>
      <c r="K88" s="185"/>
      <c r="L88" s="185"/>
      <c r="M88" s="185"/>
    </row>
    <row r="89" ht="15.75" customHeight="1">
      <c r="A89" s="213"/>
      <c r="B89" s="214"/>
      <c r="C89" s="57"/>
      <c r="D89" s="185"/>
      <c r="E89" s="215"/>
      <c r="F89" s="215"/>
      <c r="G89" s="215"/>
      <c r="H89" s="185"/>
      <c r="I89" s="215"/>
      <c r="J89" s="185"/>
      <c r="K89" s="185"/>
      <c r="L89" s="185"/>
      <c r="M89" s="185"/>
    </row>
    <row r="90" ht="15.75" customHeight="1">
      <c r="A90" s="213"/>
      <c r="B90" s="214"/>
      <c r="C90" s="57"/>
      <c r="D90" s="185"/>
      <c r="E90" s="215"/>
      <c r="F90" s="215"/>
      <c r="G90" s="215"/>
      <c r="H90" s="185"/>
      <c r="I90" s="215"/>
      <c r="J90" s="185"/>
      <c r="K90" s="185"/>
      <c r="L90" s="185"/>
      <c r="M90" s="185"/>
    </row>
    <row r="91" ht="15.75" customHeight="1">
      <c r="A91" s="213"/>
      <c r="B91" s="214"/>
      <c r="C91" s="57"/>
      <c r="D91" s="185"/>
      <c r="E91" s="215"/>
      <c r="F91" s="215"/>
      <c r="G91" s="215"/>
      <c r="H91" s="185"/>
      <c r="I91" s="215"/>
      <c r="J91" s="185"/>
      <c r="K91" s="185"/>
      <c r="L91" s="185"/>
      <c r="M91" s="185"/>
    </row>
    <row r="92" ht="15.75" customHeight="1">
      <c r="A92" s="213"/>
      <c r="B92" s="214"/>
      <c r="C92" s="57"/>
      <c r="D92" s="185"/>
      <c r="E92" s="215"/>
      <c r="F92" s="215"/>
      <c r="G92" s="215"/>
      <c r="H92" s="185"/>
      <c r="I92" s="215"/>
      <c r="J92" s="185"/>
      <c r="K92" s="185"/>
      <c r="L92" s="185"/>
      <c r="M92" s="185"/>
    </row>
    <row r="93" ht="15.75" customHeight="1">
      <c r="A93" s="213"/>
      <c r="B93" s="214"/>
      <c r="C93" s="57"/>
      <c r="D93" s="185"/>
      <c r="E93" s="215"/>
      <c r="F93" s="215"/>
      <c r="G93" s="215"/>
      <c r="H93" s="185"/>
      <c r="I93" s="215"/>
      <c r="J93" s="185"/>
      <c r="K93" s="185"/>
      <c r="L93" s="185"/>
      <c r="M93" s="185"/>
    </row>
    <row r="94" ht="15.75" customHeight="1">
      <c r="A94" s="213"/>
      <c r="B94" s="214"/>
      <c r="C94" s="57"/>
      <c r="D94" s="185"/>
      <c r="E94" s="215"/>
      <c r="F94" s="215"/>
      <c r="G94" s="215"/>
      <c r="H94" s="185"/>
      <c r="I94" s="215"/>
      <c r="J94" s="185"/>
      <c r="K94" s="185"/>
      <c r="L94" s="185"/>
      <c r="M94" s="185"/>
    </row>
    <row r="95" ht="15.75" customHeight="1">
      <c r="A95" s="213"/>
      <c r="B95" s="214"/>
      <c r="C95" s="57"/>
      <c r="D95" s="185"/>
      <c r="E95" s="215"/>
      <c r="F95" s="215"/>
      <c r="G95" s="215"/>
      <c r="H95" s="185"/>
      <c r="I95" s="215"/>
      <c r="J95" s="185"/>
      <c r="K95" s="185"/>
      <c r="L95" s="185"/>
      <c r="M95" s="185"/>
    </row>
    <row r="96" ht="15.75" customHeight="1">
      <c r="A96" s="213"/>
      <c r="B96" s="214"/>
      <c r="C96" s="57"/>
      <c r="D96" s="185"/>
      <c r="E96" s="215"/>
      <c r="F96" s="215"/>
      <c r="G96" s="215"/>
      <c r="H96" s="185"/>
      <c r="I96" s="215"/>
      <c r="J96" s="185"/>
      <c r="K96" s="185"/>
      <c r="L96" s="185"/>
      <c r="M96" s="185"/>
    </row>
    <row r="97" ht="15.75" customHeight="1">
      <c r="A97" s="213"/>
      <c r="B97" s="214"/>
      <c r="C97" s="57"/>
      <c r="D97" s="185"/>
      <c r="E97" s="215"/>
      <c r="F97" s="215"/>
      <c r="G97" s="215"/>
      <c r="H97" s="185"/>
      <c r="I97" s="215"/>
      <c r="J97" s="185"/>
      <c r="K97" s="185"/>
      <c r="L97" s="185"/>
      <c r="M97" s="185"/>
    </row>
    <row r="98" ht="15.75" customHeight="1">
      <c r="A98" s="213"/>
      <c r="B98" s="214"/>
      <c r="C98" s="57"/>
      <c r="D98" s="185"/>
      <c r="E98" s="215"/>
      <c r="F98" s="215"/>
      <c r="G98" s="215"/>
      <c r="H98" s="185"/>
      <c r="I98" s="215"/>
      <c r="J98" s="185"/>
      <c r="K98" s="185"/>
      <c r="L98" s="185"/>
      <c r="M98" s="185"/>
    </row>
    <row r="99" ht="15.75" customHeight="1">
      <c r="A99" s="213"/>
      <c r="B99" s="214"/>
      <c r="C99" s="57"/>
      <c r="D99" s="185"/>
      <c r="E99" s="215"/>
      <c r="F99" s="215"/>
      <c r="G99" s="215"/>
      <c r="H99" s="185"/>
      <c r="I99" s="215"/>
      <c r="J99" s="185"/>
      <c r="K99" s="185"/>
      <c r="L99" s="185"/>
      <c r="M99" s="185"/>
    </row>
    <row r="100" ht="15.75" customHeight="1">
      <c r="A100" s="213"/>
      <c r="B100" s="214"/>
      <c r="C100" s="57"/>
      <c r="D100" s="185"/>
      <c r="E100" s="215"/>
      <c r="F100" s="215"/>
      <c r="G100" s="215"/>
      <c r="H100" s="185"/>
      <c r="I100" s="215"/>
      <c r="J100" s="185"/>
      <c r="K100" s="185"/>
      <c r="L100" s="185"/>
      <c r="M100" s="185"/>
    </row>
    <row r="101" ht="15.75" customHeight="1">
      <c r="A101" s="213"/>
      <c r="B101" s="214"/>
      <c r="C101" s="57"/>
      <c r="D101" s="185"/>
      <c r="E101" s="215"/>
      <c r="F101" s="215"/>
      <c r="G101" s="215"/>
      <c r="H101" s="185"/>
      <c r="I101" s="215"/>
      <c r="J101" s="185"/>
      <c r="K101" s="185"/>
      <c r="L101" s="185"/>
      <c r="M101" s="185"/>
    </row>
    <row r="102" ht="15.75" customHeight="1">
      <c r="A102" s="213"/>
      <c r="B102" s="214"/>
      <c r="C102" s="57"/>
      <c r="D102" s="185"/>
      <c r="E102" s="215"/>
      <c r="F102" s="215"/>
      <c r="G102" s="215"/>
      <c r="H102" s="185"/>
      <c r="I102" s="215"/>
      <c r="J102" s="185"/>
      <c r="K102" s="185"/>
      <c r="L102" s="185"/>
      <c r="M102" s="185"/>
    </row>
    <row r="103" ht="15.75" customHeight="1">
      <c r="A103" s="213"/>
      <c r="B103" s="214"/>
      <c r="C103" s="57"/>
      <c r="D103" s="185"/>
      <c r="E103" s="215"/>
      <c r="F103" s="215"/>
      <c r="G103" s="215"/>
      <c r="H103" s="185"/>
      <c r="I103" s="215"/>
      <c r="J103" s="185"/>
      <c r="K103" s="185"/>
      <c r="L103" s="185"/>
      <c r="M103" s="185"/>
    </row>
    <row r="104" ht="15.75" customHeight="1">
      <c r="A104" s="213"/>
      <c r="B104" s="214"/>
      <c r="C104" s="57"/>
      <c r="D104" s="185"/>
      <c r="E104" s="215"/>
      <c r="F104" s="215"/>
      <c r="G104" s="215"/>
      <c r="H104" s="185"/>
      <c r="I104" s="215"/>
      <c r="J104" s="185"/>
      <c r="K104" s="185"/>
      <c r="L104" s="185"/>
      <c r="M104" s="185"/>
    </row>
    <row r="105" ht="15.75" customHeight="1">
      <c r="A105" s="213"/>
      <c r="B105" s="214"/>
      <c r="C105" s="57"/>
      <c r="D105" s="185"/>
      <c r="E105" s="215"/>
      <c r="F105" s="215"/>
      <c r="G105" s="215"/>
      <c r="H105" s="185"/>
      <c r="I105" s="215"/>
      <c r="J105" s="185"/>
      <c r="K105" s="185"/>
      <c r="L105" s="185"/>
      <c r="M105" s="185"/>
    </row>
    <row r="106" ht="15.75" customHeight="1">
      <c r="A106" s="213"/>
      <c r="B106" s="214"/>
      <c r="C106" s="57"/>
      <c r="D106" s="185"/>
      <c r="E106" s="215"/>
      <c r="F106" s="215"/>
      <c r="G106" s="215"/>
      <c r="H106" s="185"/>
      <c r="I106" s="215"/>
      <c r="J106" s="185"/>
      <c r="K106" s="185"/>
      <c r="L106" s="185"/>
      <c r="M106" s="185"/>
    </row>
    <row r="107" ht="15.75" customHeight="1">
      <c r="A107" s="213"/>
      <c r="B107" s="214"/>
      <c r="C107" s="57"/>
      <c r="D107" s="185"/>
      <c r="E107" s="215"/>
      <c r="F107" s="215"/>
      <c r="G107" s="215"/>
      <c r="H107" s="185"/>
      <c r="I107" s="215"/>
      <c r="J107" s="185"/>
      <c r="K107" s="185"/>
      <c r="L107" s="185"/>
      <c r="M107" s="185"/>
    </row>
    <row r="108" ht="15.75" customHeight="1">
      <c r="A108" s="213"/>
      <c r="B108" s="214"/>
      <c r="C108" s="57"/>
      <c r="D108" s="185"/>
      <c r="E108" s="215"/>
      <c r="F108" s="215"/>
      <c r="G108" s="215"/>
      <c r="H108" s="185"/>
      <c r="I108" s="215"/>
      <c r="J108" s="185"/>
      <c r="K108" s="185"/>
      <c r="L108" s="185"/>
      <c r="M108" s="185"/>
    </row>
    <row r="109" ht="15.75" customHeight="1">
      <c r="A109" s="213"/>
      <c r="B109" s="214"/>
      <c r="C109" s="57"/>
      <c r="D109" s="185"/>
      <c r="E109" s="215"/>
      <c r="F109" s="215"/>
      <c r="G109" s="215"/>
      <c r="H109" s="185"/>
      <c r="I109" s="215"/>
      <c r="J109" s="185"/>
      <c r="K109" s="185"/>
      <c r="L109" s="185"/>
      <c r="M109" s="185"/>
    </row>
    <row r="110" ht="15.75" customHeight="1">
      <c r="A110" s="213"/>
      <c r="B110" s="214"/>
      <c r="C110" s="57"/>
      <c r="D110" s="185"/>
      <c r="E110" s="215"/>
      <c r="F110" s="215"/>
      <c r="G110" s="215"/>
      <c r="H110" s="185"/>
      <c r="I110" s="215"/>
      <c r="J110" s="185"/>
      <c r="K110" s="185"/>
      <c r="L110" s="185"/>
      <c r="M110" s="185"/>
    </row>
    <row r="111" ht="15.75" customHeight="1">
      <c r="A111" s="213"/>
      <c r="B111" s="214"/>
      <c r="C111" s="57"/>
      <c r="D111" s="185"/>
      <c r="E111" s="215"/>
      <c r="F111" s="215"/>
      <c r="G111" s="215"/>
      <c r="H111" s="185"/>
      <c r="I111" s="215"/>
      <c r="J111" s="185"/>
      <c r="K111" s="185"/>
      <c r="L111" s="185"/>
      <c r="M111" s="185"/>
    </row>
    <row r="112" ht="15.75" customHeight="1">
      <c r="A112" s="213"/>
      <c r="B112" s="214"/>
      <c r="C112" s="57"/>
      <c r="D112" s="185"/>
      <c r="E112" s="215"/>
      <c r="F112" s="215"/>
      <c r="G112" s="215"/>
      <c r="H112" s="185"/>
      <c r="I112" s="215"/>
      <c r="J112" s="185"/>
      <c r="K112" s="185"/>
      <c r="L112" s="185"/>
      <c r="M112" s="185"/>
    </row>
    <row r="113" ht="15.75" customHeight="1">
      <c r="A113" s="213"/>
      <c r="B113" s="214"/>
      <c r="C113" s="57"/>
      <c r="D113" s="185"/>
      <c r="E113" s="215"/>
      <c r="F113" s="215"/>
      <c r="G113" s="215"/>
      <c r="H113" s="185"/>
      <c r="I113" s="215"/>
      <c r="J113" s="185"/>
      <c r="K113" s="185"/>
      <c r="L113" s="185"/>
      <c r="M113" s="185"/>
    </row>
    <row r="114" ht="15.75" customHeight="1">
      <c r="A114" s="213"/>
      <c r="B114" s="214"/>
      <c r="C114" s="57"/>
      <c r="D114" s="185"/>
      <c r="E114" s="215"/>
      <c r="F114" s="215"/>
      <c r="G114" s="215"/>
      <c r="H114" s="185"/>
      <c r="I114" s="215"/>
      <c r="J114" s="185"/>
      <c r="K114" s="185"/>
      <c r="L114" s="185"/>
      <c r="M114" s="185"/>
    </row>
    <row r="115" ht="15.75" customHeight="1">
      <c r="A115" s="213"/>
      <c r="B115" s="214"/>
      <c r="C115" s="57"/>
      <c r="D115" s="185"/>
      <c r="E115" s="215"/>
      <c r="F115" s="215"/>
      <c r="G115" s="215"/>
      <c r="H115" s="185"/>
      <c r="I115" s="215"/>
      <c r="J115" s="185"/>
      <c r="K115" s="185"/>
      <c r="L115" s="185"/>
      <c r="M115" s="185"/>
    </row>
    <row r="116" ht="15.75" customHeight="1">
      <c r="A116" s="213"/>
      <c r="B116" s="214"/>
      <c r="C116" s="57"/>
      <c r="D116" s="185"/>
      <c r="E116" s="215"/>
      <c r="F116" s="215"/>
      <c r="G116" s="215"/>
      <c r="H116" s="185"/>
      <c r="I116" s="215"/>
      <c r="J116" s="185"/>
      <c r="K116" s="185"/>
      <c r="L116" s="185"/>
      <c r="M116" s="185"/>
    </row>
    <row r="117" ht="15.75" customHeight="1">
      <c r="A117" s="213"/>
      <c r="B117" s="214"/>
      <c r="C117" s="57"/>
      <c r="D117" s="185"/>
      <c r="E117" s="215"/>
      <c r="F117" s="215"/>
      <c r="G117" s="215"/>
      <c r="H117" s="185"/>
      <c r="I117" s="215"/>
      <c r="J117" s="185"/>
      <c r="K117" s="185"/>
      <c r="L117" s="185"/>
      <c r="M117" s="185"/>
    </row>
    <row r="118" ht="15.75" customHeight="1">
      <c r="A118" s="213"/>
      <c r="B118" s="214"/>
      <c r="C118" s="57"/>
      <c r="D118" s="185"/>
      <c r="E118" s="215"/>
      <c r="F118" s="215"/>
      <c r="G118" s="215"/>
      <c r="H118" s="185"/>
      <c r="I118" s="215"/>
      <c r="J118" s="185"/>
      <c r="K118" s="185"/>
      <c r="L118" s="185"/>
      <c r="M118" s="185"/>
    </row>
    <row r="119" ht="15.75" customHeight="1">
      <c r="A119" s="213"/>
      <c r="B119" s="214"/>
      <c r="C119" s="57"/>
      <c r="D119" s="185"/>
      <c r="E119" s="215"/>
      <c r="F119" s="215"/>
      <c r="G119" s="215"/>
      <c r="H119" s="185"/>
      <c r="I119" s="215"/>
      <c r="J119" s="185"/>
      <c r="K119" s="185"/>
      <c r="L119" s="185"/>
      <c r="M119" s="185"/>
    </row>
    <row r="120" ht="15.75" customHeight="1">
      <c r="A120" s="213"/>
      <c r="B120" s="214"/>
      <c r="C120" s="57"/>
      <c r="D120" s="185"/>
      <c r="E120" s="215"/>
      <c r="F120" s="215"/>
      <c r="G120" s="215"/>
      <c r="H120" s="185"/>
      <c r="I120" s="215"/>
      <c r="J120" s="185"/>
      <c r="K120" s="185"/>
      <c r="L120" s="185"/>
      <c r="M120" s="185"/>
    </row>
    <row r="121" ht="15.75" customHeight="1">
      <c r="A121" s="213"/>
      <c r="B121" s="214"/>
      <c r="C121" s="57"/>
      <c r="D121" s="185"/>
      <c r="E121" s="215"/>
      <c r="F121" s="215"/>
      <c r="G121" s="215"/>
      <c r="H121" s="185"/>
      <c r="I121" s="215"/>
      <c r="J121" s="185"/>
      <c r="K121" s="185"/>
      <c r="L121" s="185"/>
      <c r="M121" s="185"/>
    </row>
    <row r="122" ht="15.75" customHeight="1">
      <c r="A122" s="213"/>
      <c r="B122" s="214"/>
      <c r="C122" s="57"/>
      <c r="D122" s="185"/>
      <c r="E122" s="215"/>
      <c r="F122" s="215"/>
      <c r="G122" s="215"/>
      <c r="H122" s="185"/>
      <c r="I122" s="215"/>
      <c r="J122" s="185"/>
      <c r="K122" s="185"/>
      <c r="L122" s="185"/>
      <c r="M122" s="185"/>
    </row>
    <row r="123" ht="15.75" customHeight="1">
      <c r="A123" s="213"/>
      <c r="B123" s="214"/>
      <c r="C123" s="57"/>
      <c r="D123" s="185"/>
      <c r="E123" s="215"/>
      <c r="F123" s="215"/>
      <c r="G123" s="215"/>
      <c r="H123" s="185"/>
      <c r="I123" s="215"/>
      <c r="J123" s="185"/>
      <c r="K123" s="185"/>
      <c r="L123" s="185"/>
      <c r="M123" s="185"/>
    </row>
    <row r="124" ht="15.75" customHeight="1">
      <c r="A124" s="213"/>
      <c r="B124" s="214"/>
      <c r="C124" s="57"/>
      <c r="D124" s="185"/>
      <c r="E124" s="215"/>
      <c r="F124" s="215"/>
      <c r="G124" s="215"/>
      <c r="H124" s="185"/>
      <c r="I124" s="215"/>
      <c r="J124" s="185"/>
      <c r="K124" s="185"/>
      <c r="L124" s="185"/>
      <c r="M124" s="185"/>
    </row>
    <row r="125" ht="15.75" customHeight="1">
      <c r="A125" s="213"/>
      <c r="B125" s="214"/>
      <c r="C125" s="57"/>
      <c r="D125" s="185"/>
      <c r="E125" s="215"/>
      <c r="F125" s="215"/>
      <c r="G125" s="215"/>
      <c r="H125" s="185"/>
      <c r="I125" s="215"/>
      <c r="J125" s="185"/>
      <c r="K125" s="185"/>
      <c r="L125" s="185"/>
      <c r="M125" s="185"/>
    </row>
    <row r="126" ht="15.75" customHeight="1">
      <c r="A126" s="213"/>
      <c r="B126" s="214"/>
      <c r="C126" s="57"/>
      <c r="D126" s="185"/>
      <c r="E126" s="215"/>
      <c r="F126" s="215"/>
      <c r="G126" s="215"/>
      <c r="H126" s="185"/>
      <c r="I126" s="215"/>
      <c r="J126" s="185"/>
      <c r="K126" s="185"/>
      <c r="L126" s="185"/>
      <c r="M126" s="185"/>
    </row>
    <row r="127" ht="15.75" customHeight="1">
      <c r="A127" s="213"/>
      <c r="B127" s="214"/>
      <c r="C127" s="57"/>
      <c r="D127" s="185"/>
      <c r="E127" s="215"/>
      <c r="F127" s="215"/>
      <c r="G127" s="215"/>
      <c r="H127" s="185"/>
      <c r="I127" s="215"/>
      <c r="J127" s="185"/>
      <c r="K127" s="185"/>
      <c r="L127" s="185"/>
      <c r="M127" s="185"/>
    </row>
    <row r="128" ht="15.75" customHeight="1">
      <c r="A128" s="213"/>
      <c r="B128" s="214"/>
      <c r="C128" s="57"/>
      <c r="D128" s="185"/>
      <c r="E128" s="215"/>
      <c r="F128" s="215"/>
      <c r="G128" s="215"/>
      <c r="H128" s="185"/>
      <c r="I128" s="215"/>
      <c r="J128" s="185"/>
      <c r="K128" s="185"/>
      <c r="L128" s="185"/>
      <c r="M128" s="185"/>
    </row>
    <row r="129" ht="15.75" customHeight="1">
      <c r="A129" s="213"/>
      <c r="B129" s="214"/>
      <c r="C129" s="57"/>
      <c r="D129" s="185"/>
      <c r="E129" s="215"/>
      <c r="F129" s="215"/>
      <c r="G129" s="215"/>
      <c r="H129" s="185"/>
      <c r="I129" s="215"/>
      <c r="J129" s="185"/>
      <c r="K129" s="185"/>
      <c r="L129" s="185"/>
      <c r="M129" s="185"/>
    </row>
    <row r="130" ht="15.75" customHeight="1">
      <c r="A130" s="213"/>
      <c r="B130" s="214"/>
      <c r="C130" s="57"/>
      <c r="D130" s="185"/>
      <c r="E130" s="215"/>
      <c r="F130" s="215"/>
      <c r="G130" s="215"/>
      <c r="H130" s="185"/>
      <c r="I130" s="215"/>
      <c r="J130" s="185"/>
      <c r="K130" s="185"/>
      <c r="L130" s="185"/>
      <c r="M130" s="185"/>
    </row>
    <row r="131" ht="15.75" customHeight="1">
      <c r="A131" s="213"/>
      <c r="B131" s="214"/>
      <c r="C131" s="57"/>
      <c r="D131" s="185"/>
      <c r="E131" s="215"/>
      <c r="F131" s="215"/>
      <c r="G131" s="215"/>
      <c r="H131" s="185"/>
      <c r="I131" s="215"/>
      <c r="J131" s="185"/>
      <c r="K131" s="185"/>
      <c r="L131" s="185"/>
      <c r="M131" s="185"/>
    </row>
    <row r="132" ht="15.75" customHeight="1">
      <c r="A132" s="213"/>
      <c r="B132" s="214"/>
      <c r="C132" s="57"/>
      <c r="D132" s="185"/>
      <c r="E132" s="215"/>
      <c r="F132" s="215"/>
      <c r="G132" s="215"/>
      <c r="H132" s="185"/>
      <c r="I132" s="215"/>
      <c r="J132" s="185"/>
      <c r="K132" s="185"/>
      <c r="L132" s="185"/>
      <c r="M132" s="185"/>
    </row>
    <row r="133" ht="15.75" customHeight="1">
      <c r="A133" s="213"/>
      <c r="B133" s="214"/>
      <c r="C133" s="57"/>
      <c r="D133" s="185"/>
      <c r="E133" s="215"/>
      <c r="F133" s="215"/>
      <c r="G133" s="215"/>
      <c r="H133" s="185"/>
      <c r="I133" s="215"/>
      <c r="J133" s="185"/>
      <c r="K133" s="185"/>
      <c r="L133" s="185"/>
      <c r="M133" s="185"/>
    </row>
    <row r="134" ht="15.75" customHeight="1">
      <c r="A134" s="213"/>
      <c r="B134" s="214"/>
      <c r="C134" s="57"/>
      <c r="D134" s="185"/>
      <c r="E134" s="215"/>
      <c r="F134" s="215"/>
      <c r="G134" s="215"/>
      <c r="H134" s="185"/>
      <c r="I134" s="215"/>
      <c r="J134" s="185"/>
      <c r="K134" s="185"/>
      <c r="L134" s="185"/>
      <c r="M134" s="185"/>
    </row>
    <row r="135" ht="15.75" customHeight="1">
      <c r="A135" s="213"/>
      <c r="B135" s="214"/>
      <c r="C135" s="57"/>
      <c r="D135" s="185"/>
      <c r="E135" s="215"/>
      <c r="F135" s="215"/>
      <c r="G135" s="215"/>
      <c r="H135" s="185"/>
      <c r="I135" s="215"/>
      <c r="J135" s="185"/>
      <c r="K135" s="185"/>
      <c r="L135" s="185"/>
      <c r="M135" s="185"/>
    </row>
    <row r="136" ht="15.75" customHeight="1">
      <c r="A136" s="213"/>
      <c r="B136" s="214"/>
      <c r="C136" s="57"/>
      <c r="D136" s="185"/>
      <c r="E136" s="215"/>
      <c r="F136" s="215"/>
      <c r="G136" s="215"/>
      <c r="H136" s="185"/>
      <c r="I136" s="215"/>
      <c r="J136" s="185"/>
      <c r="K136" s="185"/>
      <c r="L136" s="185"/>
      <c r="M136" s="185"/>
    </row>
    <row r="137" ht="15.75" customHeight="1">
      <c r="A137" s="213"/>
      <c r="B137" s="214"/>
      <c r="C137" s="57"/>
      <c r="D137" s="185"/>
      <c r="E137" s="215"/>
      <c r="F137" s="215"/>
      <c r="G137" s="215"/>
      <c r="H137" s="185"/>
      <c r="I137" s="215"/>
      <c r="J137" s="185"/>
      <c r="K137" s="185"/>
      <c r="L137" s="185"/>
      <c r="M137" s="185"/>
    </row>
    <row r="138" ht="15.75" customHeight="1">
      <c r="A138" s="213"/>
      <c r="B138" s="214"/>
      <c r="C138" s="57"/>
      <c r="D138" s="185"/>
      <c r="E138" s="215"/>
      <c r="F138" s="215"/>
      <c r="G138" s="215"/>
      <c r="H138" s="185"/>
      <c r="I138" s="215"/>
      <c r="J138" s="185"/>
      <c r="K138" s="185"/>
      <c r="L138" s="185"/>
      <c r="M138" s="185"/>
    </row>
    <row r="139" ht="15.75" customHeight="1">
      <c r="A139" s="213"/>
      <c r="B139" s="214"/>
      <c r="C139" s="57"/>
      <c r="D139" s="185"/>
      <c r="E139" s="215"/>
      <c r="F139" s="215"/>
      <c r="G139" s="215"/>
      <c r="H139" s="185"/>
      <c r="I139" s="215"/>
      <c r="J139" s="185"/>
      <c r="K139" s="185"/>
      <c r="L139" s="185"/>
      <c r="M139" s="185"/>
    </row>
    <row r="140" ht="15.75" customHeight="1">
      <c r="A140" s="213"/>
      <c r="B140" s="214"/>
      <c r="C140" s="57"/>
      <c r="D140" s="185"/>
      <c r="E140" s="215"/>
      <c r="F140" s="215"/>
      <c r="G140" s="215"/>
      <c r="H140" s="185"/>
      <c r="I140" s="215"/>
      <c r="J140" s="185"/>
      <c r="K140" s="185"/>
      <c r="L140" s="185"/>
      <c r="M140" s="185"/>
    </row>
    <row r="141" ht="15.75" customHeight="1">
      <c r="A141" s="213"/>
      <c r="B141" s="214"/>
      <c r="C141" s="57"/>
      <c r="D141" s="185"/>
      <c r="E141" s="215"/>
      <c r="F141" s="215"/>
      <c r="G141" s="215"/>
      <c r="H141" s="185"/>
      <c r="I141" s="215"/>
      <c r="J141" s="185"/>
      <c r="K141" s="185"/>
      <c r="L141" s="185"/>
      <c r="M141" s="185"/>
    </row>
    <row r="142" ht="15.75" customHeight="1">
      <c r="A142" s="213"/>
      <c r="B142" s="214"/>
      <c r="C142" s="57"/>
      <c r="D142" s="185"/>
      <c r="E142" s="215"/>
      <c r="F142" s="215"/>
      <c r="G142" s="215"/>
      <c r="H142" s="185"/>
      <c r="I142" s="215"/>
      <c r="J142" s="185"/>
      <c r="K142" s="185"/>
      <c r="L142" s="185"/>
      <c r="M142" s="185"/>
    </row>
    <row r="143" ht="15.75" customHeight="1">
      <c r="A143" s="213"/>
      <c r="B143" s="214"/>
      <c r="C143" s="57"/>
      <c r="D143" s="185"/>
      <c r="E143" s="215"/>
      <c r="F143" s="215"/>
      <c r="G143" s="215"/>
      <c r="H143" s="185"/>
      <c r="I143" s="215"/>
      <c r="J143" s="185"/>
      <c r="K143" s="185"/>
      <c r="L143" s="185"/>
      <c r="M143" s="185"/>
    </row>
    <row r="144" ht="15.75" customHeight="1">
      <c r="A144" s="213"/>
      <c r="B144" s="214"/>
      <c r="C144" s="57"/>
      <c r="D144" s="185"/>
      <c r="E144" s="215"/>
      <c r="F144" s="215"/>
      <c r="G144" s="215"/>
      <c r="H144" s="185"/>
      <c r="I144" s="215"/>
      <c r="J144" s="185"/>
      <c r="K144" s="185"/>
      <c r="L144" s="185"/>
      <c r="M144" s="185"/>
    </row>
    <row r="145" ht="15.75" customHeight="1">
      <c r="A145" s="213"/>
      <c r="B145" s="214"/>
      <c r="C145" s="57"/>
      <c r="D145" s="185"/>
      <c r="E145" s="215"/>
      <c r="F145" s="215"/>
      <c r="G145" s="215"/>
      <c r="H145" s="185"/>
      <c r="I145" s="215"/>
      <c r="J145" s="185"/>
      <c r="K145" s="185"/>
      <c r="L145" s="185"/>
      <c r="M145" s="185"/>
    </row>
    <row r="146" ht="15.75" customHeight="1">
      <c r="A146" s="213"/>
      <c r="B146" s="214"/>
      <c r="C146" s="57"/>
      <c r="D146" s="185"/>
      <c r="E146" s="215"/>
      <c r="F146" s="215"/>
      <c r="G146" s="215"/>
      <c r="H146" s="185"/>
      <c r="I146" s="215"/>
      <c r="J146" s="185"/>
      <c r="K146" s="185"/>
      <c r="L146" s="185"/>
      <c r="M146" s="185"/>
    </row>
    <row r="147" ht="15.75" customHeight="1">
      <c r="A147" s="213"/>
      <c r="B147" s="214"/>
      <c r="C147" s="57"/>
      <c r="D147" s="185"/>
      <c r="E147" s="215"/>
      <c r="F147" s="215"/>
      <c r="G147" s="215"/>
      <c r="H147" s="185"/>
      <c r="I147" s="215"/>
      <c r="J147" s="185"/>
      <c r="K147" s="185"/>
      <c r="L147" s="185"/>
      <c r="M147" s="185"/>
    </row>
    <row r="148" ht="15.75" customHeight="1">
      <c r="A148" s="213"/>
      <c r="B148" s="214"/>
      <c r="C148" s="57"/>
      <c r="D148" s="185"/>
      <c r="E148" s="215"/>
      <c r="F148" s="215"/>
      <c r="G148" s="215"/>
      <c r="H148" s="185"/>
      <c r="I148" s="215"/>
      <c r="J148" s="185"/>
      <c r="K148" s="185"/>
      <c r="L148" s="185"/>
      <c r="M148" s="185"/>
    </row>
    <row r="149" ht="15.75" customHeight="1">
      <c r="A149" s="213"/>
      <c r="B149" s="214"/>
      <c r="C149" s="57"/>
      <c r="D149" s="185"/>
      <c r="E149" s="215"/>
      <c r="F149" s="215"/>
      <c r="G149" s="215"/>
      <c r="H149" s="185"/>
      <c r="I149" s="215"/>
      <c r="J149" s="185"/>
      <c r="K149" s="185"/>
      <c r="L149" s="185"/>
      <c r="M149" s="185"/>
    </row>
    <row r="150" ht="15.75" customHeight="1">
      <c r="A150" s="213"/>
      <c r="B150" s="214"/>
      <c r="C150" s="57"/>
      <c r="D150" s="185"/>
      <c r="E150" s="215"/>
      <c r="F150" s="215"/>
      <c r="G150" s="215"/>
      <c r="H150" s="185"/>
      <c r="I150" s="215"/>
      <c r="J150" s="185"/>
      <c r="K150" s="185"/>
      <c r="L150" s="185"/>
      <c r="M150" s="185"/>
    </row>
    <row r="151" ht="15.75" customHeight="1">
      <c r="A151" s="213"/>
      <c r="B151" s="214"/>
      <c r="C151" s="57"/>
      <c r="D151" s="185"/>
      <c r="E151" s="215"/>
      <c r="F151" s="215"/>
      <c r="G151" s="215"/>
      <c r="H151" s="185"/>
      <c r="I151" s="215"/>
      <c r="J151" s="185"/>
      <c r="K151" s="185"/>
      <c r="L151" s="185"/>
      <c r="M151" s="185"/>
    </row>
    <row r="152" ht="15.75" customHeight="1">
      <c r="A152" s="213"/>
      <c r="B152" s="214"/>
      <c r="C152" s="57"/>
      <c r="D152" s="185"/>
      <c r="E152" s="215"/>
      <c r="F152" s="215"/>
      <c r="G152" s="215"/>
      <c r="H152" s="185"/>
      <c r="I152" s="215"/>
      <c r="J152" s="185"/>
      <c r="K152" s="185"/>
      <c r="L152" s="185"/>
      <c r="M152" s="185"/>
    </row>
    <row r="153" ht="15.75" customHeight="1">
      <c r="A153" s="213"/>
      <c r="B153" s="214"/>
      <c r="C153" s="57"/>
      <c r="D153" s="185"/>
      <c r="E153" s="215"/>
      <c r="F153" s="215"/>
      <c r="G153" s="215"/>
      <c r="H153" s="185"/>
      <c r="I153" s="215"/>
      <c r="J153" s="185"/>
      <c r="K153" s="185"/>
      <c r="L153" s="185"/>
      <c r="M153" s="185"/>
    </row>
    <row r="154" ht="15.75" customHeight="1">
      <c r="A154" s="213"/>
      <c r="B154" s="214"/>
      <c r="C154" s="57"/>
      <c r="D154" s="185"/>
      <c r="E154" s="215"/>
      <c r="F154" s="215"/>
      <c r="G154" s="215"/>
      <c r="H154" s="185"/>
      <c r="I154" s="215"/>
      <c r="J154" s="185"/>
      <c r="K154" s="185"/>
      <c r="L154" s="185"/>
      <c r="M154" s="185"/>
    </row>
    <row r="155" ht="15.75" customHeight="1">
      <c r="A155" s="213"/>
      <c r="B155" s="214"/>
      <c r="C155" s="57"/>
      <c r="D155" s="185"/>
      <c r="E155" s="215"/>
      <c r="F155" s="215"/>
      <c r="G155" s="215"/>
      <c r="H155" s="185"/>
      <c r="I155" s="215"/>
      <c r="J155" s="185"/>
      <c r="K155" s="185"/>
      <c r="L155" s="185"/>
      <c r="M155" s="185"/>
    </row>
    <row r="156" ht="15.75" customHeight="1">
      <c r="A156" s="213"/>
      <c r="B156" s="214"/>
      <c r="C156" s="57"/>
      <c r="D156" s="185"/>
      <c r="E156" s="215"/>
      <c r="F156" s="215"/>
      <c r="G156" s="215"/>
      <c r="H156" s="185"/>
      <c r="I156" s="215"/>
      <c r="J156" s="185"/>
      <c r="K156" s="185"/>
      <c r="L156" s="185"/>
      <c r="M156" s="185"/>
    </row>
    <row r="157" ht="15.75" customHeight="1">
      <c r="A157" s="213"/>
      <c r="B157" s="214"/>
      <c r="C157" s="57"/>
      <c r="D157" s="185"/>
      <c r="E157" s="215"/>
      <c r="F157" s="215"/>
      <c r="G157" s="215"/>
      <c r="H157" s="185"/>
      <c r="I157" s="215"/>
      <c r="J157" s="185"/>
      <c r="K157" s="185"/>
      <c r="L157" s="185"/>
      <c r="M157" s="185"/>
    </row>
    <row r="158" ht="15.75" customHeight="1">
      <c r="A158" s="213"/>
      <c r="B158" s="214"/>
      <c r="C158" s="57"/>
      <c r="D158" s="185"/>
      <c r="E158" s="215"/>
      <c r="F158" s="215"/>
      <c r="G158" s="215"/>
      <c r="H158" s="185"/>
      <c r="I158" s="215"/>
      <c r="J158" s="185"/>
      <c r="K158" s="185"/>
      <c r="L158" s="185"/>
      <c r="M158" s="185"/>
    </row>
    <row r="159" ht="15.75" customHeight="1">
      <c r="A159" s="213"/>
      <c r="B159" s="214"/>
      <c r="C159" s="57"/>
      <c r="D159" s="185"/>
      <c r="E159" s="215"/>
      <c r="F159" s="215"/>
      <c r="G159" s="215"/>
      <c r="H159" s="185"/>
      <c r="I159" s="215"/>
      <c r="J159" s="185"/>
      <c r="K159" s="185"/>
      <c r="L159" s="185"/>
      <c r="M159" s="185"/>
    </row>
    <row r="160" ht="15.75" customHeight="1">
      <c r="A160" s="213"/>
      <c r="B160" s="214"/>
      <c r="C160" s="57"/>
      <c r="D160" s="185"/>
      <c r="E160" s="215"/>
      <c r="F160" s="215"/>
      <c r="G160" s="215"/>
      <c r="H160" s="185"/>
      <c r="I160" s="215"/>
      <c r="J160" s="185"/>
      <c r="K160" s="185"/>
      <c r="L160" s="185"/>
      <c r="M160" s="185"/>
    </row>
    <row r="161" ht="15.75" customHeight="1">
      <c r="A161" s="213"/>
      <c r="B161" s="214"/>
      <c r="C161" s="57"/>
      <c r="D161" s="185"/>
      <c r="E161" s="215"/>
      <c r="F161" s="215"/>
      <c r="G161" s="215"/>
      <c r="H161" s="185"/>
      <c r="I161" s="215"/>
      <c r="J161" s="185"/>
      <c r="K161" s="185"/>
      <c r="L161" s="185"/>
      <c r="M161" s="185"/>
    </row>
    <row r="162" ht="15.75" customHeight="1">
      <c r="A162" s="213"/>
      <c r="B162" s="214"/>
      <c r="C162" s="57"/>
      <c r="D162" s="185"/>
      <c r="E162" s="215"/>
      <c r="F162" s="215"/>
      <c r="G162" s="215"/>
      <c r="H162" s="185"/>
      <c r="I162" s="215"/>
      <c r="J162" s="185"/>
      <c r="K162" s="185"/>
      <c r="L162" s="185"/>
      <c r="M162" s="185"/>
    </row>
    <row r="163" ht="15.75" customHeight="1">
      <c r="A163" s="213"/>
      <c r="B163" s="214"/>
      <c r="C163" s="57"/>
      <c r="D163" s="185"/>
      <c r="E163" s="215"/>
      <c r="F163" s="215"/>
      <c r="G163" s="215"/>
      <c r="H163" s="185"/>
      <c r="I163" s="215"/>
      <c r="J163" s="185"/>
      <c r="K163" s="185"/>
      <c r="L163" s="185"/>
      <c r="M163" s="185"/>
    </row>
    <row r="164" ht="15.75" customHeight="1">
      <c r="A164" s="213"/>
      <c r="B164" s="214"/>
      <c r="C164" s="57"/>
      <c r="D164" s="185"/>
      <c r="E164" s="215"/>
      <c r="F164" s="215"/>
      <c r="G164" s="215"/>
      <c r="H164" s="185"/>
      <c r="I164" s="215"/>
      <c r="J164" s="185"/>
      <c r="K164" s="185"/>
      <c r="L164" s="185"/>
      <c r="M164" s="185"/>
    </row>
    <row r="165" ht="15.75" customHeight="1">
      <c r="A165" s="213"/>
      <c r="B165" s="214"/>
      <c r="C165" s="57"/>
      <c r="D165" s="185"/>
      <c r="E165" s="215"/>
      <c r="F165" s="215"/>
      <c r="G165" s="215"/>
      <c r="H165" s="185"/>
      <c r="I165" s="215"/>
      <c r="J165" s="185"/>
      <c r="K165" s="185"/>
      <c r="L165" s="185"/>
      <c r="M165" s="185"/>
    </row>
    <row r="166" ht="15.75" customHeight="1">
      <c r="A166" s="213"/>
      <c r="B166" s="214"/>
      <c r="C166" s="57"/>
      <c r="D166" s="185"/>
      <c r="E166" s="215"/>
      <c r="F166" s="215"/>
      <c r="G166" s="215"/>
      <c r="H166" s="185"/>
      <c r="I166" s="215"/>
      <c r="J166" s="185"/>
      <c r="K166" s="185"/>
      <c r="L166" s="185"/>
      <c r="M166" s="185"/>
    </row>
    <row r="167" ht="15.75" customHeight="1">
      <c r="A167" s="213"/>
      <c r="B167" s="214"/>
      <c r="C167" s="57"/>
      <c r="D167" s="185"/>
      <c r="E167" s="215"/>
      <c r="F167" s="215"/>
      <c r="G167" s="215"/>
      <c r="H167" s="185"/>
      <c r="I167" s="215"/>
      <c r="J167" s="185"/>
      <c r="K167" s="185"/>
      <c r="L167" s="185"/>
      <c r="M167" s="185"/>
    </row>
    <row r="168" ht="15.75" customHeight="1">
      <c r="A168" s="213"/>
      <c r="B168" s="214"/>
      <c r="C168" s="57"/>
      <c r="D168" s="185"/>
      <c r="E168" s="215"/>
      <c r="F168" s="215"/>
      <c r="G168" s="215"/>
      <c r="H168" s="185"/>
      <c r="I168" s="215"/>
      <c r="J168" s="185"/>
      <c r="K168" s="185"/>
      <c r="L168" s="185"/>
      <c r="M168" s="185"/>
    </row>
    <row r="169" ht="15.75" customHeight="1">
      <c r="A169" s="213"/>
      <c r="B169" s="214"/>
      <c r="C169" s="57"/>
      <c r="D169" s="185"/>
      <c r="E169" s="215"/>
      <c r="F169" s="215"/>
      <c r="G169" s="215"/>
      <c r="H169" s="185"/>
      <c r="I169" s="215"/>
      <c r="J169" s="185"/>
      <c r="K169" s="185"/>
      <c r="L169" s="185"/>
      <c r="M169" s="185"/>
    </row>
    <row r="170" ht="15.75" customHeight="1">
      <c r="A170" s="213"/>
      <c r="B170" s="214"/>
      <c r="C170" s="57"/>
      <c r="D170" s="185"/>
      <c r="E170" s="215"/>
      <c r="F170" s="215"/>
      <c r="G170" s="215"/>
      <c r="H170" s="185"/>
      <c r="I170" s="215"/>
      <c r="J170" s="185"/>
      <c r="K170" s="185"/>
      <c r="L170" s="185"/>
      <c r="M170" s="185"/>
    </row>
    <row r="171" ht="15.75" customHeight="1">
      <c r="A171" s="213"/>
      <c r="B171" s="214"/>
      <c r="C171" s="57"/>
      <c r="D171" s="185"/>
      <c r="E171" s="215"/>
      <c r="F171" s="215"/>
      <c r="G171" s="215"/>
      <c r="H171" s="185"/>
      <c r="I171" s="215"/>
      <c r="J171" s="185"/>
      <c r="K171" s="185"/>
      <c r="L171" s="185"/>
      <c r="M171" s="185"/>
    </row>
    <row r="172" ht="15.75" customHeight="1">
      <c r="A172" s="213"/>
      <c r="B172" s="214"/>
      <c r="C172" s="57"/>
      <c r="D172" s="185"/>
      <c r="E172" s="215"/>
      <c r="F172" s="215"/>
      <c r="G172" s="215"/>
      <c r="H172" s="185"/>
      <c r="I172" s="215"/>
      <c r="J172" s="185"/>
      <c r="K172" s="185"/>
      <c r="L172" s="185"/>
      <c r="M172" s="185"/>
    </row>
    <row r="173" ht="15.75" customHeight="1">
      <c r="A173" s="213"/>
      <c r="B173" s="214"/>
      <c r="C173" s="57"/>
      <c r="D173" s="185"/>
      <c r="E173" s="215"/>
      <c r="F173" s="215"/>
      <c r="G173" s="215"/>
      <c r="H173" s="185"/>
      <c r="I173" s="215"/>
      <c r="J173" s="185"/>
      <c r="K173" s="185"/>
      <c r="L173" s="185"/>
      <c r="M173" s="185"/>
    </row>
    <row r="174" ht="15.75" customHeight="1">
      <c r="A174" s="213"/>
      <c r="B174" s="214"/>
      <c r="C174" s="57"/>
      <c r="D174" s="185"/>
      <c r="E174" s="215"/>
      <c r="F174" s="215"/>
      <c r="G174" s="215"/>
      <c r="H174" s="185"/>
      <c r="I174" s="215"/>
      <c r="J174" s="185"/>
      <c r="K174" s="185"/>
      <c r="L174" s="185"/>
      <c r="M174" s="185"/>
    </row>
    <row r="175" ht="15.75" customHeight="1">
      <c r="A175" s="213"/>
      <c r="B175" s="214"/>
      <c r="C175" s="57"/>
      <c r="D175" s="185"/>
      <c r="E175" s="215"/>
      <c r="F175" s="215"/>
      <c r="G175" s="215"/>
      <c r="H175" s="185"/>
      <c r="I175" s="215"/>
      <c r="J175" s="185"/>
      <c r="K175" s="185"/>
      <c r="L175" s="185"/>
      <c r="M175" s="185"/>
    </row>
    <row r="176" ht="15.75" customHeight="1">
      <c r="A176" s="213"/>
      <c r="B176" s="214"/>
      <c r="C176" s="57"/>
      <c r="D176" s="185"/>
      <c r="E176" s="215"/>
      <c r="F176" s="215"/>
      <c r="G176" s="215"/>
      <c r="H176" s="185"/>
      <c r="I176" s="215"/>
      <c r="J176" s="185"/>
      <c r="K176" s="185"/>
      <c r="L176" s="185"/>
      <c r="M176" s="185"/>
    </row>
    <row r="177" ht="15.75" customHeight="1">
      <c r="A177" s="213"/>
      <c r="B177" s="214"/>
      <c r="C177" s="57"/>
      <c r="D177" s="185"/>
      <c r="E177" s="215"/>
      <c r="F177" s="215"/>
      <c r="G177" s="215"/>
      <c r="H177" s="185"/>
      <c r="I177" s="215"/>
      <c r="J177" s="185"/>
      <c r="K177" s="185"/>
      <c r="L177" s="185"/>
      <c r="M177" s="185"/>
    </row>
    <row r="178" ht="15.75" customHeight="1">
      <c r="A178" s="213"/>
      <c r="B178" s="214"/>
      <c r="C178" s="57"/>
      <c r="D178" s="185"/>
      <c r="E178" s="215"/>
      <c r="F178" s="215"/>
      <c r="G178" s="215"/>
      <c r="H178" s="185"/>
      <c r="I178" s="215"/>
      <c r="J178" s="185"/>
      <c r="K178" s="185"/>
      <c r="L178" s="185"/>
      <c r="M178" s="185"/>
    </row>
    <row r="179" ht="15.75" customHeight="1">
      <c r="A179" s="213"/>
      <c r="B179" s="214"/>
      <c r="C179" s="57"/>
      <c r="D179" s="185"/>
      <c r="E179" s="215"/>
      <c r="F179" s="215"/>
      <c r="G179" s="215"/>
      <c r="H179" s="185"/>
      <c r="I179" s="215"/>
      <c r="J179" s="185"/>
      <c r="K179" s="185"/>
      <c r="L179" s="185"/>
      <c r="M179" s="185"/>
    </row>
    <row r="180" ht="15.75" customHeight="1">
      <c r="A180" s="213"/>
      <c r="B180" s="214"/>
      <c r="C180" s="57"/>
      <c r="D180" s="185"/>
      <c r="E180" s="215"/>
      <c r="F180" s="215"/>
      <c r="G180" s="215"/>
      <c r="H180" s="185"/>
      <c r="I180" s="215"/>
      <c r="J180" s="185"/>
      <c r="K180" s="185"/>
      <c r="L180" s="185"/>
      <c r="M180" s="185"/>
    </row>
    <row r="181" ht="15.75" customHeight="1">
      <c r="A181" s="213"/>
      <c r="B181" s="214"/>
      <c r="C181" s="57"/>
      <c r="D181" s="185"/>
      <c r="E181" s="215"/>
      <c r="F181" s="215"/>
      <c r="G181" s="215"/>
      <c r="H181" s="185"/>
      <c r="I181" s="215"/>
      <c r="J181" s="185"/>
      <c r="K181" s="185"/>
      <c r="L181" s="185"/>
      <c r="M181" s="185"/>
    </row>
    <row r="182" ht="15.75" customHeight="1">
      <c r="A182" s="213"/>
      <c r="B182" s="214"/>
      <c r="C182" s="57"/>
      <c r="D182" s="185"/>
      <c r="E182" s="215"/>
      <c r="F182" s="215"/>
      <c r="G182" s="215"/>
      <c r="H182" s="185"/>
      <c r="I182" s="215"/>
      <c r="J182" s="185"/>
      <c r="K182" s="185"/>
      <c r="L182" s="185"/>
      <c r="M182" s="185"/>
    </row>
    <row r="183" ht="15.75" customHeight="1">
      <c r="A183" s="213"/>
      <c r="B183" s="214"/>
      <c r="C183" s="57"/>
      <c r="D183" s="185"/>
      <c r="E183" s="215"/>
      <c r="F183" s="215"/>
      <c r="G183" s="215"/>
      <c r="H183" s="185"/>
      <c r="I183" s="215"/>
      <c r="J183" s="185"/>
      <c r="K183" s="185"/>
      <c r="L183" s="185"/>
      <c r="M183" s="185"/>
    </row>
    <row r="184" ht="15.75" customHeight="1">
      <c r="A184" s="213"/>
      <c r="B184" s="214"/>
      <c r="C184" s="57"/>
      <c r="D184" s="185"/>
      <c r="E184" s="215"/>
      <c r="F184" s="215"/>
      <c r="G184" s="215"/>
      <c r="H184" s="185"/>
      <c r="I184" s="215"/>
      <c r="J184" s="185"/>
      <c r="K184" s="185"/>
      <c r="L184" s="185"/>
      <c r="M184" s="185"/>
    </row>
    <row r="185" ht="15.75" customHeight="1">
      <c r="A185" s="213"/>
      <c r="B185" s="214"/>
      <c r="C185" s="57"/>
      <c r="D185" s="185"/>
      <c r="E185" s="215"/>
      <c r="F185" s="215"/>
      <c r="G185" s="215"/>
      <c r="H185" s="185"/>
      <c r="I185" s="215"/>
      <c r="J185" s="185"/>
      <c r="K185" s="185"/>
      <c r="L185" s="185"/>
      <c r="M185" s="185"/>
    </row>
    <row r="186" ht="15.75" customHeight="1">
      <c r="A186" s="213"/>
      <c r="B186" s="214"/>
      <c r="C186" s="57"/>
      <c r="D186" s="185"/>
      <c r="E186" s="215"/>
      <c r="F186" s="215"/>
      <c r="G186" s="215"/>
      <c r="H186" s="185"/>
      <c r="I186" s="215"/>
      <c r="J186" s="185"/>
      <c r="K186" s="185"/>
      <c r="L186" s="185"/>
      <c r="M186" s="185"/>
    </row>
    <row r="187" ht="15.75" customHeight="1">
      <c r="A187" s="213"/>
      <c r="B187" s="214"/>
      <c r="C187" s="57"/>
      <c r="D187" s="185"/>
      <c r="E187" s="215"/>
      <c r="F187" s="215"/>
      <c r="G187" s="215"/>
      <c r="H187" s="185"/>
      <c r="I187" s="215"/>
      <c r="J187" s="185"/>
      <c r="K187" s="185"/>
      <c r="L187" s="185"/>
      <c r="M187" s="185"/>
    </row>
    <row r="188" ht="15.75" customHeight="1">
      <c r="A188" s="213"/>
      <c r="B188" s="214"/>
      <c r="C188" s="57"/>
      <c r="D188" s="185"/>
      <c r="E188" s="215"/>
      <c r="F188" s="215"/>
      <c r="G188" s="215"/>
      <c r="H188" s="185"/>
      <c r="I188" s="215"/>
      <c r="J188" s="185"/>
      <c r="K188" s="185"/>
      <c r="L188" s="185"/>
      <c r="M188" s="185"/>
    </row>
    <row r="189" ht="15.75" customHeight="1">
      <c r="A189" s="213"/>
      <c r="B189" s="214"/>
      <c r="C189" s="57"/>
      <c r="D189" s="185"/>
      <c r="E189" s="215"/>
      <c r="F189" s="215"/>
      <c r="G189" s="215"/>
      <c r="H189" s="185"/>
      <c r="I189" s="215"/>
      <c r="J189" s="185"/>
      <c r="K189" s="185"/>
      <c r="L189" s="185"/>
      <c r="M189" s="185"/>
    </row>
    <row r="190" ht="15.75" customHeight="1">
      <c r="A190" s="213"/>
      <c r="B190" s="214"/>
      <c r="C190" s="57"/>
      <c r="D190" s="185"/>
      <c r="E190" s="215"/>
      <c r="F190" s="215"/>
      <c r="G190" s="215"/>
      <c r="H190" s="185"/>
      <c r="I190" s="215"/>
      <c r="J190" s="185"/>
      <c r="K190" s="185"/>
      <c r="L190" s="185"/>
      <c r="M190" s="185"/>
    </row>
    <row r="191" ht="15.75" customHeight="1">
      <c r="A191" s="213"/>
      <c r="B191" s="214"/>
      <c r="C191" s="57"/>
      <c r="D191" s="185"/>
      <c r="E191" s="215"/>
      <c r="F191" s="215"/>
      <c r="G191" s="215"/>
      <c r="H191" s="185"/>
      <c r="I191" s="215"/>
      <c r="J191" s="185"/>
      <c r="K191" s="185"/>
      <c r="L191" s="185"/>
      <c r="M191" s="185"/>
    </row>
    <row r="192" ht="15.75" customHeight="1">
      <c r="A192" s="213"/>
      <c r="B192" s="214"/>
      <c r="C192" s="57"/>
      <c r="D192" s="185"/>
      <c r="E192" s="215"/>
      <c r="F192" s="215"/>
      <c r="G192" s="215"/>
      <c r="H192" s="185"/>
      <c r="I192" s="215"/>
      <c r="J192" s="185"/>
      <c r="K192" s="185"/>
      <c r="L192" s="185"/>
      <c r="M192" s="185"/>
    </row>
    <row r="193" ht="15.75" customHeight="1">
      <c r="A193" s="213"/>
      <c r="B193" s="214"/>
      <c r="C193" s="57"/>
      <c r="D193" s="185"/>
      <c r="E193" s="215"/>
      <c r="F193" s="215"/>
      <c r="G193" s="215"/>
      <c r="H193" s="185"/>
      <c r="I193" s="215"/>
      <c r="J193" s="185"/>
      <c r="K193" s="185"/>
      <c r="L193" s="185"/>
      <c r="M193" s="185"/>
    </row>
    <row r="194" ht="15.75" customHeight="1">
      <c r="A194" s="213"/>
      <c r="B194" s="214"/>
      <c r="C194" s="57"/>
      <c r="D194" s="185"/>
      <c r="E194" s="215"/>
      <c r="F194" s="215"/>
      <c r="G194" s="215"/>
      <c r="H194" s="185"/>
      <c r="I194" s="215"/>
      <c r="J194" s="185"/>
      <c r="K194" s="185"/>
      <c r="L194" s="185"/>
      <c r="M194" s="185"/>
    </row>
    <row r="195" ht="15.75" customHeight="1">
      <c r="A195" s="213"/>
      <c r="B195" s="214"/>
      <c r="C195" s="57"/>
      <c r="D195" s="185"/>
      <c r="E195" s="215"/>
      <c r="F195" s="215"/>
      <c r="G195" s="215"/>
      <c r="H195" s="185"/>
      <c r="I195" s="215"/>
      <c r="J195" s="185"/>
      <c r="K195" s="185"/>
      <c r="L195" s="185"/>
      <c r="M195" s="185"/>
    </row>
    <row r="196" ht="15.75" customHeight="1">
      <c r="A196" s="213"/>
      <c r="B196" s="214"/>
      <c r="C196" s="57"/>
      <c r="D196" s="185"/>
      <c r="E196" s="215"/>
      <c r="F196" s="215"/>
      <c r="G196" s="215"/>
      <c r="H196" s="185"/>
      <c r="I196" s="215"/>
      <c r="J196" s="185"/>
      <c r="K196" s="185"/>
      <c r="L196" s="185"/>
      <c r="M196" s="185"/>
    </row>
    <row r="197" ht="15.75" customHeight="1">
      <c r="A197" s="213"/>
      <c r="B197" s="214"/>
      <c r="C197" s="57"/>
      <c r="D197" s="185"/>
      <c r="E197" s="215"/>
      <c r="F197" s="215"/>
      <c r="G197" s="215"/>
      <c r="H197" s="185"/>
      <c r="I197" s="215"/>
      <c r="J197" s="185"/>
      <c r="K197" s="185"/>
      <c r="L197" s="185"/>
      <c r="M197" s="185"/>
    </row>
    <row r="198" ht="15.75" customHeight="1">
      <c r="A198" s="213"/>
      <c r="B198" s="214"/>
      <c r="C198" s="57"/>
      <c r="D198" s="185"/>
      <c r="E198" s="215"/>
      <c r="F198" s="215"/>
      <c r="G198" s="215"/>
      <c r="H198" s="185"/>
      <c r="I198" s="215"/>
      <c r="J198" s="185"/>
      <c r="K198" s="185"/>
      <c r="L198" s="185"/>
      <c r="M198" s="185"/>
    </row>
    <row r="199" ht="15.75" customHeight="1">
      <c r="A199" s="213"/>
      <c r="B199" s="214"/>
      <c r="C199" s="57"/>
      <c r="D199" s="185"/>
      <c r="E199" s="215"/>
      <c r="F199" s="215"/>
      <c r="G199" s="215"/>
      <c r="H199" s="185"/>
      <c r="I199" s="215"/>
      <c r="J199" s="185"/>
      <c r="K199" s="185"/>
      <c r="L199" s="185"/>
      <c r="M199" s="185"/>
    </row>
    <row r="200" ht="15.75" customHeight="1">
      <c r="A200" s="213"/>
      <c r="B200" s="214"/>
      <c r="C200" s="57"/>
      <c r="D200" s="185"/>
      <c r="E200" s="215"/>
      <c r="F200" s="215"/>
      <c r="G200" s="215"/>
      <c r="H200" s="185"/>
      <c r="I200" s="215"/>
      <c r="J200" s="185"/>
      <c r="K200" s="185"/>
      <c r="L200" s="185"/>
      <c r="M200" s="185"/>
    </row>
    <row r="201" ht="15.75" customHeight="1">
      <c r="A201" s="213"/>
      <c r="B201" s="214"/>
      <c r="C201" s="57"/>
      <c r="D201" s="185"/>
      <c r="E201" s="215"/>
      <c r="F201" s="215"/>
      <c r="G201" s="215"/>
      <c r="H201" s="185"/>
      <c r="I201" s="215"/>
      <c r="J201" s="185"/>
      <c r="K201" s="185"/>
      <c r="L201" s="185"/>
      <c r="M201" s="185"/>
    </row>
    <row r="202" ht="15.75" customHeight="1">
      <c r="A202" s="213"/>
      <c r="B202" s="214"/>
      <c r="C202" s="57"/>
      <c r="D202" s="185"/>
      <c r="E202" s="215"/>
      <c r="F202" s="215"/>
      <c r="G202" s="215"/>
      <c r="H202" s="185"/>
      <c r="I202" s="215"/>
      <c r="J202" s="185"/>
      <c r="K202" s="185"/>
      <c r="L202" s="185"/>
      <c r="M202" s="185"/>
    </row>
    <row r="203" ht="15.75" customHeight="1">
      <c r="A203" s="213"/>
      <c r="B203" s="214"/>
      <c r="C203" s="57"/>
      <c r="D203" s="185"/>
      <c r="E203" s="215"/>
      <c r="F203" s="215"/>
      <c r="G203" s="215"/>
      <c r="H203" s="185"/>
      <c r="I203" s="215"/>
      <c r="J203" s="185"/>
      <c r="K203" s="185"/>
      <c r="L203" s="185"/>
      <c r="M203" s="185"/>
    </row>
    <row r="204" ht="15.75" customHeight="1">
      <c r="A204" s="213"/>
      <c r="B204" s="214"/>
      <c r="C204" s="57"/>
      <c r="D204" s="185"/>
      <c r="E204" s="215"/>
      <c r="F204" s="215"/>
      <c r="G204" s="215"/>
      <c r="H204" s="185"/>
      <c r="I204" s="215"/>
      <c r="J204" s="185"/>
      <c r="K204" s="185"/>
      <c r="L204" s="185"/>
      <c r="M204" s="185"/>
    </row>
    <row r="205" ht="15.75" customHeight="1">
      <c r="A205" s="213"/>
      <c r="B205" s="214"/>
      <c r="C205" s="57"/>
      <c r="D205" s="185"/>
      <c r="E205" s="215"/>
      <c r="F205" s="215"/>
      <c r="G205" s="215"/>
      <c r="H205" s="185"/>
      <c r="I205" s="215"/>
      <c r="J205" s="185"/>
      <c r="K205" s="185"/>
      <c r="L205" s="185"/>
      <c r="M205" s="185"/>
    </row>
    <row r="206" ht="15.75" customHeight="1">
      <c r="A206" s="213"/>
      <c r="B206" s="214"/>
      <c r="C206" s="57"/>
      <c r="D206" s="185"/>
      <c r="E206" s="215"/>
      <c r="F206" s="215"/>
      <c r="G206" s="215"/>
      <c r="H206" s="185"/>
      <c r="I206" s="215"/>
      <c r="J206" s="185"/>
      <c r="K206" s="185"/>
      <c r="L206" s="185"/>
      <c r="M206" s="185"/>
    </row>
    <row r="207" ht="15.75" customHeight="1">
      <c r="A207" s="213"/>
      <c r="B207" s="214"/>
      <c r="C207" s="57"/>
      <c r="D207" s="185"/>
      <c r="E207" s="215"/>
      <c r="F207" s="215"/>
      <c r="G207" s="215"/>
      <c r="H207" s="185"/>
      <c r="I207" s="215"/>
      <c r="J207" s="185"/>
      <c r="K207" s="185"/>
      <c r="L207" s="185"/>
      <c r="M207" s="185"/>
    </row>
    <row r="208" ht="15.75" customHeight="1">
      <c r="A208" s="213"/>
      <c r="B208" s="214"/>
      <c r="C208" s="57"/>
      <c r="D208" s="185"/>
      <c r="E208" s="215"/>
      <c r="F208" s="215"/>
      <c r="G208" s="215"/>
      <c r="H208" s="185"/>
      <c r="I208" s="215"/>
      <c r="J208" s="185"/>
      <c r="K208" s="185"/>
      <c r="L208" s="185"/>
      <c r="M208" s="185"/>
    </row>
    <row r="209" ht="15.75" customHeight="1">
      <c r="A209" s="213"/>
      <c r="B209" s="214"/>
      <c r="C209" s="57"/>
      <c r="D209" s="185"/>
      <c r="E209" s="215"/>
      <c r="F209" s="215"/>
      <c r="G209" s="215"/>
      <c r="H209" s="185"/>
      <c r="I209" s="215"/>
      <c r="J209" s="185"/>
      <c r="K209" s="185"/>
      <c r="L209" s="185"/>
      <c r="M209" s="185"/>
    </row>
    <row r="210" ht="15.75" customHeight="1">
      <c r="A210" s="213"/>
      <c r="B210" s="214"/>
      <c r="C210" s="57"/>
      <c r="D210" s="185"/>
      <c r="E210" s="215"/>
      <c r="F210" s="215"/>
      <c r="G210" s="215"/>
      <c r="H210" s="185"/>
      <c r="I210" s="215"/>
      <c r="J210" s="185"/>
      <c r="K210" s="185"/>
      <c r="L210" s="185"/>
      <c r="M210" s="185"/>
    </row>
    <row r="211" ht="15.75" customHeight="1">
      <c r="A211" s="213"/>
      <c r="B211" s="214"/>
      <c r="C211" s="57"/>
      <c r="D211" s="185"/>
      <c r="E211" s="215"/>
      <c r="F211" s="215"/>
      <c r="G211" s="215"/>
      <c r="H211" s="185"/>
      <c r="I211" s="215"/>
      <c r="J211" s="185"/>
      <c r="K211" s="185"/>
      <c r="L211" s="185"/>
      <c r="M211" s="185"/>
    </row>
    <row r="212" ht="15.75" customHeight="1">
      <c r="A212" s="213"/>
      <c r="B212" s="214"/>
      <c r="C212" s="57"/>
      <c r="D212" s="185"/>
      <c r="E212" s="215"/>
      <c r="F212" s="215"/>
      <c r="G212" s="215"/>
      <c r="H212" s="185"/>
      <c r="I212" s="215"/>
      <c r="J212" s="185"/>
      <c r="K212" s="185"/>
      <c r="L212" s="185"/>
      <c r="M212" s="185"/>
    </row>
    <row r="213" ht="15.75" customHeight="1">
      <c r="A213" s="213"/>
      <c r="B213" s="214"/>
      <c r="C213" s="57"/>
      <c r="D213" s="185"/>
      <c r="E213" s="215"/>
      <c r="F213" s="215"/>
      <c r="G213" s="215"/>
      <c r="H213" s="185"/>
      <c r="I213" s="215"/>
      <c r="J213" s="185"/>
      <c r="K213" s="185"/>
      <c r="L213" s="185"/>
      <c r="M213" s="185"/>
    </row>
    <row r="214" ht="15.75" customHeight="1">
      <c r="A214" s="213"/>
      <c r="B214" s="214"/>
      <c r="C214" s="57"/>
      <c r="D214" s="185"/>
      <c r="E214" s="215"/>
      <c r="F214" s="215"/>
      <c r="G214" s="215"/>
      <c r="H214" s="185"/>
      <c r="I214" s="215"/>
      <c r="J214" s="185"/>
      <c r="K214" s="185"/>
      <c r="L214" s="185"/>
      <c r="M214" s="185"/>
    </row>
    <row r="215" ht="15.75" customHeight="1">
      <c r="A215" s="213"/>
      <c r="B215" s="214"/>
      <c r="C215" s="57"/>
      <c r="D215" s="185"/>
      <c r="E215" s="215"/>
      <c r="F215" s="215"/>
      <c r="G215" s="215"/>
      <c r="H215" s="185"/>
      <c r="I215" s="215"/>
      <c r="J215" s="185"/>
      <c r="K215" s="185"/>
      <c r="L215" s="185"/>
      <c r="M215" s="185"/>
    </row>
    <row r="216" ht="15.75" customHeight="1">
      <c r="A216" s="213"/>
      <c r="B216" s="214"/>
      <c r="C216" s="57"/>
      <c r="D216" s="185"/>
      <c r="E216" s="215"/>
      <c r="F216" s="215"/>
      <c r="G216" s="215"/>
      <c r="H216" s="185"/>
      <c r="I216" s="215"/>
      <c r="J216" s="185"/>
      <c r="K216" s="185"/>
      <c r="L216" s="185"/>
      <c r="M216" s="185"/>
    </row>
    <row r="217" ht="15.75" customHeight="1">
      <c r="A217" s="213"/>
      <c r="B217" s="214"/>
      <c r="C217" s="57"/>
      <c r="D217" s="185"/>
      <c r="E217" s="215"/>
      <c r="F217" s="215"/>
      <c r="G217" s="215"/>
      <c r="H217" s="185"/>
      <c r="I217" s="215"/>
      <c r="J217" s="185"/>
      <c r="K217" s="185"/>
      <c r="L217" s="185"/>
      <c r="M217" s="185"/>
    </row>
    <row r="218" ht="15.75" customHeight="1">
      <c r="A218" s="213"/>
      <c r="B218" s="214"/>
      <c r="C218" s="57"/>
      <c r="D218" s="185"/>
      <c r="E218" s="215"/>
      <c r="F218" s="215"/>
      <c r="G218" s="215"/>
      <c r="H218" s="185"/>
      <c r="I218" s="215"/>
      <c r="J218" s="185"/>
      <c r="K218" s="185"/>
      <c r="L218" s="185"/>
      <c r="M218" s="185"/>
    </row>
    <row r="219" ht="15.75" customHeight="1">
      <c r="A219" s="213"/>
      <c r="B219" s="214"/>
      <c r="C219" s="57"/>
      <c r="D219" s="185"/>
      <c r="E219" s="215"/>
      <c r="F219" s="215"/>
      <c r="G219" s="215"/>
      <c r="H219" s="185"/>
      <c r="I219" s="215"/>
      <c r="J219" s="185"/>
      <c r="K219" s="185"/>
      <c r="L219" s="185"/>
      <c r="M219" s="185"/>
    </row>
    <row r="220" ht="15.75" customHeight="1">
      <c r="A220" s="213"/>
      <c r="B220" s="214"/>
      <c r="C220" s="57"/>
      <c r="D220" s="185"/>
      <c r="E220" s="215"/>
      <c r="F220" s="215"/>
      <c r="G220" s="215"/>
      <c r="H220" s="185"/>
      <c r="I220" s="215"/>
      <c r="J220" s="185"/>
      <c r="K220" s="185"/>
      <c r="L220" s="185"/>
      <c r="M220" s="185"/>
    </row>
    <row r="221" ht="15.75" customHeight="1">
      <c r="A221" s="213"/>
      <c r="B221" s="214"/>
      <c r="C221" s="57"/>
      <c r="D221" s="185"/>
      <c r="E221" s="215"/>
      <c r="F221" s="215"/>
      <c r="G221" s="215"/>
      <c r="H221" s="185"/>
      <c r="I221" s="215"/>
      <c r="J221" s="185"/>
      <c r="K221" s="185"/>
      <c r="L221" s="185"/>
      <c r="M221" s="185"/>
    </row>
    <row r="222" ht="15.75" customHeight="1">
      <c r="A222" s="213"/>
      <c r="B222" s="214"/>
      <c r="C222" s="57"/>
      <c r="D222" s="185"/>
      <c r="E222" s="215"/>
      <c r="F222" s="215"/>
      <c r="G222" s="215"/>
      <c r="H222" s="185"/>
      <c r="I222" s="215"/>
      <c r="J222" s="185"/>
      <c r="K222" s="185"/>
      <c r="L222" s="185"/>
      <c r="M222" s="185"/>
    </row>
    <row r="223" ht="15.75" customHeight="1">
      <c r="A223" s="213"/>
      <c r="B223" s="214"/>
      <c r="C223" s="57"/>
      <c r="D223" s="185"/>
      <c r="E223" s="215"/>
      <c r="F223" s="215"/>
      <c r="G223" s="215"/>
      <c r="H223" s="185"/>
      <c r="I223" s="215"/>
      <c r="J223" s="185"/>
      <c r="K223" s="185"/>
      <c r="L223" s="185"/>
      <c r="M223" s="185"/>
    </row>
    <row r="224" ht="15.75" customHeight="1">
      <c r="A224" s="213"/>
      <c r="B224" s="214"/>
      <c r="C224" s="57"/>
      <c r="D224" s="185"/>
      <c r="E224" s="215"/>
      <c r="F224" s="215"/>
      <c r="G224" s="215"/>
      <c r="H224" s="185"/>
      <c r="I224" s="215"/>
      <c r="J224" s="185"/>
      <c r="K224" s="185"/>
      <c r="L224" s="185"/>
      <c r="M224" s="185"/>
    </row>
    <row r="225" ht="15.75" customHeight="1">
      <c r="A225" s="213"/>
      <c r="B225" s="214"/>
      <c r="C225" s="57"/>
      <c r="D225" s="185"/>
      <c r="E225" s="215"/>
      <c r="F225" s="215"/>
      <c r="G225" s="215"/>
      <c r="H225" s="185"/>
      <c r="I225" s="215"/>
      <c r="J225" s="185"/>
      <c r="K225" s="185"/>
      <c r="L225" s="185"/>
      <c r="M225" s="185"/>
    </row>
    <row r="226" ht="15.75" customHeight="1">
      <c r="A226" s="213"/>
      <c r="B226" s="214"/>
      <c r="C226" s="57"/>
      <c r="D226" s="185"/>
      <c r="E226" s="215"/>
      <c r="F226" s="215"/>
      <c r="G226" s="215"/>
      <c r="H226" s="185"/>
      <c r="I226" s="215"/>
      <c r="J226" s="185"/>
      <c r="K226" s="185"/>
      <c r="L226" s="185"/>
      <c r="M226" s="185"/>
    </row>
    <row r="227" ht="15.75" customHeight="1">
      <c r="A227" s="213"/>
      <c r="B227" s="214"/>
      <c r="C227" s="57"/>
      <c r="D227" s="185"/>
      <c r="E227" s="215"/>
      <c r="F227" s="215"/>
      <c r="G227" s="215"/>
      <c r="H227" s="185"/>
      <c r="I227" s="215"/>
      <c r="J227" s="185"/>
      <c r="K227" s="185"/>
      <c r="L227" s="185"/>
      <c r="M227" s="185"/>
    </row>
    <row r="228" ht="15.75" customHeight="1">
      <c r="A228" s="213"/>
      <c r="B228" s="214"/>
      <c r="C228" s="57"/>
      <c r="D228" s="185"/>
      <c r="E228" s="215"/>
      <c r="F228" s="215"/>
      <c r="G228" s="215"/>
      <c r="H228" s="185"/>
      <c r="I228" s="215"/>
      <c r="J228" s="185"/>
      <c r="K228" s="185"/>
      <c r="L228" s="185"/>
      <c r="M228" s="185"/>
    </row>
    <row r="229" ht="15.75" customHeight="1">
      <c r="A229" s="213"/>
      <c r="B229" s="214"/>
      <c r="C229" s="57"/>
      <c r="D229" s="185"/>
      <c r="E229" s="215"/>
      <c r="F229" s="215"/>
      <c r="G229" s="215"/>
      <c r="H229" s="185"/>
      <c r="I229" s="215"/>
      <c r="J229" s="185"/>
      <c r="K229" s="185"/>
      <c r="L229" s="185"/>
      <c r="M229" s="185"/>
    </row>
    <row r="230" ht="15.75" customHeight="1">
      <c r="A230" s="213"/>
      <c r="B230" s="214"/>
      <c r="C230" s="57"/>
      <c r="D230" s="185"/>
      <c r="E230" s="215"/>
      <c r="F230" s="215"/>
      <c r="G230" s="215"/>
      <c r="H230" s="185"/>
      <c r="I230" s="215"/>
      <c r="J230" s="185"/>
      <c r="K230" s="185"/>
      <c r="L230" s="185"/>
      <c r="M230" s="185"/>
    </row>
    <row r="231" ht="15.75" customHeight="1">
      <c r="A231" s="213"/>
      <c r="B231" s="214"/>
      <c r="C231" s="57"/>
      <c r="D231" s="185"/>
      <c r="E231" s="215"/>
      <c r="F231" s="215"/>
      <c r="G231" s="215"/>
      <c r="H231" s="185"/>
      <c r="I231" s="215"/>
      <c r="J231" s="185"/>
      <c r="K231" s="185"/>
      <c r="L231" s="185"/>
      <c r="M231" s="185"/>
    </row>
    <row r="232" ht="15.75" customHeight="1">
      <c r="A232" s="213"/>
      <c r="B232" s="214"/>
      <c r="C232" s="57"/>
      <c r="D232" s="185"/>
      <c r="E232" s="215"/>
      <c r="F232" s="215"/>
      <c r="G232" s="215"/>
      <c r="H232" s="185"/>
      <c r="I232" s="215"/>
      <c r="J232" s="185"/>
      <c r="K232" s="185"/>
      <c r="L232" s="185"/>
      <c r="M232" s="185"/>
    </row>
    <row r="233" ht="15.75" customHeight="1">
      <c r="A233" s="213"/>
      <c r="B233" s="214"/>
      <c r="C233" s="57"/>
      <c r="D233" s="185"/>
      <c r="E233" s="215"/>
      <c r="F233" s="215"/>
      <c r="G233" s="215"/>
      <c r="H233" s="185"/>
      <c r="I233" s="215"/>
      <c r="J233" s="185"/>
      <c r="K233" s="185"/>
      <c r="L233" s="185"/>
      <c r="M233" s="185"/>
    </row>
    <row r="234" ht="15.75" customHeight="1">
      <c r="A234" s="213"/>
      <c r="B234" s="214"/>
      <c r="C234" s="57"/>
      <c r="D234" s="185"/>
      <c r="E234" s="215"/>
      <c r="F234" s="215"/>
      <c r="G234" s="215"/>
      <c r="H234" s="185"/>
      <c r="I234" s="215"/>
      <c r="J234" s="185"/>
      <c r="K234" s="185"/>
      <c r="L234" s="185"/>
      <c r="M234" s="185"/>
    </row>
    <row r="235" ht="15.75" customHeight="1">
      <c r="A235" s="213"/>
      <c r="B235" s="214"/>
      <c r="C235" s="57"/>
      <c r="D235" s="185"/>
      <c r="E235" s="215"/>
      <c r="F235" s="215"/>
      <c r="G235" s="215"/>
      <c r="H235" s="185"/>
      <c r="I235" s="215"/>
      <c r="J235" s="185"/>
      <c r="K235" s="185"/>
      <c r="L235" s="185"/>
      <c r="M235" s="185"/>
    </row>
    <row r="236" ht="15.75" customHeight="1">
      <c r="A236" s="213"/>
      <c r="B236" s="214"/>
      <c r="C236" s="57"/>
      <c r="D236" s="185"/>
      <c r="E236" s="215"/>
      <c r="F236" s="215"/>
      <c r="G236" s="215"/>
      <c r="H236" s="185"/>
      <c r="I236" s="215"/>
      <c r="J236" s="185"/>
      <c r="K236" s="185"/>
      <c r="L236" s="185"/>
      <c r="M236" s="185"/>
    </row>
    <row r="237" ht="15.75" customHeight="1">
      <c r="A237" s="213"/>
      <c r="B237" s="214"/>
      <c r="C237" s="57"/>
      <c r="D237" s="185"/>
      <c r="E237" s="215"/>
      <c r="F237" s="215"/>
      <c r="G237" s="215"/>
      <c r="H237" s="185"/>
      <c r="I237" s="215"/>
      <c r="J237" s="185"/>
      <c r="K237" s="185"/>
      <c r="L237" s="185"/>
      <c r="M237" s="185"/>
    </row>
    <row r="238" ht="15.75" customHeight="1">
      <c r="A238" s="213"/>
      <c r="B238" s="214"/>
      <c r="C238" s="57"/>
      <c r="D238" s="185"/>
      <c r="E238" s="215"/>
      <c r="F238" s="215"/>
      <c r="G238" s="215"/>
      <c r="H238" s="185"/>
      <c r="I238" s="215"/>
      <c r="J238" s="185"/>
      <c r="K238" s="185"/>
      <c r="L238" s="185"/>
      <c r="M238" s="185"/>
    </row>
    <row r="239" ht="15.75" customHeight="1">
      <c r="A239" s="213"/>
      <c r="B239" s="214"/>
      <c r="C239" s="57"/>
      <c r="D239" s="185"/>
      <c r="E239" s="215"/>
      <c r="F239" s="215"/>
      <c r="G239" s="215"/>
      <c r="H239" s="185"/>
      <c r="I239" s="215"/>
      <c r="J239" s="185"/>
      <c r="K239" s="185"/>
      <c r="L239" s="185"/>
      <c r="M239" s="185"/>
    </row>
    <row r="240" ht="15.75" customHeight="1">
      <c r="A240" s="213"/>
      <c r="B240" s="214"/>
      <c r="C240" s="57"/>
      <c r="D240" s="185"/>
      <c r="E240" s="215"/>
      <c r="F240" s="215"/>
      <c r="G240" s="215"/>
      <c r="H240" s="185"/>
      <c r="I240" s="215"/>
      <c r="J240" s="185"/>
      <c r="K240" s="185"/>
      <c r="L240" s="185"/>
      <c r="M240" s="185"/>
    </row>
    <row r="241" ht="15.75" customHeight="1">
      <c r="A241" s="213"/>
      <c r="B241" s="214"/>
      <c r="C241" s="57"/>
      <c r="D241" s="185"/>
      <c r="E241" s="215"/>
      <c r="F241" s="215"/>
      <c r="G241" s="215"/>
      <c r="H241" s="185"/>
      <c r="I241" s="215"/>
      <c r="J241" s="185"/>
      <c r="K241" s="185"/>
      <c r="L241" s="185"/>
      <c r="M241" s="185"/>
    </row>
    <row r="242" ht="15.75" customHeight="1">
      <c r="A242" s="213"/>
      <c r="B242" s="214"/>
      <c r="C242" s="57"/>
      <c r="D242" s="185"/>
      <c r="E242" s="215"/>
      <c r="F242" s="215"/>
      <c r="G242" s="215"/>
      <c r="H242" s="185"/>
      <c r="I242" s="215"/>
      <c r="J242" s="185"/>
      <c r="K242" s="185"/>
      <c r="L242" s="185"/>
      <c r="M242" s="185"/>
    </row>
    <row r="243" ht="15.75" customHeight="1">
      <c r="A243" s="213"/>
      <c r="B243" s="214"/>
      <c r="C243" s="57"/>
      <c r="D243" s="185"/>
      <c r="E243" s="215"/>
      <c r="F243" s="215"/>
      <c r="G243" s="215"/>
      <c r="H243" s="185"/>
      <c r="I243" s="215"/>
      <c r="J243" s="185"/>
      <c r="K243" s="185"/>
      <c r="L243" s="185"/>
      <c r="M243" s="185"/>
    </row>
    <row r="244" ht="15.75" customHeight="1">
      <c r="A244" s="213"/>
      <c r="B244" s="214"/>
      <c r="C244" s="57"/>
      <c r="D244" s="185"/>
      <c r="E244" s="215"/>
      <c r="F244" s="215"/>
      <c r="G244" s="215"/>
      <c r="H244" s="185"/>
      <c r="I244" s="215"/>
      <c r="J244" s="185"/>
      <c r="K244" s="185"/>
      <c r="L244" s="185"/>
      <c r="M244" s="185"/>
    </row>
    <row r="245" ht="15.75" customHeight="1">
      <c r="A245" s="213"/>
      <c r="B245" s="214"/>
      <c r="C245" s="57"/>
      <c r="D245" s="185"/>
      <c r="E245" s="215"/>
      <c r="F245" s="215"/>
      <c r="G245" s="215"/>
      <c r="H245" s="185"/>
      <c r="I245" s="215"/>
      <c r="J245" s="185"/>
      <c r="K245" s="185"/>
      <c r="L245" s="185"/>
      <c r="M245" s="185"/>
    </row>
    <row r="246" ht="15.75" customHeight="1">
      <c r="A246" s="213"/>
      <c r="B246" s="214"/>
      <c r="C246" s="57"/>
      <c r="D246" s="185"/>
      <c r="E246" s="215"/>
      <c r="F246" s="215"/>
      <c r="G246" s="215"/>
      <c r="H246" s="185"/>
      <c r="I246" s="215"/>
      <c r="J246" s="185"/>
      <c r="K246" s="185"/>
      <c r="L246" s="185"/>
      <c r="M246" s="185"/>
    </row>
    <row r="247" ht="15.75" customHeight="1">
      <c r="A247" s="213"/>
      <c r="B247" s="214"/>
      <c r="C247" s="57"/>
      <c r="D247" s="185"/>
      <c r="E247" s="215"/>
      <c r="F247" s="215"/>
      <c r="G247" s="215"/>
      <c r="H247" s="185"/>
      <c r="I247" s="215"/>
      <c r="J247" s="185"/>
      <c r="K247" s="185"/>
      <c r="L247" s="185"/>
      <c r="M247" s="185"/>
    </row>
    <row r="248" ht="15.75" customHeight="1">
      <c r="A248" s="213"/>
      <c r="B248" s="214"/>
      <c r="C248" s="57"/>
      <c r="D248" s="185"/>
      <c r="E248" s="215"/>
      <c r="F248" s="215"/>
      <c r="G248" s="215"/>
      <c r="H248" s="185"/>
      <c r="I248" s="215"/>
      <c r="J248" s="185"/>
      <c r="K248" s="185"/>
      <c r="L248" s="185"/>
      <c r="M248" s="185"/>
    </row>
    <row r="249" ht="15.75" customHeight="1">
      <c r="A249" s="213"/>
      <c r="B249" s="214"/>
      <c r="C249" s="57"/>
      <c r="D249" s="185"/>
      <c r="E249" s="215"/>
      <c r="F249" s="215"/>
      <c r="G249" s="215"/>
      <c r="H249" s="185"/>
      <c r="I249" s="215"/>
      <c r="J249" s="185"/>
      <c r="K249" s="185"/>
      <c r="L249" s="185"/>
      <c r="M249" s="185"/>
    </row>
    <row r="250" ht="15.75" customHeight="1">
      <c r="A250" s="213"/>
      <c r="B250" s="214"/>
      <c r="C250" s="57"/>
      <c r="D250" s="185"/>
      <c r="E250" s="215"/>
      <c r="F250" s="215"/>
      <c r="G250" s="215"/>
      <c r="H250" s="185"/>
      <c r="I250" s="215"/>
      <c r="J250" s="185"/>
      <c r="K250" s="185"/>
      <c r="L250" s="185"/>
      <c r="M250" s="185"/>
    </row>
    <row r="251" ht="15.75" customHeight="1">
      <c r="A251" s="213"/>
      <c r="B251" s="214"/>
      <c r="C251" s="57"/>
      <c r="D251" s="185"/>
      <c r="E251" s="215"/>
      <c r="F251" s="215"/>
      <c r="G251" s="215"/>
      <c r="H251" s="185"/>
      <c r="I251" s="215"/>
      <c r="J251" s="185"/>
      <c r="K251" s="185"/>
      <c r="L251" s="185"/>
      <c r="M251" s="185"/>
    </row>
    <row r="252" ht="15.75" customHeight="1">
      <c r="A252" s="213"/>
      <c r="B252" s="214"/>
      <c r="C252" s="57"/>
      <c r="D252" s="185"/>
      <c r="E252" s="215"/>
      <c r="F252" s="215"/>
      <c r="G252" s="215"/>
      <c r="H252" s="185"/>
      <c r="I252" s="215"/>
      <c r="J252" s="185"/>
      <c r="K252" s="185"/>
      <c r="L252" s="185"/>
      <c r="M252" s="185"/>
    </row>
    <row r="253" ht="15.75" customHeight="1">
      <c r="A253" s="213"/>
      <c r="B253" s="214"/>
      <c r="C253" s="57"/>
      <c r="D253" s="185"/>
      <c r="E253" s="215"/>
      <c r="F253" s="215"/>
      <c r="G253" s="215"/>
      <c r="H253" s="185"/>
      <c r="I253" s="215"/>
      <c r="J253" s="185"/>
      <c r="K253" s="185"/>
      <c r="L253" s="185"/>
      <c r="M253" s="185"/>
    </row>
    <row r="254" ht="15.75" customHeight="1">
      <c r="A254" s="213"/>
      <c r="B254" s="214"/>
      <c r="C254" s="57"/>
      <c r="D254" s="185"/>
      <c r="E254" s="215"/>
      <c r="F254" s="215"/>
      <c r="G254" s="215"/>
      <c r="H254" s="185"/>
      <c r="I254" s="215"/>
      <c r="J254" s="185"/>
      <c r="K254" s="185"/>
      <c r="L254" s="185"/>
      <c r="M254" s="185"/>
    </row>
    <row r="255" ht="15.75" customHeight="1">
      <c r="A255" s="213"/>
      <c r="B255" s="214"/>
      <c r="C255" s="57"/>
      <c r="D255" s="185"/>
      <c r="E255" s="215"/>
      <c r="F255" s="215"/>
      <c r="G255" s="215"/>
      <c r="H255" s="185"/>
      <c r="I255" s="215"/>
      <c r="J255" s="185"/>
      <c r="K255" s="185"/>
      <c r="L255" s="185"/>
      <c r="M255" s="185"/>
    </row>
    <row r="256" ht="15.75" customHeight="1">
      <c r="A256" s="213"/>
      <c r="B256" s="214"/>
      <c r="C256" s="57"/>
      <c r="D256" s="185"/>
      <c r="E256" s="215"/>
      <c r="F256" s="215"/>
      <c r="G256" s="215"/>
      <c r="H256" s="185"/>
      <c r="I256" s="215"/>
      <c r="J256" s="185"/>
      <c r="K256" s="185"/>
      <c r="L256" s="185"/>
      <c r="M256" s="185"/>
    </row>
    <row r="257" ht="15.75" customHeight="1">
      <c r="A257" s="213"/>
      <c r="B257" s="214"/>
      <c r="C257" s="57"/>
      <c r="D257" s="185"/>
      <c r="E257" s="215"/>
      <c r="F257" s="215"/>
      <c r="G257" s="215"/>
      <c r="H257" s="185"/>
      <c r="I257" s="215"/>
      <c r="J257" s="185"/>
      <c r="K257" s="185"/>
      <c r="L257" s="185"/>
      <c r="M257" s="185"/>
    </row>
    <row r="258" ht="15.75" customHeight="1">
      <c r="A258" s="213"/>
      <c r="B258" s="214"/>
      <c r="C258" s="57"/>
      <c r="D258" s="185"/>
      <c r="E258" s="215"/>
      <c r="F258" s="215"/>
      <c r="G258" s="215"/>
      <c r="H258" s="185"/>
      <c r="I258" s="215"/>
      <c r="J258" s="185"/>
      <c r="K258" s="185"/>
      <c r="L258" s="185"/>
      <c r="M258" s="185"/>
    </row>
    <row r="259" ht="15.75" customHeight="1">
      <c r="A259" s="213"/>
      <c r="B259" s="214"/>
      <c r="C259" s="57"/>
      <c r="D259" s="185"/>
      <c r="E259" s="215"/>
      <c r="F259" s="215"/>
      <c r="G259" s="215"/>
      <c r="H259" s="185"/>
      <c r="I259" s="215"/>
      <c r="J259" s="185"/>
      <c r="K259" s="185"/>
      <c r="L259" s="185"/>
      <c r="M259" s="185"/>
    </row>
    <row r="260" ht="15.75" customHeight="1">
      <c r="A260" s="213"/>
      <c r="B260" s="214"/>
      <c r="C260" s="57"/>
      <c r="D260" s="185"/>
      <c r="E260" s="215"/>
      <c r="F260" s="215"/>
      <c r="G260" s="215"/>
      <c r="H260" s="185"/>
      <c r="I260" s="215"/>
      <c r="J260" s="185"/>
      <c r="K260" s="185"/>
      <c r="L260" s="185"/>
      <c r="M260" s="185"/>
    </row>
    <row r="261" ht="15.75" customHeight="1">
      <c r="A261" s="213"/>
      <c r="B261" s="214"/>
      <c r="C261" s="57"/>
      <c r="D261" s="185"/>
      <c r="E261" s="215"/>
      <c r="F261" s="215"/>
      <c r="G261" s="215"/>
      <c r="H261" s="185"/>
      <c r="I261" s="215"/>
      <c r="J261" s="185"/>
      <c r="K261" s="185"/>
      <c r="L261" s="185"/>
      <c r="M261" s="185"/>
    </row>
    <row r="262" ht="15.75" customHeight="1">
      <c r="A262" s="213"/>
      <c r="B262" s="214"/>
      <c r="C262" s="57"/>
      <c r="D262" s="185"/>
      <c r="E262" s="215"/>
      <c r="F262" s="215"/>
      <c r="G262" s="215"/>
      <c r="H262" s="185"/>
      <c r="I262" s="215"/>
      <c r="J262" s="185"/>
      <c r="K262" s="185"/>
      <c r="L262" s="185"/>
      <c r="M262" s="185"/>
    </row>
    <row r="263" ht="15.75" customHeight="1">
      <c r="A263" s="213"/>
      <c r="B263" s="214"/>
      <c r="C263" s="57"/>
      <c r="D263" s="185"/>
      <c r="E263" s="215"/>
      <c r="F263" s="215"/>
      <c r="G263" s="215"/>
      <c r="H263" s="185"/>
      <c r="I263" s="215"/>
      <c r="J263" s="185"/>
      <c r="K263" s="185"/>
      <c r="L263" s="185"/>
      <c r="M263" s="185"/>
    </row>
    <row r="264" ht="15.75" customHeight="1">
      <c r="A264" s="213"/>
      <c r="B264" s="214"/>
      <c r="C264" s="57"/>
      <c r="D264" s="185"/>
      <c r="E264" s="215"/>
      <c r="F264" s="215"/>
      <c r="G264" s="215"/>
      <c r="H264" s="185"/>
      <c r="I264" s="215"/>
      <c r="J264" s="185"/>
      <c r="K264" s="185"/>
      <c r="L264" s="185"/>
      <c r="M264" s="185"/>
    </row>
    <row r="265" ht="15.75" customHeight="1">
      <c r="A265" s="213"/>
      <c r="B265" s="214"/>
      <c r="C265" s="57"/>
      <c r="D265" s="185"/>
      <c r="E265" s="215"/>
      <c r="F265" s="215"/>
      <c r="G265" s="215"/>
      <c r="H265" s="185"/>
      <c r="I265" s="215"/>
      <c r="J265" s="185"/>
      <c r="K265" s="185"/>
      <c r="L265" s="185"/>
      <c r="M265" s="185"/>
    </row>
    <row r="266" ht="15.75" customHeight="1">
      <c r="A266" s="213"/>
      <c r="B266" s="214"/>
      <c r="C266" s="57"/>
      <c r="D266" s="185"/>
      <c r="E266" s="215"/>
      <c r="F266" s="215"/>
      <c r="G266" s="215"/>
      <c r="H266" s="185"/>
      <c r="I266" s="215"/>
      <c r="J266" s="185"/>
      <c r="K266" s="185"/>
      <c r="L266" s="185"/>
      <c r="M266" s="185"/>
    </row>
    <row r="267" ht="15.75" customHeight="1">
      <c r="A267" s="213"/>
      <c r="B267" s="214"/>
      <c r="C267" s="57"/>
      <c r="D267" s="185"/>
      <c r="E267" s="215"/>
      <c r="F267" s="215"/>
      <c r="G267" s="215"/>
      <c r="H267" s="185"/>
      <c r="I267" s="215"/>
      <c r="J267" s="185"/>
      <c r="K267" s="185"/>
      <c r="L267" s="185"/>
      <c r="M267" s="185"/>
    </row>
    <row r="268" ht="15.75" customHeight="1">
      <c r="A268" s="213"/>
      <c r="B268" s="214"/>
      <c r="C268" s="57"/>
      <c r="D268" s="185"/>
      <c r="E268" s="215"/>
      <c r="F268" s="215"/>
      <c r="G268" s="215"/>
      <c r="H268" s="185"/>
      <c r="I268" s="215"/>
      <c r="J268" s="185"/>
      <c r="K268" s="185"/>
      <c r="L268" s="185"/>
      <c r="M268" s="185"/>
    </row>
    <row r="269" ht="15.75" customHeight="1">
      <c r="A269" s="213"/>
      <c r="B269" s="214"/>
      <c r="C269" s="57"/>
      <c r="D269" s="185"/>
      <c r="E269" s="215"/>
      <c r="F269" s="215"/>
      <c r="G269" s="215"/>
      <c r="H269" s="185"/>
      <c r="I269" s="215"/>
      <c r="J269" s="185"/>
      <c r="K269" s="185"/>
      <c r="L269" s="185"/>
      <c r="M269" s="185"/>
    </row>
    <row r="270" ht="15.75" customHeight="1">
      <c r="A270" s="213"/>
      <c r="B270" s="214"/>
      <c r="C270" s="57"/>
      <c r="D270" s="185"/>
      <c r="E270" s="215"/>
      <c r="F270" s="215"/>
      <c r="G270" s="215"/>
      <c r="H270" s="185"/>
      <c r="I270" s="215"/>
      <c r="J270" s="185"/>
      <c r="K270" s="185"/>
      <c r="L270" s="185"/>
      <c r="M270" s="185"/>
    </row>
    <row r="271" ht="15.75" customHeight="1">
      <c r="A271" s="213"/>
      <c r="B271" s="214"/>
      <c r="C271" s="57"/>
      <c r="D271" s="185"/>
      <c r="E271" s="215"/>
      <c r="F271" s="215"/>
      <c r="G271" s="215"/>
      <c r="H271" s="185"/>
      <c r="I271" s="215"/>
      <c r="J271" s="185"/>
      <c r="K271" s="185"/>
      <c r="L271" s="185"/>
      <c r="M271" s="185"/>
    </row>
    <row r="272" ht="15.75" customHeight="1">
      <c r="A272" s="213"/>
      <c r="B272" s="214"/>
      <c r="C272" s="57"/>
      <c r="D272" s="185"/>
      <c r="E272" s="215"/>
      <c r="F272" s="215"/>
      <c r="G272" s="215"/>
      <c r="H272" s="185"/>
      <c r="I272" s="215"/>
      <c r="J272" s="185"/>
      <c r="K272" s="185"/>
      <c r="L272" s="185"/>
      <c r="M272" s="185"/>
    </row>
    <row r="273" ht="15.75" customHeight="1">
      <c r="A273" s="213"/>
      <c r="B273" s="214"/>
      <c r="C273" s="57"/>
      <c r="D273" s="185"/>
      <c r="E273" s="215"/>
      <c r="F273" s="215"/>
      <c r="G273" s="215"/>
      <c r="H273" s="185"/>
      <c r="I273" s="215"/>
      <c r="J273" s="185"/>
      <c r="K273" s="185"/>
      <c r="L273" s="185"/>
      <c r="M273" s="185"/>
    </row>
    <row r="274" ht="15.75" customHeight="1">
      <c r="A274" s="213"/>
      <c r="B274" s="214"/>
      <c r="C274" s="57"/>
      <c r="D274" s="185"/>
      <c r="E274" s="215"/>
      <c r="F274" s="215"/>
      <c r="G274" s="215"/>
      <c r="H274" s="185"/>
      <c r="I274" s="215"/>
      <c r="J274" s="185"/>
      <c r="K274" s="185"/>
      <c r="L274" s="185"/>
      <c r="M274" s="185"/>
    </row>
    <row r="275" ht="15.75" customHeight="1">
      <c r="A275" s="213"/>
      <c r="B275" s="214"/>
      <c r="C275" s="57"/>
      <c r="D275" s="185"/>
      <c r="E275" s="215"/>
      <c r="F275" s="215"/>
      <c r="G275" s="215"/>
      <c r="H275" s="185"/>
      <c r="I275" s="215"/>
      <c r="J275" s="185"/>
      <c r="K275" s="185"/>
      <c r="L275" s="185"/>
      <c r="M275" s="185"/>
    </row>
    <row r="276" ht="15.75" customHeight="1">
      <c r="A276" s="213"/>
      <c r="B276" s="214"/>
      <c r="C276" s="57"/>
      <c r="D276" s="185"/>
      <c r="E276" s="215"/>
      <c r="F276" s="215"/>
      <c r="G276" s="215"/>
      <c r="H276" s="185"/>
      <c r="I276" s="215"/>
      <c r="J276" s="185"/>
      <c r="K276" s="185"/>
      <c r="L276" s="185"/>
      <c r="M276" s="185"/>
    </row>
    <row r="277" ht="15.75" customHeight="1">
      <c r="A277" s="213"/>
      <c r="B277" s="214"/>
      <c r="C277" s="57"/>
      <c r="D277" s="185"/>
      <c r="E277" s="215"/>
      <c r="F277" s="215"/>
      <c r="G277" s="215"/>
      <c r="H277" s="185"/>
      <c r="I277" s="215"/>
      <c r="J277" s="185"/>
      <c r="K277" s="185"/>
      <c r="L277" s="185"/>
      <c r="M277" s="185"/>
    </row>
    <row r="278" ht="15.75" customHeight="1">
      <c r="A278" s="213"/>
      <c r="B278" s="214"/>
      <c r="C278" s="57"/>
      <c r="D278" s="185"/>
      <c r="E278" s="215"/>
      <c r="F278" s="215"/>
      <c r="G278" s="215"/>
      <c r="H278" s="185"/>
      <c r="I278" s="215"/>
      <c r="J278" s="185"/>
      <c r="K278" s="185"/>
      <c r="L278" s="185"/>
      <c r="M278" s="185"/>
    </row>
    <row r="279" ht="15.75" customHeight="1">
      <c r="A279" s="213"/>
      <c r="B279" s="214"/>
      <c r="C279" s="57"/>
      <c r="D279" s="185"/>
      <c r="E279" s="215"/>
      <c r="F279" s="215"/>
      <c r="G279" s="215"/>
      <c r="H279" s="185"/>
      <c r="I279" s="215"/>
      <c r="J279" s="185"/>
      <c r="K279" s="185"/>
      <c r="L279" s="185"/>
      <c r="M279" s="185"/>
    </row>
    <row r="280" ht="15.75" customHeight="1">
      <c r="A280" s="213"/>
      <c r="B280" s="214"/>
      <c r="C280" s="57"/>
      <c r="D280" s="185"/>
      <c r="E280" s="215"/>
      <c r="F280" s="215"/>
      <c r="G280" s="215"/>
      <c r="H280" s="185"/>
      <c r="I280" s="215"/>
      <c r="J280" s="185"/>
      <c r="K280" s="185"/>
      <c r="L280" s="185"/>
      <c r="M280" s="185"/>
    </row>
    <row r="281" ht="15.75" customHeight="1">
      <c r="A281" s="213"/>
      <c r="B281" s="214"/>
      <c r="C281" s="57"/>
      <c r="D281" s="185"/>
      <c r="E281" s="215"/>
      <c r="F281" s="215"/>
      <c r="G281" s="215"/>
      <c r="H281" s="185"/>
      <c r="I281" s="215"/>
      <c r="J281" s="185"/>
      <c r="K281" s="185"/>
      <c r="L281" s="185"/>
      <c r="M281" s="185"/>
    </row>
    <row r="282" ht="15.75" customHeight="1">
      <c r="A282" s="213"/>
      <c r="B282" s="214"/>
      <c r="C282" s="57"/>
      <c r="D282" s="185"/>
      <c r="E282" s="215"/>
      <c r="F282" s="215"/>
      <c r="G282" s="215"/>
      <c r="H282" s="185"/>
      <c r="I282" s="215"/>
      <c r="J282" s="185"/>
      <c r="K282" s="185"/>
      <c r="L282" s="185"/>
      <c r="M282" s="185"/>
    </row>
    <row r="283" ht="15.75" customHeight="1">
      <c r="A283" s="213"/>
      <c r="B283" s="214"/>
      <c r="C283" s="57"/>
      <c r="D283" s="185"/>
      <c r="E283" s="215"/>
      <c r="F283" s="215"/>
      <c r="G283" s="215"/>
      <c r="H283" s="185"/>
      <c r="I283" s="215"/>
      <c r="J283" s="185"/>
      <c r="K283" s="185"/>
      <c r="L283" s="185"/>
      <c r="M283" s="185"/>
    </row>
    <row r="284" ht="15.75" customHeight="1">
      <c r="A284" s="213"/>
      <c r="B284" s="214"/>
      <c r="C284" s="57"/>
      <c r="D284" s="185"/>
      <c r="E284" s="215"/>
      <c r="F284" s="215"/>
      <c r="G284" s="215"/>
      <c r="H284" s="185"/>
      <c r="I284" s="215"/>
      <c r="J284" s="185"/>
      <c r="K284" s="185"/>
      <c r="L284" s="185"/>
      <c r="M284" s="185"/>
    </row>
    <row r="285" ht="15.75" customHeight="1">
      <c r="A285" s="213"/>
      <c r="B285" s="214"/>
      <c r="C285" s="57"/>
      <c r="D285" s="185"/>
      <c r="E285" s="215"/>
      <c r="F285" s="215"/>
      <c r="G285" s="215"/>
      <c r="H285" s="185"/>
      <c r="I285" s="215"/>
      <c r="J285" s="185"/>
      <c r="K285" s="185"/>
      <c r="L285" s="185"/>
      <c r="M285" s="185"/>
    </row>
    <row r="286" ht="15.75" customHeight="1">
      <c r="A286" s="213"/>
      <c r="B286" s="214"/>
      <c r="C286" s="57"/>
      <c r="D286" s="185"/>
      <c r="E286" s="215"/>
      <c r="F286" s="215"/>
      <c r="G286" s="215"/>
      <c r="H286" s="185"/>
      <c r="I286" s="215"/>
      <c r="J286" s="185"/>
      <c r="K286" s="185"/>
      <c r="L286" s="185"/>
      <c r="M286" s="185"/>
    </row>
    <row r="287" ht="15.75" customHeight="1">
      <c r="A287" s="213"/>
      <c r="B287" s="214"/>
      <c r="C287" s="57"/>
      <c r="D287" s="185"/>
      <c r="E287" s="215"/>
      <c r="F287" s="215"/>
      <c r="G287" s="215"/>
      <c r="H287" s="185"/>
      <c r="I287" s="215"/>
      <c r="J287" s="185"/>
      <c r="K287" s="185"/>
      <c r="L287" s="185"/>
      <c r="M287" s="185"/>
    </row>
    <row r="288" ht="15.75" customHeight="1">
      <c r="A288" s="213"/>
      <c r="B288" s="214"/>
      <c r="C288" s="57"/>
      <c r="D288" s="185"/>
      <c r="E288" s="215"/>
      <c r="F288" s="215"/>
      <c r="G288" s="215"/>
      <c r="H288" s="185"/>
      <c r="I288" s="215"/>
      <c r="J288" s="185"/>
      <c r="K288" s="185"/>
      <c r="L288" s="185"/>
      <c r="M288" s="185"/>
    </row>
    <row r="289" ht="15.75" customHeight="1">
      <c r="A289" s="213"/>
      <c r="B289" s="214"/>
      <c r="C289" s="57"/>
      <c r="D289" s="185"/>
      <c r="E289" s="215"/>
      <c r="F289" s="215"/>
      <c r="G289" s="215"/>
      <c r="H289" s="185"/>
      <c r="I289" s="215"/>
      <c r="J289" s="185"/>
      <c r="K289" s="185"/>
      <c r="L289" s="185"/>
      <c r="M289" s="185"/>
    </row>
    <row r="290" ht="15.75" customHeight="1">
      <c r="A290" s="213"/>
      <c r="B290" s="214"/>
      <c r="C290" s="57"/>
      <c r="D290" s="185"/>
      <c r="E290" s="215"/>
      <c r="F290" s="215"/>
      <c r="G290" s="215"/>
      <c r="H290" s="185"/>
      <c r="I290" s="215"/>
      <c r="J290" s="185"/>
      <c r="K290" s="185"/>
      <c r="L290" s="185"/>
      <c r="M290" s="185"/>
    </row>
    <row r="291" ht="15.75" customHeight="1">
      <c r="A291" s="213"/>
      <c r="B291" s="214"/>
      <c r="C291" s="57"/>
      <c r="D291" s="185"/>
      <c r="E291" s="215"/>
      <c r="F291" s="215"/>
      <c r="G291" s="215"/>
      <c r="H291" s="185"/>
      <c r="I291" s="215"/>
      <c r="J291" s="185"/>
      <c r="K291" s="185"/>
      <c r="L291" s="185"/>
      <c r="M291" s="185"/>
    </row>
    <row r="292" ht="15.75" customHeight="1">
      <c r="A292" s="213"/>
      <c r="B292" s="214"/>
      <c r="C292" s="57"/>
      <c r="D292" s="185"/>
      <c r="E292" s="215"/>
      <c r="F292" s="215"/>
      <c r="G292" s="215"/>
      <c r="H292" s="185"/>
      <c r="I292" s="215"/>
      <c r="J292" s="185"/>
      <c r="K292" s="185"/>
      <c r="L292" s="185"/>
      <c r="M292" s="185"/>
    </row>
    <row r="293" ht="15.75" customHeight="1">
      <c r="A293" s="213"/>
      <c r="B293" s="214"/>
      <c r="C293" s="57"/>
      <c r="D293" s="185"/>
      <c r="E293" s="215"/>
      <c r="F293" s="215"/>
      <c r="G293" s="215"/>
      <c r="H293" s="185"/>
      <c r="I293" s="215"/>
      <c r="J293" s="185"/>
      <c r="K293" s="185"/>
      <c r="L293" s="185"/>
      <c r="M293" s="185"/>
    </row>
    <row r="294" ht="15.75" customHeight="1">
      <c r="A294" s="213"/>
      <c r="B294" s="214"/>
      <c r="C294" s="57"/>
      <c r="D294" s="185"/>
      <c r="E294" s="215"/>
      <c r="F294" s="215"/>
      <c r="G294" s="215"/>
      <c r="H294" s="185"/>
      <c r="I294" s="215"/>
      <c r="J294" s="185"/>
      <c r="K294" s="185"/>
      <c r="L294" s="185"/>
      <c r="M294" s="185"/>
    </row>
    <row r="295" ht="15.75" customHeight="1">
      <c r="A295" s="213"/>
      <c r="B295" s="214"/>
      <c r="C295" s="57"/>
      <c r="D295" s="185"/>
      <c r="E295" s="215"/>
      <c r="F295" s="215"/>
      <c r="G295" s="215"/>
      <c r="H295" s="185"/>
      <c r="I295" s="215"/>
      <c r="J295" s="185"/>
      <c r="K295" s="185"/>
      <c r="L295" s="185"/>
      <c r="M295" s="185"/>
    </row>
    <row r="296" ht="15.75" customHeight="1">
      <c r="A296" s="213"/>
      <c r="B296" s="214"/>
      <c r="C296" s="57"/>
      <c r="D296" s="185"/>
      <c r="E296" s="215"/>
      <c r="F296" s="215"/>
      <c r="G296" s="215"/>
      <c r="H296" s="185"/>
      <c r="I296" s="215"/>
      <c r="J296" s="185"/>
      <c r="K296" s="185"/>
      <c r="L296" s="185"/>
      <c r="M296" s="185"/>
    </row>
    <row r="297" ht="15.75" customHeight="1">
      <c r="A297" s="213"/>
      <c r="B297" s="214"/>
      <c r="C297" s="57"/>
      <c r="D297" s="185"/>
      <c r="E297" s="215"/>
      <c r="F297" s="215"/>
      <c r="G297" s="215"/>
      <c r="H297" s="185"/>
      <c r="I297" s="215"/>
      <c r="J297" s="185"/>
      <c r="K297" s="185"/>
      <c r="L297" s="185"/>
      <c r="M297" s="185"/>
    </row>
    <row r="298" ht="15.75" customHeight="1">
      <c r="A298" s="213"/>
      <c r="B298" s="214"/>
      <c r="C298" s="57"/>
      <c r="D298" s="185"/>
      <c r="E298" s="215"/>
      <c r="F298" s="215"/>
      <c r="G298" s="215"/>
      <c r="H298" s="185"/>
      <c r="I298" s="215"/>
      <c r="J298" s="185"/>
      <c r="K298" s="185"/>
      <c r="L298" s="185"/>
      <c r="M298" s="185"/>
    </row>
    <row r="299" ht="15.75" customHeight="1">
      <c r="A299" s="213"/>
      <c r="B299" s="214"/>
      <c r="C299" s="57"/>
      <c r="D299" s="185"/>
      <c r="E299" s="215"/>
      <c r="F299" s="215"/>
      <c r="G299" s="215"/>
      <c r="H299" s="185"/>
      <c r="I299" s="215"/>
      <c r="J299" s="185"/>
      <c r="K299" s="185"/>
      <c r="L299" s="185"/>
      <c r="M299" s="185"/>
    </row>
    <row r="300" ht="15.75" customHeight="1">
      <c r="A300" s="213"/>
      <c r="B300" s="214"/>
      <c r="C300" s="57"/>
      <c r="D300" s="185"/>
      <c r="E300" s="215"/>
      <c r="F300" s="215"/>
      <c r="G300" s="215"/>
      <c r="H300" s="185"/>
      <c r="I300" s="215"/>
      <c r="J300" s="185"/>
      <c r="K300" s="185"/>
      <c r="L300" s="185"/>
      <c r="M300" s="185"/>
    </row>
    <row r="301" ht="15.75" customHeight="1">
      <c r="A301" s="213"/>
      <c r="B301" s="214"/>
      <c r="C301" s="57"/>
      <c r="D301" s="185"/>
      <c r="E301" s="215"/>
      <c r="F301" s="215"/>
      <c r="G301" s="215"/>
      <c r="H301" s="185"/>
      <c r="I301" s="215"/>
      <c r="J301" s="185"/>
      <c r="K301" s="185"/>
      <c r="L301" s="185"/>
      <c r="M301" s="185"/>
    </row>
    <row r="302" ht="15.75" customHeight="1">
      <c r="A302" s="213"/>
      <c r="B302" s="214"/>
      <c r="C302" s="57"/>
      <c r="D302" s="185"/>
      <c r="E302" s="215"/>
      <c r="F302" s="215"/>
      <c r="G302" s="215"/>
      <c r="H302" s="185"/>
      <c r="I302" s="215"/>
      <c r="J302" s="185"/>
      <c r="K302" s="185"/>
      <c r="L302" s="185"/>
      <c r="M302" s="185"/>
    </row>
    <row r="303" ht="15.75" customHeight="1">
      <c r="A303" s="213"/>
      <c r="B303" s="214"/>
      <c r="C303" s="57"/>
      <c r="D303" s="185"/>
      <c r="E303" s="215"/>
      <c r="F303" s="215"/>
      <c r="G303" s="215"/>
      <c r="H303" s="185"/>
      <c r="I303" s="215"/>
      <c r="J303" s="185"/>
      <c r="K303" s="185"/>
      <c r="L303" s="185"/>
      <c r="M303" s="185"/>
    </row>
    <row r="304" ht="15.75" customHeight="1">
      <c r="A304" s="213"/>
      <c r="B304" s="214"/>
      <c r="C304" s="57"/>
      <c r="D304" s="185"/>
      <c r="E304" s="215"/>
      <c r="F304" s="215"/>
      <c r="G304" s="215"/>
      <c r="H304" s="185"/>
      <c r="I304" s="215"/>
      <c r="J304" s="185"/>
      <c r="K304" s="185"/>
      <c r="L304" s="185"/>
      <c r="M304" s="185"/>
    </row>
    <row r="305" ht="15.75" customHeight="1">
      <c r="A305" s="213"/>
      <c r="B305" s="214"/>
      <c r="C305" s="57"/>
      <c r="D305" s="185"/>
      <c r="E305" s="215"/>
      <c r="F305" s="215"/>
      <c r="G305" s="215"/>
      <c r="H305" s="185"/>
      <c r="I305" s="215"/>
      <c r="J305" s="185"/>
      <c r="K305" s="185"/>
      <c r="L305" s="185"/>
      <c r="M305" s="185"/>
    </row>
    <row r="306" ht="15.75" customHeight="1">
      <c r="A306" s="213"/>
      <c r="B306" s="214"/>
      <c r="C306" s="57"/>
      <c r="D306" s="185"/>
      <c r="E306" s="215"/>
      <c r="F306" s="215"/>
      <c r="G306" s="215"/>
      <c r="H306" s="185"/>
      <c r="I306" s="215"/>
      <c r="J306" s="185"/>
      <c r="K306" s="185"/>
      <c r="L306" s="185"/>
      <c r="M306" s="185"/>
    </row>
    <row r="307" ht="15.75" customHeight="1">
      <c r="A307" s="213"/>
      <c r="B307" s="214"/>
      <c r="C307" s="57"/>
      <c r="D307" s="185"/>
      <c r="E307" s="215"/>
      <c r="F307" s="215"/>
      <c r="G307" s="215"/>
      <c r="H307" s="185"/>
      <c r="I307" s="215"/>
      <c r="J307" s="185"/>
      <c r="K307" s="185"/>
      <c r="L307" s="185"/>
      <c r="M307" s="185"/>
    </row>
    <row r="308" ht="15.75" customHeight="1">
      <c r="A308" s="213"/>
      <c r="B308" s="214"/>
      <c r="C308" s="57"/>
      <c r="D308" s="185"/>
      <c r="E308" s="215"/>
      <c r="F308" s="215"/>
      <c r="G308" s="215"/>
      <c r="H308" s="185"/>
      <c r="I308" s="215"/>
      <c r="J308" s="185"/>
      <c r="K308" s="185"/>
      <c r="L308" s="185"/>
      <c r="M308" s="185"/>
    </row>
    <row r="309" ht="15.75" customHeight="1">
      <c r="A309" s="213"/>
      <c r="B309" s="214"/>
      <c r="C309" s="57"/>
      <c r="D309" s="185"/>
      <c r="E309" s="215"/>
      <c r="F309" s="215"/>
      <c r="G309" s="215"/>
      <c r="H309" s="185"/>
      <c r="I309" s="215"/>
      <c r="J309" s="185"/>
      <c r="K309" s="185"/>
      <c r="L309" s="185"/>
      <c r="M309" s="185"/>
    </row>
    <row r="310" ht="15.75" customHeight="1">
      <c r="A310" s="213"/>
      <c r="B310" s="214"/>
      <c r="C310" s="57"/>
      <c r="D310" s="185"/>
      <c r="E310" s="215"/>
      <c r="F310" s="215"/>
      <c r="G310" s="215"/>
      <c r="H310" s="185"/>
      <c r="I310" s="215"/>
      <c r="J310" s="185"/>
      <c r="K310" s="185"/>
      <c r="L310" s="185"/>
      <c r="M310" s="185"/>
    </row>
    <row r="311" ht="15.75" customHeight="1">
      <c r="A311" s="213"/>
      <c r="B311" s="214"/>
      <c r="C311" s="57"/>
      <c r="D311" s="185"/>
      <c r="E311" s="215"/>
      <c r="F311" s="215"/>
      <c r="G311" s="215"/>
      <c r="H311" s="185"/>
      <c r="I311" s="215"/>
      <c r="J311" s="185"/>
      <c r="K311" s="185"/>
      <c r="L311" s="185"/>
      <c r="M311" s="185"/>
    </row>
    <row r="312" ht="15.75" customHeight="1">
      <c r="A312" s="213"/>
      <c r="B312" s="214"/>
      <c r="C312" s="57"/>
      <c r="D312" s="185"/>
      <c r="E312" s="215"/>
      <c r="F312" s="215"/>
      <c r="G312" s="215"/>
      <c r="H312" s="185"/>
      <c r="I312" s="215"/>
      <c r="J312" s="185"/>
      <c r="K312" s="185"/>
      <c r="L312" s="185"/>
      <c r="M312" s="185"/>
    </row>
    <row r="313" ht="15.75" customHeight="1">
      <c r="A313" s="213"/>
      <c r="B313" s="214"/>
      <c r="C313" s="57"/>
      <c r="D313" s="185"/>
      <c r="E313" s="215"/>
      <c r="F313" s="215"/>
      <c r="G313" s="215"/>
      <c r="H313" s="185"/>
      <c r="I313" s="215"/>
      <c r="J313" s="185"/>
      <c r="K313" s="185"/>
      <c r="L313" s="185"/>
      <c r="M313" s="185"/>
    </row>
    <row r="314" ht="15.75" customHeight="1">
      <c r="A314" s="213"/>
      <c r="B314" s="214"/>
      <c r="C314" s="57"/>
      <c r="D314" s="185"/>
      <c r="E314" s="215"/>
      <c r="F314" s="215"/>
      <c r="G314" s="215"/>
      <c r="H314" s="185"/>
      <c r="I314" s="215"/>
      <c r="J314" s="185"/>
      <c r="K314" s="185"/>
      <c r="L314" s="185"/>
      <c r="M314" s="185"/>
    </row>
    <row r="315" ht="15.75" customHeight="1">
      <c r="A315" s="213"/>
      <c r="B315" s="214"/>
      <c r="C315" s="57"/>
      <c r="D315" s="185"/>
      <c r="E315" s="215"/>
      <c r="F315" s="215"/>
      <c r="G315" s="215"/>
      <c r="H315" s="185"/>
      <c r="I315" s="215"/>
      <c r="J315" s="185"/>
      <c r="K315" s="185"/>
      <c r="L315" s="185"/>
      <c r="M315" s="185"/>
    </row>
    <row r="316" ht="15.75" customHeight="1">
      <c r="A316" s="213"/>
      <c r="B316" s="214"/>
      <c r="C316" s="57"/>
      <c r="D316" s="185"/>
      <c r="E316" s="215"/>
      <c r="F316" s="215"/>
      <c r="G316" s="215"/>
      <c r="H316" s="185"/>
      <c r="I316" s="215"/>
      <c r="J316" s="185"/>
      <c r="K316" s="185"/>
      <c r="L316" s="185"/>
      <c r="M316" s="185"/>
    </row>
    <row r="317" ht="15.75" customHeight="1">
      <c r="A317" s="213"/>
      <c r="B317" s="214"/>
      <c r="C317" s="57"/>
      <c r="D317" s="185"/>
      <c r="E317" s="215"/>
      <c r="F317" s="215"/>
      <c r="G317" s="215"/>
      <c r="H317" s="185"/>
      <c r="I317" s="215"/>
      <c r="J317" s="185"/>
      <c r="K317" s="185"/>
      <c r="L317" s="185"/>
      <c r="M317" s="185"/>
    </row>
    <row r="318" ht="15.75" customHeight="1">
      <c r="A318" s="213"/>
      <c r="B318" s="214"/>
      <c r="C318" s="57"/>
      <c r="D318" s="185"/>
      <c r="E318" s="215"/>
      <c r="F318" s="215"/>
      <c r="G318" s="215"/>
      <c r="H318" s="185"/>
      <c r="I318" s="215"/>
      <c r="J318" s="185"/>
      <c r="K318" s="185"/>
      <c r="L318" s="185"/>
      <c r="M318" s="185"/>
    </row>
    <row r="319" ht="15.75" customHeight="1">
      <c r="A319" s="213"/>
      <c r="B319" s="214"/>
      <c r="C319" s="57"/>
      <c r="D319" s="185"/>
      <c r="E319" s="215"/>
      <c r="F319" s="215"/>
      <c r="G319" s="215"/>
      <c r="H319" s="185"/>
      <c r="I319" s="215"/>
      <c r="J319" s="185"/>
      <c r="K319" s="185"/>
      <c r="L319" s="185"/>
      <c r="M319" s="185"/>
    </row>
    <row r="320" ht="15.75" customHeight="1">
      <c r="A320" s="213"/>
      <c r="B320" s="214"/>
      <c r="C320" s="57"/>
      <c r="D320" s="185"/>
      <c r="E320" s="215"/>
      <c r="F320" s="215"/>
      <c r="G320" s="215"/>
      <c r="H320" s="185"/>
      <c r="I320" s="215"/>
      <c r="J320" s="185"/>
      <c r="K320" s="185"/>
      <c r="L320" s="185"/>
      <c r="M320" s="185"/>
    </row>
    <row r="321" ht="15.75" customHeight="1">
      <c r="A321" s="213"/>
      <c r="B321" s="214"/>
      <c r="C321" s="57"/>
      <c r="D321" s="185"/>
      <c r="E321" s="215"/>
      <c r="F321" s="215"/>
      <c r="G321" s="215"/>
      <c r="H321" s="185"/>
      <c r="I321" s="215"/>
      <c r="J321" s="185"/>
      <c r="K321" s="185"/>
      <c r="L321" s="185"/>
      <c r="M321" s="185"/>
    </row>
    <row r="322" ht="15.75" customHeight="1">
      <c r="A322" s="213"/>
      <c r="B322" s="214"/>
      <c r="C322" s="57"/>
      <c r="D322" s="185"/>
      <c r="E322" s="215"/>
      <c r="F322" s="215"/>
      <c r="G322" s="215"/>
      <c r="H322" s="185"/>
      <c r="I322" s="215"/>
      <c r="J322" s="185"/>
      <c r="K322" s="185"/>
      <c r="L322" s="185"/>
      <c r="M322" s="185"/>
    </row>
    <row r="323" ht="15.75" customHeight="1">
      <c r="A323" s="213"/>
      <c r="B323" s="214"/>
      <c r="C323" s="57"/>
      <c r="D323" s="185"/>
      <c r="E323" s="215"/>
      <c r="F323" s="215"/>
      <c r="G323" s="215"/>
      <c r="H323" s="185"/>
      <c r="I323" s="215"/>
      <c r="J323" s="185"/>
      <c r="K323" s="185"/>
      <c r="L323" s="185"/>
      <c r="M323" s="185"/>
    </row>
    <row r="324" ht="15.75" customHeight="1">
      <c r="A324" s="213"/>
      <c r="B324" s="214"/>
      <c r="C324" s="57"/>
      <c r="D324" s="185"/>
      <c r="E324" s="215"/>
      <c r="F324" s="215"/>
      <c r="G324" s="215"/>
      <c r="H324" s="185"/>
      <c r="I324" s="215"/>
      <c r="J324" s="185"/>
      <c r="K324" s="185"/>
      <c r="L324" s="185"/>
      <c r="M324" s="185"/>
    </row>
    <row r="325" ht="15.75" customHeight="1">
      <c r="A325" s="213"/>
      <c r="B325" s="214"/>
      <c r="C325" s="57"/>
      <c r="D325" s="185"/>
      <c r="E325" s="215"/>
      <c r="F325" s="215"/>
      <c r="G325" s="215"/>
      <c r="H325" s="185"/>
      <c r="I325" s="215"/>
      <c r="J325" s="185"/>
      <c r="K325" s="185"/>
      <c r="L325" s="185"/>
      <c r="M325" s="185"/>
    </row>
    <row r="326" ht="15.75" customHeight="1">
      <c r="A326" s="213"/>
      <c r="B326" s="214"/>
      <c r="C326" s="57"/>
      <c r="D326" s="185"/>
      <c r="E326" s="215"/>
      <c r="F326" s="215"/>
      <c r="G326" s="215"/>
      <c r="H326" s="185"/>
      <c r="I326" s="215"/>
      <c r="J326" s="185"/>
      <c r="K326" s="185"/>
      <c r="L326" s="185"/>
      <c r="M326" s="185"/>
    </row>
    <row r="327" ht="15.75" customHeight="1">
      <c r="A327" s="213"/>
      <c r="B327" s="214"/>
      <c r="C327" s="57"/>
      <c r="D327" s="185"/>
      <c r="E327" s="215"/>
      <c r="F327" s="215"/>
      <c r="G327" s="215"/>
      <c r="H327" s="185"/>
      <c r="I327" s="215"/>
      <c r="J327" s="185"/>
      <c r="K327" s="185"/>
      <c r="L327" s="185"/>
      <c r="M327" s="185"/>
    </row>
    <row r="328" ht="15.75" customHeight="1">
      <c r="A328" s="213"/>
      <c r="B328" s="214"/>
      <c r="C328" s="57"/>
      <c r="D328" s="185"/>
      <c r="E328" s="215"/>
      <c r="F328" s="215"/>
      <c r="G328" s="215"/>
      <c r="H328" s="185"/>
      <c r="I328" s="215"/>
      <c r="J328" s="185"/>
      <c r="K328" s="185"/>
      <c r="L328" s="185"/>
      <c r="M328" s="185"/>
    </row>
    <row r="329" ht="15.75" customHeight="1">
      <c r="A329" s="213"/>
      <c r="B329" s="214"/>
      <c r="C329" s="57"/>
      <c r="D329" s="185"/>
      <c r="E329" s="215"/>
      <c r="F329" s="215"/>
      <c r="G329" s="215"/>
      <c r="H329" s="185"/>
      <c r="I329" s="215"/>
      <c r="J329" s="185"/>
      <c r="K329" s="185"/>
      <c r="L329" s="185"/>
      <c r="M329" s="185"/>
    </row>
    <row r="330" ht="15.75" customHeight="1">
      <c r="A330" s="213"/>
      <c r="B330" s="214"/>
      <c r="C330" s="57"/>
      <c r="D330" s="185"/>
      <c r="E330" s="215"/>
      <c r="F330" s="215"/>
      <c r="G330" s="215"/>
      <c r="H330" s="185"/>
      <c r="I330" s="215"/>
      <c r="J330" s="185"/>
      <c r="K330" s="185"/>
      <c r="L330" s="185"/>
      <c r="M330" s="185"/>
    </row>
    <row r="331" ht="15.75" customHeight="1">
      <c r="A331" s="213"/>
      <c r="B331" s="214"/>
      <c r="C331" s="57"/>
      <c r="D331" s="185"/>
      <c r="E331" s="215"/>
      <c r="F331" s="215"/>
      <c r="G331" s="215"/>
      <c r="H331" s="185"/>
      <c r="I331" s="215"/>
      <c r="J331" s="185"/>
      <c r="K331" s="185"/>
      <c r="L331" s="185"/>
      <c r="M331" s="185"/>
    </row>
    <row r="332" ht="15.75" customHeight="1">
      <c r="A332" s="213"/>
      <c r="B332" s="214"/>
      <c r="C332" s="57"/>
      <c r="D332" s="185"/>
      <c r="E332" s="215"/>
      <c r="F332" s="215"/>
      <c r="G332" s="215"/>
      <c r="H332" s="185"/>
      <c r="I332" s="215"/>
      <c r="J332" s="185"/>
      <c r="K332" s="185"/>
      <c r="L332" s="185"/>
      <c r="M332" s="185"/>
    </row>
    <row r="333" ht="15.75" customHeight="1">
      <c r="A333" s="213"/>
      <c r="B333" s="214"/>
      <c r="C333" s="57"/>
      <c r="D333" s="185"/>
      <c r="E333" s="215"/>
      <c r="F333" s="215"/>
      <c r="G333" s="215"/>
      <c r="H333" s="185"/>
      <c r="I333" s="215"/>
      <c r="J333" s="185"/>
      <c r="K333" s="185"/>
      <c r="L333" s="185"/>
      <c r="M333" s="185"/>
    </row>
    <row r="334" ht="15.75" customHeight="1">
      <c r="A334" s="213"/>
      <c r="B334" s="214"/>
      <c r="C334" s="57"/>
      <c r="D334" s="185"/>
      <c r="E334" s="215"/>
      <c r="F334" s="215"/>
      <c r="G334" s="215"/>
      <c r="H334" s="185"/>
      <c r="I334" s="215"/>
      <c r="J334" s="185"/>
      <c r="K334" s="185"/>
      <c r="L334" s="185"/>
      <c r="M334" s="185"/>
    </row>
    <row r="335" ht="15.75" customHeight="1">
      <c r="A335" s="213"/>
      <c r="B335" s="214"/>
      <c r="C335" s="57"/>
      <c r="D335" s="185"/>
      <c r="E335" s="215"/>
      <c r="F335" s="215"/>
      <c r="G335" s="215"/>
      <c r="H335" s="185"/>
      <c r="I335" s="215"/>
      <c r="J335" s="185"/>
      <c r="K335" s="185"/>
      <c r="L335" s="185"/>
      <c r="M335" s="185"/>
    </row>
    <row r="336" ht="15.75" customHeight="1">
      <c r="A336" s="213"/>
      <c r="B336" s="214"/>
      <c r="C336" s="57"/>
      <c r="D336" s="185"/>
      <c r="E336" s="215"/>
      <c r="F336" s="215"/>
      <c r="G336" s="215"/>
      <c r="H336" s="185"/>
      <c r="I336" s="215"/>
      <c r="J336" s="185"/>
      <c r="K336" s="185"/>
      <c r="L336" s="185"/>
      <c r="M336" s="185"/>
    </row>
    <row r="337" ht="15.75" customHeight="1">
      <c r="A337" s="213"/>
      <c r="B337" s="214"/>
      <c r="C337" s="57"/>
      <c r="D337" s="185"/>
      <c r="E337" s="215"/>
      <c r="F337" s="215"/>
      <c r="G337" s="215"/>
      <c r="H337" s="185"/>
      <c r="I337" s="215"/>
      <c r="J337" s="185"/>
      <c r="K337" s="185"/>
      <c r="L337" s="185"/>
      <c r="M337" s="185"/>
    </row>
    <row r="338" ht="15.75" customHeight="1">
      <c r="A338" s="213"/>
      <c r="B338" s="214"/>
      <c r="C338" s="57"/>
      <c r="D338" s="185"/>
      <c r="E338" s="215"/>
      <c r="F338" s="215"/>
      <c r="G338" s="215"/>
      <c r="H338" s="185"/>
      <c r="I338" s="215"/>
      <c r="J338" s="185"/>
      <c r="K338" s="185"/>
      <c r="L338" s="185"/>
      <c r="M338" s="185"/>
    </row>
    <row r="339" ht="15.75" customHeight="1">
      <c r="A339" s="213"/>
      <c r="B339" s="214"/>
      <c r="C339" s="57"/>
      <c r="D339" s="185"/>
      <c r="E339" s="215"/>
      <c r="F339" s="215"/>
      <c r="G339" s="215"/>
      <c r="H339" s="185"/>
      <c r="I339" s="215"/>
      <c r="J339" s="185"/>
      <c r="K339" s="185"/>
      <c r="L339" s="185"/>
      <c r="M339" s="185"/>
    </row>
    <row r="340" ht="15.75" customHeight="1">
      <c r="A340" s="213"/>
      <c r="B340" s="214"/>
      <c r="C340" s="57"/>
      <c r="D340" s="185"/>
      <c r="E340" s="215"/>
      <c r="F340" s="215"/>
      <c r="G340" s="215"/>
      <c r="H340" s="185"/>
      <c r="I340" s="215"/>
      <c r="J340" s="185"/>
      <c r="K340" s="185"/>
      <c r="L340" s="185"/>
      <c r="M340" s="185"/>
    </row>
    <row r="341" ht="15.75" customHeight="1">
      <c r="A341" s="213"/>
      <c r="B341" s="214"/>
      <c r="C341" s="57"/>
      <c r="D341" s="185"/>
      <c r="E341" s="215"/>
      <c r="F341" s="215"/>
      <c r="G341" s="215"/>
      <c r="H341" s="185"/>
      <c r="I341" s="215"/>
      <c r="J341" s="185"/>
      <c r="K341" s="185"/>
      <c r="L341" s="185"/>
      <c r="M341" s="185"/>
    </row>
    <row r="342" ht="15.75" customHeight="1">
      <c r="A342" s="213"/>
      <c r="B342" s="214"/>
      <c r="C342" s="57"/>
      <c r="D342" s="185"/>
      <c r="E342" s="215"/>
      <c r="F342" s="215"/>
      <c r="G342" s="215"/>
      <c r="H342" s="185"/>
      <c r="I342" s="215"/>
      <c r="J342" s="185"/>
      <c r="K342" s="185"/>
      <c r="L342" s="185"/>
      <c r="M342" s="185"/>
    </row>
    <row r="343" ht="15.75" customHeight="1">
      <c r="A343" s="213"/>
      <c r="B343" s="214"/>
      <c r="C343" s="57"/>
      <c r="D343" s="185"/>
      <c r="E343" s="215"/>
      <c r="F343" s="215"/>
      <c r="G343" s="215"/>
      <c r="H343" s="185"/>
      <c r="I343" s="215"/>
      <c r="J343" s="185"/>
      <c r="K343" s="185"/>
      <c r="L343" s="185"/>
      <c r="M343" s="185"/>
    </row>
    <row r="344" ht="15.75" customHeight="1">
      <c r="A344" s="213"/>
      <c r="B344" s="214"/>
      <c r="C344" s="57"/>
      <c r="D344" s="185"/>
      <c r="E344" s="215"/>
      <c r="F344" s="215"/>
      <c r="G344" s="215"/>
      <c r="H344" s="185"/>
      <c r="I344" s="215"/>
      <c r="J344" s="185"/>
      <c r="K344" s="185"/>
      <c r="L344" s="185"/>
      <c r="M344" s="185"/>
    </row>
    <row r="345" ht="15.75" customHeight="1">
      <c r="A345" s="213"/>
      <c r="B345" s="214"/>
      <c r="C345" s="57"/>
      <c r="D345" s="185"/>
      <c r="E345" s="215"/>
      <c r="F345" s="215"/>
      <c r="G345" s="215"/>
      <c r="H345" s="185"/>
      <c r="I345" s="215"/>
      <c r="J345" s="185"/>
      <c r="K345" s="185"/>
      <c r="L345" s="185"/>
      <c r="M345" s="185"/>
    </row>
    <row r="346" ht="15.75" customHeight="1">
      <c r="A346" s="213"/>
      <c r="B346" s="214"/>
      <c r="C346" s="57"/>
      <c r="D346" s="185"/>
      <c r="E346" s="215"/>
      <c r="F346" s="215"/>
      <c r="G346" s="215"/>
      <c r="H346" s="185"/>
      <c r="I346" s="215"/>
      <c r="J346" s="185"/>
      <c r="K346" s="185"/>
      <c r="L346" s="185"/>
      <c r="M346" s="185"/>
    </row>
    <row r="347" ht="15.75" customHeight="1">
      <c r="A347" s="213"/>
      <c r="B347" s="214"/>
      <c r="C347" s="57"/>
      <c r="D347" s="185"/>
      <c r="E347" s="215"/>
      <c r="F347" s="215"/>
      <c r="G347" s="215"/>
      <c r="H347" s="185"/>
      <c r="I347" s="215"/>
      <c r="J347" s="185"/>
      <c r="K347" s="185"/>
      <c r="L347" s="185"/>
      <c r="M347" s="185"/>
    </row>
    <row r="348" ht="15.75" customHeight="1">
      <c r="A348" s="213"/>
      <c r="B348" s="214"/>
      <c r="C348" s="57"/>
      <c r="D348" s="185"/>
      <c r="E348" s="215"/>
      <c r="F348" s="215"/>
      <c r="G348" s="215"/>
      <c r="H348" s="185"/>
      <c r="I348" s="215"/>
      <c r="J348" s="185"/>
      <c r="K348" s="185"/>
      <c r="L348" s="185"/>
      <c r="M348" s="185"/>
    </row>
    <row r="349" ht="15.75" customHeight="1">
      <c r="A349" s="213"/>
      <c r="B349" s="214"/>
      <c r="C349" s="57"/>
      <c r="D349" s="185"/>
      <c r="E349" s="215"/>
      <c r="F349" s="215"/>
      <c r="G349" s="215"/>
      <c r="H349" s="185"/>
      <c r="I349" s="215"/>
      <c r="J349" s="185"/>
      <c r="K349" s="185"/>
      <c r="L349" s="185"/>
      <c r="M349" s="185"/>
    </row>
    <row r="350" ht="15.75" customHeight="1">
      <c r="A350" s="213"/>
      <c r="B350" s="214"/>
      <c r="C350" s="57"/>
      <c r="D350" s="185"/>
      <c r="E350" s="215"/>
      <c r="F350" s="215"/>
      <c r="G350" s="215"/>
      <c r="H350" s="185"/>
      <c r="I350" s="215"/>
      <c r="J350" s="185"/>
      <c r="K350" s="185"/>
      <c r="L350" s="185"/>
      <c r="M350" s="185"/>
    </row>
    <row r="351" ht="15.75" customHeight="1">
      <c r="A351" s="213"/>
      <c r="B351" s="214"/>
      <c r="C351" s="57"/>
      <c r="D351" s="185"/>
      <c r="E351" s="215"/>
      <c r="F351" s="215"/>
      <c r="G351" s="215"/>
      <c r="H351" s="185"/>
      <c r="I351" s="215"/>
      <c r="J351" s="185"/>
      <c r="K351" s="185"/>
      <c r="L351" s="185"/>
      <c r="M351" s="185"/>
    </row>
    <row r="352" ht="15.75" customHeight="1">
      <c r="A352" s="213"/>
      <c r="B352" s="214"/>
      <c r="C352" s="57"/>
      <c r="D352" s="185"/>
      <c r="E352" s="215"/>
      <c r="F352" s="215"/>
      <c r="G352" s="215"/>
      <c r="H352" s="185"/>
      <c r="I352" s="215"/>
      <c r="J352" s="185"/>
      <c r="K352" s="185"/>
      <c r="L352" s="185"/>
      <c r="M352" s="185"/>
    </row>
    <row r="353" ht="15.75" customHeight="1">
      <c r="A353" s="213"/>
      <c r="B353" s="214"/>
      <c r="C353" s="57"/>
      <c r="D353" s="185"/>
      <c r="E353" s="215"/>
      <c r="F353" s="215"/>
      <c r="G353" s="215"/>
      <c r="H353" s="185"/>
      <c r="I353" s="215"/>
      <c r="J353" s="185"/>
      <c r="K353" s="185"/>
      <c r="L353" s="185"/>
      <c r="M353" s="185"/>
    </row>
    <row r="354" ht="15.75" customHeight="1">
      <c r="A354" s="213"/>
      <c r="B354" s="214"/>
      <c r="C354" s="57"/>
      <c r="D354" s="185"/>
      <c r="E354" s="215"/>
      <c r="F354" s="215"/>
      <c r="G354" s="215"/>
      <c r="H354" s="185"/>
      <c r="I354" s="215"/>
      <c r="J354" s="185"/>
      <c r="K354" s="185"/>
      <c r="L354" s="185"/>
      <c r="M354" s="185"/>
    </row>
    <row r="355" ht="15.75" customHeight="1">
      <c r="A355" s="213"/>
      <c r="B355" s="214"/>
      <c r="C355" s="57"/>
      <c r="D355" s="185"/>
      <c r="E355" s="215"/>
      <c r="F355" s="215"/>
      <c r="G355" s="215"/>
      <c r="H355" s="185"/>
      <c r="I355" s="215"/>
      <c r="J355" s="185"/>
      <c r="K355" s="185"/>
      <c r="L355" s="185"/>
      <c r="M355" s="185"/>
    </row>
    <row r="356" ht="15.75" customHeight="1">
      <c r="A356" s="213"/>
      <c r="B356" s="214"/>
      <c r="C356" s="57"/>
      <c r="D356" s="185"/>
      <c r="E356" s="215"/>
      <c r="F356" s="215"/>
      <c r="G356" s="215"/>
      <c r="H356" s="185"/>
      <c r="I356" s="215"/>
      <c r="J356" s="185"/>
      <c r="K356" s="185"/>
      <c r="L356" s="185"/>
      <c r="M356" s="185"/>
    </row>
    <row r="357" ht="15.75" customHeight="1">
      <c r="A357" s="213"/>
      <c r="B357" s="214"/>
      <c r="C357" s="57"/>
      <c r="D357" s="185"/>
      <c r="E357" s="215"/>
      <c r="F357" s="215"/>
      <c r="G357" s="215"/>
      <c r="H357" s="185"/>
      <c r="I357" s="215"/>
      <c r="J357" s="185"/>
      <c r="K357" s="185"/>
      <c r="L357" s="185"/>
      <c r="M357" s="185"/>
    </row>
    <row r="358" ht="15.75" customHeight="1">
      <c r="A358" s="213"/>
      <c r="B358" s="214"/>
      <c r="C358" s="57"/>
      <c r="D358" s="185"/>
      <c r="E358" s="215"/>
      <c r="F358" s="215"/>
      <c r="G358" s="215"/>
      <c r="H358" s="185"/>
      <c r="I358" s="215"/>
      <c r="J358" s="185"/>
      <c r="K358" s="185"/>
      <c r="L358" s="185"/>
      <c r="M358" s="185"/>
    </row>
    <row r="359" ht="15.75" customHeight="1">
      <c r="A359" s="213"/>
      <c r="B359" s="214"/>
      <c r="C359" s="57"/>
      <c r="D359" s="185"/>
      <c r="E359" s="215"/>
      <c r="F359" s="215"/>
      <c r="G359" s="215"/>
      <c r="H359" s="185"/>
      <c r="I359" s="215"/>
      <c r="J359" s="185"/>
      <c r="K359" s="185"/>
      <c r="L359" s="185"/>
      <c r="M359" s="185"/>
    </row>
    <row r="360" ht="15.75" customHeight="1">
      <c r="A360" s="213"/>
      <c r="B360" s="214"/>
      <c r="C360" s="57"/>
      <c r="D360" s="185"/>
      <c r="E360" s="215"/>
      <c r="F360" s="215"/>
      <c r="G360" s="215"/>
      <c r="H360" s="185"/>
      <c r="I360" s="215"/>
      <c r="J360" s="185"/>
      <c r="K360" s="185"/>
      <c r="L360" s="185"/>
      <c r="M360" s="185"/>
    </row>
    <row r="361" ht="15.75" customHeight="1">
      <c r="A361" s="213"/>
      <c r="B361" s="214"/>
      <c r="C361" s="57"/>
      <c r="D361" s="185"/>
      <c r="E361" s="215"/>
      <c r="F361" s="215"/>
      <c r="G361" s="215"/>
      <c r="H361" s="185"/>
      <c r="I361" s="215"/>
      <c r="J361" s="185"/>
      <c r="K361" s="185"/>
      <c r="L361" s="185"/>
      <c r="M361" s="185"/>
    </row>
    <row r="362" ht="15.75" customHeight="1">
      <c r="A362" s="213"/>
      <c r="B362" s="214"/>
      <c r="C362" s="57"/>
      <c r="D362" s="185"/>
      <c r="E362" s="215"/>
      <c r="F362" s="215"/>
      <c r="G362" s="215"/>
      <c r="H362" s="185"/>
      <c r="I362" s="215"/>
      <c r="J362" s="185"/>
      <c r="K362" s="185"/>
      <c r="L362" s="185"/>
      <c r="M362" s="185"/>
    </row>
    <row r="363" ht="15.75" customHeight="1">
      <c r="A363" s="213"/>
      <c r="B363" s="214"/>
      <c r="C363" s="57"/>
      <c r="D363" s="185"/>
      <c r="E363" s="215"/>
      <c r="F363" s="215"/>
      <c r="G363" s="215"/>
      <c r="H363" s="185"/>
      <c r="I363" s="215"/>
      <c r="J363" s="185"/>
      <c r="K363" s="185"/>
      <c r="L363" s="185"/>
      <c r="M363" s="185"/>
    </row>
    <row r="364" ht="15.75" customHeight="1">
      <c r="A364" s="213"/>
      <c r="B364" s="214"/>
      <c r="C364" s="57"/>
      <c r="D364" s="185"/>
      <c r="E364" s="215"/>
      <c r="F364" s="215"/>
      <c r="G364" s="215"/>
      <c r="H364" s="185"/>
      <c r="I364" s="215"/>
      <c r="J364" s="185"/>
      <c r="K364" s="185"/>
      <c r="L364" s="185"/>
      <c r="M364" s="185"/>
    </row>
    <row r="365" ht="15.75" customHeight="1">
      <c r="A365" s="213"/>
      <c r="B365" s="214"/>
      <c r="C365" s="57"/>
      <c r="D365" s="185"/>
      <c r="E365" s="215"/>
      <c r="F365" s="215"/>
      <c r="G365" s="215"/>
      <c r="H365" s="185"/>
      <c r="I365" s="215"/>
      <c r="J365" s="185"/>
      <c r="K365" s="185"/>
      <c r="L365" s="185"/>
      <c r="M365" s="185"/>
    </row>
    <row r="366" ht="15.75" customHeight="1">
      <c r="A366" s="213"/>
      <c r="B366" s="214"/>
      <c r="C366" s="57"/>
      <c r="D366" s="185"/>
      <c r="E366" s="215"/>
      <c r="F366" s="215"/>
      <c r="G366" s="215"/>
      <c r="H366" s="185"/>
      <c r="I366" s="215"/>
      <c r="J366" s="185"/>
      <c r="K366" s="185"/>
      <c r="L366" s="185"/>
      <c r="M366" s="185"/>
    </row>
    <row r="367" ht="15.75" customHeight="1">
      <c r="A367" s="213"/>
      <c r="B367" s="214"/>
      <c r="C367" s="57"/>
      <c r="D367" s="185"/>
      <c r="E367" s="215"/>
      <c r="F367" s="215"/>
      <c r="G367" s="215"/>
      <c r="H367" s="185"/>
      <c r="I367" s="215"/>
      <c r="J367" s="185"/>
      <c r="K367" s="185"/>
      <c r="L367" s="185"/>
      <c r="M367" s="185"/>
    </row>
    <row r="368" ht="15.75" customHeight="1">
      <c r="A368" s="213"/>
      <c r="B368" s="214"/>
      <c r="C368" s="57"/>
      <c r="D368" s="185"/>
      <c r="E368" s="215"/>
      <c r="F368" s="215"/>
      <c r="G368" s="215"/>
      <c r="H368" s="185"/>
      <c r="I368" s="215"/>
      <c r="J368" s="185"/>
      <c r="K368" s="185"/>
      <c r="L368" s="185"/>
      <c r="M368" s="185"/>
    </row>
    <row r="369" ht="15.75" customHeight="1">
      <c r="A369" s="213"/>
      <c r="B369" s="214"/>
      <c r="C369" s="57"/>
      <c r="D369" s="185"/>
      <c r="E369" s="215"/>
      <c r="F369" s="215"/>
      <c r="G369" s="215"/>
      <c r="H369" s="185"/>
      <c r="I369" s="215"/>
      <c r="J369" s="185"/>
      <c r="K369" s="185"/>
      <c r="L369" s="185"/>
      <c r="M369" s="185"/>
    </row>
    <row r="370" ht="15.75" customHeight="1">
      <c r="A370" s="213"/>
      <c r="B370" s="214"/>
      <c r="C370" s="57"/>
      <c r="D370" s="185"/>
      <c r="E370" s="215"/>
      <c r="F370" s="215"/>
      <c r="G370" s="215"/>
      <c r="H370" s="185"/>
      <c r="I370" s="215"/>
      <c r="J370" s="185"/>
      <c r="K370" s="185"/>
      <c r="L370" s="185"/>
      <c r="M370" s="185"/>
    </row>
    <row r="371" ht="15.75" customHeight="1">
      <c r="A371" s="213"/>
      <c r="B371" s="214"/>
      <c r="C371" s="57"/>
      <c r="D371" s="185"/>
      <c r="E371" s="215"/>
      <c r="F371" s="215"/>
      <c r="G371" s="215"/>
      <c r="H371" s="185"/>
      <c r="I371" s="215"/>
      <c r="J371" s="185"/>
      <c r="K371" s="185"/>
      <c r="L371" s="185"/>
      <c r="M371" s="185"/>
    </row>
    <row r="372" ht="15.75" customHeight="1">
      <c r="A372" s="213"/>
      <c r="B372" s="214"/>
      <c r="C372" s="57"/>
      <c r="D372" s="185"/>
      <c r="E372" s="215"/>
      <c r="F372" s="215"/>
      <c r="G372" s="215"/>
      <c r="H372" s="185"/>
      <c r="I372" s="215"/>
      <c r="J372" s="185"/>
      <c r="K372" s="185"/>
      <c r="L372" s="185"/>
      <c r="M372" s="185"/>
    </row>
    <row r="373" ht="15.75" customHeight="1">
      <c r="A373" s="213"/>
      <c r="B373" s="214"/>
      <c r="C373" s="57"/>
      <c r="D373" s="185"/>
      <c r="E373" s="215"/>
      <c r="F373" s="215"/>
      <c r="G373" s="215"/>
      <c r="H373" s="185"/>
      <c r="I373" s="215"/>
      <c r="J373" s="185"/>
      <c r="K373" s="185"/>
      <c r="L373" s="185"/>
      <c r="M373" s="185"/>
    </row>
    <row r="374" ht="15.75" customHeight="1">
      <c r="A374" s="213"/>
      <c r="B374" s="214"/>
      <c r="C374" s="57"/>
      <c r="D374" s="185"/>
      <c r="E374" s="215"/>
      <c r="F374" s="215"/>
      <c r="G374" s="215"/>
      <c r="H374" s="185"/>
      <c r="I374" s="215"/>
      <c r="J374" s="185"/>
      <c r="K374" s="185"/>
      <c r="L374" s="185"/>
      <c r="M374" s="185"/>
    </row>
    <row r="375" ht="15.75" customHeight="1">
      <c r="A375" s="213"/>
      <c r="B375" s="214"/>
      <c r="C375" s="57"/>
      <c r="D375" s="185"/>
      <c r="E375" s="215"/>
      <c r="F375" s="215"/>
      <c r="G375" s="215"/>
      <c r="H375" s="185"/>
      <c r="I375" s="215"/>
      <c r="J375" s="185"/>
      <c r="K375" s="185"/>
      <c r="L375" s="185"/>
      <c r="M375" s="185"/>
    </row>
    <row r="376" ht="15.75" customHeight="1">
      <c r="A376" s="213"/>
      <c r="B376" s="214"/>
      <c r="C376" s="57"/>
      <c r="D376" s="185"/>
      <c r="E376" s="215"/>
      <c r="F376" s="215"/>
      <c r="G376" s="215"/>
      <c r="H376" s="185"/>
      <c r="I376" s="215"/>
      <c r="J376" s="185"/>
      <c r="K376" s="185"/>
      <c r="L376" s="185"/>
      <c r="M376" s="185"/>
    </row>
    <row r="377" ht="15.75" customHeight="1">
      <c r="A377" s="213"/>
      <c r="B377" s="214"/>
      <c r="C377" s="57"/>
      <c r="D377" s="185"/>
      <c r="E377" s="215"/>
      <c r="F377" s="215"/>
      <c r="G377" s="215"/>
      <c r="H377" s="185"/>
      <c r="I377" s="215"/>
      <c r="J377" s="185"/>
      <c r="K377" s="185"/>
      <c r="L377" s="185"/>
      <c r="M377" s="185"/>
    </row>
    <row r="378" ht="15.75" customHeight="1">
      <c r="A378" s="213"/>
      <c r="B378" s="214"/>
      <c r="C378" s="57"/>
      <c r="D378" s="185"/>
      <c r="E378" s="215"/>
      <c r="F378" s="215"/>
      <c r="G378" s="215"/>
      <c r="H378" s="185"/>
      <c r="I378" s="215"/>
      <c r="J378" s="185"/>
      <c r="K378" s="185"/>
      <c r="L378" s="185"/>
      <c r="M378" s="185"/>
    </row>
    <row r="379" ht="15.75" customHeight="1">
      <c r="A379" s="213"/>
      <c r="B379" s="214"/>
      <c r="C379" s="57"/>
      <c r="D379" s="185"/>
      <c r="E379" s="215"/>
      <c r="F379" s="215"/>
      <c r="G379" s="215"/>
      <c r="H379" s="185"/>
      <c r="I379" s="215"/>
      <c r="J379" s="185"/>
      <c r="K379" s="185"/>
      <c r="L379" s="185"/>
      <c r="M379" s="185"/>
    </row>
    <row r="380" ht="15.75" customHeight="1">
      <c r="A380" s="213"/>
      <c r="B380" s="214"/>
      <c r="C380" s="57"/>
      <c r="D380" s="185"/>
      <c r="E380" s="215"/>
      <c r="F380" s="215"/>
      <c r="G380" s="215"/>
      <c r="H380" s="185"/>
      <c r="I380" s="215"/>
      <c r="J380" s="185"/>
      <c r="K380" s="185"/>
      <c r="L380" s="185"/>
      <c r="M380" s="185"/>
    </row>
    <row r="381" ht="15.75" customHeight="1">
      <c r="A381" s="213"/>
      <c r="B381" s="214"/>
      <c r="C381" s="57"/>
      <c r="D381" s="185"/>
      <c r="E381" s="215"/>
      <c r="F381" s="215"/>
      <c r="G381" s="215"/>
      <c r="H381" s="185"/>
      <c r="I381" s="215"/>
      <c r="J381" s="185"/>
      <c r="K381" s="185"/>
      <c r="L381" s="185"/>
      <c r="M381" s="185"/>
    </row>
    <row r="382" ht="15.75" customHeight="1">
      <c r="A382" s="213"/>
      <c r="B382" s="214"/>
      <c r="C382" s="57"/>
      <c r="D382" s="185"/>
      <c r="E382" s="215"/>
      <c r="F382" s="215"/>
      <c r="G382" s="215"/>
      <c r="H382" s="185"/>
      <c r="I382" s="215"/>
      <c r="J382" s="185"/>
      <c r="K382" s="185"/>
      <c r="L382" s="185"/>
      <c r="M382" s="185"/>
    </row>
    <row r="383" ht="15.75" customHeight="1">
      <c r="A383" s="213"/>
      <c r="B383" s="214"/>
      <c r="C383" s="57"/>
      <c r="D383" s="185"/>
      <c r="E383" s="215"/>
      <c r="F383" s="215"/>
      <c r="G383" s="215"/>
      <c r="H383" s="185"/>
      <c r="I383" s="215"/>
      <c r="J383" s="185"/>
      <c r="K383" s="185"/>
      <c r="L383" s="185"/>
      <c r="M383" s="185"/>
    </row>
    <row r="384" ht="15.75" customHeight="1">
      <c r="A384" s="213"/>
      <c r="B384" s="214"/>
      <c r="C384" s="57"/>
      <c r="D384" s="185"/>
      <c r="E384" s="215"/>
      <c r="F384" s="215"/>
      <c r="G384" s="215"/>
      <c r="H384" s="185"/>
      <c r="I384" s="215"/>
      <c r="J384" s="185"/>
      <c r="K384" s="185"/>
      <c r="L384" s="185"/>
      <c r="M384" s="185"/>
    </row>
    <row r="385" ht="15.75" customHeight="1">
      <c r="A385" s="213"/>
      <c r="B385" s="214"/>
      <c r="C385" s="57"/>
      <c r="D385" s="185"/>
      <c r="E385" s="215"/>
      <c r="F385" s="215"/>
      <c r="G385" s="215"/>
      <c r="H385" s="185"/>
      <c r="I385" s="215"/>
      <c r="J385" s="185"/>
      <c r="K385" s="185"/>
      <c r="L385" s="185"/>
      <c r="M385" s="185"/>
    </row>
    <row r="386" ht="15.75" customHeight="1">
      <c r="A386" s="213"/>
      <c r="B386" s="214"/>
      <c r="C386" s="57"/>
      <c r="D386" s="185"/>
      <c r="E386" s="215"/>
      <c r="F386" s="215"/>
      <c r="G386" s="215"/>
      <c r="H386" s="185"/>
      <c r="I386" s="215"/>
      <c r="J386" s="185"/>
      <c r="K386" s="185"/>
      <c r="L386" s="185"/>
      <c r="M386" s="185"/>
    </row>
    <row r="387" ht="15.75" customHeight="1">
      <c r="A387" s="213"/>
      <c r="B387" s="214"/>
      <c r="C387" s="57"/>
      <c r="D387" s="185"/>
      <c r="E387" s="215"/>
      <c r="F387" s="215"/>
      <c r="G387" s="215"/>
      <c r="H387" s="185"/>
      <c r="I387" s="215"/>
      <c r="J387" s="185"/>
      <c r="K387" s="185"/>
      <c r="L387" s="185"/>
      <c r="M387" s="185"/>
    </row>
    <row r="388" ht="15.75" customHeight="1">
      <c r="A388" s="213"/>
      <c r="B388" s="214"/>
      <c r="C388" s="57"/>
      <c r="D388" s="185"/>
      <c r="E388" s="215"/>
      <c r="F388" s="215"/>
      <c r="G388" s="215"/>
      <c r="H388" s="185"/>
      <c r="I388" s="215"/>
      <c r="J388" s="185"/>
      <c r="K388" s="185"/>
      <c r="L388" s="185"/>
      <c r="M388" s="185"/>
    </row>
    <row r="389" ht="15.75" customHeight="1">
      <c r="A389" s="213"/>
      <c r="B389" s="214"/>
      <c r="C389" s="57"/>
      <c r="D389" s="185"/>
      <c r="E389" s="215"/>
      <c r="F389" s="215"/>
      <c r="G389" s="215"/>
      <c r="H389" s="185"/>
      <c r="I389" s="215"/>
      <c r="J389" s="185"/>
      <c r="K389" s="185"/>
      <c r="L389" s="185"/>
      <c r="M389" s="185"/>
    </row>
    <row r="390" ht="15.75" customHeight="1">
      <c r="A390" s="213"/>
      <c r="B390" s="214"/>
      <c r="C390" s="57"/>
      <c r="D390" s="185"/>
      <c r="E390" s="215"/>
      <c r="F390" s="215"/>
      <c r="G390" s="215"/>
      <c r="H390" s="185"/>
      <c r="I390" s="215"/>
      <c r="J390" s="185"/>
      <c r="K390" s="185"/>
      <c r="L390" s="185"/>
      <c r="M390" s="185"/>
    </row>
    <row r="391" ht="15.75" customHeight="1">
      <c r="A391" s="213"/>
      <c r="B391" s="214"/>
      <c r="C391" s="57"/>
      <c r="D391" s="185"/>
      <c r="E391" s="215"/>
      <c r="F391" s="215"/>
      <c r="G391" s="215"/>
      <c r="H391" s="185"/>
      <c r="I391" s="215"/>
      <c r="J391" s="185"/>
      <c r="K391" s="185"/>
      <c r="L391" s="185"/>
      <c r="M391" s="185"/>
    </row>
    <row r="392" ht="15.75" customHeight="1">
      <c r="A392" s="213"/>
      <c r="B392" s="214"/>
      <c r="C392" s="57"/>
      <c r="D392" s="185"/>
      <c r="E392" s="215"/>
      <c r="F392" s="215"/>
      <c r="G392" s="215"/>
      <c r="H392" s="185"/>
      <c r="I392" s="215"/>
      <c r="J392" s="185"/>
      <c r="K392" s="185"/>
      <c r="L392" s="185"/>
      <c r="M392" s="185"/>
    </row>
    <row r="393" ht="15.75" customHeight="1">
      <c r="A393" s="213"/>
      <c r="B393" s="214"/>
      <c r="C393" s="57"/>
      <c r="D393" s="185"/>
      <c r="E393" s="215"/>
      <c r="F393" s="215"/>
      <c r="G393" s="215"/>
      <c r="H393" s="185"/>
      <c r="I393" s="215"/>
      <c r="J393" s="185"/>
      <c r="K393" s="185"/>
      <c r="L393" s="185"/>
      <c r="M393" s="185"/>
    </row>
    <row r="394" ht="15.75" customHeight="1">
      <c r="A394" s="213"/>
      <c r="B394" s="214"/>
      <c r="C394" s="57"/>
      <c r="D394" s="185"/>
      <c r="E394" s="215"/>
      <c r="F394" s="215"/>
      <c r="G394" s="215"/>
      <c r="H394" s="185"/>
      <c r="I394" s="215"/>
      <c r="J394" s="185"/>
      <c r="K394" s="185"/>
      <c r="L394" s="185"/>
      <c r="M394" s="185"/>
    </row>
    <row r="395" ht="15.75" customHeight="1">
      <c r="A395" s="213"/>
      <c r="B395" s="214"/>
      <c r="C395" s="57"/>
      <c r="D395" s="185"/>
      <c r="E395" s="215"/>
      <c r="F395" s="215"/>
      <c r="G395" s="215"/>
      <c r="H395" s="185"/>
      <c r="I395" s="215"/>
      <c r="J395" s="185"/>
      <c r="K395" s="185"/>
      <c r="L395" s="185"/>
      <c r="M395" s="185"/>
    </row>
    <row r="396" ht="15.75" customHeight="1">
      <c r="A396" s="213"/>
      <c r="B396" s="214"/>
      <c r="C396" s="57"/>
      <c r="D396" s="185"/>
      <c r="E396" s="215"/>
      <c r="F396" s="215"/>
      <c r="G396" s="215"/>
      <c r="H396" s="185"/>
      <c r="I396" s="215"/>
      <c r="J396" s="185"/>
      <c r="K396" s="185"/>
      <c r="L396" s="185"/>
      <c r="M396" s="185"/>
    </row>
    <row r="397" ht="15.75" customHeight="1">
      <c r="A397" s="213"/>
      <c r="B397" s="214"/>
      <c r="C397" s="57"/>
      <c r="D397" s="185"/>
      <c r="E397" s="215"/>
      <c r="F397" s="215"/>
      <c r="G397" s="215"/>
      <c r="H397" s="185"/>
      <c r="I397" s="215"/>
      <c r="J397" s="185"/>
      <c r="K397" s="185"/>
      <c r="L397" s="185"/>
      <c r="M397" s="185"/>
    </row>
    <row r="398" ht="15.75" customHeight="1">
      <c r="A398" s="213"/>
      <c r="B398" s="214"/>
      <c r="C398" s="57"/>
      <c r="D398" s="185"/>
      <c r="E398" s="215"/>
      <c r="F398" s="215"/>
      <c r="G398" s="215"/>
      <c r="H398" s="185"/>
      <c r="I398" s="215"/>
      <c r="J398" s="185"/>
      <c r="K398" s="185"/>
      <c r="L398" s="185"/>
      <c r="M398" s="185"/>
    </row>
    <row r="399" ht="15.75" customHeight="1">
      <c r="A399" s="213"/>
      <c r="B399" s="214"/>
      <c r="C399" s="57"/>
      <c r="D399" s="185"/>
      <c r="E399" s="215"/>
      <c r="F399" s="215"/>
      <c r="G399" s="215"/>
      <c r="H399" s="185"/>
      <c r="I399" s="215"/>
      <c r="J399" s="185"/>
      <c r="K399" s="185"/>
      <c r="L399" s="185"/>
      <c r="M399" s="185"/>
    </row>
    <row r="400" ht="15.75" customHeight="1">
      <c r="A400" s="213"/>
      <c r="B400" s="214"/>
      <c r="C400" s="57"/>
      <c r="D400" s="185"/>
      <c r="E400" s="215"/>
      <c r="F400" s="215"/>
      <c r="G400" s="215"/>
      <c r="H400" s="185"/>
      <c r="I400" s="215"/>
      <c r="J400" s="185"/>
      <c r="K400" s="185"/>
      <c r="L400" s="185"/>
      <c r="M400" s="185"/>
    </row>
    <row r="401" ht="15.75" customHeight="1">
      <c r="A401" s="213"/>
      <c r="B401" s="214"/>
      <c r="C401" s="57"/>
      <c r="D401" s="185"/>
      <c r="E401" s="215"/>
      <c r="F401" s="215"/>
      <c r="G401" s="215"/>
      <c r="H401" s="185"/>
      <c r="I401" s="215"/>
      <c r="J401" s="185"/>
      <c r="K401" s="185"/>
      <c r="L401" s="185"/>
      <c r="M401" s="185"/>
    </row>
    <row r="402" ht="15.75" customHeight="1">
      <c r="A402" s="213"/>
      <c r="B402" s="214"/>
      <c r="C402" s="57"/>
      <c r="D402" s="185"/>
      <c r="E402" s="215"/>
      <c r="F402" s="215"/>
      <c r="G402" s="215"/>
      <c r="H402" s="185"/>
      <c r="I402" s="215"/>
      <c r="J402" s="185"/>
      <c r="K402" s="185"/>
      <c r="L402" s="185"/>
      <c r="M402" s="185"/>
    </row>
    <row r="403" ht="15.75" customHeight="1">
      <c r="A403" s="213"/>
      <c r="B403" s="214"/>
      <c r="C403" s="57"/>
      <c r="D403" s="185"/>
      <c r="E403" s="215"/>
      <c r="F403" s="215"/>
      <c r="G403" s="215"/>
      <c r="H403" s="185"/>
      <c r="I403" s="215"/>
      <c r="J403" s="185"/>
      <c r="K403" s="185"/>
      <c r="L403" s="185"/>
      <c r="M403" s="185"/>
    </row>
    <row r="404" ht="15.75" customHeight="1">
      <c r="A404" s="213"/>
      <c r="B404" s="214"/>
      <c r="C404" s="57"/>
      <c r="D404" s="185"/>
      <c r="E404" s="215"/>
      <c r="F404" s="215"/>
      <c r="G404" s="215"/>
      <c r="H404" s="185"/>
      <c r="I404" s="215"/>
      <c r="J404" s="185"/>
      <c r="K404" s="185"/>
      <c r="L404" s="185"/>
      <c r="M404" s="185"/>
    </row>
    <row r="405" ht="15.75" customHeight="1">
      <c r="A405" s="213"/>
      <c r="B405" s="214"/>
      <c r="C405" s="57"/>
      <c r="D405" s="185"/>
      <c r="E405" s="215"/>
      <c r="F405" s="215"/>
      <c r="G405" s="215"/>
      <c r="H405" s="185"/>
      <c r="I405" s="215"/>
      <c r="J405" s="185"/>
      <c r="K405" s="185"/>
      <c r="L405" s="185"/>
      <c r="M405" s="185"/>
    </row>
    <row r="406" ht="15.75" customHeight="1">
      <c r="A406" s="213"/>
      <c r="B406" s="214"/>
      <c r="C406" s="57"/>
      <c r="D406" s="185"/>
      <c r="E406" s="215"/>
      <c r="F406" s="215"/>
      <c r="G406" s="215"/>
      <c r="H406" s="185"/>
      <c r="I406" s="215"/>
      <c r="J406" s="185"/>
      <c r="K406" s="185"/>
      <c r="L406" s="185"/>
      <c r="M406" s="185"/>
    </row>
    <row r="407" ht="15.75" customHeight="1">
      <c r="A407" s="213"/>
      <c r="B407" s="214"/>
      <c r="C407" s="57"/>
      <c r="D407" s="185"/>
      <c r="E407" s="215"/>
      <c r="F407" s="215"/>
      <c r="G407" s="215"/>
      <c r="H407" s="185"/>
      <c r="I407" s="215"/>
      <c r="J407" s="185"/>
      <c r="K407" s="185"/>
      <c r="L407" s="185"/>
      <c r="M407" s="185"/>
    </row>
    <row r="408" ht="15.75" customHeight="1">
      <c r="A408" s="213"/>
      <c r="B408" s="214"/>
      <c r="C408" s="57"/>
      <c r="D408" s="185"/>
      <c r="E408" s="215"/>
      <c r="F408" s="215"/>
      <c r="G408" s="215"/>
      <c r="H408" s="185"/>
      <c r="I408" s="215"/>
      <c r="J408" s="185"/>
      <c r="K408" s="185"/>
      <c r="L408" s="185"/>
      <c r="M408" s="185"/>
    </row>
    <row r="409" ht="15.75" customHeight="1">
      <c r="A409" s="213"/>
      <c r="B409" s="214"/>
      <c r="C409" s="57"/>
      <c r="D409" s="185"/>
      <c r="E409" s="215"/>
      <c r="F409" s="215"/>
      <c r="G409" s="215"/>
      <c r="H409" s="185"/>
      <c r="I409" s="215"/>
      <c r="J409" s="185"/>
      <c r="K409" s="185"/>
      <c r="L409" s="185"/>
      <c r="M409" s="185"/>
    </row>
    <row r="410" ht="15.75" customHeight="1">
      <c r="A410" s="213"/>
      <c r="B410" s="214"/>
      <c r="C410" s="57"/>
      <c r="D410" s="185"/>
      <c r="E410" s="215"/>
      <c r="F410" s="215"/>
      <c r="G410" s="215"/>
      <c r="H410" s="185"/>
      <c r="I410" s="215"/>
      <c r="J410" s="185"/>
      <c r="K410" s="185"/>
      <c r="L410" s="185"/>
      <c r="M410" s="185"/>
    </row>
    <row r="411" ht="15.75" customHeight="1">
      <c r="A411" s="213"/>
      <c r="B411" s="214"/>
      <c r="C411" s="57"/>
      <c r="D411" s="185"/>
      <c r="E411" s="215"/>
      <c r="F411" s="215"/>
      <c r="G411" s="215"/>
      <c r="H411" s="185"/>
      <c r="I411" s="215"/>
      <c r="J411" s="185"/>
      <c r="K411" s="185"/>
      <c r="L411" s="185"/>
      <c r="M411" s="185"/>
    </row>
    <row r="412" ht="15.75" customHeight="1">
      <c r="A412" s="213"/>
      <c r="B412" s="214"/>
      <c r="C412" s="57"/>
      <c r="D412" s="185"/>
      <c r="E412" s="215"/>
      <c r="F412" s="215"/>
      <c r="G412" s="215"/>
      <c r="H412" s="185"/>
      <c r="I412" s="215"/>
      <c r="J412" s="185"/>
      <c r="K412" s="185"/>
      <c r="L412" s="185"/>
      <c r="M412" s="185"/>
    </row>
    <row r="413" ht="15.75" customHeight="1">
      <c r="A413" s="213"/>
      <c r="B413" s="214"/>
      <c r="C413" s="57"/>
      <c r="D413" s="185"/>
      <c r="E413" s="215"/>
      <c r="F413" s="215"/>
      <c r="G413" s="215"/>
      <c r="H413" s="185"/>
      <c r="I413" s="215"/>
      <c r="J413" s="185"/>
      <c r="K413" s="185"/>
      <c r="L413" s="185"/>
      <c r="M413" s="185"/>
    </row>
    <row r="414" ht="15.75" customHeight="1">
      <c r="A414" s="213"/>
      <c r="B414" s="214"/>
      <c r="C414" s="57"/>
      <c r="D414" s="185"/>
      <c r="E414" s="215"/>
      <c r="F414" s="215"/>
      <c r="G414" s="215"/>
      <c r="H414" s="185"/>
      <c r="I414" s="215"/>
      <c r="J414" s="185"/>
      <c r="K414" s="185"/>
      <c r="L414" s="185"/>
      <c r="M414" s="185"/>
    </row>
    <row r="415" ht="15.75" customHeight="1">
      <c r="A415" s="213"/>
      <c r="B415" s="214"/>
      <c r="C415" s="57"/>
      <c r="D415" s="185"/>
      <c r="E415" s="215"/>
      <c r="F415" s="215"/>
      <c r="G415" s="215"/>
      <c r="H415" s="185"/>
      <c r="I415" s="215"/>
      <c r="J415" s="185"/>
      <c r="K415" s="185"/>
      <c r="L415" s="185"/>
      <c r="M415" s="185"/>
    </row>
    <row r="416" ht="15.75" customHeight="1">
      <c r="A416" s="213"/>
      <c r="B416" s="214"/>
      <c r="C416" s="57"/>
      <c r="D416" s="185"/>
      <c r="E416" s="215"/>
      <c r="F416" s="215"/>
      <c r="G416" s="215"/>
      <c r="H416" s="185"/>
      <c r="I416" s="215"/>
      <c r="J416" s="185"/>
      <c r="K416" s="185"/>
      <c r="L416" s="185"/>
      <c r="M416" s="185"/>
    </row>
    <row r="417" ht="15.75" customHeight="1">
      <c r="A417" s="213"/>
      <c r="B417" s="214"/>
      <c r="C417" s="57"/>
      <c r="D417" s="185"/>
      <c r="E417" s="215"/>
      <c r="F417" s="215"/>
      <c r="G417" s="215"/>
      <c r="H417" s="185"/>
      <c r="I417" s="215"/>
      <c r="J417" s="185"/>
      <c r="K417" s="185"/>
      <c r="L417" s="185"/>
      <c r="M417" s="185"/>
    </row>
    <row r="418" ht="15.75" customHeight="1">
      <c r="A418" s="213"/>
      <c r="B418" s="214"/>
      <c r="C418" s="57"/>
      <c r="D418" s="185"/>
      <c r="E418" s="215"/>
      <c r="F418" s="215"/>
      <c r="G418" s="215"/>
      <c r="H418" s="185"/>
      <c r="I418" s="215"/>
      <c r="J418" s="185"/>
      <c r="K418" s="185"/>
      <c r="L418" s="185"/>
      <c r="M418" s="185"/>
    </row>
    <row r="419" ht="15.75" customHeight="1">
      <c r="A419" s="213"/>
      <c r="B419" s="214"/>
      <c r="C419" s="57"/>
      <c r="D419" s="185"/>
      <c r="E419" s="215"/>
      <c r="F419" s="215"/>
      <c r="G419" s="215"/>
      <c r="H419" s="185"/>
      <c r="I419" s="215"/>
      <c r="J419" s="185"/>
      <c r="K419" s="185"/>
      <c r="L419" s="185"/>
      <c r="M419" s="185"/>
    </row>
    <row r="420" ht="15.75" customHeight="1">
      <c r="A420" s="213"/>
      <c r="B420" s="214"/>
      <c r="C420" s="57"/>
      <c r="D420" s="185"/>
      <c r="E420" s="215"/>
      <c r="F420" s="215"/>
      <c r="G420" s="215"/>
      <c r="H420" s="185"/>
      <c r="I420" s="215"/>
      <c r="J420" s="185"/>
      <c r="K420" s="185"/>
      <c r="L420" s="185"/>
      <c r="M420" s="185"/>
    </row>
    <row r="421" ht="15.75" customHeight="1">
      <c r="A421" s="213"/>
      <c r="B421" s="214"/>
      <c r="C421" s="57"/>
      <c r="D421" s="185"/>
      <c r="E421" s="215"/>
      <c r="F421" s="215"/>
      <c r="G421" s="215"/>
      <c r="H421" s="185"/>
      <c r="I421" s="215"/>
      <c r="J421" s="185"/>
      <c r="K421" s="185"/>
      <c r="L421" s="185"/>
      <c r="M421" s="185"/>
    </row>
    <row r="422" ht="15.75" customHeight="1">
      <c r="A422" s="213"/>
      <c r="B422" s="214"/>
      <c r="C422" s="57"/>
      <c r="D422" s="185"/>
      <c r="E422" s="215"/>
      <c r="F422" s="215"/>
      <c r="G422" s="215"/>
      <c r="H422" s="185"/>
      <c r="I422" s="215"/>
      <c r="J422" s="185"/>
      <c r="K422" s="185"/>
      <c r="L422" s="185"/>
      <c r="M422" s="185"/>
    </row>
    <row r="423" ht="15.75" customHeight="1">
      <c r="A423" s="213"/>
      <c r="B423" s="214"/>
      <c r="C423" s="57"/>
      <c r="D423" s="185"/>
      <c r="E423" s="215"/>
      <c r="F423" s="215"/>
      <c r="G423" s="215"/>
      <c r="H423" s="185"/>
      <c r="I423" s="215"/>
      <c r="J423" s="185"/>
      <c r="K423" s="185"/>
      <c r="L423" s="185"/>
      <c r="M423" s="185"/>
    </row>
    <row r="424" ht="15.75" customHeight="1">
      <c r="A424" s="213"/>
      <c r="B424" s="214"/>
      <c r="C424" s="57"/>
      <c r="D424" s="185"/>
      <c r="E424" s="215"/>
      <c r="F424" s="215"/>
      <c r="G424" s="215"/>
      <c r="H424" s="185"/>
      <c r="I424" s="215"/>
      <c r="J424" s="185"/>
      <c r="K424" s="185"/>
      <c r="L424" s="185"/>
      <c r="M424" s="185"/>
    </row>
    <row r="425" ht="15.75" customHeight="1">
      <c r="A425" s="213"/>
      <c r="B425" s="214"/>
      <c r="C425" s="57"/>
      <c r="D425" s="185"/>
      <c r="E425" s="215"/>
      <c r="F425" s="215"/>
      <c r="G425" s="215"/>
      <c r="H425" s="185"/>
      <c r="I425" s="215"/>
      <c r="J425" s="185"/>
      <c r="K425" s="185"/>
      <c r="L425" s="185"/>
      <c r="M425" s="185"/>
    </row>
    <row r="426" ht="15.75" customHeight="1">
      <c r="A426" s="213"/>
      <c r="B426" s="214"/>
      <c r="C426" s="57"/>
      <c r="D426" s="185"/>
      <c r="E426" s="215"/>
      <c r="F426" s="215"/>
      <c r="G426" s="215"/>
      <c r="H426" s="185"/>
      <c r="I426" s="215"/>
      <c r="J426" s="185"/>
      <c r="K426" s="185"/>
      <c r="L426" s="185"/>
      <c r="M426" s="185"/>
    </row>
    <row r="427" ht="15.75" customHeight="1">
      <c r="A427" s="213"/>
      <c r="B427" s="214"/>
      <c r="C427" s="57"/>
      <c r="D427" s="185"/>
      <c r="E427" s="215"/>
      <c r="F427" s="215"/>
      <c r="G427" s="215"/>
      <c r="H427" s="185"/>
      <c r="I427" s="215"/>
      <c r="J427" s="185"/>
      <c r="K427" s="185"/>
      <c r="L427" s="185"/>
      <c r="M427" s="185"/>
    </row>
    <row r="428" ht="15.75" customHeight="1">
      <c r="A428" s="213"/>
      <c r="B428" s="214"/>
      <c r="C428" s="57"/>
      <c r="D428" s="185"/>
      <c r="E428" s="215"/>
      <c r="F428" s="215"/>
      <c r="G428" s="215"/>
      <c r="H428" s="185"/>
      <c r="I428" s="215"/>
      <c r="J428" s="185"/>
      <c r="K428" s="185"/>
      <c r="L428" s="185"/>
      <c r="M428" s="185"/>
    </row>
    <row r="429" ht="15.75" customHeight="1">
      <c r="A429" s="213"/>
      <c r="B429" s="214"/>
      <c r="C429" s="57"/>
      <c r="D429" s="185"/>
      <c r="E429" s="215"/>
      <c r="F429" s="215"/>
      <c r="G429" s="215"/>
      <c r="H429" s="185"/>
      <c r="I429" s="215"/>
      <c r="J429" s="185"/>
      <c r="K429" s="185"/>
      <c r="L429" s="185"/>
      <c r="M429" s="185"/>
    </row>
    <row r="430" ht="15.75" customHeight="1">
      <c r="A430" s="213"/>
      <c r="B430" s="214"/>
      <c r="C430" s="57"/>
      <c r="D430" s="185"/>
      <c r="E430" s="215"/>
      <c r="F430" s="215"/>
      <c r="G430" s="215"/>
      <c r="H430" s="185"/>
      <c r="I430" s="215"/>
      <c r="J430" s="185"/>
      <c r="K430" s="185"/>
      <c r="L430" s="185"/>
      <c r="M430" s="185"/>
    </row>
    <row r="431" ht="15.75" customHeight="1">
      <c r="A431" s="213"/>
      <c r="B431" s="214"/>
      <c r="C431" s="57"/>
      <c r="D431" s="185"/>
      <c r="E431" s="215"/>
      <c r="F431" s="215"/>
      <c r="G431" s="215"/>
      <c r="H431" s="185"/>
      <c r="I431" s="215"/>
      <c r="J431" s="185"/>
      <c r="K431" s="185"/>
      <c r="L431" s="185"/>
      <c r="M431" s="185"/>
    </row>
    <row r="432" ht="15.75" customHeight="1">
      <c r="A432" s="213"/>
      <c r="B432" s="214"/>
      <c r="C432" s="57"/>
      <c r="D432" s="185"/>
      <c r="E432" s="215"/>
      <c r="F432" s="215"/>
      <c r="G432" s="215"/>
      <c r="H432" s="185"/>
      <c r="I432" s="215"/>
      <c r="J432" s="185"/>
      <c r="K432" s="185"/>
      <c r="L432" s="185"/>
      <c r="M432" s="185"/>
    </row>
    <row r="433" ht="15.75" customHeight="1">
      <c r="A433" s="213"/>
      <c r="B433" s="214"/>
      <c r="C433" s="57"/>
      <c r="D433" s="185"/>
      <c r="E433" s="215"/>
      <c r="F433" s="215"/>
      <c r="G433" s="215"/>
      <c r="H433" s="185"/>
      <c r="I433" s="215"/>
      <c r="J433" s="185"/>
      <c r="K433" s="185"/>
      <c r="L433" s="185"/>
      <c r="M433" s="185"/>
    </row>
    <row r="434" ht="15.75" customHeight="1">
      <c r="A434" s="213"/>
      <c r="B434" s="214"/>
      <c r="C434" s="57"/>
      <c r="D434" s="185"/>
      <c r="E434" s="215"/>
      <c r="F434" s="215"/>
      <c r="G434" s="215"/>
      <c r="H434" s="185"/>
      <c r="I434" s="215"/>
      <c r="J434" s="185"/>
      <c r="K434" s="185"/>
      <c r="L434" s="185"/>
      <c r="M434" s="185"/>
    </row>
    <row r="435" ht="15.75" customHeight="1">
      <c r="A435" s="213"/>
      <c r="B435" s="214"/>
      <c r="C435" s="57"/>
      <c r="D435" s="185"/>
      <c r="E435" s="215"/>
      <c r="F435" s="215"/>
      <c r="G435" s="215"/>
      <c r="H435" s="185"/>
      <c r="I435" s="215"/>
      <c r="J435" s="185"/>
      <c r="K435" s="185"/>
      <c r="L435" s="185"/>
      <c r="M435" s="185"/>
    </row>
    <row r="436" ht="15.75" customHeight="1">
      <c r="A436" s="213"/>
      <c r="B436" s="214"/>
      <c r="C436" s="57"/>
      <c r="D436" s="185"/>
      <c r="E436" s="215"/>
      <c r="F436" s="215"/>
      <c r="G436" s="215"/>
      <c r="H436" s="185"/>
      <c r="I436" s="215"/>
      <c r="J436" s="185"/>
      <c r="K436" s="185"/>
      <c r="L436" s="185"/>
      <c r="M436" s="185"/>
    </row>
    <row r="437" ht="15.75" customHeight="1">
      <c r="A437" s="213"/>
      <c r="B437" s="214"/>
      <c r="C437" s="57"/>
      <c r="D437" s="185"/>
      <c r="E437" s="215"/>
      <c r="F437" s="215"/>
      <c r="G437" s="215"/>
      <c r="H437" s="185"/>
      <c r="I437" s="215"/>
      <c r="J437" s="185"/>
      <c r="K437" s="185"/>
      <c r="L437" s="185"/>
      <c r="M437" s="185"/>
    </row>
    <row r="438" ht="15.75" customHeight="1">
      <c r="A438" s="213"/>
      <c r="B438" s="214"/>
      <c r="C438" s="57"/>
      <c r="D438" s="185"/>
      <c r="E438" s="215"/>
      <c r="F438" s="215"/>
      <c r="G438" s="215"/>
      <c r="H438" s="185"/>
      <c r="I438" s="215"/>
      <c r="J438" s="185"/>
      <c r="K438" s="185"/>
      <c r="L438" s="185"/>
      <c r="M438" s="185"/>
    </row>
    <row r="439" ht="15.75" customHeight="1">
      <c r="A439" s="213"/>
      <c r="B439" s="214"/>
      <c r="C439" s="57"/>
      <c r="D439" s="185"/>
      <c r="E439" s="215"/>
      <c r="F439" s="215"/>
      <c r="G439" s="215"/>
      <c r="H439" s="185"/>
      <c r="I439" s="215"/>
      <c r="J439" s="185"/>
      <c r="K439" s="185"/>
      <c r="L439" s="185"/>
      <c r="M439" s="185"/>
    </row>
    <row r="440" ht="15.75" customHeight="1">
      <c r="A440" s="213"/>
      <c r="B440" s="214"/>
      <c r="C440" s="57"/>
      <c r="D440" s="185"/>
      <c r="E440" s="215"/>
      <c r="F440" s="215"/>
      <c r="G440" s="215"/>
      <c r="H440" s="185"/>
      <c r="I440" s="215"/>
      <c r="J440" s="185"/>
      <c r="K440" s="185"/>
      <c r="L440" s="185"/>
      <c r="M440" s="185"/>
    </row>
    <row r="441" ht="15.75" customHeight="1">
      <c r="A441" s="213"/>
      <c r="B441" s="214"/>
      <c r="C441" s="57"/>
      <c r="D441" s="185"/>
      <c r="E441" s="215"/>
      <c r="F441" s="215"/>
      <c r="G441" s="215"/>
      <c r="H441" s="185"/>
      <c r="I441" s="215"/>
      <c r="J441" s="185"/>
      <c r="K441" s="185"/>
      <c r="L441" s="185"/>
      <c r="M441" s="185"/>
    </row>
    <row r="442" ht="15.75" customHeight="1">
      <c r="A442" s="213"/>
      <c r="B442" s="214"/>
      <c r="C442" s="57"/>
      <c r="D442" s="185"/>
      <c r="E442" s="215"/>
      <c r="F442" s="215"/>
      <c r="G442" s="215"/>
      <c r="H442" s="185"/>
      <c r="I442" s="215"/>
      <c r="J442" s="185"/>
      <c r="K442" s="185"/>
      <c r="L442" s="185"/>
      <c r="M442" s="185"/>
    </row>
    <row r="443" ht="15.75" customHeight="1">
      <c r="A443" s="213"/>
      <c r="B443" s="214"/>
      <c r="C443" s="57"/>
      <c r="D443" s="185"/>
      <c r="E443" s="215"/>
      <c r="F443" s="215"/>
      <c r="G443" s="215"/>
      <c r="H443" s="185"/>
      <c r="I443" s="215"/>
      <c r="J443" s="185"/>
      <c r="K443" s="185"/>
      <c r="L443" s="185"/>
      <c r="M443" s="185"/>
    </row>
    <row r="444" ht="15.75" customHeight="1">
      <c r="A444" s="213"/>
      <c r="B444" s="214"/>
      <c r="C444" s="57"/>
      <c r="D444" s="185"/>
      <c r="E444" s="215"/>
      <c r="F444" s="215"/>
      <c r="G444" s="215"/>
      <c r="H444" s="185"/>
      <c r="I444" s="215"/>
      <c r="J444" s="185"/>
      <c r="K444" s="185"/>
      <c r="L444" s="185"/>
      <c r="M444" s="185"/>
    </row>
    <row r="445" ht="15.75" customHeight="1">
      <c r="A445" s="213"/>
      <c r="B445" s="214"/>
      <c r="C445" s="57"/>
      <c r="D445" s="185"/>
      <c r="E445" s="215"/>
      <c r="F445" s="215"/>
      <c r="G445" s="215"/>
      <c r="H445" s="185"/>
      <c r="I445" s="215"/>
      <c r="J445" s="185"/>
      <c r="K445" s="185"/>
      <c r="L445" s="185"/>
      <c r="M445" s="185"/>
    </row>
    <row r="446" ht="15.75" customHeight="1">
      <c r="A446" s="213"/>
      <c r="B446" s="214"/>
      <c r="C446" s="57"/>
      <c r="D446" s="185"/>
      <c r="E446" s="215"/>
      <c r="F446" s="215"/>
      <c r="G446" s="215"/>
      <c r="H446" s="185"/>
      <c r="I446" s="215"/>
      <c r="J446" s="185"/>
      <c r="K446" s="185"/>
      <c r="L446" s="185"/>
      <c r="M446" s="185"/>
    </row>
    <row r="447" ht="15.75" customHeight="1">
      <c r="A447" s="213"/>
      <c r="B447" s="214"/>
      <c r="C447" s="57"/>
      <c r="D447" s="185"/>
      <c r="E447" s="215"/>
      <c r="F447" s="215"/>
      <c r="G447" s="215"/>
      <c r="H447" s="185"/>
      <c r="I447" s="215"/>
      <c r="J447" s="185"/>
      <c r="K447" s="185"/>
      <c r="L447" s="185"/>
      <c r="M447" s="185"/>
    </row>
    <row r="448" ht="15.75" customHeight="1">
      <c r="A448" s="213"/>
      <c r="B448" s="214"/>
      <c r="C448" s="57"/>
      <c r="D448" s="185"/>
      <c r="E448" s="215"/>
      <c r="F448" s="215"/>
      <c r="G448" s="215"/>
      <c r="H448" s="185"/>
      <c r="I448" s="215"/>
      <c r="J448" s="185"/>
      <c r="K448" s="185"/>
      <c r="L448" s="185"/>
      <c r="M448" s="185"/>
    </row>
    <row r="449" ht="15.75" customHeight="1">
      <c r="A449" s="213"/>
      <c r="B449" s="214"/>
      <c r="C449" s="57"/>
      <c r="D449" s="185"/>
      <c r="E449" s="215"/>
      <c r="F449" s="215"/>
      <c r="G449" s="215"/>
      <c r="H449" s="185"/>
      <c r="I449" s="215"/>
      <c r="J449" s="185"/>
      <c r="K449" s="185"/>
      <c r="L449" s="185"/>
      <c r="M449" s="185"/>
    </row>
    <row r="450" ht="15.75" customHeight="1">
      <c r="A450" s="213"/>
      <c r="B450" s="214"/>
      <c r="C450" s="57"/>
      <c r="D450" s="185"/>
      <c r="E450" s="215"/>
      <c r="F450" s="215"/>
      <c r="G450" s="215"/>
      <c r="H450" s="185"/>
      <c r="I450" s="215"/>
      <c r="J450" s="185"/>
      <c r="K450" s="185"/>
      <c r="L450" s="185"/>
      <c r="M450" s="185"/>
    </row>
    <row r="451" ht="15.75" customHeight="1">
      <c r="A451" s="213"/>
      <c r="B451" s="214"/>
      <c r="C451" s="57"/>
      <c r="D451" s="185"/>
      <c r="E451" s="215"/>
      <c r="F451" s="215"/>
      <c r="G451" s="215"/>
      <c r="H451" s="185"/>
      <c r="I451" s="215"/>
      <c r="J451" s="185"/>
      <c r="K451" s="185"/>
      <c r="L451" s="185"/>
      <c r="M451" s="185"/>
    </row>
    <row r="452" ht="15.75" customHeight="1">
      <c r="A452" s="213"/>
      <c r="B452" s="214"/>
      <c r="C452" s="57"/>
      <c r="D452" s="185"/>
      <c r="E452" s="215"/>
      <c r="F452" s="215"/>
      <c r="G452" s="215"/>
      <c r="H452" s="185"/>
      <c r="I452" s="215"/>
      <c r="J452" s="185"/>
      <c r="K452" s="185"/>
      <c r="L452" s="185"/>
      <c r="M452" s="185"/>
    </row>
    <row r="453" ht="15.75" customHeight="1">
      <c r="A453" s="213"/>
      <c r="B453" s="214"/>
      <c r="C453" s="57"/>
      <c r="D453" s="185"/>
      <c r="E453" s="215"/>
      <c r="F453" s="215"/>
      <c r="G453" s="215"/>
      <c r="H453" s="185"/>
      <c r="I453" s="215"/>
      <c r="J453" s="185"/>
      <c r="K453" s="185"/>
      <c r="L453" s="185"/>
      <c r="M453" s="185"/>
    </row>
    <row r="454" ht="15.75" customHeight="1">
      <c r="A454" s="213"/>
      <c r="B454" s="214"/>
      <c r="C454" s="57"/>
      <c r="D454" s="185"/>
      <c r="E454" s="215"/>
      <c r="F454" s="215"/>
      <c r="G454" s="215"/>
      <c r="H454" s="185"/>
      <c r="I454" s="215"/>
      <c r="J454" s="185"/>
      <c r="K454" s="185"/>
      <c r="L454" s="185"/>
      <c r="M454" s="185"/>
    </row>
    <row r="455" ht="15.75" customHeight="1">
      <c r="A455" s="213"/>
      <c r="B455" s="214"/>
      <c r="C455" s="57"/>
      <c r="D455" s="185"/>
      <c r="E455" s="215"/>
      <c r="F455" s="215"/>
      <c r="G455" s="215"/>
      <c r="H455" s="185"/>
      <c r="I455" s="215"/>
      <c r="J455" s="185"/>
      <c r="K455" s="185"/>
      <c r="L455" s="185"/>
      <c r="M455" s="185"/>
    </row>
    <row r="456" ht="15.75" customHeight="1">
      <c r="A456" s="213"/>
      <c r="B456" s="214"/>
      <c r="C456" s="57"/>
      <c r="D456" s="185"/>
      <c r="E456" s="215"/>
      <c r="F456" s="215"/>
      <c r="G456" s="215"/>
      <c r="H456" s="185"/>
      <c r="I456" s="215"/>
      <c r="J456" s="185"/>
      <c r="K456" s="185"/>
      <c r="L456" s="185"/>
      <c r="M456" s="185"/>
    </row>
    <row r="457" ht="15.75" customHeight="1">
      <c r="A457" s="213"/>
      <c r="B457" s="214"/>
      <c r="C457" s="57"/>
      <c r="D457" s="185"/>
      <c r="E457" s="215"/>
      <c r="F457" s="215"/>
      <c r="G457" s="215"/>
      <c r="H457" s="185"/>
      <c r="I457" s="215"/>
      <c r="J457" s="185"/>
      <c r="K457" s="185"/>
      <c r="L457" s="185"/>
      <c r="M457" s="185"/>
    </row>
    <row r="458" ht="15.75" customHeight="1">
      <c r="A458" s="213"/>
      <c r="B458" s="214"/>
      <c r="C458" s="57"/>
      <c r="D458" s="185"/>
      <c r="E458" s="215"/>
      <c r="F458" s="215"/>
      <c r="G458" s="215"/>
      <c r="H458" s="185"/>
      <c r="I458" s="215"/>
      <c r="J458" s="185"/>
      <c r="K458" s="185"/>
      <c r="L458" s="185"/>
      <c r="M458" s="185"/>
    </row>
    <row r="459" ht="15.75" customHeight="1">
      <c r="A459" s="213"/>
      <c r="B459" s="214"/>
      <c r="C459" s="57"/>
      <c r="D459" s="185"/>
      <c r="E459" s="215"/>
      <c r="F459" s="215"/>
      <c r="G459" s="215"/>
      <c r="H459" s="185"/>
      <c r="I459" s="215"/>
      <c r="J459" s="185"/>
      <c r="K459" s="185"/>
      <c r="L459" s="185"/>
      <c r="M459" s="185"/>
    </row>
    <row r="460" ht="15.75" customHeight="1">
      <c r="A460" s="213"/>
      <c r="B460" s="214"/>
      <c r="C460" s="57"/>
      <c r="D460" s="185"/>
      <c r="E460" s="215"/>
      <c r="F460" s="215"/>
      <c r="G460" s="215"/>
      <c r="H460" s="185"/>
      <c r="I460" s="215"/>
      <c r="J460" s="185"/>
      <c r="K460" s="185"/>
      <c r="L460" s="185"/>
      <c r="M460" s="185"/>
    </row>
    <row r="461" ht="15.75" customHeight="1">
      <c r="A461" s="213"/>
      <c r="B461" s="214"/>
      <c r="C461" s="57"/>
      <c r="D461" s="185"/>
      <c r="E461" s="215"/>
      <c r="F461" s="215"/>
      <c r="G461" s="215"/>
      <c r="H461" s="185"/>
      <c r="I461" s="215"/>
      <c r="J461" s="185"/>
      <c r="K461" s="185"/>
      <c r="L461" s="185"/>
      <c r="M461" s="185"/>
    </row>
    <row r="462" ht="15.75" customHeight="1">
      <c r="A462" s="213"/>
      <c r="B462" s="214"/>
      <c r="C462" s="57"/>
      <c r="D462" s="185"/>
      <c r="E462" s="215"/>
      <c r="F462" s="215"/>
      <c r="G462" s="215"/>
      <c r="H462" s="185"/>
      <c r="I462" s="215"/>
      <c r="J462" s="185"/>
      <c r="K462" s="185"/>
      <c r="L462" s="185"/>
      <c r="M462" s="185"/>
    </row>
    <row r="463" ht="15.75" customHeight="1">
      <c r="A463" s="213"/>
      <c r="B463" s="214"/>
      <c r="C463" s="57"/>
      <c r="D463" s="185"/>
      <c r="E463" s="215"/>
      <c r="F463" s="215"/>
      <c r="G463" s="215"/>
      <c r="H463" s="185"/>
      <c r="I463" s="215"/>
      <c r="J463" s="185"/>
      <c r="K463" s="185"/>
      <c r="L463" s="185"/>
      <c r="M463" s="185"/>
    </row>
    <row r="464" ht="15.75" customHeight="1">
      <c r="A464" s="213"/>
      <c r="B464" s="214"/>
      <c r="C464" s="57"/>
      <c r="D464" s="185"/>
      <c r="E464" s="215"/>
      <c r="F464" s="215"/>
      <c r="G464" s="215"/>
      <c r="H464" s="185"/>
      <c r="I464" s="215"/>
      <c r="J464" s="185"/>
      <c r="K464" s="185"/>
      <c r="L464" s="185"/>
      <c r="M464" s="185"/>
    </row>
    <row r="465" ht="15.75" customHeight="1">
      <c r="A465" s="213"/>
      <c r="B465" s="214"/>
      <c r="C465" s="57"/>
      <c r="D465" s="185"/>
      <c r="E465" s="215"/>
      <c r="F465" s="215"/>
      <c r="G465" s="215"/>
      <c r="H465" s="185"/>
      <c r="I465" s="215"/>
      <c r="J465" s="185"/>
      <c r="K465" s="185"/>
      <c r="L465" s="185"/>
      <c r="M465" s="185"/>
    </row>
    <row r="466" ht="15.75" customHeight="1">
      <c r="A466" s="213"/>
      <c r="B466" s="214"/>
      <c r="C466" s="57"/>
      <c r="D466" s="185"/>
      <c r="E466" s="215"/>
      <c r="F466" s="215"/>
      <c r="G466" s="215"/>
      <c r="H466" s="185"/>
      <c r="I466" s="215"/>
      <c r="J466" s="185"/>
      <c r="K466" s="185"/>
      <c r="L466" s="185"/>
      <c r="M466" s="185"/>
    </row>
    <row r="467" ht="15.75" customHeight="1">
      <c r="A467" s="213"/>
      <c r="B467" s="214"/>
      <c r="C467" s="57"/>
      <c r="D467" s="185"/>
      <c r="E467" s="215"/>
      <c r="F467" s="215"/>
      <c r="G467" s="215"/>
      <c r="H467" s="185"/>
      <c r="I467" s="215"/>
      <c r="J467" s="185"/>
      <c r="K467" s="185"/>
      <c r="L467" s="185"/>
      <c r="M467" s="185"/>
    </row>
    <row r="468" ht="15.75" customHeight="1">
      <c r="A468" s="213"/>
      <c r="B468" s="214"/>
      <c r="C468" s="57"/>
      <c r="D468" s="185"/>
      <c r="E468" s="215"/>
      <c r="F468" s="215"/>
      <c r="G468" s="215"/>
      <c r="H468" s="185"/>
      <c r="I468" s="215"/>
      <c r="J468" s="185"/>
      <c r="K468" s="185"/>
      <c r="L468" s="185"/>
      <c r="M468" s="185"/>
    </row>
    <row r="469" ht="15.75" customHeight="1">
      <c r="A469" s="213"/>
      <c r="B469" s="214"/>
      <c r="C469" s="57"/>
      <c r="D469" s="185"/>
      <c r="E469" s="215"/>
      <c r="F469" s="215"/>
      <c r="G469" s="215"/>
      <c r="H469" s="185"/>
      <c r="I469" s="215"/>
      <c r="J469" s="185"/>
      <c r="K469" s="185"/>
      <c r="L469" s="185"/>
      <c r="M469" s="185"/>
    </row>
    <row r="470" ht="15.75" customHeight="1">
      <c r="A470" s="213"/>
      <c r="B470" s="214"/>
      <c r="C470" s="57"/>
      <c r="D470" s="185"/>
      <c r="E470" s="215"/>
      <c r="F470" s="215"/>
      <c r="G470" s="215"/>
      <c r="H470" s="185"/>
      <c r="I470" s="215"/>
      <c r="J470" s="185"/>
      <c r="K470" s="185"/>
      <c r="L470" s="185"/>
      <c r="M470" s="185"/>
    </row>
    <row r="471" ht="15.75" customHeight="1">
      <c r="A471" s="213"/>
      <c r="B471" s="214"/>
      <c r="C471" s="57"/>
      <c r="D471" s="185"/>
      <c r="E471" s="215"/>
      <c r="F471" s="215"/>
      <c r="G471" s="215"/>
      <c r="H471" s="185"/>
      <c r="I471" s="215"/>
      <c r="J471" s="185"/>
      <c r="K471" s="185"/>
      <c r="L471" s="185"/>
      <c r="M471" s="185"/>
    </row>
    <row r="472" ht="15.75" customHeight="1">
      <c r="A472" s="213"/>
      <c r="B472" s="214"/>
      <c r="C472" s="57"/>
      <c r="D472" s="185"/>
      <c r="E472" s="215"/>
      <c r="F472" s="215"/>
      <c r="G472" s="215"/>
      <c r="H472" s="185"/>
      <c r="I472" s="215"/>
      <c r="J472" s="185"/>
      <c r="K472" s="185"/>
      <c r="L472" s="185"/>
      <c r="M472" s="185"/>
    </row>
    <row r="473" ht="15.75" customHeight="1">
      <c r="A473" s="213"/>
      <c r="B473" s="214"/>
      <c r="C473" s="57"/>
      <c r="D473" s="185"/>
      <c r="E473" s="215"/>
      <c r="F473" s="215"/>
      <c r="G473" s="215"/>
      <c r="H473" s="185"/>
      <c r="I473" s="215"/>
      <c r="J473" s="185"/>
      <c r="K473" s="185"/>
      <c r="L473" s="185"/>
      <c r="M473" s="185"/>
    </row>
    <row r="474" ht="15.75" customHeight="1">
      <c r="A474" s="213"/>
      <c r="B474" s="214"/>
      <c r="C474" s="57"/>
      <c r="D474" s="185"/>
      <c r="E474" s="215"/>
      <c r="F474" s="215"/>
      <c r="G474" s="215"/>
      <c r="H474" s="185"/>
      <c r="I474" s="215"/>
      <c r="J474" s="185"/>
      <c r="K474" s="185"/>
      <c r="L474" s="185"/>
      <c r="M474" s="185"/>
    </row>
    <row r="475" ht="15.75" customHeight="1">
      <c r="A475" s="213"/>
      <c r="B475" s="214"/>
      <c r="C475" s="57"/>
      <c r="D475" s="185"/>
      <c r="E475" s="215"/>
      <c r="F475" s="215"/>
      <c r="G475" s="215"/>
      <c r="H475" s="185"/>
      <c r="I475" s="215"/>
      <c r="J475" s="185"/>
      <c r="K475" s="185"/>
      <c r="L475" s="185"/>
      <c r="M475" s="185"/>
    </row>
    <row r="476" ht="15.75" customHeight="1">
      <c r="A476" s="213"/>
      <c r="B476" s="214"/>
      <c r="C476" s="57"/>
      <c r="D476" s="185"/>
      <c r="E476" s="215"/>
      <c r="F476" s="215"/>
      <c r="G476" s="215"/>
      <c r="H476" s="185"/>
      <c r="I476" s="215"/>
      <c r="J476" s="185"/>
      <c r="K476" s="185"/>
      <c r="L476" s="185"/>
      <c r="M476" s="185"/>
    </row>
    <row r="477" ht="15.75" customHeight="1">
      <c r="A477" s="213"/>
      <c r="B477" s="214"/>
      <c r="C477" s="57"/>
      <c r="D477" s="185"/>
      <c r="E477" s="215"/>
      <c r="F477" s="215"/>
      <c r="G477" s="215"/>
      <c r="H477" s="185"/>
      <c r="I477" s="215"/>
      <c r="J477" s="185"/>
      <c r="K477" s="185"/>
      <c r="L477" s="185"/>
      <c r="M477" s="185"/>
    </row>
    <row r="478" ht="15.75" customHeight="1">
      <c r="A478" s="213"/>
      <c r="B478" s="214"/>
      <c r="C478" s="57"/>
      <c r="D478" s="185"/>
      <c r="E478" s="215"/>
      <c r="F478" s="215"/>
      <c r="G478" s="215"/>
      <c r="H478" s="185"/>
      <c r="I478" s="215"/>
      <c r="J478" s="185"/>
      <c r="K478" s="185"/>
      <c r="L478" s="185"/>
      <c r="M478" s="185"/>
    </row>
    <row r="479" ht="15.75" customHeight="1">
      <c r="A479" s="213"/>
      <c r="B479" s="214"/>
      <c r="C479" s="57"/>
      <c r="D479" s="185"/>
      <c r="E479" s="215"/>
      <c r="F479" s="215"/>
      <c r="G479" s="215"/>
      <c r="H479" s="185"/>
      <c r="I479" s="215"/>
      <c r="J479" s="185"/>
      <c r="K479" s="185"/>
      <c r="L479" s="185"/>
      <c r="M479" s="185"/>
    </row>
    <row r="480" ht="15.75" customHeight="1">
      <c r="A480" s="213"/>
      <c r="B480" s="214"/>
      <c r="C480" s="57"/>
      <c r="D480" s="185"/>
      <c r="E480" s="215"/>
      <c r="F480" s="215"/>
      <c r="G480" s="215"/>
      <c r="H480" s="185"/>
      <c r="I480" s="215"/>
      <c r="J480" s="185"/>
      <c r="K480" s="185"/>
      <c r="L480" s="185"/>
      <c r="M480" s="185"/>
    </row>
    <row r="481" ht="15.75" customHeight="1">
      <c r="A481" s="213"/>
      <c r="B481" s="214"/>
      <c r="C481" s="57"/>
      <c r="D481" s="185"/>
      <c r="E481" s="215"/>
      <c r="F481" s="215"/>
      <c r="G481" s="215"/>
      <c r="H481" s="185"/>
      <c r="I481" s="215"/>
      <c r="J481" s="185"/>
      <c r="K481" s="185"/>
      <c r="L481" s="185"/>
      <c r="M481" s="185"/>
    </row>
    <row r="482" ht="15.75" customHeight="1">
      <c r="A482" s="213"/>
      <c r="B482" s="214"/>
      <c r="C482" s="57"/>
      <c r="D482" s="185"/>
      <c r="E482" s="215"/>
      <c r="F482" s="215"/>
      <c r="G482" s="215"/>
      <c r="H482" s="185"/>
      <c r="I482" s="215"/>
      <c r="J482" s="185"/>
      <c r="K482" s="185"/>
      <c r="L482" s="185"/>
      <c r="M482" s="185"/>
    </row>
    <row r="483" ht="15.75" customHeight="1">
      <c r="A483" s="213"/>
      <c r="B483" s="214"/>
      <c r="C483" s="57"/>
      <c r="D483" s="185"/>
      <c r="E483" s="215"/>
      <c r="F483" s="215"/>
      <c r="G483" s="215"/>
      <c r="H483" s="185"/>
      <c r="I483" s="215"/>
      <c r="J483" s="185"/>
      <c r="K483" s="185"/>
      <c r="L483" s="185"/>
      <c r="M483" s="185"/>
    </row>
    <row r="484" ht="15.75" customHeight="1">
      <c r="A484" s="213"/>
      <c r="B484" s="214"/>
      <c r="C484" s="57"/>
      <c r="D484" s="185"/>
      <c r="E484" s="215"/>
      <c r="F484" s="215"/>
      <c r="G484" s="215"/>
      <c r="H484" s="185"/>
      <c r="I484" s="215"/>
      <c r="J484" s="185"/>
      <c r="K484" s="185"/>
      <c r="L484" s="185"/>
      <c r="M484" s="185"/>
    </row>
    <row r="485" ht="15.75" customHeight="1">
      <c r="A485" s="213"/>
      <c r="B485" s="214"/>
      <c r="C485" s="57"/>
      <c r="D485" s="185"/>
      <c r="E485" s="215"/>
      <c r="F485" s="215"/>
      <c r="G485" s="215"/>
      <c r="H485" s="185"/>
      <c r="I485" s="215"/>
      <c r="J485" s="185"/>
      <c r="K485" s="185"/>
      <c r="L485" s="185"/>
      <c r="M485" s="185"/>
    </row>
    <row r="486" ht="15.75" customHeight="1">
      <c r="A486" s="213"/>
      <c r="B486" s="214"/>
      <c r="C486" s="57"/>
      <c r="D486" s="185"/>
      <c r="E486" s="215"/>
      <c r="F486" s="215"/>
      <c r="G486" s="215"/>
      <c r="H486" s="185"/>
      <c r="I486" s="215"/>
      <c r="J486" s="185"/>
      <c r="K486" s="185"/>
      <c r="L486" s="185"/>
      <c r="M486" s="185"/>
    </row>
    <row r="487" ht="15.75" customHeight="1">
      <c r="A487" s="213"/>
      <c r="B487" s="214"/>
      <c r="C487" s="57"/>
      <c r="D487" s="185"/>
      <c r="E487" s="215"/>
      <c r="F487" s="215"/>
      <c r="G487" s="215"/>
      <c r="H487" s="185"/>
      <c r="I487" s="215"/>
      <c r="J487" s="185"/>
      <c r="K487" s="185"/>
      <c r="L487" s="185"/>
      <c r="M487" s="185"/>
    </row>
    <row r="488" ht="15.75" customHeight="1">
      <c r="A488" s="213"/>
      <c r="B488" s="214"/>
      <c r="C488" s="57"/>
      <c r="D488" s="185"/>
      <c r="E488" s="215"/>
      <c r="F488" s="215"/>
      <c r="G488" s="215"/>
      <c r="H488" s="185"/>
      <c r="I488" s="215"/>
      <c r="J488" s="185"/>
      <c r="K488" s="185"/>
      <c r="L488" s="185"/>
      <c r="M488" s="185"/>
    </row>
    <row r="489" ht="15.75" customHeight="1">
      <c r="A489" s="213"/>
      <c r="B489" s="214"/>
      <c r="C489" s="57"/>
      <c r="D489" s="185"/>
      <c r="E489" s="215"/>
      <c r="F489" s="215"/>
      <c r="G489" s="215"/>
      <c r="H489" s="185"/>
      <c r="I489" s="215"/>
      <c r="J489" s="185"/>
      <c r="K489" s="185"/>
      <c r="L489" s="185"/>
      <c r="M489" s="185"/>
    </row>
    <row r="490" ht="15.75" customHeight="1">
      <c r="A490" s="213"/>
      <c r="B490" s="214"/>
      <c r="C490" s="57"/>
      <c r="D490" s="185"/>
      <c r="E490" s="215"/>
      <c r="F490" s="215"/>
      <c r="G490" s="215"/>
      <c r="H490" s="185"/>
      <c r="I490" s="215"/>
      <c r="J490" s="185"/>
      <c r="K490" s="185"/>
      <c r="L490" s="185"/>
      <c r="M490" s="185"/>
    </row>
    <row r="491" ht="15.75" customHeight="1">
      <c r="A491" s="213"/>
      <c r="B491" s="214"/>
      <c r="C491" s="57"/>
      <c r="D491" s="185"/>
      <c r="E491" s="215"/>
      <c r="F491" s="215"/>
      <c r="G491" s="215"/>
      <c r="H491" s="185"/>
      <c r="I491" s="215"/>
      <c r="J491" s="185"/>
      <c r="K491" s="185"/>
      <c r="L491" s="185"/>
      <c r="M491" s="185"/>
    </row>
    <row r="492" ht="15.75" customHeight="1">
      <c r="A492" s="213"/>
      <c r="B492" s="214"/>
      <c r="C492" s="57"/>
      <c r="D492" s="185"/>
      <c r="E492" s="215"/>
      <c r="F492" s="215"/>
      <c r="G492" s="215"/>
      <c r="H492" s="185"/>
      <c r="I492" s="215"/>
      <c r="J492" s="185"/>
      <c r="K492" s="185"/>
      <c r="L492" s="185"/>
      <c r="M492" s="185"/>
    </row>
    <row r="493" ht="15.75" customHeight="1">
      <c r="A493" s="213"/>
      <c r="B493" s="214"/>
      <c r="C493" s="57"/>
      <c r="D493" s="185"/>
      <c r="E493" s="215"/>
      <c r="F493" s="215"/>
      <c r="G493" s="215"/>
      <c r="H493" s="185"/>
      <c r="I493" s="215"/>
      <c r="J493" s="185"/>
      <c r="K493" s="185"/>
      <c r="L493" s="185"/>
      <c r="M493" s="185"/>
    </row>
    <row r="494" ht="15.75" customHeight="1">
      <c r="A494" s="213"/>
      <c r="B494" s="214"/>
      <c r="C494" s="57"/>
      <c r="D494" s="185"/>
      <c r="E494" s="215"/>
      <c r="F494" s="215"/>
      <c r="G494" s="215"/>
      <c r="H494" s="185"/>
      <c r="I494" s="215"/>
      <c r="J494" s="185"/>
      <c r="K494" s="185"/>
      <c r="L494" s="185"/>
      <c r="M494" s="185"/>
    </row>
    <row r="495" ht="15.75" customHeight="1">
      <c r="A495" s="213"/>
      <c r="B495" s="214"/>
      <c r="C495" s="57"/>
      <c r="D495" s="185"/>
      <c r="E495" s="215"/>
      <c r="F495" s="215"/>
      <c r="G495" s="215"/>
      <c r="H495" s="185"/>
      <c r="I495" s="215"/>
      <c r="J495" s="185"/>
      <c r="K495" s="185"/>
      <c r="L495" s="185"/>
      <c r="M495" s="185"/>
    </row>
    <row r="496" ht="15.75" customHeight="1">
      <c r="A496" s="213"/>
      <c r="B496" s="214"/>
      <c r="C496" s="57"/>
      <c r="D496" s="185"/>
      <c r="E496" s="215"/>
      <c r="F496" s="215"/>
      <c r="G496" s="215"/>
      <c r="H496" s="185"/>
      <c r="I496" s="215"/>
      <c r="J496" s="185"/>
      <c r="K496" s="185"/>
      <c r="L496" s="185"/>
      <c r="M496" s="185"/>
    </row>
    <row r="497" ht="15.75" customHeight="1">
      <c r="A497" s="213"/>
      <c r="B497" s="214"/>
      <c r="C497" s="57"/>
      <c r="D497" s="185"/>
      <c r="E497" s="215"/>
      <c r="F497" s="215"/>
      <c r="G497" s="215"/>
      <c r="H497" s="185"/>
      <c r="I497" s="215"/>
      <c r="J497" s="185"/>
      <c r="K497" s="185"/>
      <c r="L497" s="185"/>
      <c r="M497" s="185"/>
    </row>
    <row r="498" ht="15.75" customHeight="1">
      <c r="A498" s="213"/>
      <c r="B498" s="214"/>
      <c r="C498" s="57"/>
      <c r="D498" s="185"/>
      <c r="E498" s="215"/>
      <c r="F498" s="215"/>
      <c r="G498" s="215"/>
      <c r="H498" s="185"/>
      <c r="I498" s="215"/>
      <c r="J498" s="185"/>
      <c r="K498" s="185"/>
      <c r="L498" s="185"/>
      <c r="M498" s="185"/>
    </row>
    <row r="499" ht="15.75" customHeight="1">
      <c r="A499" s="213"/>
      <c r="B499" s="214"/>
      <c r="C499" s="57"/>
      <c r="D499" s="185"/>
      <c r="E499" s="215"/>
      <c r="F499" s="215"/>
      <c r="G499" s="215"/>
      <c r="H499" s="185"/>
      <c r="I499" s="215"/>
      <c r="J499" s="185"/>
      <c r="K499" s="185"/>
      <c r="L499" s="185"/>
      <c r="M499" s="185"/>
    </row>
    <row r="500" ht="15.75" customHeight="1">
      <c r="A500" s="213"/>
      <c r="B500" s="214"/>
      <c r="C500" s="57"/>
      <c r="D500" s="185"/>
      <c r="E500" s="215"/>
      <c r="F500" s="215"/>
      <c r="G500" s="215"/>
      <c r="H500" s="185"/>
      <c r="I500" s="215"/>
      <c r="J500" s="185"/>
      <c r="K500" s="185"/>
      <c r="L500" s="185"/>
      <c r="M500" s="185"/>
    </row>
    <row r="501" ht="15.75" customHeight="1">
      <c r="A501" s="213"/>
      <c r="B501" s="214"/>
      <c r="C501" s="57"/>
      <c r="D501" s="185"/>
      <c r="E501" s="215"/>
      <c r="F501" s="215"/>
      <c r="G501" s="215"/>
      <c r="H501" s="185"/>
      <c r="I501" s="215"/>
      <c r="J501" s="185"/>
      <c r="K501" s="185"/>
      <c r="L501" s="185"/>
      <c r="M501" s="185"/>
    </row>
    <row r="502" ht="15.75" customHeight="1">
      <c r="A502" s="213"/>
      <c r="B502" s="214"/>
      <c r="C502" s="57"/>
      <c r="D502" s="185"/>
      <c r="E502" s="215"/>
      <c r="F502" s="215"/>
      <c r="G502" s="215"/>
      <c r="H502" s="185"/>
      <c r="I502" s="215"/>
      <c r="J502" s="185"/>
      <c r="K502" s="185"/>
      <c r="L502" s="185"/>
      <c r="M502" s="185"/>
    </row>
    <row r="503" ht="15.75" customHeight="1">
      <c r="A503" s="213"/>
      <c r="B503" s="214"/>
      <c r="C503" s="57"/>
      <c r="D503" s="185"/>
      <c r="E503" s="215"/>
      <c r="F503" s="215"/>
      <c r="G503" s="215"/>
      <c r="H503" s="185"/>
      <c r="I503" s="215"/>
      <c r="J503" s="185"/>
      <c r="K503" s="185"/>
      <c r="L503" s="185"/>
      <c r="M503" s="185"/>
    </row>
    <row r="504" ht="15.75" customHeight="1">
      <c r="A504" s="213"/>
      <c r="B504" s="214"/>
      <c r="C504" s="57"/>
      <c r="D504" s="185"/>
      <c r="E504" s="215"/>
      <c r="F504" s="215"/>
      <c r="G504" s="215"/>
      <c r="H504" s="185"/>
      <c r="I504" s="215"/>
      <c r="J504" s="185"/>
      <c r="K504" s="185"/>
      <c r="L504" s="185"/>
      <c r="M504" s="185"/>
    </row>
    <row r="505" ht="15.75" customHeight="1">
      <c r="A505" s="213"/>
      <c r="B505" s="214"/>
      <c r="C505" s="57"/>
      <c r="D505" s="185"/>
      <c r="E505" s="215"/>
      <c r="F505" s="215"/>
      <c r="G505" s="215"/>
      <c r="H505" s="185"/>
      <c r="I505" s="215"/>
      <c r="J505" s="185"/>
      <c r="K505" s="185"/>
      <c r="L505" s="185"/>
      <c r="M505" s="185"/>
    </row>
    <row r="506" ht="15.75" customHeight="1">
      <c r="A506" s="213"/>
      <c r="B506" s="214"/>
      <c r="C506" s="57"/>
      <c r="D506" s="185"/>
      <c r="E506" s="215"/>
      <c r="F506" s="215"/>
      <c r="G506" s="215"/>
      <c r="H506" s="185"/>
      <c r="I506" s="215"/>
      <c r="J506" s="185"/>
      <c r="K506" s="185"/>
      <c r="L506" s="185"/>
      <c r="M506" s="185"/>
    </row>
    <row r="507" ht="15.75" customHeight="1">
      <c r="A507" s="213"/>
      <c r="B507" s="214"/>
      <c r="C507" s="57"/>
      <c r="D507" s="185"/>
      <c r="E507" s="215"/>
      <c r="F507" s="215"/>
      <c r="G507" s="215"/>
      <c r="H507" s="185"/>
      <c r="I507" s="215"/>
      <c r="J507" s="185"/>
      <c r="K507" s="185"/>
      <c r="L507" s="185"/>
      <c r="M507" s="185"/>
    </row>
    <row r="508" ht="15.75" customHeight="1">
      <c r="A508" s="213"/>
      <c r="B508" s="214"/>
      <c r="C508" s="57"/>
      <c r="D508" s="185"/>
      <c r="E508" s="215"/>
      <c r="F508" s="215"/>
      <c r="G508" s="215"/>
      <c r="H508" s="185"/>
      <c r="I508" s="215"/>
      <c r="J508" s="185"/>
      <c r="K508" s="185"/>
      <c r="L508" s="185"/>
      <c r="M508" s="185"/>
    </row>
    <row r="509" ht="15.75" customHeight="1">
      <c r="A509" s="213"/>
      <c r="B509" s="214"/>
      <c r="C509" s="57"/>
      <c r="D509" s="185"/>
      <c r="E509" s="215"/>
      <c r="F509" s="215"/>
      <c r="G509" s="215"/>
      <c r="H509" s="185"/>
      <c r="I509" s="215"/>
      <c r="J509" s="185"/>
      <c r="K509" s="185"/>
      <c r="L509" s="185"/>
      <c r="M509" s="185"/>
    </row>
    <row r="510" ht="15.75" customHeight="1">
      <c r="A510" s="213"/>
      <c r="B510" s="214"/>
      <c r="C510" s="57"/>
      <c r="D510" s="185"/>
      <c r="E510" s="215"/>
      <c r="F510" s="215"/>
      <c r="G510" s="215"/>
      <c r="H510" s="185"/>
      <c r="I510" s="215"/>
      <c r="J510" s="185"/>
      <c r="K510" s="185"/>
      <c r="L510" s="185"/>
      <c r="M510" s="185"/>
    </row>
    <row r="511" ht="15.75" customHeight="1">
      <c r="A511" s="213"/>
      <c r="B511" s="214"/>
      <c r="C511" s="57"/>
      <c r="D511" s="185"/>
      <c r="E511" s="215"/>
      <c r="F511" s="215"/>
      <c r="G511" s="215"/>
      <c r="H511" s="185"/>
      <c r="I511" s="215"/>
      <c r="J511" s="185"/>
      <c r="K511" s="185"/>
      <c r="L511" s="185"/>
      <c r="M511" s="185"/>
    </row>
    <row r="512" ht="15.75" customHeight="1">
      <c r="A512" s="213"/>
      <c r="B512" s="214"/>
      <c r="C512" s="57"/>
      <c r="D512" s="185"/>
      <c r="E512" s="215"/>
      <c r="F512" s="215"/>
      <c r="G512" s="215"/>
      <c r="H512" s="185"/>
      <c r="I512" s="215"/>
      <c r="J512" s="185"/>
      <c r="K512" s="185"/>
      <c r="L512" s="185"/>
      <c r="M512" s="185"/>
    </row>
    <row r="513" ht="15.75" customHeight="1">
      <c r="A513" s="213"/>
      <c r="B513" s="214"/>
      <c r="C513" s="57"/>
      <c r="D513" s="185"/>
      <c r="E513" s="215"/>
      <c r="F513" s="215"/>
      <c r="G513" s="215"/>
      <c r="H513" s="185"/>
      <c r="I513" s="215"/>
      <c r="J513" s="185"/>
      <c r="K513" s="185"/>
      <c r="L513" s="185"/>
      <c r="M513" s="185"/>
    </row>
    <row r="514" ht="15.75" customHeight="1">
      <c r="A514" s="213"/>
      <c r="B514" s="214"/>
      <c r="C514" s="57"/>
      <c r="D514" s="185"/>
      <c r="E514" s="215"/>
      <c r="F514" s="215"/>
      <c r="G514" s="215"/>
      <c r="H514" s="185"/>
      <c r="I514" s="215"/>
      <c r="J514" s="185"/>
      <c r="K514" s="185"/>
      <c r="L514" s="185"/>
      <c r="M514" s="185"/>
    </row>
    <row r="515" ht="15.75" customHeight="1">
      <c r="A515" s="213"/>
      <c r="B515" s="214"/>
      <c r="C515" s="57"/>
      <c r="D515" s="185"/>
      <c r="E515" s="215"/>
      <c r="F515" s="215"/>
      <c r="G515" s="215"/>
      <c r="H515" s="185"/>
      <c r="I515" s="215"/>
      <c r="J515" s="185"/>
      <c r="K515" s="185"/>
      <c r="L515" s="185"/>
      <c r="M515" s="185"/>
    </row>
    <row r="516" ht="15.75" customHeight="1">
      <c r="A516" s="213"/>
      <c r="B516" s="214"/>
      <c r="C516" s="57"/>
      <c r="D516" s="185"/>
      <c r="E516" s="215"/>
      <c r="F516" s="215"/>
      <c r="G516" s="215"/>
      <c r="H516" s="185"/>
      <c r="I516" s="215"/>
      <c r="J516" s="185"/>
      <c r="K516" s="185"/>
      <c r="L516" s="185"/>
      <c r="M516" s="185"/>
    </row>
    <row r="517" ht="15.75" customHeight="1">
      <c r="A517" s="213"/>
      <c r="B517" s="214"/>
      <c r="C517" s="57"/>
      <c r="D517" s="185"/>
      <c r="E517" s="215"/>
      <c r="F517" s="215"/>
      <c r="G517" s="215"/>
      <c r="H517" s="185"/>
      <c r="I517" s="215"/>
      <c r="J517" s="185"/>
      <c r="K517" s="185"/>
      <c r="L517" s="185"/>
      <c r="M517" s="185"/>
    </row>
    <row r="518" ht="15.75" customHeight="1">
      <c r="A518" s="213"/>
      <c r="B518" s="214"/>
      <c r="C518" s="57"/>
      <c r="D518" s="185"/>
      <c r="E518" s="215"/>
      <c r="F518" s="215"/>
      <c r="G518" s="215"/>
      <c r="H518" s="185"/>
      <c r="I518" s="215"/>
      <c r="J518" s="185"/>
      <c r="K518" s="185"/>
      <c r="L518" s="185"/>
      <c r="M518" s="185"/>
    </row>
    <row r="519" ht="15.75" customHeight="1">
      <c r="A519" s="213"/>
      <c r="B519" s="214"/>
      <c r="C519" s="57"/>
      <c r="D519" s="185"/>
      <c r="E519" s="215"/>
      <c r="F519" s="215"/>
      <c r="G519" s="215"/>
      <c r="H519" s="185"/>
      <c r="I519" s="215"/>
      <c r="J519" s="185"/>
      <c r="K519" s="185"/>
      <c r="L519" s="185"/>
      <c r="M519" s="185"/>
    </row>
    <row r="520" ht="15.75" customHeight="1">
      <c r="A520" s="213"/>
      <c r="B520" s="214"/>
      <c r="C520" s="57"/>
      <c r="D520" s="185"/>
      <c r="E520" s="215"/>
      <c r="F520" s="215"/>
      <c r="G520" s="215"/>
      <c r="H520" s="185"/>
      <c r="I520" s="215"/>
      <c r="J520" s="185"/>
      <c r="K520" s="185"/>
      <c r="L520" s="185"/>
      <c r="M520" s="185"/>
    </row>
    <row r="521" ht="15.75" customHeight="1">
      <c r="A521" s="213"/>
      <c r="B521" s="214"/>
      <c r="C521" s="57"/>
      <c r="D521" s="185"/>
      <c r="E521" s="215"/>
      <c r="F521" s="215"/>
      <c r="G521" s="215"/>
      <c r="H521" s="185"/>
      <c r="I521" s="215"/>
      <c r="J521" s="185"/>
      <c r="K521" s="185"/>
      <c r="L521" s="185"/>
      <c r="M521" s="185"/>
    </row>
    <row r="522" ht="15.75" customHeight="1">
      <c r="A522" s="213"/>
      <c r="B522" s="214"/>
      <c r="C522" s="57"/>
      <c r="D522" s="185"/>
      <c r="E522" s="215"/>
      <c r="F522" s="215"/>
      <c r="G522" s="215"/>
      <c r="H522" s="185"/>
      <c r="I522" s="215"/>
      <c r="J522" s="185"/>
      <c r="K522" s="185"/>
      <c r="L522" s="185"/>
      <c r="M522" s="185"/>
    </row>
    <row r="523" ht="15.75" customHeight="1">
      <c r="A523" s="213"/>
      <c r="B523" s="214"/>
      <c r="C523" s="57"/>
      <c r="D523" s="185"/>
      <c r="E523" s="215"/>
      <c r="F523" s="215"/>
      <c r="G523" s="215"/>
      <c r="H523" s="185"/>
      <c r="I523" s="215"/>
      <c r="J523" s="185"/>
      <c r="K523" s="185"/>
      <c r="L523" s="185"/>
      <c r="M523" s="185"/>
    </row>
    <row r="524" ht="15.75" customHeight="1">
      <c r="A524" s="213"/>
      <c r="B524" s="214"/>
      <c r="C524" s="57"/>
      <c r="D524" s="185"/>
      <c r="E524" s="215"/>
      <c r="F524" s="215"/>
      <c r="G524" s="215"/>
      <c r="H524" s="185"/>
      <c r="I524" s="215"/>
      <c r="J524" s="185"/>
      <c r="K524" s="185"/>
      <c r="L524" s="185"/>
      <c r="M524" s="185"/>
    </row>
    <row r="525" ht="15.75" customHeight="1">
      <c r="A525" s="213"/>
      <c r="B525" s="214"/>
      <c r="C525" s="57"/>
      <c r="D525" s="185"/>
      <c r="E525" s="215"/>
      <c r="F525" s="215"/>
      <c r="G525" s="215"/>
      <c r="H525" s="185"/>
      <c r="I525" s="215"/>
      <c r="J525" s="185"/>
      <c r="K525" s="185"/>
      <c r="L525" s="185"/>
      <c r="M525" s="185"/>
    </row>
    <row r="526" ht="15.75" customHeight="1">
      <c r="A526" s="213"/>
      <c r="B526" s="214"/>
      <c r="C526" s="57"/>
      <c r="D526" s="185"/>
      <c r="E526" s="215"/>
      <c r="F526" s="215"/>
      <c r="G526" s="215"/>
      <c r="H526" s="185"/>
      <c r="I526" s="215"/>
      <c r="J526" s="185"/>
      <c r="K526" s="185"/>
      <c r="L526" s="185"/>
      <c r="M526" s="185"/>
    </row>
    <row r="527" ht="15.75" customHeight="1">
      <c r="A527" s="213"/>
      <c r="B527" s="214"/>
      <c r="C527" s="57"/>
      <c r="D527" s="185"/>
      <c r="E527" s="215"/>
      <c r="F527" s="215"/>
      <c r="G527" s="215"/>
      <c r="H527" s="185"/>
      <c r="I527" s="215"/>
      <c r="J527" s="185"/>
      <c r="K527" s="185"/>
      <c r="L527" s="185"/>
      <c r="M527" s="185"/>
    </row>
    <row r="528" ht="15.75" customHeight="1">
      <c r="A528" s="213"/>
      <c r="B528" s="214"/>
      <c r="C528" s="57"/>
      <c r="D528" s="185"/>
      <c r="E528" s="215"/>
      <c r="F528" s="215"/>
      <c r="G528" s="215"/>
      <c r="H528" s="185"/>
      <c r="I528" s="215"/>
      <c r="J528" s="185"/>
      <c r="K528" s="185"/>
      <c r="L528" s="185"/>
      <c r="M528" s="185"/>
    </row>
    <row r="529" ht="15.75" customHeight="1">
      <c r="A529" s="213"/>
      <c r="B529" s="214"/>
      <c r="C529" s="57"/>
      <c r="D529" s="185"/>
      <c r="E529" s="215"/>
      <c r="F529" s="215"/>
      <c r="G529" s="215"/>
      <c r="H529" s="185"/>
      <c r="I529" s="215"/>
      <c r="J529" s="185"/>
      <c r="K529" s="185"/>
      <c r="L529" s="185"/>
      <c r="M529" s="185"/>
    </row>
    <row r="530" ht="15.75" customHeight="1">
      <c r="A530" s="213"/>
      <c r="B530" s="214"/>
      <c r="C530" s="57"/>
      <c r="D530" s="185"/>
      <c r="E530" s="215"/>
      <c r="F530" s="215"/>
      <c r="G530" s="215"/>
      <c r="H530" s="185"/>
      <c r="I530" s="215"/>
      <c r="J530" s="185"/>
      <c r="K530" s="185"/>
      <c r="L530" s="185"/>
      <c r="M530" s="185"/>
    </row>
    <row r="531" ht="15.75" customHeight="1">
      <c r="A531" s="213"/>
      <c r="B531" s="214"/>
      <c r="C531" s="57"/>
      <c r="D531" s="185"/>
      <c r="E531" s="215"/>
      <c r="F531" s="215"/>
      <c r="G531" s="215"/>
      <c r="H531" s="185"/>
      <c r="I531" s="215"/>
      <c r="J531" s="185"/>
      <c r="K531" s="185"/>
      <c r="L531" s="185"/>
      <c r="M531" s="185"/>
    </row>
    <row r="532" ht="15.75" customHeight="1">
      <c r="A532" s="213"/>
      <c r="B532" s="214"/>
      <c r="C532" s="57"/>
      <c r="D532" s="185"/>
      <c r="E532" s="215"/>
      <c r="F532" s="215"/>
      <c r="G532" s="215"/>
      <c r="H532" s="185"/>
      <c r="I532" s="215"/>
      <c r="J532" s="185"/>
      <c r="K532" s="185"/>
      <c r="L532" s="185"/>
      <c r="M532" s="185"/>
    </row>
    <row r="533" ht="15.75" customHeight="1">
      <c r="A533" s="213"/>
      <c r="B533" s="214"/>
      <c r="C533" s="57"/>
      <c r="D533" s="185"/>
      <c r="E533" s="215"/>
      <c r="F533" s="215"/>
      <c r="G533" s="215"/>
      <c r="H533" s="185"/>
      <c r="I533" s="215"/>
      <c r="J533" s="185"/>
      <c r="K533" s="185"/>
      <c r="L533" s="185"/>
      <c r="M533" s="185"/>
    </row>
    <row r="534" ht="15.75" customHeight="1">
      <c r="A534" s="213"/>
      <c r="B534" s="214"/>
      <c r="C534" s="57"/>
      <c r="D534" s="185"/>
      <c r="E534" s="215"/>
      <c r="F534" s="215"/>
      <c r="G534" s="215"/>
      <c r="H534" s="185"/>
      <c r="I534" s="215"/>
      <c r="J534" s="185"/>
      <c r="K534" s="185"/>
      <c r="L534" s="185"/>
      <c r="M534" s="185"/>
    </row>
    <row r="535" ht="15.75" customHeight="1">
      <c r="A535" s="213"/>
      <c r="B535" s="214"/>
      <c r="C535" s="57"/>
      <c r="D535" s="185"/>
      <c r="E535" s="215"/>
      <c r="F535" s="215"/>
      <c r="G535" s="215"/>
      <c r="H535" s="185"/>
      <c r="I535" s="215"/>
      <c r="J535" s="185"/>
      <c r="K535" s="185"/>
      <c r="L535" s="185"/>
      <c r="M535" s="185"/>
    </row>
    <row r="536" ht="15.75" customHeight="1">
      <c r="A536" s="213"/>
      <c r="B536" s="214"/>
      <c r="C536" s="57"/>
      <c r="D536" s="185"/>
      <c r="E536" s="215"/>
      <c r="F536" s="215"/>
      <c r="G536" s="215"/>
      <c r="H536" s="185"/>
      <c r="I536" s="215"/>
      <c r="J536" s="185"/>
      <c r="K536" s="185"/>
      <c r="L536" s="185"/>
      <c r="M536" s="185"/>
    </row>
    <row r="537" ht="15.75" customHeight="1">
      <c r="A537" s="213"/>
      <c r="B537" s="214"/>
      <c r="C537" s="57"/>
      <c r="D537" s="185"/>
      <c r="E537" s="215"/>
      <c r="F537" s="215"/>
      <c r="G537" s="215"/>
      <c r="H537" s="185"/>
      <c r="I537" s="215"/>
      <c r="J537" s="185"/>
      <c r="K537" s="185"/>
      <c r="L537" s="185"/>
      <c r="M537" s="185"/>
    </row>
    <row r="538" ht="15.75" customHeight="1">
      <c r="A538" s="213"/>
      <c r="B538" s="214"/>
      <c r="C538" s="57"/>
      <c r="D538" s="185"/>
      <c r="E538" s="215"/>
      <c r="F538" s="215"/>
      <c r="G538" s="215"/>
      <c r="H538" s="185"/>
      <c r="I538" s="215"/>
      <c r="J538" s="185"/>
      <c r="K538" s="185"/>
      <c r="L538" s="185"/>
      <c r="M538" s="185"/>
    </row>
    <row r="539" ht="15.75" customHeight="1">
      <c r="A539" s="213"/>
      <c r="B539" s="214"/>
      <c r="C539" s="57"/>
      <c r="D539" s="185"/>
      <c r="E539" s="215"/>
      <c r="F539" s="215"/>
      <c r="G539" s="215"/>
      <c r="H539" s="185"/>
      <c r="I539" s="215"/>
      <c r="J539" s="185"/>
      <c r="K539" s="185"/>
      <c r="L539" s="185"/>
      <c r="M539" s="185"/>
    </row>
    <row r="540" ht="15.75" customHeight="1">
      <c r="A540" s="213"/>
      <c r="B540" s="214"/>
      <c r="C540" s="57"/>
      <c r="D540" s="185"/>
      <c r="E540" s="215"/>
      <c r="F540" s="215"/>
      <c r="G540" s="215"/>
      <c r="H540" s="185"/>
      <c r="I540" s="215"/>
      <c r="J540" s="185"/>
      <c r="K540" s="185"/>
      <c r="L540" s="185"/>
      <c r="M540" s="185"/>
    </row>
    <row r="541" ht="15.75" customHeight="1">
      <c r="A541" s="213"/>
      <c r="B541" s="214"/>
      <c r="C541" s="57"/>
      <c r="D541" s="185"/>
      <c r="E541" s="215"/>
      <c r="F541" s="215"/>
      <c r="G541" s="215"/>
      <c r="H541" s="185"/>
      <c r="I541" s="215"/>
      <c r="J541" s="185"/>
      <c r="K541" s="185"/>
      <c r="L541" s="185"/>
      <c r="M541" s="185"/>
    </row>
    <row r="542" ht="15.75" customHeight="1">
      <c r="A542" s="213"/>
      <c r="B542" s="214"/>
      <c r="C542" s="57"/>
      <c r="D542" s="185"/>
      <c r="E542" s="215"/>
      <c r="F542" s="215"/>
      <c r="G542" s="215"/>
      <c r="H542" s="185"/>
      <c r="I542" s="215"/>
      <c r="J542" s="185"/>
      <c r="K542" s="185"/>
      <c r="L542" s="185"/>
      <c r="M542" s="185"/>
    </row>
    <row r="543" ht="15.75" customHeight="1">
      <c r="A543" s="213"/>
      <c r="B543" s="214"/>
      <c r="C543" s="57"/>
      <c r="D543" s="185"/>
      <c r="E543" s="215"/>
      <c r="F543" s="215"/>
      <c r="G543" s="215"/>
      <c r="H543" s="185"/>
      <c r="I543" s="215"/>
      <c r="J543" s="185"/>
      <c r="K543" s="185"/>
      <c r="L543" s="185"/>
      <c r="M543" s="185"/>
    </row>
    <row r="544" ht="15.75" customHeight="1">
      <c r="A544" s="213"/>
      <c r="B544" s="214"/>
      <c r="C544" s="57"/>
      <c r="D544" s="185"/>
      <c r="E544" s="215"/>
      <c r="F544" s="215"/>
      <c r="G544" s="215"/>
      <c r="H544" s="185"/>
      <c r="I544" s="215"/>
      <c r="J544" s="185"/>
      <c r="K544" s="185"/>
      <c r="L544" s="185"/>
      <c r="M544" s="185"/>
    </row>
    <row r="545" ht="15.75" customHeight="1">
      <c r="A545" s="213"/>
      <c r="B545" s="214"/>
      <c r="C545" s="57"/>
      <c r="D545" s="185"/>
      <c r="E545" s="215"/>
      <c r="F545" s="215"/>
      <c r="G545" s="215"/>
      <c r="H545" s="185"/>
      <c r="I545" s="215"/>
      <c r="J545" s="185"/>
      <c r="K545" s="185"/>
      <c r="L545" s="185"/>
      <c r="M545" s="185"/>
    </row>
    <row r="546" ht="15.75" customHeight="1">
      <c r="A546" s="213"/>
      <c r="B546" s="214"/>
      <c r="C546" s="57"/>
      <c r="D546" s="185"/>
      <c r="E546" s="215"/>
      <c r="F546" s="215"/>
      <c r="G546" s="215"/>
      <c r="H546" s="185"/>
      <c r="I546" s="215"/>
      <c r="J546" s="185"/>
      <c r="K546" s="185"/>
      <c r="L546" s="185"/>
      <c r="M546" s="185"/>
    </row>
    <row r="547" ht="15.75" customHeight="1">
      <c r="A547" s="213"/>
      <c r="B547" s="214"/>
      <c r="C547" s="57"/>
      <c r="D547" s="185"/>
      <c r="E547" s="215"/>
      <c r="F547" s="215"/>
      <c r="G547" s="215"/>
      <c r="H547" s="185"/>
      <c r="I547" s="215"/>
      <c r="J547" s="185"/>
      <c r="K547" s="185"/>
      <c r="L547" s="185"/>
      <c r="M547" s="185"/>
    </row>
    <row r="548" ht="15.75" customHeight="1">
      <c r="A548" s="213"/>
      <c r="B548" s="214"/>
      <c r="C548" s="57"/>
      <c r="D548" s="185"/>
      <c r="E548" s="215"/>
      <c r="F548" s="215"/>
      <c r="G548" s="215"/>
      <c r="H548" s="185"/>
      <c r="I548" s="215"/>
      <c r="J548" s="185"/>
      <c r="K548" s="185"/>
      <c r="L548" s="185"/>
      <c r="M548" s="185"/>
    </row>
    <row r="549" ht="15.75" customHeight="1">
      <c r="A549" s="213"/>
      <c r="B549" s="214"/>
      <c r="C549" s="57"/>
      <c r="D549" s="185"/>
      <c r="E549" s="215"/>
      <c r="F549" s="215"/>
      <c r="G549" s="215"/>
      <c r="H549" s="185"/>
      <c r="I549" s="215"/>
      <c r="J549" s="185"/>
      <c r="K549" s="185"/>
      <c r="L549" s="185"/>
      <c r="M549" s="185"/>
    </row>
    <row r="550" ht="15.75" customHeight="1">
      <c r="A550" s="213"/>
      <c r="B550" s="214"/>
      <c r="C550" s="57"/>
      <c r="D550" s="185"/>
      <c r="E550" s="215"/>
      <c r="F550" s="215"/>
      <c r="G550" s="215"/>
      <c r="H550" s="185"/>
      <c r="I550" s="215"/>
      <c r="J550" s="185"/>
      <c r="K550" s="185"/>
      <c r="L550" s="185"/>
      <c r="M550" s="185"/>
    </row>
    <row r="551" ht="15.75" customHeight="1">
      <c r="A551" s="213"/>
      <c r="B551" s="214"/>
      <c r="C551" s="57"/>
      <c r="D551" s="185"/>
      <c r="E551" s="215"/>
      <c r="F551" s="215"/>
      <c r="G551" s="215"/>
      <c r="H551" s="185"/>
      <c r="I551" s="215"/>
      <c r="J551" s="185"/>
      <c r="K551" s="185"/>
      <c r="L551" s="185"/>
      <c r="M551" s="185"/>
    </row>
    <row r="552" ht="15.75" customHeight="1">
      <c r="A552" s="213"/>
      <c r="B552" s="214"/>
      <c r="C552" s="57"/>
      <c r="D552" s="185"/>
      <c r="E552" s="215"/>
      <c r="F552" s="215"/>
      <c r="G552" s="215"/>
      <c r="H552" s="185"/>
      <c r="I552" s="215"/>
      <c r="J552" s="185"/>
      <c r="K552" s="185"/>
      <c r="L552" s="185"/>
      <c r="M552" s="185"/>
    </row>
    <row r="553" ht="15.75" customHeight="1">
      <c r="A553" s="213"/>
      <c r="B553" s="214"/>
      <c r="C553" s="57"/>
      <c r="D553" s="185"/>
      <c r="E553" s="215"/>
      <c r="F553" s="215"/>
      <c r="G553" s="215"/>
      <c r="H553" s="185"/>
      <c r="I553" s="215"/>
      <c r="J553" s="185"/>
      <c r="K553" s="185"/>
      <c r="L553" s="185"/>
      <c r="M553" s="185"/>
    </row>
    <row r="554" ht="15.75" customHeight="1">
      <c r="A554" s="213"/>
      <c r="B554" s="214"/>
      <c r="C554" s="57"/>
      <c r="D554" s="185"/>
      <c r="E554" s="215"/>
      <c r="F554" s="215"/>
      <c r="G554" s="215"/>
      <c r="H554" s="185"/>
      <c r="I554" s="215"/>
      <c r="J554" s="185"/>
      <c r="K554" s="185"/>
      <c r="L554" s="185"/>
      <c r="M554" s="185"/>
    </row>
    <row r="555" ht="15.75" customHeight="1">
      <c r="A555" s="213"/>
      <c r="B555" s="214"/>
      <c r="C555" s="57"/>
      <c r="D555" s="185"/>
      <c r="E555" s="215"/>
      <c r="F555" s="215"/>
      <c r="G555" s="215"/>
      <c r="H555" s="185"/>
      <c r="I555" s="215"/>
      <c r="J555" s="185"/>
      <c r="K555" s="185"/>
      <c r="L555" s="185"/>
      <c r="M555" s="185"/>
    </row>
    <row r="556" ht="15.75" customHeight="1">
      <c r="A556" s="213"/>
      <c r="B556" s="214"/>
      <c r="C556" s="57"/>
      <c r="D556" s="185"/>
      <c r="E556" s="215"/>
      <c r="F556" s="215"/>
      <c r="G556" s="215"/>
      <c r="H556" s="185"/>
      <c r="I556" s="215"/>
      <c r="J556" s="185"/>
      <c r="K556" s="185"/>
      <c r="L556" s="185"/>
      <c r="M556" s="185"/>
    </row>
    <row r="557" ht="15.75" customHeight="1">
      <c r="A557" s="213"/>
      <c r="B557" s="214"/>
      <c r="C557" s="57"/>
      <c r="D557" s="185"/>
      <c r="E557" s="215"/>
      <c r="F557" s="215"/>
      <c r="G557" s="215"/>
      <c r="H557" s="185"/>
      <c r="I557" s="215"/>
      <c r="J557" s="185"/>
      <c r="K557" s="185"/>
      <c r="L557" s="185"/>
      <c r="M557" s="185"/>
    </row>
    <row r="558" ht="15.75" customHeight="1">
      <c r="A558" s="213"/>
      <c r="B558" s="214"/>
      <c r="C558" s="57"/>
      <c r="D558" s="185"/>
      <c r="E558" s="215"/>
      <c r="F558" s="215"/>
      <c r="G558" s="215"/>
      <c r="H558" s="185"/>
      <c r="I558" s="215"/>
      <c r="J558" s="185"/>
      <c r="K558" s="185"/>
      <c r="L558" s="185"/>
      <c r="M558" s="185"/>
    </row>
    <row r="559" ht="15.75" customHeight="1">
      <c r="A559" s="213"/>
      <c r="B559" s="214"/>
      <c r="C559" s="57"/>
      <c r="D559" s="185"/>
      <c r="E559" s="215"/>
      <c r="F559" s="215"/>
      <c r="G559" s="215"/>
      <c r="H559" s="185"/>
      <c r="I559" s="215"/>
      <c r="J559" s="185"/>
      <c r="K559" s="185"/>
      <c r="L559" s="185"/>
      <c r="M559" s="185"/>
    </row>
    <row r="560" ht="15.75" customHeight="1">
      <c r="A560" s="213"/>
      <c r="B560" s="214"/>
      <c r="C560" s="57"/>
      <c r="D560" s="185"/>
      <c r="E560" s="215"/>
      <c r="F560" s="215"/>
      <c r="G560" s="215"/>
      <c r="H560" s="185"/>
      <c r="I560" s="215"/>
      <c r="J560" s="185"/>
      <c r="K560" s="185"/>
      <c r="L560" s="185"/>
      <c r="M560" s="185"/>
    </row>
    <row r="561" ht="15.75" customHeight="1">
      <c r="A561" s="213"/>
      <c r="B561" s="214"/>
      <c r="C561" s="57"/>
      <c r="D561" s="185"/>
      <c r="E561" s="215"/>
      <c r="F561" s="215"/>
      <c r="G561" s="215"/>
      <c r="H561" s="185"/>
      <c r="I561" s="215"/>
      <c r="J561" s="185"/>
      <c r="K561" s="185"/>
      <c r="L561" s="185"/>
      <c r="M561" s="185"/>
    </row>
    <row r="562" ht="15.75" customHeight="1">
      <c r="A562" s="213"/>
      <c r="B562" s="214"/>
      <c r="C562" s="57"/>
      <c r="D562" s="185"/>
      <c r="E562" s="215"/>
      <c r="F562" s="215"/>
      <c r="G562" s="215"/>
      <c r="H562" s="185"/>
      <c r="I562" s="215"/>
      <c r="J562" s="185"/>
      <c r="K562" s="185"/>
      <c r="L562" s="185"/>
      <c r="M562" s="185"/>
    </row>
    <row r="563" ht="15.75" customHeight="1">
      <c r="A563" s="213"/>
      <c r="B563" s="214"/>
      <c r="C563" s="57"/>
      <c r="D563" s="185"/>
      <c r="E563" s="215"/>
      <c r="F563" s="215"/>
      <c r="G563" s="215"/>
      <c r="H563" s="185"/>
      <c r="I563" s="215"/>
      <c r="J563" s="185"/>
      <c r="K563" s="185"/>
      <c r="L563" s="185"/>
      <c r="M563" s="185"/>
    </row>
    <row r="564" ht="15.75" customHeight="1">
      <c r="A564" s="213"/>
      <c r="B564" s="214"/>
      <c r="C564" s="57"/>
      <c r="D564" s="185"/>
      <c r="E564" s="215"/>
      <c r="F564" s="215"/>
      <c r="G564" s="215"/>
      <c r="H564" s="185"/>
      <c r="I564" s="215"/>
      <c r="J564" s="185"/>
      <c r="K564" s="185"/>
      <c r="L564" s="185"/>
      <c r="M564" s="185"/>
    </row>
    <row r="565" ht="15.75" customHeight="1">
      <c r="A565" s="213"/>
      <c r="B565" s="214"/>
      <c r="C565" s="57"/>
      <c r="D565" s="185"/>
      <c r="E565" s="215"/>
      <c r="F565" s="215"/>
      <c r="G565" s="215"/>
      <c r="H565" s="185"/>
      <c r="I565" s="215"/>
      <c r="J565" s="185"/>
      <c r="K565" s="185"/>
      <c r="L565" s="185"/>
      <c r="M565" s="185"/>
    </row>
    <row r="566" ht="15.75" customHeight="1">
      <c r="A566" s="213"/>
      <c r="B566" s="214"/>
      <c r="C566" s="57"/>
      <c r="D566" s="185"/>
      <c r="E566" s="215"/>
      <c r="F566" s="215"/>
      <c r="G566" s="215"/>
      <c r="H566" s="185"/>
      <c r="I566" s="215"/>
      <c r="J566" s="185"/>
      <c r="K566" s="185"/>
      <c r="L566" s="185"/>
      <c r="M566" s="185"/>
    </row>
    <row r="567" ht="15.75" customHeight="1">
      <c r="A567" s="213"/>
      <c r="B567" s="214"/>
      <c r="C567" s="57"/>
      <c r="D567" s="185"/>
      <c r="E567" s="215"/>
      <c r="F567" s="215"/>
      <c r="G567" s="215"/>
      <c r="H567" s="185"/>
      <c r="I567" s="215"/>
      <c r="J567" s="185"/>
      <c r="K567" s="185"/>
      <c r="L567" s="185"/>
      <c r="M567" s="185"/>
    </row>
    <row r="568" ht="15.75" customHeight="1">
      <c r="A568" s="213"/>
      <c r="B568" s="214"/>
      <c r="C568" s="57"/>
      <c r="D568" s="185"/>
      <c r="E568" s="215"/>
      <c r="F568" s="215"/>
      <c r="G568" s="215"/>
      <c r="H568" s="185"/>
      <c r="I568" s="215"/>
      <c r="J568" s="185"/>
      <c r="K568" s="185"/>
      <c r="L568" s="185"/>
      <c r="M568" s="185"/>
    </row>
    <row r="569" ht="15.75" customHeight="1">
      <c r="A569" s="213"/>
      <c r="B569" s="214"/>
      <c r="C569" s="57"/>
      <c r="D569" s="185"/>
      <c r="E569" s="215"/>
      <c r="F569" s="215"/>
      <c r="G569" s="215"/>
      <c r="H569" s="185"/>
      <c r="I569" s="215"/>
      <c r="J569" s="185"/>
      <c r="K569" s="185"/>
      <c r="L569" s="185"/>
      <c r="M569" s="185"/>
    </row>
    <row r="570" ht="15.75" customHeight="1">
      <c r="A570" s="213"/>
      <c r="B570" s="214"/>
      <c r="C570" s="57"/>
      <c r="D570" s="185"/>
      <c r="E570" s="215"/>
      <c r="F570" s="215"/>
      <c r="G570" s="215"/>
      <c r="H570" s="185"/>
      <c r="I570" s="215"/>
      <c r="J570" s="185"/>
      <c r="K570" s="185"/>
      <c r="L570" s="185"/>
      <c r="M570" s="185"/>
    </row>
    <row r="571" ht="15.75" customHeight="1">
      <c r="A571" s="213"/>
      <c r="B571" s="214"/>
      <c r="C571" s="57"/>
      <c r="D571" s="185"/>
      <c r="E571" s="215"/>
      <c r="F571" s="215"/>
      <c r="G571" s="215"/>
      <c r="H571" s="185"/>
      <c r="I571" s="215"/>
      <c r="J571" s="185"/>
      <c r="K571" s="185"/>
      <c r="L571" s="185"/>
      <c r="M571" s="185"/>
    </row>
    <row r="572" ht="15.75" customHeight="1">
      <c r="A572" s="213"/>
      <c r="B572" s="214"/>
      <c r="C572" s="57"/>
      <c r="D572" s="185"/>
      <c r="E572" s="215"/>
      <c r="F572" s="215"/>
      <c r="G572" s="215"/>
      <c r="H572" s="185"/>
      <c r="I572" s="215"/>
      <c r="J572" s="185"/>
      <c r="K572" s="185"/>
      <c r="L572" s="185"/>
      <c r="M572" s="185"/>
    </row>
    <row r="573" ht="15.75" customHeight="1">
      <c r="A573" s="213"/>
      <c r="B573" s="214"/>
      <c r="C573" s="57"/>
      <c r="D573" s="185"/>
      <c r="E573" s="215"/>
      <c r="F573" s="215"/>
      <c r="G573" s="215"/>
      <c r="H573" s="185"/>
      <c r="I573" s="215"/>
      <c r="J573" s="185"/>
      <c r="K573" s="185"/>
      <c r="L573" s="185"/>
      <c r="M573" s="185"/>
    </row>
    <row r="574" ht="15.75" customHeight="1">
      <c r="A574" s="213"/>
      <c r="B574" s="214"/>
      <c r="C574" s="57"/>
      <c r="D574" s="185"/>
      <c r="E574" s="215"/>
      <c r="F574" s="215"/>
      <c r="G574" s="215"/>
      <c r="H574" s="185"/>
      <c r="I574" s="215"/>
      <c r="J574" s="185"/>
      <c r="K574" s="185"/>
      <c r="L574" s="185"/>
      <c r="M574" s="185"/>
    </row>
    <row r="575" ht="15.75" customHeight="1">
      <c r="A575" s="213"/>
      <c r="B575" s="214"/>
      <c r="C575" s="57"/>
      <c r="D575" s="185"/>
      <c r="E575" s="215"/>
      <c r="F575" s="215"/>
      <c r="G575" s="215"/>
      <c r="H575" s="185"/>
      <c r="I575" s="215"/>
      <c r="J575" s="185"/>
      <c r="K575" s="185"/>
      <c r="L575" s="185"/>
      <c r="M575" s="185"/>
    </row>
    <row r="576" ht="15.75" customHeight="1">
      <c r="A576" s="213"/>
      <c r="B576" s="214"/>
      <c r="C576" s="57"/>
      <c r="D576" s="185"/>
      <c r="E576" s="215"/>
      <c r="F576" s="215"/>
      <c r="G576" s="215"/>
      <c r="H576" s="185"/>
      <c r="I576" s="215"/>
      <c r="J576" s="185"/>
      <c r="K576" s="185"/>
      <c r="L576" s="185"/>
      <c r="M576" s="185"/>
    </row>
    <row r="577" ht="15.75" customHeight="1">
      <c r="A577" s="213"/>
      <c r="B577" s="214"/>
      <c r="C577" s="57"/>
      <c r="D577" s="185"/>
      <c r="E577" s="215"/>
      <c r="F577" s="215"/>
      <c r="G577" s="215"/>
      <c r="H577" s="185"/>
      <c r="I577" s="215"/>
      <c r="J577" s="185"/>
      <c r="K577" s="185"/>
      <c r="L577" s="185"/>
      <c r="M577" s="185"/>
    </row>
    <row r="578" ht="15.75" customHeight="1">
      <c r="A578" s="213"/>
      <c r="B578" s="214"/>
      <c r="C578" s="57"/>
      <c r="D578" s="185"/>
      <c r="E578" s="215"/>
      <c r="F578" s="215"/>
      <c r="G578" s="215"/>
      <c r="H578" s="185"/>
      <c r="I578" s="215"/>
      <c r="J578" s="185"/>
      <c r="K578" s="185"/>
      <c r="L578" s="185"/>
      <c r="M578" s="185"/>
    </row>
    <row r="579" ht="15.75" customHeight="1">
      <c r="A579" s="213"/>
      <c r="B579" s="214"/>
      <c r="C579" s="57"/>
      <c r="D579" s="185"/>
      <c r="E579" s="215"/>
      <c r="F579" s="215"/>
      <c r="G579" s="215"/>
      <c r="H579" s="185"/>
      <c r="I579" s="215"/>
      <c r="J579" s="185"/>
      <c r="K579" s="185"/>
      <c r="L579" s="185"/>
      <c r="M579" s="185"/>
    </row>
    <row r="580" ht="15.75" customHeight="1">
      <c r="A580" s="213"/>
      <c r="B580" s="214"/>
      <c r="C580" s="57"/>
      <c r="D580" s="185"/>
      <c r="E580" s="215"/>
      <c r="F580" s="215"/>
      <c r="G580" s="215"/>
      <c r="H580" s="185"/>
      <c r="I580" s="215"/>
      <c r="J580" s="185"/>
      <c r="K580" s="185"/>
      <c r="L580" s="185"/>
      <c r="M580" s="185"/>
    </row>
    <row r="581" ht="15.75" customHeight="1">
      <c r="A581" s="213"/>
      <c r="B581" s="214"/>
      <c r="C581" s="57"/>
      <c r="D581" s="185"/>
      <c r="E581" s="215"/>
      <c r="F581" s="215"/>
      <c r="G581" s="215"/>
      <c r="H581" s="185"/>
      <c r="I581" s="215"/>
      <c r="J581" s="185"/>
      <c r="K581" s="185"/>
      <c r="L581" s="185"/>
      <c r="M581" s="185"/>
    </row>
    <row r="582" ht="15.75" customHeight="1">
      <c r="A582" s="213"/>
      <c r="B582" s="214"/>
      <c r="C582" s="57"/>
      <c r="D582" s="185"/>
      <c r="E582" s="215"/>
      <c r="F582" s="215"/>
      <c r="G582" s="215"/>
      <c r="H582" s="185"/>
      <c r="I582" s="215"/>
      <c r="J582" s="185"/>
      <c r="K582" s="185"/>
      <c r="L582" s="185"/>
      <c r="M582" s="185"/>
    </row>
    <row r="583" ht="15.75" customHeight="1">
      <c r="A583" s="213"/>
      <c r="B583" s="214"/>
      <c r="C583" s="57"/>
      <c r="D583" s="185"/>
      <c r="E583" s="215"/>
      <c r="F583" s="215"/>
      <c r="G583" s="215"/>
      <c r="H583" s="185"/>
      <c r="I583" s="215"/>
      <c r="J583" s="185"/>
      <c r="K583" s="185"/>
      <c r="L583" s="185"/>
      <c r="M583" s="185"/>
    </row>
    <row r="584" ht="15.75" customHeight="1">
      <c r="A584" s="213"/>
      <c r="B584" s="214"/>
      <c r="C584" s="57"/>
      <c r="D584" s="185"/>
      <c r="E584" s="215"/>
      <c r="F584" s="215"/>
      <c r="G584" s="215"/>
      <c r="H584" s="185"/>
      <c r="I584" s="215"/>
      <c r="J584" s="185"/>
      <c r="K584" s="185"/>
      <c r="L584" s="185"/>
      <c r="M584" s="185"/>
    </row>
    <row r="585" ht="15.75" customHeight="1">
      <c r="A585" s="213"/>
      <c r="B585" s="214"/>
      <c r="C585" s="57"/>
      <c r="D585" s="185"/>
      <c r="E585" s="215"/>
      <c r="F585" s="215"/>
      <c r="G585" s="215"/>
      <c r="H585" s="185"/>
      <c r="I585" s="215"/>
      <c r="J585" s="185"/>
      <c r="K585" s="185"/>
      <c r="L585" s="185"/>
      <c r="M585" s="185"/>
    </row>
    <row r="586" ht="15.75" customHeight="1">
      <c r="A586" s="213"/>
      <c r="B586" s="214"/>
      <c r="C586" s="57"/>
      <c r="D586" s="185"/>
      <c r="E586" s="215"/>
      <c r="F586" s="215"/>
      <c r="G586" s="215"/>
      <c r="H586" s="185"/>
      <c r="I586" s="215"/>
      <c r="J586" s="185"/>
      <c r="K586" s="185"/>
      <c r="L586" s="185"/>
      <c r="M586" s="185"/>
    </row>
    <row r="587" ht="15.75" customHeight="1">
      <c r="A587" s="213"/>
      <c r="B587" s="214"/>
      <c r="C587" s="57"/>
      <c r="D587" s="185"/>
      <c r="E587" s="215"/>
      <c r="F587" s="215"/>
      <c r="G587" s="215"/>
      <c r="H587" s="185"/>
      <c r="I587" s="215"/>
      <c r="J587" s="185"/>
      <c r="K587" s="185"/>
      <c r="L587" s="185"/>
      <c r="M587" s="185"/>
    </row>
    <row r="588" ht="15.75" customHeight="1">
      <c r="A588" s="213"/>
      <c r="B588" s="214"/>
      <c r="C588" s="57"/>
      <c r="D588" s="185"/>
      <c r="E588" s="215"/>
      <c r="F588" s="215"/>
      <c r="G588" s="215"/>
      <c r="H588" s="185"/>
      <c r="I588" s="215"/>
      <c r="J588" s="185"/>
      <c r="K588" s="185"/>
      <c r="L588" s="185"/>
      <c r="M588" s="185"/>
    </row>
    <row r="589" ht="15.75" customHeight="1">
      <c r="A589" s="213"/>
      <c r="B589" s="214"/>
      <c r="C589" s="57"/>
      <c r="D589" s="185"/>
      <c r="E589" s="215"/>
      <c r="F589" s="215"/>
      <c r="G589" s="215"/>
      <c r="H589" s="185"/>
      <c r="I589" s="215"/>
      <c r="J589" s="185"/>
      <c r="K589" s="185"/>
      <c r="L589" s="185"/>
      <c r="M589" s="185"/>
    </row>
    <row r="590" ht="15.75" customHeight="1">
      <c r="A590" s="213"/>
      <c r="B590" s="214"/>
      <c r="C590" s="57"/>
      <c r="D590" s="185"/>
      <c r="E590" s="215"/>
      <c r="F590" s="215"/>
      <c r="G590" s="215"/>
      <c r="H590" s="185"/>
      <c r="I590" s="215"/>
      <c r="J590" s="185"/>
      <c r="K590" s="185"/>
      <c r="L590" s="185"/>
      <c r="M590" s="185"/>
    </row>
    <row r="591" ht="15.75" customHeight="1">
      <c r="A591" s="213"/>
      <c r="B591" s="214"/>
      <c r="C591" s="57"/>
      <c r="D591" s="185"/>
      <c r="E591" s="215"/>
      <c r="F591" s="215"/>
      <c r="G591" s="215"/>
      <c r="H591" s="185"/>
      <c r="I591" s="215"/>
      <c r="J591" s="185"/>
      <c r="K591" s="185"/>
      <c r="L591" s="185"/>
      <c r="M591" s="185"/>
    </row>
    <row r="592" ht="15.75" customHeight="1">
      <c r="A592" s="213"/>
      <c r="B592" s="214"/>
      <c r="C592" s="57"/>
      <c r="D592" s="185"/>
      <c r="E592" s="215"/>
      <c r="F592" s="215"/>
      <c r="G592" s="215"/>
      <c r="H592" s="185"/>
      <c r="I592" s="215"/>
      <c r="J592" s="185"/>
      <c r="K592" s="185"/>
      <c r="L592" s="185"/>
      <c r="M592" s="185"/>
    </row>
    <row r="593" ht="15.75" customHeight="1">
      <c r="A593" s="213"/>
      <c r="B593" s="214"/>
      <c r="C593" s="57"/>
      <c r="D593" s="185"/>
      <c r="E593" s="215"/>
      <c r="F593" s="215"/>
      <c r="G593" s="215"/>
      <c r="H593" s="185"/>
      <c r="I593" s="215"/>
      <c r="J593" s="185"/>
      <c r="K593" s="185"/>
      <c r="L593" s="185"/>
      <c r="M593" s="185"/>
    </row>
    <row r="594" ht="15.75" customHeight="1">
      <c r="A594" s="213"/>
      <c r="B594" s="214"/>
      <c r="C594" s="57"/>
      <c r="D594" s="185"/>
      <c r="E594" s="215"/>
      <c r="F594" s="215"/>
      <c r="G594" s="215"/>
      <c r="H594" s="185"/>
      <c r="I594" s="215"/>
      <c r="J594" s="185"/>
      <c r="K594" s="185"/>
      <c r="L594" s="185"/>
      <c r="M594" s="185"/>
    </row>
    <row r="595" ht="15.75" customHeight="1">
      <c r="A595" s="213"/>
      <c r="B595" s="214"/>
      <c r="C595" s="57"/>
      <c r="D595" s="185"/>
      <c r="E595" s="215"/>
      <c r="F595" s="215"/>
      <c r="G595" s="215"/>
      <c r="H595" s="185"/>
      <c r="I595" s="215"/>
      <c r="J595" s="185"/>
      <c r="K595" s="185"/>
      <c r="L595" s="185"/>
      <c r="M595" s="185"/>
    </row>
    <row r="596" ht="15.75" customHeight="1">
      <c r="A596" s="213"/>
      <c r="B596" s="214"/>
      <c r="C596" s="57"/>
      <c r="D596" s="185"/>
      <c r="E596" s="215"/>
      <c r="F596" s="215"/>
      <c r="G596" s="215"/>
      <c r="H596" s="185"/>
      <c r="I596" s="215"/>
      <c r="J596" s="185"/>
      <c r="K596" s="185"/>
      <c r="L596" s="185"/>
      <c r="M596" s="185"/>
    </row>
    <row r="597" ht="15.75" customHeight="1">
      <c r="A597" s="213"/>
      <c r="B597" s="214"/>
      <c r="C597" s="57"/>
      <c r="D597" s="185"/>
      <c r="E597" s="215"/>
      <c r="F597" s="215"/>
      <c r="G597" s="215"/>
      <c r="H597" s="185"/>
      <c r="I597" s="215"/>
      <c r="J597" s="185"/>
      <c r="K597" s="185"/>
      <c r="L597" s="185"/>
      <c r="M597" s="185"/>
    </row>
    <row r="598" ht="15.75" customHeight="1">
      <c r="A598" s="213"/>
      <c r="B598" s="214"/>
      <c r="C598" s="57"/>
      <c r="D598" s="185"/>
      <c r="E598" s="215"/>
      <c r="F598" s="215"/>
      <c r="G598" s="215"/>
      <c r="H598" s="185"/>
      <c r="I598" s="215"/>
      <c r="J598" s="185"/>
      <c r="K598" s="185"/>
      <c r="L598" s="185"/>
      <c r="M598" s="185"/>
    </row>
    <row r="599" ht="15.75" customHeight="1">
      <c r="A599" s="213"/>
      <c r="B599" s="214"/>
      <c r="C599" s="57"/>
      <c r="D599" s="185"/>
      <c r="E599" s="215"/>
      <c r="F599" s="215"/>
      <c r="G599" s="215"/>
      <c r="H599" s="185"/>
      <c r="I599" s="215"/>
      <c r="J599" s="185"/>
      <c r="K599" s="185"/>
      <c r="L599" s="185"/>
      <c r="M599" s="185"/>
    </row>
    <row r="600" ht="15.75" customHeight="1">
      <c r="A600" s="213"/>
      <c r="B600" s="214"/>
      <c r="C600" s="57"/>
      <c r="D600" s="185"/>
      <c r="E600" s="215"/>
      <c r="F600" s="215"/>
      <c r="G600" s="215"/>
      <c r="H600" s="185"/>
      <c r="I600" s="215"/>
      <c r="J600" s="185"/>
      <c r="K600" s="185"/>
      <c r="L600" s="185"/>
      <c r="M600" s="185"/>
    </row>
    <row r="601" ht="15.75" customHeight="1">
      <c r="A601" s="213"/>
      <c r="B601" s="214"/>
      <c r="C601" s="57"/>
      <c r="D601" s="185"/>
      <c r="E601" s="215"/>
      <c r="F601" s="215"/>
      <c r="G601" s="215"/>
      <c r="H601" s="185"/>
      <c r="I601" s="215"/>
      <c r="J601" s="185"/>
      <c r="K601" s="185"/>
      <c r="L601" s="185"/>
      <c r="M601" s="185"/>
    </row>
    <row r="602" ht="15.75" customHeight="1">
      <c r="A602" s="213"/>
      <c r="B602" s="214"/>
      <c r="C602" s="57"/>
      <c r="D602" s="185"/>
      <c r="E602" s="215"/>
      <c r="F602" s="215"/>
      <c r="G602" s="215"/>
      <c r="H602" s="185"/>
      <c r="I602" s="215"/>
      <c r="J602" s="185"/>
      <c r="K602" s="185"/>
      <c r="L602" s="185"/>
      <c r="M602" s="185"/>
    </row>
    <row r="603" ht="15.75" customHeight="1">
      <c r="A603" s="213"/>
      <c r="B603" s="214"/>
      <c r="C603" s="57"/>
      <c r="D603" s="185"/>
      <c r="E603" s="215"/>
      <c r="F603" s="215"/>
      <c r="G603" s="215"/>
      <c r="H603" s="185"/>
      <c r="I603" s="215"/>
      <c r="J603" s="185"/>
      <c r="K603" s="185"/>
      <c r="L603" s="185"/>
      <c r="M603" s="185"/>
    </row>
    <row r="604" ht="15.75" customHeight="1">
      <c r="A604" s="213"/>
      <c r="B604" s="214"/>
      <c r="C604" s="57"/>
      <c r="D604" s="185"/>
      <c r="E604" s="215"/>
      <c r="F604" s="215"/>
      <c r="G604" s="215"/>
      <c r="H604" s="185"/>
      <c r="I604" s="215"/>
      <c r="J604" s="185"/>
      <c r="K604" s="185"/>
      <c r="L604" s="185"/>
      <c r="M604" s="185"/>
    </row>
    <row r="605" ht="15.75" customHeight="1">
      <c r="A605" s="213"/>
      <c r="B605" s="214"/>
      <c r="C605" s="57"/>
      <c r="D605" s="185"/>
      <c r="E605" s="215"/>
      <c r="F605" s="215"/>
      <c r="G605" s="215"/>
      <c r="H605" s="185"/>
      <c r="I605" s="215"/>
      <c r="J605" s="185"/>
      <c r="K605" s="185"/>
      <c r="L605" s="185"/>
      <c r="M605" s="185"/>
    </row>
    <row r="606" ht="15.75" customHeight="1">
      <c r="A606" s="213"/>
      <c r="B606" s="214"/>
      <c r="C606" s="57"/>
      <c r="D606" s="185"/>
      <c r="E606" s="215"/>
      <c r="F606" s="215"/>
      <c r="G606" s="215"/>
      <c r="H606" s="185"/>
      <c r="I606" s="215"/>
      <c r="J606" s="185"/>
      <c r="K606" s="185"/>
      <c r="L606" s="185"/>
      <c r="M606" s="185"/>
    </row>
    <row r="607" ht="15.75" customHeight="1">
      <c r="A607" s="213"/>
      <c r="B607" s="214"/>
      <c r="C607" s="57"/>
      <c r="D607" s="185"/>
      <c r="E607" s="215"/>
      <c r="F607" s="215"/>
      <c r="G607" s="215"/>
      <c r="H607" s="185"/>
      <c r="I607" s="215"/>
      <c r="J607" s="185"/>
      <c r="K607" s="185"/>
      <c r="L607" s="185"/>
      <c r="M607" s="185"/>
    </row>
    <row r="608" ht="15.75" customHeight="1">
      <c r="A608" s="213"/>
      <c r="B608" s="214"/>
      <c r="C608" s="57"/>
      <c r="D608" s="185"/>
      <c r="E608" s="215"/>
      <c r="F608" s="215"/>
      <c r="G608" s="215"/>
      <c r="H608" s="185"/>
      <c r="I608" s="215"/>
      <c r="J608" s="185"/>
      <c r="K608" s="185"/>
      <c r="L608" s="185"/>
      <c r="M608" s="185"/>
    </row>
    <row r="609" ht="15.75" customHeight="1">
      <c r="A609" s="213"/>
      <c r="B609" s="214"/>
      <c r="C609" s="57"/>
      <c r="D609" s="185"/>
      <c r="E609" s="215"/>
      <c r="F609" s="215"/>
      <c r="G609" s="215"/>
      <c r="H609" s="185"/>
      <c r="I609" s="215"/>
      <c r="J609" s="185"/>
      <c r="K609" s="185"/>
      <c r="L609" s="185"/>
      <c r="M609" s="185"/>
    </row>
    <row r="610" ht="15.75" customHeight="1">
      <c r="A610" s="213"/>
      <c r="B610" s="214"/>
      <c r="C610" s="57"/>
      <c r="D610" s="185"/>
      <c r="E610" s="215"/>
      <c r="F610" s="215"/>
      <c r="G610" s="215"/>
      <c r="H610" s="185"/>
      <c r="I610" s="215"/>
      <c r="J610" s="185"/>
      <c r="K610" s="185"/>
      <c r="L610" s="185"/>
      <c r="M610" s="185"/>
    </row>
    <row r="611" ht="15.75" customHeight="1">
      <c r="A611" s="213"/>
      <c r="B611" s="214"/>
      <c r="C611" s="57"/>
      <c r="D611" s="185"/>
      <c r="E611" s="215"/>
      <c r="F611" s="215"/>
      <c r="G611" s="215"/>
      <c r="H611" s="185"/>
      <c r="I611" s="215"/>
      <c r="J611" s="185"/>
      <c r="K611" s="185"/>
      <c r="L611" s="185"/>
      <c r="M611" s="185"/>
    </row>
    <row r="612" ht="15.75" customHeight="1">
      <c r="A612" s="213"/>
      <c r="B612" s="214"/>
      <c r="C612" s="57"/>
      <c r="D612" s="185"/>
      <c r="E612" s="215"/>
      <c r="F612" s="215"/>
      <c r="G612" s="215"/>
      <c r="H612" s="185"/>
      <c r="I612" s="215"/>
      <c r="J612" s="185"/>
      <c r="K612" s="185"/>
      <c r="L612" s="185"/>
      <c r="M612" s="185"/>
    </row>
    <row r="613" ht="15.75" customHeight="1">
      <c r="A613" s="213"/>
      <c r="B613" s="214"/>
      <c r="C613" s="57"/>
      <c r="D613" s="185"/>
      <c r="E613" s="215"/>
      <c r="F613" s="215"/>
      <c r="G613" s="215"/>
      <c r="H613" s="185"/>
      <c r="I613" s="215"/>
      <c r="J613" s="185"/>
      <c r="K613" s="185"/>
      <c r="L613" s="185"/>
      <c r="M613" s="185"/>
    </row>
    <row r="614" ht="15.75" customHeight="1">
      <c r="A614" s="213"/>
      <c r="B614" s="214"/>
      <c r="C614" s="57"/>
      <c r="D614" s="185"/>
      <c r="E614" s="215"/>
      <c r="F614" s="215"/>
      <c r="G614" s="215"/>
      <c r="H614" s="185"/>
      <c r="I614" s="215"/>
      <c r="J614" s="185"/>
      <c r="K614" s="185"/>
      <c r="L614" s="185"/>
      <c r="M614" s="185"/>
    </row>
    <row r="615" ht="15.75" customHeight="1">
      <c r="A615" s="213"/>
      <c r="B615" s="214"/>
      <c r="C615" s="57"/>
      <c r="D615" s="185"/>
      <c r="E615" s="215"/>
      <c r="F615" s="215"/>
      <c r="G615" s="215"/>
      <c r="H615" s="185"/>
      <c r="I615" s="215"/>
      <c r="J615" s="185"/>
      <c r="K615" s="185"/>
      <c r="L615" s="185"/>
      <c r="M615" s="185"/>
    </row>
    <row r="616" ht="15.75" customHeight="1">
      <c r="A616" s="213"/>
      <c r="B616" s="214"/>
      <c r="C616" s="57"/>
      <c r="D616" s="185"/>
      <c r="E616" s="215"/>
      <c r="F616" s="215"/>
      <c r="G616" s="215"/>
      <c r="H616" s="185"/>
      <c r="I616" s="215"/>
      <c r="J616" s="185"/>
      <c r="K616" s="185"/>
      <c r="L616" s="185"/>
      <c r="M616" s="185"/>
    </row>
    <row r="617" ht="15.75" customHeight="1">
      <c r="A617" s="213"/>
      <c r="B617" s="214"/>
      <c r="C617" s="57"/>
      <c r="D617" s="185"/>
      <c r="E617" s="215"/>
      <c r="F617" s="215"/>
      <c r="G617" s="215"/>
      <c r="H617" s="185"/>
      <c r="I617" s="215"/>
      <c r="J617" s="185"/>
      <c r="K617" s="185"/>
      <c r="L617" s="185"/>
      <c r="M617" s="185"/>
    </row>
    <row r="618" ht="15.75" customHeight="1">
      <c r="A618" s="213"/>
      <c r="B618" s="214"/>
      <c r="C618" s="57"/>
      <c r="D618" s="185"/>
      <c r="E618" s="215"/>
      <c r="F618" s="215"/>
      <c r="G618" s="215"/>
      <c r="H618" s="185"/>
      <c r="I618" s="215"/>
      <c r="J618" s="185"/>
      <c r="K618" s="185"/>
      <c r="L618" s="185"/>
      <c r="M618" s="185"/>
    </row>
    <row r="619" ht="15.75" customHeight="1">
      <c r="A619" s="213"/>
      <c r="B619" s="214"/>
      <c r="C619" s="57"/>
      <c r="D619" s="185"/>
      <c r="E619" s="215"/>
      <c r="F619" s="215"/>
      <c r="G619" s="215"/>
      <c r="H619" s="185"/>
      <c r="I619" s="215"/>
      <c r="J619" s="185"/>
      <c r="K619" s="185"/>
      <c r="L619" s="185"/>
      <c r="M619" s="185"/>
    </row>
    <row r="620" ht="15.75" customHeight="1">
      <c r="A620" s="213"/>
      <c r="B620" s="214"/>
      <c r="C620" s="57"/>
      <c r="D620" s="185"/>
      <c r="E620" s="215"/>
      <c r="F620" s="215"/>
      <c r="G620" s="215"/>
      <c r="H620" s="185"/>
      <c r="I620" s="215"/>
      <c r="J620" s="185"/>
      <c r="K620" s="185"/>
      <c r="L620" s="185"/>
      <c r="M620" s="185"/>
    </row>
    <row r="621" ht="15.75" customHeight="1">
      <c r="A621" s="213"/>
      <c r="B621" s="214"/>
      <c r="C621" s="57"/>
      <c r="D621" s="185"/>
      <c r="E621" s="215"/>
      <c r="F621" s="215"/>
      <c r="G621" s="215"/>
      <c r="H621" s="185"/>
      <c r="I621" s="215"/>
      <c r="J621" s="185"/>
      <c r="K621" s="185"/>
      <c r="L621" s="185"/>
      <c r="M621" s="185"/>
    </row>
    <row r="622" ht="15.75" customHeight="1">
      <c r="A622" s="213"/>
      <c r="B622" s="214"/>
      <c r="C622" s="57"/>
      <c r="D622" s="185"/>
      <c r="E622" s="215"/>
      <c r="F622" s="215"/>
      <c r="G622" s="215"/>
      <c r="H622" s="185"/>
      <c r="I622" s="215"/>
      <c r="J622" s="185"/>
      <c r="K622" s="185"/>
      <c r="L622" s="185"/>
      <c r="M622" s="185"/>
    </row>
    <row r="623" ht="15.75" customHeight="1">
      <c r="A623" s="213"/>
      <c r="B623" s="214"/>
      <c r="C623" s="57"/>
      <c r="D623" s="185"/>
      <c r="E623" s="215"/>
      <c r="F623" s="215"/>
      <c r="G623" s="215"/>
      <c r="H623" s="185"/>
      <c r="I623" s="215"/>
      <c r="J623" s="185"/>
      <c r="K623" s="185"/>
      <c r="L623" s="185"/>
      <c r="M623" s="185"/>
    </row>
    <row r="624" ht="15.75" customHeight="1">
      <c r="A624" s="213"/>
      <c r="B624" s="214"/>
      <c r="C624" s="57"/>
      <c r="D624" s="185"/>
      <c r="E624" s="215"/>
      <c r="F624" s="215"/>
      <c r="G624" s="215"/>
      <c r="H624" s="185"/>
      <c r="I624" s="215"/>
      <c r="J624" s="185"/>
      <c r="K624" s="185"/>
      <c r="L624" s="185"/>
      <c r="M624" s="185"/>
    </row>
    <row r="625" ht="15.75" customHeight="1">
      <c r="A625" s="213"/>
      <c r="B625" s="214"/>
      <c r="C625" s="57"/>
      <c r="D625" s="185"/>
      <c r="E625" s="215"/>
      <c r="F625" s="215"/>
      <c r="G625" s="215"/>
      <c r="H625" s="185"/>
      <c r="I625" s="215"/>
      <c r="J625" s="185"/>
      <c r="K625" s="185"/>
      <c r="L625" s="185"/>
      <c r="M625" s="185"/>
    </row>
    <row r="626" ht="15.75" customHeight="1">
      <c r="A626" s="213"/>
      <c r="B626" s="214"/>
      <c r="C626" s="57"/>
      <c r="D626" s="185"/>
      <c r="E626" s="215"/>
      <c r="F626" s="215"/>
      <c r="G626" s="215"/>
      <c r="H626" s="185"/>
      <c r="I626" s="215"/>
      <c r="J626" s="185"/>
      <c r="K626" s="185"/>
      <c r="L626" s="185"/>
      <c r="M626" s="185"/>
    </row>
    <row r="627" ht="15.75" customHeight="1">
      <c r="A627" s="213"/>
      <c r="B627" s="214"/>
      <c r="C627" s="57"/>
      <c r="D627" s="185"/>
      <c r="E627" s="215"/>
      <c r="F627" s="215"/>
      <c r="G627" s="215"/>
      <c r="H627" s="185"/>
      <c r="I627" s="215"/>
      <c r="J627" s="185"/>
      <c r="K627" s="185"/>
      <c r="L627" s="185"/>
      <c r="M627" s="185"/>
    </row>
    <row r="628" ht="15.75" customHeight="1">
      <c r="A628" s="213"/>
      <c r="B628" s="214"/>
      <c r="C628" s="57"/>
      <c r="D628" s="185"/>
      <c r="E628" s="215"/>
      <c r="F628" s="215"/>
      <c r="G628" s="215"/>
      <c r="H628" s="185"/>
      <c r="I628" s="215"/>
      <c r="J628" s="185"/>
      <c r="K628" s="185"/>
      <c r="L628" s="185"/>
      <c r="M628" s="185"/>
    </row>
    <row r="629" ht="15.75" customHeight="1">
      <c r="A629" s="213"/>
      <c r="B629" s="214"/>
      <c r="C629" s="57"/>
      <c r="D629" s="185"/>
      <c r="E629" s="215"/>
      <c r="F629" s="215"/>
      <c r="G629" s="215"/>
      <c r="H629" s="185"/>
      <c r="I629" s="215"/>
      <c r="J629" s="185"/>
      <c r="K629" s="185"/>
      <c r="L629" s="185"/>
      <c r="M629" s="185"/>
    </row>
    <row r="630" ht="15.75" customHeight="1">
      <c r="A630" s="213"/>
      <c r="B630" s="214"/>
      <c r="C630" s="57"/>
      <c r="D630" s="185"/>
      <c r="E630" s="215"/>
      <c r="F630" s="215"/>
      <c r="G630" s="215"/>
      <c r="H630" s="185"/>
      <c r="I630" s="215"/>
      <c r="J630" s="185"/>
      <c r="K630" s="185"/>
      <c r="L630" s="185"/>
      <c r="M630" s="185"/>
    </row>
    <row r="631" ht="15.75" customHeight="1">
      <c r="A631" s="213"/>
      <c r="B631" s="214"/>
      <c r="C631" s="57"/>
      <c r="D631" s="185"/>
      <c r="E631" s="215"/>
      <c r="F631" s="215"/>
      <c r="G631" s="215"/>
      <c r="H631" s="185"/>
      <c r="I631" s="215"/>
      <c r="J631" s="185"/>
      <c r="K631" s="185"/>
      <c r="L631" s="185"/>
      <c r="M631" s="185"/>
    </row>
    <row r="632" ht="15.75" customHeight="1">
      <c r="A632" s="213"/>
      <c r="B632" s="214"/>
      <c r="C632" s="57"/>
      <c r="D632" s="185"/>
      <c r="E632" s="215"/>
      <c r="F632" s="215"/>
      <c r="G632" s="215"/>
      <c r="H632" s="185"/>
      <c r="I632" s="215"/>
      <c r="J632" s="185"/>
      <c r="K632" s="185"/>
      <c r="L632" s="185"/>
      <c r="M632" s="185"/>
    </row>
    <row r="633" ht="15.75" customHeight="1">
      <c r="A633" s="213"/>
      <c r="B633" s="214"/>
      <c r="C633" s="57"/>
      <c r="D633" s="185"/>
      <c r="E633" s="215"/>
      <c r="F633" s="215"/>
      <c r="G633" s="215"/>
      <c r="H633" s="185"/>
      <c r="I633" s="215"/>
      <c r="J633" s="185"/>
      <c r="K633" s="185"/>
      <c r="L633" s="185"/>
      <c r="M633" s="185"/>
    </row>
    <row r="634" ht="15.75" customHeight="1">
      <c r="A634" s="213"/>
      <c r="B634" s="214"/>
      <c r="C634" s="57"/>
      <c r="D634" s="185"/>
      <c r="E634" s="215"/>
      <c r="F634" s="215"/>
      <c r="G634" s="215"/>
      <c r="H634" s="185"/>
      <c r="I634" s="215"/>
      <c r="J634" s="185"/>
      <c r="K634" s="185"/>
      <c r="L634" s="185"/>
      <c r="M634" s="185"/>
    </row>
    <row r="635" ht="15.75" customHeight="1">
      <c r="A635" s="213"/>
      <c r="B635" s="214"/>
      <c r="C635" s="57"/>
      <c r="D635" s="185"/>
      <c r="E635" s="215"/>
      <c r="F635" s="215"/>
      <c r="G635" s="215"/>
      <c r="H635" s="185"/>
      <c r="I635" s="215"/>
      <c r="J635" s="185"/>
      <c r="K635" s="185"/>
      <c r="L635" s="185"/>
      <c r="M635" s="185"/>
    </row>
    <row r="636" ht="15.75" customHeight="1">
      <c r="A636" s="213"/>
      <c r="B636" s="214"/>
      <c r="C636" s="57"/>
      <c r="D636" s="185"/>
      <c r="E636" s="215"/>
      <c r="F636" s="215"/>
      <c r="G636" s="215"/>
      <c r="H636" s="185"/>
      <c r="I636" s="215"/>
      <c r="J636" s="185"/>
      <c r="K636" s="185"/>
      <c r="L636" s="185"/>
      <c r="M636" s="185"/>
    </row>
    <row r="637" ht="15.75" customHeight="1">
      <c r="A637" s="213"/>
      <c r="B637" s="214"/>
      <c r="C637" s="57"/>
      <c r="D637" s="185"/>
      <c r="E637" s="215"/>
      <c r="F637" s="215"/>
      <c r="G637" s="215"/>
      <c r="H637" s="185"/>
      <c r="I637" s="215"/>
      <c r="J637" s="185"/>
      <c r="K637" s="185"/>
      <c r="L637" s="185"/>
      <c r="M637" s="185"/>
    </row>
    <row r="638" ht="15.75" customHeight="1">
      <c r="A638" s="213"/>
      <c r="B638" s="214"/>
      <c r="C638" s="57"/>
      <c r="D638" s="185"/>
      <c r="E638" s="215"/>
      <c r="F638" s="215"/>
      <c r="G638" s="215"/>
      <c r="H638" s="185"/>
      <c r="I638" s="215"/>
      <c r="J638" s="185"/>
      <c r="K638" s="185"/>
      <c r="L638" s="185"/>
      <c r="M638" s="185"/>
    </row>
    <row r="639" ht="15.75" customHeight="1">
      <c r="A639" s="213"/>
      <c r="B639" s="214"/>
      <c r="C639" s="57"/>
      <c r="D639" s="185"/>
      <c r="E639" s="215"/>
      <c r="F639" s="215"/>
      <c r="G639" s="215"/>
      <c r="H639" s="185"/>
      <c r="I639" s="215"/>
      <c r="J639" s="185"/>
      <c r="K639" s="185"/>
      <c r="L639" s="185"/>
      <c r="M639" s="185"/>
    </row>
    <row r="640" ht="15.75" customHeight="1">
      <c r="A640" s="213"/>
      <c r="B640" s="214"/>
      <c r="C640" s="57"/>
      <c r="D640" s="185"/>
      <c r="E640" s="215"/>
      <c r="F640" s="215"/>
      <c r="G640" s="215"/>
      <c r="H640" s="185"/>
      <c r="I640" s="215"/>
      <c r="J640" s="185"/>
      <c r="K640" s="185"/>
      <c r="L640" s="185"/>
      <c r="M640" s="185"/>
    </row>
    <row r="641" ht="15.75" customHeight="1">
      <c r="A641" s="213"/>
      <c r="B641" s="214"/>
      <c r="C641" s="57"/>
      <c r="D641" s="185"/>
      <c r="E641" s="215"/>
      <c r="F641" s="215"/>
      <c r="G641" s="215"/>
      <c r="H641" s="185"/>
      <c r="I641" s="215"/>
      <c r="J641" s="185"/>
      <c r="K641" s="185"/>
      <c r="L641" s="185"/>
      <c r="M641" s="185"/>
    </row>
    <row r="642" ht="15.75" customHeight="1">
      <c r="A642" s="213"/>
      <c r="B642" s="214"/>
      <c r="C642" s="57"/>
      <c r="D642" s="185"/>
      <c r="E642" s="215"/>
      <c r="F642" s="215"/>
      <c r="G642" s="215"/>
      <c r="H642" s="185"/>
      <c r="I642" s="215"/>
      <c r="J642" s="185"/>
      <c r="K642" s="185"/>
      <c r="L642" s="185"/>
      <c r="M642" s="185"/>
    </row>
    <row r="643" ht="15.75" customHeight="1">
      <c r="A643" s="213"/>
      <c r="B643" s="214"/>
      <c r="C643" s="57"/>
      <c r="D643" s="185"/>
      <c r="E643" s="215"/>
      <c r="F643" s="215"/>
      <c r="G643" s="215"/>
      <c r="H643" s="185"/>
      <c r="I643" s="215"/>
      <c r="J643" s="185"/>
      <c r="K643" s="185"/>
      <c r="L643" s="185"/>
      <c r="M643" s="185"/>
    </row>
    <row r="644" ht="15.75" customHeight="1">
      <c r="A644" s="213"/>
      <c r="B644" s="214"/>
      <c r="C644" s="57"/>
      <c r="D644" s="185"/>
      <c r="E644" s="215"/>
      <c r="F644" s="215"/>
      <c r="G644" s="215"/>
      <c r="H644" s="185"/>
      <c r="I644" s="215"/>
      <c r="J644" s="185"/>
      <c r="K644" s="185"/>
      <c r="L644" s="185"/>
      <c r="M644" s="185"/>
    </row>
    <row r="645" ht="15.75" customHeight="1">
      <c r="A645" s="213"/>
      <c r="B645" s="214"/>
      <c r="C645" s="57"/>
      <c r="D645" s="185"/>
      <c r="E645" s="215"/>
      <c r="F645" s="215"/>
      <c r="G645" s="215"/>
      <c r="H645" s="185"/>
      <c r="I645" s="215"/>
      <c r="J645" s="185"/>
      <c r="K645" s="185"/>
      <c r="L645" s="185"/>
      <c r="M645" s="185"/>
    </row>
    <row r="646" ht="15.75" customHeight="1">
      <c r="A646" s="213"/>
      <c r="B646" s="214"/>
      <c r="C646" s="57"/>
      <c r="D646" s="185"/>
      <c r="E646" s="215"/>
      <c r="F646" s="215"/>
      <c r="G646" s="215"/>
      <c r="H646" s="185"/>
      <c r="I646" s="215"/>
      <c r="J646" s="185"/>
      <c r="K646" s="185"/>
      <c r="L646" s="185"/>
      <c r="M646" s="185"/>
    </row>
    <row r="647" ht="15.75" customHeight="1">
      <c r="A647" s="213"/>
      <c r="B647" s="214"/>
      <c r="C647" s="57"/>
      <c r="D647" s="185"/>
      <c r="E647" s="215"/>
      <c r="F647" s="215"/>
      <c r="G647" s="215"/>
      <c r="H647" s="185"/>
      <c r="I647" s="215"/>
      <c r="J647" s="185"/>
      <c r="K647" s="185"/>
      <c r="L647" s="185"/>
      <c r="M647" s="185"/>
    </row>
    <row r="648" ht="15.75" customHeight="1">
      <c r="A648" s="213"/>
      <c r="B648" s="214"/>
      <c r="C648" s="57"/>
      <c r="D648" s="185"/>
      <c r="E648" s="215"/>
      <c r="F648" s="215"/>
      <c r="G648" s="215"/>
      <c r="H648" s="185"/>
      <c r="I648" s="215"/>
      <c r="J648" s="185"/>
      <c r="K648" s="185"/>
      <c r="L648" s="185"/>
      <c r="M648" s="185"/>
    </row>
    <row r="649" ht="15.75" customHeight="1">
      <c r="A649" s="213"/>
      <c r="B649" s="214"/>
      <c r="C649" s="57"/>
      <c r="D649" s="185"/>
      <c r="E649" s="215"/>
      <c r="F649" s="215"/>
      <c r="G649" s="215"/>
      <c r="H649" s="185"/>
      <c r="I649" s="215"/>
      <c r="J649" s="185"/>
      <c r="K649" s="185"/>
      <c r="L649" s="185"/>
      <c r="M649" s="185"/>
    </row>
    <row r="650" ht="15.75" customHeight="1">
      <c r="A650" s="213"/>
      <c r="B650" s="214"/>
      <c r="C650" s="57"/>
      <c r="D650" s="185"/>
      <c r="E650" s="215"/>
      <c r="F650" s="215"/>
      <c r="G650" s="215"/>
      <c r="H650" s="185"/>
      <c r="I650" s="215"/>
      <c r="J650" s="185"/>
      <c r="K650" s="185"/>
      <c r="L650" s="185"/>
      <c r="M650" s="185"/>
    </row>
    <row r="651" ht="15.75" customHeight="1">
      <c r="A651" s="213"/>
      <c r="B651" s="214"/>
      <c r="C651" s="57"/>
      <c r="D651" s="185"/>
      <c r="E651" s="215"/>
      <c r="F651" s="215"/>
      <c r="G651" s="215"/>
      <c r="H651" s="185"/>
      <c r="I651" s="215"/>
      <c r="J651" s="185"/>
      <c r="K651" s="185"/>
      <c r="L651" s="185"/>
      <c r="M651" s="185"/>
    </row>
    <row r="652" ht="15.75" customHeight="1">
      <c r="A652" s="213"/>
      <c r="B652" s="214"/>
      <c r="C652" s="57"/>
      <c r="D652" s="185"/>
      <c r="E652" s="215"/>
      <c r="F652" s="215"/>
      <c r="G652" s="215"/>
      <c r="H652" s="185"/>
      <c r="I652" s="215"/>
      <c r="J652" s="185"/>
      <c r="K652" s="185"/>
      <c r="L652" s="185"/>
      <c r="M652" s="185"/>
    </row>
    <row r="653" ht="15.75" customHeight="1">
      <c r="A653" s="213"/>
      <c r="B653" s="214"/>
      <c r="C653" s="57"/>
      <c r="D653" s="185"/>
      <c r="E653" s="215"/>
      <c r="F653" s="215"/>
      <c r="G653" s="215"/>
      <c r="H653" s="185"/>
      <c r="I653" s="215"/>
      <c r="J653" s="185"/>
      <c r="K653" s="185"/>
      <c r="L653" s="185"/>
      <c r="M653" s="185"/>
    </row>
    <row r="654" ht="15.75" customHeight="1">
      <c r="A654" s="213"/>
      <c r="B654" s="214"/>
      <c r="C654" s="57"/>
      <c r="D654" s="185"/>
      <c r="E654" s="215"/>
      <c r="F654" s="215"/>
      <c r="G654" s="215"/>
      <c r="H654" s="185"/>
      <c r="I654" s="215"/>
      <c r="J654" s="185"/>
      <c r="K654" s="185"/>
      <c r="L654" s="185"/>
      <c r="M654" s="185"/>
    </row>
    <row r="655" ht="15.75" customHeight="1">
      <c r="A655" s="213"/>
      <c r="B655" s="214"/>
      <c r="C655" s="57"/>
      <c r="D655" s="185"/>
      <c r="E655" s="215"/>
      <c r="F655" s="215"/>
      <c r="G655" s="215"/>
      <c r="H655" s="185"/>
      <c r="I655" s="215"/>
      <c r="J655" s="185"/>
      <c r="K655" s="185"/>
      <c r="L655" s="185"/>
      <c r="M655" s="185"/>
    </row>
    <row r="656" ht="15.75" customHeight="1">
      <c r="A656" s="213"/>
      <c r="B656" s="214"/>
      <c r="C656" s="57"/>
      <c r="D656" s="185"/>
      <c r="E656" s="215"/>
      <c r="F656" s="215"/>
      <c r="G656" s="215"/>
      <c r="H656" s="185"/>
      <c r="I656" s="215"/>
      <c r="J656" s="185"/>
      <c r="K656" s="185"/>
      <c r="L656" s="185"/>
      <c r="M656" s="185"/>
    </row>
    <row r="657" ht="15.75" customHeight="1">
      <c r="A657" s="213"/>
      <c r="B657" s="214"/>
      <c r="C657" s="57"/>
      <c r="D657" s="185"/>
      <c r="E657" s="215"/>
      <c r="F657" s="215"/>
      <c r="G657" s="215"/>
      <c r="H657" s="185"/>
      <c r="I657" s="215"/>
      <c r="J657" s="185"/>
      <c r="K657" s="185"/>
      <c r="L657" s="185"/>
      <c r="M657" s="185"/>
    </row>
    <row r="658" ht="15.75" customHeight="1">
      <c r="A658" s="213"/>
      <c r="B658" s="214"/>
      <c r="C658" s="57"/>
      <c r="D658" s="185"/>
      <c r="E658" s="215"/>
      <c r="F658" s="215"/>
      <c r="G658" s="215"/>
      <c r="H658" s="185"/>
      <c r="I658" s="215"/>
      <c r="J658" s="185"/>
      <c r="K658" s="185"/>
      <c r="L658" s="185"/>
      <c r="M658" s="185"/>
    </row>
    <row r="659" ht="15.75" customHeight="1">
      <c r="A659" s="213"/>
      <c r="B659" s="214"/>
      <c r="C659" s="57"/>
      <c r="D659" s="185"/>
      <c r="E659" s="215"/>
      <c r="F659" s="215"/>
      <c r="G659" s="215"/>
      <c r="H659" s="185"/>
      <c r="I659" s="215"/>
      <c r="J659" s="185"/>
      <c r="K659" s="185"/>
      <c r="L659" s="185"/>
      <c r="M659" s="185"/>
    </row>
    <row r="660" ht="15.75" customHeight="1">
      <c r="A660" s="213"/>
      <c r="B660" s="214"/>
      <c r="C660" s="57"/>
      <c r="D660" s="185"/>
      <c r="E660" s="215"/>
      <c r="F660" s="215"/>
      <c r="G660" s="215"/>
      <c r="H660" s="185"/>
      <c r="I660" s="215"/>
      <c r="J660" s="185"/>
      <c r="K660" s="185"/>
      <c r="L660" s="185"/>
      <c r="M660" s="185"/>
    </row>
    <row r="661" ht="15.75" customHeight="1">
      <c r="A661" s="213"/>
      <c r="B661" s="214"/>
      <c r="C661" s="57"/>
      <c r="D661" s="185"/>
      <c r="E661" s="215"/>
      <c r="F661" s="215"/>
      <c r="G661" s="215"/>
      <c r="H661" s="185"/>
      <c r="I661" s="215"/>
      <c r="J661" s="185"/>
      <c r="K661" s="185"/>
      <c r="L661" s="185"/>
      <c r="M661" s="185"/>
    </row>
    <row r="662" ht="15.75" customHeight="1">
      <c r="A662" s="213"/>
      <c r="B662" s="214"/>
      <c r="C662" s="57"/>
      <c r="D662" s="185"/>
      <c r="E662" s="215"/>
      <c r="F662" s="215"/>
      <c r="G662" s="215"/>
      <c r="H662" s="185"/>
      <c r="I662" s="215"/>
      <c r="J662" s="185"/>
      <c r="K662" s="185"/>
      <c r="L662" s="185"/>
      <c r="M662" s="185"/>
    </row>
    <row r="663" ht="15.75" customHeight="1">
      <c r="A663" s="213"/>
      <c r="B663" s="214"/>
      <c r="C663" s="57"/>
      <c r="D663" s="185"/>
      <c r="E663" s="215"/>
      <c r="F663" s="215"/>
      <c r="G663" s="215"/>
      <c r="H663" s="185"/>
      <c r="I663" s="215"/>
      <c r="J663" s="185"/>
      <c r="K663" s="185"/>
      <c r="L663" s="185"/>
      <c r="M663" s="185"/>
    </row>
    <row r="664" ht="15.75" customHeight="1">
      <c r="A664" s="213"/>
      <c r="B664" s="214"/>
      <c r="C664" s="57"/>
      <c r="D664" s="185"/>
      <c r="E664" s="215"/>
      <c r="F664" s="215"/>
      <c r="G664" s="215"/>
      <c r="H664" s="185"/>
      <c r="I664" s="215"/>
      <c r="J664" s="185"/>
      <c r="K664" s="185"/>
      <c r="L664" s="185"/>
      <c r="M664" s="185"/>
    </row>
    <row r="665" ht="15.75" customHeight="1">
      <c r="A665" s="213"/>
      <c r="B665" s="214"/>
      <c r="C665" s="57"/>
      <c r="D665" s="185"/>
      <c r="E665" s="215"/>
      <c r="F665" s="215"/>
      <c r="G665" s="215"/>
      <c r="H665" s="185"/>
      <c r="I665" s="215"/>
      <c r="J665" s="185"/>
      <c r="K665" s="185"/>
      <c r="L665" s="185"/>
      <c r="M665" s="185"/>
    </row>
    <row r="666" ht="15.75" customHeight="1">
      <c r="A666" s="213"/>
      <c r="B666" s="214"/>
      <c r="C666" s="57"/>
      <c r="D666" s="185"/>
      <c r="E666" s="215"/>
      <c r="F666" s="215"/>
      <c r="G666" s="215"/>
      <c r="H666" s="185"/>
      <c r="I666" s="215"/>
      <c r="J666" s="185"/>
      <c r="K666" s="185"/>
      <c r="L666" s="185"/>
      <c r="M666" s="185"/>
    </row>
    <row r="667" ht="15.75" customHeight="1">
      <c r="A667" s="213"/>
      <c r="B667" s="214"/>
      <c r="C667" s="57"/>
      <c r="D667" s="185"/>
      <c r="E667" s="215"/>
      <c r="F667" s="215"/>
      <c r="G667" s="215"/>
      <c r="H667" s="185"/>
      <c r="I667" s="215"/>
      <c r="J667" s="185"/>
      <c r="K667" s="185"/>
      <c r="L667" s="185"/>
      <c r="M667" s="185"/>
    </row>
    <row r="668" ht="15.75" customHeight="1">
      <c r="A668" s="213"/>
      <c r="B668" s="214"/>
      <c r="C668" s="57"/>
      <c r="D668" s="185"/>
      <c r="E668" s="215"/>
      <c r="F668" s="215"/>
      <c r="G668" s="215"/>
      <c r="H668" s="185"/>
      <c r="I668" s="215"/>
      <c r="J668" s="185"/>
      <c r="K668" s="185"/>
      <c r="L668" s="185"/>
      <c r="M668" s="185"/>
    </row>
    <row r="669" ht="15.75" customHeight="1">
      <c r="A669" s="213"/>
      <c r="B669" s="214"/>
      <c r="C669" s="57"/>
      <c r="D669" s="185"/>
      <c r="E669" s="215"/>
      <c r="F669" s="215"/>
      <c r="G669" s="215"/>
      <c r="H669" s="185"/>
      <c r="I669" s="215"/>
      <c r="J669" s="185"/>
      <c r="K669" s="185"/>
      <c r="L669" s="185"/>
      <c r="M669" s="185"/>
    </row>
    <row r="670" ht="15.75" customHeight="1">
      <c r="A670" s="213"/>
      <c r="B670" s="214"/>
      <c r="C670" s="57"/>
      <c r="D670" s="185"/>
      <c r="E670" s="215"/>
      <c r="F670" s="215"/>
      <c r="G670" s="215"/>
      <c r="H670" s="185"/>
      <c r="I670" s="215"/>
      <c r="J670" s="185"/>
      <c r="K670" s="185"/>
      <c r="L670" s="185"/>
      <c r="M670" s="185"/>
    </row>
    <row r="671" ht="15.75" customHeight="1">
      <c r="A671" s="213"/>
      <c r="B671" s="214"/>
      <c r="C671" s="57"/>
      <c r="D671" s="185"/>
      <c r="E671" s="215"/>
      <c r="F671" s="215"/>
      <c r="G671" s="215"/>
      <c r="H671" s="185"/>
      <c r="I671" s="215"/>
      <c r="J671" s="185"/>
      <c r="K671" s="185"/>
      <c r="L671" s="185"/>
      <c r="M671" s="185"/>
    </row>
    <row r="672" ht="15.75" customHeight="1">
      <c r="A672" s="213"/>
      <c r="B672" s="214"/>
      <c r="C672" s="57"/>
      <c r="D672" s="185"/>
      <c r="E672" s="215"/>
      <c r="F672" s="215"/>
      <c r="G672" s="215"/>
      <c r="H672" s="185"/>
      <c r="I672" s="215"/>
      <c r="J672" s="185"/>
      <c r="K672" s="185"/>
      <c r="L672" s="185"/>
      <c r="M672" s="185"/>
    </row>
    <row r="673" ht="15.75" customHeight="1">
      <c r="A673" s="213"/>
      <c r="B673" s="214"/>
      <c r="C673" s="57"/>
      <c r="D673" s="185"/>
      <c r="E673" s="215"/>
      <c r="F673" s="215"/>
      <c r="G673" s="215"/>
      <c r="H673" s="185"/>
      <c r="I673" s="215"/>
      <c r="J673" s="185"/>
      <c r="K673" s="185"/>
      <c r="L673" s="185"/>
      <c r="M673" s="185"/>
    </row>
    <row r="674" ht="15.75" customHeight="1">
      <c r="A674" s="213"/>
      <c r="B674" s="214"/>
      <c r="C674" s="57"/>
      <c r="D674" s="185"/>
      <c r="E674" s="215"/>
      <c r="F674" s="215"/>
      <c r="G674" s="215"/>
      <c r="H674" s="185"/>
      <c r="I674" s="215"/>
      <c r="J674" s="185"/>
      <c r="K674" s="185"/>
      <c r="L674" s="185"/>
      <c r="M674" s="185"/>
    </row>
    <row r="675" ht="15.75" customHeight="1">
      <c r="A675" s="213"/>
      <c r="B675" s="214"/>
      <c r="C675" s="57"/>
      <c r="D675" s="185"/>
      <c r="E675" s="215"/>
      <c r="F675" s="215"/>
      <c r="G675" s="215"/>
      <c r="H675" s="185"/>
      <c r="I675" s="215"/>
      <c r="J675" s="185"/>
      <c r="K675" s="185"/>
      <c r="L675" s="185"/>
      <c r="M675" s="185"/>
    </row>
    <row r="676" ht="15.75" customHeight="1">
      <c r="A676" s="213"/>
      <c r="B676" s="214"/>
      <c r="C676" s="57"/>
      <c r="D676" s="185"/>
      <c r="E676" s="215"/>
      <c r="F676" s="215"/>
      <c r="G676" s="215"/>
      <c r="H676" s="185"/>
      <c r="I676" s="215"/>
      <c r="J676" s="185"/>
      <c r="K676" s="185"/>
      <c r="L676" s="185"/>
      <c r="M676" s="185"/>
    </row>
    <row r="677" ht="15.75" customHeight="1">
      <c r="A677" s="213"/>
      <c r="B677" s="214"/>
      <c r="C677" s="57"/>
      <c r="D677" s="185"/>
      <c r="E677" s="215"/>
      <c r="F677" s="215"/>
      <c r="G677" s="215"/>
      <c r="H677" s="185"/>
      <c r="I677" s="215"/>
      <c r="J677" s="185"/>
      <c r="K677" s="185"/>
      <c r="L677" s="185"/>
      <c r="M677" s="185"/>
    </row>
    <row r="678" ht="15.75" customHeight="1">
      <c r="A678" s="213"/>
      <c r="B678" s="214"/>
      <c r="C678" s="57"/>
      <c r="D678" s="185"/>
      <c r="E678" s="215"/>
      <c r="F678" s="215"/>
      <c r="G678" s="215"/>
      <c r="H678" s="185"/>
      <c r="I678" s="215"/>
      <c r="J678" s="185"/>
      <c r="K678" s="185"/>
      <c r="L678" s="185"/>
      <c r="M678" s="185"/>
    </row>
    <row r="679" ht="15.75" customHeight="1">
      <c r="A679" s="213"/>
      <c r="B679" s="214"/>
      <c r="C679" s="57"/>
      <c r="D679" s="185"/>
      <c r="E679" s="215"/>
      <c r="F679" s="215"/>
      <c r="G679" s="215"/>
      <c r="H679" s="185"/>
      <c r="I679" s="215"/>
      <c r="J679" s="185"/>
      <c r="K679" s="185"/>
      <c r="L679" s="185"/>
      <c r="M679" s="185"/>
    </row>
    <row r="680" ht="15.75" customHeight="1">
      <c r="A680" s="213"/>
      <c r="B680" s="214"/>
      <c r="C680" s="57"/>
      <c r="D680" s="185"/>
      <c r="E680" s="215"/>
      <c r="F680" s="215"/>
      <c r="G680" s="215"/>
      <c r="H680" s="185"/>
      <c r="I680" s="215"/>
      <c r="J680" s="185"/>
      <c r="K680" s="185"/>
      <c r="L680" s="185"/>
      <c r="M680" s="185"/>
    </row>
    <row r="681" ht="15.75" customHeight="1">
      <c r="A681" s="213"/>
      <c r="B681" s="214"/>
      <c r="C681" s="57"/>
      <c r="D681" s="185"/>
      <c r="E681" s="215"/>
      <c r="F681" s="215"/>
      <c r="G681" s="215"/>
      <c r="H681" s="185"/>
      <c r="I681" s="215"/>
      <c r="J681" s="185"/>
      <c r="K681" s="185"/>
      <c r="L681" s="185"/>
      <c r="M681" s="185"/>
    </row>
    <row r="682" ht="15.75" customHeight="1">
      <c r="A682" s="213"/>
      <c r="B682" s="214"/>
      <c r="C682" s="57"/>
      <c r="D682" s="185"/>
      <c r="E682" s="215"/>
      <c r="F682" s="215"/>
      <c r="G682" s="215"/>
      <c r="H682" s="185"/>
      <c r="I682" s="215"/>
      <c r="J682" s="185"/>
      <c r="K682" s="185"/>
      <c r="L682" s="185"/>
      <c r="M682" s="185"/>
    </row>
    <row r="683" ht="15.75" customHeight="1">
      <c r="A683" s="213"/>
      <c r="B683" s="214"/>
      <c r="C683" s="57"/>
      <c r="D683" s="185"/>
      <c r="E683" s="215"/>
      <c r="F683" s="215"/>
      <c r="G683" s="215"/>
      <c r="H683" s="185"/>
      <c r="I683" s="215"/>
      <c r="J683" s="185"/>
      <c r="K683" s="185"/>
      <c r="L683" s="185"/>
      <c r="M683" s="185"/>
    </row>
    <row r="684" ht="15.75" customHeight="1">
      <c r="A684" s="213"/>
      <c r="B684" s="214"/>
      <c r="C684" s="57"/>
      <c r="D684" s="185"/>
      <c r="E684" s="215"/>
      <c r="F684" s="215"/>
      <c r="G684" s="215"/>
      <c r="H684" s="185"/>
      <c r="I684" s="215"/>
      <c r="J684" s="185"/>
      <c r="K684" s="185"/>
      <c r="L684" s="185"/>
      <c r="M684" s="185"/>
    </row>
    <row r="685" ht="15.75" customHeight="1">
      <c r="A685" s="213"/>
      <c r="B685" s="214"/>
      <c r="C685" s="57"/>
      <c r="D685" s="185"/>
      <c r="E685" s="215"/>
      <c r="F685" s="215"/>
      <c r="G685" s="215"/>
      <c r="H685" s="185"/>
      <c r="I685" s="215"/>
      <c r="J685" s="185"/>
      <c r="K685" s="185"/>
      <c r="L685" s="185"/>
      <c r="M685" s="185"/>
    </row>
    <row r="686" ht="15.75" customHeight="1">
      <c r="A686" s="213"/>
      <c r="B686" s="214"/>
      <c r="C686" s="57"/>
      <c r="D686" s="185"/>
      <c r="E686" s="215"/>
      <c r="F686" s="215"/>
      <c r="G686" s="215"/>
      <c r="H686" s="185"/>
      <c r="I686" s="215"/>
      <c r="J686" s="185"/>
      <c r="K686" s="185"/>
      <c r="L686" s="185"/>
      <c r="M686" s="185"/>
    </row>
    <row r="687" ht="15.75" customHeight="1">
      <c r="A687" s="213"/>
      <c r="B687" s="214"/>
      <c r="C687" s="57"/>
      <c r="D687" s="185"/>
      <c r="E687" s="215"/>
      <c r="F687" s="215"/>
      <c r="G687" s="215"/>
      <c r="H687" s="185"/>
      <c r="I687" s="215"/>
      <c r="J687" s="185"/>
      <c r="K687" s="185"/>
      <c r="L687" s="185"/>
      <c r="M687" s="185"/>
    </row>
    <row r="688" ht="15.75" customHeight="1">
      <c r="A688" s="213"/>
      <c r="B688" s="214"/>
      <c r="C688" s="57"/>
      <c r="D688" s="185"/>
      <c r="E688" s="215"/>
      <c r="F688" s="215"/>
      <c r="G688" s="215"/>
      <c r="H688" s="185"/>
      <c r="I688" s="215"/>
      <c r="J688" s="185"/>
      <c r="K688" s="185"/>
      <c r="L688" s="185"/>
      <c r="M688" s="185"/>
    </row>
    <row r="689" ht="15.75" customHeight="1">
      <c r="A689" s="213"/>
      <c r="B689" s="214"/>
      <c r="C689" s="57"/>
      <c r="D689" s="185"/>
      <c r="E689" s="215"/>
      <c r="F689" s="215"/>
      <c r="G689" s="215"/>
      <c r="H689" s="185"/>
      <c r="I689" s="215"/>
      <c r="J689" s="185"/>
      <c r="K689" s="185"/>
      <c r="L689" s="185"/>
      <c r="M689" s="185"/>
    </row>
    <row r="690" ht="15.75" customHeight="1">
      <c r="A690" s="213"/>
      <c r="B690" s="214"/>
      <c r="C690" s="57"/>
      <c r="D690" s="185"/>
      <c r="E690" s="215"/>
      <c r="F690" s="215"/>
      <c r="G690" s="215"/>
      <c r="H690" s="185"/>
      <c r="I690" s="215"/>
      <c r="J690" s="185"/>
      <c r="K690" s="185"/>
      <c r="L690" s="185"/>
      <c r="M690" s="185"/>
    </row>
    <row r="691" ht="15.75" customHeight="1">
      <c r="A691" s="213"/>
      <c r="B691" s="214"/>
      <c r="C691" s="57"/>
      <c r="D691" s="185"/>
      <c r="E691" s="215"/>
      <c r="F691" s="215"/>
      <c r="G691" s="215"/>
      <c r="H691" s="185"/>
      <c r="I691" s="215"/>
      <c r="J691" s="185"/>
      <c r="K691" s="185"/>
      <c r="L691" s="185"/>
      <c r="M691" s="185"/>
    </row>
    <row r="692" ht="15.75" customHeight="1">
      <c r="A692" s="213"/>
      <c r="B692" s="214"/>
      <c r="C692" s="57"/>
      <c r="D692" s="185"/>
      <c r="E692" s="215"/>
      <c r="F692" s="215"/>
      <c r="G692" s="215"/>
      <c r="H692" s="185"/>
      <c r="I692" s="215"/>
      <c r="J692" s="185"/>
      <c r="K692" s="185"/>
      <c r="L692" s="185"/>
      <c r="M692" s="185"/>
    </row>
    <row r="693" ht="15.75" customHeight="1">
      <c r="A693" s="213"/>
      <c r="B693" s="214"/>
      <c r="C693" s="57"/>
      <c r="D693" s="185"/>
      <c r="E693" s="215"/>
      <c r="F693" s="215"/>
      <c r="G693" s="215"/>
      <c r="H693" s="185"/>
      <c r="I693" s="215"/>
      <c r="J693" s="185"/>
      <c r="K693" s="185"/>
      <c r="L693" s="185"/>
      <c r="M693" s="185"/>
    </row>
    <row r="694" ht="15.75" customHeight="1">
      <c r="A694" s="213"/>
      <c r="B694" s="214"/>
      <c r="C694" s="57"/>
      <c r="D694" s="185"/>
      <c r="E694" s="215"/>
      <c r="F694" s="215"/>
      <c r="G694" s="215"/>
      <c r="H694" s="185"/>
      <c r="I694" s="215"/>
      <c r="J694" s="185"/>
      <c r="K694" s="185"/>
      <c r="L694" s="185"/>
      <c r="M694" s="185"/>
    </row>
    <row r="695" ht="15.75" customHeight="1">
      <c r="A695" s="213"/>
      <c r="B695" s="214"/>
      <c r="C695" s="57"/>
      <c r="D695" s="185"/>
      <c r="E695" s="215"/>
      <c r="F695" s="215"/>
      <c r="G695" s="215"/>
      <c r="H695" s="185"/>
      <c r="I695" s="215"/>
      <c r="J695" s="185"/>
      <c r="K695" s="185"/>
      <c r="L695" s="185"/>
      <c r="M695" s="185"/>
    </row>
    <row r="696" ht="15.75" customHeight="1">
      <c r="A696" s="213"/>
      <c r="B696" s="214"/>
      <c r="C696" s="57"/>
      <c r="D696" s="185"/>
      <c r="E696" s="215"/>
      <c r="F696" s="215"/>
      <c r="G696" s="215"/>
      <c r="H696" s="185"/>
      <c r="I696" s="215"/>
      <c r="J696" s="185"/>
      <c r="K696" s="185"/>
      <c r="L696" s="185"/>
      <c r="M696" s="185"/>
    </row>
    <row r="697" ht="15.75" customHeight="1">
      <c r="A697" s="213"/>
      <c r="B697" s="214"/>
      <c r="C697" s="57"/>
      <c r="D697" s="185"/>
      <c r="E697" s="215"/>
      <c r="F697" s="215"/>
      <c r="G697" s="215"/>
      <c r="H697" s="185"/>
      <c r="I697" s="215"/>
      <c r="J697" s="185"/>
      <c r="K697" s="185"/>
      <c r="L697" s="185"/>
      <c r="M697" s="185"/>
    </row>
    <row r="698" ht="15.75" customHeight="1">
      <c r="A698" s="213"/>
      <c r="B698" s="214"/>
      <c r="C698" s="57"/>
      <c r="D698" s="185"/>
      <c r="E698" s="215"/>
      <c r="F698" s="215"/>
      <c r="G698" s="215"/>
      <c r="H698" s="185"/>
      <c r="I698" s="215"/>
      <c r="J698" s="185"/>
      <c r="K698" s="185"/>
      <c r="L698" s="185"/>
      <c r="M698" s="185"/>
    </row>
    <row r="699" ht="15.75" customHeight="1">
      <c r="A699" s="213"/>
      <c r="B699" s="214"/>
      <c r="C699" s="57"/>
      <c r="D699" s="185"/>
      <c r="E699" s="215"/>
      <c r="F699" s="215"/>
      <c r="G699" s="215"/>
      <c r="H699" s="185"/>
      <c r="I699" s="215"/>
      <c r="J699" s="185"/>
      <c r="K699" s="185"/>
      <c r="L699" s="185"/>
      <c r="M699" s="185"/>
    </row>
    <row r="700" ht="15.75" customHeight="1">
      <c r="A700" s="213"/>
      <c r="B700" s="214"/>
      <c r="C700" s="57"/>
      <c r="D700" s="185"/>
      <c r="E700" s="215"/>
      <c r="F700" s="215"/>
      <c r="G700" s="215"/>
      <c r="H700" s="185"/>
      <c r="I700" s="215"/>
      <c r="J700" s="185"/>
      <c r="K700" s="185"/>
      <c r="L700" s="185"/>
      <c r="M700" s="185"/>
    </row>
    <row r="701" ht="15.75" customHeight="1">
      <c r="A701" s="213"/>
      <c r="B701" s="214"/>
      <c r="C701" s="57"/>
      <c r="D701" s="185"/>
      <c r="E701" s="215"/>
      <c r="F701" s="215"/>
      <c r="G701" s="215"/>
      <c r="H701" s="185"/>
      <c r="I701" s="215"/>
      <c r="J701" s="185"/>
      <c r="K701" s="185"/>
      <c r="L701" s="185"/>
      <c r="M701" s="185"/>
    </row>
    <row r="702" ht="15.75" customHeight="1">
      <c r="A702" s="213"/>
      <c r="B702" s="214"/>
      <c r="C702" s="57"/>
      <c r="D702" s="185"/>
      <c r="E702" s="215"/>
      <c r="F702" s="215"/>
      <c r="G702" s="215"/>
      <c r="H702" s="185"/>
      <c r="I702" s="215"/>
      <c r="J702" s="185"/>
      <c r="K702" s="185"/>
      <c r="L702" s="185"/>
      <c r="M702" s="185"/>
    </row>
    <row r="703" ht="15.75" customHeight="1">
      <c r="A703" s="213"/>
      <c r="B703" s="214"/>
      <c r="C703" s="57"/>
      <c r="D703" s="185"/>
      <c r="E703" s="215"/>
      <c r="F703" s="215"/>
      <c r="G703" s="215"/>
      <c r="H703" s="185"/>
      <c r="I703" s="215"/>
      <c r="J703" s="185"/>
      <c r="K703" s="185"/>
      <c r="L703" s="185"/>
      <c r="M703" s="185"/>
    </row>
    <row r="704" ht="15.75" customHeight="1">
      <c r="A704" s="213"/>
      <c r="B704" s="214"/>
      <c r="C704" s="57"/>
      <c r="D704" s="185"/>
      <c r="E704" s="215"/>
      <c r="F704" s="215"/>
      <c r="G704" s="215"/>
      <c r="H704" s="185"/>
      <c r="I704" s="215"/>
      <c r="J704" s="185"/>
      <c r="K704" s="185"/>
      <c r="L704" s="185"/>
      <c r="M704" s="185"/>
    </row>
    <row r="705" ht="15.75" customHeight="1">
      <c r="A705" s="213"/>
      <c r="B705" s="214"/>
      <c r="C705" s="57"/>
      <c r="D705" s="185"/>
      <c r="E705" s="215"/>
      <c r="F705" s="215"/>
      <c r="G705" s="215"/>
      <c r="H705" s="185"/>
      <c r="I705" s="215"/>
      <c r="J705" s="185"/>
      <c r="K705" s="185"/>
      <c r="L705" s="185"/>
      <c r="M705" s="185"/>
    </row>
    <row r="706" ht="15.75" customHeight="1">
      <c r="A706" s="213"/>
      <c r="B706" s="214"/>
      <c r="C706" s="57"/>
      <c r="D706" s="185"/>
      <c r="E706" s="215"/>
      <c r="F706" s="215"/>
      <c r="G706" s="215"/>
      <c r="H706" s="185"/>
      <c r="I706" s="215"/>
      <c r="J706" s="185"/>
      <c r="K706" s="185"/>
      <c r="L706" s="185"/>
      <c r="M706" s="185"/>
    </row>
    <row r="707" ht="15.75" customHeight="1">
      <c r="A707" s="213"/>
      <c r="B707" s="214"/>
      <c r="C707" s="57"/>
      <c r="D707" s="185"/>
      <c r="E707" s="215"/>
      <c r="F707" s="215"/>
      <c r="G707" s="215"/>
      <c r="H707" s="185"/>
      <c r="I707" s="215"/>
      <c r="J707" s="185"/>
      <c r="K707" s="185"/>
      <c r="L707" s="185"/>
      <c r="M707" s="185"/>
    </row>
    <row r="708" ht="15.75" customHeight="1">
      <c r="A708" s="213"/>
      <c r="B708" s="214"/>
      <c r="C708" s="57"/>
      <c r="D708" s="185"/>
      <c r="E708" s="215"/>
      <c r="F708" s="215"/>
      <c r="G708" s="215"/>
      <c r="H708" s="185"/>
      <c r="I708" s="215"/>
      <c r="J708" s="185"/>
      <c r="K708" s="185"/>
      <c r="L708" s="185"/>
      <c r="M708" s="185"/>
    </row>
    <row r="709" ht="15.75" customHeight="1">
      <c r="A709" s="213"/>
      <c r="B709" s="214"/>
      <c r="C709" s="57"/>
      <c r="D709" s="185"/>
      <c r="E709" s="215"/>
      <c r="F709" s="215"/>
      <c r="G709" s="215"/>
      <c r="H709" s="185"/>
      <c r="I709" s="215"/>
      <c r="J709" s="185"/>
      <c r="K709" s="185"/>
      <c r="L709" s="185"/>
      <c r="M709" s="185"/>
    </row>
    <row r="710" ht="15.75" customHeight="1">
      <c r="A710" s="213"/>
      <c r="B710" s="214"/>
      <c r="C710" s="57"/>
      <c r="D710" s="185"/>
      <c r="E710" s="215"/>
      <c r="F710" s="215"/>
      <c r="G710" s="215"/>
      <c r="H710" s="185"/>
      <c r="I710" s="215"/>
      <c r="J710" s="185"/>
      <c r="K710" s="185"/>
      <c r="L710" s="185"/>
      <c r="M710" s="185"/>
    </row>
    <row r="711" ht="15.75" customHeight="1">
      <c r="A711" s="213"/>
      <c r="B711" s="214"/>
      <c r="C711" s="57"/>
      <c r="D711" s="185"/>
      <c r="E711" s="215"/>
      <c r="F711" s="215"/>
      <c r="G711" s="215"/>
      <c r="H711" s="185"/>
      <c r="I711" s="215"/>
      <c r="J711" s="185"/>
      <c r="K711" s="185"/>
      <c r="L711" s="185"/>
      <c r="M711" s="185"/>
    </row>
    <row r="712" ht="15.75" customHeight="1">
      <c r="A712" s="213"/>
      <c r="B712" s="214"/>
      <c r="C712" s="57"/>
      <c r="D712" s="185"/>
      <c r="E712" s="215"/>
      <c r="F712" s="215"/>
      <c r="G712" s="215"/>
      <c r="H712" s="185"/>
      <c r="I712" s="215"/>
      <c r="J712" s="185"/>
      <c r="K712" s="185"/>
      <c r="L712" s="185"/>
      <c r="M712" s="185"/>
    </row>
    <row r="713" ht="15.75" customHeight="1">
      <c r="A713" s="213"/>
      <c r="B713" s="214"/>
      <c r="C713" s="57"/>
      <c r="D713" s="185"/>
      <c r="E713" s="215"/>
      <c r="F713" s="215"/>
      <c r="G713" s="215"/>
      <c r="H713" s="185"/>
      <c r="I713" s="215"/>
      <c r="J713" s="185"/>
      <c r="K713" s="185"/>
      <c r="L713" s="185"/>
      <c r="M713" s="185"/>
    </row>
    <row r="714" ht="15.75" customHeight="1">
      <c r="A714" s="213"/>
      <c r="B714" s="214"/>
      <c r="C714" s="57"/>
      <c r="D714" s="185"/>
      <c r="E714" s="215"/>
      <c r="F714" s="215"/>
      <c r="G714" s="215"/>
      <c r="H714" s="185"/>
      <c r="I714" s="215"/>
      <c r="J714" s="185"/>
      <c r="K714" s="185"/>
      <c r="L714" s="185"/>
      <c r="M714" s="185"/>
    </row>
    <row r="715" ht="15.75" customHeight="1">
      <c r="A715" s="213"/>
      <c r="B715" s="214"/>
      <c r="C715" s="57"/>
      <c r="D715" s="185"/>
      <c r="E715" s="215"/>
      <c r="F715" s="215"/>
      <c r="G715" s="215"/>
      <c r="H715" s="185"/>
      <c r="I715" s="215"/>
      <c r="J715" s="185"/>
      <c r="K715" s="185"/>
      <c r="L715" s="185"/>
      <c r="M715" s="185"/>
    </row>
    <row r="716" ht="15.75" customHeight="1">
      <c r="A716" s="213"/>
      <c r="B716" s="214"/>
      <c r="C716" s="57"/>
      <c r="D716" s="185"/>
      <c r="E716" s="215"/>
      <c r="F716" s="215"/>
      <c r="G716" s="215"/>
      <c r="H716" s="185"/>
      <c r="I716" s="215"/>
      <c r="J716" s="185"/>
      <c r="K716" s="185"/>
      <c r="L716" s="185"/>
      <c r="M716" s="185"/>
    </row>
    <row r="717" ht="15.75" customHeight="1">
      <c r="A717" s="213"/>
      <c r="B717" s="214"/>
      <c r="C717" s="57"/>
      <c r="D717" s="185"/>
      <c r="E717" s="215"/>
      <c r="F717" s="215"/>
      <c r="G717" s="215"/>
      <c r="H717" s="185"/>
      <c r="I717" s="215"/>
      <c r="J717" s="185"/>
      <c r="K717" s="185"/>
      <c r="L717" s="185"/>
      <c r="M717" s="185"/>
    </row>
    <row r="718" ht="15.75" customHeight="1">
      <c r="A718" s="213"/>
      <c r="B718" s="214"/>
      <c r="C718" s="57"/>
      <c r="D718" s="185"/>
      <c r="E718" s="215"/>
      <c r="F718" s="215"/>
      <c r="G718" s="215"/>
      <c r="H718" s="185"/>
      <c r="I718" s="215"/>
      <c r="J718" s="185"/>
      <c r="K718" s="185"/>
      <c r="L718" s="185"/>
      <c r="M718" s="185"/>
    </row>
    <row r="719" ht="15.75" customHeight="1">
      <c r="A719" s="213"/>
      <c r="B719" s="214"/>
      <c r="C719" s="57"/>
      <c r="D719" s="185"/>
      <c r="E719" s="215"/>
      <c r="F719" s="215"/>
      <c r="G719" s="215"/>
      <c r="H719" s="185"/>
      <c r="I719" s="215"/>
      <c r="J719" s="185"/>
      <c r="K719" s="185"/>
      <c r="L719" s="185"/>
      <c r="M719" s="185"/>
    </row>
    <row r="720" ht="15.75" customHeight="1">
      <c r="A720" s="213"/>
      <c r="B720" s="214"/>
      <c r="C720" s="57"/>
      <c r="D720" s="185"/>
      <c r="E720" s="215"/>
      <c r="F720" s="215"/>
      <c r="G720" s="215"/>
      <c r="H720" s="185"/>
      <c r="I720" s="215"/>
      <c r="J720" s="185"/>
      <c r="K720" s="185"/>
      <c r="L720" s="185"/>
      <c r="M720" s="185"/>
    </row>
    <row r="721" ht="15.75" customHeight="1">
      <c r="A721" s="213"/>
      <c r="B721" s="214"/>
      <c r="C721" s="57"/>
      <c r="D721" s="185"/>
      <c r="E721" s="215"/>
      <c r="F721" s="215"/>
      <c r="G721" s="215"/>
      <c r="H721" s="185"/>
      <c r="I721" s="215"/>
      <c r="J721" s="185"/>
      <c r="K721" s="185"/>
      <c r="L721" s="185"/>
      <c r="M721" s="185"/>
    </row>
    <row r="722" ht="15.75" customHeight="1">
      <c r="A722" s="213"/>
      <c r="B722" s="214"/>
      <c r="C722" s="57"/>
      <c r="D722" s="185"/>
      <c r="E722" s="215"/>
      <c r="F722" s="215"/>
      <c r="G722" s="215"/>
      <c r="H722" s="185"/>
      <c r="I722" s="215"/>
      <c r="J722" s="185"/>
      <c r="K722" s="185"/>
      <c r="L722" s="185"/>
      <c r="M722" s="185"/>
    </row>
    <row r="723" ht="15.75" customHeight="1">
      <c r="A723" s="213"/>
      <c r="B723" s="214"/>
      <c r="C723" s="57"/>
      <c r="D723" s="185"/>
      <c r="E723" s="215"/>
      <c r="F723" s="215"/>
      <c r="G723" s="215"/>
      <c r="H723" s="185"/>
      <c r="I723" s="215"/>
      <c r="J723" s="185"/>
      <c r="K723" s="185"/>
      <c r="L723" s="185"/>
      <c r="M723" s="185"/>
    </row>
    <row r="724" ht="15.75" customHeight="1">
      <c r="A724" s="213"/>
      <c r="B724" s="214"/>
      <c r="C724" s="57"/>
      <c r="D724" s="185"/>
      <c r="E724" s="215"/>
      <c r="F724" s="215"/>
      <c r="G724" s="215"/>
      <c r="H724" s="185"/>
      <c r="I724" s="215"/>
      <c r="J724" s="185"/>
      <c r="K724" s="185"/>
      <c r="L724" s="185"/>
      <c r="M724" s="185"/>
    </row>
    <row r="725" ht="15.75" customHeight="1">
      <c r="A725" s="213"/>
      <c r="B725" s="214"/>
      <c r="C725" s="57"/>
      <c r="D725" s="185"/>
      <c r="E725" s="215"/>
      <c r="F725" s="215"/>
      <c r="G725" s="215"/>
      <c r="H725" s="185"/>
      <c r="I725" s="215"/>
      <c r="J725" s="185"/>
      <c r="K725" s="185"/>
      <c r="L725" s="185"/>
      <c r="M725" s="185"/>
    </row>
    <row r="726" ht="15.75" customHeight="1">
      <c r="A726" s="213"/>
      <c r="B726" s="214"/>
      <c r="C726" s="57"/>
      <c r="D726" s="185"/>
      <c r="E726" s="215"/>
      <c r="F726" s="215"/>
      <c r="G726" s="215"/>
      <c r="H726" s="185"/>
      <c r="I726" s="215"/>
      <c r="J726" s="185"/>
      <c r="K726" s="185"/>
      <c r="L726" s="185"/>
      <c r="M726" s="185"/>
    </row>
    <row r="727" ht="15.75" customHeight="1">
      <c r="A727" s="213"/>
      <c r="B727" s="214"/>
      <c r="C727" s="57"/>
      <c r="D727" s="185"/>
      <c r="E727" s="215"/>
      <c r="F727" s="215"/>
      <c r="G727" s="215"/>
      <c r="H727" s="185"/>
      <c r="I727" s="215"/>
      <c r="J727" s="185"/>
      <c r="K727" s="185"/>
      <c r="L727" s="185"/>
      <c r="M727" s="185"/>
    </row>
    <row r="728" ht="15.75" customHeight="1">
      <c r="A728" s="213"/>
      <c r="B728" s="214"/>
      <c r="C728" s="57"/>
      <c r="D728" s="185"/>
      <c r="E728" s="215"/>
      <c r="F728" s="215"/>
      <c r="G728" s="215"/>
      <c r="H728" s="185"/>
      <c r="I728" s="215"/>
      <c r="J728" s="185"/>
      <c r="K728" s="185"/>
      <c r="L728" s="185"/>
      <c r="M728" s="185"/>
    </row>
    <row r="729" ht="15.75" customHeight="1">
      <c r="A729" s="213"/>
      <c r="B729" s="214"/>
      <c r="C729" s="57"/>
      <c r="D729" s="185"/>
      <c r="E729" s="215"/>
      <c r="F729" s="215"/>
      <c r="G729" s="215"/>
      <c r="H729" s="185"/>
      <c r="I729" s="215"/>
      <c r="J729" s="185"/>
      <c r="K729" s="185"/>
      <c r="L729" s="185"/>
      <c r="M729" s="185"/>
    </row>
    <row r="730" ht="15.75" customHeight="1">
      <c r="A730" s="213"/>
      <c r="B730" s="214"/>
      <c r="C730" s="57"/>
      <c r="D730" s="185"/>
      <c r="E730" s="215"/>
      <c r="F730" s="215"/>
      <c r="G730" s="215"/>
      <c r="H730" s="185"/>
      <c r="I730" s="215"/>
      <c r="J730" s="185"/>
      <c r="K730" s="185"/>
      <c r="L730" s="185"/>
      <c r="M730" s="185"/>
    </row>
    <row r="731" ht="15.75" customHeight="1">
      <c r="A731" s="213"/>
      <c r="B731" s="214"/>
      <c r="C731" s="57"/>
      <c r="D731" s="185"/>
      <c r="E731" s="215"/>
      <c r="F731" s="215"/>
      <c r="G731" s="215"/>
      <c r="H731" s="185"/>
      <c r="I731" s="215"/>
      <c r="J731" s="185"/>
      <c r="K731" s="185"/>
      <c r="L731" s="185"/>
      <c r="M731" s="185"/>
    </row>
    <row r="732" ht="15.75" customHeight="1">
      <c r="A732" s="213"/>
      <c r="B732" s="214"/>
      <c r="C732" s="57"/>
      <c r="D732" s="185"/>
      <c r="E732" s="215"/>
      <c r="F732" s="215"/>
      <c r="G732" s="215"/>
      <c r="H732" s="185"/>
      <c r="I732" s="215"/>
      <c r="J732" s="185"/>
      <c r="K732" s="185"/>
      <c r="L732" s="185"/>
      <c r="M732" s="185"/>
    </row>
    <row r="733" ht="15.75" customHeight="1">
      <c r="A733" s="213"/>
      <c r="B733" s="214"/>
      <c r="C733" s="57"/>
      <c r="D733" s="185"/>
      <c r="E733" s="215"/>
      <c r="F733" s="215"/>
      <c r="G733" s="215"/>
      <c r="H733" s="185"/>
      <c r="I733" s="215"/>
      <c r="J733" s="185"/>
      <c r="K733" s="185"/>
      <c r="L733" s="185"/>
      <c r="M733" s="185"/>
    </row>
    <row r="734" ht="15.75" customHeight="1">
      <c r="A734" s="213"/>
      <c r="B734" s="214"/>
      <c r="C734" s="57"/>
      <c r="D734" s="185"/>
      <c r="E734" s="215"/>
      <c r="F734" s="215"/>
      <c r="G734" s="215"/>
      <c r="H734" s="185"/>
      <c r="I734" s="215"/>
      <c r="J734" s="185"/>
      <c r="K734" s="185"/>
      <c r="L734" s="185"/>
      <c r="M734" s="185"/>
    </row>
    <row r="735" ht="15.75" customHeight="1">
      <c r="A735" s="213"/>
      <c r="B735" s="214"/>
      <c r="C735" s="57"/>
      <c r="D735" s="185"/>
      <c r="E735" s="215"/>
      <c r="F735" s="215"/>
      <c r="G735" s="215"/>
      <c r="H735" s="185"/>
      <c r="I735" s="215"/>
      <c r="J735" s="185"/>
      <c r="K735" s="185"/>
      <c r="L735" s="185"/>
      <c r="M735" s="185"/>
    </row>
    <row r="736" ht="15.75" customHeight="1">
      <c r="A736" s="213"/>
      <c r="B736" s="214"/>
      <c r="C736" s="57"/>
      <c r="D736" s="185"/>
      <c r="E736" s="215"/>
      <c r="F736" s="215"/>
      <c r="G736" s="215"/>
      <c r="H736" s="185"/>
      <c r="I736" s="215"/>
      <c r="J736" s="185"/>
      <c r="K736" s="185"/>
      <c r="L736" s="185"/>
      <c r="M736" s="185"/>
    </row>
    <row r="737" ht="15.75" customHeight="1">
      <c r="A737" s="213"/>
      <c r="B737" s="214"/>
      <c r="C737" s="57"/>
      <c r="D737" s="185"/>
      <c r="E737" s="215"/>
      <c r="F737" s="215"/>
      <c r="G737" s="215"/>
      <c r="H737" s="185"/>
      <c r="I737" s="215"/>
      <c r="J737" s="185"/>
      <c r="K737" s="185"/>
      <c r="L737" s="185"/>
      <c r="M737" s="185"/>
    </row>
    <row r="738" ht="15.75" customHeight="1">
      <c r="A738" s="213"/>
      <c r="B738" s="214"/>
      <c r="C738" s="57"/>
      <c r="D738" s="185"/>
      <c r="E738" s="215"/>
      <c r="F738" s="215"/>
      <c r="G738" s="215"/>
      <c r="H738" s="185"/>
      <c r="I738" s="215"/>
      <c r="J738" s="185"/>
      <c r="K738" s="185"/>
      <c r="L738" s="185"/>
      <c r="M738" s="185"/>
    </row>
    <row r="739" ht="15.75" customHeight="1">
      <c r="A739" s="213"/>
      <c r="B739" s="214"/>
      <c r="C739" s="57"/>
      <c r="D739" s="185"/>
      <c r="E739" s="215"/>
      <c r="F739" s="215"/>
      <c r="G739" s="215"/>
      <c r="H739" s="185"/>
      <c r="I739" s="215"/>
      <c r="J739" s="185"/>
      <c r="K739" s="185"/>
      <c r="L739" s="185"/>
      <c r="M739" s="185"/>
    </row>
    <row r="740" ht="15.75" customHeight="1">
      <c r="A740" s="213"/>
      <c r="B740" s="214"/>
      <c r="C740" s="57"/>
      <c r="D740" s="185"/>
      <c r="E740" s="215"/>
      <c r="F740" s="215"/>
      <c r="G740" s="215"/>
      <c r="H740" s="185"/>
      <c r="I740" s="215"/>
      <c r="J740" s="185"/>
      <c r="K740" s="185"/>
      <c r="L740" s="185"/>
      <c r="M740" s="185"/>
    </row>
    <row r="741" ht="15.75" customHeight="1">
      <c r="A741" s="213"/>
      <c r="B741" s="214"/>
      <c r="C741" s="57"/>
      <c r="D741" s="185"/>
      <c r="E741" s="215"/>
      <c r="F741" s="215"/>
      <c r="G741" s="215"/>
      <c r="H741" s="185"/>
      <c r="I741" s="215"/>
      <c r="J741" s="185"/>
      <c r="K741" s="185"/>
      <c r="L741" s="185"/>
      <c r="M741" s="185"/>
    </row>
    <row r="742" ht="15.75" customHeight="1">
      <c r="A742" s="213"/>
      <c r="B742" s="214"/>
      <c r="C742" s="57"/>
      <c r="D742" s="185"/>
      <c r="E742" s="215"/>
      <c r="F742" s="215"/>
      <c r="G742" s="215"/>
      <c r="H742" s="185"/>
      <c r="I742" s="215"/>
      <c r="J742" s="185"/>
      <c r="K742" s="185"/>
      <c r="L742" s="185"/>
      <c r="M742" s="185"/>
    </row>
    <row r="743" ht="15.75" customHeight="1">
      <c r="A743" s="213"/>
      <c r="B743" s="214"/>
      <c r="C743" s="57"/>
      <c r="D743" s="185"/>
      <c r="E743" s="215"/>
      <c r="F743" s="215"/>
      <c r="G743" s="215"/>
      <c r="H743" s="185"/>
      <c r="I743" s="215"/>
      <c r="J743" s="185"/>
      <c r="K743" s="185"/>
      <c r="L743" s="185"/>
      <c r="M743" s="185"/>
    </row>
    <row r="744" ht="15.75" customHeight="1">
      <c r="A744" s="213"/>
      <c r="B744" s="214"/>
      <c r="C744" s="57"/>
      <c r="D744" s="185"/>
      <c r="E744" s="215"/>
      <c r="F744" s="215"/>
      <c r="G744" s="215"/>
      <c r="H744" s="185"/>
      <c r="I744" s="215"/>
      <c r="J744" s="185"/>
      <c r="K744" s="185"/>
      <c r="L744" s="185"/>
      <c r="M744" s="185"/>
    </row>
    <row r="745" ht="15.75" customHeight="1">
      <c r="A745" s="213"/>
      <c r="B745" s="214"/>
      <c r="C745" s="57"/>
      <c r="D745" s="185"/>
      <c r="E745" s="215"/>
      <c r="F745" s="215"/>
      <c r="G745" s="215"/>
      <c r="H745" s="185"/>
      <c r="I745" s="215"/>
      <c r="J745" s="185"/>
      <c r="K745" s="185"/>
      <c r="L745" s="185"/>
      <c r="M745" s="185"/>
    </row>
    <row r="746" ht="15.75" customHeight="1">
      <c r="A746" s="213"/>
      <c r="B746" s="214"/>
      <c r="C746" s="57"/>
      <c r="D746" s="185"/>
      <c r="E746" s="215"/>
      <c r="F746" s="215"/>
      <c r="G746" s="215"/>
      <c r="H746" s="185"/>
      <c r="I746" s="215"/>
      <c r="J746" s="185"/>
      <c r="K746" s="185"/>
      <c r="L746" s="185"/>
      <c r="M746" s="185"/>
    </row>
    <row r="747" ht="15.75" customHeight="1">
      <c r="A747" s="213"/>
      <c r="B747" s="214"/>
      <c r="C747" s="57"/>
      <c r="D747" s="185"/>
      <c r="E747" s="215"/>
      <c r="F747" s="215"/>
      <c r="G747" s="215"/>
      <c r="H747" s="185"/>
      <c r="I747" s="215"/>
      <c r="J747" s="185"/>
      <c r="K747" s="185"/>
      <c r="L747" s="185"/>
      <c r="M747" s="185"/>
    </row>
    <row r="748" ht="15.75" customHeight="1">
      <c r="A748" s="213"/>
      <c r="B748" s="214"/>
      <c r="C748" s="57"/>
      <c r="D748" s="185"/>
      <c r="E748" s="215"/>
      <c r="F748" s="215"/>
      <c r="G748" s="215"/>
      <c r="H748" s="185"/>
      <c r="I748" s="215"/>
      <c r="J748" s="185"/>
      <c r="K748" s="185"/>
      <c r="L748" s="185"/>
      <c r="M748" s="185"/>
    </row>
    <row r="749" ht="15.75" customHeight="1">
      <c r="A749" s="213"/>
      <c r="B749" s="214"/>
      <c r="C749" s="57"/>
      <c r="D749" s="185"/>
      <c r="E749" s="215"/>
      <c r="F749" s="215"/>
      <c r="G749" s="215"/>
      <c r="H749" s="185"/>
      <c r="I749" s="215"/>
      <c r="J749" s="185"/>
      <c r="K749" s="185"/>
      <c r="L749" s="185"/>
      <c r="M749" s="185"/>
    </row>
    <row r="750" ht="15.75" customHeight="1">
      <c r="A750" s="213"/>
      <c r="B750" s="214"/>
      <c r="C750" s="57"/>
      <c r="D750" s="185"/>
      <c r="E750" s="215"/>
      <c r="F750" s="215"/>
      <c r="G750" s="215"/>
      <c r="H750" s="185"/>
      <c r="I750" s="215"/>
      <c r="J750" s="185"/>
      <c r="K750" s="185"/>
      <c r="L750" s="185"/>
      <c r="M750" s="185"/>
    </row>
    <row r="751" ht="15.75" customHeight="1">
      <c r="A751" s="213"/>
      <c r="B751" s="214"/>
      <c r="C751" s="57"/>
      <c r="D751" s="185"/>
      <c r="E751" s="215"/>
      <c r="F751" s="215"/>
      <c r="G751" s="215"/>
      <c r="H751" s="185"/>
      <c r="I751" s="215"/>
      <c r="J751" s="185"/>
      <c r="K751" s="185"/>
      <c r="L751" s="185"/>
      <c r="M751" s="185"/>
    </row>
    <row r="752" ht="15.75" customHeight="1">
      <c r="A752" s="213"/>
      <c r="B752" s="214"/>
      <c r="C752" s="57"/>
      <c r="D752" s="185"/>
      <c r="E752" s="215"/>
      <c r="F752" s="215"/>
      <c r="G752" s="215"/>
      <c r="H752" s="185"/>
      <c r="I752" s="215"/>
      <c r="J752" s="185"/>
      <c r="K752" s="185"/>
      <c r="L752" s="185"/>
      <c r="M752" s="185"/>
    </row>
    <row r="753" ht="15.75" customHeight="1">
      <c r="A753" s="213"/>
      <c r="B753" s="214"/>
      <c r="C753" s="57"/>
      <c r="D753" s="185"/>
      <c r="E753" s="215"/>
      <c r="F753" s="215"/>
      <c r="G753" s="215"/>
      <c r="H753" s="185"/>
      <c r="I753" s="215"/>
      <c r="J753" s="185"/>
      <c r="K753" s="185"/>
      <c r="L753" s="185"/>
      <c r="M753" s="185"/>
    </row>
    <row r="754" ht="15.75" customHeight="1">
      <c r="A754" s="213"/>
      <c r="B754" s="214"/>
      <c r="C754" s="57"/>
      <c r="D754" s="185"/>
      <c r="E754" s="215"/>
      <c r="F754" s="215"/>
      <c r="G754" s="215"/>
      <c r="H754" s="185"/>
      <c r="I754" s="215"/>
      <c r="J754" s="185"/>
      <c r="K754" s="185"/>
      <c r="L754" s="185"/>
      <c r="M754" s="185"/>
    </row>
    <row r="755" ht="15.75" customHeight="1">
      <c r="A755" s="213"/>
      <c r="B755" s="214"/>
      <c r="C755" s="57"/>
      <c r="D755" s="185"/>
      <c r="E755" s="215"/>
      <c r="F755" s="215"/>
      <c r="G755" s="215"/>
      <c r="H755" s="185"/>
      <c r="I755" s="215"/>
      <c r="J755" s="185"/>
      <c r="K755" s="185"/>
      <c r="L755" s="185"/>
      <c r="M755" s="185"/>
    </row>
    <row r="756" ht="15.75" customHeight="1">
      <c r="A756" s="213"/>
      <c r="B756" s="214"/>
      <c r="C756" s="57"/>
      <c r="D756" s="185"/>
      <c r="E756" s="215"/>
      <c r="F756" s="215"/>
      <c r="G756" s="215"/>
      <c r="H756" s="185"/>
      <c r="I756" s="215"/>
      <c r="J756" s="185"/>
      <c r="K756" s="185"/>
      <c r="L756" s="185"/>
      <c r="M756" s="185"/>
    </row>
    <row r="757" ht="15.75" customHeight="1">
      <c r="A757" s="213"/>
      <c r="B757" s="214"/>
      <c r="C757" s="57"/>
      <c r="D757" s="185"/>
      <c r="E757" s="215"/>
      <c r="F757" s="215"/>
      <c r="G757" s="215"/>
      <c r="H757" s="185"/>
      <c r="I757" s="215"/>
      <c r="J757" s="185"/>
      <c r="K757" s="185"/>
      <c r="L757" s="185"/>
      <c r="M757" s="185"/>
    </row>
    <row r="758" ht="15.75" customHeight="1">
      <c r="A758" s="213"/>
      <c r="B758" s="214"/>
      <c r="C758" s="57"/>
      <c r="D758" s="185"/>
      <c r="E758" s="215"/>
      <c r="F758" s="215"/>
      <c r="G758" s="215"/>
      <c r="H758" s="185"/>
      <c r="I758" s="215"/>
      <c r="J758" s="185"/>
      <c r="K758" s="185"/>
      <c r="L758" s="185"/>
      <c r="M758" s="185"/>
    </row>
    <row r="759" ht="15.75" customHeight="1">
      <c r="A759" s="213"/>
      <c r="B759" s="214"/>
      <c r="C759" s="57"/>
      <c r="D759" s="185"/>
      <c r="E759" s="215"/>
      <c r="F759" s="215"/>
      <c r="G759" s="215"/>
      <c r="H759" s="185"/>
      <c r="I759" s="215"/>
      <c r="J759" s="185"/>
      <c r="K759" s="185"/>
      <c r="L759" s="185"/>
      <c r="M759" s="185"/>
    </row>
    <row r="760" ht="15.75" customHeight="1">
      <c r="A760" s="213"/>
      <c r="B760" s="214"/>
      <c r="C760" s="57"/>
      <c r="D760" s="185"/>
      <c r="E760" s="215"/>
      <c r="F760" s="215"/>
      <c r="G760" s="215"/>
      <c r="H760" s="185"/>
      <c r="I760" s="215"/>
      <c r="J760" s="185"/>
      <c r="K760" s="185"/>
      <c r="L760" s="185"/>
      <c r="M760" s="185"/>
    </row>
    <row r="761" ht="15.75" customHeight="1">
      <c r="A761" s="213"/>
      <c r="B761" s="214"/>
      <c r="C761" s="57"/>
      <c r="D761" s="185"/>
      <c r="E761" s="215"/>
      <c r="F761" s="215"/>
      <c r="G761" s="215"/>
      <c r="H761" s="185"/>
      <c r="I761" s="215"/>
      <c r="J761" s="185"/>
      <c r="K761" s="185"/>
      <c r="L761" s="185"/>
      <c r="M761" s="185"/>
    </row>
    <row r="762" ht="15.75" customHeight="1">
      <c r="A762" s="213"/>
      <c r="B762" s="214"/>
      <c r="C762" s="57"/>
      <c r="D762" s="185"/>
      <c r="E762" s="215"/>
      <c r="F762" s="215"/>
      <c r="G762" s="215"/>
      <c r="H762" s="185"/>
      <c r="I762" s="215"/>
      <c r="J762" s="185"/>
      <c r="K762" s="185"/>
      <c r="L762" s="185"/>
      <c r="M762" s="185"/>
    </row>
    <row r="763" ht="15.75" customHeight="1">
      <c r="A763" s="213"/>
      <c r="B763" s="214"/>
      <c r="C763" s="57"/>
      <c r="D763" s="185"/>
      <c r="E763" s="215"/>
      <c r="F763" s="215"/>
      <c r="G763" s="215"/>
      <c r="H763" s="185"/>
      <c r="I763" s="215"/>
      <c r="J763" s="185"/>
      <c r="K763" s="185"/>
      <c r="L763" s="185"/>
      <c r="M763" s="185"/>
    </row>
    <row r="764" ht="15.75" customHeight="1">
      <c r="A764" s="213"/>
      <c r="B764" s="214"/>
      <c r="C764" s="57"/>
      <c r="D764" s="185"/>
      <c r="E764" s="215"/>
      <c r="F764" s="215"/>
      <c r="G764" s="215"/>
      <c r="H764" s="185"/>
      <c r="I764" s="215"/>
      <c r="J764" s="185"/>
      <c r="K764" s="185"/>
      <c r="L764" s="185"/>
      <c r="M764" s="185"/>
    </row>
    <row r="765" ht="15.75" customHeight="1">
      <c r="A765" s="213"/>
      <c r="B765" s="214"/>
      <c r="C765" s="57"/>
      <c r="D765" s="185"/>
      <c r="E765" s="215"/>
      <c r="F765" s="215"/>
      <c r="G765" s="215"/>
      <c r="H765" s="185"/>
      <c r="I765" s="215"/>
      <c r="J765" s="185"/>
      <c r="K765" s="185"/>
      <c r="L765" s="185"/>
      <c r="M765" s="185"/>
    </row>
    <row r="766" ht="15.75" customHeight="1">
      <c r="A766" s="213"/>
      <c r="B766" s="214"/>
      <c r="C766" s="57"/>
      <c r="D766" s="185"/>
      <c r="E766" s="215"/>
      <c r="F766" s="215"/>
      <c r="G766" s="215"/>
      <c r="H766" s="185"/>
      <c r="I766" s="215"/>
      <c r="J766" s="185"/>
      <c r="K766" s="185"/>
      <c r="L766" s="185"/>
      <c r="M766" s="185"/>
    </row>
    <row r="767" ht="15.75" customHeight="1">
      <c r="A767" s="213"/>
      <c r="B767" s="214"/>
      <c r="C767" s="57"/>
      <c r="D767" s="185"/>
      <c r="E767" s="215"/>
      <c r="F767" s="215"/>
      <c r="G767" s="215"/>
      <c r="H767" s="185"/>
      <c r="I767" s="215"/>
      <c r="J767" s="185"/>
      <c r="K767" s="185"/>
      <c r="L767" s="185"/>
      <c r="M767" s="185"/>
    </row>
    <row r="768" ht="15.75" customHeight="1">
      <c r="A768" s="213"/>
      <c r="B768" s="214"/>
      <c r="C768" s="57"/>
      <c r="D768" s="185"/>
      <c r="E768" s="215"/>
      <c r="F768" s="215"/>
      <c r="G768" s="215"/>
      <c r="H768" s="185"/>
      <c r="I768" s="215"/>
      <c r="J768" s="185"/>
      <c r="K768" s="185"/>
      <c r="L768" s="185"/>
      <c r="M768" s="185"/>
    </row>
    <row r="769" ht="15.75" customHeight="1">
      <c r="A769" s="213"/>
      <c r="B769" s="214"/>
      <c r="C769" s="57"/>
      <c r="D769" s="185"/>
      <c r="E769" s="215"/>
      <c r="F769" s="215"/>
      <c r="G769" s="215"/>
      <c r="H769" s="185"/>
      <c r="I769" s="215"/>
      <c r="J769" s="185"/>
      <c r="K769" s="185"/>
      <c r="L769" s="185"/>
      <c r="M769" s="185"/>
    </row>
    <row r="770" ht="15.75" customHeight="1">
      <c r="A770" s="213"/>
      <c r="B770" s="214"/>
      <c r="C770" s="57"/>
      <c r="D770" s="185"/>
      <c r="E770" s="215"/>
      <c r="F770" s="215"/>
      <c r="G770" s="215"/>
      <c r="H770" s="185"/>
      <c r="I770" s="215"/>
      <c r="J770" s="185"/>
      <c r="K770" s="185"/>
      <c r="L770" s="185"/>
      <c r="M770" s="185"/>
    </row>
    <row r="771" ht="15.75" customHeight="1">
      <c r="A771" s="213"/>
      <c r="B771" s="214"/>
      <c r="C771" s="57"/>
      <c r="D771" s="185"/>
      <c r="E771" s="215"/>
      <c r="F771" s="215"/>
      <c r="G771" s="215"/>
      <c r="H771" s="185"/>
      <c r="I771" s="215"/>
      <c r="J771" s="185"/>
      <c r="K771" s="185"/>
      <c r="L771" s="185"/>
      <c r="M771" s="185"/>
    </row>
    <row r="772" ht="15.75" customHeight="1">
      <c r="A772" s="213"/>
      <c r="B772" s="214"/>
      <c r="C772" s="57"/>
      <c r="D772" s="185"/>
      <c r="E772" s="215"/>
      <c r="F772" s="215"/>
      <c r="G772" s="215"/>
      <c r="H772" s="185"/>
      <c r="I772" s="215"/>
      <c r="J772" s="185"/>
      <c r="K772" s="185"/>
      <c r="L772" s="185"/>
      <c r="M772" s="185"/>
    </row>
    <row r="773" ht="15.75" customHeight="1">
      <c r="A773" s="213"/>
      <c r="B773" s="214"/>
      <c r="C773" s="57"/>
      <c r="D773" s="185"/>
      <c r="E773" s="215"/>
      <c r="F773" s="215"/>
      <c r="G773" s="215"/>
      <c r="H773" s="185"/>
      <c r="I773" s="215"/>
      <c r="J773" s="185"/>
      <c r="K773" s="185"/>
      <c r="L773" s="185"/>
      <c r="M773" s="185"/>
    </row>
    <row r="774" ht="15.75" customHeight="1">
      <c r="A774" s="213"/>
      <c r="B774" s="214"/>
      <c r="C774" s="57"/>
      <c r="D774" s="185"/>
      <c r="E774" s="215"/>
      <c r="F774" s="215"/>
      <c r="G774" s="215"/>
      <c r="H774" s="185"/>
      <c r="I774" s="215"/>
      <c r="J774" s="185"/>
      <c r="K774" s="185"/>
      <c r="L774" s="185"/>
      <c r="M774" s="185"/>
    </row>
    <row r="775" ht="15.75" customHeight="1">
      <c r="A775" s="213"/>
      <c r="B775" s="214"/>
      <c r="C775" s="57"/>
      <c r="D775" s="185"/>
      <c r="E775" s="215"/>
      <c r="F775" s="215"/>
      <c r="G775" s="215"/>
      <c r="H775" s="185"/>
      <c r="I775" s="215"/>
      <c r="J775" s="185"/>
      <c r="K775" s="185"/>
      <c r="L775" s="185"/>
      <c r="M775" s="185"/>
    </row>
    <row r="776" ht="15.75" customHeight="1">
      <c r="A776" s="213"/>
      <c r="B776" s="214"/>
      <c r="C776" s="57"/>
      <c r="D776" s="185"/>
      <c r="E776" s="215"/>
      <c r="F776" s="215"/>
      <c r="G776" s="215"/>
      <c r="H776" s="185"/>
      <c r="I776" s="215"/>
      <c r="J776" s="185"/>
      <c r="K776" s="185"/>
      <c r="L776" s="185"/>
      <c r="M776" s="185"/>
    </row>
    <row r="777" ht="15.75" customHeight="1">
      <c r="A777" s="213"/>
      <c r="B777" s="214"/>
      <c r="C777" s="57"/>
      <c r="D777" s="185"/>
      <c r="E777" s="215"/>
      <c r="F777" s="215"/>
      <c r="G777" s="215"/>
      <c r="H777" s="185"/>
      <c r="I777" s="215"/>
      <c r="J777" s="185"/>
      <c r="K777" s="185"/>
      <c r="L777" s="185"/>
      <c r="M777" s="185"/>
    </row>
    <row r="778" ht="15.75" customHeight="1">
      <c r="A778" s="213"/>
      <c r="B778" s="214"/>
      <c r="C778" s="57"/>
      <c r="D778" s="185"/>
      <c r="E778" s="215"/>
      <c r="F778" s="215"/>
      <c r="G778" s="215"/>
      <c r="H778" s="185"/>
      <c r="I778" s="215"/>
      <c r="J778" s="185"/>
      <c r="K778" s="185"/>
      <c r="L778" s="185"/>
      <c r="M778" s="185"/>
    </row>
    <row r="779" ht="15.75" customHeight="1">
      <c r="A779" s="213"/>
      <c r="B779" s="214"/>
      <c r="C779" s="57"/>
      <c r="D779" s="185"/>
      <c r="E779" s="215"/>
      <c r="F779" s="215"/>
      <c r="G779" s="215"/>
      <c r="H779" s="185"/>
      <c r="I779" s="215"/>
      <c r="J779" s="185"/>
      <c r="K779" s="185"/>
      <c r="L779" s="185"/>
      <c r="M779" s="185"/>
    </row>
    <row r="780" ht="15.75" customHeight="1">
      <c r="A780" s="213"/>
      <c r="B780" s="214"/>
      <c r="C780" s="57"/>
      <c r="D780" s="185"/>
      <c r="E780" s="215"/>
      <c r="F780" s="215"/>
      <c r="G780" s="215"/>
      <c r="H780" s="185"/>
      <c r="I780" s="215"/>
      <c r="J780" s="185"/>
      <c r="K780" s="185"/>
      <c r="L780" s="185"/>
      <c r="M780" s="185"/>
    </row>
    <row r="781" ht="15.75" customHeight="1">
      <c r="A781" s="213"/>
      <c r="B781" s="214"/>
      <c r="C781" s="57"/>
      <c r="D781" s="185"/>
      <c r="E781" s="215"/>
      <c r="F781" s="215"/>
      <c r="G781" s="215"/>
      <c r="H781" s="185"/>
      <c r="I781" s="215"/>
      <c r="J781" s="185"/>
      <c r="K781" s="185"/>
      <c r="L781" s="185"/>
      <c r="M781" s="185"/>
    </row>
    <row r="782" ht="15.75" customHeight="1">
      <c r="A782" s="213"/>
      <c r="B782" s="214"/>
      <c r="C782" s="57"/>
      <c r="D782" s="185"/>
      <c r="E782" s="215"/>
      <c r="F782" s="215"/>
      <c r="G782" s="215"/>
      <c r="H782" s="185"/>
      <c r="I782" s="215"/>
      <c r="J782" s="185"/>
      <c r="K782" s="185"/>
      <c r="L782" s="185"/>
      <c r="M782" s="185"/>
    </row>
    <row r="783" ht="15.75" customHeight="1">
      <c r="A783" s="213"/>
      <c r="B783" s="214"/>
      <c r="C783" s="57"/>
      <c r="D783" s="185"/>
      <c r="E783" s="215"/>
      <c r="F783" s="215"/>
      <c r="G783" s="215"/>
      <c r="H783" s="185"/>
      <c r="I783" s="215"/>
      <c r="J783" s="185"/>
      <c r="K783" s="185"/>
      <c r="L783" s="185"/>
      <c r="M783" s="185"/>
    </row>
    <row r="784" ht="15.75" customHeight="1">
      <c r="A784" s="213"/>
      <c r="B784" s="214"/>
      <c r="C784" s="57"/>
      <c r="D784" s="185"/>
      <c r="E784" s="215"/>
      <c r="F784" s="215"/>
      <c r="G784" s="215"/>
      <c r="H784" s="185"/>
      <c r="I784" s="215"/>
      <c r="J784" s="185"/>
      <c r="K784" s="185"/>
      <c r="L784" s="185"/>
      <c r="M784" s="185"/>
    </row>
    <row r="785" ht="15.75" customHeight="1">
      <c r="A785" s="213"/>
      <c r="B785" s="214"/>
      <c r="C785" s="57"/>
      <c r="D785" s="185"/>
      <c r="E785" s="215"/>
      <c r="F785" s="215"/>
      <c r="G785" s="215"/>
      <c r="H785" s="185"/>
      <c r="I785" s="215"/>
      <c r="J785" s="185"/>
      <c r="K785" s="185"/>
      <c r="L785" s="185"/>
      <c r="M785" s="185"/>
    </row>
    <row r="786" ht="15.75" customHeight="1">
      <c r="A786" s="213"/>
      <c r="B786" s="214"/>
      <c r="C786" s="57"/>
      <c r="D786" s="185"/>
      <c r="E786" s="215"/>
      <c r="F786" s="215"/>
      <c r="G786" s="215"/>
      <c r="H786" s="185"/>
      <c r="I786" s="215"/>
      <c r="J786" s="185"/>
      <c r="K786" s="185"/>
      <c r="L786" s="185"/>
      <c r="M786" s="185"/>
    </row>
    <row r="787" ht="15.75" customHeight="1">
      <c r="A787" s="213"/>
      <c r="B787" s="214"/>
      <c r="C787" s="57"/>
      <c r="D787" s="185"/>
      <c r="E787" s="215"/>
      <c r="F787" s="215"/>
      <c r="G787" s="215"/>
      <c r="H787" s="185"/>
      <c r="I787" s="215"/>
      <c r="J787" s="185"/>
      <c r="K787" s="185"/>
      <c r="L787" s="185"/>
      <c r="M787" s="185"/>
    </row>
    <row r="788" ht="15.75" customHeight="1">
      <c r="A788" s="213"/>
      <c r="B788" s="214"/>
      <c r="C788" s="57"/>
      <c r="D788" s="185"/>
      <c r="E788" s="215"/>
      <c r="F788" s="215"/>
      <c r="G788" s="215"/>
      <c r="H788" s="185"/>
      <c r="I788" s="215"/>
      <c r="J788" s="185"/>
      <c r="K788" s="185"/>
      <c r="L788" s="185"/>
      <c r="M788" s="185"/>
    </row>
    <row r="789" ht="15.75" customHeight="1">
      <c r="A789" s="213"/>
      <c r="B789" s="214"/>
      <c r="C789" s="57"/>
      <c r="D789" s="185"/>
      <c r="E789" s="215"/>
      <c r="F789" s="215"/>
      <c r="G789" s="215"/>
      <c r="H789" s="185"/>
      <c r="I789" s="215"/>
      <c r="J789" s="185"/>
      <c r="K789" s="185"/>
      <c r="L789" s="185"/>
      <c r="M789" s="185"/>
    </row>
    <row r="790" ht="15.75" customHeight="1">
      <c r="A790" s="213"/>
      <c r="B790" s="214"/>
      <c r="C790" s="57"/>
      <c r="D790" s="185"/>
      <c r="E790" s="215"/>
      <c r="F790" s="215"/>
      <c r="G790" s="215"/>
      <c r="H790" s="185"/>
      <c r="I790" s="215"/>
      <c r="J790" s="185"/>
      <c r="K790" s="185"/>
      <c r="L790" s="185"/>
      <c r="M790" s="185"/>
    </row>
    <row r="791" ht="15.75" customHeight="1">
      <c r="A791" s="213"/>
      <c r="B791" s="214"/>
      <c r="C791" s="57"/>
      <c r="D791" s="185"/>
      <c r="E791" s="215"/>
      <c r="F791" s="215"/>
      <c r="G791" s="215"/>
      <c r="H791" s="185"/>
      <c r="I791" s="215"/>
      <c r="J791" s="185"/>
      <c r="K791" s="185"/>
      <c r="L791" s="185"/>
      <c r="M791" s="185"/>
    </row>
    <row r="792" ht="15.75" customHeight="1">
      <c r="A792" s="213"/>
      <c r="B792" s="214"/>
      <c r="C792" s="57"/>
      <c r="D792" s="185"/>
      <c r="E792" s="215"/>
      <c r="F792" s="215"/>
      <c r="G792" s="215"/>
      <c r="H792" s="185"/>
      <c r="I792" s="215"/>
      <c r="J792" s="185"/>
      <c r="K792" s="185"/>
      <c r="L792" s="185"/>
      <c r="M792" s="185"/>
    </row>
    <row r="793" ht="15.75" customHeight="1">
      <c r="A793" s="213"/>
      <c r="B793" s="214"/>
      <c r="C793" s="57"/>
      <c r="D793" s="185"/>
      <c r="E793" s="215"/>
      <c r="F793" s="215"/>
      <c r="G793" s="215"/>
      <c r="H793" s="185"/>
      <c r="I793" s="215"/>
      <c r="J793" s="185"/>
      <c r="K793" s="185"/>
      <c r="L793" s="185"/>
      <c r="M793" s="185"/>
    </row>
    <row r="794" ht="15.75" customHeight="1">
      <c r="A794" s="213"/>
      <c r="B794" s="214"/>
      <c r="C794" s="57"/>
      <c r="D794" s="185"/>
      <c r="E794" s="215"/>
      <c r="F794" s="215"/>
      <c r="G794" s="215"/>
      <c r="H794" s="185"/>
      <c r="I794" s="215"/>
      <c r="J794" s="185"/>
      <c r="K794" s="185"/>
      <c r="L794" s="185"/>
      <c r="M794" s="185"/>
    </row>
    <row r="795" ht="15.75" customHeight="1">
      <c r="A795" s="213"/>
      <c r="B795" s="214"/>
      <c r="C795" s="57"/>
      <c r="D795" s="185"/>
      <c r="E795" s="215"/>
      <c r="F795" s="215"/>
      <c r="G795" s="215"/>
      <c r="H795" s="185"/>
      <c r="I795" s="215"/>
      <c r="J795" s="185"/>
      <c r="K795" s="185"/>
      <c r="L795" s="185"/>
      <c r="M795" s="185"/>
    </row>
    <row r="796" ht="15.75" customHeight="1">
      <c r="A796" s="213"/>
      <c r="B796" s="214"/>
      <c r="C796" s="57"/>
      <c r="D796" s="185"/>
      <c r="E796" s="215"/>
      <c r="F796" s="215"/>
      <c r="G796" s="215"/>
      <c r="H796" s="185"/>
      <c r="I796" s="215"/>
      <c r="J796" s="185"/>
      <c r="K796" s="185"/>
      <c r="L796" s="185"/>
      <c r="M796" s="185"/>
    </row>
    <row r="797" ht="15.75" customHeight="1">
      <c r="A797" s="213"/>
      <c r="B797" s="214"/>
      <c r="C797" s="57"/>
      <c r="D797" s="185"/>
      <c r="E797" s="215"/>
      <c r="F797" s="215"/>
      <c r="G797" s="215"/>
      <c r="H797" s="185"/>
      <c r="I797" s="215"/>
      <c r="J797" s="185"/>
      <c r="K797" s="185"/>
      <c r="L797" s="185"/>
      <c r="M797" s="185"/>
    </row>
    <row r="798" ht="15.75" customHeight="1">
      <c r="A798" s="213"/>
      <c r="B798" s="214"/>
      <c r="C798" s="57"/>
      <c r="D798" s="185"/>
      <c r="E798" s="215"/>
      <c r="F798" s="215"/>
      <c r="G798" s="215"/>
      <c r="H798" s="185"/>
      <c r="I798" s="215"/>
      <c r="J798" s="185"/>
      <c r="K798" s="185"/>
      <c r="L798" s="185"/>
      <c r="M798" s="185"/>
    </row>
    <row r="799" ht="15.75" customHeight="1">
      <c r="A799" s="213"/>
      <c r="B799" s="214"/>
      <c r="C799" s="57"/>
      <c r="D799" s="185"/>
      <c r="E799" s="215"/>
      <c r="F799" s="215"/>
      <c r="G799" s="215"/>
      <c r="H799" s="185"/>
      <c r="I799" s="215"/>
      <c r="J799" s="185"/>
      <c r="K799" s="185"/>
      <c r="L799" s="185"/>
      <c r="M799" s="185"/>
    </row>
    <row r="800" ht="15.75" customHeight="1">
      <c r="A800" s="213"/>
      <c r="B800" s="214"/>
      <c r="C800" s="57"/>
      <c r="D800" s="185"/>
      <c r="E800" s="215"/>
      <c r="F800" s="215"/>
      <c r="G800" s="215"/>
      <c r="H800" s="185"/>
      <c r="I800" s="215"/>
      <c r="J800" s="185"/>
      <c r="K800" s="185"/>
      <c r="L800" s="185"/>
      <c r="M800" s="185"/>
    </row>
    <row r="801" ht="15.75" customHeight="1">
      <c r="A801" s="213"/>
      <c r="B801" s="214"/>
      <c r="C801" s="57"/>
      <c r="D801" s="185"/>
      <c r="E801" s="215"/>
      <c r="F801" s="215"/>
      <c r="G801" s="215"/>
      <c r="H801" s="185"/>
      <c r="I801" s="215"/>
      <c r="J801" s="185"/>
      <c r="K801" s="185"/>
      <c r="L801" s="185"/>
      <c r="M801" s="185"/>
    </row>
    <row r="802" ht="15.75" customHeight="1">
      <c r="A802" s="213"/>
      <c r="B802" s="214"/>
      <c r="C802" s="57"/>
      <c r="D802" s="185"/>
      <c r="E802" s="215"/>
      <c r="F802" s="215"/>
      <c r="G802" s="215"/>
      <c r="H802" s="185"/>
      <c r="I802" s="215"/>
      <c r="J802" s="185"/>
      <c r="K802" s="185"/>
      <c r="L802" s="185"/>
      <c r="M802" s="185"/>
    </row>
    <row r="803" ht="15.75" customHeight="1">
      <c r="A803" s="213"/>
      <c r="B803" s="214"/>
      <c r="C803" s="57"/>
      <c r="D803" s="185"/>
      <c r="E803" s="215"/>
      <c r="F803" s="215"/>
      <c r="G803" s="215"/>
      <c r="H803" s="185"/>
      <c r="I803" s="215"/>
      <c r="J803" s="185"/>
      <c r="K803" s="185"/>
      <c r="L803" s="185"/>
      <c r="M803" s="185"/>
    </row>
    <row r="804" ht="15.75" customHeight="1">
      <c r="A804" s="213"/>
      <c r="B804" s="214"/>
      <c r="C804" s="57"/>
      <c r="D804" s="185"/>
      <c r="E804" s="215"/>
      <c r="F804" s="215"/>
      <c r="G804" s="215"/>
      <c r="H804" s="185"/>
      <c r="I804" s="215"/>
      <c r="J804" s="185"/>
      <c r="K804" s="185"/>
      <c r="L804" s="185"/>
      <c r="M804" s="185"/>
    </row>
    <row r="805" ht="15.75" customHeight="1">
      <c r="A805" s="213"/>
      <c r="B805" s="214"/>
      <c r="C805" s="57"/>
      <c r="D805" s="185"/>
      <c r="E805" s="215"/>
      <c r="F805" s="215"/>
      <c r="G805" s="215"/>
      <c r="H805" s="185"/>
      <c r="I805" s="215"/>
      <c r="J805" s="185"/>
      <c r="K805" s="185"/>
      <c r="L805" s="185"/>
      <c r="M805" s="185"/>
    </row>
    <row r="806" ht="15.75" customHeight="1">
      <c r="A806" s="213"/>
      <c r="B806" s="214"/>
      <c r="C806" s="57"/>
      <c r="D806" s="185"/>
      <c r="E806" s="215"/>
      <c r="F806" s="215"/>
      <c r="G806" s="215"/>
      <c r="H806" s="185"/>
      <c r="I806" s="215"/>
      <c r="J806" s="185"/>
      <c r="K806" s="185"/>
      <c r="L806" s="185"/>
      <c r="M806" s="185"/>
    </row>
    <row r="807" ht="15.75" customHeight="1">
      <c r="A807" s="213"/>
      <c r="B807" s="214"/>
      <c r="C807" s="57"/>
      <c r="D807" s="185"/>
      <c r="E807" s="215"/>
      <c r="F807" s="215"/>
      <c r="G807" s="215"/>
      <c r="H807" s="185"/>
      <c r="I807" s="215"/>
      <c r="J807" s="185"/>
      <c r="K807" s="185"/>
      <c r="L807" s="185"/>
      <c r="M807" s="185"/>
    </row>
    <row r="808" ht="15.75" customHeight="1">
      <c r="A808" s="213"/>
      <c r="B808" s="214"/>
      <c r="C808" s="57"/>
      <c r="D808" s="185"/>
      <c r="E808" s="215"/>
      <c r="F808" s="215"/>
      <c r="G808" s="215"/>
      <c r="H808" s="185"/>
      <c r="I808" s="215"/>
      <c r="J808" s="185"/>
      <c r="K808" s="185"/>
      <c r="L808" s="185"/>
      <c r="M808" s="185"/>
    </row>
    <row r="809" ht="15.75" customHeight="1">
      <c r="A809" s="213"/>
      <c r="B809" s="214"/>
      <c r="C809" s="57"/>
      <c r="D809" s="185"/>
      <c r="E809" s="215"/>
      <c r="F809" s="215"/>
      <c r="G809" s="215"/>
      <c r="H809" s="185"/>
      <c r="I809" s="215"/>
      <c r="J809" s="185"/>
      <c r="K809" s="185"/>
      <c r="L809" s="185"/>
      <c r="M809" s="185"/>
    </row>
    <row r="810" ht="15.75" customHeight="1">
      <c r="A810" s="213"/>
      <c r="B810" s="214"/>
      <c r="C810" s="57"/>
      <c r="D810" s="185"/>
      <c r="E810" s="215"/>
      <c r="F810" s="215"/>
      <c r="G810" s="215"/>
      <c r="H810" s="185"/>
      <c r="I810" s="215"/>
      <c r="J810" s="185"/>
      <c r="K810" s="185"/>
      <c r="L810" s="185"/>
      <c r="M810" s="185"/>
    </row>
    <row r="811" ht="15.75" customHeight="1">
      <c r="A811" s="213"/>
      <c r="B811" s="214"/>
      <c r="C811" s="57"/>
      <c r="D811" s="185"/>
      <c r="E811" s="215"/>
      <c r="F811" s="215"/>
      <c r="G811" s="215"/>
      <c r="H811" s="185"/>
      <c r="I811" s="215"/>
      <c r="J811" s="185"/>
      <c r="K811" s="185"/>
      <c r="L811" s="185"/>
      <c r="M811" s="185"/>
    </row>
    <row r="812" ht="15.75" customHeight="1">
      <c r="A812" s="213"/>
      <c r="B812" s="214"/>
      <c r="C812" s="57"/>
      <c r="D812" s="185"/>
      <c r="E812" s="215"/>
      <c r="F812" s="215"/>
      <c r="G812" s="215"/>
      <c r="H812" s="185"/>
      <c r="I812" s="215"/>
      <c r="J812" s="185"/>
      <c r="K812" s="185"/>
      <c r="L812" s="185"/>
      <c r="M812" s="185"/>
    </row>
    <row r="813" ht="15.75" customHeight="1">
      <c r="A813" s="213"/>
      <c r="B813" s="214"/>
      <c r="C813" s="57"/>
      <c r="D813" s="185"/>
      <c r="E813" s="215"/>
      <c r="F813" s="215"/>
      <c r="G813" s="215"/>
      <c r="H813" s="185"/>
      <c r="I813" s="215"/>
      <c r="J813" s="185"/>
      <c r="K813" s="185"/>
      <c r="L813" s="185"/>
      <c r="M813" s="185"/>
    </row>
    <row r="814" ht="15.75" customHeight="1">
      <c r="A814" s="213"/>
      <c r="B814" s="214"/>
      <c r="C814" s="57"/>
      <c r="D814" s="185"/>
      <c r="E814" s="215"/>
      <c r="F814" s="215"/>
      <c r="G814" s="215"/>
      <c r="H814" s="185"/>
      <c r="I814" s="215"/>
      <c r="J814" s="185"/>
      <c r="K814" s="185"/>
      <c r="L814" s="185"/>
      <c r="M814" s="185"/>
    </row>
    <row r="815" ht="15.75" customHeight="1">
      <c r="A815" s="213"/>
      <c r="B815" s="214"/>
      <c r="C815" s="57"/>
      <c r="D815" s="185"/>
      <c r="E815" s="215"/>
      <c r="F815" s="215"/>
      <c r="G815" s="215"/>
      <c r="H815" s="185"/>
      <c r="I815" s="215"/>
      <c r="J815" s="185"/>
      <c r="K815" s="185"/>
      <c r="L815" s="185"/>
      <c r="M815" s="185"/>
    </row>
    <row r="816" ht="15.75" customHeight="1">
      <c r="A816" s="213"/>
      <c r="B816" s="214"/>
      <c r="C816" s="57"/>
      <c r="D816" s="185"/>
      <c r="E816" s="215"/>
      <c r="F816" s="215"/>
      <c r="G816" s="215"/>
      <c r="H816" s="185"/>
      <c r="I816" s="215"/>
      <c r="J816" s="185"/>
      <c r="K816" s="185"/>
      <c r="L816" s="185"/>
      <c r="M816" s="185"/>
    </row>
    <row r="817" ht="15.75" customHeight="1">
      <c r="A817" s="213"/>
      <c r="B817" s="214"/>
      <c r="C817" s="57"/>
      <c r="D817" s="185"/>
      <c r="E817" s="215"/>
      <c r="F817" s="215"/>
      <c r="G817" s="215"/>
      <c r="H817" s="185"/>
      <c r="I817" s="215"/>
      <c r="J817" s="185"/>
      <c r="K817" s="185"/>
      <c r="L817" s="185"/>
      <c r="M817" s="185"/>
    </row>
    <row r="818" ht="15.75" customHeight="1">
      <c r="A818" s="213"/>
      <c r="B818" s="214"/>
      <c r="C818" s="57"/>
      <c r="D818" s="185"/>
      <c r="E818" s="215"/>
      <c r="F818" s="215"/>
      <c r="G818" s="215"/>
      <c r="H818" s="185"/>
      <c r="I818" s="215"/>
      <c r="J818" s="185"/>
      <c r="K818" s="185"/>
      <c r="L818" s="185"/>
      <c r="M818" s="185"/>
    </row>
    <row r="819" ht="15.75" customHeight="1">
      <c r="A819" s="213"/>
      <c r="B819" s="214"/>
      <c r="C819" s="57"/>
      <c r="D819" s="185"/>
      <c r="E819" s="215"/>
      <c r="F819" s="215"/>
      <c r="G819" s="215"/>
      <c r="H819" s="185"/>
      <c r="I819" s="215"/>
      <c r="J819" s="185"/>
      <c r="K819" s="185"/>
      <c r="L819" s="185"/>
      <c r="M819" s="185"/>
    </row>
    <row r="820" ht="15.75" customHeight="1">
      <c r="A820" s="213"/>
      <c r="B820" s="214"/>
      <c r="C820" s="57"/>
      <c r="D820" s="185"/>
      <c r="E820" s="215"/>
      <c r="F820" s="215"/>
      <c r="G820" s="215"/>
      <c r="H820" s="185"/>
      <c r="I820" s="215"/>
      <c r="J820" s="185"/>
      <c r="K820" s="185"/>
      <c r="L820" s="185"/>
      <c r="M820" s="185"/>
    </row>
    <row r="821" ht="15.75" customHeight="1">
      <c r="A821" s="213"/>
      <c r="B821" s="214"/>
      <c r="C821" s="57"/>
      <c r="D821" s="185"/>
      <c r="E821" s="215"/>
      <c r="F821" s="215"/>
      <c r="G821" s="215"/>
      <c r="H821" s="185"/>
      <c r="I821" s="215"/>
      <c r="J821" s="185"/>
      <c r="K821" s="185"/>
      <c r="L821" s="185"/>
      <c r="M821" s="185"/>
    </row>
    <row r="822" ht="15.75" customHeight="1">
      <c r="A822" s="213"/>
      <c r="B822" s="214"/>
      <c r="C822" s="57"/>
      <c r="D822" s="185"/>
      <c r="E822" s="215"/>
      <c r="F822" s="215"/>
      <c r="G822" s="215"/>
      <c r="H822" s="185"/>
      <c r="I822" s="215"/>
      <c r="J822" s="185"/>
      <c r="K822" s="185"/>
      <c r="L822" s="185"/>
      <c r="M822" s="185"/>
    </row>
    <row r="823" ht="15.75" customHeight="1">
      <c r="A823" s="213"/>
      <c r="B823" s="214"/>
      <c r="C823" s="57"/>
      <c r="D823" s="185"/>
      <c r="E823" s="215"/>
      <c r="F823" s="215"/>
      <c r="G823" s="215"/>
      <c r="H823" s="185"/>
      <c r="I823" s="215"/>
      <c r="J823" s="185"/>
      <c r="K823" s="185"/>
      <c r="L823" s="185"/>
      <c r="M823" s="185"/>
    </row>
    <row r="824" ht="15.75" customHeight="1">
      <c r="A824" s="213"/>
      <c r="B824" s="214"/>
      <c r="C824" s="57"/>
      <c r="D824" s="185"/>
      <c r="E824" s="215"/>
      <c r="F824" s="215"/>
      <c r="G824" s="215"/>
      <c r="H824" s="185"/>
      <c r="I824" s="215"/>
      <c r="J824" s="185"/>
      <c r="K824" s="185"/>
      <c r="L824" s="185"/>
      <c r="M824" s="185"/>
    </row>
    <row r="825" ht="15.75" customHeight="1">
      <c r="A825" s="213"/>
      <c r="B825" s="214"/>
      <c r="C825" s="57"/>
      <c r="D825" s="185"/>
      <c r="E825" s="215"/>
      <c r="F825" s="215"/>
      <c r="G825" s="215"/>
      <c r="H825" s="185"/>
      <c r="I825" s="215"/>
      <c r="J825" s="185"/>
      <c r="K825" s="185"/>
      <c r="L825" s="185"/>
      <c r="M825" s="185"/>
    </row>
    <row r="826" ht="15.75" customHeight="1">
      <c r="A826" s="213"/>
      <c r="B826" s="214"/>
      <c r="C826" s="57"/>
      <c r="D826" s="185"/>
      <c r="E826" s="215"/>
      <c r="F826" s="215"/>
      <c r="G826" s="215"/>
      <c r="H826" s="185"/>
      <c r="I826" s="215"/>
      <c r="J826" s="185"/>
      <c r="K826" s="185"/>
      <c r="L826" s="185"/>
      <c r="M826" s="185"/>
    </row>
    <row r="827" ht="15.75" customHeight="1">
      <c r="A827" s="213"/>
      <c r="B827" s="214"/>
      <c r="C827" s="57"/>
      <c r="D827" s="185"/>
      <c r="E827" s="215"/>
      <c r="F827" s="215"/>
      <c r="G827" s="215"/>
      <c r="H827" s="185"/>
      <c r="I827" s="215"/>
      <c r="J827" s="185"/>
      <c r="K827" s="185"/>
      <c r="L827" s="185"/>
      <c r="M827" s="185"/>
    </row>
    <row r="828" ht="15.75" customHeight="1">
      <c r="A828" s="213"/>
      <c r="B828" s="214"/>
      <c r="C828" s="57"/>
      <c r="D828" s="185"/>
      <c r="E828" s="215"/>
      <c r="F828" s="215"/>
      <c r="G828" s="215"/>
      <c r="H828" s="185"/>
      <c r="I828" s="215"/>
      <c r="J828" s="185"/>
      <c r="K828" s="185"/>
      <c r="L828" s="185"/>
      <c r="M828" s="185"/>
    </row>
    <row r="829" ht="15.75" customHeight="1">
      <c r="A829" s="213"/>
      <c r="B829" s="214"/>
      <c r="C829" s="57"/>
      <c r="D829" s="185"/>
      <c r="E829" s="215"/>
      <c r="F829" s="215"/>
      <c r="G829" s="215"/>
      <c r="H829" s="185"/>
      <c r="I829" s="215"/>
      <c r="J829" s="185"/>
      <c r="K829" s="185"/>
      <c r="L829" s="185"/>
      <c r="M829" s="185"/>
    </row>
    <row r="830" ht="15.75" customHeight="1">
      <c r="A830" s="213"/>
      <c r="B830" s="214"/>
      <c r="C830" s="57"/>
      <c r="D830" s="185"/>
      <c r="E830" s="215"/>
      <c r="F830" s="215"/>
      <c r="G830" s="215"/>
      <c r="H830" s="185"/>
      <c r="I830" s="215"/>
      <c r="J830" s="185"/>
      <c r="K830" s="185"/>
      <c r="L830" s="185"/>
      <c r="M830" s="185"/>
    </row>
    <row r="831" ht="15.75" customHeight="1">
      <c r="A831" s="213"/>
      <c r="B831" s="214"/>
      <c r="C831" s="57"/>
      <c r="D831" s="185"/>
      <c r="E831" s="215"/>
      <c r="F831" s="215"/>
      <c r="G831" s="215"/>
      <c r="H831" s="185"/>
      <c r="I831" s="215"/>
      <c r="J831" s="185"/>
      <c r="K831" s="185"/>
      <c r="L831" s="185"/>
      <c r="M831" s="185"/>
    </row>
    <row r="832" ht="15.75" customHeight="1">
      <c r="A832" s="213"/>
      <c r="B832" s="214"/>
      <c r="C832" s="57"/>
      <c r="D832" s="185"/>
      <c r="E832" s="215"/>
      <c r="F832" s="215"/>
      <c r="G832" s="215"/>
      <c r="H832" s="185"/>
      <c r="I832" s="215"/>
      <c r="J832" s="185"/>
      <c r="K832" s="185"/>
      <c r="L832" s="185"/>
      <c r="M832" s="185"/>
    </row>
    <row r="833" ht="15.75" customHeight="1">
      <c r="A833" s="213"/>
      <c r="B833" s="214"/>
      <c r="C833" s="57"/>
      <c r="D833" s="185"/>
      <c r="E833" s="215"/>
      <c r="F833" s="215"/>
      <c r="G833" s="215"/>
      <c r="H833" s="185"/>
      <c r="I833" s="215"/>
      <c r="J833" s="185"/>
      <c r="K833" s="185"/>
      <c r="L833" s="185"/>
      <c r="M833" s="185"/>
    </row>
    <row r="834" ht="15.75" customHeight="1">
      <c r="A834" s="213"/>
      <c r="B834" s="214"/>
      <c r="C834" s="57"/>
      <c r="D834" s="185"/>
      <c r="E834" s="215"/>
      <c r="F834" s="215"/>
      <c r="G834" s="215"/>
      <c r="H834" s="185"/>
      <c r="I834" s="215"/>
      <c r="J834" s="185"/>
      <c r="K834" s="185"/>
      <c r="L834" s="185"/>
      <c r="M834" s="185"/>
    </row>
    <row r="835" ht="15.75" customHeight="1">
      <c r="A835" s="213"/>
      <c r="B835" s="214"/>
      <c r="C835" s="57"/>
      <c r="D835" s="185"/>
      <c r="E835" s="215"/>
      <c r="F835" s="215"/>
      <c r="G835" s="215"/>
      <c r="H835" s="185"/>
      <c r="I835" s="215"/>
      <c r="J835" s="185"/>
      <c r="K835" s="185"/>
      <c r="L835" s="185"/>
      <c r="M835" s="185"/>
    </row>
    <row r="836" ht="15.75" customHeight="1">
      <c r="A836" s="213"/>
      <c r="B836" s="214"/>
      <c r="C836" s="57"/>
      <c r="D836" s="185"/>
      <c r="E836" s="215"/>
      <c r="F836" s="215"/>
      <c r="G836" s="215"/>
      <c r="H836" s="185"/>
      <c r="I836" s="215"/>
      <c r="J836" s="185"/>
      <c r="K836" s="185"/>
      <c r="L836" s="185"/>
      <c r="M836" s="185"/>
    </row>
    <row r="837" ht="15.75" customHeight="1">
      <c r="A837" s="213"/>
      <c r="B837" s="214"/>
      <c r="C837" s="57"/>
      <c r="D837" s="185"/>
      <c r="E837" s="215"/>
      <c r="F837" s="215"/>
      <c r="G837" s="215"/>
      <c r="H837" s="185"/>
      <c r="I837" s="215"/>
      <c r="J837" s="185"/>
      <c r="K837" s="185"/>
      <c r="L837" s="185"/>
      <c r="M837" s="185"/>
    </row>
    <row r="838" ht="15.75" customHeight="1">
      <c r="A838" s="213"/>
      <c r="B838" s="214"/>
      <c r="C838" s="57"/>
      <c r="D838" s="185"/>
      <c r="E838" s="215"/>
      <c r="F838" s="215"/>
      <c r="G838" s="215"/>
      <c r="H838" s="185"/>
      <c r="I838" s="215"/>
      <c r="J838" s="185"/>
      <c r="K838" s="185"/>
      <c r="L838" s="185"/>
      <c r="M838" s="185"/>
    </row>
    <row r="839" ht="15.75" customHeight="1">
      <c r="A839" s="213"/>
      <c r="B839" s="214"/>
      <c r="C839" s="57"/>
      <c r="D839" s="185"/>
      <c r="E839" s="215"/>
      <c r="F839" s="215"/>
      <c r="G839" s="215"/>
      <c r="H839" s="185"/>
      <c r="I839" s="215"/>
      <c r="J839" s="185"/>
      <c r="K839" s="185"/>
      <c r="L839" s="185"/>
      <c r="M839" s="185"/>
    </row>
    <row r="840" ht="15.75" customHeight="1">
      <c r="A840" s="213"/>
      <c r="B840" s="214"/>
      <c r="C840" s="57"/>
      <c r="D840" s="185"/>
      <c r="E840" s="215"/>
      <c r="F840" s="215"/>
      <c r="G840" s="215"/>
      <c r="H840" s="185"/>
      <c r="I840" s="215"/>
      <c r="J840" s="185"/>
      <c r="K840" s="185"/>
      <c r="L840" s="185"/>
      <c r="M840" s="185"/>
    </row>
    <row r="841" ht="15.75" customHeight="1">
      <c r="A841" s="213"/>
      <c r="B841" s="214"/>
      <c r="C841" s="57"/>
      <c r="D841" s="185"/>
      <c r="E841" s="215"/>
      <c r="F841" s="215"/>
      <c r="G841" s="215"/>
      <c r="H841" s="185"/>
      <c r="I841" s="215"/>
      <c r="J841" s="185"/>
      <c r="K841" s="185"/>
      <c r="L841" s="185"/>
      <c r="M841" s="185"/>
    </row>
    <row r="842" ht="15.75" customHeight="1">
      <c r="A842" s="213"/>
      <c r="B842" s="214"/>
      <c r="C842" s="57"/>
      <c r="D842" s="185"/>
      <c r="E842" s="215"/>
      <c r="F842" s="215"/>
      <c r="G842" s="215"/>
      <c r="H842" s="185"/>
      <c r="I842" s="215"/>
      <c r="J842" s="185"/>
      <c r="K842" s="185"/>
      <c r="L842" s="185"/>
      <c r="M842" s="185"/>
    </row>
    <row r="843" ht="15.75" customHeight="1">
      <c r="A843" s="213"/>
      <c r="B843" s="214"/>
      <c r="C843" s="57"/>
      <c r="D843" s="185"/>
      <c r="E843" s="215"/>
      <c r="F843" s="215"/>
      <c r="G843" s="215"/>
      <c r="H843" s="185"/>
      <c r="I843" s="215"/>
      <c r="J843" s="185"/>
      <c r="K843" s="185"/>
      <c r="L843" s="185"/>
      <c r="M843" s="185"/>
    </row>
    <row r="844" ht="15.75" customHeight="1">
      <c r="A844" s="213"/>
      <c r="B844" s="214"/>
      <c r="C844" s="57"/>
      <c r="D844" s="185"/>
      <c r="E844" s="215"/>
      <c r="F844" s="215"/>
      <c r="G844" s="215"/>
      <c r="H844" s="185"/>
      <c r="I844" s="215"/>
      <c r="J844" s="185"/>
      <c r="K844" s="185"/>
      <c r="L844" s="185"/>
      <c r="M844" s="185"/>
    </row>
    <row r="845" ht="15.75" customHeight="1">
      <c r="A845" s="213"/>
      <c r="B845" s="214"/>
      <c r="C845" s="57"/>
      <c r="D845" s="185"/>
      <c r="E845" s="215"/>
      <c r="F845" s="215"/>
      <c r="G845" s="215"/>
      <c r="H845" s="185"/>
      <c r="I845" s="215"/>
      <c r="J845" s="185"/>
      <c r="K845" s="185"/>
      <c r="L845" s="185"/>
      <c r="M845" s="185"/>
    </row>
    <row r="846" ht="15.75" customHeight="1">
      <c r="A846" s="213"/>
      <c r="B846" s="214"/>
      <c r="C846" s="57"/>
      <c r="D846" s="185"/>
      <c r="E846" s="215"/>
      <c r="F846" s="215"/>
      <c r="G846" s="215"/>
      <c r="H846" s="185"/>
      <c r="I846" s="215"/>
      <c r="J846" s="185"/>
      <c r="K846" s="185"/>
      <c r="L846" s="185"/>
      <c r="M846" s="185"/>
    </row>
    <row r="847" ht="15.75" customHeight="1">
      <c r="A847" s="213"/>
      <c r="B847" s="214"/>
      <c r="C847" s="57"/>
      <c r="D847" s="185"/>
      <c r="E847" s="215"/>
      <c r="F847" s="215"/>
      <c r="G847" s="215"/>
      <c r="H847" s="185"/>
      <c r="I847" s="215"/>
      <c r="J847" s="185"/>
      <c r="K847" s="185"/>
      <c r="L847" s="185"/>
      <c r="M847" s="185"/>
    </row>
    <row r="848" ht="15.75" customHeight="1">
      <c r="A848" s="213"/>
      <c r="B848" s="214"/>
      <c r="C848" s="57"/>
      <c r="D848" s="185"/>
      <c r="E848" s="215"/>
      <c r="F848" s="215"/>
      <c r="G848" s="215"/>
      <c r="H848" s="185"/>
      <c r="I848" s="215"/>
      <c r="J848" s="185"/>
      <c r="K848" s="185"/>
      <c r="L848" s="185"/>
      <c r="M848" s="185"/>
    </row>
    <row r="849" ht="15.75" customHeight="1">
      <c r="A849" s="213"/>
      <c r="B849" s="214"/>
      <c r="C849" s="57"/>
      <c r="D849" s="185"/>
      <c r="E849" s="215"/>
      <c r="F849" s="215"/>
      <c r="G849" s="215"/>
      <c r="H849" s="185"/>
      <c r="I849" s="215"/>
      <c r="J849" s="185"/>
      <c r="K849" s="185"/>
      <c r="L849" s="185"/>
      <c r="M849" s="185"/>
    </row>
    <row r="850" ht="15.75" customHeight="1">
      <c r="A850" s="213"/>
      <c r="B850" s="214"/>
      <c r="C850" s="57"/>
      <c r="D850" s="185"/>
      <c r="E850" s="215"/>
      <c r="F850" s="215"/>
      <c r="G850" s="215"/>
      <c r="H850" s="185"/>
      <c r="I850" s="215"/>
      <c r="J850" s="185"/>
      <c r="K850" s="185"/>
      <c r="L850" s="185"/>
      <c r="M850" s="185"/>
    </row>
    <row r="851" ht="15.75" customHeight="1">
      <c r="A851" s="213"/>
      <c r="B851" s="214"/>
      <c r="C851" s="57"/>
      <c r="D851" s="185"/>
      <c r="E851" s="215"/>
      <c r="F851" s="215"/>
      <c r="G851" s="215"/>
      <c r="H851" s="185"/>
      <c r="I851" s="215"/>
      <c r="J851" s="185"/>
      <c r="K851" s="185"/>
      <c r="L851" s="185"/>
      <c r="M851" s="185"/>
    </row>
    <row r="852" ht="15.75" customHeight="1">
      <c r="A852" s="213"/>
      <c r="B852" s="214"/>
      <c r="C852" s="57"/>
      <c r="D852" s="185"/>
      <c r="E852" s="215"/>
      <c r="F852" s="215"/>
      <c r="G852" s="215"/>
      <c r="H852" s="185"/>
      <c r="I852" s="215"/>
      <c r="J852" s="185"/>
      <c r="K852" s="185"/>
      <c r="L852" s="185"/>
      <c r="M852" s="185"/>
    </row>
    <row r="853" ht="15.75" customHeight="1">
      <c r="A853" s="213"/>
      <c r="B853" s="214"/>
      <c r="C853" s="57"/>
      <c r="D853" s="185"/>
      <c r="E853" s="215"/>
      <c r="F853" s="215"/>
      <c r="G853" s="215"/>
      <c r="H853" s="185"/>
      <c r="I853" s="215"/>
      <c r="J853" s="185"/>
      <c r="K853" s="185"/>
      <c r="L853" s="185"/>
      <c r="M853" s="185"/>
    </row>
    <row r="854" ht="15.75" customHeight="1">
      <c r="A854" s="213"/>
      <c r="B854" s="214"/>
      <c r="C854" s="57"/>
      <c r="D854" s="185"/>
      <c r="E854" s="215"/>
      <c r="F854" s="215"/>
      <c r="G854" s="215"/>
      <c r="H854" s="185"/>
      <c r="I854" s="215"/>
      <c r="J854" s="185"/>
      <c r="K854" s="185"/>
      <c r="L854" s="185"/>
      <c r="M854" s="185"/>
    </row>
    <row r="855" ht="15.75" customHeight="1">
      <c r="A855" s="213"/>
      <c r="B855" s="214"/>
      <c r="C855" s="57"/>
      <c r="D855" s="185"/>
      <c r="E855" s="215"/>
      <c r="F855" s="215"/>
      <c r="G855" s="215"/>
      <c r="H855" s="185"/>
      <c r="I855" s="215"/>
      <c r="J855" s="185"/>
      <c r="K855" s="185"/>
      <c r="L855" s="185"/>
      <c r="M855" s="185"/>
    </row>
    <row r="856" ht="15.75" customHeight="1">
      <c r="A856" s="213"/>
      <c r="B856" s="214"/>
      <c r="C856" s="57"/>
      <c r="D856" s="185"/>
      <c r="E856" s="215"/>
      <c r="F856" s="215"/>
      <c r="G856" s="215"/>
      <c r="H856" s="185"/>
      <c r="I856" s="215"/>
      <c r="J856" s="185"/>
      <c r="K856" s="185"/>
      <c r="L856" s="185"/>
      <c r="M856" s="185"/>
    </row>
    <row r="857" ht="15.75" customHeight="1">
      <c r="A857" s="213"/>
      <c r="B857" s="214"/>
      <c r="C857" s="57"/>
      <c r="D857" s="185"/>
      <c r="E857" s="215"/>
      <c r="F857" s="215"/>
      <c r="G857" s="215"/>
      <c r="H857" s="185"/>
      <c r="I857" s="215"/>
      <c r="J857" s="185"/>
      <c r="K857" s="185"/>
      <c r="L857" s="185"/>
      <c r="M857" s="185"/>
    </row>
    <row r="858" ht="15.75" customHeight="1">
      <c r="A858" s="213"/>
      <c r="B858" s="214"/>
      <c r="C858" s="57"/>
      <c r="D858" s="185"/>
      <c r="E858" s="215"/>
      <c r="F858" s="215"/>
      <c r="G858" s="215"/>
      <c r="H858" s="185"/>
      <c r="I858" s="215"/>
      <c r="J858" s="185"/>
      <c r="K858" s="185"/>
      <c r="L858" s="185"/>
      <c r="M858" s="185"/>
    </row>
    <row r="859" ht="15.75" customHeight="1">
      <c r="A859" s="213"/>
      <c r="B859" s="214"/>
      <c r="C859" s="57"/>
      <c r="D859" s="185"/>
      <c r="E859" s="215"/>
      <c r="F859" s="215"/>
      <c r="G859" s="215"/>
      <c r="H859" s="185"/>
      <c r="I859" s="215"/>
      <c r="J859" s="185"/>
      <c r="K859" s="185"/>
      <c r="L859" s="185"/>
      <c r="M859" s="185"/>
    </row>
    <row r="860" ht="15.75" customHeight="1">
      <c r="A860" s="213"/>
      <c r="B860" s="214"/>
      <c r="C860" s="57"/>
      <c r="D860" s="185"/>
      <c r="E860" s="215"/>
      <c r="F860" s="215"/>
      <c r="G860" s="215"/>
      <c r="H860" s="185"/>
      <c r="I860" s="215"/>
      <c r="J860" s="185"/>
      <c r="K860" s="185"/>
      <c r="L860" s="185"/>
      <c r="M860" s="185"/>
    </row>
    <row r="861" ht="15.75" customHeight="1">
      <c r="A861" s="213"/>
      <c r="B861" s="214"/>
      <c r="C861" s="57"/>
      <c r="D861" s="185"/>
      <c r="E861" s="215"/>
      <c r="F861" s="215"/>
      <c r="G861" s="215"/>
      <c r="H861" s="185"/>
      <c r="I861" s="215"/>
      <c r="J861" s="185"/>
      <c r="K861" s="185"/>
      <c r="L861" s="185"/>
      <c r="M861" s="185"/>
    </row>
    <row r="862" ht="15.75" customHeight="1">
      <c r="A862" s="213"/>
      <c r="B862" s="214"/>
      <c r="C862" s="57"/>
      <c r="D862" s="185"/>
      <c r="E862" s="215"/>
      <c r="F862" s="215"/>
      <c r="G862" s="215"/>
      <c r="H862" s="185"/>
      <c r="I862" s="215"/>
      <c r="J862" s="185"/>
      <c r="K862" s="185"/>
      <c r="L862" s="185"/>
      <c r="M862" s="185"/>
    </row>
    <row r="863" ht="15.75" customHeight="1">
      <c r="A863" s="213"/>
      <c r="B863" s="214"/>
      <c r="C863" s="57"/>
      <c r="D863" s="185"/>
      <c r="E863" s="215"/>
      <c r="F863" s="215"/>
      <c r="G863" s="215"/>
      <c r="H863" s="185"/>
      <c r="I863" s="215"/>
      <c r="J863" s="185"/>
      <c r="K863" s="185"/>
      <c r="L863" s="185"/>
      <c r="M863" s="185"/>
    </row>
    <row r="864" ht="15.75" customHeight="1">
      <c r="A864" s="213"/>
      <c r="B864" s="214"/>
      <c r="C864" s="57"/>
      <c r="D864" s="185"/>
      <c r="E864" s="215"/>
      <c r="F864" s="215"/>
      <c r="G864" s="215"/>
      <c r="H864" s="185"/>
      <c r="I864" s="215"/>
      <c r="J864" s="185"/>
      <c r="K864" s="185"/>
      <c r="L864" s="185"/>
      <c r="M864" s="185"/>
    </row>
    <row r="865" ht="15.75" customHeight="1">
      <c r="A865" s="213"/>
      <c r="B865" s="214"/>
      <c r="C865" s="57"/>
      <c r="D865" s="185"/>
      <c r="E865" s="215"/>
      <c r="F865" s="215"/>
      <c r="G865" s="215"/>
      <c r="H865" s="185"/>
      <c r="I865" s="215"/>
      <c r="J865" s="185"/>
      <c r="K865" s="185"/>
      <c r="L865" s="185"/>
      <c r="M865" s="185"/>
    </row>
    <row r="866" ht="15.75" customHeight="1">
      <c r="A866" s="213"/>
      <c r="B866" s="214"/>
      <c r="C866" s="57"/>
      <c r="D866" s="185"/>
      <c r="E866" s="215"/>
      <c r="F866" s="215"/>
      <c r="G866" s="215"/>
      <c r="H866" s="185"/>
      <c r="I866" s="215"/>
      <c r="J866" s="185"/>
      <c r="K866" s="185"/>
      <c r="L866" s="185"/>
      <c r="M866" s="185"/>
    </row>
    <row r="867" ht="15.75" customHeight="1">
      <c r="A867" s="213"/>
      <c r="B867" s="214"/>
      <c r="C867" s="57"/>
      <c r="D867" s="185"/>
      <c r="E867" s="215"/>
      <c r="F867" s="215"/>
      <c r="G867" s="215"/>
      <c r="H867" s="185"/>
      <c r="I867" s="215"/>
      <c r="J867" s="185"/>
      <c r="K867" s="185"/>
      <c r="L867" s="185"/>
      <c r="M867" s="185"/>
    </row>
    <row r="868" ht="15.75" customHeight="1">
      <c r="A868" s="213"/>
      <c r="B868" s="214"/>
      <c r="C868" s="57"/>
      <c r="D868" s="185"/>
      <c r="E868" s="215"/>
      <c r="F868" s="215"/>
      <c r="G868" s="215"/>
      <c r="H868" s="185"/>
      <c r="I868" s="215"/>
      <c r="J868" s="185"/>
      <c r="K868" s="185"/>
      <c r="L868" s="185"/>
      <c r="M868" s="185"/>
    </row>
    <row r="869" ht="15.75" customHeight="1">
      <c r="A869" s="213"/>
      <c r="B869" s="214"/>
      <c r="C869" s="57"/>
      <c r="D869" s="185"/>
      <c r="E869" s="215"/>
      <c r="F869" s="215"/>
      <c r="G869" s="215"/>
      <c r="H869" s="185"/>
      <c r="I869" s="215"/>
      <c r="J869" s="185"/>
      <c r="K869" s="185"/>
      <c r="L869" s="185"/>
      <c r="M869" s="185"/>
    </row>
    <row r="870" ht="15.75" customHeight="1">
      <c r="A870" s="213"/>
      <c r="B870" s="214"/>
      <c r="C870" s="57"/>
      <c r="D870" s="185"/>
      <c r="E870" s="215"/>
      <c r="F870" s="215"/>
      <c r="G870" s="215"/>
      <c r="H870" s="185"/>
      <c r="I870" s="215"/>
      <c r="J870" s="185"/>
      <c r="K870" s="185"/>
      <c r="L870" s="185"/>
      <c r="M870" s="185"/>
    </row>
    <row r="871" ht="15.75" customHeight="1">
      <c r="A871" s="213"/>
      <c r="B871" s="214"/>
      <c r="C871" s="57"/>
      <c r="D871" s="185"/>
      <c r="E871" s="215"/>
      <c r="F871" s="215"/>
      <c r="G871" s="215"/>
      <c r="H871" s="185"/>
      <c r="I871" s="215"/>
      <c r="J871" s="185"/>
      <c r="K871" s="185"/>
      <c r="L871" s="185"/>
      <c r="M871" s="185"/>
    </row>
    <row r="872" ht="15.75" customHeight="1">
      <c r="A872" s="213"/>
      <c r="B872" s="214"/>
      <c r="C872" s="57"/>
      <c r="D872" s="185"/>
      <c r="E872" s="215"/>
      <c r="F872" s="215"/>
      <c r="G872" s="215"/>
      <c r="H872" s="185"/>
      <c r="I872" s="215"/>
      <c r="J872" s="185"/>
      <c r="K872" s="185"/>
      <c r="L872" s="185"/>
      <c r="M872" s="185"/>
    </row>
    <row r="873" ht="15.75" customHeight="1">
      <c r="A873" s="213"/>
      <c r="B873" s="214"/>
      <c r="C873" s="57"/>
      <c r="D873" s="185"/>
      <c r="E873" s="215"/>
      <c r="F873" s="215"/>
      <c r="G873" s="215"/>
      <c r="H873" s="185"/>
      <c r="I873" s="215"/>
      <c r="J873" s="185"/>
      <c r="K873" s="185"/>
      <c r="L873" s="185"/>
      <c r="M873" s="185"/>
    </row>
    <row r="874" ht="15.75" customHeight="1">
      <c r="A874" s="213"/>
      <c r="B874" s="214"/>
      <c r="C874" s="57"/>
      <c r="D874" s="185"/>
      <c r="E874" s="215"/>
      <c r="F874" s="215"/>
      <c r="G874" s="215"/>
      <c r="H874" s="185"/>
      <c r="I874" s="215"/>
      <c r="J874" s="185"/>
      <c r="K874" s="185"/>
      <c r="L874" s="185"/>
      <c r="M874" s="185"/>
    </row>
    <row r="875" ht="15.75" customHeight="1">
      <c r="A875" s="213"/>
      <c r="B875" s="214"/>
      <c r="C875" s="57"/>
      <c r="D875" s="185"/>
      <c r="E875" s="215"/>
      <c r="F875" s="215"/>
      <c r="G875" s="215"/>
      <c r="H875" s="185"/>
      <c r="I875" s="215"/>
      <c r="J875" s="185"/>
      <c r="K875" s="185"/>
      <c r="L875" s="185"/>
      <c r="M875" s="185"/>
    </row>
    <row r="876" ht="15.75" customHeight="1">
      <c r="A876" s="213"/>
      <c r="B876" s="214"/>
      <c r="C876" s="57"/>
      <c r="D876" s="185"/>
      <c r="E876" s="215"/>
      <c r="F876" s="215"/>
      <c r="G876" s="215"/>
      <c r="H876" s="185"/>
      <c r="I876" s="215"/>
      <c r="J876" s="185"/>
      <c r="K876" s="185"/>
      <c r="L876" s="185"/>
      <c r="M876" s="185"/>
    </row>
    <row r="877" ht="15.75" customHeight="1">
      <c r="A877" s="213"/>
      <c r="B877" s="214"/>
      <c r="C877" s="57"/>
      <c r="D877" s="185"/>
      <c r="E877" s="215"/>
      <c r="F877" s="215"/>
      <c r="G877" s="215"/>
      <c r="H877" s="185"/>
      <c r="I877" s="215"/>
      <c r="J877" s="185"/>
      <c r="K877" s="185"/>
      <c r="L877" s="185"/>
      <c r="M877" s="185"/>
    </row>
    <row r="878" ht="15.75" customHeight="1">
      <c r="A878" s="213"/>
      <c r="B878" s="214"/>
      <c r="C878" s="57"/>
      <c r="D878" s="185"/>
      <c r="E878" s="215"/>
      <c r="F878" s="215"/>
      <c r="G878" s="215"/>
      <c r="H878" s="185"/>
      <c r="I878" s="215"/>
      <c r="J878" s="185"/>
      <c r="K878" s="185"/>
      <c r="L878" s="185"/>
      <c r="M878" s="185"/>
    </row>
    <row r="879" ht="15.75" customHeight="1">
      <c r="A879" s="213"/>
      <c r="B879" s="214"/>
      <c r="C879" s="57"/>
      <c r="D879" s="185"/>
      <c r="E879" s="215"/>
      <c r="F879" s="215"/>
      <c r="G879" s="215"/>
      <c r="H879" s="185"/>
      <c r="I879" s="215"/>
      <c r="J879" s="185"/>
      <c r="K879" s="185"/>
      <c r="L879" s="185"/>
      <c r="M879" s="185"/>
    </row>
    <row r="880" ht="15.75" customHeight="1">
      <c r="A880" s="213"/>
      <c r="B880" s="214"/>
      <c r="C880" s="57"/>
      <c r="D880" s="185"/>
      <c r="E880" s="215"/>
      <c r="F880" s="215"/>
      <c r="G880" s="215"/>
      <c r="H880" s="185"/>
      <c r="I880" s="215"/>
      <c r="J880" s="185"/>
      <c r="K880" s="185"/>
      <c r="L880" s="185"/>
      <c r="M880" s="185"/>
    </row>
    <row r="881" ht="15.75" customHeight="1">
      <c r="A881" s="213"/>
      <c r="B881" s="214"/>
      <c r="C881" s="57"/>
      <c r="D881" s="185"/>
      <c r="E881" s="215"/>
      <c r="F881" s="215"/>
      <c r="G881" s="215"/>
      <c r="H881" s="185"/>
      <c r="I881" s="215"/>
      <c r="J881" s="185"/>
      <c r="K881" s="185"/>
      <c r="L881" s="185"/>
      <c r="M881" s="185"/>
    </row>
    <row r="882" ht="15.75" customHeight="1">
      <c r="A882" s="213"/>
      <c r="B882" s="214"/>
      <c r="C882" s="57"/>
      <c r="D882" s="185"/>
      <c r="E882" s="215"/>
      <c r="F882" s="215"/>
      <c r="G882" s="215"/>
      <c r="H882" s="185"/>
      <c r="I882" s="215"/>
      <c r="J882" s="185"/>
      <c r="K882" s="185"/>
      <c r="L882" s="185"/>
      <c r="M882" s="185"/>
    </row>
    <row r="883" ht="15.75" customHeight="1">
      <c r="A883" s="213"/>
      <c r="B883" s="214"/>
      <c r="C883" s="57"/>
      <c r="D883" s="185"/>
      <c r="E883" s="215"/>
      <c r="F883" s="215"/>
      <c r="G883" s="215"/>
      <c r="H883" s="185"/>
      <c r="I883" s="215"/>
      <c r="J883" s="185"/>
      <c r="K883" s="185"/>
      <c r="L883" s="185"/>
      <c r="M883" s="185"/>
    </row>
    <row r="884" ht="15.75" customHeight="1">
      <c r="A884" s="213"/>
      <c r="B884" s="214"/>
      <c r="C884" s="57"/>
      <c r="D884" s="185"/>
      <c r="E884" s="215"/>
      <c r="F884" s="215"/>
      <c r="G884" s="215"/>
      <c r="H884" s="185"/>
      <c r="I884" s="215"/>
      <c r="J884" s="185"/>
      <c r="K884" s="185"/>
      <c r="L884" s="185"/>
      <c r="M884" s="185"/>
    </row>
    <row r="885" ht="15.75" customHeight="1">
      <c r="A885" s="213"/>
      <c r="B885" s="214"/>
      <c r="C885" s="57"/>
      <c r="D885" s="185"/>
      <c r="E885" s="215"/>
      <c r="F885" s="215"/>
      <c r="G885" s="215"/>
      <c r="H885" s="185"/>
      <c r="I885" s="215"/>
      <c r="J885" s="185"/>
      <c r="K885" s="185"/>
      <c r="L885" s="185"/>
      <c r="M885" s="185"/>
    </row>
    <row r="886" ht="15.75" customHeight="1">
      <c r="A886" s="213"/>
      <c r="B886" s="214"/>
      <c r="C886" s="57"/>
      <c r="D886" s="185"/>
      <c r="E886" s="215"/>
      <c r="F886" s="215"/>
      <c r="G886" s="215"/>
      <c r="H886" s="185"/>
      <c r="I886" s="215"/>
      <c r="J886" s="185"/>
      <c r="K886" s="185"/>
      <c r="L886" s="185"/>
      <c r="M886" s="185"/>
    </row>
    <row r="887" ht="15.75" customHeight="1">
      <c r="A887" s="213"/>
      <c r="B887" s="214"/>
      <c r="C887" s="57"/>
      <c r="D887" s="185"/>
      <c r="E887" s="215"/>
      <c r="F887" s="215"/>
      <c r="G887" s="215"/>
      <c r="H887" s="185"/>
      <c r="I887" s="215"/>
      <c r="J887" s="185"/>
      <c r="K887" s="185"/>
      <c r="L887" s="185"/>
      <c r="M887" s="185"/>
    </row>
    <row r="888" ht="15.75" customHeight="1">
      <c r="A888" s="213"/>
      <c r="B888" s="214"/>
      <c r="C888" s="57"/>
      <c r="D888" s="185"/>
      <c r="E888" s="215"/>
      <c r="F888" s="215"/>
      <c r="G888" s="215"/>
      <c r="H888" s="185"/>
      <c r="I888" s="215"/>
      <c r="J888" s="185"/>
      <c r="K888" s="185"/>
      <c r="L888" s="185"/>
      <c r="M888" s="185"/>
    </row>
    <row r="889" ht="15.75" customHeight="1">
      <c r="A889" s="213"/>
      <c r="B889" s="214"/>
      <c r="C889" s="57"/>
      <c r="D889" s="185"/>
      <c r="E889" s="215"/>
      <c r="F889" s="215"/>
      <c r="G889" s="215"/>
      <c r="H889" s="185"/>
      <c r="I889" s="215"/>
      <c r="J889" s="185"/>
      <c r="K889" s="185"/>
      <c r="L889" s="185"/>
      <c r="M889" s="185"/>
    </row>
    <row r="890" ht="15.75" customHeight="1">
      <c r="A890" s="213"/>
      <c r="B890" s="214"/>
      <c r="C890" s="57"/>
      <c r="D890" s="185"/>
      <c r="E890" s="215"/>
      <c r="F890" s="215"/>
      <c r="G890" s="215"/>
      <c r="H890" s="185"/>
      <c r="I890" s="215"/>
      <c r="J890" s="185"/>
      <c r="K890" s="185"/>
      <c r="L890" s="185"/>
      <c r="M890" s="185"/>
    </row>
    <row r="891" ht="15.75" customHeight="1">
      <c r="A891" s="213"/>
      <c r="B891" s="214"/>
      <c r="C891" s="57"/>
      <c r="D891" s="185"/>
      <c r="E891" s="215"/>
      <c r="F891" s="215"/>
      <c r="G891" s="215"/>
      <c r="H891" s="185"/>
      <c r="I891" s="215"/>
      <c r="J891" s="185"/>
      <c r="K891" s="185"/>
      <c r="L891" s="185"/>
      <c r="M891" s="185"/>
    </row>
    <row r="892" ht="15.75" customHeight="1">
      <c r="A892" s="213"/>
      <c r="B892" s="214"/>
      <c r="C892" s="57"/>
      <c r="D892" s="185"/>
      <c r="E892" s="215"/>
      <c r="F892" s="215"/>
      <c r="G892" s="215"/>
      <c r="H892" s="185"/>
      <c r="I892" s="215"/>
      <c r="J892" s="185"/>
      <c r="K892" s="185"/>
      <c r="L892" s="185"/>
      <c r="M892" s="185"/>
    </row>
    <row r="893" ht="15.75" customHeight="1">
      <c r="A893" s="213"/>
      <c r="B893" s="214"/>
      <c r="C893" s="57"/>
      <c r="D893" s="185"/>
      <c r="E893" s="215"/>
      <c r="F893" s="215"/>
      <c r="G893" s="215"/>
      <c r="H893" s="185"/>
      <c r="I893" s="215"/>
      <c r="J893" s="185"/>
      <c r="K893" s="185"/>
      <c r="L893" s="185"/>
      <c r="M893" s="185"/>
    </row>
    <row r="894" ht="15.75" customHeight="1">
      <c r="A894" s="213"/>
      <c r="B894" s="214"/>
      <c r="C894" s="57"/>
      <c r="D894" s="185"/>
      <c r="E894" s="215"/>
      <c r="F894" s="215"/>
      <c r="G894" s="215"/>
      <c r="H894" s="185"/>
      <c r="I894" s="215"/>
      <c r="J894" s="185"/>
      <c r="K894" s="185"/>
      <c r="L894" s="185"/>
      <c r="M894" s="185"/>
    </row>
    <row r="895" ht="15.75" customHeight="1">
      <c r="A895" s="213"/>
      <c r="B895" s="214"/>
      <c r="C895" s="57"/>
      <c r="D895" s="185"/>
      <c r="E895" s="215"/>
      <c r="F895" s="215"/>
      <c r="G895" s="215"/>
      <c r="H895" s="185"/>
      <c r="I895" s="215"/>
      <c r="J895" s="185"/>
      <c r="K895" s="185"/>
      <c r="L895" s="185"/>
      <c r="M895" s="185"/>
    </row>
    <row r="896" ht="15.75" customHeight="1">
      <c r="A896" s="213"/>
      <c r="B896" s="214"/>
      <c r="C896" s="57"/>
      <c r="D896" s="185"/>
      <c r="E896" s="215"/>
      <c r="F896" s="215"/>
      <c r="G896" s="215"/>
      <c r="H896" s="185"/>
      <c r="I896" s="215"/>
      <c r="J896" s="185"/>
      <c r="K896" s="185"/>
      <c r="L896" s="185"/>
      <c r="M896" s="185"/>
    </row>
    <row r="897" ht="15.75" customHeight="1">
      <c r="A897" s="213"/>
      <c r="B897" s="214"/>
      <c r="C897" s="57"/>
      <c r="D897" s="185"/>
      <c r="E897" s="215"/>
      <c r="F897" s="215"/>
      <c r="G897" s="215"/>
      <c r="H897" s="185"/>
      <c r="I897" s="215"/>
      <c r="J897" s="185"/>
      <c r="K897" s="185"/>
      <c r="L897" s="185"/>
      <c r="M897" s="185"/>
    </row>
    <row r="898" ht="15.75" customHeight="1">
      <c r="A898" s="213"/>
      <c r="B898" s="214"/>
      <c r="C898" s="57"/>
      <c r="D898" s="185"/>
      <c r="E898" s="215"/>
      <c r="F898" s="215"/>
      <c r="G898" s="215"/>
      <c r="H898" s="185"/>
      <c r="I898" s="215"/>
      <c r="J898" s="185"/>
      <c r="K898" s="185"/>
      <c r="L898" s="185"/>
      <c r="M898" s="185"/>
    </row>
    <row r="899" ht="15.75" customHeight="1">
      <c r="A899" s="213"/>
      <c r="B899" s="214"/>
      <c r="C899" s="57"/>
      <c r="D899" s="185"/>
      <c r="E899" s="215"/>
      <c r="F899" s="215"/>
      <c r="G899" s="215"/>
      <c r="H899" s="185"/>
      <c r="I899" s="215"/>
      <c r="J899" s="185"/>
      <c r="K899" s="185"/>
      <c r="L899" s="185"/>
      <c r="M899" s="185"/>
    </row>
    <row r="900" ht="15.75" customHeight="1">
      <c r="A900" s="213"/>
      <c r="B900" s="214"/>
      <c r="C900" s="57"/>
      <c r="D900" s="185"/>
      <c r="E900" s="215"/>
      <c r="F900" s="215"/>
      <c r="G900" s="215"/>
      <c r="H900" s="185"/>
      <c r="I900" s="215"/>
      <c r="J900" s="185"/>
      <c r="K900" s="185"/>
      <c r="L900" s="185"/>
      <c r="M900" s="185"/>
    </row>
    <row r="901" ht="15.75" customHeight="1">
      <c r="A901" s="213"/>
      <c r="B901" s="214"/>
      <c r="C901" s="57"/>
      <c r="D901" s="185"/>
      <c r="E901" s="215"/>
      <c r="F901" s="215"/>
      <c r="G901" s="215"/>
      <c r="H901" s="185"/>
      <c r="I901" s="215"/>
      <c r="J901" s="185"/>
      <c r="K901" s="185"/>
      <c r="L901" s="185"/>
      <c r="M901" s="185"/>
    </row>
    <row r="902" ht="15.75" customHeight="1">
      <c r="A902" s="213"/>
      <c r="B902" s="214"/>
      <c r="C902" s="57"/>
      <c r="D902" s="185"/>
      <c r="E902" s="215"/>
      <c r="F902" s="215"/>
      <c r="G902" s="215"/>
      <c r="H902" s="185"/>
      <c r="I902" s="215"/>
      <c r="J902" s="185"/>
      <c r="K902" s="185"/>
      <c r="L902" s="185"/>
      <c r="M902" s="185"/>
    </row>
    <row r="903" ht="15.75" customHeight="1">
      <c r="A903" s="213"/>
      <c r="B903" s="214"/>
      <c r="C903" s="57"/>
      <c r="D903" s="185"/>
      <c r="E903" s="215"/>
      <c r="F903" s="215"/>
      <c r="G903" s="215"/>
      <c r="H903" s="185"/>
      <c r="I903" s="215"/>
      <c r="J903" s="185"/>
      <c r="K903" s="185"/>
      <c r="L903" s="185"/>
      <c r="M903" s="185"/>
    </row>
    <row r="904" ht="15.75" customHeight="1">
      <c r="A904" s="213"/>
      <c r="B904" s="214"/>
      <c r="C904" s="57"/>
      <c r="D904" s="185"/>
      <c r="E904" s="215"/>
      <c r="F904" s="215"/>
      <c r="G904" s="215"/>
      <c r="H904" s="185"/>
      <c r="I904" s="215"/>
      <c r="J904" s="185"/>
      <c r="K904" s="185"/>
      <c r="L904" s="185"/>
      <c r="M904" s="185"/>
    </row>
    <row r="905" ht="15.75" customHeight="1">
      <c r="A905" s="213"/>
      <c r="B905" s="214"/>
      <c r="C905" s="57"/>
      <c r="D905" s="185"/>
      <c r="E905" s="215"/>
      <c r="F905" s="215"/>
      <c r="G905" s="215"/>
      <c r="H905" s="185"/>
      <c r="I905" s="215"/>
      <c r="J905" s="185"/>
      <c r="K905" s="185"/>
      <c r="L905" s="185"/>
      <c r="M905" s="185"/>
    </row>
    <row r="906" ht="15.75" customHeight="1">
      <c r="A906" s="213"/>
      <c r="B906" s="214"/>
      <c r="C906" s="57"/>
      <c r="D906" s="185"/>
      <c r="E906" s="215"/>
      <c r="F906" s="215"/>
      <c r="G906" s="215"/>
      <c r="H906" s="185"/>
      <c r="I906" s="215"/>
      <c r="J906" s="185"/>
      <c r="K906" s="185"/>
      <c r="L906" s="185"/>
      <c r="M906" s="185"/>
    </row>
    <row r="907" ht="15.75" customHeight="1">
      <c r="A907" s="213"/>
      <c r="B907" s="214"/>
      <c r="C907" s="57"/>
      <c r="D907" s="185"/>
      <c r="E907" s="215"/>
      <c r="F907" s="215"/>
      <c r="G907" s="215"/>
      <c r="H907" s="185"/>
      <c r="I907" s="215"/>
      <c r="J907" s="185"/>
      <c r="K907" s="185"/>
      <c r="L907" s="185"/>
      <c r="M907" s="185"/>
    </row>
    <row r="908" ht="15.75" customHeight="1">
      <c r="A908" s="213"/>
      <c r="B908" s="214"/>
      <c r="C908" s="57"/>
      <c r="D908" s="185"/>
      <c r="E908" s="215"/>
      <c r="F908" s="215"/>
      <c r="G908" s="215"/>
      <c r="H908" s="185"/>
      <c r="I908" s="215"/>
      <c r="J908" s="185"/>
      <c r="K908" s="185"/>
      <c r="L908" s="185"/>
      <c r="M908" s="185"/>
    </row>
    <row r="909" ht="15.75" customHeight="1">
      <c r="A909" s="213"/>
      <c r="B909" s="214"/>
      <c r="C909" s="57"/>
      <c r="D909" s="185"/>
      <c r="E909" s="215"/>
      <c r="F909" s="215"/>
      <c r="G909" s="215"/>
      <c r="H909" s="185"/>
      <c r="I909" s="215"/>
      <c r="J909" s="185"/>
      <c r="K909" s="185"/>
      <c r="L909" s="185"/>
      <c r="M909" s="185"/>
    </row>
    <row r="910" ht="15.75" customHeight="1">
      <c r="A910" s="213"/>
      <c r="B910" s="214"/>
      <c r="C910" s="57"/>
      <c r="D910" s="185"/>
      <c r="E910" s="215"/>
      <c r="F910" s="215"/>
      <c r="G910" s="215"/>
      <c r="H910" s="185"/>
      <c r="I910" s="215"/>
      <c r="J910" s="185"/>
      <c r="K910" s="185"/>
      <c r="L910" s="185"/>
      <c r="M910" s="185"/>
    </row>
    <row r="911" ht="15.75" customHeight="1">
      <c r="A911" s="213"/>
      <c r="B911" s="214"/>
      <c r="C911" s="57"/>
      <c r="D911" s="185"/>
      <c r="E911" s="215"/>
      <c r="F911" s="215"/>
      <c r="G911" s="215"/>
      <c r="H911" s="185"/>
      <c r="I911" s="215"/>
      <c r="J911" s="185"/>
      <c r="K911" s="185"/>
      <c r="L911" s="185"/>
      <c r="M911" s="185"/>
    </row>
    <row r="912" ht="15.75" customHeight="1">
      <c r="A912" s="213"/>
      <c r="B912" s="214"/>
      <c r="C912" s="57"/>
      <c r="D912" s="185"/>
      <c r="E912" s="215"/>
      <c r="F912" s="215"/>
      <c r="G912" s="215"/>
      <c r="H912" s="185"/>
      <c r="I912" s="215"/>
      <c r="J912" s="185"/>
      <c r="K912" s="185"/>
      <c r="L912" s="185"/>
      <c r="M912" s="185"/>
    </row>
    <row r="913" ht="15.75" customHeight="1">
      <c r="A913" s="213"/>
      <c r="B913" s="214"/>
      <c r="C913" s="57"/>
      <c r="D913" s="185"/>
      <c r="E913" s="215"/>
      <c r="F913" s="215"/>
      <c r="G913" s="215"/>
      <c r="H913" s="185"/>
      <c r="I913" s="215"/>
      <c r="J913" s="185"/>
      <c r="K913" s="185"/>
      <c r="L913" s="185"/>
      <c r="M913" s="185"/>
    </row>
    <row r="914" ht="15.75" customHeight="1">
      <c r="A914" s="213"/>
      <c r="B914" s="214"/>
      <c r="C914" s="57"/>
      <c r="D914" s="185"/>
      <c r="E914" s="215"/>
      <c r="F914" s="215"/>
      <c r="G914" s="215"/>
      <c r="H914" s="185"/>
      <c r="I914" s="215"/>
      <c r="J914" s="185"/>
      <c r="K914" s="185"/>
      <c r="L914" s="185"/>
      <c r="M914" s="185"/>
    </row>
    <row r="915" ht="15.75" customHeight="1">
      <c r="A915" s="213"/>
      <c r="B915" s="214"/>
      <c r="C915" s="57"/>
      <c r="D915" s="185"/>
      <c r="E915" s="215"/>
      <c r="F915" s="215"/>
      <c r="G915" s="215"/>
      <c r="H915" s="185"/>
      <c r="I915" s="215"/>
      <c r="J915" s="185"/>
      <c r="K915" s="185"/>
      <c r="L915" s="185"/>
      <c r="M915" s="185"/>
    </row>
    <row r="916" ht="15.75" customHeight="1">
      <c r="A916" s="213"/>
      <c r="B916" s="214"/>
      <c r="C916" s="57"/>
      <c r="D916" s="185"/>
      <c r="E916" s="215"/>
      <c r="F916" s="215"/>
      <c r="G916" s="215"/>
      <c r="H916" s="185"/>
      <c r="I916" s="215"/>
      <c r="J916" s="185"/>
      <c r="K916" s="185"/>
      <c r="L916" s="185"/>
      <c r="M916" s="185"/>
    </row>
    <row r="917" ht="15.75" customHeight="1">
      <c r="A917" s="213"/>
      <c r="B917" s="214"/>
      <c r="C917" s="57"/>
      <c r="D917" s="185"/>
      <c r="E917" s="215"/>
      <c r="F917" s="215"/>
      <c r="G917" s="215"/>
      <c r="H917" s="185"/>
      <c r="I917" s="215"/>
      <c r="J917" s="185"/>
      <c r="K917" s="185"/>
      <c r="L917" s="185"/>
      <c r="M917" s="185"/>
    </row>
    <row r="918" ht="15.75" customHeight="1">
      <c r="A918" s="213"/>
      <c r="B918" s="214"/>
      <c r="C918" s="57"/>
      <c r="D918" s="185"/>
      <c r="E918" s="215"/>
      <c r="F918" s="215"/>
      <c r="G918" s="215"/>
      <c r="H918" s="185"/>
      <c r="I918" s="215"/>
      <c r="J918" s="185"/>
      <c r="K918" s="185"/>
      <c r="L918" s="185"/>
      <c r="M918" s="185"/>
    </row>
    <row r="919" ht="15.75" customHeight="1">
      <c r="A919" s="213"/>
      <c r="B919" s="214"/>
      <c r="C919" s="57"/>
      <c r="D919" s="185"/>
      <c r="E919" s="215"/>
      <c r="F919" s="215"/>
      <c r="G919" s="215"/>
      <c r="H919" s="185"/>
      <c r="I919" s="215"/>
      <c r="J919" s="185"/>
      <c r="K919" s="185"/>
      <c r="L919" s="185"/>
      <c r="M919" s="185"/>
    </row>
    <row r="920" ht="15.75" customHeight="1">
      <c r="A920" s="213"/>
      <c r="B920" s="214"/>
      <c r="C920" s="57"/>
      <c r="D920" s="185"/>
      <c r="E920" s="215"/>
      <c r="F920" s="215"/>
      <c r="G920" s="215"/>
      <c r="H920" s="185"/>
      <c r="I920" s="215"/>
      <c r="J920" s="185"/>
      <c r="K920" s="185"/>
      <c r="L920" s="185"/>
      <c r="M920" s="185"/>
    </row>
    <row r="921" ht="15.75" customHeight="1">
      <c r="A921" s="213"/>
      <c r="B921" s="214"/>
      <c r="C921" s="57"/>
      <c r="D921" s="185"/>
      <c r="E921" s="215"/>
      <c r="F921" s="215"/>
      <c r="G921" s="215"/>
      <c r="H921" s="185"/>
      <c r="I921" s="215"/>
      <c r="J921" s="185"/>
      <c r="K921" s="185"/>
      <c r="L921" s="185"/>
      <c r="M921" s="185"/>
    </row>
    <row r="922" ht="15.75" customHeight="1">
      <c r="A922" s="213"/>
      <c r="B922" s="214"/>
      <c r="C922" s="57"/>
      <c r="D922" s="185"/>
      <c r="E922" s="215"/>
      <c r="F922" s="215"/>
      <c r="G922" s="215"/>
      <c r="H922" s="185"/>
      <c r="I922" s="215"/>
      <c r="J922" s="185"/>
      <c r="K922" s="185"/>
      <c r="L922" s="185"/>
      <c r="M922" s="185"/>
    </row>
    <row r="923" ht="15.75" customHeight="1">
      <c r="A923" s="213"/>
      <c r="B923" s="214"/>
      <c r="C923" s="57"/>
      <c r="D923" s="185"/>
      <c r="E923" s="215"/>
      <c r="F923" s="215"/>
      <c r="G923" s="215"/>
      <c r="H923" s="185"/>
      <c r="I923" s="215"/>
      <c r="J923" s="185"/>
      <c r="K923" s="185"/>
      <c r="L923" s="185"/>
      <c r="M923" s="185"/>
    </row>
    <row r="924" ht="15.75" customHeight="1">
      <c r="A924" s="213"/>
      <c r="B924" s="214"/>
      <c r="C924" s="57"/>
      <c r="D924" s="185"/>
      <c r="E924" s="215"/>
      <c r="F924" s="215"/>
      <c r="G924" s="215"/>
      <c r="H924" s="185"/>
      <c r="I924" s="215"/>
      <c r="J924" s="185"/>
      <c r="K924" s="185"/>
      <c r="L924" s="185"/>
      <c r="M924" s="185"/>
    </row>
    <row r="925" ht="15.75" customHeight="1">
      <c r="A925" s="213"/>
      <c r="B925" s="214"/>
      <c r="C925" s="57"/>
      <c r="D925" s="185"/>
      <c r="E925" s="215"/>
      <c r="F925" s="215"/>
      <c r="G925" s="215"/>
      <c r="H925" s="185"/>
      <c r="I925" s="215"/>
      <c r="J925" s="185"/>
      <c r="K925" s="185"/>
      <c r="L925" s="185"/>
      <c r="M925" s="185"/>
    </row>
    <row r="926" ht="15.75" customHeight="1">
      <c r="A926" s="213"/>
      <c r="B926" s="214"/>
      <c r="C926" s="57"/>
      <c r="D926" s="185"/>
      <c r="E926" s="215"/>
      <c r="F926" s="215"/>
      <c r="G926" s="215"/>
      <c r="H926" s="185"/>
      <c r="I926" s="215"/>
      <c r="J926" s="185"/>
      <c r="K926" s="185"/>
      <c r="L926" s="185"/>
      <c r="M926" s="185"/>
    </row>
    <row r="927" ht="15.75" customHeight="1">
      <c r="A927" s="213"/>
      <c r="B927" s="214"/>
      <c r="C927" s="57"/>
      <c r="D927" s="185"/>
      <c r="E927" s="215"/>
      <c r="F927" s="215"/>
      <c r="G927" s="215"/>
      <c r="H927" s="185"/>
      <c r="I927" s="215"/>
      <c r="J927" s="185"/>
      <c r="K927" s="185"/>
      <c r="L927" s="185"/>
      <c r="M927" s="185"/>
    </row>
    <row r="928" ht="15.75" customHeight="1">
      <c r="A928" s="213"/>
      <c r="B928" s="214"/>
      <c r="C928" s="57"/>
      <c r="D928" s="185"/>
      <c r="E928" s="215"/>
      <c r="F928" s="215"/>
      <c r="G928" s="215"/>
      <c r="H928" s="185"/>
      <c r="I928" s="215"/>
      <c r="J928" s="185"/>
      <c r="K928" s="185"/>
      <c r="L928" s="185"/>
      <c r="M928" s="185"/>
    </row>
    <row r="929" ht="15.75" customHeight="1">
      <c r="A929" s="213"/>
      <c r="B929" s="214"/>
      <c r="C929" s="57"/>
      <c r="D929" s="185"/>
      <c r="E929" s="215"/>
      <c r="F929" s="215"/>
      <c r="G929" s="215"/>
      <c r="H929" s="185"/>
      <c r="I929" s="215"/>
      <c r="J929" s="185"/>
      <c r="K929" s="185"/>
      <c r="L929" s="185"/>
      <c r="M929" s="185"/>
    </row>
    <row r="930" ht="15.75" customHeight="1">
      <c r="A930" s="213"/>
      <c r="B930" s="214"/>
      <c r="C930" s="57"/>
      <c r="D930" s="185"/>
      <c r="E930" s="215"/>
      <c r="F930" s="215"/>
      <c r="G930" s="215"/>
      <c r="H930" s="185"/>
      <c r="I930" s="215"/>
      <c r="J930" s="185"/>
      <c r="K930" s="185"/>
      <c r="L930" s="185"/>
      <c r="M930" s="185"/>
    </row>
    <row r="931" ht="15.75" customHeight="1">
      <c r="A931" s="213"/>
      <c r="B931" s="214"/>
      <c r="C931" s="57"/>
      <c r="D931" s="185"/>
      <c r="E931" s="215"/>
      <c r="F931" s="215"/>
      <c r="G931" s="215"/>
      <c r="H931" s="185"/>
      <c r="I931" s="215"/>
      <c r="J931" s="185"/>
      <c r="K931" s="185"/>
      <c r="L931" s="185"/>
      <c r="M931" s="185"/>
    </row>
    <row r="932" ht="15.75" customHeight="1">
      <c r="A932" s="213"/>
      <c r="B932" s="214"/>
      <c r="C932" s="57"/>
      <c r="D932" s="185"/>
      <c r="E932" s="215"/>
      <c r="F932" s="215"/>
      <c r="G932" s="215"/>
      <c r="H932" s="185"/>
      <c r="I932" s="215"/>
      <c r="J932" s="185"/>
      <c r="K932" s="185"/>
      <c r="L932" s="185"/>
      <c r="M932" s="185"/>
    </row>
    <row r="933" ht="15.75" customHeight="1">
      <c r="A933" s="213"/>
      <c r="B933" s="214"/>
      <c r="C933" s="57"/>
      <c r="D933" s="185"/>
      <c r="E933" s="215"/>
      <c r="F933" s="215"/>
      <c r="G933" s="215"/>
      <c r="H933" s="185"/>
      <c r="I933" s="215"/>
      <c r="J933" s="185"/>
      <c r="K933" s="185"/>
      <c r="L933" s="185"/>
      <c r="M933" s="185"/>
    </row>
    <row r="934" ht="15.75" customHeight="1">
      <c r="A934" s="213"/>
      <c r="B934" s="214"/>
      <c r="C934" s="57"/>
      <c r="D934" s="185"/>
      <c r="E934" s="215"/>
      <c r="F934" s="215"/>
      <c r="G934" s="215"/>
      <c r="H934" s="185"/>
      <c r="I934" s="215"/>
      <c r="J934" s="185"/>
      <c r="K934" s="185"/>
      <c r="L934" s="185"/>
      <c r="M934" s="185"/>
    </row>
    <row r="935" ht="15.75" customHeight="1">
      <c r="A935" s="213"/>
      <c r="B935" s="214"/>
      <c r="C935" s="57"/>
      <c r="D935" s="185"/>
      <c r="E935" s="215"/>
      <c r="F935" s="215"/>
      <c r="G935" s="215"/>
      <c r="H935" s="185"/>
      <c r="I935" s="215"/>
      <c r="J935" s="185"/>
      <c r="K935" s="185"/>
      <c r="L935" s="185"/>
      <c r="M935" s="185"/>
    </row>
    <row r="936" ht="15.75" customHeight="1">
      <c r="A936" s="213"/>
      <c r="B936" s="214"/>
      <c r="C936" s="57"/>
      <c r="D936" s="185"/>
      <c r="E936" s="215"/>
      <c r="F936" s="215"/>
      <c r="G936" s="215"/>
      <c r="H936" s="185"/>
      <c r="I936" s="215"/>
      <c r="J936" s="185"/>
      <c r="K936" s="185"/>
      <c r="L936" s="185"/>
      <c r="M936" s="185"/>
    </row>
    <row r="937" ht="15.75" customHeight="1">
      <c r="A937" s="213"/>
      <c r="B937" s="214"/>
      <c r="C937" s="57"/>
      <c r="D937" s="185"/>
      <c r="E937" s="215"/>
      <c r="F937" s="215"/>
      <c r="G937" s="215"/>
      <c r="H937" s="185"/>
      <c r="I937" s="215"/>
      <c r="J937" s="185"/>
      <c r="K937" s="185"/>
      <c r="L937" s="185"/>
      <c r="M937" s="185"/>
    </row>
    <row r="938" ht="15.75" customHeight="1">
      <c r="A938" s="213"/>
      <c r="B938" s="214"/>
      <c r="C938" s="57"/>
      <c r="D938" s="185"/>
      <c r="E938" s="215"/>
      <c r="F938" s="215"/>
      <c r="G938" s="215"/>
      <c r="H938" s="185"/>
      <c r="I938" s="215"/>
      <c r="J938" s="185"/>
      <c r="K938" s="185"/>
      <c r="L938" s="185"/>
      <c r="M938" s="185"/>
    </row>
    <row r="939" ht="15.75" customHeight="1">
      <c r="A939" s="213"/>
      <c r="B939" s="214"/>
      <c r="C939" s="57"/>
      <c r="D939" s="185"/>
      <c r="E939" s="215"/>
      <c r="F939" s="215"/>
      <c r="G939" s="215"/>
      <c r="H939" s="185"/>
      <c r="I939" s="215"/>
      <c r="J939" s="185"/>
      <c r="K939" s="185"/>
      <c r="L939" s="185"/>
      <c r="M939" s="185"/>
    </row>
    <row r="940" ht="15.75" customHeight="1">
      <c r="A940" s="213"/>
      <c r="B940" s="214"/>
      <c r="C940" s="57"/>
      <c r="D940" s="185"/>
      <c r="E940" s="215"/>
      <c r="F940" s="215"/>
      <c r="G940" s="215"/>
      <c r="H940" s="185"/>
      <c r="I940" s="215"/>
      <c r="J940" s="185"/>
      <c r="K940" s="185"/>
      <c r="L940" s="185"/>
      <c r="M940" s="185"/>
    </row>
    <row r="941" ht="15.75" customHeight="1">
      <c r="A941" s="213"/>
      <c r="B941" s="214"/>
      <c r="C941" s="57"/>
      <c r="D941" s="185"/>
      <c r="E941" s="215"/>
      <c r="F941" s="215"/>
      <c r="G941" s="215"/>
      <c r="H941" s="185"/>
      <c r="I941" s="215"/>
      <c r="J941" s="185"/>
      <c r="K941" s="185"/>
      <c r="L941" s="185"/>
      <c r="M941" s="185"/>
    </row>
    <row r="942" ht="15.75" customHeight="1">
      <c r="A942" s="213"/>
      <c r="B942" s="214"/>
      <c r="C942" s="57"/>
      <c r="D942" s="185"/>
      <c r="E942" s="215"/>
      <c r="F942" s="215"/>
      <c r="G942" s="215"/>
      <c r="H942" s="185"/>
      <c r="I942" s="215"/>
      <c r="J942" s="185"/>
      <c r="K942" s="185"/>
      <c r="L942" s="185"/>
      <c r="M942" s="185"/>
    </row>
    <row r="943" ht="15.75" customHeight="1">
      <c r="A943" s="213"/>
      <c r="B943" s="214"/>
      <c r="C943" s="57"/>
      <c r="D943" s="185"/>
      <c r="E943" s="215"/>
      <c r="F943" s="215"/>
      <c r="G943" s="215"/>
      <c r="H943" s="185"/>
      <c r="I943" s="215"/>
      <c r="J943" s="185"/>
      <c r="K943" s="185"/>
      <c r="L943" s="185"/>
      <c r="M943" s="185"/>
    </row>
    <row r="944" ht="15.75" customHeight="1">
      <c r="A944" s="213"/>
      <c r="B944" s="214"/>
      <c r="C944" s="57"/>
      <c r="D944" s="185"/>
      <c r="E944" s="215"/>
      <c r="F944" s="215"/>
      <c r="G944" s="215"/>
      <c r="H944" s="185"/>
      <c r="I944" s="215"/>
      <c r="J944" s="185"/>
      <c r="K944" s="185"/>
      <c r="L944" s="185"/>
      <c r="M944" s="185"/>
    </row>
    <row r="945" ht="15.75" customHeight="1">
      <c r="A945" s="213"/>
      <c r="B945" s="214"/>
      <c r="C945" s="57"/>
      <c r="D945" s="185"/>
      <c r="E945" s="215"/>
      <c r="F945" s="215"/>
      <c r="G945" s="215"/>
      <c r="H945" s="185"/>
      <c r="I945" s="215"/>
      <c r="J945" s="185"/>
      <c r="K945" s="185"/>
      <c r="L945" s="185"/>
      <c r="M945" s="185"/>
    </row>
    <row r="946" ht="15.75" customHeight="1">
      <c r="A946" s="213"/>
      <c r="B946" s="214"/>
      <c r="C946" s="57"/>
      <c r="D946" s="185"/>
      <c r="E946" s="215"/>
      <c r="F946" s="215"/>
      <c r="G946" s="215"/>
      <c r="H946" s="185"/>
      <c r="I946" s="215"/>
      <c r="J946" s="185"/>
      <c r="K946" s="185"/>
      <c r="L946" s="185"/>
      <c r="M946" s="185"/>
    </row>
    <row r="947" ht="15.75" customHeight="1">
      <c r="A947" s="213"/>
      <c r="B947" s="214"/>
      <c r="C947" s="57"/>
      <c r="D947" s="185"/>
      <c r="E947" s="215"/>
      <c r="F947" s="215"/>
      <c r="G947" s="215"/>
      <c r="H947" s="185"/>
      <c r="I947" s="215"/>
      <c r="J947" s="185"/>
      <c r="K947" s="185"/>
      <c r="L947" s="185"/>
      <c r="M947" s="185"/>
    </row>
    <row r="948" ht="15.75" customHeight="1">
      <c r="A948" s="213"/>
      <c r="B948" s="214"/>
      <c r="C948" s="57"/>
      <c r="D948" s="185"/>
      <c r="E948" s="215"/>
      <c r="F948" s="215"/>
      <c r="G948" s="215"/>
      <c r="H948" s="185"/>
      <c r="I948" s="215"/>
      <c r="J948" s="185"/>
      <c r="K948" s="185"/>
      <c r="L948" s="185"/>
      <c r="M948" s="185"/>
    </row>
    <row r="949" ht="15.75" customHeight="1">
      <c r="A949" s="213"/>
      <c r="B949" s="214"/>
      <c r="C949" s="57"/>
      <c r="D949" s="185"/>
      <c r="E949" s="215"/>
      <c r="F949" s="215"/>
      <c r="G949" s="215"/>
      <c r="H949" s="185"/>
      <c r="I949" s="215"/>
      <c r="J949" s="185"/>
      <c r="K949" s="185"/>
      <c r="L949" s="185"/>
      <c r="M949" s="185"/>
    </row>
    <row r="950" ht="15.75" customHeight="1">
      <c r="A950" s="213"/>
      <c r="B950" s="214"/>
      <c r="C950" s="57"/>
      <c r="D950" s="185"/>
      <c r="E950" s="215"/>
      <c r="F950" s="215"/>
      <c r="G950" s="215"/>
      <c r="H950" s="185"/>
      <c r="I950" s="215"/>
      <c r="J950" s="185"/>
      <c r="K950" s="185"/>
      <c r="L950" s="185"/>
      <c r="M950" s="185"/>
    </row>
    <row r="951" ht="15.75" customHeight="1">
      <c r="A951" s="213"/>
      <c r="B951" s="214"/>
      <c r="C951" s="57"/>
      <c r="D951" s="185"/>
      <c r="E951" s="215"/>
      <c r="F951" s="215"/>
      <c r="G951" s="215"/>
      <c r="H951" s="185"/>
      <c r="I951" s="215"/>
      <c r="J951" s="185"/>
      <c r="K951" s="185"/>
      <c r="L951" s="185"/>
      <c r="M951" s="185"/>
    </row>
    <row r="952" ht="15.75" customHeight="1">
      <c r="A952" s="213"/>
      <c r="B952" s="214"/>
      <c r="C952" s="57"/>
      <c r="D952" s="185"/>
      <c r="E952" s="215"/>
      <c r="F952" s="215"/>
      <c r="G952" s="215"/>
      <c r="H952" s="185"/>
      <c r="I952" s="215"/>
      <c r="J952" s="185"/>
      <c r="K952" s="185"/>
      <c r="L952" s="185"/>
      <c r="M952" s="185"/>
    </row>
    <row r="953" ht="15.75" customHeight="1">
      <c r="A953" s="213"/>
      <c r="B953" s="214"/>
      <c r="C953" s="57"/>
      <c r="D953" s="185"/>
      <c r="E953" s="215"/>
      <c r="F953" s="215"/>
      <c r="G953" s="215"/>
      <c r="H953" s="185"/>
      <c r="I953" s="215"/>
      <c r="J953" s="185"/>
      <c r="K953" s="185"/>
      <c r="L953" s="185"/>
      <c r="M953" s="185"/>
    </row>
    <row r="954" ht="15.75" customHeight="1">
      <c r="A954" s="213"/>
      <c r="B954" s="214"/>
      <c r="C954" s="57"/>
      <c r="D954" s="185"/>
      <c r="E954" s="215"/>
      <c r="F954" s="215"/>
      <c r="G954" s="215"/>
      <c r="H954" s="185"/>
      <c r="I954" s="215"/>
      <c r="J954" s="185"/>
      <c r="K954" s="185"/>
      <c r="L954" s="185"/>
      <c r="M954" s="185"/>
    </row>
    <row r="955" ht="15.75" customHeight="1">
      <c r="A955" s="213"/>
      <c r="B955" s="214"/>
      <c r="C955" s="57"/>
      <c r="D955" s="185"/>
      <c r="E955" s="215"/>
      <c r="F955" s="215"/>
      <c r="G955" s="215"/>
      <c r="H955" s="185"/>
      <c r="I955" s="215"/>
      <c r="J955" s="185"/>
      <c r="K955" s="185"/>
      <c r="L955" s="185"/>
      <c r="M955" s="185"/>
    </row>
    <row r="956" ht="15.75" customHeight="1">
      <c r="A956" s="213"/>
      <c r="B956" s="214"/>
      <c r="C956" s="57"/>
      <c r="D956" s="185"/>
      <c r="E956" s="215"/>
      <c r="F956" s="215"/>
      <c r="G956" s="215"/>
      <c r="H956" s="185"/>
      <c r="I956" s="215"/>
      <c r="J956" s="185"/>
      <c r="K956" s="185"/>
      <c r="L956" s="185"/>
      <c r="M956" s="185"/>
    </row>
    <row r="957" ht="15.75" customHeight="1">
      <c r="A957" s="213"/>
      <c r="B957" s="214"/>
      <c r="C957" s="57"/>
      <c r="D957" s="185"/>
      <c r="E957" s="215"/>
      <c r="F957" s="215"/>
      <c r="G957" s="215"/>
      <c r="H957" s="185"/>
      <c r="I957" s="215"/>
      <c r="J957" s="185"/>
      <c r="K957" s="185"/>
      <c r="L957" s="185"/>
      <c r="M957" s="185"/>
    </row>
    <row r="958" ht="15.75" customHeight="1">
      <c r="A958" s="213"/>
      <c r="B958" s="214"/>
      <c r="C958" s="57"/>
      <c r="D958" s="185"/>
      <c r="E958" s="215"/>
      <c r="F958" s="215"/>
      <c r="G958" s="215"/>
      <c r="H958" s="185"/>
      <c r="I958" s="215"/>
      <c r="J958" s="185"/>
      <c r="K958" s="185"/>
      <c r="L958" s="185"/>
      <c r="M958" s="185"/>
    </row>
    <row r="959" ht="15.75" customHeight="1">
      <c r="A959" s="213"/>
      <c r="B959" s="214"/>
      <c r="C959" s="57"/>
      <c r="D959" s="185"/>
      <c r="E959" s="215"/>
      <c r="F959" s="215"/>
      <c r="G959" s="215"/>
      <c r="H959" s="185"/>
      <c r="I959" s="215"/>
      <c r="J959" s="185"/>
      <c r="K959" s="185"/>
      <c r="L959" s="185"/>
      <c r="M959" s="185"/>
    </row>
    <row r="960" ht="15.75" customHeight="1">
      <c r="A960" s="213"/>
      <c r="B960" s="214"/>
      <c r="C960" s="57"/>
      <c r="D960" s="185"/>
      <c r="E960" s="215"/>
      <c r="F960" s="215"/>
      <c r="G960" s="215"/>
      <c r="H960" s="185"/>
      <c r="I960" s="215"/>
      <c r="J960" s="185"/>
      <c r="K960" s="185"/>
      <c r="L960" s="185"/>
      <c r="M960" s="185"/>
    </row>
    <row r="961" ht="15.75" customHeight="1">
      <c r="A961" s="213"/>
      <c r="B961" s="214"/>
      <c r="C961" s="57"/>
      <c r="D961" s="185"/>
      <c r="E961" s="215"/>
      <c r="F961" s="215"/>
      <c r="G961" s="215"/>
      <c r="H961" s="185"/>
      <c r="I961" s="215"/>
      <c r="J961" s="185"/>
      <c r="K961" s="185"/>
      <c r="L961" s="185"/>
      <c r="M961" s="185"/>
    </row>
    <row r="962" ht="15.75" customHeight="1">
      <c r="A962" s="213"/>
      <c r="B962" s="214"/>
      <c r="C962" s="57"/>
      <c r="D962" s="185"/>
      <c r="E962" s="215"/>
      <c r="F962" s="215"/>
      <c r="G962" s="215"/>
      <c r="H962" s="185"/>
      <c r="I962" s="215"/>
      <c r="J962" s="185"/>
      <c r="K962" s="185"/>
      <c r="L962" s="185"/>
      <c r="M962" s="185"/>
    </row>
    <row r="963" ht="15.75" customHeight="1">
      <c r="A963" s="213"/>
      <c r="B963" s="214"/>
      <c r="C963" s="57"/>
      <c r="D963" s="185"/>
      <c r="E963" s="215"/>
      <c r="F963" s="215"/>
      <c r="G963" s="215"/>
      <c r="H963" s="185"/>
      <c r="I963" s="215"/>
      <c r="J963" s="185"/>
      <c r="K963" s="185"/>
      <c r="L963" s="185"/>
      <c r="M963" s="185"/>
    </row>
    <row r="964" ht="15.75" customHeight="1">
      <c r="A964" s="213"/>
      <c r="B964" s="214"/>
      <c r="C964" s="57"/>
      <c r="D964" s="185"/>
      <c r="E964" s="215"/>
      <c r="F964" s="215"/>
      <c r="G964" s="215"/>
      <c r="H964" s="185"/>
      <c r="I964" s="215"/>
      <c r="J964" s="185"/>
      <c r="K964" s="185"/>
      <c r="L964" s="185"/>
      <c r="M964" s="185"/>
    </row>
    <row r="965" ht="15.75" customHeight="1">
      <c r="A965" s="213"/>
      <c r="B965" s="214"/>
      <c r="C965" s="57"/>
      <c r="D965" s="185"/>
      <c r="E965" s="215"/>
      <c r="F965" s="215"/>
      <c r="G965" s="215"/>
      <c r="H965" s="185"/>
      <c r="I965" s="215"/>
      <c r="J965" s="185"/>
      <c r="K965" s="185"/>
      <c r="L965" s="185"/>
      <c r="M965" s="185"/>
    </row>
    <row r="966" ht="15.75" customHeight="1">
      <c r="A966" s="213"/>
      <c r="B966" s="214"/>
      <c r="C966" s="57"/>
      <c r="D966" s="185"/>
      <c r="E966" s="215"/>
      <c r="F966" s="215"/>
      <c r="G966" s="215"/>
      <c r="H966" s="185"/>
      <c r="I966" s="215"/>
      <c r="J966" s="185"/>
      <c r="K966" s="185"/>
      <c r="L966" s="185"/>
      <c r="M966" s="185"/>
    </row>
    <row r="967" ht="15.75" customHeight="1">
      <c r="A967" s="213"/>
      <c r="B967" s="214"/>
      <c r="C967" s="57"/>
      <c r="D967" s="185"/>
      <c r="E967" s="215"/>
      <c r="F967" s="215"/>
      <c r="G967" s="215"/>
      <c r="H967" s="185"/>
      <c r="I967" s="215"/>
      <c r="J967" s="185"/>
      <c r="K967" s="185"/>
      <c r="L967" s="185"/>
      <c r="M967" s="185"/>
    </row>
    <row r="968" ht="15.75" customHeight="1">
      <c r="A968" s="213"/>
      <c r="B968" s="214"/>
      <c r="C968" s="57"/>
      <c r="D968" s="185"/>
      <c r="E968" s="215"/>
      <c r="F968" s="215"/>
      <c r="G968" s="215"/>
      <c r="H968" s="185"/>
      <c r="I968" s="215"/>
      <c r="J968" s="185"/>
      <c r="K968" s="185"/>
      <c r="L968" s="185"/>
      <c r="M968" s="185"/>
    </row>
    <row r="969" ht="15.75" customHeight="1">
      <c r="A969" s="213"/>
      <c r="B969" s="214"/>
      <c r="C969" s="57"/>
      <c r="D969" s="185"/>
      <c r="E969" s="215"/>
      <c r="F969" s="215"/>
      <c r="G969" s="215"/>
      <c r="H969" s="185"/>
      <c r="I969" s="215"/>
      <c r="J969" s="185"/>
      <c r="K969" s="185"/>
      <c r="L969" s="185"/>
      <c r="M969" s="185"/>
    </row>
    <row r="970" ht="15.75" customHeight="1">
      <c r="A970" s="213"/>
      <c r="B970" s="214"/>
      <c r="C970" s="57"/>
      <c r="D970" s="185"/>
      <c r="E970" s="215"/>
      <c r="F970" s="215"/>
      <c r="G970" s="215"/>
      <c r="H970" s="185"/>
      <c r="I970" s="215"/>
      <c r="J970" s="185"/>
      <c r="K970" s="185"/>
      <c r="L970" s="185"/>
      <c r="M970" s="185"/>
    </row>
    <row r="971" ht="15.75" customHeight="1">
      <c r="A971" s="213"/>
      <c r="B971" s="214"/>
      <c r="C971" s="57"/>
      <c r="D971" s="185"/>
      <c r="E971" s="215"/>
      <c r="F971" s="215"/>
      <c r="G971" s="215"/>
      <c r="H971" s="185"/>
      <c r="I971" s="215"/>
      <c r="J971" s="185"/>
      <c r="K971" s="185"/>
      <c r="L971" s="185"/>
      <c r="M971" s="185"/>
    </row>
    <row r="972" ht="15.75" customHeight="1">
      <c r="A972" s="213"/>
      <c r="B972" s="214"/>
      <c r="C972" s="57"/>
      <c r="D972" s="185"/>
      <c r="E972" s="215"/>
      <c r="F972" s="215"/>
      <c r="G972" s="215"/>
      <c r="H972" s="185"/>
      <c r="I972" s="215"/>
      <c r="J972" s="185"/>
      <c r="K972" s="185"/>
      <c r="L972" s="185"/>
      <c r="M972" s="185"/>
    </row>
    <row r="973" ht="15.75" customHeight="1">
      <c r="A973" s="213"/>
      <c r="B973" s="214"/>
      <c r="C973" s="57"/>
      <c r="D973" s="185"/>
      <c r="E973" s="215"/>
      <c r="F973" s="215"/>
      <c r="G973" s="215"/>
      <c r="H973" s="185"/>
      <c r="I973" s="215"/>
      <c r="J973" s="185"/>
      <c r="K973" s="185"/>
      <c r="L973" s="185"/>
      <c r="M973" s="185"/>
    </row>
    <row r="974" ht="15.75" customHeight="1">
      <c r="A974" s="213"/>
      <c r="B974" s="214"/>
      <c r="C974" s="57"/>
      <c r="D974" s="185"/>
      <c r="E974" s="215"/>
      <c r="F974" s="215"/>
      <c r="G974" s="215"/>
      <c r="H974" s="185"/>
      <c r="I974" s="215"/>
      <c r="J974" s="185"/>
      <c r="K974" s="185"/>
      <c r="L974" s="185"/>
      <c r="M974" s="185"/>
    </row>
    <row r="975" ht="15.75" customHeight="1">
      <c r="A975" s="213"/>
      <c r="B975" s="214"/>
      <c r="C975" s="57"/>
      <c r="D975" s="185"/>
      <c r="E975" s="215"/>
      <c r="F975" s="215"/>
      <c r="G975" s="215"/>
      <c r="H975" s="185"/>
      <c r="I975" s="215"/>
      <c r="J975" s="185"/>
      <c r="K975" s="185"/>
      <c r="L975" s="185"/>
      <c r="M975" s="185"/>
    </row>
    <row r="976" ht="15.75" customHeight="1">
      <c r="A976" s="213"/>
      <c r="B976" s="214"/>
      <c r="C976" s="57"/>
      <c r="D976" s="185"/>
      <c r="E976" s="215"/>
      <c r="F976" s="215"/>
      <c r="G976" s="215"/>
      <c r="H976" s="185"/>
      <c r="I976" s="215"/>
      <c r="J976" s="185"/>
      <c r="K976" s="185"/>
      <c r="L976" s="185"/>
      <c r="M976" s="185"/>
    </row>
    <row r="977" ht="15.75" customHeight="1">
      <c r="A977" s="213"/>
      <c r="B977" s="214"/>
      <c r="C977" s="57"/>
      <c r="D977" s="185"/>
      <c r="E977" s="215"/>
      <c r="F977" s="215"/>
      <c r="G977" s="215"/>
      <c r="H977" s="185"/>
      <c r="I977" s="215"/>
      <c r="J977" s="185"/>
      <c r="K977" s="185"/>
      <c r="L977" s="185"/>
      <c r="M977" s="185"/>
    </row>
    <row r="978" ht="15.75" customHeight="1">
      <c r="A978" s="213"/>
      <c r="B978" s="214"/>
      <c r="C978" s="57"/>
      <c r="D978" s="185"/>
      <c r="E978" s="215"/>
      <c r="F978" s="215"/>
      <c r="G978" s="215"/>
      <c r="H978" s="185"/>
      <c r="I978" s="215"/>
      <c r="J978" s="185"/>
      <c r="K978" s="185"/>
      <c r="L978" s="185"/>
      <c r="M978" s="185"/>
    </row>
    <row r="979" ht="15.75" customHeight="1">
      <c r="A979" s="213"/>
      <c r="B979" s="214"/>
      <c r="C979" s="57"/>
      <c r="D979" s="185"/>
      <c r="E979" s="215"/>
      <c r="F979" s="215"/>
      <c r="G979" s="215"/>
      <c r="H979" s="185"/>
      <c r="I979" s="215"/>
      <c r="J979" s="185"/>
      <c r="K979" s="185"/>
      <c r="L979" s="185"/>
      <c r="M979" s="185"/>
    </row>
    <row r="980" ht="15.75" customHeight="1">
      <c r="A980" s="213"/>
      <c r="B980" s="214"/>
      <c r="C980" s="57"/>
      <c r="D980" s="185"/>
      <c r="E980" s="215"/>
      <c r="F980" s="215"/>
      <c r="G980" s="215"/>
      <c r="H980" s="185"/>
      <c r="I980" s="215"/>
      <c r="J980" s="185"/>
      <c r="K980" s="185"/>
      <c r="L980" s="185"/>
      <c r="M980" s="185"/>
    </row>
    <row r="981" ht="15.75" customHeight="1">
      <c r="A981" s="213"/>
      <c r="B981" s="214"/>
      <c r="C981" s="57"/>
      <c r="D981" s="185"/>
      <c r="E981" s="215"/>
      <c r="F981" s="215"/>
      <c r="G981" s="215"/>
      <c r="H981" s="185"/>
      <c r="I981" s="215"/>
      <c r="J981" s="185"/>
      <c r="K981" s="185"/>
      <c r="L981" s="185"/>
      <c r="M981" s="185"/>
    </row>
    <row r="982" ht="15.75" customHeight="1">
      <c r="A982" s="213"/>
      <c r="B982" s="214"/>
      <c r="C982" s="57"/>
      <c r="D982" s="185"/>
      <c r="E982" s="215"/>
      <c r="F982" s="215"/>
      <c r="G982" s="215"/>
      <c r="H982" s="185"/>
      <c r="I982" s="215"/>
      <c r="J982" s="185"/>
      <c r="K982" s="185"/>
      <c r="L982" s="185"/>
      <c r="M982" s="185"/>
    </row>
    <row r="983" ht="15.75" customHeight="1">
      <c r="A983" s="213"/>
      <c r="B983" s="214"/>
      <c r="C983" s="57"/>
      <c r="D983" s="185"/>
      <c r="E983" s="215"/>
      <c r="F983" s="215"/>
      <c r="G983" s="215"/>
      <c r="H983" s="185"/>
      <c r="I983" s="215"/>
      <c r="J983" s="185"/>
      <c r="K983" s="185"/>
      <c r="L983" s="185"/>
      <c r="M983" s="185"/>
    </row>
    <row r="984" ht="15.75" customHeight="1">
      <c r="A984" s="213"/>
      <c r="B984" s="214"/>
      <c r="C984" s="57"/>
      <c r="D984" s="185"/>
      <c r="E984" s="215"/>
      <c r="F984" s="215"/>
      <c r="G984" s="215"/>
      <c r="H984" s="185"/>
      <c r="I984" s="215"/>
      <c r="J984" s="185"/>
      <c r="K984" s="185"/>
      <c r="L984" s="185"/>
      <c r="M984" s="185"/>
    </row>
    <row r="985" ht="15.75" customHeight="1">
      <c r="A985" s="213"/>
      <c r="B985" s="214"/>
      <c r="C985" s="57"/>
      <c r="D985" s="185"/>
      <c r="E985" s="215"/>
      <c r="F985" s="215"/>
      <c r="G985" s="215"/>
      <c r="H985" s="185"/>
      <c r="I985" s="215"/>
      <c r="J985" s="185"/>
      <c r="K985" s="185"/>
      <c r="L985" s="185"/>
      <c r="M985" s="185"/>
    </row>
    <row r="986" ht="15.75" customHeight="1">
      <c r="A986" s="213"/>
      <c r="B986" s="214"/>
      <c r="C986" s="57"/>
      <c r="D986" s="185"/>
      <c r="E986" s="215"/>
      <c r="F986" s="215"/>
      <c r="G986" s="215"/>
      <c r="H986" s="185"/>
      <c r="I986" s="215"/>
      <c r="J986" s="185"/>
      <c r="K986" s="185"/>
      <c r="L986" s="185"/>
      <c r="M986" s="185"/>
    </row>
    <row r="987" ht="15.75" customHeight="1">
      <c r="A987" s="213"/>
      <c r="B987" s="214"/>
      <c r="C987" s="57"/>
      <c r="D987" s="185"/>
      <c r="E987" s="215"/>
      <c r="F987" s="215"/>
      <c r="G987" s="215"/>
      <c r="H987" s="185"/>
      <c r="I987" s="215"/>
      <c r="J987" s="185"/>
      <c r="K987" s="185"/>
      <c r="L987" s="185"/>
      <c r="M987" s="185"/>
    </row>
    <row r="988" ht="15.75" customHeight="1">
      <c r="A988" s="213"/>
      <c r="B988" s="214"/>
      <c r="C988" s="57"/>
      <c r="D988" s="185"/>
      <c r="E988" s="215"/>
      <c r="F988" s="215"/>
      <c r="G988" s="215"/>
      <c r="H988" s="185"/>
      <c r="I988" s="215"/>
      <c r="J988" s="185"/>
      <c r="K988" s="185"/>
      <c r="L988" s="185"/>
      <c r="M988" s="185"/>
    </row>
    <row r="989" ht="15.75" customHeight="1">
      <c r="A989" s="213"/>
      <c r="B989" s="214"/>
      <c r="C989" s="57"/>
      <c r="D989" s="185"/>
      <c r="E989" s="215"/>
      <c r="F989" s="215"/>
      <c r="G989" s="215"/>
      <c r="H989" s="185"/>
      <c r="I989" s="215"/>
      <c r="J989" s="185"/>
      <c r="K989" s="185"/>
      <c r="L989" s="185"/>
      <c r="M989" s="185"/>
    </row>
    <row r="990" ht="15.75" customHeight="1">
      <c r="A990" s="213"/>
      <c r="B990" s="214"/>
      <c r="C990" s="57"/>
      <c r="D990" s="185"/>
      <c r="E990" s="215"/>
      <c r="F990" s="215"/>
      <c r="G990" s="215"/>
      <c r="H990" s="185"/>
      <c r="I990" s="215"/>
      <c r="J990" s="185"/>
      <c r="K990" s="185"/>
      <c r="L990" s="185"/>
      <c r="M990" s="185"/>
    </row>
    <row r="991" ht="15.75" customHeight="1">
      <c r="A991" s="213"/>
      <c r="B991" s="214"/>
      <c r="C991" s="57"/>
      <c r="D991" s="185"/>
      <c r="E991" s="215"/>
      <c r="F991" s="215"/>
      <c r="G991" s="215"/>
      <c r="H991" s="185"/>
      <c r="I991" s="215"/>
      <c r="J991" s="185"/>
      <c r="K991" s="185"/>
      <c r="L991" s="185"/>
      <c r="M991" s="185"/>
    </row>
    <row r="992" ht="15.75" customHeight="1">
      <c r="A992" s="213"/>
      <c r="B992" s="214"/>
      <c r="C992" s="57"/>
      <c r="D992" s="185"/>
      <c r="E992" s="215"/>
      <c r="F992" s="215"/>
      <c r="G992" s="215"/>
      <c r="H992" s="185"/>
      <c r="I992" s="215"/>
      <c r="J992" s="185"/>
      <c r="K992" s="185"/>
      <c r="L992" s="185"/>
      <c r="M992" s="185"/>
    </row>
    <row r="993" ht="15.75" customHeight="1">
      <c r="A993" s="213"/>
      <c r="B993" s="214"/>
      <c r="C993" s="57"/>
      <c r="D993" s="185"/>
      <c r="E993" s="215"/>
      <c r="F993" s="215"/>
      <c r="G993" s="215"/>
      <c r="H993" s="185"/>
      <c r="I993" s="215"/>
      <c r="J993" s="185"/>
      <c r="K993" s="185"/>
      <c r="L993" s="185"/>
      <c r="M993" s="185"/>
    </row>
    <row r="994" ht="15.75" customHeight="1">
      <c r="A994" s="213"/>
      <c r="B994" s="214"/>
      <c r="C994" s="57"/>
      <c r="D994" s="185"/>
      <c r="E994" s="215"/>
      <c r="F994" s="215"/>
      <c r="G994" s="215"/>
      <c r="H994" s="185"/>
      <c r="I994" s="215"/>
      <c r="J994" s="185"/>
      <c r="K994" s="185"/>
      <c r="L994" s="185"/>
      <c r="M994" s="185"/>
    </row>
    <row r="995" ht="15.75" customHeight="1">
      <c r="A995" s="213"/>
      <c r="B995" s="214"/>
      <c r="C995" s="57"/>
      <c r="D995" s="185"/>
      <c r="E995" s="215"/>
      <c r="F995" s="215"/>
      <c r="G995" s="215"/>
      <c r="H995" s="185"/>
      <c r="I995" s="215"/>
      <c r="J995" s="185"/>
      <c r="K995" s="185"/>
      <c r="L995" s="185"/>
      <c r="M995" s="185"/>
    </row>
    <row r="996" ht="15.75" customHeight="1">
      <c r="A996" s="213"/>
      <c r="B996" s="214"/>
      <c r="C996" s="57"/>
      <c r="D996" s="185"/>
      <c r="E996" s="215"/>
      <c r="F996" s="215"/>
      <c r="G996" s="215"/>
      <c r="H996" s="185"/>
      <c r="I996" s="215"/>
      <c r="J996" s="185"/>
      <c r="K996" s="185"/>
      <c r="L996" s="185"/>
      <c r="M996" s="185"/>
    </row>
    <row r="997" ht="15.75" customHeight="1">
      <c r="A997" s="213"/>
      <c r="B997" s="214"/>
      <c r="C997" s="57"/>
      <c r="D997" s="185"/>
      <c r="E997" s="215"/>
      <c r="F997" s="215"/>
      <c r="G997" s="215"/>
      <c r="H997" s="185"/>
      <c r="I997" s="215"/>
      <c r="J997" s="185"/>
      <c r="K997" s="185"/>
      <c r="L997" s="185"/>
      <c r="M997" s="185"/>
    </row>
    <row r="998" ht="15.75" customHeight="1">
      <c r="A998" s="213"/>
      <c r="B998" s="214"/>
      <c r="C998" s="57"/>
      <c r="D998" s="185"/>
      <c r="E998" s="215"/>
      <c r="F998" s="215"/>
      <c r="G998" s="215"/>
      <c r="H998" s="185"/>
      <c r="I998" s="215"/>
      <c r="J998" s="185"/>
      <c r="K998" s="185"/>
      <c r="L998" s="185"/>
      <c r="M998" s="185"/>
    </row>
    <row r="999" ht="15.75" customHeight="1">
      <c r="A999" s="213"/>
      <c r="B999" s="214"/>
      <c r="C999" s="57"/>
      <c r="D999" s="185"/>
      <c r="E999" s="215"/>
      <c r="F999" s="215"/>
      <c r="G999" s="215"/>
      <c r="H999" s="185"/>
      <c r="I999" s="215"/>
      <c r="J999" s="185"/>
      <c r="K999" s="185"/>
      <c r="L999" s="185"/>
      <c r="M999" s="185"/>
    </row>
    <row r="1000" ht="15.75" customHeight="1">
      <c r="A1000" s="213"/>
      <c r="B1000" s="214"/>
      <c r="C1000" s="57"/>
      <c r="D1000" s="185"/>
      <c r="E1000" s="215"/>
      <c r="F1000" s="215"/>
      <c r="G1000" s="215"/>
      <c r="H1000" s="185"/>
      <c r="I1000" s="215"/>
      <c r="J1000" s="185"/>
      <c r="K1000" s="185"/>
      <c r="L1000" s="185"/>
      <c r="M1000" s="185"/>
    </row>
  </sheetData>
  <mergeCells count="6">
    <mergeCell ref="A2:M2"/>
    <mergeCell ref="A4:M4"/>
    <mergeCell ref="A5:M5"/>
    <mergeCell ref="A6:M6"/>
    <mergeCell ref="A7:M7"/>
    <mergeCell ref="A63:M63"/>
  </mergeCells>
  <hyperlinks>
    <hyperlink r:id="rId1" ref="K10"/>
    <hyperlink r:id="rId2" ref="K11"/>
    <hyperlink r:id="rId3" ref="K12"/>
    <hyperlink r:id="rId4" ref="K13"/>
    <hyperlink r:id="rId5" ref="K15"/>
    <hyperlink r:id="rId6" ref="K16"/>
    <hyperlink r:id="rId7" ref="K18"/>
    <hyperlink r:id="rId8" ref="K20"/>
    <hyperlink r:id="rId9" ref="K21"/>
    <hyperlink r:id="rId10" ref="K22"/>
    <hyperlink r:id="rId11" ref="K23"/>
    <hyperlink r:id="rId12" ref="K24"/>
  </hyperlinks>
  <printOptions/>
  <pageMargins bottom="0.75" footer="0.0" header="0.0" left="0.7" right="0.7" top="0.75"/>
  <pageSetup orientation="landscape"/>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71"/>
    <col customWidth="1" min="3" max="3" width="10.43"/>
    <col customWidth="1" min="4" max="4" width="15.0"/>
    <col customWidth="1" min="5" max="5" width="8.43"/>
    <col customWidth="1" min="6" max="6" width="10.71"/>
    <col customWidth="1" min="7" max="7" width="10.0"/>
    <col customWidth="1" min="8" max="9" width="9.14"/>
    <col customWidth="1" min="10" max="10" width="10.43"/>
    <col customWidth="1" min="11" max="11" width="20.71"/>
    <col customWidth="1" min="12" max="15" width="8.71"/>
    <col customWidth="1" min="16" max="26" width="8.0"/>
  </cols>
  <sheetData>
    <row r="1">
      <c r="A1" s="36"/>
      <c r="B1" s="37"/>
      <c r="C1" s="37"/>
      <c r="D1" s="1"/>
      <c r="E1" s="1"/>
      <c r="F1" s="1"/>
      <c r="G1" s="1"/>
      <c r="H1" s="1"/>
      <c r="I1" s="1"/>
      <c r="J1" s="1"/>
    </row>
    <row r="2" ht="35.25" customHeight="1">
      <c r="A2" s="38" t="s">
        <v>595</v>
      </c>
      <c r="B2" s="39"/>
      <c r="C2" s="39"/>
      <c r="D2" s="39"/>
      <c r="E2" s="39"/>
      <c r="F2" s="39"/>
      <c r="G2" s="39"/>
      <c r="H2" s="39"/>
      <c r="I2" s="39"/>
      <c r="J2" s="40"/>
      <c r="K2" s="42"/>
      <c r="L2" s="42"/>
      <c r="M2" s="42"/>
      <c r="N2" s="42"/>
      <c r="O2" s="42"/>
      <c r="P2" s="42"/>
      <c r="Q2" s="42"/>
      <c r="R2" s="42"/>
      <c r="S2" s="42"/>
      <c r="T2" s="42"/>
      <c r="U2" s="42"/>
      <c r="V2" s="42"/>
      <c r="W2" s="42"/>
      <c r="X2" s="42"/>
      <c r="Y2" s="42"/>
      <c r="Z2" s="42"/>
    </row>
    <row r="3">
      <c r="A3" s="45"/>
      <c r="B3" s="46"/>
      <c r="C3" s="46"/>
      <c r="D3" s="45"/>
      <c r="E3" s="45"/>
      <c r="F3" s="45"/>
      <c r="G3" s="45"/>
      <c r="H3" s="41"/>
      <c r="I3" s="41"/>
      <c r="J3" s="41"/>
      <c r="K3" s="42"/>
      <c r="L3" s="42"/>
      <c r="M3" s="42"/>
      <c r="N3" s="42"/>
      <c r="O3" s="42"/>
      <c r="P3" s="42"/>
      <c r="Q3" s="42"/>
      <c r="R3" s="42"/>
      <c r="S3" s="42"/>
      <c r="T3" s="42"/>
      <c r="U3" s="42"/>
      <c r="V3" s="42"/>
      <c r="W3" s="42"/>
      <c r="X3" s="42"/>
      <c r="Y3" s="42"/>
      <c r="Z3" s="42"/>
    </row>
    <row r="4">
      <c r="A4" s="106" t="s">
        <v>596</v>
      </c>
      <c r="B4" s="39"/>
      <c r="C4" s="39"/>
      <c r="D4" s="39"/>
      <c r="E4" s="39"/>
      <c r="F4" s="39"/>
      <c r="G4" s="39"/>
      <c r="H4" s="39"/>
      <c r="I4" s="39"/>
      <c r="J4" s="40"/>
      <c r="K4" s="42"/>
      <c r="L4" s="42"/>
      <c r="M4" s="42"/>
      <c r="N4" s="42"/>
      <c r="O4" s="42"/>
      <c r="P4" s="42"/>
      <c r="Q4" s="42"/>
      <c r="R4" s="42"/>
      <c r="S4" s="42"/>
      <c r="T4" s="42"/>
      <c r="U4" s="42"/>
      <c r="V4" s="42"/>
      <c r="W4" s="42"/>
      <c r="X4" s="42"/>
      <c r="Y4" s="42"/>
      <c r="Z4" s="42"/>
    </row>
    <row r="5" ht="28.5" customHeight="1">
      <c r="A5" s="43" t="s">
        <v>597</v>
      </c>
      <c r="B5" s="39"/>
      <c r="C5" s="39"/>
      <c r="D5" s="39"/>
      <c r="E5" s="39"/>
      <c r="F5" s="39"/>
      <c r="G5" s="39"/>
      <c r="H5" s="39"/>
      <c r="I5" s="39"/>
      <c r="J5" s="40"/>
      <c r="K5" s="42"/>
      <c r="L5" s="42"/>
      <c r="M5" s="42"/>
      <c r="N5" s="42"/>
      <c r="O5" s="42"/>
      <c r="P5" s="42"/>
      <c r="Q5" s="42"/>
      <c r="R5" s="42"/>
      <c r="S5" s="42"/>
      <c r="T5" s="42"/>
      <c r="U5" s="42"/>
      <c r="V5" s="42"/>
      <c r="W5" s="42"/>
      <c r="X5" s="42"/>
      <c r="Y5" s="42"/>
      <c r="Z5" s="42"/>
    </row>
    <row r="6">
      <c r="A6" s="43" t="s">
        <v>598</v>
      </c>
      <c r="B6" s="39"/>
      <c r="C6" s="39"/>
      <c r="D6" s="39"/>
      <c r="E6" s="39"/>
      <c r="F6" s="39"/>
      <c r="G6" s="39"/>
      <c r="H6" s="39"/>
      <c r="I6" s="39"/>
      <c r="J6" s="40"/>
      <c r="K6" s="42"/>
      <c r="L6" s="42"/>
      <c r="M6" s="42"/>
      <c r="N6" s="42"/>
      <c r="O6" s="42"/>
      <c r="P6" s="42"/>
      <c r="Q6" s="42"/>
      <c r="R6" s="42"/>
      <c r="S6" s="42"/>
      <c r="T6" s="42"/>
      <c r="U6" s="42"/>
      <c r="V6" s="42"/>
      <c r="W6" s="42"/>
      <c r="X6" s="42"/>
      <c r="Y6" s="42"/>
      <c r="Z6" s="42"/>
    </row>
    <row r="7" ht="68.25" customHeight="1">
      <c r="A7" s="188" t="s">
        <v>599</v>
      </c>
      <c r="B7" s="39"/>
      <c r="C7" s="39"/>
      <c r="D7" s="39"/>
      <c r="E7" s="39"/>
      <c r="F7" s="39"/>
      <c r="G7" s="39"/>
      <c r="H7" s="39"/>
      <c r="I7" s="39"/>
      <c r="J7" s="40"/>
      <c r="O7" s="268"/>
    </row>
    <row r="8" ht="64.5" customHeight="1">
      <c r="A8" s="188" t="s">
        <v>600</v>
      </c>
      <c r="B8" s="39"/>
      <c r="C8" s="39"/>
      <c r="D8" s="39"/>
      <c r="E8" s="39"/>
      <c r="F8" s="39"/>
      <c r="G8" s="39"/>
      <c r="H8" s="39"/>
      <c r="I8" s="39"/>
      <c r="J8" s="40"/>
    </row>
    <row r="9" ht="54.0" customHeight="1">
      <c r="A9" s="106" t="s">
        <v>601</v>
      </c>
      <c r="B9" s="39"/>
      <c r="C9" s="39"/>
      <c r="D9" s="39"/>
      <c r="E9" s="39"/>
      <c r="F9" s="39"/>
      <c r="G9" s="39"/>
      <c r="H9" s="39"/>
      <c r="I9" s="39"/>
      <c r="J9" s="40"/>
    </row>
    <row r="10">
      <c r="A10" s="45"/>
      <c r="B10" s="46"/>
      <c r="C10" s="46"/>
      <c r="D10" s="45"/>
      <c r="E10" s="45"/>
      <c r="F10" s="45"/>
      <c r="G10" s="45"/>
      <c r="H10" s="45"/>
      <c r="I10" s="41"/>
      <c r="J10" s="41"/>
    </row>
    <row r="11" ht="78.0" customHeight="1">
      <c r="A11" s="228" t="s">
        <v>602</v>
      </c>
      <c r="B11" s="269" t="s">
        <v>603</v>
      </c>
      <c r="C11" s="109" t="s">
        <v>9</v>
      </c>
      <c r="D11" s="270" t="s">
        <v>604</v>
      </c>
      <c r="E11" s="269" t="s">
        <v>605</v>
      </c>
      <c r="F11" s="269" t="s">
        <v>113</v>
      </c>
      <c r="G11" s="269" t="s">
        <v>606</v>
      </c>
      <c r="H11" s="269" t="s">
        <v>607</v>
      </c>
      <c r="I11" s="228" t="s">
        <v>116</v>
      </c>
      <c r="J11" s="228" t="s">
        <v>117</v>
      </c>
      <c r="K11" s="49" t="s">
        <v>118</v>
      </c>
      <c r="L11" s="42"/>
      <c r="M11" s="42"/>
      <c r="N11" s="42"/>
      <c r="O11" s="42"/>
      <c r="P11" s="42"/>
      <c r="Q11" s="42"/>
      <c r="R11" s="42"/>
      <c r="S11" s="42"/>
      <c r="T11" s="42"/>
      <c r="U11" s="42"/>
      <c r="V11" s="42"/>
      <c r="W11" s="42"/>
      <c r="X11" s="42"/>
      <c r="Y11" s="42"/>
      <c r="Z11" s="42"/>
    </row>
    <row r="12" ht="76.5" customHeight="1">
      <c r="A12" s="52" t="s">
        <v>608</v>
      </c>
      <c r="B12" s="52" t="s">
        <v>609</v>
      </c>
      <c r="C12" s="60" t="s">
        <v>38</v>
      </c>
      <c r="D12" s="52" t="s">
        <v>610</v>
      </c>
      <c r="E12" s="60" t="s">
        <v>611</v>
      </c>
      <c r="F12" s="60">
        <v>2020.0</v>
      </c>
      <c r="G12" s="60" t="s">
        <v>612</v>
      </c>
      <c r="H12" s="60">
        <v>24.0</v>
      </c>
      <c r="I12" s="271">
        <v>240.0</v>
      </c>
      <c r="J12" s="62">
        <v>240.0</v>
      </c>
      <c r="K12" s="62" t="s">
        <v>194</v>
      </c>
    </row>
    <row r="13" ht="63.75" customHeight="1">
      <c r="A13" s="272" t="s">
        <v>613</v>
      </c>
      <c r="B13" s="272" t="s">
        <v>614</v>
      </c>
      <c r="C13" s="273" t="s">
        <v>38</v>
      </c>
      <c r="D13" s="274" t="s">
        <v>615</v>
      </c>
      <c r="E13" s="272" t="s">
        <v>616</v>
      </c>
      <c r="F13" s="199">
        <v>2020.0</v>
      </c>
      <c r="G13" s="199" t="s">
        <v>617</v>
      </c>
      <c r="H13" s="275">
        <v>15.0</v>
      </c>
      <c r="I13" s="276">
        <f>H13*10</f>
        <v>150</v>
      </c>
      <c r="J13" s="277">
        <f>I13/4</f>
        <v>37.5</v>
      </c>
      <c r="K13" s="62" t="s">
        <v>618</v>
      </c>
    </row>
    <row r="14" ht="210.0" customHeight="1">
      <c r="A14" s="95" t="s">
        <v>619</v>
      </c>
      <c r="B14" s="52" t="s">
        <v>620</v>
      </c>
      <c r="C14" s="60" t="s">
        <v>38</v>
      </c>
      <c r="D14" s="278" t="s">
        <v>621</v>
      </c>
      <c r="E14" s="151" t="s">
        <v>622</v>
      </c>
      <c r="F14" s="60">
        <v>2020.0</v>
      </c>
      <c r="G14" s="60" t="s">
        <v>623</v>
      </c>
      <c r="H14" s="60">
        <v>216.0</v>
      </c>
      <c r="I14" s="271">
        <v>756.0</v>
      </c>
      <c r="J14" s="62">
        <v>378.0</v>
      </c>
      <c r="K14" s="62" t="s">
        <v>167</v>
      </c>
    </row>
    <row r="15" ht="102.0" customHeight="1">
      <c r="A15" s="52" t="s">
        <v>624</v>
      </c>
      <c r="B15" s="52" t="s">
        <v>625</v>
      </c>
      <c r="C15" s="60" t="s">
        <v>38</v>
      </c>
      <c r="D15" s="52" t="s">
        <v>626</v>
      </c>
      <c r="E15" s="60" t="s">
        <v>627</v>
      </c>
      <c r="F15" s="60">
        <v>2020.0</v>
      </c>
      <c r="G15" s="60"/>
      <c r="H15" s="60">
        <v>9.0</v>
      </c>
      <c r="I15" s="271">
        <v>31.5</v>
      </c>
      <c r="J15" s="62">
        <v>15.75</v>
      </c>
      <c r="K15" s="62" t="s">
        <v>485</v>
      </c>
    </row>
    <row r="16">
      <c r="A16" s="52"/>
      <c r="B16" s="52"/>
      <c r="C16" s="56"/>
      <c r="D16" s="52"/>
      <c r="E16" s="60"/>
      <c r="F16" s="60"/>
      <c r="G16" s="60"/>
      <c r="H16" s="60"/>
      <c r="I16" s="271"/>
      <c r="J16" s="62"/>
      <c r="K16" s="62"/>
    </row>
    <row r="17">
      <c r="A17" s="52"/>
      <c r="B17" s="52"/>
      <c r="C17" s="56"/>
      <c r="D17" s="52"/>
      <c r="E17" s="60"/>
      <c r="F17" s="60"/>
      <c r="G17" s="60"/>
      <c r="H17" s="60"/>
      <c r="I17" s="271"/>
      <c r="J17" s="62"/>
      <c r="K17" s="62"/>
    </row>
    <row r="18">
      <c r="A18" s="52"/>
      <c r="B18" s="52"/>
      <c r="C18" s="56"/>
      <c r="D18" s="52"/>
      <c r="E18" s="60"/>
      <c r="F18" s="60"/>
      <c r="G18" s="60"/>
      <c r="H18" s="60"/>
      <c r="I18" s="271"/>
      <c r="J18" s="62"/>
      <c r="K18" s="62"/>
    </row>
    <row r="19">
      <c r="A19" s="52"/>
      <c r="B19" s="52"/>
      <c r="C19" s="56"/>
      <c r="D19" s="52"/>
      <c r="E19" s="60"/>
      <c r="F19" s="60"/>
      <c r="G19" s="60"/>
      <c r="H19" s="60"/>
      <c r="I19" s="271"/>
      <c r="J19" s="62"/>
      <c r="K19" s="62"/>
    </row>
    <row r="20">
      <c r="A20" s="52"/>
      <c r="B20" s="52"/>
      <c r="C20" s="56"/>
      <c r="D20" s="52"/>
      <c r="E20" s="60"/>
      <c r="F20" s="60"/>
      <c r="G20" s="60"/>
      <c r="H20" s="60"/>
      <c r="I20" s="271"/>
      <c r="J20" s="62"/>
      <c r="K20" s="62"/>
    </row>
    <row r="21" ht="15.75" customHeight="1">
      <c r="A21" s="52"/>
      <c r="B21" s="52"/>
      <c r="C21" s="56"/>
      <c r="D21" s="52"/>
      <c r="E21" s="60"/>
      <c r="F21" s="60"/>
      <c r="G21" s="60"/>
      <c r="H21" s="60"/>
      <c r="I21" s="271"/>
      <c r="J21" s="62"/>
      <c r="K21" s="62"/>
    </row>
    <row r="22" ht="15.75" customHeight="1">
      <c r="A22" s="52"/>
      <c r="B22" s="52"/>
      <c r="C22" s="56"/>
      <c r="D22" s="52"/>
      <c r="E22" s="60"/>
      <c r="F22" s="60"/>
      <c r="G22" s="60"/>
      <c r="H22" s="60"/>
      <c r="I22" s="271"/>
      <c r="J22" s="62"/>
      <c r="K22" s="62"/>
    </row>
    <row r="23" ht="15.75" customHeight="1">
      <c r="A23" s="52"/>
      <c r="B23" s="52"/>
      <c r="C23" s="56"/>
      <c r="D23" s="52"/>
      <c r="E23" s="60"/>
      <c r="F23" s="60"/>
      <c r="G23" s="60"/>
      <c r="H23" s="60"/>
      <c r="I23" s="271"/>
      <c r="J23" s="62"/>
      <c r="K23" s="62"/>
    </row>
    <row r="24" ht="15.75" customHeight="1">
      <c r="A24" s="52"/>
      <c r="B24" s="52"/>
      <c r="C24" s="56"/>
      <c r="D24" s="52"/>
      <c r="E24" s="60"/>
      <c r="F24" s="60"/>
      <c r="G24" s="60"/>
      <c r="H24" s="60"/>
      <c r="I24" s="271"/>
      <c r="J24" s="62"/>
      <c r="K24" s="62"/>
    </row>
    <row r="25" ht="15.75" customHeight="1">
      <c r="A25" s="52"/>
      <c r="B25" s="52"/>
      <c r="C25" s="56"/>
      <c r="D25" s="52"/>
      <c r="E25" s="60"/>
      <c r="F25" s="60"/>
      <c r="G25" s="60"/>
      <c r="H25" s="60"/>
      <c r="I25" s="271"/>
      <c r="J25" s="62"/>
      <c r="K25" s="62"/>
    </row>
    <row r="26" ht="15.75" customHeight="1">
      <c r="A26" s="52"/>
      <c r="B26" s="52"/>
      <c r="C26" s="56"/>
      <c r="D26" s="52"/>
      <c r="E26" s="60"/>
      <c r="F26" s="60"/>
      <c r="G26" s="60"/>
      <c r="H26" s="60"/>
      <c r="I26" s="271"/>
      <c r="J26" s="62"/>
      <c r="K26" s="62"/>
    </row>
    <row r="27" ht="15.75" customHeight="1">
      <c r="A27" s="52"/>
      <c r="B27" s="52"/>
      <c r="C27" s="56"/>
      <c r="D27" s="52"/>
      <c r="E27" s="60"/>
      <c r="F27" s="60"/>
      <c r="G27" s="60"/>
      <c r="H27" s="60"/>
      <c r="I27" s="271"/>
      <c r="J27" s="62"/>
      <c r="K27" s="62"/>
    </row>
    <row r="28" ht="15.75" customHeight="1">
      <c r="A28" s="52"/>
      <c r="B28" s="52"/>
      <c r="C28" s="56"/>
      <c r="D28" s="52"/>
      <c r="E28" s="60"/>
      <c r="F28" s="60"/>
      <c r="G28" s="60"/>
      <c r="H28" s="60"/>
      <c r="I28" s="271"/>
      <c r="J28" s="62"/>
      <c r="K28" s="62"/>
    </row>
    <row r="29" ht="15.75" customHeight="1">
      <c r="A29" s="52"/>
      <c r="B29" s="52"/>
      <c r="C29" s="56"/>
      <c r="D29" s="52"/>
      <c r="E29" s="60"/>
      <c r="F29" s="60"/>
      <c r="G29" s="60"/>
      <c r="H29" s="60"/>
      <c r="I29" s="271"/>
      <c r="J29" s="62"/>
      <c r="K29" s="62"/>
    </row>
    <row r="30" ht="15.75" customHeight="1">
      <c r="A30" s="52"/>
      <c r="B30" s="52"/>
      <c r="C30" s="56"/>
      <c r="D30" s="52"/>
      <c r="E30" s="60"/>
      <c r="F30" s="60"/>
      <c r="G30" s="60"/>
      <c r="H30" s="60"/>
      <c r="I30" s="271"/>
      <c r="J30" s="62"/>
      <c r="K30" s="62"/>
    </row>
    <row r="31" ht="15.75" customHeight="1">
      <c r="A31" s="52"/>
      <c r="B31" s="52"/>
      <c r="C31" s="56"/>
      <c r="D31" s="52"/>
      <c r="E31" s="60"/>
      <c r="F31" s="60"/>
      <c r="G31" s="60"/>
      <c r="H31" s="60"/>
      <c r="I31" s="271"/>
      <c r="J31" s="62"/>
      <c r="K31" s="62"/>
    </row>
    <row r="32" ht="15.75" customHeight="1">
      <c r="A32" s="52"/>
      <c r="B32" s="52"/>
      <c r="C32" s="56"/>
      <c r="D32" s="52"/>
      <c r="E32" s="60"/>
      <c r="F32" s="60"/>
      <c r="G32" s="60"/>
      <c r="H32" s="60"/>
      <c r="I32" s="271"/>
      <c r="J32" s="62"/>
      <c r="K32" s="62"/>
    </row>
    <row r="33" ht="15.75" customHeight="1">
      <c r="A33" s="52"/>
      <c r="B33" s="52"/>
      <c r="C33" s="56"/>
      <c r="D33" s="52"/>
      <c r="E33" s="60"/>
      <c r="F33" s="60"/>
      <c r="G33" s="60"/>
      <c r="H33" s="60"/>
      <c r="I33" s="271"/>
      <c r="J33" s="62"/>
      <c r="K33" s="62"/>
    </row>
    <row r="34" ht="15.75" customHeight="1">
      <c r="A34" s="52"/>
      <c r="B34" s="52"/>
      <c r="C34" s="56"/>
      <c r="D34" s="52"/>
      <c r="E34" s="60"/>
      <c r="F34" s="60"/>
      <c r="G34" s="60"/>
      <c r="H34" s="60"/>
      <c r="I34" s="271"/>
      <c r="J34" s="62"/>
      <c r="K34" s="62"/>
    </row>
    <row r="35" ht="15.75" customHeight="1">
      <c r="A35" s="52"/>
      <c r="B35" s="52"/>
      <c r="C35" s="56"/>
      <c r="D35" s="52"/>
      <c r="E35" s="60"/>
      <c r="F35" s="60"/>
      <c r="G35" s="60"/>
      <c r="H35" s="60"/>
      <c r="I35" s="271"/>
      <c r="J35" s="62"/>
      <c r="K35" s="62"/>
    </row>
    <row r="36" ht="15.75" customHeight="1">
      <c r="A36" s="52"/>
      <c r="B36" s="52"/>
      <c r="C36" s="56"/>
      <c r="D36" s="52"/>
      <c r="E36" s="60"/>
      <c r="F36" s="60"/>
      <c r="G36" s="60"/>
      <c r="H36" s="60"/>
      <c r="I36" s="271"/>
      <c r="J36" s="62"/>
      <c r="K36" s="62"/>
    </row>
    <row r="37" ht="15.75" customHeight="1">
      <c r="A37" s="52"/>
      <c r="B37" s="52"/>
      <c r="C37" s="56"/>
      <c r="D37" s="52"/>
      <c r="E37" s="60"/>
      <c r="F37" s="60"/>
      <c r="G37" s="60"/>
      <c r="H37" s="60"/>
      <c r="I37" s="271"/>
      <c r="J37" s="62"/>
      <c r="K37" s="62"/>
    </row>
    <row r="38" ht="15.75" customHeight="1">
      <c r="A38" s="52"/>
      <c r="B38" s="52"/>
      <c r="C38" s="56"/>
      <c r="D38" s="52"/>
      <c r="E38" s="60"/>
      <c r="F38" s="60"/>
      <c r="G38" s="60"/>
      <c r="H38" s="60"/>
      <c r="I38" s="271"/>
      <c r="J38" s="62"/>
      <c r="K38" s="62"/>
    </row>
    <row r="39" ht="15.75" customHeight="1">
      <c r="A39" s="52"/>
      <c r="B39" s="52"/>
      <c r="C39" s="56"/>
      <c r="D39" s="52"/>
      <c r="E39" s="60"/>
      <c r="F39" s="60"/>
      <c r="G39" s="60"/>
      <c r="H39" s="60"/>
      <c r="I39" s="271"/>
      <c r="J39" s="62"/>
      <c r="K39" s="62"/>
    </row>
    <row r="40" ht="15.75" customHeight="1">
      <c r="A40" s="52"/>
      <c r="B40" s="52"/>
      <c r="C40" s="56"/>
      <c r="D40" s="52"/>
      <c r="E40" s="60"/>
      <c r="F40" s="60"/>
      <c r="G40" s="60"/>
      <c r="H40" s="60"/>
      <c r="I40" s="271"/>
      <c r="J40" s="62"/>
      <c r="K40" s="62"/>
    </row>
    <row r="41" ht="15.75" customHeight="1">
      <c r="A41" s="52"/>
      <c r="B41" s="52"/>
      <c r="C41" s="56"/>
      <c r="D41" s="52"/>
      <c r="E41" s="60"/>
      <c r="F41" s="60"/>
      <c r="G41" s="60"/>
      <c r="H41" s="60"/>
      <c r="I41" s="271"/>
      <c r="J41" s="62"/>
      <c r="K41" s="62"/>
    </row>
    <row r="42" ht="15.75" customHeight="1">
      <c r="A42" s="52"/>
      <c r="B42" s="52"/>
      <c r="C42" s="56"/>
      <c r="D42" s="52"/>
      <c r="E42" s="60"/>
      <c r="F42" s="60"/>
      <c r="G42" s="60"/>
      <c r="H42" s="60"/>
      <c r="I42" s="271"/>
      <c r="J42" s="62"/>
      <c r="K42" s="62"/>
    </row>
    <row r="43" ht="15.75" customHeight="1">
      <c r="A43" s="52"/>
      <c r="B43" s="52"/>
      <c r="C43" s="56"/>
      <c r="D43" s="52"/>
      <c r="E43" s="60"/>
      <c r="F43" s="60"/>
      <c r="G43" s="60"/>
      <c r="H43" s="60"/>
      <c r="I43" s="271"/>
      <c r="J43" s="62"/>
      <c r="K43" s="62"/>
    </row>
    <row r="44" ht="15.75" customHeight="1">
      <c r="A44" s="52"/>
      <c r="B44" s="52"/>
      <c r="C44" s="56"/>
      <c r="D44" s="52"/>
      <c r="E44" s="60"/>
      <c r="F44" s="60"/>
      <c r="G44" s="60"/>
      <c r="H44" s="60"/>
      <c r="I44" s="271"/>
      <c r="J44" s="62"/>
      <c r="K44" s="62"/>
    </row>
    <row r="45" ht="15.75" customHeight="1">
      <c r="A45" s="52"/>
      <c r="B45" s="52"/>
      <c r="C45" s="56"/>
      <c r="D45" s="52"/>
      <c r="E45" s="60"/>
      <c r="F45" s="60"/>
      <c r="G45" s="60"/>
      <c r="H45" s="60"/>
      <c r="I45" s="271"/>
      <c r="J45" s="62"/>
      <c r="K45" s="62"/>
    </row>
    <row r="46" ht="15.75" customHeight="1">
      <c r="A46" s="52"/>
      <c r="B46" s="52"/>
      <c r="C46" s="56"/>
      <c r="D46" s="52"/>
      <c r="E46" s="60"/>
      <c r="F46" s="60"/>
      <c r="G46" s="60"/>
      <c r="H46" s="60"/>
      <c r="I46" s="271"/>
      <c r="J46" s="62"/>
      <c r="K46" s="62"/>
    </row>
    <row r="47" ht="15.75" customHeight="1">
      <c r="A47" s="52"/>
      <c r="B47" s="52"/>
      <c r="C47" s="56"/>
      <c r="D47" s="52"/>
      <c r="E47" s="60"/>
      <c r="F47" s="60"/>
      <c r="G47" s="60"/>
      <c r="H47" s="60"/>
      <c r="I47" s="271"/>
      <c r="J47" s="62"/>
      <c r="K47" s="62"/>
    </row>
    <row r="48" ht="15.75" customHeight="1">
      <c r="A48" s="52"/>
      <c r="B48" s="52"/>
      <c r="C48" s="56"/>
      <c r="D48" s="52"/>
      <c r="E48" s="60"/>
      <c r="F48" s="60"/>
      <c r="G48" s="60"/>
      <c r="H48" s="60"/>
      <c r="I48" s="271"/>
      <c r="J48" s="62"/>
      <c r="K48" s="62"/>
    </row>
    <row r="49" ht="15.75" customHeight="1">
      <c r="A49" s="52"/>
      <c r="B49" s="52"/>
      <c r="C49" s="56"/>
      <c r="D49" s="52"/>
      <c r="E49" s="60"/>
      <c r="F49" s="60"/>
      <c r="G49" s="60"/>
      <c r="H49" s="60"/>
      <c r="I49" s="271"/>
      <c r="J49" s="62"/>
      <c r="K49" s="62"/>
    </row>
    <row r="50" ht="15.75" customHeight="1">
      <c r="A50" s="52"/>
      <c r="B50" s="52"/>
      <c r="C50" s="56"/>
      <c r="D50" s="52"/>
      <c r="E50" s="60"/>
      <c r="F50" s="60"/>
      <c r="G50" s="60"/>
      <c r="H50" s="60"/>
      <c r="I50" s="271"/>
      <c r="J50" s="62"/>
      <c r="K50" s="62"/>
    </row>
    <row r="51" ht="15.75" customHeight="1">
      <c r="A51" s="52"/>
      <c r="B51" s="52"/>
      <c r="C51" s="56"/>
      <c r="D51" s="52"/>
      <c r="E51" s="60"/>
      <c r="F51" s="60"/>
      <c r="G51" s="60"/>
      <c r="H51" s="60"/>
      <c r="I51" s="271"/>
      <c r="J51" s="62"/>
      <c r="K51" s="62"/>
    </row>
    <row r="52" ht="15.75" customHeight="1">
      <c r="A52" s="52"/>
      <c r="B52" s="52"/>
      <c r="C52" s="56"/>
      <c r="D52" s="52"/>
      <c r="E52" s="60"/>
      <c r="F52" s="60"/>
      <c r="G52" s="60"/>
      <c r="H52" s="60"/>
      <c r="I52" s="271"/>
      <c r="J52" s="62"/>
      <c r="K52" s="62"/>
    </row>
    <row r="53" ht="15.75" customHeight="1">
      <c r="A53" s="52"/>
      <c r="B53" s="52"/>
      <c r="C53" s="56"/>
      <c r="D53" s="52"/>
      <c r="E53" s="60"/>
      <c r="F53" s="60"/>
      <c r="G53" s="60"/>
      <c r="H53" s="60"/>
      <c r="I53" s="271"/>
      <c r="J53" s="62"/>
      <c r="K53" s="62"/>
    </row>
    <row r="54" ht="15.75" customHeight="1">
      <c r="A54" s="52"/>
      <c r="B54" s="52"/>
      <c r="C54" s="56"/>
      <c r="D54" s="52"/>
      <c r="E54" s="60"/>
      <c r="F54" s="60"/>
      <c r="G54" s="60"/>
      <c r="H54" s="60"/>
      <c r="I54" s="271"/>
      <c r="J54" s="62"/>
      <c r="K54" s="62"/>
    </row>
    <row r="55" ht="15.75" customHeight="1">
      <c r="A55" s="52"/>
      <c r="B55" s="52"/>
      <c r="C55" s="56"/>
      <c r="D55" s="52"/>
      <c r="E55" s="60"/>
      <c r="F55" s="60"/>
      <c r="G55" s="60"/>
      <c r="H55" s="60"/>
      <c r="I55" s="271"/>
      <c r="J55" s="62"/>
      <c r="K55" s="62"/>
    </row>
    <row r="56" ht="15.75" customHeight="1">
      <c r="A56" s="52"/>
      <c r="B56" s="52"/>
      <c r="C56" s="56"/>
      <c r="D56" s="52"/>
      <c r="E56" s="60"/>
      <c r="F56" s="60"/>
      <c r="G56" s="60"/>
      <c r="H56" s="60"/>
      <c r="I56" s="271"/>
      <c r="J56" s="62"/>
      <c r="K56" s="62"/>
    </row>
    <row r="57" ht="15.75" customHeight="1">
      <c r="A57" s="52"/>
      <c r="B57" s="52"/>
      <c r="C57" s="68"/>
      <c r="D57" s="52"/>
      <c r="E57" s="60"/>
      <c r="F57" s="60"/>
      <c r="G57" s="60"/>
      <c r="H57" s="60"/>
      <c r="I57" s="271"/>
      <c r="J57" s="62"/>
      <c r="K57" s="62"/>
    </row>
    <row r="58" ht="15.75" customHeight="1">
      <c r="A58" s="52"/>
      <c r="B58" s="52"/>
      <c r="C58" s="60"/>
      <c r="D58" s="52"/>
      <c r="E58" s="60"/>
      <c r="F58" s="60"/>
      <c r="G58" s="60"/>
      <c r="H58" s="60"/>
      <c r="I58" s="271"/>
      <c r="J58" s="62"/>
      <c r="K58" s="62"/>
    </row>
    <row r="59" ht="15.75" customHeight="1">
      <c r="A59" s="52"/>
      <c r="B59" s="52"/>
      <c r="C59" s="60"/>
      <c r="D59" s="52"/>
      <c r="E59" s="60"/>
      <c r="F59" s="60"/>
      <c r="G59" s="60"/>
      <c r="H59" s="60"/>
      <c r="I59" s="271"/>
      <c r="J59" s="62"/>
      <c r="K59" s="62"/>
    </row>
    <row r="60" ht="15.75" customHeight="1">
      <c r="A60" s="52"/>
      <c r="B60" s="52"/>
      <c r="C60" s="60"/>
      <c r="D60" s="52"/>
      <c r="E60" s="60"/>
      <c r="F60" s="60"/>
      <c r="G60" s="60"/>
      <c r="H60" s="60"/>
      <c r="I60" s="271"/>
      <c r="J60" s="62"/>
      <c r="K60" s="62"/>
    </row>
    <row r="61" ht="15.75" customHeight="1">
      <c r="A61" s="52"/>
      <c r="B61" s="52"/>
      <c r="C61" s="60"/>
      <c r="D61" s="52"/>
      <c r="E61" s="60"/>
      <c r="F61" s="60"/>
      <c r="G61" s="60"/>
      <c r="H61" s="60"/>
      <c r="I61" s="271"/>
      <c r="J61" s="62"/>
      <c r="K61" s="62"/>
    </row>
    <row r="62" ht="15.75" customHeight="1">
      <c r="A62" s="88" t="s">
        <v>88</v>
      </c>
      <c r="B62" s="88"/>
      <c r="C62" s="37"/>
      <c r="D62" s="1"/>
      <c r="E62" s="1"/>
      <c r="F62" s="1"/>
      <c r="G62" s="1"/>
      <c r="H62" s="1"/>
      <c r="I62" s="279"/>
      <c r="J62" s="89">
        <f>SUM(J12:J61)</f>
        <v>671.25</v>
      </c>
    </row>
    <row r="63" ht="15.75" customHeight="1">
      <c r="A63" s="280"/>
      <c r="B63" s="37"/>
      <c r="C63" s="37"/>
      <c r="D63" s="37"/>
      <c r="E63" s="37"/>
      <c r="F63" s="1"/>
      <c r="G63" s="1"/>
      <c r="H63" s="1"/>
      <c r="I63" s="1"/>
      <c r="J63" s="1"/>
    </row>
    <row r="64" ht="15.75" customHeight="1">
      <c r="A64" s="90" t="s">
        <v>178</v>
      </c>
      <c r="B64" s="91"/>
      <c r="C64" s="91"/>
      <c r="D64" s="91"/>
      <c r="E64" s="91"/>
      <c r="F64" s="91"/>
      <c r="G64" s="91"/>
      <c r="H64" s="91"/>
      <c r="I64" s="91"/>
      <c r="J64" s="92"/>
    </row>
    <row r="65" ht="15.75" customHeight="1">
      <c r="A65" s="36"/>
      <c r="B65" s="37"/>
      <c r="C65" s="37"/>
      <c r="D65" s="1"/>
      <c r="E65" s="1"/>
      <c r="F65" s="1"/>
      <c r="G65" s="1"/>
      <c r="H65" s="1"/>
      <c r="I65" s="1"/>
      <c r="J65" s="1"/>
    </row>
    <row r="66" ht="15.75" customHeight="1">
      <c r="A66" s="36"/>
      <c r="B66" s="37"/>
      <c r="C66" s="37"/>
      <c r="D66" s="1"/>
      <c r="E66" s="1"/>
      <c r="F66" s="1"/>
      <c r="G66" s="1"/>
      <c r="H66" s="1"/>
      <c r="I66" s="1"/>
      <c r="J66" s="1"/>
    </row>
    <row r="67" ht="15.75" customHeight="1">
      <c r="A67" s="36"/>
      <c r="B67" s="37"/>
      <c r="C67" s="37"/>
      <c r="D67" s="1"/>
      <c r="E67" s="1"/>
      <c r="F67" s="1"/>
      <c r="G67" s="1"/>
      <c r="H67" s="1"/>
      <c r="I67" s="1"/>
      <c r="J67" s="1"/>
    </row>
    <row r="68" ht="15.75" customHeight="1">
      <c r="A68" s="36"/>
      <c r="B68" s="37"/>
      <c r="C68" s="37"/>
      <c r="D68" s="1"/>
      <c r="E68" s="1"/>
      <c r="F68" s="1"/>
      <c r="G68" s="1"/>
      <c r="H68" s="1"/>
      <c r="I68" s="1"/>
      <c r="J68" s="1"/>
    </row>
    <row r="69" ht="15.75" customHeight="1">
      <c r="A69" s="36"/>
      <c r="B69" s="37"/>
      <c r="C69" s="37"/>
      <c r="D69" s="1"/>
      <c r="E69" s="1"/>
      <c r="F69" s="1"/>
      <c r="G69" s="1"/>
      <c r="H69" s="1"/>
      <c r="I69" s="1"/>
      <c r="J69" s="1"/>
    </row>
    <row r="70" ht="15.75" customHeight="1">
      <c r="A70" s="36"/>
      <c r="B70" s="37"/>
      <c r="C70" s="37"/>
      <c r="D70" s="1"/>
      <c r="E70" s="1"/>
      <c r="F70" s="1"/>
      <c r="G70" s="1"/>
      <c r="H70" s="1"/>
      <c r="I70" s="1"/>
      <c r="J70" s="1"/>
    </row>
    <row r="71" ht="15.75" customHeight="1">
      <c r="A71" s="36"/>
      <c r="B71" s="37"/>
      <c r="C71" s="37"/>
      <c r="D71" s="1"/>
      <c r="E71" s="1"/>
      <c r="F71" s="1"/>
      <c r="G71" s="1"/>
      <c r="H71" s="1"/>
      <c r="I71" s="1"/>
      <c r="J71" s="1"/>
    </row>
    <row r="72" ht="15.75" customHeight="1">
      <c r="A72" s="36"/>
      <c r="B72" s="37"/>
      <c r="C72" s="37"/>
      <c r="D72" s="1"/>
      <c r="E72" s="1"/>
      <c r="F72" s="1"/>
      <c r="G72" s="1"/>
      <c r="H72" s="1"/>
      <c r="I72" s="1"/>
      <c r="J72" s="1"/>
    </row>
    <row r="73" ht="15.75" customHeight="1">
      <c r="A73" s="36"/>
      <c r="B73" s="37"/>
      <c r="C73" s="37"/>
      <c r="D73" s="1"/>
      <c r="E73" s="1"/>
      <c r="F73" s="1"/>
      <c r="G73" s="1"/>
      <c r="H73" s="1"/>
      <c r="I73" s="1"/>
      <c r="J73" s="1"/>
    </row>
    <row r="74" ht="15.75" customHeight="1">
      <c r="A74" s="36"/>
      <c r="B74" s="37"/>
      <c r="C74" s="37"/>
      <c r="D74" s="1"/>
      <c r="E74" s="1"/>
      <c r="F74" s="1"/>
      <c r="G74" s="1"/>
      <c r="H74" s="1"/>
      <c r="I74" s="1"/>
      <c r="J74" s="1"/>
    </row>
    <row r="75" ht="15.75" customHeight="1">
      <c r="A75" s="36"/>
      <c r="B75" s="37"/>
      <c r="C75" s="37"/>
      <c r="D75" s="1"/>
      <c r="E75" s="1"/>
      <c r="F75" s="1"/>
      <c r="G75" s="1"/>
      <c r="H75" s="1"/>
      <c r="I75" s="1"/>
      <c r="J75" s="1"/>
    </row>
    <row r="76" ht="15.75" customHeight="1">
      <c r="A76" s="36"/>
      <c r="B76" s="37"/>
      <c r="C76" s="37"/>
      <c r="D76" s="1"/>
      <c r="E76" s="1"/>
      <c r="F76" s="1"/>
      <c r="G76" s="1"/>
      <c r="H76" s="1"/>
      <c r="I76" s="1"/>
      <c r="J76" s="1"/>
    </row>
    <row r="77" ht="15.75" customHeight="1">
      <c r="A77" s="36"/>
      <c r="B77" s="37"/>
      <c r="C77" s="37"/>
      <c r="D77" s="1"/>
      <c r="E77" s="1"/>
      <c r="F77" s="1"/>
      <c r="G77" s="1"/>
      <c r="H77" s="1"/>
      <c r="I77" s="1"/>
      <c r="J77" s="1"/>
    </row>
    <row r="78" ht="15.75" customHeight="1">
      <c r="A78" s="36"/>
      <c r="B78" s="37"/>
      <c r="C78" s="37"/>
      <c r="D78" s="1"/>
      <c r="E78" s="1"/>
      <c r="F78" s="1"/>
      <c r="G78" s="1"/>
      <c r="H78" s="1"/>
      <c r="I78" s="1"/>
      <c r="J78" s="1"/>
    </row>
    <row r="79" ht="15.75" customHeight="1">
      <c r="A79" s="36"/>
      <c r="B79" s="37"/>
      <c r="C79" s="37"/>
      <c r="D79" s="1"/>
      <c r="E79" s="1"/>
      <c r="F79" s="1"/>
      <c r="G79" s="1"/>
      <c r="H79" s="1"/>
      <c r="I79" s="1"/>
      <c r="J79" s="1"/>
    </row>
    <row r="80" ht="15.75" customHeight="1">
      <c r="A80" s="36"/>
      <c r="B80" s="37"/>
      <c r="C80" s="37"/>
      <c r="D80" s="1"/>
      <c r="E80" s="1"/>
      <c r="F80" s="1"/>
      <c r="G80" s="1"/>
      <c r="H80" s="1"/>
      <c r="I80" s="1"/>
      <c r="J80" s="1"/>
    </row>
    <row r="81" ht="15.75" customHeight="1">
      <c r="A81" s="36"/>
      <c r="B81" s="37"/>
      <c r="C81" s="37"/>
      <c r="D81" s="1"/>
      <c r="E81" s="1"/>
      <c r="F81" s="1"/>
      <c r="G81" s="1"/>
      <c r="H81" s="1"/>
      <c r="I81" s="1"/>
      <c r="J81" s="1"/>
    </row>
    <row r="82" ht="15.75" customHeight="1">
      <c r="A82" s="36"/>
      <c r="B82" s="37"/>
      <c r="C82" s="37"/>
      <c r="D82" s="1"/>
      <c r="E82" s="1"/>
      <c r="F82" s="1"/>
      <c r="G82" s="1"/>
      <c r="H82" s="1"/>
      <c r="I82" s="1"/>
      <c r="J82" s="1"/>
    </row>
    <row r="83" ht="15.75" customHeight="1">
      <c r="A83" s="36"/>
      <c r="B83" s="37"/>
      <c r="C83" s="37"/>
      <c r="D83" s="1"/>
      <c r="E83" s="1"/>
      <c r="F83" s="1"/>
      <c r="G83" s="1"/>
      <c r="H83" s="1"/>
      <c r="I83" s="1"/>
      <c r="J83" s="1"/>
    </row>
    <row r="84" ht="15.75" customHeight="1">
      <c r="A84" s="36"/>
      <c r="B84" s="37"/>
      <c r="C84" s="37"/>
      <c r="D84" s="1"/>
      <c r="E84" s="1"/>
      <c r="F84" s="1"/>
      <c r="G84" s="1"/>
      <c r="H84" s="1"/>
      <c r="I84" s="1"/>
      <c r="J84" s="1"/>
    </row>
    <row r="85" ht="15.75" customHeight="1">
      <c r="A85" s="36"/>
      <c r="B85" s="37"/>
      <c r="C85" s="37"/>
      <c r="D85" s="1"/>
      <c r="E85" s="1"/>
      <c r="F85" s="1"/>
      <c r="G85" s="1"/>
      <c r="H85" s="1"/>
      <c r="I85" s="1"/>
      <c r="J85" s="1"/>
    </row>
    <row r="86" ht="15.75" customHeight="1">
      <c r="A86" s="36"/>
      <c r="B86" s="37"/>
      <c r="C86" s="37"/>
      <c r="D86" s="1"/>
      <c r="E86" s="1"/>
      <c r="F86" s="1"/>
      <c r="G86" s="1"/>
      <c r="H86" s="1"/>
      <c r="I86" s="1"/>
      <c r="J86" s="1"/>
    </row>
    <row r="87" ht="15.75" customHeight="1">
      <c r="A87" s="36"/>
      <c r="B87" s="37"/>
      <c r="C87" s="37"/>
      <c r="D87" s="1"/>
      <c r="E87" s="1"/>
      <c r="F87" s="1"/>
      <c r="G87" s="1"/>
      <c r="H87" s="1"/>
      <c r="I87" s="1"/>
      <c r="J87" s="1"/>
    </row>
    <row r="88" ht="15.75" customHeight="1">
      <c r="A88" s="36"/>
      <c r="B88" s="37"/>
      <c r="C88" s="37"/>
      <c r="D88" s="1"/>
      <c r="E88" s="1"/>
      <c r="F88" s="1"/>
      <c r="G88" s="1"/>
      <c r="H88" s="1"/>
      <c r="I88" s="1"/>
      <c r="J88" s="1"/>
    </row>
    <row r="89" ht="15.75" customHeight="1">
      <c r="A89" s="36"/>
      <c r="B89" s="37"/>
      <c r="C89" s="37"/>
      <c r="D89" s="1"/>
      <c r="E89" s="1"/>
      <c r="F89" s="1"/>
      <c r="G89" s="1"/>
      <c r="H89" s="1"/>
      <c r="I89" s="1"/>
      <c r="J89" s="1"/>
    </row>
    <row r="90" ht="15.75" customHeight="1">
      <c r="A90" s="36"/>
      <c r="B90" s="37"/>
      <c r="C90" s="37"/>
      <c r="D90" s="1"/>
      <c r="E90" s="1"/>
      <c r="F90" s="1"/>
      <c r="G90" s="1"/>
      <c r="H90" s="1"/>
      <c r="I90" s="1"/>
      <c r="J90" s="1"/>
    </row>
    <row r="91" ht="15.75" customHeight="1">
      <c r="A91" s="36"/>
      <c r="B91" s="37"/>
      <c r="C91" s="37"/>
      <c r="D91" s="1"/>
      <c r="E91" s="1"/>
      <c r="F91" s="1"/>
      <c r="G91" s="1"/>
      <c r="H91" s="1"/>
      <c r="I91" s="1"/>
      <c r="J91" s="1"/>
    </row>
    <row r="92" ht="15.75" customHeight="1">
      <c r="A92" s="36"/>
      <c r="B92" s="37"/>
      <c r="C92" s="37"/>
      <c r="D92" s="1"/>
      <c r="E92" s="1"/>
      <c r="F92" s="1"/>
      <c r="G92" s="1"/>
      <c r="H92" s="1"/>
      <c r="I92" s="1"/>
      <c r="J92" s="1"/>
    </row>
    <row r="93" ht="15.75" customHeight="1">
      <c r="A93" s="36"/>
      <c r="B93" s="37"/>
      <c r="C93" s="37"/>
      <c r="D93" s="1"/>
      <c r="E93" s="1"/>
      <c r="F93" s="1"/>
      <c r="G93" s="1"/>
      <c r="H93" s="1"/>
      <c r="I93" s="1"/>
      <c r="J93" s="1"/>
    </row>
    <row r="94" ht="15.75" customHeight="1">
      <c r="A94" s="36"/>
      <c r="B94" s="37"/>
      <c r="C94" s="37"/>
      <c r="D94" s="1"/>
      <c r="E94" s="1"/>
      <c r="F94" s="1"/>
      <c r="G94" s="1"/>
      <c r="H94" s="1"/>
      <c r="I94" s="1"/>
      <c r="J94" s="1"/>
    </row>
    <row r="95" ht="15.75" customHeight="1">
      <c r="A95" s="36"/>
      <c r="B95" s="37"/>
      <c r="C95" s="37"/>
      <c r="D95" s="1"/>
      <c r="E95" s="1"/>
      <c r="F95" s="1"/>
      <c r="G95" s="1"/>
      <c r="H95" s="1"/>
      <c r="I95" s="1"/>
      <c r="J95" s="1"/>
    </row>
    <row r="96" ht="15.75" customHeight="1">
      <c r="A96" s="36"/>
      <c r="B96" s="37"/>
      <c r="C96" s="37"/>
      <c r="D96" s="1"/>
      <c r="E96" s="1"/>
      <c r="F96" s="1"/>
      <c r="G96" s="1"/>
      <c r="H96" s="1"/>
      <c r="I96" s="1"/>
      <c r="J96" s="1"/>
    </row>
    <row r="97" ht="15.75" customHeight="1">
      <c r="A97" s="36"/>
      <c r="B97" s="37"/>
      <c r="C97" s="37"/>
      <c r="D97" s="1"/>
      <c r="E97" s="1"/>
      <c r="F97" s="1"/>
      <c r="G97" s="1"/>
      <c r="H97" s="1"/>
      <c r="I97" s="1"/>
      <c r="J97" s="1"/>
    </row>
    <row r="98" ht="15.75" customHeight="1">
      <c r="A98" s="36"/>
      <c r="B98" s="37"/>
      <c r="C98" s="37"/>
      <c r="D98" s="1"/>
      <c r="E98" s="1"/>
      <c r="F98" s="1"/>
      <c r="G98" s="1"/>
      <c r="H98" s="1"/>
      <c r="I98" s="1"/>
      <c r="J98" s="1"/>
    </row>
    <row r="99" ht="15.75" customHeight="1">
      <c r="A99" s="36"/>
      <c r="B99" s="37"/>
      <c r="C99" s="37"/>
      <c r="D99" s="1"/>
      <c r="E99" s="1"/>
      <c r="F99" s="1"/>
      <c r="G99" s="1"/>
      <c r="H99" s="1"/>
      <c r="I99" s="1"/>
      <c r="J99" s="1"/>
    </row>
    <row r="100" ht="15.75" customHeight="1">
      <c r="A100" s="36"/>
      <c r="B100" s="37"/>
      <c r="C100" s="37"/>
      <c r="D100" s="1"/>
      <c r="E100" s="1"/>
      <c r="F100" s="1"/>
      <c r="G100" s="1"/>
      <c r="H100" s="1"/>
      <c r="I100" s="1"/>
      <c r="J100" s="1"/>
    </row>
    <row r="101" ht="15.75" customHeight="1">
      <c r="A101" s="36"/>
      <c r="B101" s="37"/>
      <c r="C101" s="37"/>
      <c r="D101" s="1"/>
      <c r="E101" s="1"/>
      <c r="F101" s="1"/>
      <c r="G101" s="1"/>
      <c r="H101" s="1"/>
      <c r="I101" s="1"/>
      <c r="J101" s="1"/>
    </row>
    <row r="102" ht="15.75" customHeight="1">
      <c r="A102" s="36"/>
      <c r="B102" s="37"/>
      <c r="C102" s="37"/>
      <c r="D102" s="1"/>
      <c r="E102" s="1"/>
      <c r="F102" s="1"/>
      <c r="G102" s="1"/>
      <c r="H102" s="1"/>
      <c r="I102" s="1"/>
      <c r="J102" s="1"/>
    </row>
    <row r="103" ht="15.75" customHeight="1">
      <c r="A103" s="36"/>
      <c r="B103" s="37"/>
      <c r="C103" s="37"/>
      <c r="D103" s="1"/>
      <c r="E103" s="1"/>
      <c r="F103" s="1"/>
      <c r="G103" s="1"/>
      <c r="H103" s="1"/>
      <c r="I103" s="1"/>
      <c r="J103" s="1"/>
    </row>
    <row r="104" ht="15.75" customHeight="1">
      <c r="A104" s="36"/>
      <c r="B104" s="37"/>
      <c r="C104" s="37"/>
      <c r="D104" s="1"/>
      <c r="E104" s="1"/>
      <c r="F104" s="1"/>
      <c r="G104" s="1"/>
      <c r="H104" s="1"/>
      <c r="I104" s="1"/>
      <c r="J104" s="1"/>
    </row>
    <row r="105" ht="15.75" customHeight="1">
      <c r="A105" s="36"/>
      <c r="B105" s="37"/>
      <c r="C105" s="37"/>
      <c r="D105" s="1"/>
      <c r="E105" s="1"/>
      <c r="F105" s="1"/>
      <c r="G105" s="1"/>
      <c r="H105" s="1"/>
      <c r="I105" s="1"/>
      <c r="J105" s="1"/>
    </row>
    <row r="106" ht="15.75" customHeight="1">
      <c r="A106" s="36"/>
      <c r="B106" s="37"/>
      <c r="C106" s="37"/>
      <c r="D106" s="1"/>
      <c r="E106" s="1"/>
      <c r="F106" s="1"/>
      <c r="G106" s="1"/>
      <c r="H106" s="1"/>
      <c r="I106" s="1"/>
      <c r="J106" s="1"/>
    </row>
    <row r="107" ht="15.75" customHeight="1">
      <c r="A107" s="36"/>
      <c r="B107" s="37"/>
      <c r="C107" s="37"/>
      <c r="D107" s="1"/>
      <c r="E107" s="1"/>
      <c r="F107" s="1"/>
      <c r="G107" s="1"/>
      <c r="H107" s="1"/>
      <c r="I107" s="1"/>
      <c r="J107" s="1"/>
    </row>
    <row r="108" ht="15.75" customHeight="1">
      <c r="A108" s="36"/>
      <c r="B108" s="37"/>
      <c r="C108" s="37"/>
      <c r="D108" s="1"/>
      <c r="E108" s="1"/>
      <c r="F108" s="1"/>
      <c r="G108" s="1"/>
      <c r="H108" s="1"/>
      <c r="I108" s="1"/>
      <c r="J108" s="1"/>
    </row>
    <row r="109" ht="15.75" customHeight="1">
      <c r="A109" s="36"/>
      <c r="B109" s="37"/>
      <c r="C109" s="37"/>
      <c r="D109" s="1"/>
      <c r="E109" s="1"/>
      <c r="F109" s="1"/>
      <c r="G109" s="1"/>
      <c r="H109" s="1"/>
      <c r="I109" s="1"/>
      <c r="J109" s="1"/>
    </row>
    <row r="110" ht="15.75" customHeight="1">
      <c r="A110" s="36"/>
      <c r="B110" s="37"/>
      <c r="C110" s="37"/>
      <c r="D110" s="1"/>
      <c r="E110" s="1"/>
      <c r="F110" s="1"/>
      <c r="G110" s="1"/>
      <c r="H110" s="1"/>
      <c r="I110" s="1"/>
      <c r="J110" s="1"/>
    </row>
    <row r="111" ht="15.75" customHeight="1">
      <c r="A111" s="36"/>
      <c r="B111" s="37"/>
      <c r="C111" s="37"/>
      <c r="D111" s="1"/>
      <c r="E111" s="1"/>
      <c r="F111" s="1"/>
      <c r="G111" s="1"/>
      <c r="H111" s="1"/>
      <c r="I111" s="1"/>
      <c r="J111" s="1"/>
    </row>
    <row r="112" ht="15.75" customHeight="1">
      <c r="A112" s="36"/>
      <c r="B112" s="37"/>
      <c r="C112" s="37"/>
      <c r="D112" s="1"/>
      <c r="E112" s="1"/>
      <c r="F112" s="1"/>
      <c r="G112" s="1"/>
      <c r="H112" s="1"/>
      <c r="I112" s="1"/>
      <c r="J112" s="1"/>
    </row>
    <row r="113" ht="15.75" customHeight="1">
      <c r="A113" s="36"/>
      <c r="B113" s="37"/>
      <c r="C113" s="37"/>
      <c r="D113" s="1"/>
      <c r="E113" s="1"/>
      <c r="F113" s="1"/>
      <c r="G113" s="1"/>
      <c r="H113" s="1"/>
      <c r="I113" s="1"/>
      <c r="J113" s="1"/>
    </row>
    <row r="114" ht="15.75" customHeight="1">
      <c r="A114" s="36"/>
      <c r="B114" s="37"/>
      <c r="C114" s="37"/>
      <c r="D114" s="1"/>
      <c r="E114" s="1"/>
      <c r="F114" s="1"/>
      <c r="G114" s="1"/>
      <c r="H114" s="1"/>
      <c r="I114" s="1"/>
      <c r="J114" s="1"/>
    </row>
    <row r="115" ht="15.75" customHeight="1">
      <c r="A115" s="36"/>
      <c r="B115" s="37"/>
      <c r="C115" s="37"/>
      <c r="D115" s="1"/>
      <c r="E115" s="1"/>
      <c r="F115" s="1"/>
      <c r="G115" s="1"/>
      <c r="H115" s="1"/>
      <c r="I115" s="1"/>
      <c r="J115" s="1"/>
    </row>
    <row r="116" ht="15.75" customHeight="1">
      <c r="A116" s="36"/>
      <c r="B116" s="37"/>
      <c r="C116" s="37"/>
      <c r="D116" s="1"/>
      <c r="E116" s="1"/>
      <c r="F116" s="1"/>
      <c r="G116" s="1"/>
      <c r="H116" s="1"/>
      <c r="I116" s="1"/>
      <c r="J116" s="1"/>
    </row>
    <row r="117" ht="15.75" customHeight="1">
      <c r="A117" s="36"/>
      <c r="B117" s="37"/>
      <c r="C117" s="37"/>
      <c r="D117" s="1"/>
      <c r="E117" s="1"/>
      <c r="F117" s="1"/>
      <c r="G117" s="1"/>
      <c r="H117" s="1"/>
      <c r="I117" s="1"/>
      <c r="J117" s="1"/>
    </row>
    <row r="118" ht="15.75" customHeight="1">
      <c r="A118" s="36"/>
      <c r="B118" s="37"/>
      <c r="C118" s="37"/>
      <c r="D118" s="1"/>
      <c r="E118" s="1"/>
      <c r="F118" s="1"/>
      <c r="G118" s="1"/>
      <c r="H118" s="1"/>
      <c r="I118" s="1"/>
      <c r="J118" s="1"/>
    </row>
    <row r="119" ht="15.75" customHeight="1">
      <c r="A119" s="36"/>
      <c r="B119" s="37"/>
      <c r="C119" s="37"/>
      <c r="D119" s="1"/>
      <c r="E119" s="1"/>
      <c r="F119" s="1"/>
      <c r="G119" s="1"/>
      <c r="H119" s="1"/>
      <c r="I119" s="1"/>
      <c r="J119" s="1"/>
    </row>
    <row r="120" ht="15.75" customHeight="1">
      <c r="A120" s="36"/>
      <c r="B120" s="37"/>
      <c r="C120" s="37"/>
      <c r="D120" s="1"/>
      <c r="E120" s="1"/>
      <c r="F120" s="1"/>
      <c r="G120" s="1"/>
      <c r="H120" s="1"/>
      <c r="I120" s="1"/>
      <c r="J120" s="1"/>
    </row>
    <row r="121" ht="15.75" customHeight="1">
      <c r="A121" s="36"/>
      <c r="B121" s="37"/>
      <c r="C121" s="37"/>
      <c r="D121" s="1"/>
      <c r="E121" s="1"/>
      <c r="F121" s="1"/>
      <c r="G121" s="1"/>
      <c r="H121" s="1"/>
      <c r="I121" s="1"/>
      <c r="J121" s="1"/>
    </row>
    <row r="122" ht="15.75" customHeight="1">
      <c r="A122" s="36"/>
      <c r="B122" s="37"/>
      <c r="C122" s="37"/>
      <c r="D122" s="1"/>
      <c r="E122" s="1"/>
      <c r="F122" s="1"/>
      <c r="G122" s="1"/>
      <c r="H122" s="1"/>
      <c r="I122" s="1"/>
      <c r="J122" s="1"/>
    </row>
    <row r="123" ht="15.75" customHeight="1">
      <c r="A123" s="36"/>
      <c r="B123" s="37"/>
      <c r="C123" s="37"/>
      <c r="D123" s="1"/>
      <c r="E123" s="1"/>
      <c r="F123" s="1"/>
      <c r="G123" s="1"/>
      <c r="H123" s="1"/>
      <c r="I123" s="1"/>
      <c r="J123" s="1"/>
    </row>
    <row r="124" ht="15.75" customHeight="1">
      <c r="A124" s="36"/>
      <c r="B124" s="37"/>
      <c r="C124" s="37"/>
      <c r="D124" s="1"/>
      <c r="E124" s="1"/>
      <c r="F124" s="1"/>
      <c r="G124" s="1"/>
      <c r="H124" s="1"/>
      <c r="I124" s="1"/>
      <c r="J124" s="1"/>
    </row>
    <row r="125" ht="15.75" customHeight="1">
      <c r="A125" s="36"/>
      <c r="B125" s="37"/>
      <c r="C125" s="37"/>
      <c r="D125" s="1"/>
      <c r="E125" s="1"/>
      <c r="F125" s="1"/>
      <c r="G125" s="1"/>
      <c r="H125" s="1"/>
      <c r="I125" s="1"/>
      <c r="J125" s="1"/>
    </row>
    <row r="126" ht="15.75" customHeight="1">
      <c r="A126" s="36"/>
      <c r="B126" s="37"/>
      <c r="C126" s="37"/>
      <c r="D126" s="1"/>
      <c r="E126" s="1"/>
      <c r="F126" s="1"/>
      <c r="G126" s="1"/>
      <c r="H126" s="1"/>
      <c r="I126" s="1"/>
      <c r="J126" s="1"/>
    </row>
    <row r="127" ht="15.75" customHeight="1">
      <c r="A127" s="36"/>
      <c r="B127" s="37"/>
      <c r="C127" s="37"/>
      <c r="D127" s="1"/>
      <c r="E127" s="1"/>
      <c r="F127" s="1"/>
      <c r="G127" s="1"/>
      <c r="H127" s="1"/>
      <c r="I127" s="1"/>
      <c r="J127" s="1"/>
    </row>
    <row r="128" ht="15.75" customHeight="1">
      <c r="A128" s="36"/>
      <c r="B128" s="37"/>
      <c r="C128" s="37"/>
      <c r="D128" s="1"/>
      <c r="E128" s="1"/>
      <c r="F128" s="1"/>
      <c r="G128" s="1"/>
      <c r="H128" s="1"/>
      <c r="I128" s="1"/>
      <c r="J128" s="1"/>
    </row>
    <row r="129" ht="15.75" customHeight="1">
      <c r="A129" s="36"/>
      <c r="B129" s="37"/>
      <c r="C129" s="37"/>
      <c r="D129" s="1"/>
      <c r="E129" s="1"/>
      <c r="F129" s="1"/>
      <c r="G129" s="1"/>
      <c r="H129" s="1"/>
      <c r="I129" s="1"/>
      <c r="J129" s="1"/>
    </row>
    <row r="130" ht="15.75" customHeight="1">
      <c r="A130" s="36"/>
      <c r="B130" s="37"/>
      <c r="C130" s="37"/>
      <c r="D130" s="1"/>
      <c r="E130" s="1"/>
      <c r="F130" s="1"/>
      <c r="G130" s="1"/>
      <c r="H130" s="1"/>
      <c r="I130" s="1"/>
      <c r="J130" s="1"/>
    </row>
    <row r="131" ht="15.75" customHeight="1">
      <c r="A131" s="36"/>
      <c r="B131" s="37"/>
      <c r="C131" s="37"/>
      <c r="D131" s="1"/>
      <c r="E131" s="1"/>
      <c r="F131" s="1"/>
      <c r="G131" s="1"/>
      <c r="H131" s="1"/>
      <c r="I131" s="1"/>
      <c r="J131" s="1"/>
    </row>
    <row r="132" ht="15.75" customHeight="1">
      <c r="A132" s="36"/>
      <c r="B132" s="37"/>
      <c r="C132" s="37"/>
      <c r="D132" s="1"/>
      <c r="E132" s="1"/>
      <c r="F132" s="1"/>
      <c r="G132" s="1"/>
      <c r="H132" s="1"/>
      <c r="I132" s="1"/>
      <c r="J132" s="1"/>
    </row>
    <row r="133" ht="15.75" customHeight="1">
      <c r="A133" s="36"/>
      <c r="B133" s="37"/>
      <c r="C133" s="37"/>
      <c r="D133" s="1"/>
      <c r="E133" s="1"/>
      <c r="F133" s="1"/>
      <c r="G133" s="1"/>
      <c r="H133" s="1"/>
      <c r="I133" s="1"/>
      <c r="J133" s="1"/>
    </row>
    <row r="134" ht="15.75" customHeight="1">
      <c r="A134" s="36"/>
      <c r="B134" s="37"/>
      <c r="C134" s="37"/>
      <c r="D134" s="1"/>
      <c r="E134" s="1"/>
      <c r="F134" s="1"/>
      <c r="G134" s="1"/>
      <c r="H134" s="1"/>
      <c r="I134" s="1"/>
      <c r="J134" s="1"/>
    </row>
    <row r="135" ht="15.75" customHeight="1">
      <c r="A135" s="36"/>
      <c r="B135" s="37"/>
      <c r="C135" s="37"/>
      <c r="D135" s="1"/>
      <c r="E135" s="1"/>
      <c r="F135" s="1"/>
      <c r="G135" s="1"/>
      <c r="H135" s="1"/>
      <c r="I135" s="1"/>
      <c r="J135" s="1"/>
    </row>
    <row r="136" ht="15.75" customHeight="1">
      <c r="A136" s="36"/>
      <c r="B136" s="37"/>
      <c r="C136" s="37"/>
      <c r="D136" s="1"/>
      <c r="E136" s="1"/>
      <c r="F136" s="1"/>
      <c r="G136" s="1"/>
      <c r="H136" s="1"/>
      <c r="I136" s="1"/>
      <c r="J136" s="1"/>
    </row>
    <row r="137" ht="15.75" customHeight="1">
      <c r="A137" s="36"/>
      <c r="B137" s="37"/>
      <c r="C137" s="37"/>
      <c r="D137" s="1"/>
      <c r="E137" s="1"/>
      <c r="F137" s="1"/>
      <c r="G137" s="1"/>
      <c r="H137" s="1"/>
      <c r="I137" s="1"/>
      <c r="J137" s="1"/>
    </row>
    <row r="138" ht="15.75" customHeight="1">
      <c r="A138" s="36"/>
      <c r="B138" s="37"/>
      <c r="C138" s="37"/>
      <c r="D138" s="1"/>
      <c r="E138" s="1"/>
      <c r="F138" s="1"/>
      <c r="G138" s="1"/>
      <c r="H138" s="1"/>
      <c r="I138" s="1"/>
      <c r="J138" s="1"/>
    </row>
    <row r="139" ht="15.75" customHeight="1">
      <c r="A139" s="36"/>
      <c r="B139" s="37"/>
      <c r="C139" s="37"/>
      <c r="D139" s="1"/>
      <c r="E139" s="1"/>
      <c r="F139" s="1"/>
      <c r="G139" s="1"/>
      <c r="H139" s="1"/>
      <c r="I139" s="1"/>
      <c r="J139" s="1"/>
    </row>
    <row r="140" ht="15.75" customHeight="1">
      <c r="A140" s="36"/>
      <c r="B140" s="37"/>
      <c r="C140" s="37"/>
      <c r="D140" s="1"/>
      <c r="E140" s="1"/>
      <c r="F140" s="1"/>
      <c r="G140" s="1"/>
      <c r="H140" s="1"/>
      <c r="I140" s="1"/>
      <c r="J140" s="1"/>
    </row>
    <row r="141" ht="15.75" customHeight="1">
      <c r="A141" s="36"/>
      <c r="B141" s="37"/>
      <c r="C141" s="37"/>
      <c r="D141" s="1"/>
      <c r="E141" s="1"/>
      <c r="F141" s="1"/>
      <c r="G141" s="1"/>
      <c r="H141" s="1"/>
      <c r="I141" s="1"/>
      <c r="J141" s="1"/>
    </row>
    <row r="142" ht="15.75" customHeight="1">
      <c r="A142" s="36"/>
      <c r="B142" s="37"/>
      <c r="C142" s="37"/>
      <c r="D142" s="1"/>
      <c r="E142" s="1"/>
      <c r="F142" s="1"/>
      <c r="G142" s="1"/>
      <c r="H142" s="1"/>
      <c r="I142" s="1"/>
      <c r="J142" s="1"/>
    </row>
    <row r="143" ht="15.75" customHeight="1">
      <c r="A143" s="36"/>
      <c r="B143" s="37"/>
      <c r="C143" s="37"/>
      <c r="D143" s="1"/>
      <c r="E143" s="1"/>
      <c r="F143" s="1"/>
      <c r="G143" s="1"/>
      <c r="H143" s="1"/>
      <c r="I143" s="1"/>
      <c r="J143" s="1"/>
    </row>
    <row r="144" ht="15.75" customHeight="1">
      <c r="A144" s="36"/>
      <c r="B144" s="37"/>
      <c r="C144" s="37"/>
      <c r="D144" s="1"/>
      <c r="E144" s="1"/>
      <c r="F144" s="1"/>
      <c r="G144" s="1"/>
      <c r="H144" s="1"/>
      <c r="I144" s="1"/>
      <c r="J144" s="1"/>
    </row>
    <row r="145" ht="15.75" customHeight="1">
      <c r="A145" s="36"/>
      <c r="B145" s="37"/>
      <c r="C145" s="37"/>
      <c r="D145" s="1"/>
      <c r="E145" s="1"/>
      <c r="F145" s="1"/>
      <c r="G145" s="1"/>
      <c r="H145" s="1"/>
      <c r="I145" s="1"/>
      <c r="J145" s="1"/>
    </row>
    <row r="146" ht="15.75" customHeight="1">
      <c r="A146" s="36"/>
      <c r="B146" s="37"/>
      <c r="C146" s="37"/>
      <c r="D146" s="1"/>
      <c r="E146" s="1"/>
      <c r="F146" s="1"/>
      <c r="G146" s="1"/>
      <c r="H146" s="1"/>
      <c r="I146" s="1"/>
      <c r="J146" s="1"/>
    </row>
    <row r="147" ht="15.75" customHeight="1">
      <c r="A147" s="36"/>
      <c r="B147" s="37"/>
      <c r="C147" s="37"/>
      <c r="D147" s="1"/>
      <c r="E147" s="1"/>
      <c r="F147" s="1"/>
      <c r="G147" s="1"/>
      <c r="H147" s="1"/>
      <c r="I147" s="1"/>
      <c r="J147" s="1"/>
    </row>
    <row r="148" ht="15.75" customHeight="1">
      <c r="A148" s="36"/>
      <c r="B148" s="37"/>
      <c r="C148" s="37"/>
      <c r="D148" s="1"/>
      <c r="E148" s="1"/>
      <c r="F148" s="1"/>
      <c r="G148" s="1"/>
      <c r="H148" s="1"/>
      <c r="I148" s="1"/>
      <c r="J148" s="1"/>
    </row>
    <row r="149" ht="15.75" customHeight="1">
      <c r="A149" s="36"/>
      <c r="B149" s="37"/>
      <c r="C149" s="37"/>
      <c r="D149" s="1"/>
      <c r="E149" s="1"/>
      <c r="F149" s="1"/>
      <c r="G149" s="1"/>
      <c r="H149" s="1"/>
      <c r="I149" s="1"/>
      <c r="J149" s="1"/>
    </row>
    <row r="150" ht="15.75" customHeight="1">
      <c r="A150" s="36"/>
      <c r="B150" s="37"/>
      <c r="C150" s="37"/>
      <c r="D150" s="1"/>
      <c r="E150" s="1"/>
      <c r="F150" s="1"/>
      <c r="G150" s="1"/>
      <c r="H150" s="1"/>
      <c r="I150" s="1"/>
      <c r="J150" s="1"/>
    </row>
    <row r="151" ht="15.75" customHeight="1">
      <c r="A151" s="36"/>
      <c r="B151" s="37"/>
      <c r="C151" s="37"/>
      <c r="D151" s="1"/>
      <c r="E151" s="1"/>
      <c r="F151" s="1"/>
      <c r="G151" s="1"/>
      <c r="H151" s="1"/>
      <c r="I151" s="1"/>
      <c r="J151" s="1"/>
    </row>
    <row r="152" ht="15.75" customHeight="1">
      <c r="A152" s="36"/>
      <c r="B152" s="37"/>
      <c r="C152" s="37"/>
      <c r="D152" s="1"/>
      <c r="E152" s="1"/>
      <c r="F152" s="1"/>
      <c r="G152" s="1"/>
      <c r="H152" s="1"/>
      <c r="I152" s="1"/>
      <c r="J152" s="1"/>
    </row>
    <row r="153" ht="15.75" customHeight="1">
      <c r="A153" s="36"/>
      <c r="B153" s="37"/>
      <c r="C153" s="37"/>
      <c r="D153" s="1"/>
      <c r="E153" s="1"/>
      <c r="F153" s="1"/>
      <c r="G153" s="1"/>
      <c r="H153" s="1"/>
      <c r="I153" s="1"/>
      <c r="J153" s="1"/>
    </row>
    <row r="154" ht="15.75" customHeight="1">
      <c r="A154" s="36"/>
      <c r="B154" s="37"/>
      <c r="C154" s="37"/>
      <c r="D154" s="1"/>
      <c r="E154" s="1"/>
      <c r="F154" s="1"/>
      <c r="G154" s="1"/>
      <c r="H154" s="1"/>
      <c r="I154" s="1"/>
      <c r="J154" s="1"/>
    </row>
    <row r="155" ht="15.75" customHeight="1">
      <c r="A155" s="36"/>
      <c r="B155" s="37"/>
      <c r="C155" s="37"/>
      <c r="D155" s="1"/>
      <c r="E155" s="1"/>
      <c r="F155" s="1"/>
      <c r="G155" s="1"/>
      <c r="H155" s="1"/>
      <c r="I155" s="1"/>
      <c r="J155" s="1"/>
    </row>
    <row r="156" ht="15.75" customHeight="1">
      <c r="A156" s="36"/>
      <c r="B156" s="37"/>
      <c r="C156" s="37"/>
      <c r="D156" s="1"/>
      <c r="E156" s="1"/>
      <c r="F156" s="1"/>
      <c r="G156" s="1"/>
      <c r="H156" s="1"/>
      <c r="I156" s="1"/>
      <c r="J156" s="1"/>
    </row>
    <row r="157" ht="15.75" customHeight="1">
      <c r="A157" s="36"/>
      <c r="B157" s="37"/>
      <c r="C157" s="37"/>
      <c r="D157" s="1"/>
      <c r="E157" s="1"/>
      <c r="F157" s="1"/>
      <c r="G157" s="1"/>
      <c r="H157" s="1"/>
      <c r="I157" s="1"/>
      <c r="J157" s="1"/>
    </row>
    <row r="158" ht="15.75" customHeight="1">
      <c r="A158" s="36"/>
      <c r="B158" s="37"/>
      <c r="C158" s="37"/>
      <c r="D158" s="1"/>
      <c r="E158" s="1"/>
      <c r="F158" s="1"/>
      <c r="G158" s="1"/>
      <c r="H158" s="1"/>
      <c r="I158" s="1"/>
      <c r="J158" s="1"/>
    </row>
    <row r="159" ht="15.75" customHeight="1">
      <c r="A159" s="36"/>
      <c r="B159" s="37"/>
      <c r="C159" s="37"/>
      <c r="D159" s="1"/>
      <c r="E159" s="1"/>
      <c r="F159" s="1"/>
      <c r="G159" s="1"/>
      <c r="H159" s="1"/>
      <c r="I159" s="1"/>
      <c r="J159" s="1"/>
    </row>
    <row r="160" ht="15.75" customHeight="1">
      <c r="A160" s="36"/>
      <c r="B160" s="37"/>
      <c r="C160" s="37"/>
      <c r="D160" s="1"/>
      <c r="E160" s="1"/>
      <c r="F160" s="1"/>
      <c r="G160" s="1"/>
      <c r="H160" s="1"/>
      <c r="I160" s="1"/>
      <c r="J160" s="1"/>
    </row>
    <row r="161" ht="15.75" customHeight="1">
      <c r="A161" s="36"/>
      <c r="B161" s="37"/>
      <c r="C161" s="37"/>
      <c r="D161" s="1"/>
      <c r="E161" s="1"/>
      <c r="F161" s="1"/>
      <c r="G161" s="1"/>
      <c r="H161" s="1"/>
      <c r="I161" s="1"/>
      <c r="J161" s="1"/>
    </row>
    <row r="162" ht="15.75" customHeight="1">
      <c r="A162" s="36"/>
      <c r="B162" s="37"/>
      <c r="C162" s="37"/>
      <c r="D162" s="1"/>
      <c r="E162" s="1"/>
      <c r="F162" s="1"/>
      <c r="G162" s="1"/>
      <c r="H162" s="1"/>
      <c r="I162" s="1"/>
      <c r="J162" s="1"/>
    </row>
    <row r="163" ht="15.75" customHeight="1">
      <c r="A163" s="36"/>
      <c r="B163" s="37"/>
      <c r="C163" s="37"/>
      <c r="D163" s="1"/>
      <c r="E163" s="1"/>
      <c r="F163" s="1"/>
      <c r="G163" s="1"/>
      <c r="H163" s="1"/>
      <c r="I163" s="1"/>
      <c r="J163" s="1"/>
    </row>
    <row r="164" ht="15.75" customHeight="1">
      <c r="A164" s="36"/>
      <c r="B164" s="37"/>
      <c r="C164" s="37"/>
      <c r="D164" s="1"/>
      <c r="E164" s="1"/>
      <c r="F164" s="1"/>
      <c r="G164" s="1"/>
      <c r="H164" s="1"/>
      <c r="I164" s="1"/>
      <c r="J164" s="1"/>
    </row>
    <row r="165" ht="15.75" customHeight="1">
      <c r="A165" s="36"/>
      <c r="B165" s="37"/>
      <c r="C165" s="37"/>
      <c r="D165" s="1"/>
      <c r="E165" s="1"/>
      <c r="F165" s="1"/>
      <c r="G165" s="1"/>
      <c r="H165" s="1"/>
      <c r="I165" s="1"/>
      <c r="J165" s="1"/>
    </row>
    <row r="166" ht="15.75" customHeight="1">
      <c r="A166" s="36"/>
      <c r="B166" s="37"/>
      <c r="C166" s="37"/>
      <c r="D166" s="1"/>
      <c r="E166" s="1"/>
      <c r="F166" s="1"/>
      <c r="G166" s="1"/>
      <c r="H166" s="1"/>
      <c r="I166" s="1"/>
      <c r="J166" s="1"/>
    </row>
    <row r="167" ht="15.75" customHeight="1">
      <c r="A167" s="36"/>
      <c r="B167" s="37"/>
      <c r="C167" s="37"/>
      <c r="D167" s="1"/>
      <c r="E167" s="1"/>
      <c r="F167" s="1"/>
      <c r="G167" s="1"/>
      <c r="H167" s="1"/>
      <c r="I167" s="1"/>
      <c r="J167" s="1"/>
    </row>
    <row r="168" ht="15.75" customHeight="1">
      <c r="A168" s="36"/>
      <c r="B168" s="37"/>
      <c r="C168" s="37"/>
      <c r="D168" s="1"/>
      <c r="E168" s="1"/>
      <c r="F168" s="1"/>
      <c r="G168" s="1"/>
      <c r="H168" s="1"/>
      <c r="I168" s="1"/>
      <c r="J168" s="1"/>
    </row>
    <row r="169" ht="15.75" customHeight="1">
      <c r="A169" s="36"/>
      <c r="B169" s="37"/>
      <c r="C169" s="37"/>
      <c r="D169" s="1"/>
      <c r="E169" s="1"/>
      <c r="F169" s="1"/>
      <c r="G169" s="1"/>
      <c r="H169" s="1"/>
      <c r="I169" s="1"/>
      <c r="J169" s="1"/>
    </row>
    <row r="170" ht="15.75" customHeight="1">
      <c r="A170" s="36"/>
      <c r="B170" s="37"/>
      <c r="C170" s="37"/>
      <c r="D170" s="1"/>
      <c r="E170" s="1"/>
      <c r="F170" s="1"/>
      <c r="G170" s="1"/>
      <c r="H170" s="1"/>
      <c r="I170" s="1"/>
      <c r="J170" s="1"/>
    </row>
    <row r="171" ht="15.75" customHeight="1">
      <c r="A171" s="36"/>
      <c r="B171" s="37"/>
      <c r="C171" s="37"/>
      <c r="D171" s="1"/>
      <c r="E171" s="1"/>
      <c r="F171" s="1"/>
      <c r="G171" s="1"/>
      <c r="H171" s="1"/>
      <c r="I171" s="1"/>
      <c r="J171" s="1"/>
    </row>
    <row r="172" ht="15.75" customHeight="1">
      <c r="A172" s="36"/>
      <c r="B172" s="37"/>
      <c r="C172" s="37"/>
      <c r="D172" s="1"/>
      <c r="E172" s="1"/>
      <c r="F172" s="1"/>
      <c r="G172" s="1"/>
      <c r="H172" s="1"/>
      <c r="I172" s="1"/>
      <c r="J172" s="1"/>
    </row>
    <row r="173" ht="15.75" customHeight="1">
      <c r="A173" s="36"/>
      <c r="B173" s="37"/>
      <c r="C173" s="37"/>
      <c r="D173" s="1"/>
      <c r="E173" s="1"/>
      <c r="F173" s="1"/>
      <c r="G173" s="1"/>
      <c r="H173" s="1"/>
      <c r="I173" s="1"/>
      <c r="J173" s="1"/>
    </row>
    <row r="174" ht="15.75" customHeight="1">
      <c r="A174" s="36"/>
      <c r="B174" s="37"/>
      <c r="C174" s="37"/>
      <c r="D174" s="1"/>
      <c r="E174" s="1"/>
      <c r="F174" s="1"/>
      <c r="G174" s="1"/>
      <c r="H174" s="1"/>
      <c r="I174" s="1"/>
      <c r="J174" s="1"/>
    </row>
    <row r="175" ht="15.75" customHeight="1">
      <c r="A175" s="36"/>
      <c r="B175" s="37"/>
      <c r="C175" s="37"/>
      <c r="D175" s="1"/>
      <c r="E175" s="1"/>
      <c r="F175" s="1"/>
      <c r="G175" s="1"/>
      <c r="H175" s="1"/>
      <c r="I175" s="1"/>
      <c r="J175" s="1"/>
    </row>
    <row r="176" ht="15.75" customHeight="1">
      <c r="A176" s="36"/>
      <c r="B176" s="37"/>
      <c r="C176" s="37"/>
      <c r="D176" s="1"/>
      <c r="E176" s="1"/>
      <c r="F176" s="1"/>
      <c r="G176" s="1"/>
      <c r="H176" s="1"/>
      <c r="I176" s="1"/>
      <c r="J176" s="1"/>
    </row>
    <row r="177" ht="15.75" customHeight="1">
      <c r="A177" s="36"/>
      <c r="B177" s="37"/>
      <c r="C177" s="37"/>
      <c r="D177" s="1"/>
      <c r="E177" s="1"/>
      <c r="F177" s="1"/>
      <c r="G177" s="1"/>
      <c r="H177" s="1"/>
      <c r="I177" s="1"/>
      <c r="J177" s="1"/>
    </row>
    <row r="178" ht="15.75" customHeight="1">
      <c r="A178" s="36"/>
      <c r="B178" s="37"/>
      <c r="C178" s="37"/>
      <c r="D178" s="1"/>
      <c r="E178" s="1"/>
      <c r="F178" s="1"/>
      <c r="G178" s="1"/>
      <c r="H178" s="1"/>
      <c r="I178" s="1"/>
      <c r="J178" s="1"/>
    </row>
    <row r="179" ht="15.75" customHeight="1">
      <c r="A179" s="36"/>
      <c r="B179" s="37"/>
      <c r="C179" s="37"/>
      <c r="D179" s="1"/>
      <c r="E179" s="1"/>
      <c r="F179" s="1"/>
      <c r="G179" s="1"/>
      <c r="H179" s="1"/>
      <c r="I179" s="1"/>
      <c r="J179" s="1"/>
    </row>
    <row r="180" ht="15.75" customHeight="1">
      <c r="A180" s="36"/>
      <c r="B180" s="37"/>
      <c r="C180" s="37"/>
      <c r="D180" s="1"/>
      <c r="E180" s="1"/>
      <c r="F180" s="1"/>
      <c r="G180" s="1"/>
      <c r="H180" s="1"/>
      <c r="I180" s="1"/>
      <c r="J180" s="1"/>
    </row>
    <row r="181" ht="15.75" customHeight="1">
      <c r="A181" s="36"/>
      <c r="B181" s="37"/>
      <c r="C181" s="37"/>
      <c r="D181" s="1"/>
      <c r="E181" s="1"/>
      <c r="F181" s="1"/>
      <c r="G181" s="1"/>
      <c r="H181" s="1"/>
      <c r="I181" s="1"/>
      <c r="J181" s="1"/>
    </row>
    <row r="182" ht="15.75" customHeight="1">
      <c r="A182" s="36"/>
      <c r="B182" s="37"/>
      <c r="C182" s="37"/>
      <c r="D182" s="1"/>
      <c r="E182" s="1"/>
      <c r="F182" s="1"/>
      <c r="G182" s="1"/>
      <c r="H182" s="1"/>
      <c r="I182" s="1"/>
      <c r="J182" s="1"/>
    </row>
    <row r="183" ht="15.75" customHeight="1">
      <c r="A183" s="36"/>
      <c r="B183" s="37"/>
      <c r="C183" s="37"/>
      <c r="D183" s="1"/>
      <c r="E183" s="1"/>
      <c r="F183" s="1"/>
      <c r="G183" s="1"/>
      <c r="H183" s="1"/>
      <c r="I183" s="1"/>
      <c r="J183" s="1"/>
    </row>
    <row r="184" ht="15.75" customHeight="1">
      <c r="A184" s="36"/>
      <c r="B184" s="37"/>
      <c r="C184" s="37"/>
      <c r="D184" s="1"/>
      <c r="E184" s="1"/>
      <c r="F184" s="1"/>
      <c r="G184" s="1"/>
      <c r="H184" s="1"/>
      <c r="I184" s="1"/>
      <c r="J184" s="1"/>
    </row>
    <row r="185" ht="15.75" customHeight="1">
      <c r="A185" s="36"/>
      <c r="B185" s="37"/>
      <c r="C185" s="37"/>
      <c r="D185" s="1"/>
      <c r="E185" s="1"/>
      <c r="F185" s="1"/>
      <c r="G185" s="1"/>
      <c r="H185" s="1"/>
      <c r="I185" s="1"/>
      <c r="J185" s="1"/>
    </row>
    <row r="186" ht="15.75" customHeight="1">
      <c r="A186" s="36"/>
      <c r="B186" s="37"/>
      <c r="C186" s="37"/>
      <c r="D186" s="1"/>
      <c r="E186" s="1"/>
      <c r="F186" s="1"/>
      <c r="G186" s="1"/>
      <c r="H186" s="1"/>
      <c r="I186" s="1"/>
      <c r="J186" s="1"/>
    </row>
    <row r="187" ht="15.75" customHeight="1">
      <c r="A187" s="36"/>
      <c r="B187" s="37"/>
      <c r="C187" s="37"/>
      <c r="D187" s="1"/>
      <c r="E187" s="1"/>
      <c r="F187" s="1"/>
      <c r="G187" s="1"/>
      <c r="H187" s="1"/>
      <c r="I187" s="1"/>
      <c r="J187" s="1"/>
    </row>
    <row r="188" ht="15.75" customHeight="1">
      <c r="A188" s="36"/>
      <c r="B188" s="37"/>
      <c r="C188" s="37"/>
      <c r="D188" s="1"/>
      <c r="E188" s="1"/>
      <c r="F188" s="1"/>
      <c r="G188" s="1"/>
      <c r="H188" s="1"/>
      <c r="I188" s="1"/>
      <c r="J188" s="1"/>
    </row>
    <row r="189" ht="15.75" customHeight="1">
      <c r="A189" s="36"/>
      <c r="B189" s="37"/>
      <c r="C189" s="37"/>
      <c r="D189" s="1"/>
      <c r="E189" s="1"/>
      <c r="F189" s="1"/>
      <c r="G189" s="1"/>
      <c r="H189" s="1"/>
      <c r="I189" s="1"/>
      <c r="J189" s="1"/>
    </row>
    <row r="190" ht="15.75" customHeight="1">
      <c r="A190" s="36"/>
      <c r="B190" s="37"/>
      <c r="C190" s="37"/>
      <c r="D190" s="1"/>
      <c r="E190" s="1"/>
      <c r="F190" s="1"/>
      <c r="G190" s="1"/>
      <c r="H190" s="1"/>
      <c r="I190" s="1"/>
      <c r="J190" s="1"/>
    </row>
    <row r="191" ht="15.75" customHeight="1">
      <c r="A191" s="36"/>
      <c r="B191" s="37"/>
      <c r="C191" s="37"/>
      <c r="D191" s="1"/>
      <c r="E191" s="1"/>
      <c r="F191" s="1"/>
      <c r="G191" s="1"/>
      <c r="H191" s="1"/>
      <c r="I191" s="1"/>
      <c r="J191" s="1"/>
    </row>
    <row r="192" ht="15.75" customHeight="1">
      <c r="A192" s="36"/>
      <c r="B192" s="37"/>
      <c r="C192" s="37"/>
      <c r="D192" s="1"/>
      <c r="E192" s="1"/>
      <c r="F192" s="1"/>
      <c r="G192" s="1"/>
      <c r="H192" s="1"/>
      <c r="I192" s="1"/>
      <c r="J192" s="1"/>
    </row>
    <row r="193" ht="15.75" customHeight="1">
      <c r="A193" s="36"/>
      <c r="B193" s="37"/>
      <c r="C193" s="37"/>
      <c r="D193" s="1"/>
      <c r="E193" s="1"/>
      <c r="F193" s="1"/>
      <c r="G193" s="1"/>
      <c r="H193" s="1"/>
      <c r="I193" s="1"/>
      <c r="J193" s="1"/>
    </row>
    <row r="194" ht="15.75" customHeight="1">
      <c r="A194" s="36"/>
      <c r="B194" s="37"/>
      <c r="C194" s="37"/>
      <c r="D194" s="1"/>
      <c r="E194" s="1"/>
      <c r="F194" s="1"/>
      <c r="G194" s="1"/>
      <c r="H194" s="1"/>
      <c r="I194" s="1"/>
      <c r="J194" s="1"/>
    </row>
    <row r="195" ht="15.75" customHeight="1">
      <c r="A195" s="36"/>
      <c r="B195" s="37"/>
      <c r="C195" s="37"/>
      <c r="D195" s="1"/>
      <c r="E195" s="1"/>
      <c r="F195" s="1"/>
      <c r="G195" s="1"/>
      <c r="H195" s="1"/>
      <c r="I195" s="1"/>
      <c r="J195" s="1"/>
    </row>
    <row r="196" ht="15.75" customHeight="1">
      <c r="A196" s="36"/>
      <c r="B196" s="37"/>
      <c r="C196" s="37"/>
      <c r="D196" s="1"/>
      <c r="E196" s="1"/>
      <c r="F196" s="1"/>
      <c r="G196" s="1"/>
      <c r="H196" s="1"/>
      <c r="I196" s="1"/>
      <c r="J196" s="1"/>
    </row>
    <row r="197" ht="15.75" customHeight="1">
      <c r="A197" s="36"/>
      <c r="B197" s="37"/>
      <c r="C197" s="37"/>
      <c r="D197" s="1"/>
      <c r="E197" s="1"/>
      <c r="F197" s="1"/>
      <c r="G197" s="1"/>
      <c r="H197" s="1"/>
      <c r="I197" s="1"/>
      <c r="J197" s="1"/>
    </row>
    <row r="198" ht="15.75" customHeight="1">
      <c r="A198" s="36"/>
      <c r="B198" s="37"/>
      <c r="C198" s="37"/>
      <c r="D198" s="1"/>
      <c r="E198" s="1"/>
      <c r="F198" s="1"/>
      <c r="G198" s="1"/>
      <c r="H198" s="1"/>
      <c r="I198" s="1"/>
      <c r="J198" s="1"/>
    </row>
    <row r="199" ht="15.75" customHeight="1">
      <c r="A199" s="36"/>
      <c r="B199" s="37"/>
      <c r="C199" s="37"/>
      <c r="D199" s="1"/>
      <c r="E199" s="1"/>
      <c r="F199" s="1"/>
      <c r="G199" s="1"/>
      <c r="H199" s="1"/>
      <c r="I199" s="1"/>
      <c r="J199" s="1"/>
    </row>
    <row r="200" ht="15.75" customHeight="1">
      <c r="A200" s="36"/>
      <c r="B200" s="37"/>
      <c r="C200" s="37"/>
      <c r="D200" s="1"/>
      <c r="E200" s="1"/>
      <c r="F200" s="1"/>
      <c r="G200" s="1"/>
      <c r="H200" s="1"/>
      <c r="I200" s="1"/>
      <c r="J200" s="1"/>
    </row>
    <row r="201" ht="15.75" customHeight="1">
      <c r="A201" s="36"/>
      <c r="B201" s="37"/>
      <c r="C201" s="37"/>
      <c r="D201" s="1"/>
      <c r="E201" s="1"/>
      <c r="F201" s="1"/>
      <c r="G201" s="1"/>
      <c r="H201" s="1"/>
      <c r="I201" s="1"/>
      <c r="J201" s="1"/>
    </row>
    <row r="202" ht="15.75" customHeight="1">
      <c r="A202" s="36"/>
      <c r="B202" s="37"/>
      <c r="C202" s="37"/>
      <c r="D202" s="1"/>
      <c r="E202" s="1"/>
      <c r="F202" s="1"/>
      <c r="G202" s="1"/>
      <c r="H202" s="1"/>
      <c r="I202" s="1"/>
      <c r="J202" s="1"/>
    </row>
    <row r="203" ht="15.75" customHeight="1">
      <c r="A203" s="36"/>
      <c r="B203" s="37"/>
      <c r="C203" s="37"/>
      <c r="D203" s="1"/>
      <c r="E203" s="1"/>
      <c r="F203" s="1"/>
      <c r="G203" s="1"/>
      <c r="H203" s="1"/>
      <c r="I203" s="1"/>
      <c r="J203" s="1"/>
    </row>
    <row r="204" ht="15.75" customHeight="1">
      <c r="A204" s="36"/>
      <c r="B204" s="37"/>
      <c r="C204" s="37"/>
      <c r="D204" s="1"/>
      <c r="E204" s="1"/>
      <c r="F204" s="1"/>
      <c r="G204" s="1"/>
      <c r="H204" s="1"/>
      <c r="I204" s="1"/>
      <c r="J204" s="1"/>
    </row>
    <row r="205" ht="15.75" customHeight="1">
      <c r="A205" s="36"/>
      <c r="B205" s="37"/>
      <c r="C205" s="37"/>
      <c r="D205" s="1"/>
      <c r="E205" s="1"/>
      <c r="F205" s="1"/>
      <c r="G205" s="1"/>
      <c r="H205" s="1"/>
      <c r="I205" s="1"/>
      <c r="J205" s="1"/>
    </row>
    <row r="206" ht="15.75" customHeight="1">
      <c r="A206" s="36"/>
      <c r="B206" s="37"/>
      <c r="C206" s="37"/>
      <c r="D206" s="1"/>
      <c r="E206" s="1"/>
      <c r="F206" s="1"/>
      <c r="G206" s="1"/>
      <c r="H206" s="1"/>
      <c r="I206" s="1"/>
      <c r="J206" s="1"/>
    </row>
    <row r="207" ht="15.75" customHeight="1">
      <c r="A207" s="36"/>
      <c r="B207" s="37"/>
      <c r="C207" s="37"/>
      <c r="D207" s="1"/>
      <c r="E207" s="1"/>
      <c r="F207" s="1"/>
      <c r="G207" s="1"/>
      <c r="H207" s="1"/>
      <c r="I207" s="1"/>
      <c r="J207" s="1"/>
    </row>
    <row r="208" ht="15.75" customHeight="1">
      <c r="A208" s="36"/>
      <c r="B208" s="37"/>
      <c r="C208" s="37"/>
      <c r="D208" s="1"/>
      <c r="E208" s="1"/>
      <c r="F208" s="1"/>
      <c r="G208" s="1"/>
      <c r="H208" s="1"/>
      <c r="I208" s="1"/>
      <c r="J208" s="1"/>
    </row>
    <row r="209" ht="15.75" customHeight="1">
      <c r="A209" s="36"/>
      <c r="B209" s="37"/>
      <c r="C209" s="37"/>
      <c r="D209" s="1"/>
      <c r="E209" s="1"/>
      <c r="F209" s="1"/>
      <c r="G209" s="1"/>
      <c r="H209" s="1"/>
      <c r="I209" s="1"/>
      <c r="J209" s="1"/>
    </row>
    <row r="210" ht="15.75" customHeight="1">
      <c r="A210" s="36"/>
      <c r="B210" s="37"/>
      <c r="C210" s="37"/>
      <c r="D210" s="1"/>
      <c r="E210" s="1"/>
      <c r="F210" s="1"/>
      <c r="G210" s="1"/>
      <c r="H210" s="1"/>
      <c r="I210" s="1"/>
      <c r="J210" s="1"/>
    </row>
    <row r="211" ht="15.75" customHeight="1">
      <c r="A211" s="36"/>
      <c r="B211" s="37"/>
      <c r="C211" s="37"/>
      <c r="D211" s="1"/>
      <c r="E211" s="1"/>
      <c r="F211" s="1"/>
      <c r="G211" s="1"/>
      <c r="H211" s="1"/>
      <c r="I211" s="1"/>
      <c r="J211" s="1"/>
    </row>
    <row r="212" ht="15.75" customHeight="1">
      <c r="A212" s="36"/>
      <c r="B212" s="37"/>
      <c r="C212" s="37"/>
      <c r="D212" s="1"/>
      <c r="E212" s="1"/>
      <c r="F212" s="1"/>
      <c r="G212" s="1"/>
      <c r="H212" s="1"/>
      <c r="I212" s="1"/>
      <c r="J212" s="1"/>
    </row>
    <row r="213" ht="15.75" customHeight="1">
      <c r="A213" s="36"/>
      <c r="B213" s="37"/>
      <c r="C213" s="37"/>
      <c r="D213" s="1"/>
      <c r="E213" s="1"/>
      <c r="F213" s="1"/>
      <c r="G213" s="1"/>
      <c r="H213" s="1"/>
      <c r="I213" s="1"/>
      <c r="J213" s="1"/>
    </row>
    <row r="214" ht="15.75" customHeight="1">
      <c r="A214" s="36"/>
      <c r="B214" s="37"/>
      <c r="C214" s="37"/>
      <c r="D214" s="1"/>
      <c r="E214" s="1"/>
      <c r="F214" s="1"/>
      <c r="G214" s="1"/>
      <c r="H214" s="1"/>
      <c r="I214" s="1"/>
      <c r="J214" s="1"/>
    </row>
    <row r="215" ht="15.75" customHeight="1">
      <c r="A215" s="36"/>
      <c r="B215" s="37"/>
      <c r="C215" s="37"/>
      <c r="D215" s="1"/>
      <c r="E215" s="1"/>
      <c r="F215" s="1"/>
      <c r="G215" s="1"/>
      <c r="H215" s="1"/>
      <c r="I215" s="1"/>
      <c r="J215" s="1"/>
    </row>
    <row r="216" ht="15.75" customHeight="1">
      <c r="A216" s="36"/>
      <c r="B216" s="37"/>
      <c r="C216" s="37"/>
      <c r="D216" s="1"/>
      <c r="E216" s="1"/>
      <c r="F216" s="1"/>
      <c r="G216" s="1"/>
      <c r="H216" s="1"/>
      <c r="I216" s="1"/>
      <c r="J216" s="1"/>
    </row>
    <row r="217" ht="15.75" customHeight="1">
      <c r="A217" s="36"/>
      <c r="B217" s="37"/>
      <c r="C217" s="37"/>
      <c r="D217" s="1"/>
      <c r="E217" s="1"/>
      <c r="F217" s="1"/>
      <c r="G217" s="1"/>
      <c r="H217" s="1"/>
      <c r="I217" s="1"/>
      <c r="J217" s="1"/>
    </row>
    <row r="218" ht="15.75" customHeight="1">
      <c r="A218" s="36"/>
      <c r="B218" s="37"/>
      <c r="C218" s="37"/>
      <c r="D218" s="1"/>
      <c r="E218" s="1"/>
      <c r="F218" s="1"/>
      <c r="G218" s="1"/>
      <c r="H218" s="1"/>
      <c r="I218" s="1"/>
      <c r="J218" s="1"/>
    </row>
    <row r="219" ht="15.75" customHeight="1">
      <c r="A219" s="36"/>
      <c r="B219" s="37"/>
      <c r="C219" s="37"/>
      <c r="D219" s="1"/>
      <c r="E219" s="1"/>
      <c r="F219" s="1"/>
      <c r="G219" s="1"/>
      <c r="H219" s="1"/>
      <c r="I219" s="1"/>
      <c r="J219" s="1"/>
    </row>
    <row r="220" ht="15.75" customHeight="1">
      <c r="A220" s="36"/>
      <c r="B220" s="37"/>
      <c r="C220" s="37"/>
      <c r="D220" s="1"/>
      <c r="E220" s="1"/>
      <c r="F220" s="1"/>
      <c r="G220" s="1"/>
      <c r="H220" s="1"/>
      <c r="I220" s="1"/>
      <c r="J220" s="1"/>
    </row>
    <row r="221" ht="15.75" customHeight="1">
      <c r="A221" s="36"/>
      <c r="B221" s="37"/>
      <c r="C221" s="37"/>
      <c r="D221" s="1"/>
      <c r="E221" s="1"/>
      <c r="F221" s="1"/>
      <c r="G221" s="1"/>
      <c r="H221" s="1"/>
      <c r="I221" s="1"/>
      <c r="J221" s="1"/>
    </row>
    <row r="222" ht="15.75" customHeight="1">
      <c r="A222" s="36"/>
      <c r="B222" s="37"/>
      <c r="C222" s="37"/>
      <c r="D222" s="1"/>
      <c r="E222" s="1"/>
      <c r="F222" s="1"/>
      <c r="G222" s="1"/>
      <c r="H222" s="1"/>
      <c r="I222" s="1"/>
      <c r="J222" s="1"/>
    </row>
    <row r="223" ht="15.75" customHeight="1">
      <c r="A223" s="36"/>
      <c r="B223" s="37"/>
      <c r="C223" s="37"/>
      <c r="D223" s="1"/>
      <c r="E223" s="1"/>
      <c r="F223" s="1"/>
      <c r="G223" s="1"/>
      <c r="H223" s="1"/>
      <c r="I223" s="1"/>
      <c r="J223" s="1"/>
    </row>
    <row r="224" ht="15.75" customHeight="1">
      <c r="A224" s="36"/>
      <c r="B224" s="37"/>
      <c r="C224" s="37"/>
      <c r="D224" s="1"/>
      <c r="E224" s="1"/>
      <c r="F224" s="1"/>
      <c r="G224" s="1"/>
      <c r="H224" s="1"/>
      <c r="I224" s="1"/>
      <c r="J224" s="1"/>
    </row>
    <row r="225" ht="15.75" customHeight="1">
      <c r="A225" s="36"/>
      <c r="B225" s="37"/>
      <c r="C225" s="37"/>
      <c r="D225" s="1"/>
      <c r="E225" s="1"/>
      <c r="F225" s="1"/>
      <c r="G225" s="1"/>
      <c r="H225" s="1"/>
      <c r="I225" s="1"/>
      <c r="J225" s="1"/>
    </row>
    <row r="226" ht="15.75" customHeight="1">
      <c r="A226" s="36"/>
      <c r="B226" s="37"/>
      <c r="C226" s="37"/>
      <c r="D226" s="1"/>
      <c r="E226" s="1"/>
      <c r="F226" s="1"/>
      <c r="G226" s="1"/>
      <c r="H226" s="1"/>
      <c r="I226" s="1"/>
      <c r="J226" s="1"/>
    </row>
    <row r="227" ht="15.75" customHeight="1">
      <c r="A227" s="36"/>
      <c r="B227" s="37"/>
      <c r="C227" s="37"/>
      <c r="D227" s="1"/>
      <c r="E227" s="1"/>
      <c r="F227" s="1"/>
      <c r="G227" s="1"/>
      <c r="H227" s="1"/>
      <c r="I227" s="1"/>
      <c r="J227" s="1"/>
    </row>
    <row r="228" ht="15.75" customHeight="1">
      <c r="A228" s="36"/>
      <c r="B228" s="37"/>
      <c r="C228" s="37"/>
      <c r="D228" s="1"/>
      <c r="E228" s="1"/>
      <c r="F228" s="1"/>
      <c r="G228" s="1"/>
      <c r="H228" s="1"/>
      <c r="I228" s="1"/>
      <c r="J228" s="1"/>
    </row>
    <row r="229" ht="15.75" customHeight="1">
      <c r="A229" s="36"/>
      <c r="B229" s="37"/>
      <c r="C229" s="37"/>
      <c r="D229" s="1"/>
      <c r="E229" s="1"/>
      <c r="F229" s="1"/>
      <c r="G229" s="1"/>
      <c r="H229" s="1"/>
      <c r="I229" s="1"/>
      <c r="J229" s="1"/>
    </row>
    <row r="230" ht="15.75" customHeight="1">
      <c r="A230" s="36"/>
      <c r="B230" s="37"/>
      <c r="C230" s="37"/>
      <c r="D230" s="1"/>
      <c r="E230" s="1"/>
      <c r="F230" s="1"/>
      <c r="G230" s="1"/>
      <c r="H230" s="1"/>
      <c r="I230" s="1"/>
      <c r="J230" s="1"/>
    </row>
    <row r="231" ht="15.75" customHeight="1">
      <c r="A231" s="36"/>
      <c r="B231" s="37"/>
      <c r="C231" s="37"/>
      <c r="D231" s="1"/>
      <c r="E231" s="1"/>
      <c r="F231" s="1"/>
      <c r="G231" s="1"/>
      <c r="H231" s="1"/>
      <c r="I231" s="1"/>
      <c r="J231" s="1"/>
    </row>
    <row r="232" ht="15.75" customHeight="1">
      <c r="A232" s="36"/>
      <c r="B232" s="37"/>
      <c r="C232" s="37"/>
      <c r="D232" s="1"/>
      <c r="E232" s="1"/>
      <c r="F232" s="1"/>
      <c r="G232" s="1"/>
      <c r="H232" s="1"/>
      <c r="I232" s="1"/>
      <c r="J232" s="1"/>
    </row>
    <row r="233" ht="15.75" customHeight="1">
      <c r="A233" s="36"/>
      <c r="B233" s="37"/>
      <c r="C233" s="37"/>
      <c r="D233" s="1"/>
      <c r="E233" s="1"/>
      <c r="F233" s="1"/>
      <c r="G233" s="1"/>
      <c r="H233" s="1"/>
      <c r="I233" s="1"/>
      <c r="J233" s="1"/>
    </row>
    <row r="234" ht="15.75" customHeight="1">
      <c r="A234" s="36"/>
      <c r="B234" s="37"/>
      <c r="C234" s="37"/>
      <c r="D234" s="1"/>
      <c r="E234" s="1"/>
      <c r="F234" s="1"/>
      <c r="G234" s="1"/>
      <c r="H234" s="1"/>
      <c r="I234" s="1"/>
      <c r="J234" s="1"/>
    </row>
    <row r="235" ht="15.75" customHeight="1">
      <c r="A235" s="36"/>
      <c r="B235" s="37"/>
      <c r="C235" s="37"/>
      <c r="D235" s="1"/>
      <c r="E235" s="1"/>
      <c r="F235" s="1"/>
      <c r="G235" s="1"/>
      <c r="H235" s="1"/>
      <c r="I235" s="1"/>
      <c r="J235" s="1"/>
    </row>
    <row r="236" ht="15.75" customHeight="1">
      <c r="A236" s="36"/>
      <c r="B236" s="37"/>
      <c r="C236" s="37"/>
      <c r="D236" s="1"/>
      <c r="E236" s="1"/>
      <c r="F236" s="1"/>
      <c r="G236" s="1"/>
      <c r="H236" s="1"/>
      <c r="I236" s="1"/>
      <c r="J236" s="1"/>
    </row>
    <row r="237" ht="15.75" customHeight="1">
      <c r="A237" s="36"/>
      <c r="B237" s="37"/>
      <c r="C237" s="37"/>
      <c r="D237" s="1"/>
      <c r="E237" s="1"/>
      <c r="F237" s="1"/>
      <c r="G237" s="1"/>
      <c r="H237" s="1"/>
      <c r="I237" s="1"/>
      <c r="J237" s="1"/>
    </row>
    <row r="238" ht="15.75" customHeight="1">
      <c r="A238" s="36"/>
      <c r="B238" s="37"/>
      <c r="C238" s="37"/>
      <c r="D238" s="1"/>
      <c r="E238" s="1"/>
      <c r="F238" s="1"/>
      <c r="G238" s="1"/>
      <c r="H238" s="1"/>
      <c r="I238" s="1"/>
      <c r="J238" s="1"/>
    </row>
    <row r="239" ht="15.75" customHeight="1">
      <c r="A239" s="36"/>
      <c r="B239" s="37"/>
      <c r="C239" s="37"/>
      <c r="D239" s="1"/>
      <c r="E239" s="1"/>
      <c r="F239" s="1"/>
      <c r="G239" s="1"/>
      <c r="H239" s="1"/>
      <c r="I239" s="1"/>
      <c r="J239" s="1"/>
    </row>
    <row r="240" ht="15.75" customHeight="1">
      <c r="A240" s="36"/>
      <c r="B240" s="37"/>
      <c r="C240" s="37"/>
      <c r="D240" s="1"/>
      <c r="E240" s="1"/>
      <c r="F240" s="1"/>
      <c r="G240" s="1"/>
      <c r="H240" s="1"/>
      <c r="I240" s="1"/>
      <c r="J240" s="1"/>
    </row>
    <row r="241" ht="15.75" customHeight="1">
      <c r="A241" s="36"/>
      <c r="B241" s="37"/>
      <c r="C241" s="37"/>
      <c r="D241" s="1"/>
      <c r="E241" s="1"/>
      <c r="F241" s="1"/>
      <c r="G241" s="1"/>
      <c r="H241" s="1"/>
      <c r="I241" s="1"/>
      <c r="J241" s="1"/>
    </row>
    <row r="242" ht="15.75" customHeight="1">
      <c r="A242" s="36"/>
      <c r="B242" s="37"/>
      <c r="C242" s="37"/>
      <c r="D242" s="1"/>
      <c r="E242" s="1"/>
      <c r="F242" s="1"/>
      <c r="G242" s="1"/>
      <c r="H242" s="1"/>
      <c r="I242" s="1"/>
      <c r="J242" s="1"/>
    </row>
    <row r="243" ht="15.75" customHeight="1">
      <c r="A243" s="36"/>
      <c r="B243" s="37"/>
      <c r="C243" s="37"/>
      <c r="D243" s="1"/>
      <c r="E243" s="1"/>
      <c r="F243" s="1"/>
      <c r="G243" s="1"/>
      <c r="H243" s="1"/>
      <c r="I243" s="1"/>
      <c r="J243" s="1"/>
    </row>
    <row r="244" ht="15.75" customHeight="1">
      <c r="A244" s="36"/>
      <c r="B244" s="37"/>
      <c r="C244" s="37"/>
      <c r="D244" s="1"/>
      <c r="E244" s="1"/>
      <c r="F244" s="1"/>
      <c r="G244" s="1"/>
      <c r="H244" s="1"/>
      <c r="I244" s="1"/>
      <c r="J244" s="1"/>
    </row>
    <row r="245" ht="15.75" customHeight="1">
      <c r="A245" s="36"/>
      <c r="B245" s="37"/>
      <c r="C245" s="37"/>
      <c r="D245" s="1"/>
      <c r="E245" s="1"/>
      <c r="F245" s="1"/>
      <c r="G245" s="1"/>
      <c r="H245" s="1"/>
      <c r="I245" s="1"/>
      <c r="J245" s="1"/>
    </row>
    <row r="246" ht="15.75" customHeight="1">
      <c r="A246" s="36"/>
      <c r="B246" s="37"/>
      <c r="C246" s="37"/>
      <c r="D246" s="1"/>
      <c r="E246" s="1"/>
      <c r="F246" s="1"/>
      <c r="G246" s="1"/>
      <c r="H246" s="1"/>
      <c r="I246" s="1"/>
      <c r="J246" s="1"/>
    </row>
    <row r="247" ht="15.75" customHeight="1">
      <c r="A247" s="36"/>
      <c r="B247" s="37"/>
      <c r="C247" s="37"/>
      <c r="D247" s="1"/>
      <c r="E247" s="1"/>
      <c r="F247" s="1"/>
      <c r="G247" s="1"/>
      <c r="H247" s="1"/>
      <c r="I247" s="1"/>
      <c r="J247" s="1"/>
    </row>
    <row r="248" ht="15.75" customHeight="1">
      <c r="A248" s="36"/>
      <c r="B248" s="37"/>
      <c r="C248" s="37"/>
      <c r="D248" s="1"/>
      <c r="E248" s="1"/>
      <c r="F248" s="1"/>
      <c r="G248" s="1"/>
      <c r="H248" s="1"/>
      <c r="I248" s="1"/>
      <c r="J248" s="1"/>
    </row>
    <row r="249" ht="15.75" customHeight="1">
      <c r="A249" s="36"/>
      <c r="B249" s="37"/>
      <c r="C249" s="37"/>
      <c r="D249" s="1"/>
      <c r="E249" s="1"/>
      <c r="F249" s="1"/>
      <c r="G249" s="1"/>
      <c r="H249" s="1"/>
      <c r="I249" s="1"/>
      <c r="J249" s="1"/>
    </row>
    <row r="250" ht="15.75" customHeight="1">
      <c r="A250" s="36"/>
      <c r="B250" s="37"/>
      <c r="C250" s="37"/>
      <c r="D250" s="1"/>
      <c r="E250" s="1"/>
      <c r="F250" s="1"/>
      <c r="G250" s="1"/>
      <c r="H250" s="1"/>
      <c r="I250" s="1"/>
      <c r="J250" s="1"/>
    </row>
    <row r="251" ht="15.75" customHeight="1">
      <c r="A251" s="36"/>
      <c r="B251" s="37"/>
      <c r="C251" s="37"/>
      <c r="D251" s="1"/>
      <c r="E251" s="1"/>
      <c r="F251" s="1"/>
      <c r="G251" s="1"/>
      <c r="H251" s="1"/>
      <c r="I251" s="1"/>
      <c r="J251" s="1"/>
    </row>
    <row r="252" ht="15.75" customHeight="1">
      <c r="A252" s="36"/>
      <c r="B252" s="37"/>
      <c r="C252" s="37"/>
      <c r="D252" s="1"/>
      <c r="E252" s="1"/>
      <c r="F252" s="1"/>
      <c r="G252" s="1"/>
      <c r="H252" s="1"/>
      <c r="I252" s="1"/>
      <c r="J252" s="1"/>
    </row>
    <row r="253" ht="15.75" customHeight="1">
      <c r="A253" s="36"/>
      <c r="B253" s="37"/>
      <c r="C253" s="37"/>
      <c r="D253" s="1"/>
      <c r="E253" s="1"/>
      <c r="F253" s="1"/>
      <c r="G253" s="1"/>
      <c r="H253" s="1"/>
      <c r="I253" s="1"/>
      <c r="J253" s="1"/>
    </row>
    <row r="254" ht="15.75" customHeight="1">
      <c r="A254" s="36"/>
      <c r="B254" s="37"/>
      <c r="C254" s="37"/>
      <c r="D254" s="1"/>
      <c r="E254" s="1"/>
      <c r="F254" s="1"/>
      <c r="G254" s="1"/>
      <c r="H254" s="1"/>
      <c r="I254" s="1"/>
      <c r="J254" s="1"/>
    </row>
    <row r="255" ht="15.75" customHeight="1">
      <c r="A255" s="36"/>
      <c r="B255" s="37"/>
      <c r="C255" s="37"/>
      <c r="D255" s="1"/>
      <c r="E255" s="1"/>
      <c r="F255" s="1"/>
      <c r="G255" s="1"/>
      <c r="H255" s="1"/>
      <c r="I255" s="1"/>
      <c r="J255" s="1"/>
    </row>
    <row r="256" ht="15.75" customHeight="1">
      <c r="A256" s="36"/>
      <c r="B256" s="37"/>
      <c r="C256" s="37"/>
      <c r="D256" s="1"/>
      <c r="E256" s="1"/>
      <c r="F256" s="1"/>
      <c r="G256" s="1"/>
      <c r="H256" s="1"/>
      <c r="I256" s="1"/>
      <c r="J256" s="1"/>
    </row>
    <row r="257" ht="15.75" customHeight="1">
      <c r="A257" s="36"/>
      <c r="B257" s="37"/>
      <c r="C257" s="37"/>
      <c r="D257" s="1"/>
      <c r="E257" s="1"/>
      <c r="F257" s="1"/>
      <c r="G257" s="1"/>
      <c r="H257" s="1"/>
      <c r="I257" s="1"/>
      <c r="J257" s="1"/>
    </row>
    <row r="258" ht="15.75" customHeight="1">
      <c r="A258" s="36"/>
      <c r="B258" s="37"/>
      <c r="C258" s="37"/>
      <c r="D258" s="1"/>
      <c r="E258" s="1"/>
      <c r="F258" s="1"/>
      <c r="G258" s="1"/>
      <c r="H258" s="1"/>
      <c r="I258" s="1"/>
      <c r="J258" s="1"/>
    </row>
    <row r="259" ht="15.75" customHeight="1">
      <c r="A259" s="36"/>
      <c r="B259" s="37"/>
      <c r="C259" s="37"/>
      <c r="D259" s="1"/>
      <c r="E259" s="1"/>
      <c r="F259" s="1"/>
      <c r="G259" s="1"/>
      <c r="H259" s="1"/>
      <c r="I259" s="1"/>
      <c r="J259" s="1"/>
    </row>
    <row r="260" ht="15.75" customHeight="1">
      <c r="A260" s="36"/>
      <c r="B260" s="37"/>
      <c r="C260" s="37"/>
      <c r="D260" s="1"/>
      <c r="E260" s="1"/>
      <c r="F260" s="1"/>
      <c r="G260" s="1"/>
      <c r="H260" s="1"/>
      <c r="I260" s="1"/>
      <c r="J260" s="1"/>
    </row>
    <row r="261" ht="15.75" customHeight="1">
      <c r="A261" s="36"/>
      <c r="B261" s="37"/>
      <c r="C261" s="37"/>
      <c r="D261" s="1"/>
      <c r="E261" s="1"/>
      <c r="F261" s="1"/>
      <c r="G261" s="1"/>
      <c r="H261" s="1"/>
      <c r="I261" s="1"/>
      <c r="J261" s="1"/>
    </row>
    <row r="262" ht="15.75" customHeight="1">
      <c r="A262" s="36"/>
      <c r="B262" s="37"/>
      <c r="C262" s="37"/>
      <c r="D262" s="1"/>
      <c r="E262" s="1"/>
      <c r="F262" s="1"/>
      <c r="G262" s="1"/>
      <c r="H262" s="1"/>
      <c r="I262" s="1"/>
      <c r="J262" s="1"/>
    </row>
    <row r="263" ht="15.75" customHeight="1">
      <c r="A263" s="36"/>
      <c r="B263" s="37"/>
      <c r="C263" s="37"/>
      <c r="D263" s="1"/>
      <c r="E263" s="1"/>
      <c r="F263" s="1"/>
      <c r="G263" s="1"/>
      <c r="H263" s="1"/>
      <c r="I263" s="1"/>
      <c r="J263" s="1"/>
    </row>
    <row r="264" ht="15.75" customHeight="1">
      <c r="A264" s="36"/>
      <c r="B264" s="37"/>
      <c r="C264" s="37"/>
      <c r="D264" s="1"/>
      <c r="E264" s="1"/>
      <c r="F264" s="1"/>
      <c r="G264" s="1"/>
      <c r="H264" s="1"/>
      <c r="I264" s="1"/>
      <c r="J264" s="1"/>
    </row>
    <row r="265" ht="15.75" customHeight="1">
      <c r="A265" s="36"/>
      <c r="B265" s="37"/>
      <c r="C265" s="37"/>
      <c r="D265" s="1"/>
      <c r="E265" s="1"/>
      <c r="F265" s="1"/>
      <c r="G265" s="1"/>
      <c r="H265" s="1"/>
      <c r="I265" s="1"/>
      <c r="J265" s="1"/>
    </row>
    <row r="266" ht="15.75" customHeight="1">
      <c r="A266" s="36"/>
      <c r="B266" s="37"/>
      <c r="C266" s="37"/>
      <c r="D266" s="1"/>
      <c r="E266" s="1"/>
      <c r="F266" s="1"/>
      <c r="G266" s="1"/>
      <c r="H266" s="1"/>
      <c r="I266" s="1"/>
      <c r="J266" s="1"/>
    </row>
    <row r="267" ht="15.75" customHeight="1">
      <c r="A267" s="36"/>
      <c r="B267" s="37"/>
      <c r="C267" s="37"/>
      <c r="D267" s="1"/>
      <c r="E267" s="1"/>
      <c r="F267" s="1"/>
      <c r="G267" s="1"/>
      <c r="H267" s="1"/>
      <c r="I267" s="1"/>
      <c r="J267" s="1"/>
    </row>
    <row r="268" ht="15.75" customHeight="1">
      <c r="A268" s="36"/>
      <c r="B268" s="37"/>
      <c r="C268" s="37"/>
      <c r="D268" s="1"/>
      <c r="E268" s="1"/>
      <c r="F268" s="1"/>
      <c r="G268" s="1"/>
      <c r="H268" s="1"/>
      <c r="I268" s="1"/>
      <c r="J268" s="1"/>
    </row>
    <row r="269" ht="15.75" customHeight="1">
      <c r="A269" s="36"/>
      <c r="B269" s="37"/>
      <c r="C269" s="37"/>
      <c r="D269" s="1"/>
      <c r="E269" s="1"/>
      <c r="F269" s="1"/>
      <c r="G269" s="1"/>
      <c r="H269" s="1"/>
      <c r="I269" s="1"/>
      <c r="J269" s="1"/>
    </row>
    <row r="270" ht="15.75" customHeight="1">
      <c r="A270" s="36"/>
      <c r="B270" s="37"/>
      <c r="C270" s="37"/>
      <c r="D270" s="1"/>
      <c r="E270" s="1"/>
      <c r="F270" s="1"/>
      <c r="G270" s="1"/>
      <c r="H270" s="1"/>
      <c r="I270" s="1"/>
      <c r="J270" s="1"/>
    </row>
    <row r="271" ht="15.75" customHeight="1">
      <c r="A271" s="36"/>
      <c r="B271" s="37"/>
      <c r="C271" s="37"/>
      <c r="D271" s="1"/>
      <c r="E271" s="1"/>
      <c r="F271" s="1"/>
      <c r="G271" s="1"/>
      <c r="H271" s="1"/>
      <c r="I271" s="1"/>
      <c r="J271" s="1"/>
    </row>
    <row r="272" ht="15.75" customHeight="1">
      <c r="A272" s="36"/>
      <c r="B272" s="37"/>
      <c r="C272" s="37"/>
      <c r="D272" s="1"/>
      <c r="E272" s="1"/>
      <c r="F272" s="1"/>
      <c r="G272" s="1"/>
      <c r="H272" s="1"/>
      <c r="I272" s="1"/>
      <c r="J272" s="1"/>
    </row>
    <row r="273" ht="15.75" customHeight="1">
      <c r="A273" s="36"/>
      <c r="B273" s="37"/>
      <c r="C273" s="37"/>
      <c r="D273" s="1"/>
      <c r="E273" s="1"/>
      <c r="F273" s="1"/>
      <c r="G273" s="1"/>
      <c r="H273" s="1"/>
      <c r="I273" s="1"/>
      <c r="J273" s="1"/>
    </row>
    <row r="274" ht="15.75" customHeight="1">
      <c r="A274" s="36"/>
      <c r="B274" s="37"/>
      <c r="C274" s="37"/>
      <c r="D274" s="1"/>
      <c r="E274" s="1"/>
      <c r="F274" s="1"/>
      <c r="G274" s="1"/>
      <c r="H274" s="1"/>
      <c r="I274" s="1"/>
      <c r="J274" s="1"/>
    </row>
    <row r="275" ht="15.75" customHeight="1">
      <c r="A275" s="36"/>
      <c r="B275" s="37"/>
      <c r="C275" s="37"/>
      <c r="D275" s="1"/>
      <c r="E275" s="1"/>
      <c r="F275" s="1"/>
      <c r="G275" s="1"/>
      <c r="H275" s="1"/>
      <c r="I275" s="1"/>
      <c r="J275" s="1"/>
    </row>
    <row r="276" ht="15.75" customHeight="1">
      <c r="A276" s="36"/>
      <c r="B276" s="37"/>
      <c r="C276" s="37"/>
      <c r="D276" s="1"/>
      <c r="E276" s="1"/>
      <c r="F276" s="1"/>
      <c r="G276" s="1"/>
      <c r="H276" s="1"/>
      <c r="I276" s="1"/>
      <c r="J276" s="1"/>
    </row>
    <row r="277" ht="15.75" customHeight="1">
      <c r="A277" s="36"/>
      <c r="B277" s="37"/>
      <c r="C277" s="37"/>
      <c r="D277" s="1"/>
      <c r="E277" s="1"/>
      <c r="F277" s="1"/>
      <c r="G277" s="1"/>
      <c r="H277" s="1"/>
      <c r="I277" s="1"/>
      <c r="J277" s="1"/>
    </row>
    <row r="278" ht="15.75" customHeight="1">
      <c r="A278" s="36"/>
      <c r="B278" s="37"/>
      <c r="C278" s="37"/>
      <c r="D278" s="1"/>
      <c r="E278" s="1"/>
      <c r="F278" s="1"/>
      <c r="G278" s="1"/>
      <c r="H278" s="1"/>
      <c r="I278" s="1"/>
      <c r="J278" s="1"/>
    </row>
    <row r="279" ht="15.75" customHeight="1">
      <c r="A279" s="36"/>
      <c r="B279" s="37"/>
      <c r="C279" s="37"/>
      <c r="D279" s="1"/>
      <c r="E279" s="1"/>
      <c r="F279" s="1"/>
      <c r="G279" s="1"/>
      <c r="H279" s="1"/>
      <c r="I279" s="1"/>
      <c r="J279" s="1"/>
    </row>
    <row r="280" ht="15.75" customHeight="1">
      <c r="A280" s="36"/>
      <c r="B280" s="37"/>
      <c r="C280" s="37"/>
      <c r="D280" s="1"/>
      <c r="E280" s="1"/>
      <c r="F280" s="1"/>
      <c r="G280" s="1"/>
      <c r="H280" s="1"/>
      <c r="I280" s="1"/>
      <c r="J280" s="1"/>
    </row>
    <row r="281" ht="15.75" customHeight="1">
      <c r="A281" s="36"/>
      <c r="B281" s="37"/>
      <c r="C281" s="37"/>
      <c r="D281" s="1"/>
      <c r="E281" s="1"/>
      <c r="F281" s="1"/>
      <c r="G281" s="1"/>
      <c r="H281" s="1"/>
      <c r="I281" s="1"/>
      <c r="J281" s="1"/>
    </row>
    <row r="282" ht="15.75" customHeight="1">
      <c r="A282" s="36"/>
      <c r="B282" s="37"/>
      <c r="C282" s="37"/>
      <c r="D282" s="1"/>
      <c r="E282" s="1"/>
      <c r="F282" s="1"/>
      <c r="G282" s="1"/>
      <c r="H282" s="1"/>
      <c r="I282" s="1"/>
      <c r="J282" s="1"/>
    </row>
    <row r="283" ht="15.75" customHeight="1">
      <c r="A283" s="36"/>
      <c r="B283" s="37"/>
      <c r="C283" s="37"/>
      <c r="D283" s="1"/>
      <c r="E283" s="1"/>
      <c r="F283" s="1"/>
      <c r="G283" s="1"/>
      <c r="H283" s="1"/>
      <c r="I283" s="1"/>
      <c r="J283" s="1"/>
    </row>
    <row r="284" ht="15.75" customHeight="1">
      <c r="A284" s="36"/>
      <c r="B284" s="37"/>
      <c r="C284" s="37"/>
      <c r="D284" s="1"/>
      <c r="E284" s="1"/>
      <c r="F284" s="1"/>
      <c r="G284" s="1"/>
      <c r="H284" s="1"/>
      <c r="I284" s="1"/>
      <c r="J284" s="1"/>
    </row>
    <row r="285" ht="15.75" customHeight="1">
      <c r="A285" s="36"/>
      <c r="B285" s="37"/>
      <c r="C285" s="37"/>
      <c r="D285" s="1"/>
      <c r="E285" s="1"/>
      <c r="F285" s="1"/>
      <c r="G285" s="1"/>
      <c r="H285" s="1"/>
      <c r="I285" s="1"/>
      <c r="J285" s="1"/>
    </row>
    <row r="286" ht="15.75" customHeight="1">
      <c r="A286" s="36"/>
      <c r="B286" s="37"/>
      <c r="C286" s="37"/>
      <c r="D286" s="1"/>
      <c r="E286" s="1"/>
      <c r="F286" s="1"/>
      <c r="G286" s="1"/>
      <c r="H286" s="1"/>
      <c r="I286" s="1"/>
      <c r="J286" s="1"/>
    </row>
    <row r="287" ht="15.75" customHeight="1">
      <c r="A287" s="36"/>
      <c r="B287" s="37"/>
      <c r="C287" s="37"/>
      <c r="D287" s="1"/>
      <c r="E287" s="1"/>
      <c r="F287" s="1"/>
      <c r="G287" s="1"/>
      <c r="H287" s="1"/>
      <c r="I287" s="1"/>
      <c r="J287" s="1"/>
    </row>
    <row r="288" ht="15.75" customHeight="1">
      <c r="A288" s="36"/>
      <c r="B288" s="37"/>
      <c r="C288" s="37"/>
      <c r="D288" s="1"/>
      <c r="E288" s="1"/>
      <c r="F288" s="1"/>
      <c r="G288" s="1"/>
      <c r="H288" s="1"/>
      <c r="I288" s="1"/>
      <c r="J288" s="1"/>
    </row>
    <row r="289" ht="15.75" customHeight="1">
      <c r="A289" s="36"/>
      <c r="B289" s="37"/>
      <c r="C289" s="37"/>
      <c r="D289" s="1"/>
      <c r="E289" s="1"/>
      <c r="F289" s="1"/>
      <c r="G289" s="1"/>
      <c r="H289" s="1"/>
      <c r="I289" s="1"/>
      <c r="J289" s="1"/>
    </row>
    <row r="290" ht="15.75" customHeight="1">
      <c r="A290" s="36"/>
      <c r="B290" s="37"/>
      <c r="C290" s="37"/>
      <c r="D290" s="1"/>
      <c r="E290" s="1"/>
      <c r="F290" s="1"/>
      <c r="G290" s="1"/>
      <c r="H290" s="1"/>
      <c r="I290" s="1"/>
      <c r="J290" s="1"/>
    </row>
    <row r="291" ht="15.75" customHeight="1">
      <c r="A291" s="36"/>
      <c r="B291" s="37"/>
      <c r="C291" s="37"/>
      <c r="D291" s="1"/>
      <c r="E291" s="1"/>
      <c r="F291" s="1"/>
      <c r="G291" s="1"/>
      <c r="H291" s="1"/>
      <c r="I291" s="1"/>
      <c r="J291" s="1"/>
    </row>
    <row r="292" ht="15.75" customHeight="1">
      <c r="A292" s="36"/>
      <c r="B292" s="37"/>
      <c r="C292" s="37"/>
      <c r="D292" s="1"/>
      <c r="E292" s="1"/>
      <c r="F292" s="1"/>
      <c r="G292" s="1"/>
      <c r="H292" s="1"/>
      <c r="I292" s="1"/>
      <c r="J292" s="1"/>
    </row>
    <row r="293" ht="15.75" customHeight="1">
      <c r="A293" s="36"/>
      <c r="B293" s="37"/>
      <c r="C293" s="37"/>
      <c r="D293" s="1"/>
      <c r="E293" s="1"/>
      <c r="F293" s="1"/>
      <c r="G293" s="1"/>
      <c r="H293" s="1"/>
      <c r="I293" s="1"/>
      <c r="J293" s="1"/>
    </row>
    <row r="294" ht="15.75" customHeight="1">
      <c r="A294" s="36"/>
      <c r="B294" s="37"/>
      <c r="C294" s="37"/>
      <c r="D294" s="1"/>
      <c r="E294" s="1"/>
      <c r="F294" s="1"/>
      <c r="G294" s="1"/>
      <c r="H294" s="1"/>
      <c r="I294" s="1"/>
      <c r="J294" s="1"/>
    </row>
    <row r="295" ht="15.75" customHeight="1">
      <c r="A295" s="36"/>
      <c r="B295" s="37"/>
      <c r="C295" s="37"/>
      <c r="D295" s="1"/>
      <c r="E295" s="1"/>
      <c r="F295" s="1"/>
      <c r="G295" s="1"/>
      <c r="H295" s="1"/>
      <c r="I295" s="1"/>
      <c r="J295" s="1"/>
    </row>
    <row r="296" ht="15.75" customHeight="1">
      <c r="A296" s="36"/>
      <c r="B296" s="37"/>
      <c r="C296" s="37"/>
      <c r="D296" s="1"/>
      <c r="E296" s="1"/>
      <c r="F296" s="1"/>
      <c r="G296" s="1"/>
      <c r="H296" s="1"/>
      <c r="I296" s="1"/>
      <c r="J296" s="1"/>
    </row>
    <row r="297" ht="15.75" customHeight="1">
      <c r="A297" s="36"/>
      <c r="B297" s="37"/>
      <c r="C297" s="37"/>
      <c r="D297" s="1"/>
      <c r="E297" s="1"/>
      <c r="F297" s="1"/>
      <c r="G297" s="1"/>
      <c r="H297" s="1"/>
      <c r="I297" s="1"/>
      <c r="J297" s="1"/>
    </row>
    <row r="298" ht="15.75" customHeight="1">
      <c r="A298" s="36"/>
      <c r="B298" s="37"/>
      <c r="C298" s="37"/>
      <c r="D298" s="1"/>
      <c r="E298" s="1"/>
      <c r="F298" s="1"/>
      <c r="G298" s="1"/>
      <c r="H298" s="1"/>
      <c r="I298" s="1"/>
      <c r="J298" s="1"/>
    </row>
    <row r="299" ht="15.75" customHeight="1">
      <c r="A299" s="36"/>
      <c r="B299" s="37"/>
      <c r="C299" s="37"/>
      <c r="D299" s="1"/>
      <c r="E299" s="1"/>
      <c r="F299" s="1"/>
      <c r="G299" s="1"/>
      <c r="H299" s="1"/>
      <c r="I299" s="1"/>
      <c r="J299" s="1"/>
    </row>
    <row r="300" ht="15.75" customHeight="1">
      <c r="A300" s="36"/>
      <c r="B300" s="37"/>
      <c r="C300" s="37"/>
      <c r="D300" s="1"/>
      <c r="E300" s="1"/>
      <c r="F300" s="1"/>
      <c r="G300" s="1"/>
      <c r="H300" s="1"/>
      <c r="I300" s="1"/>
      <c r="J300" s="1"/>
    </row>
    <row r="301" ht="15.75" customHeight="1">
      <c r="A301" s="36"/>
      <c r="B301" s="37"/>
      <c r="C301" s="37"/>
      <c r="D301" s="1"/>
      <c r="E301" s="1"/>
      <c r="F301" s="1"/>
      <c r="G301" s="1"/>
      <c r="H301" s="1"/>
      <c r="I301" s="1"/>
      <c r="J301" s="1"/>
    </row>
    <row r="302" ht="15.75" customHeight="1">
      <c r="A302" s="36"/>
      <c r="B302" s="37"/>
      <c r="C302" s="37"/>
      <c r="D302" s="1"/>
      <c r="E302" s="1"/>
      <c r="F302" s="1"/>
      <c r="G302" s="1"/>
      <c r="H302" s="1"/>
      <c r="I302" s="1"/>
      <c r="J302" s="1"/>
    </row>
    <row r="303" ht="15.75" customHeight="1">
      <c r="A303" s="36"/>
      <c r="B303" s="37"/>
      <c r="C303" s="37"/>
      <c r="D303" s="1"/>
      <c r="E303" s="1"/>
      <c r="F303" s="1"/>
      <c r="G303" s="1"/>
      <c r="H303" s="1"/>
      <c r="I303" s="1"/>
      <c r="J303" s="1"/>
    </row>
    <row r="304" ht="15.75" customHeight="1">
      <c r="A304" s="36"/>
      <c r="B304" s="37"/>
      <c r="C304" s="37"/>
      <c r="D304" s="1"/>
      <c r="E304" s="1"/>
      <c r="F304" s="1"/>
      <c r="G304" s="1"/>
      <c r="H304" s="1"/>
      <c r="I304" s="1"/>
      <c r="J304" s="1"/>
    </row>
    <row r="305" ht="15.75" customHeight="1">
      <c r="A305" s="36"/>
      <c r="B305" s="37"/>
      <c r="C305" s="37"/>
      <c r="D305" s="1"/>
      <c r="E305" s="1"/>
      <c r="F305" s="1"/>
      <c r="G305" s="1"/>
      <c r="H305" s="1"/>
      <c r="I305" s="1"/>
      <c r="J305" s="1"/>
    </row>
    <row r="306" ht="15.75" customHeight="1">
      <c r="A306" s="36"/>
      <c r="B306" s="37"/>
      <c r="C306" s="37"/>
      <c r="D306" s="1"/>
      <c r="E306" s="1"/>
      <c r="F306" s="1"/>
      <c r="G306" s="1"/>
      <c r="H306" s="1"/>
      <c r="I306" s="1"/>
      <c r="J306" s="1"/>
    </row>
    <row r="307" ht="15.75" customHeight="1">
      <c r="A307" s="36"/>
      <c r="B307" s="37"/>
      <c r="C307" s="37"/>
      <c r="D307" s="1"/>
      <c r="E307" s="1"/>
      <c r="F307" s="1"/>
      <c r="G307" s="1"/>
      <c r="H307" s="1"/>
      <c r="I307" s="1"/>
      <c r="J307" s="1"/>
    </row>
    <row r="308" ht="15.75" customHeight="1">
      <c r="A308" s="36"/>
      <c r="B308" s="37"/>
      <c r="C308" s="37"/>
      <c r="D308" s="1"/>
      <c r="E308" s="1"/>
      <c r="F308" s="1"/>
      <c r="G308" s="1"/>
      <c r="H308" s="1"/>
      <c r="I308" s="1"/>
      <c r="J308" s="1"/>
    </row>
    <row r="309" ht="15.75" customHeight="1">
      <c r="A309" s="36"/>
      <c r="B309" s="37"/>
      <c r="C309" s="37"/>
      <c r="D309" s="1"/>
      <c r="E309" s="1"/>
      <c r="F309" s="1"/>
      <c r="G309" s="1"/>
      <c r="H309" s="1"/>
      <c r="I309" s="1"/>
      <c r="J309" s="1"/>
    </row>
    <row r="310" ht="15.75" customHeight="1">
      <c r="A310" s="36"/>
      <c r="B310" s="37"/>
      <c r="C310" s="37"/>
      <c r="D310" s="1"/>
      <c r="E310" s="1"/>
      <c r="F310" s="1"/>
      <c r="G310" s="1"/>
      <c r="H310" s="1"/>
      <c r="I310" s="1"/>
      <c r="J310" s="1"/>
    </row>
    <row r="311" ht="15.75" customHeight="1">
      <c r="A311" s="36"/>
      <c r="B311" s="37"/>
      <c r="C311" s="37"/>
      <c r="D311" s="1"/>
      <c r="E311" s="1"/>
      <c r="F311" s="1"/>
      <c r="G311" s="1"/>
      <c r="H311" s="1"/>
      <c r="I311" s="1"/>
      <c r="J311" s="1"/>
    </row>
    <row r="312" ht="15.75" customHeight="1">
      <c r="A312" s="36"/>
      <c r="B312" s="37"/>
      <c r="C312" s="37"/>
      <c r="D312" s="1"/>
      <c r="E312" s="1"/>
      <c r="F312" s="1"/>
      <c r="G312" s="1"/>
      <c r="H312" s="1"/>
      <c r="I312" s="1"/>
      <c r="J312" s="1"/>
    </row>
    <row r="313" ht="15.75" customHeight="1">
      <c r="A313" s="36"/>
      <c r="B313" s="37"/>
      <c r="C313" s="37"/>
      <c r="D313" s="1"/>
      <c r="E313" s="1"/>
      <c r="F313" s="1"/>
      <c r="G313" s="1"/>
      <c r="H313" s="1"/>
      <c r="I313" s="1"/>
      <c r="J313" s="1"/>
    </row>
    <row r="314" ht="15.75" customHeight="1">
      <c r="A314" s="36"/>
      <c r="B314" s="37"/>
      <c r="C314" s="37"/>
      <c r="D314" s="1"/>
      <c r="E314" s="1"/>
      <c r="F314" s="1"/>
      <c r="G314" s="1"/>
      <c r="H314" s="1"/>
      <c r="I314" s="1"/>
      <c r="J314" s="1"/>
    </row>
    <row r="315" ht="15.75" customHeight="1">
      <c r="A315" s="36"/>
      <c r="B315" s="37"/>
      <c r="C315" s="37"/>
      <c r="D315" s="1"/>
      <c r="E315" s="1"/>
      <c r="F315" s="1"/>
      <c r="G315" s="1"/>
      <c r="H315" s="1"/>
      <c r="I315" s="1"/>
      <c r="J315" s="1"/>
    </row>
    <row r="316" ht="15.75" customHeight="1">
      <c r="A316" s="36"/>
      <c r="B316" s="37"/>
      <c r="C316" s="37"/>
      <c r="D316" s="1"/>
      <c r="E316" s="1"/>
      <c r="F316" s="1"/>
      <c r="G316" s="1"/>
      <c r="H316" s="1"/>
      <c r="I316" s="1"/>
      <c r="J316" s="1"/>
    </row>
    <row r="317" ht="15.75" customHeight="1">
      <c r="A317" s="36"/>
      <c r="B317" s="37"/>
      <c r="C317" s="37"/>
      <c r="D317" s="1"/>
      <c r="E317" s="1"/>
      <c r="F317" s="1"/>
      <c r="G317" s="1"/>
      <c r="H317" s="1"/>
      <c r="I317" s="1"/>
      <c r="J317" s="1"/>
    </row>
    <row r="318" ht="15.75" customHeight="1">
      <c r="A318" s="36"/>
      <c r="B318" s="37"/>
      <c r="C318" s="37"/>
      <c r="D318" s="1"/>
      <c r="E318" s="1"/>
      <c r="F318" s="1"/>
      <c r="G318" s="1"/>
      <c r="H318" s="1"/>
      <c r="I318" s="1"/>
      <c r="J318" s="1"/>
    </row>
    <row r="319" ht="15.75" customHeight="1">
      <c r="A319" s="36"/>
      <c r="B319" s="37"/>
      <c r="C319" s="37"/>
      <c r="D319" s="1"/>
      <c r="E319" s="1"/>
      <c r="F319" s="1"/>
      <c r="G319" s="1"/>
      <c r="H319" s="1"/>
      <c r="I319" s="1"/>
      <c r="J319" s="1"/>
    </row>
    <row r="320" ht="15.75" customHeight="1">
      <c r="A320" s="36"/>
      <c r="B320" s="37"/>
      <c r="C320" s="37"/>
      <c r="D320" s="1"/>
      <c r="E320" s="1"/>
      <c r="F320" s="1"/>
      <c r="G320" s="1"/>
      <c r="H320" s="1"/>
      <c r="I320" s="1"/>
      <c r="J320" s="1"/>
    </row>
    <row r="321" ht="15.75" customHeight="1">
      <c r="A321" s="36"/>
      <c r="B321" s="37"/>
      <c r="C321" s="37"/>
      <c r="D321" s="1"/>
      <c r="E321" s="1"/>
      <c r="F321" s="1"/>
      <c r="G321" s="1"/>
      <c r="H321" s="1"/>
      <c r="I321" s="1"/>
      <c r="J321" s="1"/>
    </row>
    <row r="322" ht="15.75" customHeight="1">
      <c r="A322" s="36"/>
      <c r="B322" s="37"/>
      <c r="C322" s="37"/>
      <c r="D322" s="1"/>
      <c r="E322" s="1"/>
      <c r="F322" s="1"/>
      <c r="G322" s="1"/>
      <c r="H322" s="1"/>
      <c r="I322" s="1"/>
      <c r="J322" s="1"/>
    </row>
    <row r="323" ht="15.75" customHeight="1">
      <c r="A323" s="36"/>
      <c r="B323" s="37"/>
      <c r="C323" s="37"/>
      <c r="D323" s="1"/>
      <c r="E323" s="1"/>
      <c r="F323" s="1"/>
      <c r="G323" s="1"/>
      <c r="H323" s="1"/>
      <c r="I323" s="1"/>
      <c r="J323" s="1"/>
    </row>
    <row r="324" ht="15.75" customHeight="1">
      <c r="A324" s="36"/>
      <c r="B324" s="37"/>
      <c r="C324" s="37"/>
      <c r="D324" s="1"/>
      <c r="E324" s="1"/>
      <c r="F324" s="1"/>
      <c r="G324" s="1"/>
      <c r="H324" s="1"/>
      <c r="I324" s="1"/>
      <c r="J324" s="1"/>
    </row>
    <row r="325" ht="15.75" customHeight="1">
      <c r="A325" s="36"/>
      <c r="B325" s="37"/>
      <c r="C325" s="37"/>
      <c r="D325" s="1"/>
      <c r="E325" s="1"/>
      <c r="F325" s="1"/>
      <c r="G325" s="1"/>
      <c r="H325" s="1"/>
      <c r="I325" s="1"/>
      <c r="J325" s="1"/>
    </row>
    <row r="326" ht="15.75" customHeight="1">
      <c r="A326" s="36"/>
      <c r="B326" s="37"/>
      <c r="C326" s="37"/>
      <c r="D326" s="1"/>
      <c r="E326" s="1"/>
      <c r="F326" s="1"/>
      <c r="G326" s="1"/>
      <c r="H326" s="1"/>
      <c r="I326" s="1"/>
      <c r="J326" s="1"/>
    </row>
    <row r="327" ht="15.75" customHeight="1">
      <c r="A327" s="36"/>
      <c r="B327" s="37"/>
      <c r="C327" s="37"/>
      <c r="D327" s="1"/>
      <c r="E327" s="1"/>
      <c r="F327" s="1"/>
      <c r="G327" s="1"/>
      <c r="H327" s="1"/>
      <c r="I327" s="1"/>
      <c r="J327" s="1"/>
    </row>
    <row r="328" ht="15.75" customHeight="1">
      <c r="A328" s="36"/>
      <c r="B328" s="37"/>
      <c r="C328" s="37"/>
      <c r="D328" s="1"/>
      <c r="E328" s="1"/>
      <c r="F328" s="1"/>
      <c r="G328" s="1"/>
      <c r="H328" s="1"/>
      <c r="I328" s="1"/>
      <c r="J328" s="1"/>
    </row>
    <row r="329" ht="15.75" customHeight="1">
      <c r="A329" s="36"/>
      <c r="B329" s="37"/>
      <c r="C329" s="37"/>
      <c r="D329" s="1"/>
      <c r="E329" s="1"/>
      <c r="F329" s="1"/>
      <c r="G329" s="1"/>
      <c r="H329" s="1"/>
      <c r="I329" s="1"/>
      <c r="J329" s="1"/>
    </row>
    <row r="330" ht="15.75" customHeight="1">
      <c r="A330" s="36"/>
      <c r="B330" s="37"/>
      <c r="C330" s="37"/>
      <c r="D330" s="1"/>
      <c r="E330" s="1"/>
      <c r="F330" s="1"/>
      <c r="G330" s="1"/>
      <c r="H330" s="1"/>
      <c r="I330" s="1"/>
      <c r="J330" s="1"/>
    </row>
    <row r="331" ht="15.75" customHeight="1">
      <c r="A331" s="36"/>
      <c r="B331" s="37"/>
      <c r="C331" s="37"/>
      <c r="D331" s="1"/>
      <c r="E331" s="1"/>
      <c r="F331" s="1"/>
      <c r="G331" s="1"/>
      <c r="H331" s="1"/>
      <c r="I331" s="1"/>
      <c r="J331" s="1"/>
    </row>
    <row r="332" ht="15.75" customHeight="1">
      <c r="A332" s="36"/>
      <c r="B332" s="37"/>
      <c r="C332" s="37"/>
      <c r="D332" s="1"/>
      <c r="E332" s="1"/>
      <c r="F332" s="1"/>
      <c r="G332" s="1"/>
      <c r="H332" s="1"/>
      <c r="I332" s="1"/>
      <c r="J332" s="1"/>
    </row>
    <row r="333" ht="15.75" customHeight="1">
      <c r="A333" s="36"/>
      <c r="B333" s="37"/>
      <c r="C333" s="37"/>
      <c r="D333" s="1"/>
      <c r="E333" s="1"/>
      <c r="F333" s="1"/>
      <c r="G333" s="1"/>
      <c r="H333" s="1"/>
      <c r="I333" s="1"/>
      <c r="J333" s="1"/>
    </row>
    <row r="334" ht="15.75" customHeight="1">
      <c r="A334" s="36"/>
      <c r="B334" s="37"/>
      <c r="C334" s="37"/>
      <c r="D334" s="1"/>
      <c r="E334" s="1"/>
      <c r="F334" s="1"/>
      <c r="G334" s="1"/>
      <c r="H334" s="1"/>
      <c r="I334" s="1"/>
      <c r="J334" s="1"/>
    </row>
    <row r="335" ht="15.75" customHeight="1">
      <c r="A335" s="36"/>
      <c r="B335" s="37"/>
      <c r="C335" s="37"/>
      <c r="D335" s="1"/>
      <c r="E335" s="1"/>
      <c r="F335" s="1"/>
      <c r="G335" s="1"/>
      <c r="H335" s="1"/>
      <c r="I335" s="1"/>
      <c r="J335" s="1"/>
    </row>
    <row r="336" ht="15.75" customHeight="1">
      <c r="A336" s="36"/>
      <c r="B336" s="37"/>
      <c r="C336" s="37"/>
      <c r="D336" s="1"/>
      <c r="E336" s="1"/>
      <c r="F336" s="1"/>
      <c r="G336" s="1"/>
      <c r="H336" s="1"/>
      <c r="I336" s="1"/>
      <c r="J336" s="1"/>
    </row>
    <row r="337" ht="15.75" customHeight="1">
      <c r="A337" s="36"/>
      <c r="B337" s="37"/>
      <c r="C337" s="37"/>
      <c r="D337" s="1"/>
      <c r="E337" s="1"/>
      <c r="F337" s="1"/>
      <c r="G337" s="1"/>
      <c r="H337" s="1"/>
      <c r="I337" s="1"/>
      <c r="J337" s="1"/>
    </row>
    <row r="338" ht="15.75" customHeight="1">
      <c r="A338" s="36"/>
      <c r="B338" s="37"/>
      <c r="C338" s="37"/>
      <c r="D338" s="1"/>
      <c r="E338" s="1"/>
      <c r="F338" s="1"/>
      <c r="G338" s="1"/>
      <c r="H338" s="1"/>
      <c r="I338" s="1"/>
      <c r="J338" s="1"/>
    </row>
    <row r="339" ht="15.75" customHeight="1">
      <c r="A339" s="36"/>
      <c r="B339" s="37"/>
      <c r="C339" s="37"/>
      <c r="D339" s="1"/>
      <c r="E339" s="1"/>
      <c r="F339" s="1"/>
      <c r="G339" s="1"/>
      <c r="H339" s="1"/>
      <c r="I339" s="1"/>
      <c r="J339" s="1"/>
    </row>
    <row r="340" ht="15.75" customHeight="1">
      <c r="A340" s="36"/>
      <c r="B340" s="37"/>
      <c r="C340" s="37"/>
      <c r="D340" s="1"/>
      <c r="E340" s="1"/>
      <c r="F340" s="1"/>
      <c r="G340" s="1"/>
      <c r="H340" s="1"/>
      <c r="I340" s="1"/>
      <c r="J340" s="1"/>
    </row>
    <row r="341" ht="15.75" customHeight="1">
      <c r="A341" s="36"/>
      <c r="B341" s="37"/>
      <c r="C341" s="37"/>
      <c r="D341" s="1"/>
      <c r="E341" s="1"/>
      <c r="F341" s="1"/>
      <c r="G341" s="1"/>
      <c r="H341" s="1"/>
      <c r="I341" s="1"/>
      <c r="J341" s="1"/>
    </row>
    <row r="342" ht="15.75" customHeight="1">
      <c r="A342" s="36"/>
      <c r="B342" s="37"/>
      <c r="C342" s="37"/>
      <c r="D342" s="1"/>
      <c r="E342" s="1"/>
      <c r="F342" s="1"/>
      <c r="G342" s="1"/>
      <c r="H342" s="1"/>
      <c r="I342" s="1"/>
      <c r="J342" s="1"/>
    </row>
    <row r="343" ht="15.75" customHeight="1">
      <c r="A343" s="36"/>
      <c r="B343" s="37"/>
      <c r="C343" s="37"/>
      <c r="D343" s="1"/>
      <c r="E343" s="1"/>
      <c r="F343" s="1"/>
      <c r="G343" s="1"/>
      <c r="H343" s="1"/>
      <c r="I343" s="1"/>
      <c r="J343" s="1"/>
    </row>
    <row r="344" ht="15.75" customHeight="1">
      <c r="A344" s="36"/>
      <c r="B344" s="37"/>
      <c r="C344" s="37"/>
      <c r="D344" s="1"/>
      <c r="E344" s="1"/>
      <c r="F344" s="1"/>
      <c r="G344" s="1"/>
      <c r="H344" s="1"/>
      <c r="I344" s="1"/>
      <c r="J344" s="1"/>
    </row>
    <row r="345" ht="15.75" customHeight="1">
      <c r="A345" s="36"/>
      <c r="B345" s="37"/>
      <c r="C345" s="37"/>
      <c r="D345" s="1"/>
      <c r="E345" s="1"/>
      <c r="F345" s="1"/>
      <c r="G345" s="1"/>
      <c r="H345" s="1"/>
      <c r="I345" s="1"/>
      <c r="J345" s="1"/>
    </row>
    <row r="346" ht="15.75" customHeight="1">
      <c r="A346" s="36"/>
      <c r="B346" s="37"/>
      <c r="C346" s="37"/>
      <c r="D346" s="1"/>
      <c r="E346" s="1"/>
      <c r="F346" s="1"/>
      <c r="G346" s="1"/>
      <c r="H346" s="1"/>
      <c r="I346" s="1"/>
      <c r="J346" s="1"/>
    </row>
    <row r="347" ht="15.75" customHeight="1">
      <c r="A347" s="36"/>
      <c r="B347" s="37"/>
      <c r="C347" s="37"/>
      <c r="D347" s="1"/>
      <c r="E347" s="1"/>
      <c r="F347" s="1"/>
      <c r="G347" s="1"/>
      <c r="H347" s="1"/>
      <c r="I347" s="1"/>
      <c r="J347" s="1"/>
    </row>
    <row r="348" ht="15.75" customHeight="1">
      <c r="A348" s="36"/>
      <c r="B348" s="37"/>
      <c r="C348" s="37"/>
      <c r="D348" s="1"/>
      <c r="E348" s="1"/>
      <c r="F348" s="1"/>
      <c r="G348" s="1"/>
      <c r="H348" s="1"/>
      <c r="I348" s="1"/>
      <c r="J348" s="1"/>
    </row>
    <row r="349" ht="15.75" customHeight="1">
      <c r="A349" s="36"/>
      <c r="B349" s="37"/>
      <c r="C349" s="37"/>
      <c r="D349" s="1"/>
      <c r="E349" s="1"/>
      <c r="F349" s="1"/>
      <c r="G349" s="1"/>
      <c r="H349" s="1"/>
      <c r="I349" s="1"/>
      <c r="J349" s="1"/>
    </row>
    <row r="350" ht="15.75" customHeight="1">
      <c r="A350" s="36"/>
      <c r="B350" s="37"/>
      <c r="C350" s="37"/>
      <c r="D350" s="1"/>
      <c r="E350" s="1"/>
      <c r="F350" s="1"/>
      <c r="G350" s="1"/>
      <c r="H350" s="1"/>
      <c r="I350" s="1"/>
      <c r="J350" s="1"/>
    </row>
    <row r="351" ht="15.75" customHeight="1">
      <c r="A351" s="36"/>
      <c r="B351" s="37"/>
      <c r="C351" s="37"/>
      <c r="D351" s="1"/>
      <c r="E351" s="1"/>
      <c r="F351" s="1"/>
      <c r="G351" s="1"/>
      <c r="H351" s="1"/>
      <c r="I351" s="1"/>
      <c r="J351" s="1"/>
    </row>
    <row r="352" ht="15.75" customHeight="1">
      <c r="A352" s="36"/>
      <c r="B352" s="37"/>
      <c r="C352" s="37"/>
      <c r="D352" s="1"/>
      <c r="E352" s="1"/>
      <c r="F352" s="1"/>
      <c r="G352" s="1"/>
      <c r="H352" s="1"/>
      <c r="I352" s="1"/>
      <c r="J352" s="1"/>
    </row>
    <row r="353" ht="15.75" customHeight="1">
      <c r="A353" s="36"/>
      <c r="B353" s="37"/>
      <c r="C353" s="37"/>
      <c r="D353" s="1"/>
      <c r="E353" s="1"/>
      <c r="F353" s="1"/>
      <c r="G353" s="1"/>
      <c r="H353" s="1"/>
      <c r="I353" s="1"/>
      <c r="J353" s="1"/>
    </row>
    <row r="354" ht="15.75" customHeight="1">
      <c r="A354" s="36"/>
      <c r="B354" s="37"/>
      <c r="C354" s="37"/>
      <c r="D354" s="1"/>
      <c r="E354" s="1"/>
      <c r="F354" s="1"/>
      <c r="G354" s="1"/>
      <c r="H354" s="1"/>
      <c r="I354" s="1"/>
      <c r="J354" s="1"/>
    </row>
    <row r="355" ht="15.75" customHeight="1">
      <c r="A355" s="36"/>
      <c r="B355" s="37"/>
      <c r="C355" s="37"/>
      <c r="D355" s="1"/>
      <c r="E355" s="1"/>
      <c r="F355" s="1"/>
      <c r="G355" s="1"/>
      <c r="H355" s="1"/>
      <c r="I355" s="1"/>
      <c r="J355" s="1"/>
    </row>
    <row r="356" ht="15.75" customHeight="1">
      <c r="A356" s="36"/>
      <c r="B356" s="37"/>
      <c r="C356" s="37"/>
      <c r="D356" s="1"/>
      <c r="E356" s="1"/>
      <c r="F356" s="1"/>
      <c r="G356" s="1"/>
      <c r="H356" s="1"/>
      <c r="I356" s="1"/>
      <c r="J356" s="1"/>
    </row>
    <row r="357" ht="15.75" customHeight="1">
      <c r="A357" s="36"/>
      <c r="B357" s="37"/>
      <c r="C357" s="37"/>
      <c r="D357" s="1"/>
      <c r="E357" s="1"/>
      <c r="F357" s="1"/>
      <c r="G357" s="1"/>
      <c r="H357" s="1"/>
      <c r="I357" s="1"/>
      <c r="J357" s="1"/>
    </row>
    <row r="358" ht="15.75" customHeight="1">
      <c r="A358" s="36"/>
      <c r="B358" s="37"/>
      <c r="C358" s="37"/>
      <c r="D358" s="1"/>
      <c r="E358" s="1"/>
      <c r="F358" s="1"/>
      <c r="G358" s="1"/>
      <c r="H358" s="1"/>
      <c r="I358" s="1"/>
      <c r="J358" s="1"/>
    </row>
    <row r="359" ht="15.75" customHeight="1">
      <c r="A359" s="36"/>
      <c r="B359" s="37"/>
      <c r="C359" s="37"/>
      <c r="D359" s="1"/>
      <c r="E359" s="1"/>
      <c r="F359" s="1"/>
      <c r="G359" s="1"/>
      <c r="H359" s="1"/>
      <c r="I359" s="1"/>
      <c r="J359" s="1"/>
    </row>
    <row r="360" ht="15.75" customHeight="1">
      <c r="A360" s="36"/>
      <c r="B360" s="37"/>
      <c r="C360" s="37"/>
      <c r="D360" s="1"/>
      <c r="E360" s="1"/>
      <c r="F360" s="1"/>
      <c r="G360" s="1"/>
      <c r="H360" s="1"/>
      <c r="I360" s="1"/>
      <c r="J360" s="1"/>
    </row>
    <row r="361" ht="15.75" customHeight="1">
      <c r="A361" s="36"/>
      <c r="B361" s="37"/>
      <c r="C361" s="37"/>
      <c r="D361" s="1"/>
      <c r="E361" s="1"/>
      <c r="F361" s="1"/>
      <c r="G361" s="1"/>
      <c r="H361" s="1"/>
      <c r="I361" s="1"/>
      <c r="J361" s="1"/>
    </row>
    <row r="362" ht="15.75" customHeight="1">
      <c r="A362" s="36"/>
      <c r="B362" s="37"/>
      <c r="C362" s="37"/>
      <c r="D362" s="1"/>
      <c r="E362" s="1"/>
      <c r="F362" s="1"/>
      <c r="G362" s="1"/>
      <c r="H362" s="1"/>
      <c r="I362" s="1"/>
      <c r="J362" s="1"/>
    </row>
    <row r="363" ht="15.75" customHeight="1">
      <c r="A363" s="36"/>
      <c r="B363" s="37"/>
      <c r="C363" s="37"/>
      <c r="D363" s="1"/>
      <c r="E363" s="1"/>
      <c r="F363" s="1"/>
      <c r="G363" s="1"/>
      <c r="H363" s="1"/>
      <c r="I363" s="1"/>
      <c r="J363" s="1"/>
    </row>
    <row r="364" ht="15.75" customHeight="1">
      <c r="A364" s="36"/>
      <c r="B364" s="37"/>
      <c r="C364" s="37"/>
      <c r="D364" s="1"/>
      <c r="E364" s="1"/>
      <c r="F364" s="1"/>
      <c r="G364" s="1"/>
      <c r="H364" s="1"/>
      <c r="I364" s="1"/>
      <c r="J364" s="1"/>
    </row>
    <row r="365" ht="15.75" customHeight="1">
      <c r="A365" s="36"/>
      <c r="B365" s="37"/>
      <c r="C365" s="37"/>
      <c r="D365" s="1"/>
      <c r="E365" s="1"/>
      <c r="F365" s="1"/>
      <c r="G365" s="1"/>
      <c r="H365" s="1"/>
      <c r="I365" s="1"/>
      <c r="J365" s="1"/>
    </row>
    <row r="366" ht="15.75" customHeight="1">
      <c r="A366" s="36"/>
      <c r="B366" s="37"/>
      <c r="C366" s="37"/>
      <c r="D366" s="1"/>
      <c r="E366" s="1"/>
      <c r="F366" s="1"/>
      <c r="G366" s="1"/>
      <c r="H366" s="1"/>
      <c r="I366" s="1"/>
      <c r="J366" s="1"/>
    </row>
    <row r="367" ht="15.75" customHeight="1">
      <c r="A367" s="36"/>
      <c r="B367" s="37"/>
      <c r="C367" s="37"/>
      <c r="D367" s="1"/>
      <c r="E367" s="1"/>
      <c r="F367" s="1"/>
      <c r="G367" s="1"/>
      <c r="H367" s="1"/>
      <c r="I367" s="1"/>
      <c r="J367" s="1"/>
    </row>
    <row r="368" ht="15.75" customHeight="1">
      <c r="A368" s="36"/>
      <c r="B368" s="37"/>
      <c r="C368" s="37"/>
      <c r="D368" s="1"/>
      <c r="E368" s="1"/>
      <c r="F368" s="1"/>
      <c r="G368" s="1"/>
      <c r="H368" s="1"/>
      <c r="I368" s="1"/>
      <c r="J368" s="1"/>
    </row>
    <row r="369" ht="15.75" customHeight="1">
      <c r="A369" s="36"/>
      <c r="B369" s="37"/>
      <c r="C369" s="37"/>
      <c r="D369" s="1"/>
      <c r="E369" s="1"/>
      <c r="F369" s="1"/>
      <c r="G369" s="1"/>
      <c r="H369" s="1"/>
      <c r="I369" s="1"/>
      <c r="J369" s="1"/>
    </row>
    <row r="370" ht="15.75" customHeight="1">
      <c r="A370" s="36"/>
      <c r="B370" s="37"/>
      <c r="C370" s="37"/>
      <c r="D370" s="1"/>
      <c r="E370" s="1"/>
      <c r="F370" s="1"/>
      <c r="G370" s="1"/>
      <c r="H370" s="1"/>
      <c r="I370" s="1"/>
      <c r="J370" s="1"/>
    </row>
    <row r="371" ht="15.75" customHeight="1">
      <c r="A371" s="36"/>
      <c r="B371" s="37"/>
      <c r="C371" s="37"/>
      <c r="D371" s="1"/>
      <c r="E371" s="1"/>
      <c r="F371" s="1"/>
      <c r="G371" s="1"/>
      <c r="H371" s="1"/>
      <c r="I371" s="1"/>
      <c r="J371" s="1"/>
    </row>
    <row r="372" ht="15.75" customHeight="1">
      <c r="A372" s="36"/>
      <c r="B372" s="37"/>
      <c r="C372" s="37"/>
      <c r="D372" s="1"/>
      <c r="E372" s="1"/>
      <c r="F372" s="1"/>
      <c r="G372" s="1"/>
      <c r="H372" s="1"/>
      <c r="I372" s="1"/>
      <c r="J372" s="1"/>
    </row>
    <row r="373" ht="15.75" customHeight="1">
      <c r="A373" s="36"/>
      <c r="B373" s="37"/>
      <c r="C373" s="37"/>
      <c r="D373" s="1"/>
      <c r="E373" s="1"/>
      <c r="F373" s="1"/>
      <c r="G373" s="1"/>
      <c r="H373" s="1"/>
      <c r="I373" s="1"/>
      <c r="J373" s="1"/>
    </row>
    <row r="374" ht="15.75" customHeight="1">
      <c r="A374" s="36"/>
      <c r="B374" s="37"/>
      <c r="C374" s="37"/>
      <c r="D374" s="1"/>
      <c r="E374" s="1"/>
      <c r="F374" s="1"/>
      <c r="G374" s="1"/>
      <c r="H374" s="1"/>
      <c r="I374" s="1"/>
      <c r="J374" s="1"/>
    </row>
    <row r="375" ht="15.75" customHeight="1">
      <c r="A375" s="36"/>
      <c r="B375" s="37"/>
      <c r="C375" s="37"/>
      <c r="D375" s="1"/>
      <c r="E375" s="1"/>
      <c r="F375" s="1"/>
      <c r="G375" s="1"/>
      <c r="H375" s="1"/>
      <c r="I375" s="1"/>
      <c r="J375" s="1"/>
    </row>
    <row r="376" ht="15.75" customHeight="1">
      <c r="A376" s="36"/>
      <c r="B376" s="37"/>
      <c r="C376" s="37"/>
      <c r="D376" s="1"/>
      <c r="E376" s="1"/>
      <c r="F376" s="1"/>
      <c r="G376" s="1"/>
      <c r="H376" s="1"/>
      <c r="I376" s="1"/>
      <c r="J376" s="1"/>
    </row>
    <row r="377" ht="15.75" customHeight="1">
      <c r="A377" s="36"/>
      <c r="B377" s="37"/>
      <c r="C377" s="37"/>
      <c r="D377" s="1"/>
      <c r="E377" s="1"/>
      <c r="F377" s="1"/>
      <c r="G377" s="1"/>
      <c r="H377" s="1"/>
      <c r="I377" s="1"/>
      <c r="J377" s="1"/>
    </row>
    <row r="378" ht="15.75" customHeight="1">
      <c r="A378" s="36"/>
      <c r="B378" s="37"/>
      <c r="C378" s="37"/>
      <c r="D378" s="1"/>
      <c r="E378" s="1"/>
      <c r="F378" s="1"/>
      <c r="G378" s="1"/>
      <c r="H378" s="1"/>
      <c r="I378" s="1"/>
      <c r="J378" s="1"/>
    </row>
    <row r="379" ht="15.75" customHeight="1">
      <c r="A379" s="36"/>
      <c r="B379" s="37"/>
      <c r="C379" s="37"/>
      <c r="D379" s="1"/>
      <c r="E379" s="1"/>
      <c r="F379" s="1"/>
      <c r="G379" s="1"/>
      <c r="H379" s="1"/>
      <c r="I379" s="1"/>
      <c r="J379" s="1"/>
    </row>
    <row r="380" ht="15.75" customHeight="1">
      <c r="A380" s="36"/>
      <c r="B380" s="37"/>
      <c r="C380" s="37"/>
      <c r="D380" s="1"/>
      <c r="E380" s="1"/>
      <c r="F380" s="1"/>
      <c r="G380" s="1"/>
      <c r="H380" s="1"/>
      <c r="I380" s="1"/>
      <c r="J380" s="1"/>
    </row>
    <row r="381" ht="15.75" customHeight="1">
      <c r="A381" s="36"/>
      <c r="B381" s="37"/>
      <c r="C381" s="37"/>
      <c r="D381" s="1"/>
      <c r="E381" s="1"/>
      <c r="F381" s="1"/>
      <c r="G381" s="1"/>
      <c r="H381" s="1"/>
      <c r="I381" s="1"/>
      <c r="J381" s="1"/>
    </row>
    <row r="382" ht="15.75" customHeight="1">
      <c r="A382" s="36"/>
      <c r="B382" s="37"/>
      <c r="C382" s="37"/>
      <c r="D382" s="1"/>
      <c r="E382" s="1"/>
      <c r="F382" s="1"/>
      <c r="G382" s="1"/>
      <c r="H382" s="1"/>
      <c r="I382" s="1"/>
      <c r="J382" s="1"/>
    </row>
    <row r="383" ht="15.75" customHeight="1">
      <c r="A383" s="36"/>
      <c r="B383" s="37"/>
      <c r="C383" s="37"/>
      <c r="D383" s="1"/>
      <c r="E383" s="1"/>
      <c r="F383" s="1"/>
      <c r="G383" s="1"/>
      <c r="H383" s="1"/>
      <c r="I383" s="1"/>
      <c r="J383" s="1"/>
    </row>
    <row r="384" ht="15.75" customHeight="1">
      <c r="A384" s="36"/>
      <c r="B384" s="37"/>
      <c r="C384" s="37"/>
      <c r="D384" s="1"/>
      <c r="E384" s="1"/>
      <c r="F384" s="1"/>
      <c r="G384" s="1"/>
      <c r="H384" s="1"/>
      <c r="I384" s="1"/>
      <c r="J384" s="1"/>
    </row>
    <row r="385" ht="15.75" customHeight="1">
      <c r="A385" s="36"/>
      <c r="B385" s="37"/>
      <c r="C385" s="37"/>
      <c r="D385" s="1"/>
      <c r="E385" s="1"/>
      <c r="F385" s="1"/>
      <c r="G385" s="1"/>
      <c r="H385" s="1"/>
      <c r="I385" s="1"/>
      <c r="J385" s="1"/>
    </row>
    <row r="386" ht="15.75" customHeight="1">
      <c r="A386" s="36"/>
      <c r="B386" s="37"/>
      <c r="C386" s="37"/>
      <c r="D386" s="1"/>
      <c r="E386" s="1"/>
      <c r="F386" s="1"/>
      <c r="G386" s="1"/>
      <c r="H386" s="1"/>
      <c r="I386" s="1"/>
      <c r="J386" s="1"/>
    </row>
    <row r="387" ht="15.75" customHeight="1">
      <c r="A387" s="36"/>
      <c r="B387" s="37"/>
      <c r="C387" s="37"/>
      <c r="D387" s="1"/>
      <c r="E387" s="1"/>
      <c r="F387" s="1"/>
      <c r="G387" s="1"/>
      <c r="H387" s="1"/>
      <c r="I387" s="1"/>
      <c r="J387" s="1"/>
    </row>
    <row r="388" ht="15.75" customHeight="1">
      <c r="A388" s="36"/>
      <c r="B388" s="37"/>
      <c r="C388" s="37"/>
      <c r="D388" s="1"/>
      <c r="E388" s="1"/>
      <c r="F388" s="1"/>
      <c r="G388" s="1"/>
      <c r="H388" s="1"/>
      <c r="I388" s="1"/>
      <c r="J388" s="1"/>
    </row>
    <row r="389" ht="15.75" customHeight="1">
      <c r="A389" s="36"/>
      <c r="B389" s="37"/>
      <c r="C389" s="37"/>
      <c r="D389" s="1"/>
      <c r="E389" s="1"/>
      <c r="F389" s="1"/>
      <c r="G389" s="1"/>
      <c r="H389" s="1"/>
      <c r="I389" s="1"/>
      <c r="J389" s="1"/>
    </row>
    <row r="390" ht="15.75" customHeight="1">
      <c r="A390" s="36"/>
      <c r="B390" s="37"/>
      <c r="C390" s="37"/>
      <c r="D390" s="1"/>
      <c r="E390" s="1"/>
      <c r="F390" s="1"/>
      <c r="G390" s="1"/>
      <c r="H390" s="1"/>
      <c r="I390" s="1"/>
      <c r="J390" s="1"/>
    </row>
    <row r="391" ht="15.75" customHeight="1">
      <c r="A391" s="36"/>
      <c r="B391" s="37"/>
      <c r="C391" s="37"/>
      <c r="D391" s="1"/>
      <c r="E391" s="1"/>
      <c r="F391" s="1"/>
      <c r="G391" s="1"/>
      <c r="H391" s="1"/>
      <c r="I391" s="1"/>
      <c r="J391" s="1"/>
    </row>
    <row r="392" ht="15.75" customHeight="1">
      <c r="A392" s="36"/>
      <c r="B392" s="37"/>
      <c r="C392" s="37"/>
      <c r="D392" s="1"/>
      <c r="E392" s="1"/>
      <c r="F392" s="1"/>
      <c r="G392" s="1"/>
      <c r="H392" s="1"/>
      <c r="I392" s="1"/>
      <c r="J392" s="1"/>
    </row>
    <row r="393" ht="15.75" customHeight="1">
      <c r="A393" s="36"/>
      <c r="B393" s="37"/>
      <c r="C393" s="37"/>
      <c r="D393" s="1"/>
      <c r="E393" s="1"/>
      <c r="F393" s="1"/>
      <c r="G393" s="1"/>
      <c r="H393" s="1"/>
      <c r="I393" s="1"/>
      <c r="J393" s="1"/>
    </row>
    <row r="394" ht="15.75" customHeight="1">
      <c r="A394" s="36"/>
      <c r="B394" s="37"/>
      <c r="C394" s="37"/>
      <c r="D394" s="1"/>
      <c r="E394" s="1"/>
      <c r="F394" s="1"/>
      <c r="G394" s="1"/>
      <c r="H394" s="1"/>
      <c r="I394" s="1"/>
      <c r="J394" s="1"/>
    </row>
    <row r="395" ht="15.75" customHeight="1">
      <c r="A395" s="36"/>
      <c r="B395" s="37"/>
      <c r="C395" s="37"/>
      <c r="D395" s="1"/>
      <c r="E395" s="1"/>
      <c r="F395" s="1"/>
      <c r="G395" s="1"/>
      <c r="H395" s="1"/>
      <c r="I395" s="1"/>
      <c r="J395" s="1"/>
    </row>
    <row r="396" ht="15.75" customHeight="1">
      <c r="A396" s="36"/>
      <c r="B396" s="37"/>
      <c r="C396" s="37"/>
      <c r="D396" s="1"/>
      <c r="E396" s="1"/>
      <c r="F396" s="1"/>
      <c r="G396" s="1"/>
      <c r="H396" s="1"/>
      <c r="I396" s="1"/>
      <c r="J396" s="1"/>
    </row>
    <row r="397" ht="15.75" customHeight="1">
      <c r="A397" s="36"/>
      <c r="B397" s="37"/>
      <c r="C397" s="37"/>
      <c r="D397" s="1"/>
      <c r="E397" s="1"/>
      <c r="F397" s="1"/>
      <c r="G397" s="1"/>
      <c r="H397" s="1"/>
      <c r="I397" s="1"/>
      <c r="J397" s="1"/>
    </row>
    <row r="398" ht="15.75" customHeight="1">
      <c r="A398" s="36"/>
      <c r="B398" s="37"/>
      <c r="C398" s="37"/>
      <c r="D398" s="1"/>
      <c r="E398" s="1"/>
      <c r="F398" s="1"/>
      <c r="G398" s="1"/>
      <c r="H398" s="1"/>
      <c r="I398" s="1"/>
      <c r="J398" s="1"/>
    </row>
    <row r="399" ht="15.75" customHeight="1">
      <c r="A399" s="36"/>
      <c r="B399" s="37"/>
      <c r="C399" s="37"/>
      <c r="D399" s="1"/>
      <c r="E399" s="1"/>
      <c r="F399" s="1"/>
      <c r="G399" s="1"/>
      <c r="H399" s="1"/>
      <c r="I399" s="1"/>
      <c r="J399" s="1"/>
    </row>
    <row r="400" ht="15.75" customHeight="1">
      <c r="A400" s="36"/>
      <c r="B400" s="37"/>
      <c r="C400" s="37"/>
      <c r="D400" s="1"/>
      <c r="E400" s="1"/>
      <c r="F400" s="1"/>
      <c r="G400" s="1"/>
      <c r="H400" s="1"/>
      <c r="I400" s="1"/>
      <c r="J400" s="1"/>
    </row>
    <row r="401" ht="15.75" customHeight="1">
      <c r="A401" s="36"/>
      <c r="B401" s="37"/>
      <c r="C401" s="37"/>
      <c r="D401" s="1"/>
      <c r="E401" s="1"/>
      <c r="F401" s="1"/>
      <c r="G401" s="1"/>
      <c r="H401" s="1"/>
      <c r="I401" s="1"/>
      <c r="J401" s="1"/>
    </row>
    <row r="402" ht="15.75" customHeight="1">
      <c r="A402" s="36"/>
      <c r="B402" s="37"/>
      <c r="C402" s="37"/>
      <c r="D402" s="1"/>
      <c r="E402" s="1"/>
      <c r="F402" s="1"/>
      <c r="G402" s="1"/>
      <c r="H402" s="1"/>
      <c r="I402" s="1"/>
      <c r="J402" s="1"/>
    </row>
    <row r="403" ht="15.75" customHeight="1">
      <c r="A403" s="36"/>
      <c r="B403" s="37"/>
      <c r="C403" s="37"/>
      <c r="D403" s="1"/>
      <c r="E403" s="1"/>
      <c r="F403" s="1"/>
      <c r="G403" s="1"/>
      <c r="H403" s="1"/>
      <c r="I403" s="1"/>
      <c r="J403" s="1"/>
    </row>
    <row r="404" ht="15.75" customHeight="1">
      <c r="A404" s="36"/>
      <c r="B404" s="37"/>
      <c r="C404" s="37"/>
      <c r="D404" s="1"/>
      <c r="E404" s="1"/>
      <c r="F404" s="1"/>
      <c r="G404" s="1"/>
      <c r="H404" s="1"/>
      <c r="I404" s="1"/>
      <c r="J404" s="1"/>
    </row>
    <row r="405" ht="15.75" customHeight="1">
      <c r="A405" s="36"/>
      <c r="B405" s="37"/>
      <c r="C405" s="37"/>
      <c r="D405" s="1"/>
      <c r="E405" s="1"/>
      <c r="F405" s="1"/>
      <c r="G405" s="1"/>
      <c r="H405" s="1"/>
      <c r="I405" s="1"/>
      <c r="J405" s="1"/>
    </row>
    <row r="406" ht="15.75" customHeight="1">
      <c r="A406" s="36"/>
      <c r="B406" s="37"/>
      <c r="C406" s="37"/>
      <c r="D406" s="1"/>
      <c r="E406" s="1"/>
      <c r="F406" s="1"/>
      <c r="G406" s="1"/>
      <c r="H406" s="1"/>
      <c r="I406" s="1"/>
      <c r="J406" s="1"/>
    </row>
    <row r="407" ht="15.75" customHeight="1">
      <c r="A407" s="36"/>
      <c r="B407" s="37"/>
      <c r="C407" s="37"/>
      <c r="D407" s="1"/>
      <c r="E407" s="1"/>
      <c r="F407" s="1"/>
      <c r="G407" s="1"/>
      <c r="H407" s="1"/>
      <c r="I407" s="1"/>
      <c r="J407" s="1"/>
    </row>
    <row r="408" ht="15.75" customHeight="1">
      <c r="A408" s="36"/>
      <c r="B408" s="37"/>
      <c r="C408" s="37"/>
      <c r="D408" s="1"/>
      <c r="E408" s="1"/>
      <c r="F408" s="1"/>
      <c r="G408" s="1"/>
      <c r="H408" s="1"/>
      <c r="I408" s="1"/>
      <c r="J408" s="1"/>
    </row>
    <row r="409" ht="15.75" customHeight="1">
      <c r="A409" s="36"/>
      <c r="B409" s="37"/>
      <c r="C409" s="37"/>
      <c r="D409" s="1"/>
      <c r="E409" s="1"/>
      <c r="F409" s="1"/>
      <c r="G409" s="1"/>
      <c r="H409" s="1"/>
      <c r="I409" s="1"/>
      <c r="J409" s="1"/>
    </row>
    <row r="410" ht="15.75" customHeight="1">
      <c r="A410" s="36"/>
      <c r="B410" s="37"/>
      <c r="C410" s="37"/>
      <c r="D410" s="1"/>
      <c r="E410" s="1"/>
      <c r="F410" s="1"/>
      <c r="G410" s="1"/>
      <c r="H410" s="1"/>
      <c r="I410" s="1"/>
      <c r="J410" s="1"/>
    </row>
    <row r="411" ht="15.75" customHeight="1">
      <c r="A411" s="36"/>
      <c r="B411" s="37"/>
      <c r="C411" s="37"/>
      <c r="D411" s="1"/>
      <c r="E411" s="1"/>
      <c r="F411" s="1"/>
      <c r="G411" s="1"/>
      <c r="H411" s="1"/>
      <c r="I411" s="1"/>
      <c r="J411" s="1"/>
    </row>
    <row r="412" ht="15.75" customHeight="1">
      <c r="A412" s="36"/>
      <c r="B412" s="37"/>
      <c r="C412" s="37"/>
      <c r="D412" s="1"/>
      <c r="E412" s="1"/>
      <c r="F412" s="1"/>
      <c r="G412" s="1"/>
      <c r="H412" s="1"/>
      <c r="I412" s="1"/>
      <c r="J412" s="1"/>
    </row>
    <row r="413" ht="15.75" customHeight="1">
      <c r="A413" s="36"/>
      <c r="B413" s="37"/>
      <c r="C413" s="37"/>
      <c r="D413" s="1"/>
      <c r="E413" s="1"/>
      <c r="F413" s="1"/>
      <c r="G413" s="1"/>
      <c r="H413" s="1"/>
      <c r="I413" s="1"/>
      <c r="J413" s="1"/>
    </row>
    <row r="414" ht="15.75" customHeight="1">
      <c r="A414" s="36"/>
      <c r="B414" s="37"/>
      <c r="C414" s="37"/>
      <c r="D414" s="1"/>
      <c r="E414" s="1"/>
      <c r="F414" s="1"/>
      <c r="G414" s="1"/>
      <c r="H414" s="1"/>
      <c r="I414" s="1"/>
      <c r="J414" s="1"/>
    </row>
    <row r="415" ht="15.75" customHeight="1">
      <c r="A415" s="36"/>
      <c r="B415" s="37"/>
      <c r="C415" s="37"/>
      <c r="D415" s="1"/>
      <c r="E415" s="1"/>
      <c r="F415" s="1"/>
      <c r="G415" s="1"/>
      <c r="H415" s="1"/>
      <c r="I415" s="1"/>
      <c r="J415" s="1"/>
    </row>
    <row r="416" ht="15.75" customHeight="1">
      <c r="A416" s="36"/>
      <c r="B416" s="37"/>
      <c r="C416" s="37"/>
      <c r="D416" s="1"/>
      <c r="E416" s="1"/>
      <c r="F416" s="1"/>
      <c r="G416" s="1"/>
      <c r="H416" s="1"/>
      <c r="I416" s="1"/>
      <c r="J416" s="1"/>
    </row>
    <row r="417" ht="15.75" customHeight="1">
      <c r="A417" s="36"/>
      <c r="B417" s="37"/>
      <c r="C417" s="37"/>
      <c r="D417" s="1"/>
      <c r="E417" s="1"/>
      <c r="F417" s="1"/>
      <c r="G417" s="1"/>
      <c r="H417" s="1"/>
      <c r="I417" s="1"/>
      <c r="J417" s="1"/>
    </row>
    <row r="418" ht="15.75" customHeight="1">
      <c r="A418" s="36"/>
      <c r="B418" s="37"/>
      <c r="C418" s="37"/>
      <c r="D418" s="1"/>
      <c r="E418" s="1"/>
      <c r="F418" s="1"/>
      <c r="G418" s="1"/>
      <c r="H418" s="1"/>
      <c r="I418" s="1"/>
      <c r="J418" s="1"/>
    </row>
    <row r="419" ht="15.75" customHeight="1">
      <c r="A419" s="36"/>
      <c r="B419" s="37"/>
      <c r="C419" s="37"/>
      <c r="D419" s="1"/>
      <c r="E419" s="1"/>
      <c r="F419" s="1"/>
      <c r="G419" s="1"/>
      <c r="H419" s="1"/>
      <c r="I419" s="1"/>
      <c r="J419" s="1"/>
    </row>
    <row r="420" ht="15.75" customHeight="1">
      <c r="A420" s="36"/>
      <c r="B420" s="37"/>
      <c r="C420" s="37"/>
      <c r="D420" s="1"/>
      <c r="E420" s="1"/>
      <c r="F420" s="1"/>
      <c r="G420" s="1"/>
      <c r="H420" s="1"/>
      <c r="I420" s="1"/>
      <c r="J420" s="1"/>
    </row>
    <row r="421" ht="15.75" customHeight="1">
      <c r="A421" s="36"/>
      <c r="B421" s="37"/>
      <c r="C421" s="37"/>
      <c r="D421" s="1"/>
      <c r="E421" s="1"/>
      <c r="F421" s="1"/>
      <c r="G421" s="1"/>
      <c r="H421" s="1"/>
      <c r="I421" s="1"/>
      <c r="J421" s="1"/>
    </row>
    <row r="422" ht="15.75" customHeight="1">
      <c r="A422" s="36"/>
      <c r="B422" s="37"/>
      <c r="C422" s="37"/>
      <c r="D422" s="1"/>
      <c r="E422" s="1"/>
      <c r="F422" s="1"/>
      <c r="G422" s="1"/>
      <c r="H422" s="1"/>
      <c r="I422" s="1"/>
      <c r="J422" s="1"/>
    </row>
    <row r="423" ht="15.75" customHeight="1">
      <c r="A423" s="36"/>
      <c r="B423" s="37"/>
      <c r="C423" s="37"/>
      <c r="D423" s="1"/>
      <c r="E423" s="1"/>
      <c r="F423" s="1"/>
      <c r="G423" s="1"/>
      <c r="H423" s="1"/>
      <c r="I423" s="1"/>
      <c r="J423" s="1"/>
    </row>
    <row r="424" ht="15.75" customHeight="1">
      <c r="A424" s="36"/>
      <c r="B424" s="37"/>
      <c r="C424" s="37"/>
      <c r="D424" s="1"/>
      <c r="E424" s="1"/>
      <c r="F424" s="1"/>
      <c r="G424" s="1"/>
      <c r="H424" s="1"/>
      <c r="I424" s="1"/>
      <c r="J424" s="1"/>
    </row>
    <row r="425" ht="15.75" customHeight="1">
      <c r="A425" s="36"/>
      <c r="B425" s="37"/>
      <c r="C425" s="37"/>
      <c r="D425" s="1"/>
      <c r="E425" s="1"/>
      <c r="F425" s="1"/>
      <c r="G425" s="1"/>
      <c r="H425" s="1"/>
      <c r="I425" s="1"/>
      <c r="J425" s="1"/>
    </row>
    <row r="426" ht="15.75" customHeight="1">
      <c r="A426" s="36"/>
      <c r="B426" s="37"/>
      <c r="C426" s="37"/>
      <c r="D426" s="1"/>
      <c r="E426" s="1"/>
      <c r="F426" s="1"/>
      <c r="G426" s="1"/>
      <c r="H426" s="1"/>
      <c r="I426" s="1"/>
      <c r="J426" s="1"/>
    </row>
    <row r="427" ht="15.75" customHeight="1">
      <c r="A427" s="36"/>
      <c r="B427" s="37"/>
      <c r="C427" s="37"/>
      <c r="D427" s="1"/>
      <c r="E427" s="1"/>
      <c r="F427" s="1"/>
      <c r="G427" s="1"/>
      <c r="H427" s="1"/>
      <c r="I427" s="1"/>
      <c r="J427" s="1"/>
    </row>
    <row r="428" ht="15.75" customHeight="1">
      <c r="A428" s="36"/>
      <c r="B428" s="37"/>
      <c r="C428" s="37"/>
      <c r="D428" s="1"/>
      <c r="E428" s="1"/>
      <c r="F428" s="1"/>
      <c r="G428" s="1"/>
      <c r="H428" s="1"/>
      <c r="I428" s="1"/>
      <c r="J428" s="1"/>
    </row>
    <row r="429" ht="15.75" customHeight="1">
      <c r="A429" s="36"/>
      <c r="B429" s="37"/>
      <c r="C429" s="37"/>
      <c r="D429" s="1"/>
      <c r="E429" s="1"/>
      <c r="F429" s="1"/>
      <c r="G429" s="1"/>
      <c r="H429" s="1"/>
      <c r="I429" s="1"/>
      <c r="J429" s="1"/>
    </row>
    <row r="430" ht="15.75" customHeight="1">
      <c r="A430" s="36"/>
      <c r="B430" s="37"/>
      <c r="C430" s="37"/>
      <c r="D430" s="1"/>
      <c r="E430" s="1"/>
      <c r="F430" s="1"/>
      <c r="G430" s="1"/>
      <c r="H430" s="1"/>
      <c r="I430" s="1"/>
      <c r="J430" s="1"/>
    </row>
    <row r="431" ht="15.75" customHeight="1">
      <c r="A431" s="36"/>
      <c r="B431" s="37"/>
      <c r="C431" s="37"/>
      <c r="D431" s="1"/>
      <c r="E431" s="1"/>
      <c r="F431" s="1"/>
      <c r="G431" s="1"/>
      <c r="H431" s="1"/>
      <c r="I431" s="1"/>
      <c r="J431" s="1"/>
    </row>
    <row r="432" ht="15.75" customHeight="1">
      <c r="A432" s="36"/>
      <c r="B432" s="37"/>
      <c r="C432" s="37"/>
      <c r="D432" s="1"/>
      <c r="E432" s="1"/>
      <c r="F432" s="1"/>
      <c r="G432" s="1"/>
      <c r="H432" s="1"/>
      <c r="I432" s="1"/>
      <c r="J432" s="1"/>
    </row>
    <row r="433" ht="15.75" customHeight="1">
      <c r="A433" s="36"/>
      <c r="B433" s="37"/>
      <c r="C433" s="37"/>
      <c r="D433" s="1"/>
      <c r="E433" s="1"/>
      <c r="F433" s="1"/>
      <c r="G433" s="1"/>
      <c r="H433" s="1"/>
      <c r="I433" s="1"/>
      <c r="J433" s="1"/>
    </row>
    <row r="434" ht="15.75" customHeight="1">
      <c r="A434" s="36"/>
      <c r="B434" s="37"/>
      <c r="C434" s="37"/>
      <c r="D434" s="1"/>
      <c r="E434" s="1"/>
      <c r="F434" s="1"/>
      <c r="G434" s="1"/>
      <c r="H434" s="1"/>
      <c r="I434" s="1"/>
      <c r="J434" s="1"/>
    </row>
    <row r="435" ht="15.75" customHeight="1">
      <c r="A435" s="36"/>
      <c r="B435" s="37"/>
      <c r="C435" s="37"/>
      <c r="D435" s="1"/>
      <c r="E435" s="1"/>
      <c r="F435" s="1"/>
      <c r="G435" s="1"/>
      <c r="H435" s="1"/>
      <c r="I435" s="1"/>
      <c r="J435" s="1"/>
    </row>
    <row r="436" ht="15.75" customHeight="1">
      <c r="A436" s="36"/>
      <c r="B436" s="37"/>
      <c r="C436" s="37"/>
      <c r="D436" s="1"/>
      <c r="E436" s="1"/>
      <c r="F436" s="1"/>
      <c r="G436" s="1"/>
      <c r="H436" s="1"/>
      <c r="I436" s="1"/>
      <c r="J436" s="1"/>
    </row>
    <row r="437" ht="15.75" customHeight="1">
      <c r="A437" s="36"/>
      <c r="B437" s="37"/>
      <c r="C437" s="37"/>
      <c r="D437" s="1"/>
      <c r="E437" s="1"/>
      <c r="F437" s="1"/>
      <c r="G437" s="1"/>
      <c r="H437" s="1"/>
      <c r="I437" s="1"/>
      <c r="J437" s="1"/>
    </row>
    <row r="438" ht="15.75" customHeight="1">
      <c r="A438" s="36"/>
      <c r="B438" s="37"/>
      <c r="C438" s="37"/>
      <c r="D438" s="1"/>
      <c r="E438" s="1"/>
      <c r="F438" s="1"/>
      <c r="G438" s="1"/>
      <c r="H438" s="1"/>
      <c r="I438" s="1"/>
      <c r="J438" s="1"/>
    </row>
    <row r="439" ht="15.75" customHeight="1">
      <c r="A439" s="36"/>
      <c r="B439" s="37"/>
      <c r="C439" s="37"/>
      <c r="D439" s="1"/>
      <c r="E439" s="1"/>
      <c r="F439" s="1"/>
      <c r="G439" s="1"/>
      <c r="H439" s="1"/>
      <c r="I439" s="1"/>
      <c r="J439" s="1"/>
    </row>
    <row r="440" ht="15.75" customHeight="1">
      <c r="A440" s="36"/>
      <c r="B440" s="37"/>
      <c r="C440" s="37"/>
      <c r="D440" s="1"/>
      <c r="E440" s="1"/>
      <c r="F440" s="1"/>
      <c r="G440" s="1"/>
      <c r="H440" s="1"/>
      <c r="I440" s="1"/>
      <c r="J440" s="1"/>
    </row>
    <row r="441" ht="15.75" customHeight="1">
      <c r="A441" s="36"/>
      <c r="B441" s="37"/>
      <c r="C441" s="37"/>
      <c r="D441" s="1"/>
      <c r="E441" s="1"/>
      <c r="F441" s="1"/>
      <c r="G441" s="1"/>
      <c r="H441" s="1"/>
      <c r="I441" s="1"/>
      <c r="J441" s="1"/>
    </row>
    <row r="442" ht="15.75" customHeight="1">
      <c r="A442" s="36"/>
      <c r="B442" s="37"/>
      <c r="C442" s="37"/>
      <c r="D442" s="1"/>
      <c r="E442" s="1"/>
      <c r="F442" s="1"/>
      <c r="G442" s="1"/>
      <c r="H442" s="1"/>
      <c r="I442" s="1"/>
      <c r="J442" s="1"/>
    </row>
    <row r="443" ht="15.75" customHeight="1">
      <c r="A443" s="36"/>
      <c r="B443" s="37"/>
      <c r="C443" s="37"/>
      <c r="D443" s="1"/>
      <c r="E443" s="1"/>
      <c r="F443" s="1"/>
      <c r="G443" s="1"/>
      <c r="H443" s="1"/>
      <c r="I443" s="1"/>
      <c r="J443" s="1"/>
    </row>
    <row r="444" ht="15.75" customHeight="1">
      <c r="A444" s="36"/>
      <c r="B444" s="37"/>
      <c r="C444" s="37"/>
      <c r="D444" s="1"/>
      <c r="E444" s="1"/>
      <c r="F444" s="1"/>
      <c r="G444" s="1"/>
      <c r="H444" s="1"/>
      <c r="I444" s="1"/>
      <c r="J444" s="1"/>
    </row>
    <row r="445" ht="15.75" customHeight="1">
      <c r="A445" s="36"/>
      <c r="B445" s="37"/>
      <c r="C445" s="37"/>
      <c r="D445" s="1"/>
      <c r="E445" s="1"/>
      <c r="F445" s="1"/>
      <c r="G445" s="1"/>
      <c r="H445" s="1"/>
      <c r="I445" s="1"/>
      <c r="J445" s="1"/>
    </row>
    <row r="446" ht="15.75" customHeight="1">
      <c r="A446" s="36"/>
      <c r="B446" s="37"/>
      <c r="C446" s="37"/>
      <c r="D446" s="1"/>
      <c r="E446" s="1"/>
      <c r="F446" s="1"/>
      <c r="G446" s="1"/>
      <c r="H446" s="1"/>
      <c r="I446" s="1"/>
      <c r="J446" s="1"/>
    </row>
    <row r="447" ht="15.75" customHeight="1">
      <c r="A447" s="36"/>
      <c r="B447" s="37"/>
      <c r="C447" s="37"/>
      <c r="D447" s="1"/>
      <c r="E447" s="1"/>
      <c r="F447" s="1"/>
      <c r="G447" s="1"/>
      <c r="H447" s="1"/>
      <c r="I447" s="1"/>
      <c r="J447" s="1"/>
    </row>
    <row r="448" ht="15.75" customHeight="1">
      <c r="A448" s="36"/>
      <c r="B448" s="37"/>
      <c r="C448" s="37"/>
      <c r="D448" s="1"/>
      <c r="E448" s="1"/>
      <c r="F448" s="1"/>
      <c r="G448" s="1"/>
      <c r="H448" s="1"/>
      <c r="I448" s="1"/>
      <c r="J448" s="1"/>
    </row>
    <row r="449" ht="15.75" customHeight="1">
      <c r="A449" s="36"/>
      <c r="B449" s="37"/>
      <c r="C449" s="37"/>
      <c r="D449" s="1"/>
      <c r="E449" s="1"/>
      <c r="F449" s="1"/>
      <c r="G449" s="1"/>
      <c r="H449" s="1"/>
      <c r="I449" s="1"/>
      <c r="J449" s="1"/>
    </row>
    <row r="450" ht="15.75" customHeight="1">
      <c r="A450" s="36"/>
      <c r="B450" s="37"/>
      <c r="C450" s="37"/>
      <c r="D450" s="1"/>
      <c r="E450" s="1"/>
      <c r="F450" s="1"/>
      <c r="G450" s="1"/>
      <c r="H450" s="1"/>
      <c r="I450" s="1"/>
      <c r="J450" s="1"/>
    </row>
    <row r="451" ht="15.75" customHeight="1">
      <c r="A451" s="36"/>
      <c r="B451" s="37"/>
      <c r="C451" s="37"/>
      <c r="D451" s="1"/>
      <c r="E451" s="1"/>
      <c r="F451" s="1"/>
      <c r="G451" s="1"/>
      <c r="H451" s="1"/>
      <c r="I451" s="1"/>
      <c r="J451" s="1"/>
    </row>
    <row r="452" ht="15.75" customHeight="1">
      <c r="A452" s="36"/>
      <c r="B452" s="37"/>
      <c r="C452" s="37"/>
      <c r="D452" s="1"/>
      <c r="E452" s="1"/>
      <c r="F452" s="1"/>
      <c r="G452" s="1"/>
      <c r="H452" s="1"/>
      <c r="I452" s="1"/>
      <c r="J452" s="1"/>
    </row>
    <row r="453" ht="15.75" customHeight="1">
      <c r="A453" s="36"/>
      <c r="B453" s="37"/>
      <c r="C453" s="37"/>
      <c r="D453" s="1"/>
      <c r="E453" s="1"/>
      <c r="F453" s="1"/>
      <c r="G453" s="1"/>
      <c r="H453" s="1"/>
      <c r="I453" s="1"/>
      <c r="J453" s="1"/>
    </row>
    <row r="454" ht="15.75" customHeight="1">
      <c r="A454" s="36"/>
      <c r="B454" s="37"/>
      <c r="C454" s="37"/>
      <c r="D454" s="1"/>
      <c r="E454" s="1"/>
      <c r="F454" s="1"/>
      <c r="G454" s="1"/>
      <c r="H454" s="1"/>
      <c r="I454" s="1"/>
      <c r="J454" s="1"/>
    </row>
    <row r="455" ht="15.75" customHeight="1">
      <c r="A455" s="36"/>
      <c r="B455" s="37"/>
      <c r="C455" s="37"/>
      <c r="D455" s="1"/>
      <c r="E455" s="1"/>
      <c r="F455" s="1"/>
      <c r="G455" s="1"/>
      <c r="H455" s="1"/>
      <c r="I455" s="1"/>
      <c r="J455" s="1"/>
    </row>
    <row r="456" ht="15.75" customHeight="1">
      <c r="A456" s="36"/>
      <c r="B456" s="37"/>
      <c r="C456" s="37"/>
      <c r="D456" s="1"/>
      <c r="E456" s="1"/>
      <c r="F456" s="1"/>
      <c r="G456" s="1"/>
      <c r="H456" s="1"/>
      <c r="I456" s="1"/>
      <c r="J456" s="1"/>
    </row>
    <row r="457" ht="15.75" customHeight="1">
      <c r="A457" s="36"/>
      <c r="B457" s="37"/>
      <c r="C457" s="37"/>
      <c r="D457" s="1"/>
      <c r="E457" s="1"/>
      <c r="F457" s="1"/>
      <c r="G457" s="1"/>
      <c r="H457" s="1"/>
      <c r="I457" s="1"/>
      <c r="J457" s="1"/>
    </row>
    <row r="458" ht="15.75" customHeight="1">
      <c r="A458" s="36"/>
      <c r="B458" s="37"/>
      <c r="C458" s="37"/>
      <c r="D458" s="1"/>
      <c r="E458" s="1"/>
      <c r="F458" s="1"/>
      <c r="G458" s="1"/>
      <c r="H458" s="1"/>
      <c r="I458" s="1"/>
      <c r="J458" s="1"/>
    </row>
    <row r="459" ht="15.75" customHeight="1">
      <c r="A459" s="36"/>
      <c r="B459" s="37"/>
      <c r="C459" s="37"/>
      <c r="D459" s="1"/>
      <c r="E459" s="1"/>
      <c r="F459" s="1"/>
      <c r="G459" s="1"/>
      <c r="H459" s="1"/>
      <c r="I459" s="1"/>
      <c r="J459" s="1"/>
    </row>
    <row r="460" ht="15.75" customHeight="1">
      <c r="A460" s="36"/>
      <c r="B460" s="37"/>
      <c r="C460" s="37"/>
      <c r="D460" s="1"/>
      <c r="E460" s="1"/>
      <c r="F460" s="1"/>
      <c r="G460" s="1"/>
      <c r="H460" s="1"/>
      <c r="I460" s="1"/>
      <c r="J460" s="1"/>
    </row>
    <row r="461" ht="15.75" customHeight="1">
      <c r="A461" s="36"/>
      <c r="B461" s="37"/>
      <c r="C461" s="37"/>
      <c r="D461" s="1"/>
      <c r="E461" s="1"/>
      <c r="F461" s="1"/>
      <c r="G461" s="1"/>
      <c r="H461" s="1"/>
      <c r="I461" s="1"/>
      <c r="J461" s="1"/>
    </row>
    <row r="462" ht="15.75" customHeight="1">
      <c r="A462" s="36"/>
      <c r="B462" s="37"/>
      <c r="C462" s="37"/>
      <c r="D462" s="1"/>
      <c r="E462" s="1"/>
      <c r="F462" s="1"/>
      <c r="G462" s="1"/>
      <c r="H462" s="1"/>
      <c r="I462" s="1"/>
      <c r="J462" s="1"/>
    </row>
    <row r="463" ht="15.75" customHeight="1">
      <c r="A463" s="36"/>
      <c r="B463" s="37"/>
      <c r="C463" s="37"/>
      <c r="D463" s="1"/>
      <c r="E463" s="1"/>
      <c r="F463" s="1"/>
      <c r="G463" s="1"/>
      <c r="H463" s="1"/>
      <c r="I463" s="1"/>
      <c r="J463" s="1"/>
    </row>
    <row r="464" ht="15.75" customHeight="1">
      <c r="A464" s="36"/>
      <c r="B464" s="37"/>
      <c r="C464" s="37"/>
      <c r="D464" s="1"/>
      <c r="E464" s="1"/>
      <c r="F464" s="1"/>
      <c r="G464" s="1"/>
      <c r="H464" s="1"/>
      <c r="I464" s="1"/>
      <c r="J464" s="1"/>
    </row>
    <row r="465" ht="15.75" customHeight="1">
      <c r="A465" s="36"/>
      <c r="B465" s="37"/>
      <c r="C465" s="37"/>
      <c r="D465" s="1"/>
      <c r="E465" s="1"/>
      <c r="F465" s="1"/>
      <c r="G465" s="1"/>
      <c r="H465" s="1"/>
      <c r="I465" s="1"/>
      <c r="J465" s="1"/>
    </row>
    <row r="466" ht="15.75" customHeight="1">
      <c r="A466" s="36"/>
      <c r="B466" s="37"/>
      <c r="C466" s="37"/>
      <c r="D466" s="1"/>
      <c r="E466" s="1"/>
      <c r="F466" s="1"/>
      <c r="G466" s="1"/>
      <c r="H466" s="1"/>
      <c r="I466" s="1"/>
      <c r="J466" s="1"/>
    </row>
    <row r="467" ht="15.75" customHeight="1">
      <c r="A467" s="36"/>
      <c r="B467" s="37"/>
      <c r="C467" s="37"/>
      <c r="D467" s="1"/>
      <c r="E467" s="1"/>
      <c r="F467" s="1"/>
      <c r="G467" s="1"/>
      <c r="H467" s="1"/>
      <c r="I467" s="1"/>
      <c r="J467" s="1"/>
    </row>
    <row r="468" ht="15.75" customHeight="1">
      <c r="A468" s="36"/>
      <c r="B468" s="37"/>
      <c r="C468" s="37"/>
      <c r="D468" s="1"/>
      <c r="E468" s="1"/>
      <c r="F468" s="1"/>
      <c r="G468" s="1"/>
      <c r="H468" s="1"/>
      <c r="I468" s="1"/>
      <c r="J468" s="1"/>
    </row>
    <row r="469" ht="15.75" customHeight="1">
      <c r="A469" s="36"/>
      <c r="B469" s="37"/>
      <c r="C469" s="37"/>
      <c r="D469" s="1"/>
      <c r="E469" s="1"/>
      <c r="F469" s="1"/>
      <c r="G469" s="1"/>
      <c r="H469" s="1"/>
      <c r="I469" s="1"/>
      <c r="J469" s="1"/>
    </row>
    <row r="470" ht="15.75" customHeight="1">
      <c r="A470" s="36"/>
      <c r="B470" s="37"/>
      <c r="C470" s="37"/>
      <c r="D470" s="1"/>
      <c r="E470" s="1"/>
      <c r="F470" s="1"/>
      <c r="G470" s="1"/>
      <c r="H470" s="1"/>
      <c r="I470" s="1"/>
      <c r="J470" s="1"/>
    </row>
    <row r="471" ht="15.75" customHeight="1">
      <c r="A471" s="36"/>
      <c r="B471" s="37"/>
      <c r="C471" s="37"/>
      <c r="D471" s="1"/>
      <c r="E471" s="1"/>
      <c r="F471" s="1"/>
      <c r="G471" s="1"/>
      <c r="H471" s="1"/>
      <c r="I471" s="1"/>
      <c r="J471" s="1"/>
    </row>
    <row r="472" ht="15.75" customHeight="1">
      <c r="A472" s="36"/>
      <c r="B472" s="37"/>
      <c r="C472" s="37"/>
      <c r="D472" s="1"/>
      <c r="E472" s="1"/>
      <c r="F472" s="1"/>
      <c r="G472" s="1"/>
      <c r="H472" s="1"/>
      <c r="I472" s="1"/>
      <c r="J472" s="1"/>
    </row>
    <row r="473" ht="15.75" customHeight="1">
      <c r="A473" s="36"/>
      <c r="B473" s="37"/>
      <c r="C473" s="37"/>
      <c r="D473" s="1"/>
      <c r="E473" s="1"/>
      <c r="F473" s="1"/>
      <c r="G473" s="1"/>
      <c r="H473" s="1"/>
      <c r="I473" s="1"/>
      <c r="J473" s="1"/>
    </row>
    <row r="474" ht="15.75" customHeight="1">
      <c r="A474" s="36"/>
      <c r="B474" s="37"/>
      <c r="C474" s="37"/>
      <c r="D474" s="1"/>
      <c r="E474" s="1"/>
      <c r="F474" s="1"/>
      <c r="G474" s="1"/>
      <c r="H474" s="1"/>
      <c r="I474" s="1"/>
      <c r="J474" s="1"/>
    </row>
    <row r="475" ht="15.75" customHeight="1">
      <c r="A475" s="36"/>
      <c r="B475" s="37"/>
      <c r="C475" s="37"/>
      <c r="D475" s="1"/>
      <c r="E475" s="1"/>
      <c r="F475" s="1"/>
      <c r="G475" s="1"/>
      <c r="H475" s="1"/>
      <c r="I475" s="1"/>
      <c r="J475" s="1"/>
    </row>
    <row r="476" ht="15.75" customHeight="1">
      <c r="A476" s="36"/>
      <c r="B476" s="37"/>
      <c r="C476" s="37"/>
      <c r="D476" s="1"/>
      <c r="E476" s="1"/>
      <c r="F476" s="1"/>
      <c r="G476" s="1"/>
      <c r="H476" s="1"/>
      <c r="I476" s="1"/>
      <c r="J476" s="1"/>
    </row>
    <row r="477" ht="15.75" customHeight="1">
      <c r="A477" s="36"/>
      <c r="B477" s="37"/>
      <c r="C477" s="37"/>
      <c r="D477" s="1"/>
      <c r="E477" s="1"/>
      <c r="F477" s="1"/>
      <c r="G477" s="1"/>
      <c r="H477" s="1"/>
      <c r="I477" s="1"/>
      <c r="J477" s="1"/>
    </row>
    <row r="478" ht="15.75" customHeight="1">
      <c r="A478" s="36"/>
      <c r="B478" s="37"/>
      <c r="C478" s="37"/>
      <c r="D478" s="1"/>
      <c r="E478" s="1"/>
      <c r="F478" s="1"/>
      <c r="G478" s="1"/>
      <c r="H478" s="1"/>
      <c r="I478" s="1"/>
      <c r="J478" s="1"/>
    </row>
    <row r="479" ht="15.75" customHeight="1">
      <c r="A479" s="36"/>
      <c r="B479" s="37"/>
      <c r="C479" s="37"/>
      <c r="D479" s="1"/>
      <c r="E479" s="1"/>
      <c r="F479" s="1"/>
      <c r="G479" s="1"/>
      <c r="H479" s="1"/>
      <c r="I479" s="1"/>
      <c r="J479" s="1"/>
    </row>
    <row r="480" ht="15.75" customHeight="1">
      <c r="A480" s="36"/>
      <c r="B480" s="37"/>
      <c r="C480" s="37"/>
      <c r="D480" s="1"/>
      <c r="E480" s="1"/>
      <c r="F480" s="1"/>
      <c r="G480" s="1"/>
      <c r="H480" s="1"/>
      <c r="I480" s="1"/>
      <c r="J480" s="1"/>
    </row>
    <row r="481" ht="15.75" customHeight="1">
      <c r="A481" s="36"/>
      <c r="B481" s="37"/>
      <c r="C481" s="37"/>
      <c r="D481" s="1"/>
      <c r="E481" s="1"/>
      <c r="F481" s="1"/>
      <c r="G481" s="1"/>
      <c r="H481" s="1"/>
      <c r="I481" s="1"/>
      <c r="J481" s="1"/>
    </row>
    <row r="482" ht="15.75" customHeight="1">
      <c r="A482" s="36"/>
      <c r="B482" s="37"/>
      <c r="C482" s="37"/>
      <c r="D482" s="1"/>
      <c r="E482" s="1"/>
      <c r="F482" s="1"/>
      <c r="G482" s="1"/>
      <c r="H482" s="1"/>
      <c r="I482" s="1"/>
      <c r="J482" s="1"/>
    </row>
    <row r="483" ht="15.75" customHeight="1">
      <c r="A483" s="36"/>
      <c r="B483" s="37"/>
      <c r="C483" s="37"/>
      <c r="D483" s="1"/>
      <c r="E483" s="1"/>
      <c r="F483" s="1"/>
      <c r="G483" s="1"/>
      <c r="H483" s="1"/>
      <c r="I483" s="1"/>
      <c r="J483" s="1"/>
    </row>
    <row r="484" ht="15.75" customHeight="1">
      <c r="A484" s="36"/>
      <c r="B484" s="37"/>
      <c r="C484" s="37"/>
      <c r="D484" s="1"/>
      <c r="E484" s="1"/>
      <c r="F484" s="1"/>
      <c r="G484" s="1"/>
      <c r="H484" s="1"/>
      <c r="I484" s="1"/>
      <c r="J484" s="1"/>
    </row>
    <row r="485" ht="15.75" customHeight="1">
      <c r="A485" s="36"/>
      <c r="B485" s="37"/>
      <c r="C485" s="37"/>
      <c r="D485" s="1"/>
      <c r="E485" s="1"/>
      <c r="F485" s="1"/>
      <c r="G485" s="1"/>
      <c r="H485" s="1"/>
      <c r="I485" s="1"/>
      <c r="J485" s="1"/>
    </row>
    <row r="486" ht="15.75" customHeight="1">
      <c r="A486" s="36"/>
      <c r="B486" s="37"/>
      <c r="C486" s="37"/>
      <c r="D486" s="1"/>
      <c r="E486" s="1"/>
      <c r="F486" s="1"/>
      <c r="G486" s="1"/>
      <c r="H486" s="1"/>
      <c r="I486" s="1"/>
      <c r="J486" s="1"/>
    </row>
    <row r="487" ht="15.75" customHeight="1">
      <c r="A487" s="36"/>
      <c r="B487" s="37"/>
      <c r="C487" s="37"/>
      <c r="D487" s="1"/>
      <c r="E487" s="1"/>
      <c r="F487" s="1"/>
      <c r="G487" s="1"/>
      <c r="H487" s="1"/>
      <c r="I487" s="1"/>
      <c r="J487" s="1"/>
    </row>
    <row r="488" ht="15.75" customHeight="1">
      <c r="A488" s="36"/>
      <c r="B488" s="37"/>
      <c r="C488" s="37"/>
      <c r="D488" s="1"/>
      <c r="E488" s="1"/>
      <c r="F488" s="1"/>
      <c r="G488" s="1"/>
      <c r="H488" s="1"/>
      <c r="I488" s="1"/>
      <c r="J488" s="1"/>
    </row>
    <row r="489" ht="15.75" customHeight="1">
      <c r="A489" s="36"/>
      <c r="B489" s="37"/>
      <c r="C489" s="37"/>
      <c r="D489" s="1"/>
      <c r="E489" s="1"/>
      <c r="F489" s="1"/>
      <c r="G489" s="1"/>
      <c r="H489" s="1"/>
      <c r="I489" s="1"/>
      <c r="J489" s="1"/>
    </row>
    <row r="490" ht="15.75" customHeight="1">
      <c r="A490" s="36"/>
      <c r="B490" s="37"/>
      <c r="C490" s="37"/>
      <c r="D490" s="1"/>
      <c r="E490" s="1"/>
      <c r="F490" s="1"/>
      <c r="G490" s="1"/>
      <c r="H490" s="1"/>
      <c r="I490" s="1"/>
      <c r="J490" s="1"/>
    </row>
    <row r="491" ht="15.75" customHeight="1">
      <c r="A491" s="36"/>
      <c r="B491" s="37"/>
      <c r="C491" s="37"/>
      <c r="D491" s="1"/>
      <c r="E491" s="1"/>
      <c r="F491" s="1"/>
      <c r="G491" s="1"/>
      <c r="H491" s="1"/>
      <c r="I491" s="1"/>
      <c r="J491" s="1"/>
    </row>
    <row r="492" ht="15.75" customHeight="1">
      <c r="A492" s="36"/>
      <c r="B492" s="37"/>
      <c r="C492" s="37"/>
      <c r="D492" s="1"/>
      <c r="E492" s="1"/>
      <c r="F492" s="1"/>
      <c r="G492" s="1"/>
      <c r="H492" s="1"/>
      <c r="I492" s="1"/>
      <c r="J492" s="1"/>
    </row>
    <row r="493" ht="15.75" customHeight="1">
      <c r="A493" s="36"/>
      <c r="B493" s="37"/>
      <c r="C493" s="37"/>
      <c r="D493" s="1"/>
      <c r="E493" s="1"/>
      <c r="F493" s="1"/>
      <c r="G493" s="1"/>
      <c r="H493" s="1"/>
      <c r="I493" s="1"/>
      <c r="J493" s="1"/>
    </row>
    <row r="494" ht="15.75" customHeight="1">
      <c r="A494" s="36"/>
      <c r="B494" s="37"/>
      <c r="C494" s="37"/>
      <c r="D494" s="1"/>
      <c r="E494" s="1"/>
      <c r="F494" s="1"/>
      <c r="G494" s="1"/>
      <c r="H494" s="1"/>
      <c r="I494" s="1"/>
      <c r="J494" s="1"/>
    </row>
    <row r="495" ht="15.75" customHeight="1">
      <c r="A495" s="36"/>
      <c r="B495" s="37"/>
      <c r="C495" s="37"/>
      <c r="D495" s="1"/>
      <c r="E495" s="1"/>
      <c r="F495" s="1"/>
      <c r="G495" s="1"/>
      <c r="H495" s="1"/>
      <c r="I495" s="1"/>
      <c r="J495" s="1"/>
    </row>
    <row r="496" ht="15.75" customHeight="1">
      <c r="A496" s="36"/>
      <c r="B496" s="37"/>
      <c r="C496" s="37"/>
      <c r="D496" s="1"/>
      <c r="E496" s="1"/>
      <c r="F496" s="1"/>
      <c r="G496" s="1"/>
      <c r="H496" s="1"/>
      <c r="I496" s="1"/>
      <c r="J496" s="1"/>
    </row>
    <row r="497" ht="15.75" customHeight="1">
      <c r="A497" s="36"/>
      <c r="B497" s="37"/>
      <c r="C497" s="37"/>
      <c r="D497" s="1"/>
      <c r="E497" s="1"/>
      <c r="F497" s="1"/>
      <c r="G497" s="1"/>
      <c r="H497" s="1"/>
      <c r="I497" s="1"/>
      <c r="J497" s="1"/>
    </row>
    <row r="498" ht="15.75" customHeight="1">
      <c r="A498" s="36"/>
      <c r="B498" s="37"/>
      <c r="C498" s="37"/>
      <c r="D498" s="1"/>
      <c r="E498" s="1"/>
      <c r="F498" s="1"/>
      <c r="G498" s="1"/>
      <c r="H498" s="1"/>
      <c r="I498" s="1"/>
      <c r="J498" s="1"/>
    </row>
    <row r="499" ht="15.75" customHeight="1">
      <c r="A499" s="36"/>
      <c r="B499" s="37"/>
      <c r="C499" s="37"/>
      <c r="D499" s="1"/>
      <c r="E499" s="1"/>
      <c r="F499" s="1"/>
      <c r="G499" s="1"/>
      <c r="H499" s="1"/>
      <c r="I499" s="1"/>
      <c r="J499" s="1"/>
    </row>
    <row r="500" ht="15.75" customHeight="1">
      <c r="A500" s="36"/>
      <c r="B500" s="37"/>
      <c r="C500" s="37"/>
      <c r="D500" s="1"/>
      <c r="E500" s="1"/>
      <c r="F500" s="1"/>
      <c r="G500" s="1"/>
      <c r="H500" s="1"/>
      <c r="I500" s="1"/>
      <c r="J500" s="1"/>
    </row>
    <row r="501" ht="15.75" customHeight="1">
      <c r="A501" s="36"/>
      <c r="B501" s="37"/>
      <c r="C501" s="37"/>
      <c r="D501" s="1"/>
      <c r="E501" s="1"/>
      <c r="F501" s="1"/>
      <c r="G501" s="1"/>
      <c r="H501" s="1"/>
      <c r="I501" s="1"/>
      <c r="J501" s="1"/>
    </row>
    <row r="502" ht="15.75" customHeight="1">
      <c r="A502" s="36"/>
      <c r="B502" s="37"/>
      <c r="C502" s="37"/>
      <c r="D502" s="1"/>
      <c r="E502" s="1"/>
      <c r="F502" s="1"/>
      <c r="G502" s="1"/>
      <c r="H502" s="1"/>
      <c r="I502" s="1"/>
      <c r="J502" s="1"/>
    </row>
    <row r="503" ht="15.75" customHeight="1">
      <c r="A503" s="36"/>
      <c r="B503" s="37"/>
      <c r="C503" s="37"/>
      <c r="D503" s="1"/>
      <c r="E503" s="1"/>
      <c r="F503" s="1"/>
      <c r="G503" s="1"/>
      <c r="H503" s="1"/>
      <c r="I503" s="1"/>
      <c r="J503" s="1"/>
    </row>
    <row r="504" ht="15.75" customHeight="1">
      <c r="A504" s="36"/>
      <c r="B504" s="37"/>
      <c r="C504" s="37"/>
      <c r="D504" s="1"/>
      <c r="E504" s="1"/>
      <c r="F504" s="1"/>
      <c r="G504" s="1"/>
      <c r="H504" s="1"/>
      <c r="I504" s="1"/>
      <c r="J504" s="1"/>
    </row>
    <row r="505" ht="15.75" customHeight="1">
      <c r="A505" s="36"/>
      <c r="B505" s="37"/>
      <c r="C505" s="37"/>
      <c r="D505" s="1"/>
      <c r="E505" s="1"/>
      <c r="F505" s="1"/>
      <c r="G505" s="1"/>
      <c r="H505" s="1"/>
      <c r="I505" s="1"/>
      <c r="J505" s="1"/>
    </row>
    <row r="506" ht="15.75" customHeight="1">
      <c r="A506" s="36"/>
      <c r="B506" s="37"/>
      <c r="C506" s="37"/>
      <c r="D506" s="1"/>
      <c r="E506" s="1"/>
      <c r="F506" s="1"/>
      <c r="G506" s="1"/>
      <c r="H506" s="1"/>
      <c r="I506" s="1"/>
      <c r="J506" s="1"/>
    </row>
    <row r="507" ht="15.75" customHeight="1">
      <c r="A507" s="36"/>
      <c r="B507" s="37"/>
      <c r="C507" s="37"/>
      <c r="D507" s="1"/>
      <c r="E507" s="1"/>
      <c r="F507" s="1"/>
      <c r="G507" s="1"/>
      <c r="H507" s="1"/>
      <c r="I507" s="1"/>
      <c r="J507" s="1"/>
    </row>
    <row r="508" ht="15.75" customHeight="1">
      <c r="A508" s="36"/>
      <c r="B508" s="37"/>
      <c r="C508" s="37"/>
      <c r="D508" s="1"/>
      <c r="E508" s="1"/>
      <c r="F508" s="1"/>
      <c r="G508" s="1"/>
      <c r="H508" s="1"/>
      <c r="I508" s="1"/>
      <c r="J508" s="1"/>
    </row>
    <row r="509" ht="15.75" customHeight="1">
      <c r="A509" s="36"/>
      <c r="B509" s="37"/>
      <c r="C509" s="37"/>
      <c r="D509" s="1"/>
      <c r="E509" s="1"/>
      <c r="F509" s="1"/>
      <c r="G509" s="1"/>
      <c r="H509" s="1"/>
      <c r="I509" s="1"/>
      <c r="J509" s="1"/>
    </row>
    <row r="510" ht="15.75" customHeight="1">
      <c r="A510" s="36"/>
      <c r="B510" s="37"/>
      <c r="C510" s="37"/>
      <c r="D510" s="1"/>
      <c r="E510" s="1"/>
      <c r="F510" s="1"/>
      <c r="G510" s="1"/>
      <c r="H510" s="1"/>
      <c r="I510" s="1"/>
      <c r="J510" s="1"/>
    </row>
    <row r="511" ht="15.75" customHeight="1">
      <c r="A511" s="36"/>
      <c r="B511" s="37"/>
      <c r="C511" s="37"/>
      <c r="D511" s="1"/>
      <c r="E511" s="1"/>
      <c r="F511" s="1"/>
      <c r="G511" s="1"/>
      <c r="H511" s="1"/>
      <c r="I511" s="1"/>
      <c r="J511" s="1"/>
    </row>
    <row r="512" ht="15.75" customHeight="1">
      <c r="A512" s="36"/>
      <c r="B512" s="37"/>
      <c r="C512" s="37"/>
      <c r="D512" s="1"/>
      <c r="E512" s="1"/>
      <c r="F512" s="1"/>
      <c r="G512" s="1"/>
      <c r="H512" s="1"/>
      <c r="I512" s="1"/>
      <c r="J512" s="1"/>
    </row>
    <row r="513" ht="15.75" customHeight="1">
      <c r="A513" s="36"/>
      <c r="B513" s="37"/>
      <c r="C513" s="37"/>
      <c r="D513" s="1"/>
      <c r="E513" s="1"/>
      <c r="F513" s="1"/>
      <c r="G513" s="1"/>
      <c r="H513" s="1"/>
      <c r="I513" s="1"/>
      <c r="J513" s="1"/>
    </row>
    <row r="514" ht="15.75" customHeight="1">
      <c r="A514" s="36"/>
      <c r="B514" s="37"/>
      <c r="C514" s="37"/>
      <c r="D514" s="1"/>
      <c r="E514" s="1"/>
      <c r="F514" s="1"/>
      <c r="G514" s="1"/>
      <c r="H514" s="1"/>
      <c r="I514" s="1"/>
      <c r="J514" s="1"/>
    </row>
    <row r="515" ht="15.75" customHeight="1">
      <c r="A515" s="36"/>
      <c r="B515" s="37"/>
      <c r="C515" s="37"/>
      <c r="D515" s="1"/>
      <c r="E515" s="1"/>
      <c r="F515" s="1"/>
      <c r="G515" s="1"/>
      <c r="H515" s="1"/>
      <c r="I515" s="1"/>
      <c r="J515" s="1"/>
    </row>
    <row r="516" ht="15.75" customHeight="1">
      <c r="A516" s="36"/>
      <c r="B516" s="37"/>
      <c r="C516" s="37"/>
      <c r="D516" s="1"/>
      <c r="E516" s="1"/>
      <c r="F516" s="1"/>
      <c r="G516" s="1"/>
      <c r="H516" s="1"/>
      <c r="I516" s="1"/>
      <c r="J516" s="1"/>
    </row>
    <row r="517" ht="15.75" customHeight="1">
      <c r="A517" s="36"/>
      <c r="B517" s="37"/>
      <c r="C517" s="37"/>
      <c r="D517" s="1"/>
      <c r="E517" s="1"/>
      <c r="F517" s="1"/>
      <c r="G517" s="1"/>
      <c r="H517" s="1"/>
      <c r="I517" s="1"/>
      <c r="J517" s="1"/>
    </row>
    <row r="518" ht="15.75" customHeight="1">
      <c r="A518" s="36"/>
      <c r="B518" s="37"/>
      <c r="C518" s="37"/>
      <c r="D518" s="1"/>
      <c r="E518" s="1"/>
      <c r="F518" s="1"/>
      <c r="G518" s="1"/>
      <c r="H518" s="1"/>
      <c r="I518" s="1"/>
      <c r="J518" s="1"/>
    </row>
    <row r="519" ht="15.75" customHeight="1">
      <c r="A519" s="36"/>
      <c r="B519" s="37"/>
      <c r="C519" s="37"/>
      <c r="D519" s="1"/>
      <c r="E519" s="1"/>
      <c r="F519" s="1"/>
      <c r="G519" s="1"/>
      <c r="H519" s="1"/>
      <c r="I519" s="1"/>
      <c r="J519" s="1"/>
    </row>
    <row r="520" ht="15.75" customHeight="1">
      <c r="A520" s="36"/>
      <c r="B520" s="37"/>
      <c r="C520" s="37"/>
      <c r="D520" s="1"/>
      <c r="E520" s="1"/>
      <c r="F520" s="1"/>
      <c r="G520" s="1"/>
      <c r="H520" s="1"/>
      <c r="I520" s="1"/>
      <c r="J520" s="1"/>
    </row>
    <row r="521" ht="15.75" customHeight="1">
      <c r="A521" s="36"/>
      <c r="B521" s="37"/>
      <c r="C521" s="37"/>
      <c r="D521" s="1"/>
      <c r="E521" s="1"/>
      <c r="F521" s="1"/>
      <c r="G521" s="1"/>
      <c r="H521" s="1"/>
      <c r="I521" s="1"/>
      <c r="J521" s="1"/>
    </row>
    <row r="522" ht="15.75" customHeight="1">
      <c r="A522" s="36"/>
      <c r="B522" s="37"/>
      <c r="C522" s="37"/>
      <c r="D522" s="1"/>
      <c r="E522" s="1"/>
      <c r="F522" s="1"/>
      <c r="G522" s="1"/>
      <c r="H522" s="1"/>
      <c r="I522" s="1"/>
      <c r="J522" s="1"/>
    </row>
    <row r="523" ht="15.75" customHeight="1">
      <c r="A523" s="36"/>
      <c r="B523" s="37"/>
      <c r="C523" s="37"/>
      <c r="D523" s="1"/>
      <c r="E523" s="1"/>
      <c r="F523" s="1"/>
      <c r="G523" s="1"/>
      <c r="H523" s="1"/>
      <c r="I523" s="1"/>
      <c r="J523" s="1"/>
    </row>
    <row r="524" ht="15.75" customHeight="1">
      <c r="A524" s="36"/>
      <c r="B524" s="37"/>
      <c r="C524" s="37"/>
      <c r="D524" s="1"/>
      <c r="E524" s="1"/>
      <c r="F524" s="1"/>
      <c r="G524" s="1"/>
      <c r="H524" s="1"/>
      <c r="I524" s="1"/>
      <c r="J524" s="1"/>
    </row>
    <row r="525" ht="15.75" customHeight="1">
      <c r="A525" s="36"/>
      <c r="B525" s="37"/>
      <c r="C525" s="37"/>
      <c r="D525" s="1"/>
      <c r="E525" s="1"/>
      <c r="F525" s="1"/>
      <c r="G525" s="1"/>
      <c r="H525" s="1"/>
      <c r="I525" s="1"/>
      <c r="J525" s="1"/>
    </row>
    <row r="526" ht="15.75" customHeight="1">
      <c r="A526" s="36"/>
      <c r="B526" s="37"/>
      <c r="C526" s="37"/>
      <c r="D526" s="1"/>
      <c r="E526" s="1"/>
      <c r="F526" s="1"/>
      <c r="G526" s="1"/>
      <c r="H526" s="1"/>
      <c r="I526" s="1"/>
      <c r="J526" s="1"/>
    </row>
    <row r="527" ht="15.75" customHeight="1">
      <c r="A527" s="36"/>
      <c r="B527" s="37"/>
      <c r="C527" s="37"/>
      <c r="D527" s="1"/>
      <c r="E527" s="1"/>
      <c r="F527" s="1"/>
      <c r="G527" s="1"/>
      <c r="H527" s="1"/>
      <c r="I527" s="1"/>
      <c r="J527" s="1"/>
    </row>
    <row r="528" ht="15.75" customHeight="1">
      <c r="A528" s="36"/>
      <c r="B528" s="37"/>
      <c r="C528" s="37"/>
      <c r="D528" s="1"/>
      <c r="E528" s="1"/>
      <c r="F528" s="1"/>
      <c r="G528" s="1"/>
      <c r="H528" s="1"/>
      <c r="I528" s="1"/>
      <c r="J528" s="1"/>
    </row>
    <row r="529" ht="15.75" customHeight="1">
      <c r="A529" s="36"/>
      <c r="B529" s="37"/>
      <c r="C529" s="37"/>
      <c r="D529" s="1"/>
      <c r="E529" s="1"/>
      <c r="F529" s="1"/>
      <c r="G529" s="1"/>
      <c r="H529" s="1"/>
      <c r="I529" s="1"/>
      <c r="J529" s="1"/>
    </row>
    <row r="530" ht="15.75" customHeight="1">
      <c r="A530" s="36"/>
      <c r="B530" s="37"/>
      <c r="C530" s="37"/>
      <c r="D530" s="1"/>
      <c r="E530" s="1"/>
      <c r="F530" s="1"/>
      <c r="G530" s="1"/>
      <c r="H530" s="1"/>
      <c r="I530" s="1"/>
      <c r="J530" s="1"/>
    </row>
    <row r="531" ht="15.75" customHeight="1">
      <c r="A531" s="36"/>
      <c r="B531" s="37"/>
      <c r="C531" s="37"/>
      <c r="D531" s="1"/>
      <c r="E531" s="1"/>
      <c r="F531" s="1"/>
      <c r="G531" s="1"/>
      <c r="H531" s="1"/>
      <c r="I531" s="1"/>
      <c r="J531" s="1"/>
    </row>
    <row r="532" ht="15.75" customHeight="1">
      <c r="A532" s="36"/>
      <c r="B532" s="37"/>
      <c r="C532" s="37"/>
      <c r="D532" s="1"/>
      <c r="E532" s="1"/>
      <c r="F532" s="1"/>
      <c r="G532" s="1"/>
      <c r="H532" s="1"/>
      <c r="I532" s="1"/>
      <c r="J532" s="1"/>
    </row>
    <row r="533" ht="15.75" customHeight="1">
      <c r="A533" s="36"/>
      <c r="B533" s="37"/>
      <c r="C533" s="37"/>
      <c r="D533" s="1"/>
      <c r="E533" s="1"/>
      <c r="F533" s="1"/>
      <c r="G533" s="1"/>
      <c r="H533" s="1"/>
      <c r="I533" s="1"/>
      <c r="J533" s="1"/>
    </row>
    <row r="534" ht="15.75" customHeight="1">
      <c r="A534" s="36"/>
      <c r="B534" s="37"/>
      <c r="C534" s="37"/>
      <c r="D534" s="1"/>
      <c r="E534" s="1"/>
      <c r="F534" s="1"/>
      <c r="G534" s="1"/>
      <c r="H534" s="1"/>
      <c r="I534" s="1"/>
      <c r="J534" s="1"/>
    </row>
    <row r="535" ht="15.75" customHeight="1">
      <c r="A535" s="36"/>
      <c r="B535" s="37"/>
      <c r="C535" s="37"/>
      <c r="D535" s="1"/>
      <c r="E535" s="1"/>
      <c r="F535" s="1"/>
      <c r="G535" s="1"/>
      <c r="H535" s="1"/>
      <c r="I535" s="1"/>
      <c r="J535" s="1"/>
    </row>
    <row r="536" ht="15.75" customHeight="1">
      <c r="A536" s="36"/>
      <c r="B536" s="37"/>
      <c r="C536" s="37"/>
      <c r="D536" s="1"/>
      <c r="E536" s="1"/>
      <c r="F536" s="1"/>
      <c r="G536" s="1"/>
      <c r="H536" s="1"/>
      <c r="I536" s="1"/>
      <c r="J536" s="1"/>
    </row>
    <row r="537" ht="15.75" customHeight="1">
      <c r="A537" s="36"/>
      <c r="B537" s="37"/>
      <c r="C537" s="37"/>
      <c r="D537" s="1"/>
      <c r="E537" s="1"/>
      <c r="F537" s="1"/>
      <c r="G537" s="1"/>
      <c r="H537" s="1"/>
      <c r="I537" s="1"/>
      <c r="J537" s="1"/>
    </row>
    <row r="538" ht="15.75" customHeight="1">
      <c r="A538" s="36"/>
      <c r="B538" s="37"/>
      <c r="C538" s="37"/>
      <c r="D538" s="1"/>
      <c r="E538" s="1"/>
      <c r="F538" s="1"/>
      <c r="G538" s="1"/>
      <c r="H538" s="1"/>
      <c r="I538" s="1"/>
      <c r="J538" s="1"/>
    </row>
    <row r="539" ht="15.75" customHeight="1">
      <c r="A539" s="36"/>
      <c r="B539" s="37"/>
      <c r="C539" s="37"/>
      <c r="D539" s="1"/>
      <c r="E539" s="1"/>
      <c r="F539" s="1"/>
      <c r="G539" s="1"/>
      <c r="H539" s="1"/>
      <c r="I539" s="1"/>
      <c r="J539" s="1"/>
    </row>
    <row r="540" ht="15.75" customHeight="1">
      <c r="A540" s="36"/>
      <c r="B540" s="37"/>
      <c r="C540" s="37"/>
      <c r="D540" s="1"/>
      <c r="E540" s="1"/>
      <c r="F540" s="1"/>
      <c r="G540" s="1"/>
      <c r="H540" s="1"/>
      <c r="I540" s="1"/>
      <c r="J540" s="1"/>
    </row>
    <row r="541" ht="15.75" customHeight="1">
      <c r="A541" s="36"/>
      <c r="B541" s="37"/>
      <c r="C541" s="37"/>
      <c r="D541" s="1"/>
      <c r="E541" s="1"/>
      <c r="F541" s="1"/>
      <c r="G541" s="1"/>
      <c r="H541" s="1"/>
      <c r="I541" s="1"/>
      <c r="J541" s="1"/>
    </row>
    <row r="542" ht="15.75" customHeight="1">
      <c r="A542" s="36"/>
      <c r="B542" s="37"/>
      <c r="C542" s="37"/>
      <c r="D542" s="1"/>
      <c r="E542" s="1"/>
      <c r="F542" s="1"/>
      <c r="G542" s="1"/>
      <c r="H542" s="1"/>
      <c r="I542" s="1"/>
      <c r="J542" s="1"/>
    </row>
    <row r="543" ht="15.75" customHeight="1">
      <c r="A543" s="36"/>
      <c r="B543" s="37"/>
      <c r="C543" s="37"/>
      <c r="D543" s="1"/>
      <c r="E543" s="1"/>
      <c r="F543" s="1"/>
      <c r="G543" s="1"/>
      <c r="H543" s="1"/>
      <c r="I543" s="1"/>
      <c r="J543" s="1"/>
    </row>
    <row r="544" ht="15.75" customHeight="1">
      <c r="A544" s="36"/>
      <c r="B544" s="37"/>
      <c r="C544" s="37"/>
      <c r="D544" s="1"/>
      <c r="E544" s="1"/>
      <c r="F544" s="1"/>
      <c r="G544" s="1"/>
      <c r="H544" s="1"/>
      <c r="I544" s="1"/>
      <c r="J544" s="1"/>
    </row>
    <row r="545" ht="15.75" customHeight="1">
      <c r="A545" s="36"/>
      <c r="B545" s="37"/>
      <c r="C545" s="37"/>
      <c r="D545" s="1"/>
      <c r="E545" s="1"/>
      <c r="F545" s="1"/>
      <c r="G545" s="1"/>
      <c r="H545" s="1"/>
      <c r="I545" s="1"/>
      <c r="J545" s="1"/>
    </row>
    <row r="546" ht="15.75" customHeight="1">
      <c r="A546" s="36"/>
      <c r="B546" s="37"/>
      <c r="C546" s="37"/>
      <c r="D546" s="1"/>
      <c r="E546" s="1"/>
      <c r="F546" s="1"/>
      <c r="G546" s="1"/>
      <c r="H546" s="1"/>
      <c r="I546" s="1"/>
      <c r="J546" s="1"/>
    </row>
    <row r="547" ht="15.75" customHeight="1">
      <c r="A547" s="36"/>
      <c r="B547" s="37"/>
      <c r="C547" s="37"/>
      <c r="D547" s="1"/>
      <c r="E547" s="1"/>
      <c r="F547" s="1"/>
      <c r="G547" s="1"/>
      <c r="H547" s="1"/>
      <c r="I547" s="1"/>
      <c r="J547" s="1"/>
    </row>
    <row r="548" ht="15.75" customHeight="1">
      <c r="A548" s="36"/>
      <c r="B548" s="37"/>
      <c r="C548" s="37"/>
      <c r="D548" s="1"/>
      <c r="E548" s="1"/>
      <c r="F548" s="1"/>
      <c r="G548" s="1"/>
      <c r="H548" s="1"/>
      <c r="I548" s="1"/>
      <c r="J548" s="1"/>
    </row>
    <row r="549" ht="15.75" customHeight="1">
      <c r="A549" s="36"/>
      <c r="B549" s="37"/>
      <c r="C549" s="37"/>
      <c r="D549" s="1"/>
      <c r="E549" s="1"/>
      <c r="F549" s="1"/>
      <c r="G549" s="1"/>
      <c r="H549" s="1"/>
      <c r="I549" s="1"/>
      <c r="J549" s="1"/>
    </row>
    <row r="550" ht="15.75" customHeight="1">
      <c r="A550" s="36"/>
      <c r="B550" s="37"/>
      <c r="C550" s="37"/>
      <c r="D550" s="1"/>
      <c r="E550" s="1"/>
      <c r="F550" s="1"/>
      <c r="G550" s="1"/>
      <c r="H550" s="1"/>
      <c r="I550" s="1"/>
      <c r="J550" s="1"/>
    </row>
    <row r="551" ht="15.75" customHeight="1">
      <c r="A551" s="36"/>
      <c r="B551" s="37"/>
      <c r="C551" s="37"/>
      <c r="D551" s="1"/>
      <c r="E551" s="1"/>
      <c r="F551" s="1"/>
      <c r="G551" s="1"/>
      <c r="H551" s="1"/>
      <c r="I551" s="1"/>
      <c r="J551" s="1"/>
    </row>
    <row r="552" ht="15.75" customHeight="1">
      <c r="A552" s="36"/>
      <c r="B552" s="37"/>
      <c r="C552" s="37"/>
      <c r="D552" s="1"/>
      <c r="E552" s="1"/>
      <c r="F552" s="1"/>
      <c r="G552" s="1"/>
      <c r="H552" s="1"/>
      <c r="I552" s="1"/>
      <c r="J552" s="1"/>
    </row>
    <row r="553" ht="15.75" customHeight="1">
      <c r="A553" s="36"/>
      <c r="B553" s="37"/>
      <c r="C553" s="37"/>
      <c r="D553" s="1"/>
      <c r="E553" s="1"/>
      <c r="F553" s="1"/>
      <c r="G553" s="1"/>
      <c r="H553" s="1"/>
      <c r="I553" s="1"/>
      <c r="J553" s="1"/>
    </row>
    <row r="554" ht="15.75" customHeight="1">
      <c r="A554" s="36"/>
      <c r="B554" s="37"/>
      <c r="C554" s="37"/>
      <c r="D554" s="1"/>
      <c r="E554" s="1"/>
      <c r="F554" s="1"/>
      <c r="G554" s="1"/>
      <c r="H554" s="1"/>
      <c r="I554" s="1"/>
      <c r="J554" s="1"/>
    </row>
    <row r="555" ht="15.75" customHeight="1">
      <c r="A555" s="36"/>
      <c r="B555" s="37"/>
      <c r="C555" s="37"/>
      <c r="D555" s="1"/>
      <c r="E555" s="1"/>
      <c r="F555" s="1"/>
      <c r="G555" s="1"/>
      <c r="H555" s="1"/>
      <c r="I555" s="1"/>
      <c r="J555" s="1"/>
    </row>
    <row r="556" ht="15.75" customHeight="1">
      <c r="A556" s="36"/>
      <c r="B556" s="37"/>
      <c r="C556" s="37"/>
      <c r="D556" s="1"/>
      <c r="E556" s="1"/>
      <c r="F556" s="1"/>
      <c r="G556" s="1"/>
      <c r="H556" s="1"/>
      <c r="I556" s="1"/>
      <c r="J556" s="1"/>
    </row>
    <row r="557" ht="15.75" customHeight="1">
      <c r="A557" s="36"/>
      <c r="B557" s="37"/>
      <c r="C557" s="37"/>
      <c r="D557" s="1"/>
      <c r="E557" s="1"/>
      <c r="F557" s="1"/>
      <c r="G557" s="1"/>
      <c r="H557" s="1"/>
      <c r="I557" s="1"/>
      <c r="J557" s="1"/>
    </row>
    <row r="558" ht="15.75" customHeight="1">
      <c r="A558" s="36"/>
      <c r="B558" s="37"/>
      <c r="C558" s="37"/>
      <c r="D558" s="1"/>
      <c r="E558" s="1"/>
      <c r="F558" s="1"/>
      <c r="G558" s="1"/>
      <c r="H558" s="1"/>
      <c r="I558" s="1"/>
      <c r="J558" s="1"/>
    </row>
    <row r="559" ht="15.75" customHeight="1">
      <c r="A559" s="36"/>
      <c r="B559" s="37"/>
      <c r="C559" s="37"/>
      <c r="D559" s="1"/>
      <c r="E559" s="1"/>
      <c r="F559" s="1"/>
      <c r="G559" s="1"/>
      <c r="H559" s="1"/>
      <c r="I559" s="1"/>
      <c r="J559" s="1"/>
    </row>
    <row r="560" ht="15.75" customHeight="1">
      <c r="A560" s="36"/>
      <c r="B560" s="37"/>
      <c r="C560" s="37"/>
      <c r="D560" s="1"/>
      <c r="E560" s="1"/>
      <c r="F560" s="1"/>
      <c r="G560" s="1"/>
      <c r="H560" s="1"/>
      <c r="I560" s="1"/>
      <c r="J560" s="1"/>
    </row>
    <row r="561" ht="15.75" customHeight="1">
      <c r="A561" s="36"/>
      <c r="B561" s="37"/>
      <c r="C561" s="37"/>
      <c r="D561" s="1"/>
      <c r="E561" s="1"/>
      <c r="F561" s="1"/>
      <c r="G561" s="1"/>
      <c r="H561" s="1"/>
      <c r="I561" s="1"/>
      <c r="J561" s="1"/>
    </row>
    <row r="562" ht="15.75" customHeight="1">
      <c r="A562" s="36"/>
      <c r="B562" s="37"/>
      <c r="C562" s="37"/>
      <c r="D562" s="1"/>
      <c r="E562" s="1"/>
      <c r="F562" s="1"/>
      <c r="G562" s="1"/>
      <c r="H562" s="1"/>
      <c r="I562" s="1"/>
      <c r="J562" s="1"/>
    </row>
    <row r="563" ht="15.75" customHeight="1">
      <c r="A563" s="36"/>
      <c r="B563" s="37"/>
      <c r="C563" s="37"/>
      <c r="D563" s="1"/>
      <c r="E563" s="1"/>
      <c r="F563" s="1"/>
      <c r="G563" s="1"/>
      <c r="H563" s="1"/>
      <c r="I563" s="1"/>
      <c r="J563" s="1"/>
    </row>
    <row r="564" ht="15.75" customHeight="1">
      <c r="A564" s="36"/>
      <c r="B564" s="37"/>
      <c r="C564" s="37"/>
      <c r="D564" s="1"/>
      <c r="E564" s="1"/>
      <c r="F564" s="1"/>
      <c r="G564" s="1"/>
      <c r="H564" s="1"/>
      <c r="I564" s="1"/>
      <c r="J564" s="1"/>
    </row>
    <row r="565" ht="15.75" customHeight="1">
      <c r="A565" s="36"/>
      <c r="B565" s="37"/>
      <c r="C565" s="37"/>
      <c r="D565" s="1"/>
      <c r="E565" s="1"/>
      <c r="F565" s="1"/>
      <c r="G565" s="1"/>
      <c r="H565" s="1"/>
      <c r="I565" s="1"/>
      <c r="J565" s="1"/>
    </row>
    <row r="566" ht="15.75" customHeight="1">
      <c r="A566" s="36"/>
      <c r="B566" s="37"/>
      <c r="C566" s="37"/>
      <c r="D566" s="1"/>
      <c r="E566" s="1"/>
      <c r="F566" s="1"/>
      <c r="G566" s="1"/>
      <c r="H566" s="1"/>
      <c r="I566" s="1"/>
      <c r="J566" s="1"/>
    </row>
    <row r="567" ht="15.75" customHeight="1">
      <c r="A567" s="36"/>
      <c r="B567" s="37"/>
      <c r="C567" s="37"/>
      <c r="D567" s="1"/>
      <c r="E567" s="1"/>
      <c r="F567" s="1"/>
      <c r="G567" s="1"/>
      <c r="H567" s="1"/>
      <c r="I567" s="1"/>
      <c r="J567" s="1"/>
    </row>
    <row r="568" ht="15.75" customHeight="1">
      <c r="A568" s="36"/>
      <c r="B568" s="37"/>
      <c r="C568" s="37"/>
      <c r="D568" s="1"/>
      <c r="E568" s="1"/>
      <c r="F568" s="1"/>
      <c r="G568" s="1"/>
      <c r="H568" s="1"/>
      <c r="I568" s="1"/>
      <c r="J568" s="1"/>
    </row>
    <row r="569" ht="15.75" customHeight="1">
      <c r="A569" s="36"/>
      <c r="B569" s="37"/>
      <c r="C569" s="37"/>
      <c r="D569" s="1"/>
      <c r="E569" s="1"/>
      <c r="F569" s="1"/>
      <c r="G569" s="1"/>
      <c r="H569" s="1"/>
      <c r="I569" s="1"/>
      <c r="J569" s="1"/>
    </row>
    <row r="570" ht="15.75" customHeight="1">
      <c r="A570" s="36"/>
      <c r="B570" s="37"/>
      <c r="C570" s="37"/>
      <c r="D570" s="1"/>
      <c r="E570" s="1"/>
      <c r="F570" s="1"/>
      <c r="G570" s="1"/>
      <c r="H570" s="1"/>
      <c r="I570" s="1"/>
      <c r="J570" s="1"/>
    </row>
    <row r="571" ht="15.75" customHeight="1">
      <c r="A571" s="36"/>
      <c r="B571" s="37"/>
      <c r="C571" s="37"/>
      <c r="D571" s="1"/>
      <c r="E571" s="1"/>
      <c r="F571" s="1"/>
      <c r="G571" s="1"/>
      <c r="H571" s="1"/>
      <c r="I571" s="1"/>
      <c r="J571" s="1"/>
    </row>
    <row r="572" ht="15.75" customHeight="1">
      <c r="A572" s="36"/>
      <c r="B572" s="37"/>
      <c r="C572" s="37"/>
      <c r="D572" s="1"/>
      <c r="E572" s="1"/>
      <c r="F572" s="1"/>
      <c r="G572" s="1"/>
      <c r="H572" s="1"/>
      <c r="I572" s="1"/>
      <c r="J572" s="1"/>
    </row>
    <row r="573" ht="15.75" customHeight="1">
      <c r="A573" s="36"/>
      <c r="B573" s="37"/>
      <c r="C573" s="37"/>
      <c r="D573" s="1"/>
      <c r="E573" s="1"/>
      <c r="F573" s="1"/>
      <c r="G573" s="1"/>
      <c r="H573" s="1"/>
      <c r="I573" s="1"/>
      <c r="J573" s="1"/>
    </row>
    <row r="574" ht="15.75" customHeight="1">
      <c r="A574" s="36"/>
      <c r="B574" s="37"/>
      <c r="C574" s="37"/>
      <c r="D574" s="1"/>
      <c r="E574" s="1"/>
      <c r="F574" s="1"/>
      <c r="G574" s="1"/>
      <c r="H574" s="1"/>
      <c r="I574" s="1"/>
      <c r="J574" s="1"/>
    </row>
    <row r="575" ht="15.75" customHeight="1">
      <c r="A575" s="36"/>
      <c r="B575" s="37"/>
      <c r="C575" s="37"/>
      <c r="D575" s="1"/>
      <c r="E575" s="1"/>
      <c r="F575" s="1"/>
      <c r="G575" s="1"/>
      <c r="H575" s="1"/>
      <c r="I575" s="1"/>
      <c r="J575" s="1"/>
    </row>
    <row r="576" ht="15.75" customHeight="1">
      <c r="A576" s="36"/>
      <c r="B576" s="37"/>
      <c r="C576" s="37"/>
      <c r="D576" s="1"/>
      <c r="E576" s="1"/>
      <c r="F576" s="1"/>
      <c r="G576" s="1"/>
      <c r="H576" s="1"/>
      <c r="I576" s="1"/>
      <c r="J576" s="1"/>
    </row>
    <row r="577" ht="15.75" customHeight="1">
      <c r="A577" s="36"/>
      <c r="B577" s="37"/>
      <c r="C577" s="37"/>
      <c r="D577" s="1"/>
      <c r="E577" s="1"/>
      <c r="F577" s="1"/>
      <c r="G577" s="1"/>
      <c r="H577" s="1"/>
      <c r="I577" s="1"/>
      <c r="J577" s="1"/>
    </row>
    <row r="578" ht="15.75" customHeight="1">
      <c r="A578" s="36"/>
      <c r="B578" s="37"/>
      <c r="C578" s="37"/>
      <c r="D578" s="1"/>
      <c r="E578" s="1"/>
      <c r="F578" s="1"/>
      <c r="G578" s="1"/>
      <c r="H578" s="1"/>
      <c r="I578" s="1"/>
      <c r="J578" s="1"/>
    </row>
    <row r="579" ht="15.75" customHeight="1">
      <c r="A579" s="36"/>
      <c r="B579" s="37"/>
      <c r="C579" s="37"/>
      <c r="D579" s="1"/>
      <c r="E579" s="1"/>
      <c r="F579" s="1"/>
      <c r="G579" s="1"/>
      <c r="H579" s="1"/>
      <c r="I579" s="1"/>
      <c r="J579" s="1"/>
    </row>
    <row r="580" ht="15.75" customHeight="1">
      <c r="A580" s="36"/>
      <c r="B580" s="37"/>
      <c r="C580" s="37"/>
      <c r="D580" s="1"/>
      <c r="E580" s="1"/>
      <c r="F580" s="1"/>
      <c r="G580" s="1"/>
      <c r="H580" s="1"/>
      <c r="I580" s="1"/>
      <c r="J580" s="1"/>
    </row>
    <row r="581" ht="15.75" customHeight="1">
      <c r="A581" s="36"/>
      <c r="B581" s="37"/>
      <c r="C581" s="37"/>
      <c r="D581" s="1"/>
      <c r="E581" s="1"/>
      <c r="F581" s="1"/>
      <c r="G581" s="1"/>
      <c r="H581" s="1"/>
      <c r="I581" s="1"/>
      <c r="J581" s="1"/>
    </row>
    <row r="582" ht="15.75" customHeight="1">
      <c r="A582" s="36"/>
      <c r="B582" s="37"/>
      <c r="C582" s="37"/>
      <c r="D582" s="1"/>
      <c r="E582" s="1"/>
      <c r="F582" s="1"/>
      <c r="G582" s="1"/>
      <c r="H582" s="1"/>
      <c r="I582" s="1"/>
      <c r="J582" s="1"/>
    </row>
    <row r="583" ht="15.75" customHeight="1">
      <c r="A583" s="36"/>
      <c r="B583" s="37"/>
      <c r="C583" s="37"/>
      <c r="D583" s="1"/>
      <c r="E583" s="1"/>
      <c r="F583" s="1"/>
      <c r="G583" s="1"/>
      <c r="H583" s="1"/>
      <c r="I583" s="1"/>
      <c r="J583" s="1"/>
    </row>
    <row r="584" ht="15.75" customHeight="1">
      <c r="A584" s="36"/>
      <c r="B584" s="37"/>
      <c r="C584" s="37"/>
      <c r="D584" s="1"/>
      <c r="E584" s="1"/>
      <c r="F584" s="1"/>
      <c r="G584" s="1"/>
      <c r="H584" s="1"/>
      <c r="I584" s="1"/>
      <c r="J584" s="1"/>
    </row>
    <row r="585" ht="15.75" customHeight="1">
      <c r="A585" s="36"/>
      <c r="B585" s="37"/>
      <c r="C585" s="37"/>
      <c r="D585" s="1"/>
      <c r="E585" s="1"/>
      <c r="F585" s="1"/>
      <c r="G585" s="1"/>
      <c r="H585" s="1"/>
      <c r="I585" s="1"/>
      <c r="J585" s="1"/>
    </row>
    <row r="586" ht="15.75" customHeight="1">
      <c r="A586" s="36"/>
      <c r="B586" s="37"/>
      <c r="C586" s="37"/>
      <c r="D586" s="1"/>
      <c r="E586" s="1"/>
      <c r="F586" s="1"/>
      <c r="G586" s="1"/>
      <c r="H586" s="1"/>
      <c r="I586" s="1"/>
      <c r="J586" s="1"/>
    </row>
    <row r="587" ht="15.75" customHeight="1">
      <c r="A587" s="36"/>
      <c r="B587" s="37"/>
      <c r="C587" s="37"/>
      <c r="D587" s="1"/>
      <c r="E587" s="1"/>
      <c r="F587" s="1"/>
      <c r="G587" s="1"/>
      <c r="H587" s="1"/>
      <c r="I587" s="1"/>
      <c r="J587" s="1"/>
    </row>
    <row r="588" ht="15.75" customHeight="1">
      <c r="A588" s="36"/>
      <c r="B588" s="37"/>
      <c r="C588" s="37"/>
      <c r="D588" s="1"/>
      <c r="E588" s="1"/>
      <c r="F588" s="1"/>
      <c r="G588" s="1"/>
      <c r="H588" s="1"/>
      <c r="I588" s="1"/>
      <c r="J588" s="1"/>
    </row>
    <row r="589" ht="15.75" customHeight="1">
      <c r="A589" s="36"/>
      <c r="B589" s="37"/>
      <c r="C589" s="37"/>
      <c r="D589" s="1"/>
      <c r="E589" s="1"/>
      <c r="F589" s="1"/>
      <c r="G589" s="1"/>
      <c r="H589" s="1"/>
      <c r="I589" s="1"/>
      <c r="J589" s="1"/>
    </row>
    <row r="590" ht="15.75" customHeight="1">
      <c r="A590" s="36"/>
      <c r="B590" s="37"/>
      <c r="C590" s="37"/>
      <c r="D590" s="1"/>
      <c r="E590" s="1"/>
      <c r="F590" s="1"/>
      <c r="G590" s="1"/>
      <c r="H590" s="1"/>
      <c r="I590" s="1"/>
      <c r="J590" s="1"/>
    </row>
    <row r="591" ht="15.75" customHeight="1">
      <c r="A591" s="36"/>
      <c r="B591" s="37"/>
      <c r="C591" s="37"/>
      <c r="D591" s="1"/>
      <c r="E591" s="1"/>
      <c r="F591" s="1"/>
      <c r="G591" s="1"/>
      <c r="H591" s="1"/>
      <c r="I591" s="1"/>
      <c r="J591" s="1"/>
    </row>
    <row r="592" ht="15.75" customHeight="1">
      <c r="A592" s="36"/>
      <c r="B592" s="37"/>
      <c r="C592" s="37"/>
      <c r="D592" s="1"/>
      <c r="E592" s="1"/>
      <c r="F592" s="1"/>
      <c r="G592" s="1"/>
      <c r="H592" s="1"/>
      <c r="I592" s="1"/>
      <c r="J592" s="1"/>
    </row>
    <row r="593" ht="15.75" customHeight="1">
      <c r="A593" s="36"/>
      <c r="B593" s="37"/>
      <c r="C593" s="37"/>
      <c r="D593" s="1"/>
      <c r="E593" s="1"/>
      <c r="F593" s="1"/>
      <c r="G593" s="1"/>
      <c r="H593" s="1"/>
      <c r="I593" s="1"/>
      <c r="J593" s="1"/>
    </row>
    <row r="594" ht="15.75" customHeight="1">
      <c r="A594" s="36"/>
      <c r="B594" s="37"/>
      <c r="C594" s="37"/>
      <c r="D594" s="1"/>
      <c r="E594" s="1"/>
      <c r="F594" s="1"/>
      <c r="G594" s="1"/>
      <c r="H594" s="1"/>
      <c r="I594" s="1"/>
      <c r="J594" s="1"/>
    </row>
    <row r="595" ht="15.75" customHeight="1">
      <c r="A595" s="36"/>
      <c r="B595" s="37"/>
      <c r="C595" s="37"/>
      <c r="D595" s="1"/>
      <c r="E595" s="1"/>
      <c r="F595" s="1"/>
      <c r="G595" s="1"/>
      <c r="H595" s="1"/>
      <c r="I595" s="1"/>
      <c r="J595" s="1"/>
    </row>
    <row r="596" ht="15.75" customHeight="1">
      <c r="A596" s="36"/>
      <c r="B596" s="37"/>
      <c r="C596" s="37"/>
      <c r="D596" s="1"/>
      <c r="E596" s="1"/>
      <c r="F596" s="1"/>
      <c r="G596" s="1"/>
      <c r="H596" s="1"/>
      <c r="I596" s="1"/>
      <c r="J596" s="1"/>
    </row>
    <row r="597" ht="15.75" customHeight="1">
      <c r="A597" s="36"/>
      <c r="B597" s="37"/>
      <c r="C597" s="37"/>
      <c r="D597" s="1"/>
      <c r="E597" s="1"/>
      <c r="F597" s="1"/>
      <c r="G597" s="1"/>
      <c r="H597" s="1"/>
      <c r="I597" s="1"/>
      <c r="J597" s="1"/>
    </row>
    <row r="598" ht="15.75" customHeight="1">
      <c r="A598" s="36"/>
      <c r="B598" s="37"/>
      <c r="C598" s="37"/>
      <c r="D598" s="1"/>
      <c r="E598" s="1"/>
      <c r="F598" s="1"/>
      <c r="G598" s="1"/>
      <c r="H598" s="1"/>
      <c r="I598" s="1"/>
      <c r="J598" s="1"/>
    </row>
    <row r="599" ht="15.75" customHeight="1">
      <c r="A599" s="36"/>
      <c r="B599" s="37"/>
      <c r="C599" s="37"/>
      <c r="D599" s="1"/>
      <c r="E599" s="1"/>
      <c r="F599" s="1"/>
      <c r="G599" s="1"/>
      <c r="H599" s="1"/>
      <c r="I599" s="1"/>
      <c r="J599" s="1"/>
    </row>
    <row r="600" ht="15.75" customHeight="1">
      <c r="A600" s="36"/>
      <c r="B600" s="37"/>
      <c r="C600" s="37"/>
      <c r="D600" s="1"/>
      <c r="E600" s="1"/>
      <c r="F600" s="1"/>
      <c r="G600" s="1"/>
      <c r="H600" s="1"/>
      <c r="I600" s="1"/>
      <c r="J600" s="1"/>
    </row>
    <row r="601" ht="15.75" customHeight="1">
      <c r="A601" s="36"/>
      <c r="B601" s="37"/>
      <c r="C601" s="37"/>
      <c r="D601" s="1"/>
      <c r="E601" s="1"/>
      <c r="F601" s="1"/>
      <c r="G601" s="1"/>
      <c r="H601" s="1"/>
      <c r="I601" s="1"/>
      <c r="J601" s="1"/>
    </row>
    <row r="602" ht="15.75" customHeight="1">
      <c r="A602" s="36"/>
      <c r="B602" s="37"/>
      <c r="C602" s="37"/>
      <c r="D602" s="1"/>
      <c r="E602" s="1"/>
      <c r="F602" s="1"/>
      <c r="G602" s="1"/>
      <c r="H602" s="1"/>
      <c r="I602" s="1"/>
      <c r="J602" s="1"/>
    </row>
    <row r="603" ht="15.75" customHeight="1">
      <c r="A603" s="36"/>
      <c r="B603" s="37"/>
      <c r="C603" s="37"/>
      <c r="D603" s="1"/>
      <c r="E603" s="1"/>
      <c r="F603" s="1"/>
      <c r="G603" s="1"/>
      <c r="H603" s="1"/>
      <c r="I603" s="1"/>
      <c r="J603" s="1"/>
    </row>
    <row r="604" ht="15.75" customHeight="1">
      <c r="A604" s="36"/>
      <c r="B604" s="37"/>
      <c r="C604" s="37"/>
      <c r="D604" s="1"/>
      <c r="E604" s="1"/>
      <c r="F604" s="1"/>
      <c r="G604" s="1"/>
      <c r="H604" s="1"/>
      <c r="I604" s="1"/>
      <c r="J604" s="1"/>
    </row>
    <row r="605" ht="15.75" customHeight="1">
      <c r="A605" s="36"/>
      <c r="B605" s="37"/>
      <c r="C605" s="37"/>
      <c r="D605" s="1"/>
      <c r="E605" s="1"/>
      <c r="F605" s="1"/>
      <c r="G605" s="1"/>
      <c r="H605" s="1"/>
      <c r="I605" s="1"/>
      <c r="J605" s="1"/>
    </row>
    <row r="606" ht="15.75" customHeight="1">
      <c r="A606" s="36"/>
      <c r="B606" s="37"/>
      <c r="C606" s="37"/>
      <c r="D606" s="1"/>
      <c r="E606" s="1"/>
      <c r="F606" s="1"/>
      <c r="G606" s="1"/>
      <c r="H606" s="1"/>
      <c r="I606" s="1"/>
      <c r="J606" s="1"/>
    </row>
    <row r="607" ht="15.75" customHeight="1">
      <c r="A607" s="36"/>
      <c r="B607" s="37"/>
      <c r="C607" s="37"/>
      <c r="D607" s="1"/>
      <c r="E607" s="1"/>
      <c r="F607" s="1"/>
      <c r="G607" s="1"/>
      <c r="H607" s="1"/>
      <c r="I607" s="1"/>
      <c r="J607" s="1"/>
    </row>
    <row r="608" ht="15.75" customHeight="1">
      <c r="A608" s="36"/>
      <c r="B608" s="37"/>
      <c r="C608" s="37"/>
      <c r="D608" s="1"/>
      <c r="E608" s="1"/>
      <c r="F608" s="1"/>
      <c r="G608" s="1"/>
      <c r="H608" s="1"/>
      <c r="I608" s="1"/>
      <c r="J608" s="1"/>
    </row>
    <row r="609" ht="15.75" customHeight="1">
      <c r="A609" s="36"/>
      <c r="B609" s="37"/>
      <c r="C609" s="37"/>
      <c r="D609" s="1"/>
      <c r="E609" s="1"/>
      <c r="F609" s="1"/>
      <c r="G609" s="1"/>
      <c r="H609" s="1"/>
      <c r="I609" s="1"/>
      <c r="J609" s="1"/>
    </row>
    <row r="610" ht="15.75" customHeight="1">
      <c r="A610" s="36"/>
      <c r="B610" s="37"/>
      <c r="C610" s="37"/>
      <c r="D610" s="1"/>
      <c r="E610" s="1"/>
      <c r="F610" s="1"/>
      <c r="G610" s="1"/>
      <c r="H610" s="1"/>
      <c r="I610" s="1"/>
      <c r="J610" s="1"/>
    </row>
    <row r="611" ht="15.75" customHeight="1">
      <c r="A611" s="36"/>
      <c r="B611" s="37"/>
      <c r="C611" s="37"/>
      <c r="D611" s="1"/>
      <c r="E611" s="1"/>
      <c r="F611" s="1"/>
      <c r="G611" s="1"/>
      <c r="H611" s="1"/>
      <c r="I611" s="1"/>
      <c r="J611" s="1"/>
    </row>
    <row r="612" ht="15.75" customHeight="1">
      <c r="A612" s="36"/>
      <c r="B612" s="37"/>
      <c r="C612" s="37"/>
      <c r="D612" s="1"/>
      <c r="E612" s="1"/>
      <c r="F612" s="1"/>
      <c r="G612" s="1"/>
      <c r="H612" s="1"/>
      <c r="I612" s="1"/>
      <c r="J612" s="1"/>
    </row>
    <row r="613" ht="15.75" customHeight="1">
      <c r="A613" s="36"/>
      <c r="B613" s="37"/>
      <c r="C613" s="37"/>
      <c r="D613" s="1"/>
      <c r="E613" s="1"/>
      <c r="F613" s="1"/>
      <c r="G613" s="1"/>
      <c r="H613" s="1"/>
      <c r="I613" s="1"/>
      <c r="J613" s="1"/>
    </row>
    <row r="614" ht="15.75" customHeight="1">
      <c r="A614" s="36"/>
      <c r="B614" s="37"/>
      <c r="C614" s="37"/>
      <c r="D614" s="1"/>
      <c r="E614" s="1"/>
      <c r="F614" s="1"/>
      <c r="G614" s="1"/>
      <c r="H614" s="1"/>
      <c r="I614" s="1"/>
      <c r="J614" s="1"/>
    </row>
    <row r="615" ht="15.75" customHeight="1">
      <c r="A615" s="36"/>
      <c r="B615" s="37"/>
      <c r="C615" s="37"/>
      <c r="D615" s="1"/>
      <c r="E615" s="1"/>
      <c r="F615" s="1"/>
      <c r="G615" s="1"/>
      <c r="H615" s="1"/>
      <c r="I615" s="1"/>
      <c r="J615" s="1"/>
    </row>
    <row r="616" ht="15.75" customHeight="1">
      <c r="A616" s="36"/>
      <c r="B616" s="37"/>
      <c r="C616" s="37"/>
      <c r="D616" s="1"/>
      <c r="E616" s="1"/>
      <c r="F616" s="1"/>
      <c r="G616" s="1"/>
      <c r="H616" s="1"/>
      <c r="I616" s="1"/>
      <c r="J616" s="1"/>
    </row>
    <row r="617" ht="15.75" customHeight="1">
      <c r="A617" s="36"/>
      <c r="B617" s="37"/>
      <c r="C617" s="37"/>
      <c r="D617" s="1"/>
      <c r="E617" s="1"/>
      <c r="F617" s="1"/>
      <c r="G617" s="1"/>
      <c r="H617" s="1"/>
      <c r="I617" s="1"/>
      <c r="J617" s="1"/>
    </row>
    <row r="618" ht="15.75" customHeight="1">
      <c r="A618" s="36"/>
      <c r="B618" s="37"/>
      <c r="C618" s="37"/>
      <c r="D618" s="1"/>
      <c r="E618" s="1"/>
      <c r="F618" s="1"/>
      <c r="G618" s="1"/>
      <c r="H618" s="1"/>
      <c r="I618" s="1"/>
      <c r="J618" s="1"/>
    </row>
    <row r="619" ht="15.75" customHeight="1">
      <c r="A619" s="36"/>
      <c r="B619" s="37"/>
      <c r="C619" s="37"/>
      <c r="D619" s="1"/>
      <c r="E619" s="1"/>
      <c r="F619" s="1"/>
      <c r="G619" s="1"/>
      <c r="H619" s="1"/>
      <c r="I619" s="1"/>
      <c r="J619" s="1"/>
    </row>
    <row r="620" ht="15.75" customHeight="1">
      <c r="A620" s="36"/>
      <c r="B620" s="37"/>
      <c r="C620" s="37"/>
      <c r="D620" s="1"/>
      <c r="E620" s="1"/>
      <c r="F620" s="1"/>
      <c r="G620" s="1"/>
      <c r="H620" s="1"/>
      <c r="I620" s="1"/>
      <c r="J620" s="1"/>
    </row>
    <row r="621" ht="15.75" customHeight="1">
      <c r="A621" s="36"/>
      <c r="B621" s="37"/>
      <c r="C621" s="37"/>
      <c r="D621" s="1"/>
      <c r="E621" s="1"/>
      <c r="F621" s="1"/>
      <c r="G621" s="1"/>
      <c r="H621" s="1"/>
      <c r="I621" s="1"/>
      <c r="J621" s="1"/>
    </row>
    <row r="622" ht="15.75" customHeight="1">
      <c r="A622" s="36"/>
      <c r="B622" s="37"/>
      <c r="C622" s="37"/>
      <c r="D622" s="1"/>
      <c r="E622" s="1"/>
      <c r="F622" s="1"/>
      <c r="G622" s="1"/>
      <c r="H622" s="1"/>
      <c r="I622" s="1"/>
      <c r="J622" s="1"/>
    </row>
    <row r="623" ht="15.75" customHeight="1">
      <c r="A623" s="36"/>
      <c r="B623" s="37"/>
      <c r="C623" s="37"/>
      <c r="D623" s="1"/>
      <c r="E623" s="1"/>
      <c r="F623" s="1"/>
      <c r="G623" s="1"/>
      <c r="H623" s="1"/>
      <c r="I623" s="1"/>
      <c r="J623" s="1"/>
    </row>
    <row r="624" ht="15.75" customHeight="1">
      <c r="A624" s="36"/>
      <c r="B624" s="37"/>
      <c r="C624" s="37"/>
      <c r="D624" s="1"/>
      <c r="E624" s="1"/>
      <c r="F624" s="1"/>
      <c r="G624" s="1"/>
      <c r="H624" s="1"/>
      <c r="I624" s="1"/>
      <c r="J624" s="1"/>
    </row>
    <row r="625" ht="15.75" customHeight="1">
      <c r="A625" s="36"/>
      <c r="B625" s="37"/>
      <c r="C625" s="37"/>
      <c r="D625" s="1"/>
      <c r="E625" s="1"/>
      <c r="F625" s="1"/>
      <c r="G625" s="1"/>
      <c r="H625" s="1"/>
      <c r="I625" s="1"/>
      <c r="J625" s="1"/>
    </row>
    <row r="626" ht="15.75" customHeight="1">
      <c r="A626" s="36"/>
      <c r="B626" s="37"/>
      <c r="C626" s="37"/>
      <c r="D626" s="1"/>
      <c r="E626" s="1"/>
      <c r="F626" s="1"/>
      <c r="G626" s="1"/>
      <c r="H626" s="1"/>
      <c r="I626" s="1"/>
      <c r="J626" s="1"/>
    </row>
    <row r="627" ht="15.75" customHeight="1">
      <c r="A627" s="36"/>
      <c r="B627" s="37"/>
      <c r="C627" s="37"/>
      <c r="D627" s="1"/>
      <c r="E627" s="1"/>
      <c r="F627" s="1"/>
      <c r="G627" s="1"/>
      <c r="H627" s="1"/>
      <c r="I627" s="1"/>
      <c r="J627" s="1"/>
    </row>
    <row r="628" ht="15.75" customHeight="1">
      <c r="A628" s="36"/>
      <c r="B628" s="37"/>
      <c r="C628" s="37"/>
      <c r="D628" s="1"/>
      <c r="E628" s="1"/>
      <c r="F628" s="1"/>
      <c r="G628" s="1"/>
      <c r="H628" s="1"/>
      <c r="I628" s="1"/>
      <c r="J628" s="1"/>
    </row>
    <row r="629" ht="15.75" customHeight="1">
      <c r="A629" s="36"/>
      <c r="B629" s="37"/>
      <c r="C629" s="37"/>
      <c r="D629" s="1"/>
      <c r="E629" s="1"/>
      <c r="F629" s="1"/>
      <c r="G629" s="1"/>
      <c r="H629" s="1"/>
      <c r="I629" s="1"/>
      <c r="J629" s="1"/>
    </row>
    <row r="630" ht="15.75" customHeight="1">
      <c r="A630" s="36"/>
      <c r="B630" s="37"/>
      <c r="C630" s="37"/>
      <c r="D630" s="1"/>
      <c r="E630" s="1"/>
      <c r="F630" s="1"/>
      <c r="G630" s="1"/>
      <c r="H630" s="1"/>
      <c r="I630" s="1"/>
      <c r="J630" s="1"/>
    </row>
    <row r="631" ht="15.75" customHeight="1">
      <c r="A631" s="36"/>
      <c r="B631" s="37"/>
      <c r="C631" s="37"/>
      <c r="D631" s="1"/>
      <c r="E631" s="1"/>
      <c r="F631" s="1"/>
      <c r="G631" s="1"/>
      <c r="H631" s="1"/>
      <c r="I631" s="1"/>
      <c r="J631" s="1"/>
    </row>
    <row r="632" ht="15.75" customHeight="1">
      <c r="A632" s="36"/>
      <c r="B632" s="37"/>
      <c r="C632" s="37"/>
      <c r="D632" s="1"/>
      <c r="E632" s="1"/>
      <c r="F632" s="1"/>
      <c r="G632" s="1"/>
      <c r="H632" s="1"/>
      <c r="I632" s="1"/>
      <c r="J632" s="1"/>
    </row>
    <row r="633" ht="15.75" customHeight="1">
      <c r="A633" s="36"/>
      <c r="B633" s="37"/>
      <c r="C633" s="37"/>
      <c r="D633" s="1"/>
      <c r="E633" s="1"/>
      <c r="F633" s="1"/>
      <c r="G633" s="1"/>
      <c r="H633" s="1"/>
      <c r="I633" s="1"/>
      <c r="J633" s="1"/>
    </row>
    <row r="634" ht="15.75" customHeight="1">
      <c r="A634" s="36"/>
      <c r="B634" s="37"/>
      <c r="C634" s="37"/>
      <c r="D634" s="1"/>
      <c r="E634" s="1"/>
      <c r="F634" s="1"/>
      <c r="G634" s="1"/>
      <c r="H634" s="1"/>
      <c r="I634" s="1"/>
      <c r="J634" s="1"/>
    </row>
    <row r="635" ht="15.75" customHeight="1">
      <c r="A635" s="36"/>
      <c r="B635" s="37"/>
      <c r="C635" s="37"/>
      <c r="D635" s="1"/>
      <c r="E635" s="1"/>
      <c r="F635" s="1"/>
      <c r="G635" s="1"/>
      <c r="H635" s="1"/>
      <c r="I635" s="1"/>
      <c r="J635" s="1"/>
    </row>
    <row r="636" ht="15.75" customHeight="1">
      <c r="A636" s="36"/>
      <c r="B636" s="37"/>
      <c r="C636" s="37"/>
      <c r="D636" s="1"/>
      <c r="E636" s="1"/>
      <c r="F636" s="1"/>
      <c r="G636" s="1"/>
      <c r="H636" s="1"/>
      <c r="I636" s="1"/>
      <c r="J636" s="1"/>
    </row>
    <row r="637" ht="15.75" customHeight="1">
      <c r="A637" s="36"/>
      <c r="B637" s="37"/>
      <c r="C637" s="37"/>
      <c r="D637" s="1"/>
      <c r="E637" s="1"/>
      <c r="F637" s="1"/>
      <c r="G637" s="1"/>
      <c r="H637" s="1"/>
      <c r="I637" s="1"/>
      <c r="J637" s="1"/>
    </row>
    <row r="638" ht="15.75" customHeight="1">
      <c r="A638" s="36"/>
      <c r="B638" s="37"/>
      <c r="C638" s="37"/>
      <c r="D638" s="1"/>
      <c r="E638" s="1"/>
      <c r="F638" s="1"/>
      <c r="G638" s="1"/>
      <c r="H638" s="1"/>
      <c r="I638" s="1"/>
      <c r="J638" s="1"/>
    </row>
    <row r="639" ht="15.75" customHeight="1">
      <c r="A639" s="36"/>
      <c r="B639" s="37"/>
      <c r="C639" s="37"/>
      <c r="D639" s="1"/>
      <c r="E639" s="1"/>
      <c r="F639" s="1"/>
      <c r="G639" s="1"/>
      <c r="H639" s="1"/>
      <c r="I639" s="1"/>
      <c r="J639" s="1"/>
    </row>
    <row r="640" ht="15.75" customHeight="1">
      <c r="A640" s="36"/>
      <c r="B640" s="37"/>
      <c r="C640" s="37"/>
      <c r="D640" s="1"/>
      <c r="E640" s="1"/>
      <c r="F640" s="1"/>
      <c r="G640" s="1"/>
      <c r="H640" s="1"/>
      <c r="I640" s="1"/>
      <c r="J640" s="1"/>
    </row>
    <row r="641" ht="15.75" customHeight="1">
      <c r="A641" s="36"/>
      <c r="B641" s="37"/>
      <c r="C641" s="37"/>
      <c r="D641" s="1"/>
      <c r="E641" s="1"/>
      <c r="F641" s="1"/>
      <c r="G641" s="1"/>
      <c r="H641" s="1"/>
      <c r="I641" s="1"/>
      <c r="J641" s="1"/>
    </row>
    <row r="642" ht="15.75" customHeight="1">
      <c r="A642" s="36"/>
      <c r="B642" s="37"/>
      <c r="C642" s="37"/>
      <c r="D642" s="1"/>
      <c r="E642" s="1"/>
      <c r="F642" s="1"/>
      <c r="G642" s="1"/>
      <c r="H642" s="1"/>
      <c r="I642" s="1"/>
      <c r="J642" s="1"/>
    </row>
    <row r="643" ht="15.75" customHeight="1">
      <c r="A643" s="36"/>
      <c r="B643" s="37"/>
      <c r="C643" s="37"/>
      <c r="D643" s="1"/>
      <c r="E643" s="1"/>
      <c r="F643" s="1"/>
      <c r="G643" s="1"/>
      <c r="H643" s="1"/>
      <c r="I643" s="1"/>
      <c r="J643" s="1"/>
    </row>
    <row r="644" ht="15.75" customHeight="1">
      <c r="A644" s="36"/>
      <c r="B644" s="37"/>
      <c r="C644" s="37"/>
      <c r="D644" s="1"/>
      <c r="E644" s="1"/>
      <c r="F644" s="1"/>
      <c r="G644" s="1"/>
      <c r="H644" s="1"/>
      <c r="I644" s="1"/>
      <c r="J644" s="1"/>
    </row>
    <row r="645" ht="15.75" customHeight="1">
      <c r="A645" s="36"/>
      <c r="B645" s="37"/>
      <c r="C645" s="37"/>
      <c r="D645" s="1"/>
      <c r="E645" s="1"/>
      <c r="F645" s="1"/>
      <c r="G645" s="1"/>
      <c r="H645" s="1"/>
      <c r="I645" s="1"/>
      <c r="J645" s="1"/>
    </row>
    <row r="646" ht="15.75" customHeight="1">
      <c r="A646" s="36"/>
      <c r="B646" s="37"/>
      <c r="C646" s="37"/>
      <c r="D646" s="1"/>
      <c r="E646" s="1"/>
      <c r="F646" s="1"/>
      <c r="G646" s="1"/>
      <c r="H646" s="1"/>
      <c r="I646" s="1"/>
      <c r="J646" s="1"/>
    </row>
    <row r="647" ht="15.75" customHeight="1">
      <c r="A647" s="36"/>
      <c r="B647" s="37"/>
      <c r="C647" s="37"/>
      <c r="D647" s="1"/>
      <c r="E647" s="1"/>
      <c r="F647" s="1"/>
      <c r="G647" s="1"/>
      <c r="H647" s="1"/>
      <c r="I647" s="1"/>
      <c r="J647" s="1"/>
    </row>
    <row r="648" ht="15.75" customHeight="1">
      <c r="A648" s="36"/>
      <c r="B648" s="37"/>
      <c r="C648" s="37"/>
      <c r="D648" s="1"/>
      <c r="E648" s="1"/>
      <c r="F648" s="1"/>
      <c r="G648" s="1"/>
      <c r="H648" s="1"/>
      <c r="I648" s="1"/>
      <c r="J648" s="1"/>
    </row>
    <row r="649" ht="15.75" customHeight="1">
      <c r="A649" s="36"/>
      <c r="B649" s="37"/>
      <c r="C649" s="37"/>
      <c r="D649" s="1"/>
      <c r="E649" s="1"/>
      <c r="F649" s="1"/>
      <c r="G649" s="1"/>
      <c r="H649" s="1"/>
      <c r="I649" s="1"/>
      <c r="J649" s="1"/>
    </row>
    <row r="650" ht="15.75" customHeight="1">
      <c r="A650" s="36"/>
      <c r="B650" s="37"/>
      <c r="C650" s="37"/>
      <c r="D650" s="1"/>
      <c r="E650" s="1"/>
      <c r="F650" s="1"/>
      <c r="G650" s="1"/>
      <c r="H650" s="1"/>
      <c r="I650" s="1"/>
      <c r="J650" s="1"/>
    </row>
    <row r="651" ht="15.75" customHeight="1">
      <c r="A651" s="36"/>
      <c r="B651" s="37"/>
      <c r="C651" s="37"/>
      <c r="D651" s="1"/>
      <c r="E651" s="1"/>
      <c r="F651" s="1"/>
      <c r="G651" s="1"/>
      <c r="H651" s="1"/>
      <c r="I651" s="1"/>
      <c r="J651" s="1"/>
    </row>
    <row r="652" ht="15.75" customHeight="1">
      <c r="A652" s="36"/>
      <c r="B652" s="37"/>
      <c r="C652" s="37"/>
      <c r="D652" s="1"/>
      <c r="E652" s="1"/>
      <c r="F652" s="1"/>
      <c r="G652" s="1"/>
      <c r="H652" s="1"/>
      <c r="I652" s="1"/>
      <c r="J652" s="1"/>
    </row>
    <row r="653" ht="15.75" customHeight="1">
      <c r="A653" s="36"/>
      <c r="B653" s="37"/>
      <c r="C653" s="37"/>
      <c r="D653" s="1"/>
      <c r="E653" s="1"/>
      <c r="F653" s="1"/>
      <c r="G653" s="1"/>
      <c r="H653" s="1"/>
      <c r="I653" s="1"/>
      <c r="J653" s="1"/>
    </row>
    <row r="654" ht="15.75" customHeight="1">
      <c r="A654" s="36"/>
      <c r="B654" s="37"/>
      <c r="C654" s="37"/>
      <c r="D654" s="1"/>
      <c r="E654" s="1"/>
      <c r="F654" s="1"/>
      <c r="G654" s="1"/>
      <c r="H654" s="1"/>
      <c r="I654" s="1"/>
      <c r="J654" s="1"/>
    </row>
    <row r="655" ht="15.75" customHeight="1">
      <c r="A655" s="36"/>
      <c r="B655" s="37"/>
      <c r="C655" s="37"/>
      <c r="D655" s="1"/>
      <c r="E655" s="1"/>
      <c r="F655" s="1"/>
      <c r="G655" s="1"/>
      <c r="H655" s="1"/>
      <c r="I655" s="1"/>
      <c r="J655" s="1"/>
    </row>
    <row r="656" ht="15.75" customHeight="1">
      <c r="A656" s="36"/>
      <c r="B656" s="37"/>
      <c r="C656" s="37"/>
      <c r="D656" s="1"/>
      <c r="E656" s="1"/>
      <c r="F656" s="1"/>
      <c r="G656" s="1"/>
      <c r="H656" s="1"/>
      <c r="I656" s="1"/>
      <c r="J656" s="1"/>
    </row>
    <row r="657" ht="15.75" customHeight="1">
      <c r="A657" s="36"/>
      <c r="B657" s="37"/>
      <c r="C657" s="37"/>
      <c r="D657" s="1"/>
      <c r="E657" s="1"/>
      <c r="F657" s="1"/>
      <c r="G657" s="1"/>
      <c r="H657" s="1"/>
      <c r="I657" s="1"/>
      <c r="J657" s="1"/>
    </row>
    <row r="658" ht="15.75" customHeight="1">
      <c r="A658" s="36"/>
      <c r="B658" s="37"/>
      <c r="C658" s="37"/>
      <c r="D658" s="1"/>
      <c r="E658" s="1"/>
      <c r="F658" s="1"/>
      <c r="G658" s="1"/>
      <c r="H658" s="1"/>
      <c r="I658" s="1"/>
      <c r="J658" s="1"/>
    </row>
    <row r="659" ht="15.75" customHeight="1">
      <c r="A659" s="36"/>
      <c r="B659" s="37"/>
      <c r="C659" s="37"/>
      <c r="D659" s="1"/>
      <c r="E659" s="1"/>
      <c r="F659" s="1"/>
      <c r="G659" s="1"/>
      <c r="H659" s="1"/>
      <c r="I659" s="1"/>
      <c r="J659" s="1"/>
    </row>
    <row r="660" ht="15.75" customHeight="1">
      <c r="A660" s="36"/>
      <c r="B660" s="37"/>
      <c r="C660" s="37"/>
      <c r="D660" s="1"/>
      <c r="E660" s="1"/>
      <c r="F660" s="1"/>
      <c r="G660" s="1"/>
      <c r="H660" s="1"/>
      <c r="I660" s="1"/>
      <c r="J660" s="1"/>
    </row>
    <row r="661" ht="15.75" customHeight="1">
      <c r="A661" s="36"/>
      <c r="B661" s="37"/>
      <c r="C661" s="37"/>
      <c r="D661" s="1"/>
      <c r="E661" s="1"/>
      <c r="F661" s="1"/>
      <c r="G661" s="1"/>
      <c r="H661" s="1"/>
      <c r="I661" s="1"/>
      <c r="J661" s="1"/>
    </row>
    <row r="662" ht="15.75" customHeight="1">
      <c r="A662" s="36"/>
      <c r="B662" s="37"/>
      <c r="C662" s="37"/>
      <c r="D662" s="1"/>
      <c r="E662" s="1"/>
      <c r="F662" s="1"/>
      <c r="G662" s="1"/>
      <c r="H662" s="1"/>
      <c r="I662" s="1"/>
      <c r="J662" s="1"/>
    </row>
    <row r="663" ht="15.75" customHeight="1">
      <c r="A663" s="36"/>
      <c r="B663" s="37"/>
      <c r="C663" s="37"/>
      <c r="D663" s="1"/>
      <c r="E663" s="1"/>
      <c r="F663" s="1"/>
      <c r="G663" s="1"/>
      <c r="H663" s="1"/>
      <c r="I663" s="1"/>
      <c r="J663" s="1"/>
    </row>
    <row r="664" ht="15.75" customHeight="1">
      <c r="A664" s="36"/>
      <c r="B664" s="37"/>
      <c r="C664" s="37"/>
      <c r="D664" s="1"/>
      <c r="E664" s="1"/>
      <c r="F664" s="1"/>
      <c r="G664" s="1"/>
      <c r="H664" s="1"/>
      <c r="I664" s="1"/>
      <c r="J664" s="1"/>
    </row>
    <row r="665" ht="15.75" customHeight="1">
      <c r="A665" s="36"/>
      <c r="B665" s="37"/>
      <c r="C665" s="37"/>
      <c r="D665" s="1"/>
      <c r="E665" s="1"/>
      <c r="F665" s="1"/>
      <c r="G665" s="1"/>
      <c r="H665" s="1"/>
      <c r="I665" s="1"/>
      <c r="J665" s="1"/>
    </row>
    <row r="666" ht="15.75" customHeight="1">
      <c r="A666" s="36"/>
      <c r="B666" s="37"/>
      <c r="C666" s="37"/>
      <c r="D666" s="1"/>
      <c r="E666" s="1"/>
      <c r="F666" s="1"/>
      <c r="G666" s="1"/>
      <c r="H666" s="1"/>
      <c r="I666" s="1"/>
      <c r="J666" s="1"/>
    </row>
    <row r="667" ht="15.75" customHeight="1">
      <c r="A667" s="36"/>
      <c r="B667" s="37"/>
      <c r="C667" s="37"/>
      <c r="D667" s="1"/>
      <c r="E667" s="1"/>
      <c r="F667" s="1"/>
      <c r="G667" s="1"/>
      <c r="H667" s="1"/>
      <c r="I667" s="1"/>
      <c r="J667" s="1"/>
    </row>
    <row r="668" ht="15.75" customHeight="1">
      <c r="A668" s="36"/>
      <c r="B668" s="37"/>
      <c r="C668" s="37"/>
      <c r="D668" s="1"/>
      <c r="E668" s="1"/>
      <c r="F668" s="1"/>
      <c r="G668" s="1"/>
      <c r="H668" s="1"/>
      <c r="I668" s="1"/>
      <c r="J668" s="1"/>
    </row>
    <row r="669" ht="15.75" customHeight="1">
      <c r="A669" s="36"/>
      <c r="B669" s="37"/>
      <c r="C669" s="37"/>
      <c r="D669" s="1"/>
      <c r="E669" s="1"/>
      <c r="F669" s="1"/>
      <c r="G669" s="1"/>
      <c r="H669" s="1"/>
      <c r="I669" s="1"/>
      <c r="J669" s="1"/>
    </row>
    <row r="670" ht="15.75" customHeight="1">
      <c r="A670" s="36"/>
      <c r="B670" s="37"/>
      <c r="C670" s="37"/>
      <c r="D670" s="1"/>
      <c r="E670" s="1"/>
      <c r="F670" s="1"/>
      <c r="G670" s="1"/>
      <c r="H670" s="1"/>
      <c r="I670" s="1"/>
      <c r="J670" s="1"/>
    </row>
    <row r="671" ht="15.75" customHeight="1">
      <c r="A671" s="36"/>
      <c r="B671" s="37"/>
      <c r="C671" s="37"/>
      <c r="D671" s="1"/>
      <c r="E671" s="1"/>
      <c r="F671" s="1"/>
      <c r="G671" s="1"/>
      <c r="H671" s="1"/>
      <c r="I671" s="1"/>
      <c r="J671" s="1"/>
    </row>
    <row r="672" ht="15.75" customHeight="1">
      <c r="A672" s="36"/>
      <c r="B672" s="37"/>
      <c r="C672" s="37"/>
      <c r="D672" s="1"/>
      <c r="E672" s="1"/>
      <c r="F672" s="1"/>
      <c r="G672" s="1"/>
      <c r="H672" s="1"/>
      <c r="I672" s="1"/>
      <c r="J672" s="1"/>
    </row>
    <row r="673" ht="15.75" customHeight="1">
      <c r="A673" s="36"/>
      <c r="B673" s="37"/>
      <c r="C673" s="37"/>
      <c r="D673" s="1"/>
      <c r="E673" s="1"/>
      <c r="F673" s="1"/>
      <c r="G673" s="1"/>
      <c r="H673" s="1"/>
      <c r="I673" s="1"/>
      <c r="J673" s="1"/>
    </row>
    <row r="674" ht="15.75" customHeight="1">
      <c r="A674" s="36"/>
      <c r="B674" s="37"/>
      <c r="C674" s="37"/>
      <c r="D674" s="1"/>
      <c r="E674" s="1"/>
      <c r="F674" s="1"/>
      <c r="G674" s="1"/>
      <c r="H674" s="1"/>
      <c r="I674" s="1"/>
      <c r="J674" s="1"/>
    </row>
    <row r="675" ht="15.75" customHeight="1">
      <c r="A675" s="36"/>
      <c r="B675" s="37"/>
      <c r="C675" s="37"/>
      <c r="D675" s="1"/>
      <c r="E675" s="1"/>
      <c r="F675" s="1"/>
      <c r="G675" s="1"/>
      <c r="H675" s="1"/>
      <c r="I675" s="1"/>
      <c r="J675" s="1"/>
    </row>
    <row r="676" ht="15.75" customHeight="1">
      <c r="A676" s="36"/>
      <c r="B676" s="37"/>
      <c r="C676" s="37"/>
      <c r="D676" s="1"/>
      <c r="E676" s="1"/>
      <c r="F676" s="1"/>
      <c r="G676" s="1"/>
      <c r="H676" s="1"/>
      <c r="I676" s="1"/>
      <c r="J676" s="1"/>
    </row>
    <row r="677" ht="15.75" customHeight="1">
      <c r="A677" s="36"/>
      <c r="B677" s="37"/>
      <c r="C677" s="37"/>
      <c r="D677" s="1"/>
      <c r="E677" s="1"/>
      <c r="F677" s="1"/>
      <c r="G677" s="1"/>
      <c r="H677" s="1"/>
      <c r="I677" s="1"/>
      <c r="J677" s="1"/>
    </row>
    <row r="678" ht="15.75" customHeight="1">
      <c r="A678" s="36"/>
      <c r="B678" s="37"/>
      <c r="C678" s="37"/>
      <c r="D678" s="1"/>
      <c r="E678" s="1"/>
      <c r="F678" s="1"/>
      <c r="G678" s="1"/>
      <c r="H678" s="1"/>
      <c r="I678" s="1"/>
      <c r="J678" s="1"/>
    </row>
    <row r="679" ht="15.75" customHeight="1">
      <c r="A679" s="36"/>
      <c r="B679" s="37"/>
      <c r="C679" s="37"/>
      <c r="D679" s="1"/>
      <c r="E679" s="1"/>
      <c r="F679" s="1"/>
      <c r="G679" s="1"/>
      <c r="H679" s="1"/>
      <c r="I679" s="1"/>
      <c r="J679" s="1"/>
    </row>
    <row r="680" ht="15.75" customHeight="1">
      <c r="A680" s="36"/>
      <c r="B680" s="37"/>
      <c r="C680" s="37"/>
      <c r="D680" s="1"/>
      <c r="E680" s="1"/>
      <c r="F680" s="1"/>
      <c r="G680" s="1"/>
      <c r="H680" s="1"/>
      <c r="I680" s="1"/>
      <c r="J680" s="1"/>
    </row>
    <row r="681" ht="15.75" customHeight="1">
      <c r="A681" s="36"/>
      <c r="B681" s="37"/>
      <c r="C681" s="37"/>
      <c r="D681" s="1"/>
      <c r="E681" s="1"/>
      <c r="F681" s="1"/>
      <c r="G681" s="1"/>
      <c r="H681" s="1"/>
      <c r="I681" s="1"/>
      <c r="J681" s="1"/>
    </row>
    <row r="682" ht="15.75" customHeight="1">
      <c r="A682" s="36"/>
      <c r="B682" s="37"/>
      <c r="C682" s="37"/>
      <c r="D682" s="1"/>
      <c r="E682" s="1"/>
      <c r="F682" s="1"/>
      <c r="G682" s="1"/>
      <c r="H682" s="1"/>
      <c r="I682" s="1"/>
      <c r="J682" s="1"/>
    </row>
    <row r="683" ht="15.75" customHeight="1">
      <c r="A683" s="36"/>
      <c r="B683" s="37"/>
      <c r="C683" s="37"/>
      <c r="D683" s="1"/>
      <c r="E683" s="1"/>
      <c r="F683" s="1"/>
      <c r="G683" s="1"/>
      <c r="H683" s="1"/>
      <c r="I683" s="1"/>
      <c r="J683" s="1"/>
    </row>
    <row r="684" ht="15.75" customHeight="1">
      <c r="A684" s="36"/>
      <c r="B684" s="37"/>
      <c r="C684" s="37"/>
      <c r="D684" s="1"/>
      <c r="E684" s="1"/>
      <c r="F684" s="1"/>
      <c r="G684" s="1"/>
      <c r="H684" s="1"/>
      <c r="I684" s="1"/>
      <c r="J684" s="1"/>
    </row>
    <row r="685" ht="15.75" customHeight="1">
      <c r="A685" s="36"/>
      <c r="B685" s="37"/>
      <c r="C685" s="37"/>
      <c r="D685" s="1"/>
      <c r="E685" s="1"/>
      <c r="F685" s="1"/>
      <c r="G685" s="1"/>
      <c r="H685" s="1"/>
      <c r="I685" s="1"/>
      <c r="J685" s="1"/>
    </row>
    <row r="686" ht="15.75" customHeight="1">
      <c r="A686" s="36"/>
      <c r="B686" s="37"/>
      <c r="C686" s="37"/>
      <c r="D686" s="1"/>
      <c r="E686" s="1"/>
      <c r="F686" s="1"/>
      <c r="G686" s="1"/>
      <c r="H686" s="1"/>
      <c r="I686" s="1"/>
      <c r="J686" s="1"/>
    </row>
    <row r="687" ht="15.75" customHeight="1">
      <c r="A687" s="36"/>
      <c r="B687" s="37"/>
      <c r="C687" s="37"/>
      <c r="D687" s="1"/>
      <c r="E687" s="1"/>
      <c r="F687" s="1"/>
      <c r="G687" s="1"/>
      <c r="H687" s="1"/>
      <c r="I687" s="1"/>
      <c r="J687" s="1"/>
    </row>
    <row r="688" ht="15.75" customHeight="1">
      <c r="A688" s="36"/>
      <c r="B688" s="37"/>
      <c r="C688" s="37"/>
      <c r="D688" s="1"/>
      <c r="E688" s="1"/>
      <c r="F688" s="1"/>
      <c r="G688" s="1"/>
      <c r="H688" s="1"/>
      <c r="I688" s="1"/>
      <c r="J688" s="1"/>
    </row>
    <row r="689" ht="15.75" customHeight="1">
      <c r="A689" s="36"/>
      <c r="B689" s="37"/>
      <c r="C689" s="37"/>
      <c r="D689" s="1"/>
      <c r="E689" s="1"/>
      <c r="F689" s="1"/>
      <c r="G689" s="1"/>
      <c r="H689" s="1"/>
      <c r="I689" s="1"/>
      <c r="J689" s="1"/>
    </row>
    <row r="690" ht="15.75" customHeight="1">
      <c r="A690" s="36"/>
      <c r="B690" s="37"/>
      <c r="C690" s="37"/>
      <c r="D690" s="1"/>
      <c r="E690" s="1"/>
      <c r="F690" s="1"/>
      <c r="G690" s="1"/>
      <c r="H690" s="1"/>
      <c r="I690" s="1"/>
      <c r="J690" s="1"/>
    </row>
    <row r="691" ht="15.75" customHeight="1">
      <c r="A691" s="36"/>
      <c r="B691" s="37"/>
      <c r="C691" s="37"/>
      <c r="D691" s="1"/>
      <c r="E691" s="1"/>
      <c r="F691" s="1"/>
      <c r="G691" s="1"/>
      <c r="H691" s="1"/>
      <c r="I691" s="1"/>
      <c r="J691" s="1"/>
    </row>
    <row r="692" ht="15.75" customHeight="1">
      <c r="A692" s="36"/>
      <c r="B692" s="37"/>
      <c r="C692" s="37"/>
      <c r="D692" s="1"/>
      <c r="E692" s="1"/>
      <c r="F692" s="1"/>
      <c r="G692" s="1"/>
      <c r="H692" s="1"/>
      <c r="I692" s="1"/>
      <c r="J692" s="1"/>
    </row>
    <row r="693" ht="15.75" customHeight="1">
      <c r="A693" s="36"/>
      <c r="B693" s="37"/>
      <c r="C693" s="37"/>
      <c r="D693" s="1"/>
      <c r="E693" s="1"/>
      <c r="F693" s="1"/>
      <c r="G693" s="1"/>
      <c r="H693" s="1"/>
      <c r="I693" s="1"/>
      <c r="J693" s="1"/>
    </row>
    <row r="694" ht="15.75" customHeight="1">
      <c r="A694" s="36"/>
      <c r="B694" s="37"/>
      <c r="C694" s="37"/>
      <c r="D694" s="1"/>
      <c r="E694" s="1"/>
      <c r="F694" s="1"/>
      <c r="G694" s="1"/>
      <c r="H694" s="1"/>
      <c r="I694" s="1"/>
      <c r="J694" s="1"/>
    </row>
    <row r="695" ht="15.75" customHeight="1">
      <c r="A695" s="36"/>
      <c r="B695" s="37"/>
      <c r="C695" s="37"/>
      <c r="D695" s="1"/>
      <c r="E695" s="1"/>
      <c r="F695" s="1"/>
      <c r="G695" s="1"/>
      <c r="H695" s="1"/>
      <c r="I695" s="1"/>
      <c r="J695" s="1"/>
    </row>
    <row r="696" ht="15.75" customHeight="1">
      <c r="A696" s="36"/>
      <c r="B696" s="37"/>
      <c r="C696" s="37"/>
      <c r="D696" s="1"/>
      <c r="E696" s="1"/>
      <c r="F696" s="1"/>
      <c r="G696" s="1"/>
      <c r="H696" s="1"/>
      <c r="I696" s="1"/>
      <c r="J696" s="1"/>
    </row>
    <row r="697" ht="15.75" customHeight="1">
      <c r="A697" s="36"/>
      <c r="B697" s="37"/>
      <c r="C697" s="37"/>
      <c r="D697" s="1"/>
      <c r="E697" s="1"/>
      <c r="F697" s="1"/>
      <c r="G697" s="1"/>
      <c r="H697" s="1"/>
      <c r="I697" s="1"/>
      <c r="J697" s="1"/>
    </row>
    <row r="698" ht="15.75" customHeight="1">
      <c r="A698" s="36"/>
      <c r="B698" s="37"/>
      <c r="C698" s="37"/>
      <c r="D698" s="1"/>
      <c r="E698" s="1"/>
      <c r="F698" s="1"/>
      <c r="G698" s="1"/>
      <c r="H698" s="1"/>
      <c r="I698" s="1"/>
      <c r="J698" s="1"/>
    </row>
    <row r="699" ht="15.75" customHeight="1">
      <c r="A699" s="36"/>
      <c r="B699" s="37"/>
      <c r="C699" s="37"/>
      <c r="D699" s="1"/>
      <c r="E699" s="1"/>
      <c r="F699" s="1"/>
      <c r="G699" s="1"/>
      <c r="H699" s="1"/>
      <c r="I699" s="1"/>
      <c r="J699" s="1"/>
    </row>
    <row r="700" ht="15.75" customHeight="1">
      <c r="A700" s="36"/>
      <c r="B700" s="37"/>
      <c r="C700" s="37"/>
      <c r="D700" s="1"/>
      <c r="E700" s="1"/>
      <c r="F700" s="1"/>
      <c r="G700" s="1"/>
      <c r="H700" s="1"/>
      <c r="I700" s="1"/>
      <c r="J700" s="1"/>
    </row>
    <row r="701" ht="15.75" customHeight="1">
      <c r="A701" s="36"/>
      <c r="B701" s="37"/>
      <c r="C701" s="37"/>
      <c r="D701" s="1"/>
      <c r="E701" s="1"/>
      <c r="F701" s="1"/>
      <c r="G701" s="1"/>
      <c r="H701" s="1"/>
      <c r="I701" s="1"/>
      <c r="J701" s="1"/>
    </row>
    <row r="702" ht="15.75" customHeight="1">
      <c r="A702" s="36"/>
      <c r="B702" s="37"/>
      <c r="C702" s="37"/>
      <c r="D702" s="1"/>
      <c r="E702" s="1"/>
      <c r="F702" s="1"/>
      <c r="G702" s="1"/>
      <c r="H702" s="1"/>
      <c r="I702" s="1"/>
      <c r="J702" s="1"/>
    </row>
    <row r="703" ht="15.75" customHeight="1">
      <c r="A703" s="36"/>
      <c r="B703" s="37"/>
      <c r="C703" s="37"/>
      <c r="D703" s="1"/>
      <c r="E703" s="1"/>
      <c r="F703" s="1"/>
      <c r="G703" s="1"/>
      <c r="H703" s="1"/>
      <c r="I703" s="1"/>
      <c r="J703" s="1"/>
    </row>
    <row r="704" ht="15.75" customHeight="1">
      <c r="A704" s="36"/>
      <c r="B704" s="37"/>
      <c r="C704" s="37"/>
      <c r="D704" s="1"/>
      <c r="E704" s="1"/>
      <c r="F704" s="1"/>
      <c r="G704" s="1"/>
      <c r="H704" s="1"/>
      <c r="I704" s="1"/>
      <c r="J704" s="1"/>
    </row>
    <row r="705" ht="15.75" customHeight="1">
      <c r="A705" s="36"/>
      <c r="B705" s="37"/>
      <c r="C705" s="37"/>
      <c r="D705" s="1"/>
      <c r="E705" s="1"/>
      <c r="F705" s="1"/>
      <c r="G705" s="1"/>
      <c r="H705" s="1"/>
      <c r="I705" s="1"/>
      <c r="J705" s="1"/>
    </row>
    <row r="706" ht="15.75" customHeight="1">
      <c r="A706" s="36"/>
      <c r="B706" s="37"/>
      <c r="C706" s="37"/>
      <c r="D706" s="1"/>
      <c r="E706" s="1"/>
      <c r="F706" s="1"/>
      <c r="G706" s="1"/>
      <c r="H706" s="1"/>
      <c r="I706" s="1"/>
      <c r="J706" s="1"/>
    </row>
    <row r="707" ht="15.75" customHeight="1">
      <c r="A707" s="36"/>
      <c r="B707" s="37"/>
      <c r="C707" s="37"/>
      <c r="D707" s="1"/>
      <c r="E707" s="1"/>
      <c r="F707" s="1"/>
      <c r="G707" s="1"/>
      <c r="H707" s="1"/>
      <c r="I707" s="1"/>
      <c r="J707" s="1"/>
    </row>
    <row r="708" ht="15.75" customHeight="1">
      <c r="A708" s="36"/>
      <c r="B708" s="37"/>
      <c r="C708" s="37"/>
      <c r="D708" s="1"/>
      <c r="E708" s="1"/>
      <c r="F708" s="1"/>
      <c r="G708" s="1"/>
      <c r="H708" s="1"/>
      <c r="I708" s="1"/>
      <c r="J708" s="1"/>
    </row>
    <row r="709" ht="15.75" customHeight="1">
      <c r="A709" s="36"/>
      <c r="B709" s="37"/>
      <c r="C709" s="37"/>
      <c r="D709" s="1"/>
      <c r="E709" s="1"/>
      <c r="F709" s="1"/>
      <c r="G709" s="1"/>
      <c r="H709" s="1"/>
      <c r="I709" s="1"/>
      <c r="J709" s="1"/>
    </row>
    <row r="710" ht="15.75" customHeight="1">
      <c r="A710" s="36"/>
      <c r="B710" s="37"/>
      <c r="C710" s="37"/>
      <c r="D710" s="1"/>
      <c r="E710" s="1"/>
      <c r="F710" s="1"/>
      <c r="G710" s="1"/>
      <c r="H710" s="1"/>
      <c r="I710" s="1"/>
      <c r="J710" s="1"/>
    </row>
    <row r="711" ht="15.75" customHeight="1">
      <c r="A711" s="36"/>
      <c r="B711" s="37"/>
      <c r="C711" s="37"/>
      <c r="D711" s="1"/>
      <c r="E711" s="1"/>
      <c r="F711" s="1"/>
      <c r="G711" s="1"/>
      <c r="H711" s="1"/>
      <c r="I711" s="1"/>
      <c r="J711" s="1"/>
    </row>
    <row r="712" ht="15.75" customHeight="1">
      <c r="A712" s="36"/>
      <c r="B712" s="37"/>
      <c r="C712" s="37"/>
      <c r="D712" s="1"/>
      <c r="E712" s="1"/>
      <c r="F712" s="1"/>
      <c r="G712" s="1"/>
      <c r="H712" s="1"/>
      <c r="I712" s="1"/>
      <c r="J712" s="1"/>
    </row>
    <row r="713" ht="15.75" customHeight="1">
      <c r="A713" s="36"/>
      <c r="B713" s="37"/>
      <c r="C713" s="37"/>
      <c r="D713" s="1"/>
      <c r="E713" s="1"/>
      <c r="F713" s="1"/>
      <c r="G713" s="1"/>
      <c r="H713" s="1"/>
      <c r="I713" s="1"/>
      <c r="J713" s="1"/>
    </row>
    <row r="714" ht="15.75" customHeight="1">
      <c r="A714" s="36"/>
      <c r="B714" s="37"/>
      <c r="C714" s="37"/>
      <c r="D714" s="1"/>
      <c r="E714" s="1"/>
      <c r="F714" s="1"/>
      <c r="G714" s="1"/>
      <c r="H714" s="1"/>
      <c r="I714" s="1"/>
      <c r="J714" s="1"/>
    </row>
    <row r="715" ht="15.75" customHeight="1">
      <c r="A715" s="36"/>
      <c r="B715" s="37"/>
      <c r="C715" s="37"/>
      <c r="D715" s="1"/>
      <c r="E715" s="1"/>
      <c r="F715" s="1"/>
      <c r="G715" s="1"/>
      <c r="H715" s="1"/>
      <c r="I715" s="1"/>
      <c r="J715" s="1"/>
    </row>
    <row r="716" ht="15.75" customHeight="1">
      <c r="A716" s="36"/>
      <c r="B716" s="37"/>
      <c r="C716" s="37"/>
      <c r="D716" s="1"/>
      <c r="E716" s="1"/>
      <c r="F716" s="1"/>
      <c r="G716" s="1"/>
      <c r="H716" s="1"/>
      <c r="I716" s="1"/>
      <c r="J716" s="1"/>
    </row>
    <row r="717" ht="15.75" customHeight="1">
      <c r="A717" s="36"/>
      <c r="B717" s="37"/>
      <c r="C717" s="37"/>
      <c r="D717" s="1"/>
      <c r="E717" s="1"/>
      <c r="F717" s="1"/>
      <c r="G717" s="1"/>
      <c r="H717" s="1"/>
      <c r="I717" s="1"/>
      <c r="J717" s="1"/>
    </row>
    <row r="718" ht="15.75" customHeight="1">
      <c r="A718" s="36"/>
      <c r="B718" s="37"/>
      <c r="C718" s="37"/>
      <c r="D718" s="1"/>
      <c r="E718" s="1"/>
      <c r="F718" s="1"/>
      <c r="G718" s="1"/>
      <c r="H718" s="1"/>
      <c r="I718" s="1"/>
      <c r="J718" s="1"/>
    </row>
    <row r="719" ht="15.75" customHeight="1">
      <c r="A719" s="36"/>
      <c r="B719" s="37"/>
      <c r="C719" s="37"/>
      <c r="D719" s="1"/>
      <c r="E719" s="1"/>
      <c r="F719" s="1"/>
      <c r="G719" s="1"/>
      <c r="H719" s="1"/>
      <c r="I719" s="1"/>
      <c r="J719" s="1"/>
    </row>
    <row r="720" ht="15.75" customHeight="1">
      <c r="A720" s="36"/>
      <c r="B720" s="37"/>
      <c r="C720" s="37"/>
      <c r="D720" s="1"/>
      <c r="E720" s="1"/>
      <c r="F720" s="1"/>
      <c r="G720" s="1"/>
      <c r="H720" s="1"/>
      <c r="I720" s="1"/>
      <c r="J720" s="1"/>
    </row>
    <row r="721" ht="15.75" customHeight="1">
      <c r="A721" s="36"/>
      <c r="B721" s="37"/>
      <c r="C721" s="37"/>
      <c r="D721" s="1"/>
      <c r="E721" s="1"/>
      <c r="F721" s="1"/>
      <c r="G721" s="1"/>
      <c r="H721" s="1"/>
      <c r="I721" s="1"/>
      <c r="J721" s="1"/>
    </row>
    <row r="722" ht="15.75" customHeight="1">
      <c r="A722" s="36"/>
      <c r="B722" s="37"/>
      <c r="C722" s="37"/>
      <c r="D722" s="1"/>
      <c r="E722" s="1"/>
      <c r="F722" s="1"/>
      <c r="G722" s="1"/>
      <c r="H722" s="1"/>
      <c r="I722" s="1"/>
      <c r="J722" s="1"/>
    </row>
    <row r="723" ht="15.75" customHeight="1">
      <c r="A723" s="36"/>
      <c r="B723" s="37"/>
      <c r="C723" s="37"/>
      <c r="D723" s="1"/>
      <c r="E723" s="1"/>
      <c r="F723" s="1"/>
      <c r="G723" s="1"/>
      <c r="H723" s="1"/>
      <c r="I723" s="1"/>
      <c r="J723" s="1"/>
    </row>
    <row r="724" ht="15.75" customHeight="1">
      <c r="A724" s="36"/>
      <c r="B724" s="37"/>
      <c r="C724" s="37"/>
      <c r="D724" s="1"/>
      <c r="E724" s="1"/>
      <c r="F724" s="1"/>
      <c r="G724" s="1"/>
      <c r="H724" s="1"/>
      <c r="I724" s="1"/>
      <c r="J724" s="1"/>
    </row>
    <row r="725" ht="15.75" customHeight="1">
      <c r="A725" s="36"/>
      <c r="B725" s="37"/>
      <c r="C725" s="37"/>
      <c r="D725" s="1"/>
      <c r="E725" s="1"/>
      <c r="F725" s="1"/>
      <c r="G725" s="1"/>
      <c r="H725" s="1"/>
      <c r="I725" s="1"/>
      <c r="J725" s="1"/>
    </row>
    <row r="726" ht="15.75" customHeight="1">
      <c r="A726" s="36"/>
      <c r="B726" s="37"/>
      <c r="C726" s="37"/>
      <c r="D726" s="1"/>
      <c r="E726" s="1"/>
      <c r="F726" s="1"/>
      <c r="G726" s="1"/>
      <c r="H726" s="1"/>
      <c r="I726" s="1"/>
      <c r="J726" s="1"/>
    </row>
    <row r="727" ht="15.75" customHeight="1">
      <c r="A727" s="36"/>
      <c r="B727" s="37"/>
      <c r="C727" s="37"/>
      <c r="D727" s="1"/>
      <c r="E727" s="1"/>
      <c r="F727" s="1"/>
      <c r="G727" s="1"/>
      <c r="H727" s="1"/>
      <c r="I727" s="1"/>
      <c r="J727" s="1"/>
    </row>
    <row r="728" ht="15.75" customHeight="1">
      <c r="A728" s="36"/>
      <c r="B728" s="37"/>
      <c r="C728" s="37"/>
      <c r="D728" s="1"/>
      <c r="E728" s="1"/>
      <c r="F728" s="1"/>
      <c r="G728" s="1"/>
      <c r="H728" s="1"/>
      <c r="I728" s="1"/>
      <c r="J728" s="1"/>
    </row>
    <row r="729" ht="15.75" customHeight="1">
      <c r="A729" s="36"/>
      <c r="B729" s="37"/>
      <c r="C729" s="37"/>
      <c r="D729" s="1"/>
      <c r="E729" s="1"/>
      <c r="F729" s="1"/>
      <c r="G729" s="1"/>
      <c r="H729" s="1"/>
      <c r="I729" s="1"/>
      <c r="J729" s="1"/>
    </row>
    <row r="730" ht="15.75" customHeight="1">
      <c r="A730" s="36"/>
      <c r="B730" s="37"/>
      <c r="C730" s="37"/>
      <c r="D730" s="1"/>
      <c r="E730" s="1"/>
      <c r="F730" s="1"/>
      <c r="G730" s="1"/>
      <c r="H730" s="1"/>
      <c r="I730" s="1"/>
      <c r="J730" s="1"/>
    </row>
    <row r="731" ht="15.75" customHeight="1">
      <c r="A731" s="36"/>
      <c r="B731" s="37"/>
      <c r="C731" s="37"/>
      <c r="D731" s="1"/>
      <c r="E731" s="1"/>
      <c r="F731" s="1"/>
      <c r="G731" s="1"/>
      <c r="H731" s="1"/>
      <c r="I731" s="1"/>
      <c r="J731" s="1"/>
    </row>
    <row r="732" ht="15.75" customHeight="1">
      <c r="A732" s="36"/>
      <c r="B732" s="37"/>
      <c r="C732" s="37"/>
      <c r="D732" s="1"/>
      <c r="E732" s="1"/>
      <c r="F732" s="1"/>
      <c r="G732" s="1"/>
      <c r="H732" s="1"/>
      <c r="I732" s="1"/>
      <c r="J732" s="1"/>
    </row>
    <row r="733" ht="15.75" customHeight="1">
      <c r="A733" s="36"/>
      <c r="B733" s="37"/>
      <c r="C733" s="37"/>
      <c r="D733" s="1"/>
      <c r="E733" s="1"/>
      <c r="F733" s="1"/>
      <c r="G733" s="1"/>
      <c r="H733" s="1"/>
      <c r="I733" s="1"/>
      <c r="J733" s="1"/>
    </row>
    <row r="734" ht="15.75" customHeight="1">
      <c r="A734" s="36"/>
      <c r="B734" s="37"/>
      <c r="C734" s="37"/>
      <c r="D734" s="1"/>
      <c r="E734" s="1"/>
      <c r="F734" s="1"/>
      <c r="G734" s="1"/>
      <c r="H734" s="1"/>
      <c r="I734" s="1"/>
      <c r="J734" s="1"/>
    </row>
    <row r="735" ht="15.75" customHeight="1">
      <c r="A735" s="36"/>
      <c r="B735" s="37"/>
      <c r="C735" s="37"/>
      <c r="D735" s="1"/>
      <c r="E735" s="1"/>
      <c r="F735" s="1"/>
      <c r="G735" s="1"/>
      <c r="H735" s="1"/>
      <c r="I735" s="1"/>
      <c r="J735" s="1"/>
    </row>
    <row r="736" ht="15.75" customHeight="1">
      <c r="A736" s="36"/>
      <c r="B736" s="37"/>
      <c r="C736" s="37"/>
      <c r="D736" s="1"/>
      <c r="E736" s="1"/>
      <c r="F736" s="1"/>
      <c r="G736" s="1"/>
      <c r="H736" s="1"/>
      <c r="I736" s="1"/>
      <c r="J736" s="1"/>
    </row>
    <row r="737" ht="15.75" customHeight="1">
      <c r="A737" s="36"/>
      <c r="B737" s="37"/>
      <c r="C737" s="37"/>
      <c r="D737" s="1"/>
      <c r="E737" s="1"/>
      <c r="F737" s="1"/>
      <c r="G737" s="1"/>
      <c r="H737" s="1"/>
      <c r="I737" s="1"/>
      <c r="J737" s="1"/>
    </row>
    <row r="738" ht="15.75" customHeight="1">
      <c r="A738" s="36"/>
      <c r="B738" s="37"/>
      <c r="C738" s="37"/>
      <c r="D738" s="1"/>
      <c r="E738" s="1"/>
      <c r="F738" s="1"/>
      <c r="G738" s="1"/>
      <c r="H738" s="1"/>
      <c r="I738" s="1"/>
      <c r="J738" s="1"/>
    </row>
    <row r="739" ht="15.75" customHeight="1">
      <c r="A739" s="36"/>
      <c r="B739" s="37"/>
      <c r="C739" s="37"/>
      <c r="D739" s="1"/>
      <c r="E739" s="1"/>
      <c r="F739" s="1"/>
      <c r="G739" s="1"/>
      <c r="H739" s="1"/>
      <c r="I739" s="1"/>
      <c r="J739" s="1"/>
    </row>
    <row r="740" ht="15.75" customHeight="1">
      <c r="A740" s="36"/>
      <c r="B740" s="37"/>
      <c r="C740" s="37"/>
      <c r="D740" s="1"/>
      <c r="E740" s="1"/>
      <c r="F740" s="1"/>
      <c r="G740" s="1"/>
      <c r="H740" s="1"/>
      <c r="I740" s="1"/>
      <c r="J740" s="1"/>
    </row>
    <row r="741" ht="15.75" customHeight="1">
      <c r="A741" s="36"/>
      <c r="B741" s="37"/>
      <c r="C741" s="37"/>
      <c r="D741" s="1"/>
      <c r="E741" s="1"/>
      <c r="F741" s="1"/>
      <c r="G741" s="1"/>
      <c r="H741" s="1"/>
      <c r="I741" s="1"/>
      <c r="J741" s="1"/>
    </row>
    <row r="742" ht="15.75" customHeight="1">
      <c r="A742" s="36"/>
      <c r="B742" s="37"/>
      <c r="C742" s="37"/>
      <c r="D742" s="1"/>
      <c r="E742" s="1"/>
      <c r="F742" s="1"/>
      <c r="G742" s="1"/>
      <c r="H742" s="1"/>
      <c r="I742" s="1"/>
      <c r="J742" s="1"/>
    </row>
    <row r="743" ht="15.75" customHeight="1">
      <c r="A743" s="36"/>
      <c r="B743" s="37"/>
      <c r="C743" s="37"/>
      <c r="D743" s="1"/>
      <c r="E743" s="1"/>
      <c r="F743" s="1"/>
      <c r="G743" s="1"/>
      <c r="H743" s="1"/>
      <c r="I743" s="1"/>
      <c r="J743" s="1"/>
    </row>
    <row r="744" ht="15.75" customHeight="1">
      <c r="A744" s="36"/>
      <c r="B744" s="37"/>
      <c r="C744" s="37"/>
      <c r="D744" s="1"/>
      <c r="E744" s="1"/>
      <c r="F744" s="1"/>
      <c r="G744" s="1"/>
      <c r="H744" s="1"/>
      <c r="I744" s="1"/>
      <c r="J744" s="1"/>
    </row>
    <row r="745" ht="15.75" customHeight="1">
      <c r="A745" s="36"/>
      <c r="B745" s="37"/>
      <c r="C745" s="37"/>
      <c r="D745" s="1"/>
      <c r="E745" s="1"/>
      <c r="F745" s="1"/>
      <c r="G745" s="1"/>
      <c r="H745" s="1"/>
      <c r="I745" s="1"/>
      <c r="J745" s="1"/>
    </row>
    <row r="746" ht="15.75" customHeight="1">
      <c r="A746" s="36"/>
      <c r="B746" s="37"/>
      <c r="C746" s="37"/>
      <c r="D746" s="1"/>
      <c r="E746" s="1"/>
      <c r="F746" s="1"/>
      <c r="G746" s="1"/>
      <c r="H746" s="1"/>
      <c r="I746" s="1"/>
      <c r="J746" s="1"/>
    </row>
    <row r="747" ht="15.75" customHeight="1">
      <c r="A747" s="36"/>
      <c r="B747" s="37"/>
      <c r="C747" s="37"/>
      <c r="D747" s="1"/>
      <c r="E747" s="1"/>
      <c r="F747" s="1"/>
      <c r="G747" s="1"/>
      <c r="H747" s="1"/>
      <c r="I747" s="1"/>
      <c r="J747" s="1"/>
    </row>
    <row r="748" ht="15.75" customHeight="1">
      <c r="A748" s="36"/>
      <c r="B748" s="37"/>
      <c r="C748" s="37"/>
      <c r="D748" s="1"/>
      <c r="E748" s="1"/>
      <c r="F748" s="1"/>
      <c r="G748" s="1"/>
      <c r="H748" s="1"/>
      <c r="I748" s="1"/>
      <c r="J748" s="1"/>
    </row>
    <row r="749" ht="15.75" customHeight="1">
      <c r="A749" s="36"/>
      <c r="B749" s="37"/>
      <c r="C749" s="37"/>
      <c r="D749" s="1"/>
      <c r="E749" s="1"/>
      <c r="F749" s="1"/>
      <c r="G749" s="1"/>
      <c r="H749" s="1"/>
      <c r="I749" s="1"/>
      <c r="J749" s="1"/>
    </row>
    <row r="750" ht="15.75" customHeight="1">
      <c r="A750" s="36"/>
      <c r="B750" s="37"/>
      <c r="C750" s="37"/>
      <c r="D750" s="1"/>
      <c r="E750" s="1"/>
      <c r="F750" s="1"/>
      <c r="G750" s="1"/>
      <c r="H750" s="1"/>
      <c r="I750" s="1"/>
      <c r="J750" s="1"/>
    </row>
    <row r="751" ht="15.75" customHeight="1">
      <c r="A751" s="36"/>
      <c r="B751" s="37"/>
      <c r="C751" s="37"/>
      <c r="D751" s="1"/>
      <c r="E751" s="1"/>
      <c r="F751" s="1"/>
      <c r="G751" s="1"/>
      <c r="H751" s="1"/>
      <c r="I751" s="1"/>
      <c r="J751" s="1"/>
    </row>
    <row r="752" ht="15.75" customHeight="1">
      <c r="A752" s="36"/>
      <c r="B752" s="37"/>
      <c r="C752" s="37"/>
      <c r="D752" s="1"/>
      <c r="E752" s="1"/>
      <c r="F752" s="1"/>
      <c r="G752" s="1"/>
      <c r="H752" s="1"/>
      <c r="I752" s="1"/>
      <c r="J752" s="1"/>
    </row>
    <row r="753" ht="15.75" customHeight="1">
      <c r="A753" s="36"/>
      <c r="B753" s="37"/>
      <c r="C753" s="37"/>
      <c r="D753" s="1"/>
      <c r="E753" s="1"/>
      <c r="F753" s="1"/>
      <c r="G753" s="1"/>
      <c r="H753" s="1"/>
      <c r="I753" s="1"/>
      <c r="J753" s="1"/>
    </row>
    <row r="754" ht="15.75" customHeight="1">
      <c r="A754" s="36"/>
      <c r="B754" s="37"/>
      <c r="C754" s="37"/>
      <c r="D754" s="1"/>
      <c r="E754" s="1"/>
      <c r="F754" s="1"/>
      <c r="G754" s="1"/>
      <c r="H754" s="1"/>
      <c r="I754" s="1"/>
      <c r="J754" s="1"/>
    </row>
    <row r="755" ht="15.75" customHeight="1">
      <c r="A755" s="36"/>
      <c r="B755" s="37"/>
      <c r="C755" s="37"/>
      <c r="D755" s="1"/>
      <c r="E755" s="1"/>
      <c r="F755" s="1"/>
      <c r="G755" s="1"/>
      <c r="H755" s="1"/>
      <c r="I755" s="1"/>
      <c r="J755" s="1"/>
    </row>
    <row r="756" ht="15.75" customHeight="1">
      <c r="A756" s="36"/>
      <c r="B756" s="37"/>
      <c r="C756" s="37"/>
      <c r="D756" s="1"/>
      <c r="E756" s="1"/>
      <c r="F756" s="1"/>
      <c r="G756" s="1"/>
      <c r="H756" s="1"/>
      <c r="I756" s="1"/>
      <c r="J756" s="1"/>
    </row>
    <row r="757" ht="15.75" customHeight="1">
      <c r="A757" s="36"/>
      <c r="B757" s="37"/>
      <c r="C757" s="37"/>
      <c r="D757" s="1"/>
      <c r="E757" s="1"/>
      <c r="F757" s="1"/>
      <c r="G757" s="1"/>
      <c r="H757" s="1"/>
      <c r="I757" s="1"/>
      <c r="J757" s="1"/>
    </row>
    <row r="758" ht="15.75" customHeight="1">
      <c r="A758" s="36"/>
      <c r="B758" s="37"/>
      <c r="C758" s="37"/>
      <c r="D758" s="1"/>
      <c r="E758" s="1"/>
      <c r="F758" s="1"/>
      <c r="G758" s="1"/>
      <c r="H758" s="1"/>
      <c r="I758" s="1"/>
      <c r="J758" s="1"/>
    </row>
    <row r="759" ht="15.75" customHeight="1">
      <c r="A759" s="36"/>
      <c r="B759" s="37"/>
      <c r="C759" s="37"/>
      <c r="D759" s="1"/>
      <c r="E759" s="1"/>
      <c r="F759" s="1"/>
      <c r="G759" s="1"/>
      <c r="H759" s="1"/>
      <c r="I759" s="1"/>
      <c r="J759" s="1"/>
    </row>
    <row r="760" ht="15.75" customHeight="1">
      <c r="A760" s="36"/>
      <c r="B760" s="37"/>
      <c r="C760" s="37"/>
      <c r="D760" s="1"/>
      <c r="E760" s="1"/>
      <c r="F760" s="1"/>
      <c r="G760" s="1"/>
      <c r="H760" s="1"/>
      <c r="I760" s="1"/>
      <c r="J760" s="1"/>
    </row>
    <row r="761" ht="15.75" customHeight="1">
      <c r="A761" s="36"/>
      <c r="B761" s="37"/>
      <c r="C761" s="37"/>
      <c r="D761" s="1"/>
      <c r="E761" s="1"/>
      <c r="F761" s="1"/>
      <c r="G761" s="1"/>
      <c r="H761" s="1"/>
      <c r="I761" s="1"/>
      <c r="J761" s="1"/>
    </row>
    <row r="762" ht="15.75" customHeight="1">
      <c r="A762" s="36"/>
      <c r="B762" s="37"/>
      <c r="C762" s="37"/>
      <c r="D762" s="1"/>
      <c r="E762" s="1"/>
      <c r="F762" s="1"/>
      <c r="G762" s="1"/>
      <c r="H762" s="1"/>
      <c r="I762" s="1"/>
      <c r="J762" s="1"/>
    </row>
    <row r="763" ht="15.75" customHeight="1">
      <c r="A763" s="36"/>
      <c r="B763" s="37"/>
      <c r="C763" s="37"/>
      <c r="D763" s="1"/>
      <c r="E763" s="1"/>
      <c r="F763" s="1"/>
      <c r="G763" s="1"/>
      <c r="H763" s="1"/>
      <c r="I763" s="1"/>
      <c r="J763" s="1"/>
    </row>
    <row r="764" ht="15.75" customHeight="1">
      <c r="A764" s="36"/>
      <c r="B764" s="37"/>
      <c r="C764" s="37"/>
      <c r="D764" s="1"/>
      <c r="E764" s="1"/>
      <c r="F764" s="1"/>
      <c r="G764" s="1"/>
      <c r="H764" s="1"/>
      <c r="I764" s="1"/>
      <c r="J764" s="1"/>
    </row>
    <row r="765" ht="15.75" customHeight="1">
      <c r="A765" s="36"/>
      <c r="B765" s="37"/>
      <c r="C765" s="37"/>
      <c r="D765" s="1"/>
      <c r="E765" s="1"/>
      <c r="F765" s="1"/>
      <c r="G765" s="1"/>
      <c r="H765" s="1"/>
      <c r="I765" s="1"/>
      <c r="J765" s="1"/>
    </row>
    <row r="766" ht="15.75" customHeight="1">
      <c r="A766" s="36"/>
      <c r="B766" s="37"/>
      <c r="C766" s="37"/>
      <c r="D766" s="1"/>
      <c r="E766" s="1"/>
      <c r="F766" s="1"/>
      <c r="G766" s="1"/>
      <c r="H766" s="1"/>
      <c r="I766" s="1"/>
      <c r="J766" s="1"/>
    </row>
    <row r="767" ht="15.75" customHeight="1">
      <c r="A767" s="36"/>
      <c r="B767" s="37"/>
      <c r="C767" s="37"/>
      <c r="D767" s="1"/>
      <c r="E767" s="1"/>
      <c r="F767" s="1"/>
      <c r="G767" s="1"/>
      <c r="H767" s="1"/>
      <c r="I767" s="1"/>
      <c r="J767" s="1"/>
    </row>
    <row r="768" ht="15.75" customHeight="1">
      <c r="A768" s="36"/>
      <c r="B768" s="37"/>
      <c r="C768" s="37"/>
      <c r="D768" s="1"/>
      <c r="E768" s="1"/>
      <c r="F768" s="1"/>
      <c r="G768" s="1"/>
      <c r="H768" s="1"/>
      <c r="I768" s="1"/>
      <c r="J768" s="1"/>
    </row>
    <row r="769" ht="15.75" customHeight="1">
      <c r="A769" s="36"/>
      <c r="B769" s="37"/>
      <c r="C769" s="37"/>
      <c r="D769" s="1"/>
      <c r="E769" s="1"/>
      <c r="F769" s="1"/>
      <c r="G769" s="1"/>
      <c r="H769" s="1"/>
      <c r="I769" s="1"/>
      <c r="J769" s="1"/>
    </row>
    <row r="770" ht="15.75" customHeight="1">
      <c r="A770" s="36"/>
      <c r="B770" s="37"/>
      <c r="C770" s="37"/>
      <c r="D770" s="1"/>
      <c r="E770" s="1"/>
      <c r="F770" s="1"/>
      <c r="G770" s="1"/>
      <c r="H770" s="1"/>
      <c r="I770" s="1"/>
      <c r="J770" s="1"/>
    </row>
    <row r="771" ht="15.75" customHeight="1">
      <c r="A771" s="36"/>
      <c r="B771" s="37"/>
      <c r="C771" s="37"/>
      <c r="D771" s="1"/>
      <c r="E771" s="1"/>
      <c r="F771" s="1"/>
      <c r="G771" s="1"/>
      <c r="H771" s="1"/>
      <c r="I771" s="1"/>
      <c r="J771" s="1"/>
    </row>
    <row r="772" ht="15.75" customHeight="1">
      <c r="A772" s="36"/>
      <c r="B772" s="37"/>
      <c r="C772" s="37"/>
      <c r="D772" s="1"/>
      <c r="E772" s="1"/>
      <c r="F772" s="1"/>
      <c r="G772" s="1"/>
      <c r="H772" s="1"/>
      <c r="I772" s="1"/>
      <c r="J772" s="1"/>
    </row>
    <row r="773" ht="15.75" customHeight="1">
      <c r="A773" s="36"/>
      <c r="B773" s="37"/>
      <c r="C773" s="37"/>
      <c r="D773" s="1"/>
      <c r="E773" s="1"/>
      <c r="F773" s="1"/>
      <c r="G773" s="1"/>
      <c r="H773" s="1"/>
      <c r="I773" s="1"/>
      <c r="J773" s="1"/>
    </row>
    <row r="774" ht="15.75" customHeight="1">
      <c r="A774" s="36"/>
      <c r="B774" s="37"/>
      <c r="C774" s="37"/>
      <c r="D774" s="1"/>
      <c r="E774" s="1"/>
      <c r="F774" s="1"/>
      <c r="G774" s="1"/>
      <c r="H774" s="1"/>
      <c r="I774" s="1"/>
      <c r="J774" s="1"/>
    </row>
    <row r="775" ht="15.75" customHeight="1">
      <c r="A775" s="36"/>
      <c r="B775" s="37"/>
      <c r="C775" s="37"/>
      <c r="D775" s="1"/>
      <c r="E775" s="1"/>
      <c r="F775" s="1"/>
      <c r="G775" s="1"/>
      <c r="H775" s="1"/>
      <c r="I775" s="1"/>
      <c r="J775" s="1"/>
    </row>
    <row r="776" ht="15.75" customHeight="1">
      <c r="A776" s="36"/>
      <c r="B776" s="37"/>
      <c r="C776" s="37"/>
      <c r="D776" s="1"/>
      <c r="E776" s="1"/>
      <c r="F776" s="1"/>
      <c r="G776" s="1"/>
      <c r="H776" s="1"/>
      <c r="I776" s="1"/>
      <c r="J776" s="1"/>
    </row>
    <row r="777" ht="15.75" customHeight="1">
      <c r="A777" s="36"/>
      <c r="B777" s="37"/>
      <c r="C777" s="37"/>
      <c r="D777" s="1"/>
      <c r="E777" s="1"/>
      <c r="F777" s="1"/>
      <c r="G777" s="1"/>
      <c r="H777" s="1"/>
      <c r="I777" s="1"/>
      <c r="J777" s="1"/>
    </row>
    <row r="778" ht="15.75" customHeight="1">
      <c r="A778" s="36"/>
      <c r="B778" s="37"/>
      <c r="C778" s="37"/>
      <c r="D778" s="1"/>
      <c r="E778" s="1"/>
      <c r="F778" s="1"/>
      <c r="G778" s="1"/>
      <c r="H778" s="1"/>
      <c r="I778" s="1"/>
      <c r="J778" s="1"/>
    </row>
    <row r="779" ht="15.75" customHeight="1">
      <c r="A779" s="36"/>
      <c r="B779" s="37"/>
      <c r="C779" s="37"/>
      <c r="D779" s="1"/>
      <c r="E779" s="1"/>
      <c r="F779" s="1"/>
      <c r="G779" s="1"/>
      <c r="H779" s="1"/>
      <c r="I779" s="1"/>
      <c r="J779" s="1"/>
    </row>
    <row r="780" ht="15.75" customHeight="1">
      <c r="A780" s="36"/>
      <c r="B780" s="37"/>
      <c r="C780" s="37"/>
      <c r="D780" s="1"/>
      <c r="E780" s="1"/>
      <c r="F780" s="1"/>
      <c r="G780" s="1"/>
      <c r="H780" s="1"/>
      <c r="I780" s="1"/>
      <c r="J780" s="1"/>
    </row>
    <row r="781" ht="15.75" customHeight="1">
      <c r="A781" s="36"/>
      <c r="B781" s="37"/>
      <c r="C781" s="37"/>
      <c r="D781" s="1"/>
      <c r="E781" s="1"/>
      <c r="F781" s="1"/>
      <c r="G781" s="1"/>
      <c r="H781" s="1"/>
      <c r="I781" s="1"/>
      <c r="J781" s="1"/>
    </row>
    <row r="782" ht="15.75" customHeight="1">
      <c r="A782" s="36"/>
      <c r="B782" s="37"/>
      <c r="C782" s="37"/>
      <c r="D782" s="1"/>
      <c r="E782" s="1"/>
      <c r="F782" s="1"/>
      <c r="G782" s="1"/>
      <c r="H782" s="1"/>
      <c r="I782" s="1"/>
      <c r="J782" s="1"/>
    </row>
    <row r="783" ht="15.75" customHeight="1">
      <c r="A783" s="36"/>
      <c r="B783" s="37"/>
      <c r="C783" s="37"/>
      <c r="D783" s="1"/>
      <c r="E783" s="1"/>
      <c r="F783" s="1"/>
      <c r="G783" s="1"/>
      <c r="H783" s="1"/>
      <c r="I783" s="1"/>
      <c r="J783" s="1"/>
    </row>
    <row r="784" ht="15.75" customHeight="1">
      <c r="A784" s="36"/>
      <c r="B784" s="37"/>
      <c r="C784" s="37"/>
      <c r="D784" s="1"/>
      <c r="E784" s="1"/>
      <c r="F784" s="1"/>
      <c r="G784" s="1"/>
      <c r="H784" s="1"/>
      <c r="I784" s="1"/>
      <c r="J784" s="1"/>
    </row>
    <row r="785" ht="15.75" customHeight="1">
      <c r="A785" s="36"/>
      <c r="B785" s="37"/>
      <c r="C785" s="37"/>
      <c r="D785" s="1"/>
      <c r="E785" s="1"/>
      <c r="F785" s="1"/>
      <c r="G785" s="1"/>
      <c r="H785" s="1"/>
      <c r="I785" s="1"/>
      <c r="J785" s="1"/>
    </row>
    <row r="786" ht="15.75" customHeight="1">
      <c r="A786" s="36"/>
      <c r="B786" s="37"/>
      <c r="C786" s="37"/>
      <c r="D786" s="1"/>
      <c r="E786" s="1"/>
      <c r="F786" s="1"/>
      <c r="G786" s="1"/>
      <c r="H786" s="1"/>
      <c r="I786" s="1"/>
      <c r="J786" s="1"/>
    </row>
    <row r="787" ht="15.75" customHeight="1">
      <c r="A787" s="36"/>
      <c r="B787" s="37"/>
      <c r="C787" s="37"/>
      <c r="D787" s="1"/>
      <c r="E787" s="1"/>
      <c r="F787" s="1"/>
      <c r="G787" s="1"/>
      <c r="H787" s="1"/>
      <c r="I787" s="1"/>
      <c r="J787" s="1"/>
    </row>
    <row r="788" ht="15.75" customHeight="1">
      <c r="A788" s="36"/>
      <c r="B788" s="37"/>
      <c r="C788" s="37"/>
      <c r="D788" s="1"/>
      <c r="E788" s="1"/>
      <c r="F788" s="1"/>
      <c r="G788" s="1"/>
      <c r="H788" s="1"/>
      <c r="I788" s="1"/>
      <c r="J788" s="1"/>
    </row>
    <row r="789" ht="15.75" customHeight="1">
      <c r="A789" s="36"/>
      <c r="B789" s="37"/>
      <c r="C789" s="37"/>
      <c r="D789" s="1"/>
      <c r="E789" s="1"/>
      <c r="F789" s="1"/>
      <c r="G789" s="1"/>
      <c r="H789" s="1"/>
      <c r="I789" s="1"/>
      <c r="J789" s="1"/>
    </row>
    <row r="790" ht="15.75" customHeight="1">
      <c r="A790" s="36"/>
      <c r="B790" s="37"/>
      <c r="C790" s="37"/>
      <c r="D790" s="1"/>
      <c r="E790" s="1"/>
      <c r="F790" s="1"/>
      <c r="G790" s="1"/>
      <c r="H790" s="1"/>
      <c r="I790" s="1"/>
      <c r="J790" s="1"/>
    </row>
    <row r="791" ht="15.75" customHeight="1">
      <c r="A791" s="36"/>
      <c r="B791" s="37"/>
      <c r="C791" s="37"/>
      <c r="D791" s="1"/>
      <c r="E791" s="1"/>
      <c r="F791" s="1"/>
      <c r="G791" s="1"/>
      <c r="H791" s="1"/>
      <c r="I791" s="1"/>
      <c r="J791" s="1"/>
    </row>
    <row r="792" ht="15.75" customHeight="1">
      <c r="A792" s="36"/>
      <c r="B792" s="37"/>
      <c r="C792" s="37"/>
      <c r="D792" s="1"/>
      <c r="E792" s="1"/>
      <c r="F792" s="1"/>
      <c r="G792" s="1"/>
      <c r="H792" s="1"/>
      <c r="I792" s="1"/>
      <c r="J792" s="1"/>
    </row>
    <row r="793" ht="15.75" customHeight="1">
      <c r="A793" s="36"/>
      <c r="B793" s="37"/>
      <c r="C793" s="37"/>
      <c r="D793" s="1"/>
      <c r="E793" s="1"/>
      <c r="F793" s="1"/>
      <c r="G793" s="1"/>
      <c r="H793" s="1"/>
      <c r="I793" s="1"/>
      <c r="J793" s="1"/>
    </row>
    <row r="794" ht="15.75" customHeight="1">
      <c r="A794" s="36"/>
      <c r="B794" s="37"/>
      <c r="C794" s="37"/>
      <c r="D794" s="1"/>
      <c r="E794" s="1"/>
      <c r="F794" s="1"/>
      <c r="G794" s="1"/>
      <c r="H794" s="1"/>
      <c r="I794" s="1"/>
      <c r="J794" s="1"/>
    </row>
    <row r="795" ht="15.75" customHeight="1">
      <c r="A795" s="36"/>
      <c r="B795" s="37"/>
      <c r="C795" s="37"/>
      <c r="D795" s="1"/>
      <c r="E795" s="1"/>
      <c r="F795" s="1"/>
      <c r="G795" s="1"/>
      <c r="H795" s="1"/>
      <c r="I795" s="1"/>
      <c r="J795" s="1"/>
    </row>
    <row r="796" ht="15.75" customHeight="1">
      <c r="A796" s="36"/>
      <c r="B796" s="37"/>
      <c r="C796" s="37"/>
      <c r="D796" s="1"/>
      <c r="E796" s="1"/>
      <c r="F796" s="1"/>
      <c r="G796" s="1"/>
      <c r="H796" s="1"/>
      <c r="I796" s="1"/>
      <c r="J796" s="1"/>
    </row>
    <row r="797" ht="15.75" customHeight="1">
      <c r="A797" s="36"/>
      <c r="B797" s="37"/>
      <c r="C797" s="37"/>
      <c r="D797" s="1"/>
      <c r="E797" s="1"/>
      <c r="F797" s="1"/>
      <c r="G797" s="1"/>
      <c r="H797" s="1"/>
      <c r="I797" s="1"/>
      <c r="J797" s="1"/>
    </row>
    <row r="798" ht="15.75" customHeight="1">
      <c r="A798" s="36"/>
      <c r="B798" s="37"/>
      <c r="C798" s="37"/>
      <c r="D798" s="1"/>
      <c r="E798" s="1"/>
      <c r="F798" s="1"/>
      <c r="G798" s="1"/>
      <c r="H798" s="1"/>
      <c r="I798" s="1"/>
      <c r="J798" s="1"/>
    </row>
    <row r="799" ht="15.75" customHeight="1">
      <c r="A799" s="36"/>
      <c r="B799" s="37"/>
      <c r="C799" s="37"/>
      <c r="D799" s="1"/>
      <c r="E799" s="1"/>
      <c r="F799" s="1"/>
      <c r="G799" s="1"/>
      <c r="H799" s="1"/>
      <c r="I799" s="1"/>
      <c r="J799" s="1"/>
    </row>
    <row r="800" ht="15.75" customHeight="1">
      <c r="A800" s="36"/>
      <c r="B800" s="37"/>
      <c r="C800" s="37"/>
      <c r="D800" s="1"/>
      <c r="E800" s="1"/>
      <c r="F800" s="1"/>
      <c r="G800" s="1"/>
      <c r="H800" s="1"/>
      <c r="I800" s="1"/>
      <c r="J800" s="1"/>
    </row>
    <row r="801" ht="15.75" customHeight="1">
      <c r="A801" s="36"/>
      <c r="B801" s="37"/>
      <c r="C801" s="37"/>
      <c r="D801" s="1"/>
      <c r="E801" s="1"/>
      <c r="F801" s="1"/>
      <c r="G801" s="1"/>
      <c r="H801" s="1"/>
      <c r="I801" s="1"/>
      <c r="J801" s="1"/>
    </row>
    <row r="802" ht="15.75" customHeight="1">
      <c r="A802" s="36"/>
      <c r="B802" s="37"/>
      <c r="C802" s="37"/>
      <c r="D802" s="1"/>
      <c r="E802" s="1"/>
      <c r="F802" s="1"/>
      <c r="G802" s="1"/>
      <c r="H802" s="1"/>
      <c r="I802" s="1"/>
      <c r="J802" s="1"/>
    </row>
    <row r="803" ht="15.75" customHeight="1">
      <c r="A803" s="36"/>
      <c r="B803" s="37"/>
      <c r="C803" s="37"/>
      <c r="D803" s="1"/>
      <c r="E803" s="1"/>
      <c r="F803" s="1"/>
      <c r="G803" s="1"/>
      <c r="H803" s="1"/>
      <c r="I803" s="1"/>
      <c r="J803" s="1"/>
    </row>
    <row r="804" ht="15.75" customHeight="1">
      <c r="A804" s="36"/>
      <c r="B804" s="37"/>
      <c r="C804" s="37"/>
      <c r="D804" s="1"/>
      <c r="E804" s="1"/>
      <c r="F804" s="1"/>
      <c r="G804" s="1"/>
      <c r="H804" s="1"/>
      <c r="I804" s="1"/>
      <c r="J804" s="1"/>
    </row>
    <row r="805" ht="15.75" customHeight="1">
      <c r="A805" s="36"/>
      <c r="B805" s="37"/>
      <c r="C805" s="37"/>
      <c r="D805" s="1"/>
      <c r="E805" s="1"/>
      <c r="F805" s="1"/>
      <c r="G805" s="1"/>
      <c r="H805" s="1"/>
      <c r="I805" s="1"/>
      <c r="J805" s="1"/>
    </row>
    <row r="806" ht="15.75" customHeight="1">
      <c r="A806" s="36"/>
      <c r="B806" s="37"/>
      <c r="C806" s="37"/>
      <c r="D806" s="1"/>
      <c r="E806" s="1"/>
      <c r="F806" s="1"/>
      <c r="G806" s="1"/>
      <c r="H806" s="1"/>
      <c r="I806" s="1"/>
      <c r="J806" s="1"/>
    </row>
    <row r="807" ht="15.75" customHeight="1">
      <c r="A807" s="36"/>
      <c r="B807" s="37"/>
      <c r="C807" s="37"/>
      <c r="D807" s="1"/>
      <c r="E807" s="1"/>
      <c r="F807" s="1"/>
      <c r="G807" s="1"/>
      <c r="H807" s="1"/>
      <c r="I807" s="1"/>
      <c r="J807" s="1"/>
    </row>
    <row r="808" ht="15.75" customHeight="1">
      <c r="A808" s="36"/>
      <c r="B808" s="37"/>
      <c r="C808" s="37"/>
      <c r="D808" s="1"/>
      <c r="E808" s="1"/>
      <c r="F808" s="1"/>
      <c r="G808" s="1"/>
      <c r="H808" s="1"/>
      <c r="I808" s="1"/>
      <c r="J808" s="1"/>
    </row>
    <row r="809" ht="15.75" customHeight="1">
      <c r="A809" s="36"/>
      <c r="B809" s="37"/>
      <c r="C809" s="37"/>
      <c r="D809" s="1"/>
      <c r="E809" s="1"/>
      <c r="F809" s="1"/>
      <c r="G809" s="1"/>
      <c r="H809" s="1"/>
      <c r="I809" s="1"/>
      <c r="J809" s="1"/>
    </row>
    <row r="810" ht="15.75" customHeight="1">
      <c r="A810" s="36"/>
      <c r="B810" s="37"/>
      <c r="C810" s="37"/>
      <c r="D810" s="1"/>
      <c r="E810" s="1"/>
      <c r="F810" s="1"/>
      <c r="G810" s="1"/>
      <c r="H810" s="1"/>
      <c r="I810" s="1"/>
      <c r="J810" s="1"/>
    </row>
    <row r="811" ht="15.75" customHeight="1">
      <c r="A811" s="36"/>
      <c r="B811" s="37"/>
      <c r="C811" s="37"/>
      <c r="D811" s="1"/>
      <c r="E811" s="1"/>
      <c r="F811" s="1"/>
      <c r="G811" s="1"/>
      <c r="H811" s="1"/>
      <c r="I811" s="1"/>
      <c r="J811" s="1"/>
    </row>
    <row r="812" ht="15.75" customHeight="1">
      <c r="A812" s="36"/>
      <c r="B812" s="37"/>
      <c r="C812" s="37"/>
      <c r="D812" s="1"/>
      <c r="E812" s="1"/>
      <c r="F812" s="1"/>
      <c r="G812" s="1"/>
      <c r="H812" s="1"/>
      <c r="I812" s="1"/>
      <c r="J812" s="1"/>
    </row>
    <row r="813" ht="15.75" customHeight="1">
      <c r="A813" s="36"/>
      <c r="B813" s="37"/>
      <c r="C813" s="37"/>
      <c r="D813" s="1"/>
      <c r="E813" s="1"/>
      <c r="F813" s="1"/>
      <c r="G813" s="1"/>
      <c r="H813" s="1"/>
      <c r="I813" s="1"/>
      <c r="J813" s="1"/>
    </row>
    <row r="814" ht="15.75" customHeight="1">
      <c r="A814" s="36"/>
      <c r="B814" s="37"/>
      <c r="C814" s="37"/>
      <c r="D814" s="1"/>
      <c r="E814" s="1"/>
      <c r="F814" s="1"/>
      <c r="G814" s="1"/>
      <c r="H814" s="1"/>
      <c r="I814" s="1"/>
      <c r="J814" s="1"/>
    </row>
    <row r="815" ht="15.75" customHeight="1">
      <c r="A815" s="36"/>
      <c r="B815" s="37"/>
      <c r="C815" s="37"/>
      <c r="D815" s="1"/>
      <c r="E815" s="1"/>
      <c r="F815" s="1"/>
      <c r="G815" s="1"/>
      <c r="H815" s="1"/>
      <c r="I815" s="1"/>
      <c r="J815" s="1"/>
    </row>
    <row r="816" ht="15.75" customHeight="1">
      <c r="A816" s="36"/>
      <c r="B816" s="37"/>
      <c r="C816" s="37"/>
      <c r="D816" s="1"/>
      <c r="E816" s="1"/>
      <c r="F816" s="1"/>
      <c r="G816" s="1"/>
      <c r="H816" s="1"/>
      <c r="I816" s="1"/>
      <c r="J816" s="1"/>
    </row>
    <row r="817" ht="15.75" customHeight="1">
      <c r="A817" s="36"/>
      <c r="B817" s="37"/>
      <c r="C817" s="37"/>
      <c r="D817" s="1"/>
      <c r="E817" s="1"/>
      <c r="F817" s="1"/>
      <c r="G817" s="1"/>
      <c r="H817" s="1"/>
      <c r="I817" s="1"/>
      <c r="J817" s="1"/>
    </row>
    <row r="818" ht="15.75" customHeight="1">
      <c r="A818" s="36"/>
      <c r="B818" s="37"/>
      <c r="C818" s="37"/>
      <c r="D818" s="1"/>
      <c r="E818" s="1"/>
      <c r="F818" s="1"/>
      <c r="G818" s="1"/>
      <c r="H818" s="1"/>
      <c r="I818" s="1"/>
      <c r="J818" s="1"/>
    </row>
    <row r="819" ht="15.75" customHeight="1">
      <c r="A819" s="36"/>
      <c r="B819" s="37"/>
      <c r="C819" s="37"/>
      <c r="D819" s="1"/>
      <c r="E819" s="1"/>
      <c r="F819" s="1"/>
      <c r="G819" s="1"/>
      <c r="H819" s="1"/>
      <c r="I819" s="1"/>
      <c r="J819" s="1"/>
    </row>
    <row r="820" ht="15.75" customHeight="1">
      <c r="A820" s="36"/>
      <c r="B820" s="37"/>
      <c r="C820" s="37"/>
      <c r="D820" s="1"/>
      <c r="E820" s="1"/>
      <c r="F820" s="1"/>
      <c r="G820" s="1"/>
      <c r="H820" s="1"/>
      <c r="I820" s="1"/>
      <c r="J820" s="1"/>
    </row>
    <row r="821" ht="15.75" customHeight="1">
      <c r="A821" s="36"/>
      <c r="B821" s="37"/>
      <c r="C821" s="37"/>
      <c r="D821" s="1"/>
      <c r="E821" s="1"/>
      <c r="F821" s="1"/>
      <c r="G821" s="1"/>
      <c r="H821" s="1"/>
      <c r="I821" s="1"/>
      <c r="J821" s="1"/>
    </row>
    <row r="822" ht="15.75" customHeight="1">
      <c r="A822" s="36"/>
      <c r="B822" s="37"/>
      <c r="C822" s="37"/>
      <c r="D822" s="1"/>
      <c r="E822" s="1"/>
      <c r="F822" s="1"/>
      <c r="G822" s="1"/>
      <c r="H822" s="1"/>
      <c r="I822" s="1"/>
      <c r="J822" s="1"/>
    </row>
    <row r="823" ht="15.75" customHeight="1">
      <c r="A823" s="36"/>
      <c r="B823" s="37"/>
      <c r="C823" s="37"/>
      <c r="D823" s="1"/>
      <c r="E823" s="1"/>
      <c r="F823" s="1"/>
      <c r="G823" s="1"/>
      <c r="H823" s="1"/>
      <c r="I823" s="1"/>
      <c r="J823" s="1"/>
    </row>
    <row r="824" ht="15.75" customHeight="1">
      <c r="A824" s="36"/>
      <c r="B824" s="37"/>
      <c r="C824" s="37"/>
      <c r="D824" s="1"/>
      <c r="E824" s="1"/>
      <c r="F824" s="1"/>
      <c r="G824" s="1"/>
      <c r="H824" s="1"/>
      <c r="I824" s="1"/>
      <c r="J824" s="1"/>
    </row>
    <row r="825" ht="15.75" customHeight="1">
      <c r="A825" s="36"/>
      <c r="B825" s="37"/>
      <c r="C825" s="37"/>
      <c r="D825" s="1"/>
      <c r="E825" s="1"/>
      <c r="F825" s="1"/>
      <c r="G825" s="1"/>
      <c r="H825" s="1"/>
      <c r="I825" s="1"/>
      <c r="J825" s="1"/>
    </row>
    <row r="826" ht="15.75" customHeight="1">
      <c r="A826" s="36"/>
      <c r="B826" s="37"/>
      <c r="C826" s="37"/>
      <c r="D826" s="1"/>
      <c r="E826" s="1"/>
      <c r="F826" s="1"/>
      <c r="G826" s="1"/>
      <c r="H826" s="1"/>
      <c r="I826" s="1"/>
      <c r="J826" s="1"/>
    </row>
    <row r="827" ht="15.75" customHeight="1">
      <c r="A827" s="36"/>
      <c r="B827" s="37"/>
      <c r="C827" s="37"/>
      <c r="D827" s="1"/>
      <c r="E827" s="1"/>
      <c r="F827" s="1"/>
      <c r="G827" s="1"/>
      <c r="H827" s="1"/>
      <c r="I827" s="1"/>
      <c r="J827" s="1"/>
    </row>
    <row r="828" ht="15.75" customHeight="1">
      <c r="A828" s="36"/>
      <c r="B828" s="37"/>
      <c r="C828" s="37"/>
      <c r="D828" s="1"/>
      <c r="E828" s="1"/>
      <c r="F828" s="1"/>
      <c r="G828" s="1"/>
      <c r="H828" s="1"/>
      <c r="I828" s="1"/>
      <c r="J828" s="1"/>
    </row>
    <row r="829" ht="15.75" customHeight="1">
      <c r="A829" s="36"/>
      <c r="B829" s="37"/>
      <c r="C829" s="37"/>
      <c r="D829" s="1"/>
      <c r="E829" s="1"/>
      <c r="F829" s="1"/>
      <c r="G829" s="1"/>
      <c r="H829" s="1"/>
      <c r="I829" s="1"/>
      <c r="J829" s="1"/>
    </row>
    <row r="830" ht="15.75" customHeight="1">
      <c r="A830" s="36"/>
      <c r="B830" s="37"/>
      <c r="C830" s="37"/>
      <c r="D830" s="1"/>
      <c r="E830" s="1"/>
      <c r="F830" s="1"/>
      <c r="G830" s="1"/>
      <c r="H830" s="1"/>
      <c r="I830" s="1"/>
      <c r="J830" s="1"/>
    </row>
    <row r="831" ht="15.75" customHeight="1">
      <c r="A831" s="36"/>
      <c r="B831" s="37"/>
      <c r="C831" s="37"/>
      <c r="D831" s="1"/>
      <c r="E831" s="1"/>
      <c r="F831" s="1"/>
      <c r="G831" s="1"/>
      <c r="H831" s="1"/>
      <c r="I831" s="1"/>
      <c r="J831" s="1"/>
    </row>
    <row r="832" ht="15.75" customHeight="1">
      <c r="A832" s="36"/>
      <c r="B832" s="37"/>
      <c r="C832" s="37"/>
      <c r="D832" s="1"/>
      <c r="E832" s="1"/>
      <c r="F832" s="1"/>
      <c r="G832" s="1"/>
      <c r="H832" s="1"/>
      <c r="I832" s="1"/>
      <c r="J832" s="1"/>
    </row>
    <row r="833" ht="15.75" customHeight="1">
      <c r="A833" s="36"/>
      <c r="B833" s="37"/>
      <c r="C833" s="37"/>
      <c r="D833" s="1"/>
      <c r="E833" s="1"/>
      <c r="F833" s="1"/>
      <c r="G833" s="1"/>
      <c r="H833" s="1"/>
      <c r="I833" s="1"/>
      <c r="J833" s="1"/>
    </row>
    <row r="834" ht="15.75" customHeight="1">
      <c r="A834" s="36"/>
      <c r="B834" s="37"/>
      <c r="C834" s="37"/>
      <c r="D834" s="1"/>
      <c r="E834" s="1"/>
      <c r="F834" s="1"/>
      <c r="G834" s="1"/>
      <c r="H834" s="1"/>
      <c r="I834" s="1"/>
      <c r="J834" s="1"/>
    </row>
    <row r="835" ht="15.75" customHeight="1">
      <c r="A835" s="36"/>
      <c r="B835" s="37"/>
      <c r="C835" s="37"/>
      <c r="D835" s="1"/>
      <c r="E835" s="1"/>
      <c r="F835" s="1"/>
      <c r="G835" s="1"/>
      <c r="H835" s="1"/>
      <c r="I835" s="1"/>
      <c r="J835" s="1"/>
    </row>
    <row r="836" ht="15.75" customHeight="1">
      <c r="A836" s="36"/>
      <c r="B836" s="37"/>
      <c r="C836" s="37"/>
      <c r="D836" s="1"/>
      <c r="E836" s="1"/>
      <c r="F836" s="1"/>
      <c r="G836" s="1"/>
      <c r="H836" s="1"/>
      <c r="I836" s="1"/>
      <c r="J836" s="1"/>
    </row>
    <row r="837" ht="15.75" customHeight="1">
      <c r="A837" s="36"/>
      <c r="B837" s="37"/>
      <c r="C837" s="37"/>
      <c r="D837" s="1"/>
      <c r="E837" s="1"/>
      <c r="F837" s="1"/>
      <c r="G837" s="1"/>
      <c r="H837" s="1"/>
      <c r="I837" s="1"/>
      <c r="J837" s="1"/>
    </row>
    <row r="838" ht="15.75" customHeight="1">
      <c r="A838" s="36"/>
      <c r="B838" s="37"/>
      <c r="C838" s="37"/>
      <c r="D838" s="1"/>
      <c r="E838" s="1"/>
      <c r="F838" s="1"/>
      <c r="G838" s="1"/>
      <c r="H838" s="1"/>
      <c r="I838" s="1"/>
      <c r="J838" s="1"/>
    </row>
    <row r="839" ht="15.75" customHeight="1">
      <c r="A839" s="36"/>
      <c r="B839" s="37"/>
      <c r="C839" s="37"/>
      <c r="D839" s="1"/>
      <c r="E839" s="1"/>
      <c r="F839" s="1"/>
      <c r="G839" s="1"/>
      <c r="H839" s="1"/>
      <c r="I839" s="1"/>
      <c r="J839" s="1"/>
    </row>
    <row r="840" ht="15.75" customHeight="1">
      <c r="A840" s="36"/>
      <c r="B840" s="37"/>
      <c r="C840" s="37"/>
      <c r="D840" s="1"/>
      <c r="E840" s="1"/>
      <c r="F840" s="1"/>
      <c r="G840" s="1"/>
      <c r="H840" s="1"/>
      <c r="I840" s="1"/>
      <c r="J840" s="1"/>
    </row>
    <row r="841" ht="15.75" customHeight="1">
      <c r="A841" s="36"/>
      <c r="B841" s="37"/>
      <c r="C841" s="37"/>
      <c r="D841" s="1"/>
      <c r="E841" s="1"/>
      <c r="F841" s="1"/>
      <c r="G841" s="1"/>
      <c r="H841" s="1"/>
      <c r="I841" s="1"/>
      <c r="J841" s="1"/>
    </row>
    <row r="842" ht="15.75" customHeight="1">
      <c r="A842" s="36"/>
      <c r="B842" s="37"/>
      <c r="C842" s="37"/>
      <c r="D842" s="1"/>
      <c r="E842" s="1"/>
      <c r="F842" s="1"/>
      <c r="G842" s="1"/>
      <c r="H842" s="1"/>
      <c r="I842" s="1"/>
      <c r="J842" s="1"/>
    </row>
    <row r="843" ht="15.75" customHeight="1">
      <c r="A843" s="36"/>
      <c r="B843" s="37"/>
      <c r="C843" s="37"/>
      <c r="D843" s="1"/>
      <c r="E843" s="1"/>
      <c r="F843" s="1"/>
      <c r="G843" s="1"/>
      <c r="H843" s="1"/>
      <c r="I843" s="1"/>
      <c r="J843" s="1"/>
    </row>
    <row r="844" ht="15.75" customHeight="1">
      <c r="A844" s="36"/>
      <c r="B844" s="37"/>
      <c r="C844" s="37"/>
      <c r="D844" s="1"/>
      <c r="E844" s="1"/>
      <c r="F844" s="1"/>
      <c r="G844" s="1"/>
      <c r="H844" s="1"/>
      <c r="I844" s="1"/>
      <c r="J844" s="1"/>
    </row>
    <row r="845" ht="15.75" customHeight="1">
      <c r="A845" s="36"/>
      <c r="B845" s="37"/>
      <c r="C845" s="37"/>
      <c r="D845" s="1"/>
      <c r="E845" s="1"/>
      <c r="F845" s="1"/>
      <c r="G845" s="1"/>
      <c r="H845" s="1"/>
      <c r="I845" s="1"/>
      <c r="J845" s="1"/>
    </row>
    <row r="846" ht="15.75" customHeight="1">
      <c r="A846" s="36"/>
      <c r="B846" s="37"/>
      <c r="C846" s="37"/>
      <c r="D846" s="1"/>
      <c r="E846" s="1"/>
      <c r="F846" s="1"/>
      <c r="G846" s="1"/>
      <c r="H846" s="1"/>
      <c r="I846" s="1"/>
      <c r="J846" s="1"/>
    </row>
    <row r="847" ht="15.75" customHeight="1">
      <c r="A847" s="36"/>
      <c r="B847" s="37"/>
      <c r="C847" s="37"/>
      <c r="D847" s="1"/>
      <c r="E847" s="1"/>
      <c r="F847" s="1"/>
      <c r="G847" s="1"/>
      <c r="H847" s="1"/>
      <c r="I847" s="1"/>
      <c r="J847" s="1"/>
    </row>
    <row r="848" ht="15.75" customHeight="1">
      <c r="A848" s="36"/>
      <c r="B848" s="37"/>
      <c r="C848" s="37"/>
      <c r="D848" s="1"/>
      <c r="E848" s="1"/>
      <c r="F848" s="1"/>
      <c r="G848" s="1"/>
      <c r="H848" s="1"/>
      <c r="I848" s="1"/>
      <c r="J848" s="1"/>
    </row>
    <row r="849" ht="15.75" customHeight="1">
      <c r="A849" s="36"/>
      <c r="B849" s="37"/>
      <c r="C849" s="37"/>
      <c r="D849" s="1"/>
      <c r="E849" s="1"/>
      <c r="F849" s="1"/>
      <c r="G849" s="1"/>
      <c r="H849" s="1"/>
      <c r="I849" s="1"/>
      <c r="J849" s="1"/>
    </row>
    <row r="850" ht="15.75" customHeight="1">
      <c r="A850" s="36"/>
      <c r="B850" s="37"/>
      <c r="C850" s="37"/>
      <c r="D850" s="1"/>
      <c r="E850" s="1"/>
      <c r="F850" s="1"/>
      <c r="G850" s="1"/>
      <c r="H850" s="1"/>
      <c r="I850" s="1"/>
      <c r="J850" s="1"/>
    </row>
    <row r="851" ht="15.75" customHeight="1">
      <c r="A851" s="36"/>
      <c r="B851" s="37"/>
      <c r="C851" s="37"/>
      <c r="D851" s="1"/>
      <c r="E851" s="1"/>
      <c r="F851" s="1"/>
      <c r="G851" s="1"/>
      <c r="H851" s="1"/>
      <c r="I851" s="1"/>
      <c r="J851" s="1"/>
    </row>
    <row r="852" ht="15.75" customHeight="1">
      <c r="A852" s="36"/>
      <c r="B852" s="37"/>
      <c r="C852" s="37"/>
      <c r="D852" s="1"/>
      <c r="E852" s="1"/>
      <c r="F852" s="1"/>
      <c r="G852" s="1"/>
      <c r="H852" s="1"/>
      <c r="I852" s="1"/>
      <c r="J852" s="1"/>
    </row>
    <row r="853" ht="15.75" customHeight="1">
      <c r="A853" s="36"/>
      <c r="B853" s="37"/>
      <c r="C853" s="37"/>
      <c r="D853" s="1"/>
      <c r="E853" s="1"/>
      <c r="F853" s="1"/>
      <c r="G853" s="1"/>
      <c r="H853" s="1"/>
      <c r="I853" s="1"/>
      <c r="J853" s="1"/>
    </row>
    <row r="854" ht="15.75" customHeight="1">
      <c r="A854" s="36"/>
      <c r="B854" s="37"/>
      <c r="C854" s="37"/>
      <c r="D854" s="1"/>
      <c r="E854" s="1"/>
      <c r="F854" s="1"/>
      <c r="G854" s="1"/>
      <c r="H854" s="1"/>
      <c r="I854" s="1"/>
      <c r="J854" s="1"/>
    </row>
    <row r="855" ht="15.75" customHeight="1">
      <c r="A855" s="36"/>
      <c r="B855" s="37"/>
      <c r="C855" s="37"/>
      <c r="D855" s="1"/>
      <c r="E855" s="1"/>
      <c r="F855" s="1"/>
      <c r="G855" s="1"/>
      <c r="H855" s="1"/>
      <c r="I855" s="1"/>
      <c r="J855" s="1"/>
    </row>
    <row r="856" ht="15.75" customHeight="1">
      <c r="A856" s="36"/>
      <c r="B856" s="37"/>
      <c r="C856" s="37"/>
      <c r="D856" s="1"/>
      <c r="E856" s="1"/>
      <c r="F856" s="1"/>
      <c r="G856" s="1"/>
      <c r="H856" s="1"/>
      <c r="I856" s="1"/>
      <c r="J856" s="1"/>
    </row>
    <row r="857" ht="15.75" customHeight="1">
      <c r="A857" s="36"/>
      <c r="B857" s="37"/>
      <c r="C857" s="37"/>
      <c r="D857" s="1"/>
      <c r="E857" s="1"/>
      <c r="F857" s="1"/>
      <c r="G857" s="1"/>
      <c r="H857" s="1"/>
      <c r="I857" s="1"/>
      <c r="J857" s="1"/>
    </row>
    <row r="858" ht="15.75" customHeight="1">
      <c r="A858" s="36"/>
      <c r="B858" s="37"/>
      <c r="C858" s="37"/>
      <c r="D858" s="1"/>
      <c r="E858" s="1"/>
      <c r="F858" s="1"/>
      <c r="G858" s="1"/>
      <c r="H858" s="1"/>
      <c r="I858" s="1"/>
      <c r="J858" s="1"/>
    </row>
    <row r="859" ht="15.75" customHeight="1">
      <c r="A859" s="36"/>
      <c r="B859" s="37"/>
      <c r="C859" s="37"/>
      <c r="D859" s="1"/>
      <c r="E859" s="1"/>
      <c r="F859" s="1"/>
      <c r="G859" s="1"/>
      <c r="H859" s="1"/>
      <c r="I859" s="1"/>
      <c r="J859" s="1"/>
    </row>
    <row r="860" ht="15.75" customHeight="1">
      <c r="A860" s="36"/>
      <c r="B860" s="37"/>
      <c r="C860" s="37"/>
      <c r="D860" s="1"/>
      <c r="E860" s="1"/>
      <c r="F860" s="1"/>
      <c r="G860" s="1"/>
      <c r="H860" s="1"/>
      <c r="I860" s="1"/>
      <c r="J860" s="1"/>
    </row>
    <row r="861" ht="15.75" customHeight="1">
      <c r="A861" s="36"/>
      <c r="B861" s="37"/>
      <c r="C861" s="37"/>
      <c r="D861" s="1"/>
      <c r="E861" s="1"/>
      <c r="F861" s="1"/>
      <c r="G861" s="1"/>
      <c r="H861" s="1"/>
      <c r="I861" s="1"/>
      <c r="J861" s="1"/>
    </row>
    <row r="862" ht="15.75" customHeight="1">
      <c r="A862" s="36"/>
      <c r="B862" s="37"/>
      <c r="C862" s="37"/>
      <c r="D862" s="1"/>
      <c r="E862" s="1"/>
      <c r="F862" s="1"/>
      <c r="G862" s="1"/>
      <c r="H862" s="1"/>
      <c r="I862" s="1"/>
      <c r="J862" s="1"/>
    </row>
    <row r="863" ht="15.75" customHeight="1">
      <c r="A863" s="36"/>
      <c r="B863" s="37"/>
      <c r="C863" s="37"/>
      <c r="D863" s="1"/>
      <c r="E863" s="1"/>
      <c r="F863" s="1"/>
      <c r="G863" s="1"/>
      <c r="H863" s="1"/>
      <c r="I863" s="1"/>
      <c r="J863" s="1"/>
    </row>
    <row r="864" ht="15.75" customHeight="1">
      <c r="A864" s="36"/>
      <c r="B864" s="37"/>
      <c r="C864" s="37"/>
      <c r="D864" s="1"/>
      <c r="E864" s="1"/>
      <c r="F864" s="1"/>
      <c r="G864" s="1"/>
      <c r="H864" s="1"/>
      <c r="I864" s="1"/>
      <c r="J864" s="1"/>
    </row>
    <row r="865" ht="15.75" customHeight="1">
      <c r="A865" s="36"/>
      <c r="B865" s="37"/>
      <c r="C865" s="37"/>
      <c r="D865" s="1"/>
      <c r="E865" s="1"/>
      <c r="F865" s="1"/>
      <c r="G865" s="1"/>
      <c r="H865" s="1"/>
      <c r="I865" s="1"/>
      <c r="J865" s="1"/>
    </row>
    <row r="866" ht="15.75" customHeight="1">
      <c r="A866" s="36"/>
      <c r="B866" s="37"/>
      <c r="C866" s="37"/>
      <c r="D866" s="1"/>
      <c r="E866" s="1"/>
      <c r="F866" s="1"/>
      <c r="G866" s="1"/>
      <c r="H866" s="1"/>
      <c r="I866" s="1"/>
      <c r="J866" s="1"/>
    </row>
    <row r="867" ht="15.75" customHeight="1">
      <c r="A867" s="36"/>
      <c r="B867" s="37"/>
      <c r="C867" s="37"/>
      <c r="D867" s="1"/>
      <c r="E867" s="1"/>
      <c r="F867" s="1"/>
      <c r="G867" s="1"/>
      <c r="H867" s="1"/>
      <c r="I867" s="1"/>
      <c r="J867" s="1"/>
    </row>
    <row r="868" ht="15.75" customHeight="1">
      <c r="A868" s="36"/>
      <c r="B868" s="37"/>
      <c r="C868" s="37"/>
      <c r="D868" s="1"/>
      <c r="E868" s="1"/>
      <c r="F868" s="1"/>
      <c r="G868" s="1"/>
      <c r="H868" s="1"/>
      <c r="I868" s="1"/>
      <c r="J868" s="1"/>
    </row>
    <row r="869" ht="15.75" customHeight="1">
      <c r="A869" s="36"/>
      <c r="B869" s="37"/>
      <c r="C869" s="37"/>
      <c r="D869" s="1"/>
      <c r="E869" s="1"/>
      <c r="F869" s="1"/>
      <c r="G869" s="1"/>
      <c r="H869" s="1"/>
      <c r="I869" s="1"/>
      <c r="J869" s="1"/>
    </row>
    <row r="870" ht="15.75" customHeight="1">
      <c r="A870" s="36"/>
      <c r="B870" s="37"/>
      <c r="C870" s="37"/>
      <c r="D870" s="1"/>
      <c r="E870" s="1"/>
      <c r="F870" s="1"/>
      <c r="G870" s="1"/>
      <c r="H870" s="1"/>
      <c r="I870" s="1"/>
      <c r="J870" s="1"/>
    </row>
    <row r="871" ht="15.75" customHeight="1">
      <c r="A871" s="36"/>
      <c r="B871" s="37"/>
      <c r="C871" s="37"/>
      <c r="D871" s="1"/>
      <c r="E871" s="1"/>
      <c r="F871" s="1"/>
      <c r="G871" s="1"/>
      <c r="H871" s="1"/>
      <c r="I871" s="1"/>
      <c r="J871" s="1"/>
    </row>
    <row r="872" ht="15.75" customHeight="1">
      <c r="A872" s="36"/>
      <c r="B872" s="37"/>
      <c r="C872" s="37"/>
      <c r="D872" s="1"/>
      <c r="E872" s="1"/>
      <c r="F872" s="1"/>
      <c r="G872" s="1"/>
      <c r="H872" s="1"/>
      <c r="I872" s="1"/>
      <c r="J872" s="1"/>
    </row>
    <row r="873" ht="15.75" customHeight="1">
      <c r="A873" s="36"/>
      <c r="B873" s="37"/>
      <c r="C873" s="37"/>
      <c r="D873" s="1"/>
      <c r="E873" s="1"/>
      <c r="F873" s="1"/>
      <c r="G873" s="1"/>
      <c r="H873" s="1"/>
      <c r="I873" s="1"/>
      <c r="J873" s="1"/>
    </row>
    <row r="874" ht="15.75" customHeight="1">
      <c r="A874" s="36"/>
      <c r="B874" s="37"/>
      <c r="C874" s="37"/>
      <c r="D874" s="1"/>
      <c r="E874" s="1"/>
      <c r="F874" s="1"/>
      <c r="G874" s="1"/>
      <c r="H874" s="1"/>
      <c r="I874" s="1"/>
      <c r="J874" s="1"/>
    </row>
    <row r="875" ht="15.75" customHeight="1">
      <c r="A875" s="36"/>
      <c r="B875" s="37"/>
      <c r="C875" s="37"/>
      <c r="D875" s="1"/>
      <c r="E875" s="1"/>
      <c r="F875" s="1"/>
      <c r="G875" s="1"/>
      <c r="H875" s="1"/>
      <c r="I875" s="1"/>
      <c r="J875" s="1"/>
    </row>
    <row r="876" ht="15.75" customHeight="1">
      <c r="A876" s="36"/>
      <c r="B876" s="37"/>
      <c r="C876" s="37"/>
      <c r="D876" s="1"/>
      <c r="E876" s="1"/>
      <c r="F876" s="1"/>
      <c r="G876" s="1"/>
      <c r="H876" s="1"/>
      <c r="I876" s="1"/>
      <c r="J876" s="1"/>
    </row>
    <row r="877" ht="15.75" customHeight="1">
      <c r="A877" s="36"/>
      <c r="B877" s="37"/>
      <c r="C877" s="37"/>
      <c r="D877" s="1"/>
      <c r="E877" s="1"/>
      <c r="F877" s="1"/>
      <c r="G877" s="1"/>
      <c r="H877" s="1"/>
      <c r="I877" s="1"/>
      <c r="J877" s="1"/>
    </row>
    <row r="878" ht="15.75" customHeight="1">
      <c r="A878" s="36"/>
      <c r="B878" s="37"/>
      <c r="C878" s="37"/>
      <c r="D878" s="1"/>
      <c r="E878" s="1"/>
      <c r="F878" s="1"/>
      <c r="G878" s="1"/>
      <c r="H878" s="1"/>
      <c r="I878" s="1"/>
      <c r="J878" s="1"/>
    </row>
    <row r="879" ht="15.75" customHeight="1">
      <c r="A879" s="36"/>
      <c r="B879" s="37"/>
      <c r="C879" s="37"/>
      <c r="D879" s="1"/>
      <c r="E879" s="1"/>
      <c r="F879" s="1"/>
      <c r="G879" s="1"/>
      <c r="H879" s="1"/>
      <c r="I879" s="1"/>
      <c r="J879" s="1"/>
    </row>
    <row r="880" ht="15.75" customHeight="1">
      <c r="A880" s="36"/>
      <c r="B880" s="37"/>
      <c r="C880" s="37"/>
      <c r="D880" s="1"/>
      <c r="E880" s="1"/>
      <c r="F880" s="1"/>
      <c r="G880" s="1"/>
      <c r="H880" s="1"/>
      <c r="I880" s="1"/>
      <c r="J880" s="1"/>
    </row>
    <row r="881" ht="15.75" customHeight="1">
      <c r="A881" s="36"/>
      <c r="B881" s="37"/>
      <c r="C881" s="37"/>
      <c r="D881" s="1"/>
      <c r="E881" s="1"/>
      <c r="F881" s="1"/>
      <c r="G881" s="1"/>
      <c r="H881" s="1"/>
      <c r="I881" s="1"/>
      <c r="J881" s="1"/>
    </row>
    <row r="882" ht="15.75" customHeight="1">
      <c r="A882" s="36"/>
      <c r="B882" s="37"/>
      <c r="C882" s="37"/>
      <c r="D882" s="1"/>
      <c r="E882" s="1"/>
      <c r="F882" s="1"/>
      <c r="G882" s="1"/>
      <c r="H882" s="1"/>
      <c r="I882" s="1"/>
      <c r="J882" s="1"/>
    </row>
    <row r="883" ht="15.75" customHeight="1">
      <c r="A883" s="36"/>
      <c r="B883" s="37"/>
      <c r="C883" s="37"/>
      <c r="D883" s="1"/>
      <c r="E883" s="1"/>
      <c r="F883" s="1"/>
      <c r="G883" s="1"/>
      <c r="H883" s="1"/>
      <c r="I883" s="1"/>
      <c r="J883" s="1"/>
    </row>
    <row r="884" ht="15.75" customHeight="1">
      <c r="A884" s="36"/>
      <c r="B884" s="37"/>
      <c r="C884" s="37"/>
      <c r="D884" s="1"/>
      <c r="E884" s="1"/>
      <c r="F884" s="1"/>
      <c r="G884" s="1"/>
      <c r="H884" s="1"/>
      <c r="I884" s="1"/>
      <c r="J884" s="1"/>
    </row>
    <row r="885" ht="15.75" customHeight="1">
      <c r="A885" s="36"/>
      <c r="B885" s="37"/>
      <c r="C885" s="37"/>
      <c r="D885" s="1"/>
      <c r="E885" s="1"/>
      <c r="F885" s="1"/>
      <c r="G885" s="1"/>
      <c r="H885" s="1"/>
      <c r="I885" s="1"/>
      <c r="J885" s="1"/>
    </row>
    <row r="886" ht="15.75" customHeight="1">
      <c r="A886" s="36"/>
      <c r="B886" s="37"/>
      <c r="C886" s="37"/>
      <c r="D886" s="1"/>
      <c r="E886" s="1"/>
      <c r="F886" s="1"/>
      <c r="G886" s="1"/>
      <c r="H886" s="1"/>
      <c r="I886" s="1"/>
      <c r="J886" s="1"/>
    </row>
    <row r="887" ht="15.75" customHeight="1">
      <c r="A887" s="36"/>
      <c r="B887" s="37"/>
      <c r="C887" s="37"/>
      <c r="D887" s="1"/>
      <c r="E887" s="1"/>
      <c r="F887" s="1"/>
      <c r="G887" s="1"/>
      <c r="H887" s="1"/>
      <c r="I887" s="1"/>
      <c r="J887" s="1"/>
    </row>
    <row r="888" ht="15.75" customHeight="1">
      <c r="A888" s="36"/>
      <c r="B888" s="37"/>
      <c r="C888" s="37"/>
      <c r="D888" s="1"/>
      <c r="E888" s="1"/>
      <c r="F888" s="1"/>
      <c r="G888" s="1"/>
      <c r="H888" s="1"/>
      <c r="I888" s="1"/>
      <c r="J888" s="1"/>
    </row>
    <row r="889" ht="15.75" customHeight="1">
      <c r="A889" s="36"/>
      <c r="B889" s="37"/>
      <c r="C889" s="37"/>
      <c r="D889" s="1"/>
      <c r="E889" s="1"/>
      <c r="F889" s="1"/>
      <c r="G889" s="1"/>
      <c r="H889" s="1"/>
      <c r="I889" s="1"/>
      <c r="J889" s="1"/>
    </row>
    <row r="890" ht="15.75" customHeight="1">
      <c r="A890" s="36"/>
      <c r="B890" s="37"/>
      <c r="C890" s="37"/>
      <c r="D890" s="1"/>
      <c r="E890" s="1"/>
      <c r="F890" s="1"/>
      <c r="G890" s="1"/>
      <c r="H890" s="1"/>
      <c r="I890" s="1"/>
      <c r="J890" s="1"/>
    </row>
    <row r="891" ht="15.75" customHeight="1">
      <c r="A891" s="36"/>
      <c r="B891" s="37"/>
      <c r="C891" s="37"/>
      <c r="D891" s="1"/>
      <c r="E891" s="1"/>
      <c r="F891" s="1"/>
      <c r="G891" s="1"/>
      <c r="H891" s="1"/>
      <c r="I891" s="1"/>
      <c r="J891" s="1"/>
    </row>
    <row r="892" ht="15.75" customHeight="1">
      <c r="A892" s="36"/>
      <c r="B892" s="37"/>
      <c r="C892" s="37"/>
      <c r="D892" s="1"/>
      <c r="E892" s="1"/>
      <c r="F892" s="1"/>
      <c r="G892" s="1"/>
      <c r="H892" s="1"/>
      <c r="I892" s="1"/>
      <c r="J892" s="1"/>
    </row>
    <row r="893" ht="15.75" customHeight="1">
      <c r="A893" s="36"/>
      <c r="B893" s="37"/>
      <c r="C893" s="37"/>
      <c r="D893" s="1"/>
      <c r="E893" s="1"/>
      <c r="F893" s="1"/>
      <c r="G893" s="1"/>
      <c r="H893" s="1"/>
      <c r="I893" s="1"/>
      <c r="J893" s="1"/>
    </row>
    <row r="894" ht="15.75" customHeight="1">
      <c r="A894" s="36"/>
      <c r="B894" s="37"/>
      <c r="C894" s="37"/>
      <c r="D894" s="1"/>
      <c r="E894" s="1"/>
      <c r="F894" s="1"/>
      <c r="G894" s="1"/>
      <c r="H894" s="1"/>
      <c r="I894" s="1"/>
      <c r="J894" s="1"/>
    </row>
    <row r="895" ht="15.75" customHeight="1">
      <c r="A895" s="36"/>
      <c r="B895" s="37"/>
      <c r="C895" s="37"/>
      <c r="D895" s="1"/>
      <c r="E895" s="1"/>
      <c r="F895" s="1"/>
      <c r="G895" s="1"/>
      <c r="H895" s="1"/>
      <c r="I895" s="1"/>
      <c r="J895" s="1"/>
    </row>
    <row r="896" ht="15.75" customHeight="1">
      <c r="A896" s="36"/>
      <c r="B896" s="37"/>
      <c r="C896" s="37"/>
      <c r="D896" s="1"/>
      <c r="E896" s="1"/>
      <c r="F896" s="1"/>
      <c r="G896" s="1"/>
      <c r="H896" s="1"/>
      <c r="I896" s="1"/>
      <c r="J896" s="1"/>
    </row>
    <row r="897" ht="15.75" customHeight="1">
      <c r="A897" s="36"/>
      <c r="B897" s="37"/>
      <c r="C897" s="37"/>
      <c r="D897" s="1"/>
      <c r="E897" s="1"/>
      <c r="F897" s="1"/>
      <c r="G897" s="1"/>
      <c r="H897" s="1"/>
      <c r="I897" s="1"/>
      <c r="J897" s="1"/>
    </row>
    <row r="898" ht="15.75" customHeight="1">
      <c r="A898" s="36"/>
      <c r="B898" s="37"/>
      <c r="C898" s="37"/>
      <c r="D898" s="1"/>
      <c r="E898" s="1"/>
      <c r="F898" s="1"/>
      <c r="G898" s="1"/>
      <c r="H898" s="1"/>
      <c r="I898" s="1"/>
      <c r="J898" s="1"/>
    </row>
    <row r="899" ht="15.75" customHeight="1">
      <c r="A899" s="36"/>
      <c r="B899" s="37"/>
      <c r="C899" s="37"/>
      <c r="D899" s="1"/>
      <c r="E899" s="1"/>
      <c r="F899" s="1"/>
      <c r="G899" s="1"/>
      <c r="H899" s="1"/>
      <c r="I899" s="1"/>
      <c r="J899" s="1"/>
    </row>
    <row r="900" ht="15.75" customHeight="1">
      <c r="A900" s="36"/>
      <c r="B900" s="37"/>
      <c r="C900" s="37"/>
      <c r="D900" s="1"/>
      <c r="E900" s="1"/>
      <c r="F900" s="1"/>
      <c r="G900" s="1"/>
      <c r="H900" s="1"/>
      <c r="I900" s="1"/>
      <c r="J900" s="1"/>
    </row>
    <row r="901" ht="15.75" customHeight="1">
      <c r="A901" s="36"/>
      <c r="B901" s="37"/>
      <c r="C901" s="37"/>
      <c r="D901" s="1"/>
      <c r="E901" s="1"/>
      <c r="F901" s="1"/>
      <c r="G901" s="1"/>
      <c r="H901" s="1"/>
      <c r="I901" s="1"/>
      <c r="J901" s="1"/>
    </row>
    <row r="902" ht="15.75" customHeight="1">
      <c r="A902" s="36"/>
      <c r="B902" s="37"/>
      <c r="C902" s="37"/>
      <c r="D902" s="1"/>
      <c r="E902" s="1"/>
      <c r="F902" s="1"/>
      <c r="G902" s="1"/>
      <c r="H902" s="1"/>
      <c r="I902" s="1"/>
      <c r="J902" s="1"/>
    </row>
    <row r="903" ht="15.75" customHeight="1">
      <c r="A903" s="36"/>
      <c r="B903" s="37"/>
      <c r="C903" s="37"/>
      <c r="D903" s="1"/>
      <c r="E903" s="1"/>
      <c r="F903" s="1"/>
      <c r="G903" s="1"/>
      <c r="H903" s="1"/>
      <c r="I903" s="1"/>
      <c r="J903" s="1"/>
    </row>
    <row r="904" ht="15.75" customHeight="1">
      <c r="A904" s="36"/>
      <c r="B904" s="37"/>
      <c r="C904" s="37"/>
      <c r="D904" s="1"/>
      <c r="E904" s="1"/>
      <c r="F904" s="1"/>
      <c r="G904" s="1"/>
      <c r="H904" s="1"/>
      <c r="I904" s="1"/>
      <c r="J904" s="1"/>
    </row>
    <row r="905" ht="15.75" customHeight="1">
      <c r="A905" s="36"/>
      <c r="B905" s="37"/>
      <c r="C905" s="37"/>
      <c r="D905" s="1"/>
      <c r="E905" s="1"/>
      <c r="F905" s="1"/>
      <c r="G905" s="1"/>
      <c r="H905" s="1"/>
      <c r="I905" s="1"/>
      <c r="J905" s="1"/>
    </row>
    <row r="906" ht="15.75" customHeight="1">
      <c r="A906" s="36"/>
      <c r="B906" s="37"/>
      <c r="C906" s="37"/>
      <c r="D906" s="1"/>
      <c r="E906" s="1"/>
      <c r="F906" s="1"/>
      <c r="G906" s="1"/>
      <c r="H906" s="1"/>
      <c r="I906" s="1"/>
      <c r="J906" s="1"/>
    </row>
    <row r="907" ht="15.75" customHeight="1">
      <c r="A907" s="36"/>
      <c r="B907" s="37"/>
      <c r="C907" s="37"/>
      <c r="D907" s="1"/>
      <c r="E907" s="1"/>
      <c r="F907" s="1"/>
      <c r="G907" s="1"/>
      <c r="H907" s="1"/>
      <c r="I907" s="1"/>
      <c r="J907" s="1"/>
    </row>
    <row r="908" ht="15.75" customHeight="1">
      <c r="A908" s="36"/>
      <c r="B908" s="37"/>
      <c r="C908" s="37"/>
      <c r="D908" s="1"/>
      <c r="E908" s="1"/>
      <c r="F908" s="1"/>
      <c r="G908" s="1"/>
      <c r="H908" s="1"/>
      <c r="I908" s="1"/>
      <c r="J908" s="1"/>
    </row>
    <row r="909" ht="15.75" customHeight="1">
      <c r="A909" s="36"/>
      <c r="B909" s="37"/>
      <c r="C909" s="37"/>
      <c r="D909" s="1"/>
      <c r="E909" s="1"/>
      <c r="F909" s="1"/>
      <c r="G909" s="1"/>
      <c r="H909" s="1"/>
      <c r="I909" s="1"/>
      <c r="J909" s="1"/>
    </row>
    <row r="910" ht="15.75" customHeight="1">
      <c r="A910" s="36"/>
      <c r="B910" s="37"/>
      <c r="C910" s="37"/>
      <c r="D910" s="1"/>
      <c r="E910" s="1"/>
      <c r="F910" s="1"/>
      <c r="G910" s="1"/>
      <c r="H910" s="1"/>
      <c r="I910" s="1"/>
      <c r="J910" s="1"/>
    </row>
    <row r="911" ht="15.75" customHeight="1">
      <c r="A911" s="36"/>
      <c r="B911" s="37"/>
      <c r="C911" s="37"/>
      <c r="D911" s="1"/>
      <c r="E911" s="1"/>
      <c r="F911" s="1"/>
      <c r="G911" s="1"/>
      <c r="H911" s="1"/>
      <c r="I911" s="1"/>
      <c r="J911" s="1"/>
    </row>
    <row r="912" ht="15.75" customHeight="1">
      <c r="A912" s="36"/>
      <c r="B912" s="37"/>
      <c r="C912" s="37"/>
      <c r="D912" s="1"/>
      <c r="E912" s="1"/>
      <c r="F912" s="1"/>
      <c r="G912" s="1"/>
      <c r="H912" s="1"/>
      <c r="I912" s="1"/>
      <c r="J912" s="1"/>
    </row>
    <row r="913" ht="15.75" customHeight="1">
      <c r="A913" s="36"/>
      <c r="B913" s="37"/>
      <c r="C913" s="37"/>
      <c r="D913" s="1"/>
      <c r="E913" s="1"/>
      <c r="F913" s="1"/>
      <c r="G913" s="1"/>
      <c r="H913" s="1"/>
      <c r="I913" s="1"/>
      <c r="J913" s="1"/>
    </row>
    <row r="914" ht="15.75" customHeight="1">
      <c r="A914" s="36"/>
      <c r="B914" s="37"/>
      <c r="C914" s="37"/>
      <c r="D914" s="1"/>
      <c r="E914" s="1"/>
      <c r="F914" s="1"/>
      <c r="G914" s="1"/>
      <c r="H914" s="1"/>
      <c r="I914" s="1"/>
      <c r="J914" s="1"/>
    </row>
    <row r="915" ht="15.75" customHeight="1">
      <c r="A915" s="36"/>
      <c r="B915" s="37"/>
      <c r="C915" s="37"/>
      <c r="D915" s="1"/>
      <c r="E915" s="1"/>
      <c r="F915" s="1"/>
      <c r="G915" s="1"/>
      <c r="H915" s="1"/>
      <c r="I915" s="1"/>
      <c r="J915" s="1"/>
    </row>
    <row r="916" ht="15.75" customHeight="1">
      <c r="A916" s="36"/>
      <c r="B916" s="37"/>
      <c r="C916" s="37"/>
      <c r="D916" s="1"/>
      <c r="E916" s="1"/>
      <c r="F916" s="1"/>
      <c r="G916" s="1"/>
      <c r="H916" s="1"/>
      <c r="I916" s="1"/>
      <c r="J916" s="1"/>
    </row>
    <row r="917" ht="15.75" customHeight="1">
      <c r="A917" s="36"/>
      <c r="B917" s="37"/>
      <c r="C917" s="37"/>
      <c r="D917" s="1"/>
      <c r="E917" s="1"/>
      <c r="F917" s="1"/>
      <c r="G917" s="1"/>
      <c r="H917" s="1"/>
      <c r="I917" s="1"/>
      <c r="J917" s="1"/>
    </row>
    <row r="918" ht="15.75" customHeight="1">
      <c r="A918" s="36"/>
      <c r="B918" s="37"/>
      <c r="C918" s="37"/>
      <c r="D918" s="1"/>
      <c r="E918" s="1"/>
      <c r="F918" s="1"/>
      <c r="G918" s="1"/>
      <c r="H918" s="1"/>
      <c r="I918" s="1"/>
      <c r="J918" s="1"/>
    </row>
    <row r="919" ht="15.75" customHeight="1">
      <c r="A919" s="36"/>
      <c r="B919" s="37"/>
      <c r="C919" s="37"/>
      <c r="D919" s="1"/>
      <c r="E919" s="1"/>
      <c r="F919" s="1"/>
      <c r="G919" s="1"/>
      <c r="H919" s="1"/>
      <c r="I919" s="1"/>
      <c r="J919" s="1"/>
    </row>
    <row r="920" ht="15.75" customHeight="1">
      <c r="A920" s="36"/>
      <c r="B920" s="37"/>
      <c r="C920" s="37"/>
      <c r="D920" s="1"/>
      <c r="E920" s="1"/>
      <c r="F920" s="1"/>
      <c r="G920" s="1"/>
      <c r="H920" s="1"/>
      <c r="I920" s="1"/>
      <c r="J920" s="1"/>
    </row>
    <row r="921" ht="15.75" customHeight="1">
      <c r="A921" s="36"/>
      <c r="B921" s="37"/>
      <c r="C921" s="37"/>
      <c r="D921" s="1"/>
      <c r="E921" s="1"/>
      <c r="F921" s="1"/>
      <c r="G921" s="1"/>
      <c r="H921" s="1"/>
      <c r="I921" s="1"/>
      <c r="J921" s="1"/>
    </row>
    <row r="922" ht="15.75" customHeight="1">
      <c r="A922" s="36"/>
      <c r="B922" s="37"/>
      <c r="C922" s="37"/>
      <c r="D922" s="1"/>
      <c r="E922" s="1"/>
      <c r="F922" s="1"/>
      <c r="G922" s="1"/>
      <c r="H922" s="1"/>
      <c r="I922" s="1"/>
      <c r="J922" s="1"/>
    </row>
    <row r="923" ht="15.75" customHeight="1">
      <c r="A923" s="36"/>
      <c r="B923" s="37"/>
      <c r="C923" s="37"/>
      <c r="D923" s="1"/>
      <c r="E923" s="1"/>
      <c r="F923" s="1"/>
      <c r="G923" s="1"/>
      <c r="H923" s="1"/>
      <c r="I923" s="1"/>
      <c r="J923" s="1"/>
    </row>
    <row r="924" ht="15.75" customHeight="1">
      <c r="A924" s="36"/>
      <c r="B924" s="37"/>
      <c r="C924" s="37"/>
      <c r="D924" s="1"/>
      <c r="E924" s="1"/>
      <c r="F924" s="1"/>
      <c r="G924" s="1"/>
      <c r="H924" s="1"/>
      <c r="I924" s="1"/>
      <c r="J924" s="1"/>
    </row>
    <row r="925" ht="15.75" customHeight="1">
      <c r="A925" s="36"/>
      <c r="B925" s="37"/>
      <c r="C925" s="37"/>
      <c r="D925" s="1"/>
      <c r="E925" s="1"/>
      <c r="F925" s="1"/>
      <c r="G925" s="1"/>
      <c r="H925" s="1"/>
      <c r="I925" s="1"/>
      <c r="J925" s="1"/>
    </row>
    <row r="926" ht="15.75" customHeight="1">
      <c r="A926" s="36"/>
      <c r="B926" s="37"/>
      <c r="C926" s="37"/>
      <c r="D926" s="1"/>
      <c r="E926" s="1"/>
      <c r="F926" s="1"/>
      <c r="G926" s="1"/>
      <c r="H926" s="1"/>
      <c r="I926" s="1"/>
      <c r="J926" s="1"/>
    </row>
    <row r="927" ht="15.75" customHeight="1">
      <c r="A927" s="36"/>
      <c r="B927" s="37"/>
      <c r="C927" s="37"/>
      <c r="D927" s="1"/>
      <c r="E927" s="1"/>
      <c r="F927" s="1"/>
      <c r="G927" s="1"/>
      <c r="H927" s="1"/>
      <c r="I927" s="1"/>
      <c r="J927" s="1"/>
    </row>
    <row r="928" ht="15.75" customHeight="1">
      <c r="A928" s="36"/>
      <c r="B928" s="37"/>
      <c r="C928" s="37"/>
      <c r="D928" s="1"/>
      <c r="E928" s="1"/>
      <c r="F928" s="1"/>
      <c r="G928" s="1"/>
      <c r="H928" s="1"/>
      <c r="I928" s="1"/>
      <c r="J928" s="1"/>
    </row>
    <row r="929" ht="15.75" customHeight="1">
      <c r="A929" s="36"/>
      <c r="B929" s="37"/>
      <c r="C929" s="37"/>
      <c r="D929" s="1"/>
      <c r="E929" s="1"/>
      <c r="F929" s="1"/>
      <c r="G929" s="1"/>
      <c r="H929" s="1"/>
      <c r="I929" s="1"/>
      <c r="J929" s="1"/>
    </row>
    <row r="930" ht="15.75" customHeight="1">
      <c r="A930" s="36"/>
      <c r="B930" s="37"/>
      <c r="C930" s="37"/>
      <c r="D930" s="1"/>
      <c r="E930" s="1"/>
      <c r="F930" s="1"/>
      <c r="G930" s="1"/>
      <c r="H930" s="1"/>
      <c r="I930" s="1"/>
      <c r="J930" s="1"/>
    </row>
    <row r="931" ht="15.75" customHeight="1">
      <c r="A931" s="36"/>
      <c r="B931" s="37"/>
      <c r="C931" s="37"/>
      <c r="D931" s="1"/>
      <c r="E931" s="1"/>
      <c r="F931" s="1"/>
      <c r="G931" s="1"/>
      <c r="H931" s="1"/>
      <c r="I931" s="1"/>
      <c r="J931" s="1"/>
    </row>
    <row r="932" ht="15.75" customHeight="1">
      <c r="A932" s="36"/>
      <c r="B932" s="37"/>
      <c r="C932" s="37"/>
      <c r="D932" s="1"/>
      <c r="E932" s="1"/>
      <c r="F932" s="1"/>
      <c r="G932" s="1"/>
      <c r="H932" s="1"/>
      <c r="I932" s="1"/>
      <c r="J932" s="1"/>
    </row>
    <row r="933" ht="15.75" customHeight="1">
      <c r="A933" s="36"/>
      <c r="B933" s="37"/>
      <c r="C933" s="37"/>
      <c r="D933" s="1"/>
      <c r="E933" s="1"/>
      <c r="F933" s="1"/>
      <c r="G933" s="1"/>
      <c r="H933" s="1"/>
      <c r="I933" s="1"/>
      <c r="J933" s="1"/>
    </row>
    <row r="934" ht="15.75" customHeight="1">
      <c r="A934" s="36"/>
      <c r="B934" s="37"/>
      <c r="C934" s="37"/>
      <c r="D934" s="1"/>
      <c r="E934" s="1"/>
      <c r="F934" s="1"/>
      <c r="G934" s="1"/>
      <c r="H934" s="1"/>
      <c r="I934" s="1"/>
      <c r="J934" s="1"/>
    </row>
    <row r="935" ht="15.75" customHeight="1">
      <c r="A935" s="36"/>
      <c r="B935" s="37"/>
      <c r="C935" s="37"/>
      <c r="D935" s="1"/>
      <c r="E935" s="1"/>
      <c r="F935" s="1"/>
      <c r="G935" s="1"/>
      <c r="H935" s="1"/>
      <c r="I935" s="1"/>
      <c r="J935" s="1"/>
    </row>
    <row r="936" ht="15.75" customHeight="1">
      <c r="A936" s="36"/>
      <c r="B936" s="37"/>
      <c r="C936" s="37"/>
      <c r="D936" s="1"/>
      <c r="E936" s="1"/>
      <c r="F936" s="1"/>
      <c r="G936" s="1"/>
      <c r="H936" s="1"/>
      <c r="I936" s="1"/>
      <c r="J936" s="1"/>
    </row>
    <row r="937" ht="15.75" customHeight="1">
      <c r="A937" s="36"/>
      <c r="B937" s="37"/>
      <c r="C937" s="37"/>
      <c r="D937" s="1"/>
      <c r="E937" s="1"/>
      <c r="F937" s="1"/>
      <c r="G937" s="1"/>
      <c r="H937" s="1"/>
      <c r="I937" s="1"/>
      <c r="J937" s="1"/>
    </row>
    <row r="938" ht="15.75" customHeight="1">
      <c r="A938" s="36"/>
      <c r="B938" s="37"/>
      <c r="C938" s="37"/>
      <c r="D938" s="1"/>
      <c r="E938" s="1"/>
      <c r="F938" s="1"/>
      <c r="G938" s="1"/>
      <c r="H938" s="1"/>
      <c r="I938" s="1"/>
      <c r="J938" s="1"/>
    </row>
    <row r="939" ht="15.75" customHeight="1">
      <c r="A939" s="36"/>
      <c r="B939" s="37"/>
      <c r="C939" s="37"/>
      <c r="D939" s="1"/>
      <c r="E939" s="1"/>
      <c r="F939" s="1"/>
      <c r="G939" s="1"/>
      <c r="H939" s="1"/>
      <c r="I939" s="1"/>
      <c r="J939" s="1"/>
    </row>
    <row r="940" ht="15.75" customHeight="1">
      <c r="A940" s="36"/>
      <c r="B940" s="37"/>
      <c r="C940" s="37"/>
      <c r="D940" s="1"/>
      <c r="E940" s="1"/>
      <c r="F940" s="1"/>
      <c r="G940" s="1"/>
      <c r="H940" s="1"/>
      <c r="I940" s="1"/>
      <c r="J940" s="1"/>
    </row>
    <row r="941" ht="15.75" customHeight="1">
      <c r="A941" s="36"/>
      <c r="B941" s="37"/>
      <c r="C941" s="37"/>
      <c r="D941" s="1"/>
      <c r="E941" s="1"/>
      <c r="F941" s="1"/>
      <c r="G941" s="1"/>
      <c r="H941" s="1"/>
      <c r="I941" s="1"/>
      <c r="J941" s="1"/>
    </row>
    <row r="942" ht="15.75" customHeight="1">
      <c r="A942" s="36"/>
      <c r="B942" s="37"/>
      <c r="C942" s="37"/>
      <c r="D942" s="1"/>
      <c r="E942" s="1"/>
      <c r="F942" s="1"/>
      <c r="G942" s="1"/>
      <c r="H942" s="1"/>
      <c r="I942" s="1"/>
      <c r="J942" s="1"/>
    </row>
    <row r="943" ht="15.75" customHeight="1">
      <c r="A943" s="36"/>
      <c r="B943" s="37"/>
      <c r="C943" s="37"/>
      <c r="D943" s="1"/>
      <c r="E943" s="1"/>
      <c r="F943" s="1"/>
      <c r="G943" s="1"/>
      <c r="H943" s="1"/>
      <c r="I943" s="1"/>
      <c r="J943" s="1"/>
    </row>
    <row r="944" ht="15.75" customHeight="1">
      <c r="A944" s="36"/>
      <c r="B944" s="37"/>
      <c r="C944" s="37"/>
      <c r="D944" s="1"/>
      <c r="E944" s="1"/>
      <c r="F944" s="1"/>
      <c r="G944" s="1"/>
      <c r="H944" s="1"/>
      <c r="I944" s="1"/>
      <c r="J944" s="1"/>
    </row>
    <row r="945" ht="15.75" customHeight="1">
      <c r="A945" s="36"/>
      <c r="B945" s="37"/>
      <c r="C945" s="37"/>
      <c r="D945" s="1"/>
      <c r="E945" s="1"/>
      <c r="F945" s="1"/>
      <c r="G945" s="1"/>
      <c r="H945" s="1"/>
      <c r="I945" s="1"/>
      <c r="J945" s="1"/>
    </row>
    <row r="946" ht="15.75" customHeight="1">
      <c r="A946" s="36"/>
      <c r="B946" s="37"/>
      <c r="C946" s="37"/>
      <c r="D946" s="1"/>
      <c r="E946" s="1"/>
      <c r="F946" s="1"/>
      <c r="G946" s="1"/>
      <c r="H946" s="1"/>
      <c r="I946" s="1"/>
      <c r="J946" s="1"/>
    </row>
    <row r="947" ht="15.75" customHeight="1">
      <c r="A947" s="36"/>
      <c r="B947" s="37"/>
      <c r="C947" s="37"/>
      <c r="D947" s="1"/>
      <c r="E947" s="1"/>
      <c r="F947" s="1"/>
      <c r="G947" s="1"/>
      <c r="H947" s="1"/>
      <c r="I947" s="1"/>
      <c r="J947" s="1"/>
    </row>
    <row r="948" ht="15.75" customHeight="1">
      <c r="A948" s="36"/>
      <c r="B948" s="37"/>
      <c r="C948" s="37"/>
      <c r="D948" s="1"/>
      <c r="E948" s="1"/>
      <c r="F948" s="1"/>
      <c r="G948" s="1"/>
      <c r="H948" s="1"/>
      <c r="I948" s="1"/>
      <c r="J948" s="1"/>
    </row>
    <row r="949" ht="15.75" customHeight="1">
      <c r="A949" s="36"/>
      <c r="B949" s="37"/>
      <c r="C949" s="37"/>
      <c r="D949" s="1"/>
      <c r="E949" s="1"/>
      <c r="F949" s="1"/>
      <c r="G949" s="1"/>
      <c r="H949" s="1"/>
      <c r="I949" s="1"/>
      <c r="J949" s="1"/>
    </row>
    <row r="950" ht="15.75" customHeight="1">
      <c r="A950" s="36"/>
      <c r="B950" s="37"/>
      <c r="C950" s="37"/>
      <c r="D950" s="1"/>
      <c r="E950" s="1"/>
      <c r="F950" s="1"/>
      <c r="G950" s="1"/>
      <c r="H950" s="1"/>
      <c r="I950" s="1"/>
      <c r="J950" s="1"/>
    </row>
    <row r="951" ht="15.75" customHeight="1">
      <c r="A951" s="36"/>
      <c r="B951" s="37"/>
      <c r="C951" s="37"/>
      <c r="D951" s="1"/>
      <c r="E951" s="1"/>
      <c r="F951" s="1"/>
      <c r="G951" s="1"/>
      <c r="H951" s="1"/>
      <c r="I951" s="1"/>
      <c r="J951" s="1"/>
    </row>
    <row r="952" ht="15.75" customHeight="1">
      <c r="A952" s="36"/>
      <c r="B952" s="37"/>
      <c r="C952" s="37"/>
      <c r="D952" s="1"/>
      <c r="E952" s="1"/>
      <c r="F952" s="1"/>
      <c r="G952" s="1"/>
      <c r="H952" s="1"/>
      <c r="I952" s="1"/>
      <c r="J952" s="1"/>
    </row>
    <row r="953" ht="15.75" customHeight="1">
      <c r="A953" s="36"/>
      <c r="B953" s="37"/>
      <c r="C953" s="37"/>
      <c r="D953" s="1"/>
      <c r="E953" s="1"/>
      <c r="F953" s="1"/>
      <c r="G953" s="1"/>
      <c r="H953" s="1"/>
      <c r="I953" s="1"/>
      <c r="J953" s="1"/>
    </row>
    <row r="954" ht="15.75" customHeight="1">
      <c r="A954" s="36"/>
      <c r="B954" s="37"/>
      <c r="C954" s="37"/>
      <c r="D954" s="1"/>
      <c r="E954" s="1"/>
      <c r="F954" s="1"/>
      <c r="G954" s="1"/>
      <c r="H954" s="1"/>
      <c r="I954" s="1"/>
      <c r="J954" s="1"/>
    </row>
    <row r="955" ht="15.75" customHeight="1">
      <c r="A955" s="36"/>
      <c r="B955" s="37"/>
      <c r="C955" s="37"/>
      <c r="D955" s="1"/>
      <c r="E955" s="1"/>
      <c r="F955" s="1"/>
      <c r="G955" s="1"/>
      <c r="H955" s="1"/>
      <c r="I955" s="1"/>
      <c r="J955" s="1"/>
    </row>
    <row r="956" ht="15.75" customHeight="1">
      <c r="A956" s="36"/>
      <c r="B956" s="37"/>
      <c r="C956" s="37"/>
      <c r="D956" s="1"/>
      <c r="E956" s="1"/>
      <c r="F956" s="1"/>
      <c r="G956" s="1"/>
      <c r="H956" s="1"/>
      <c r="I956" s="1"/>
      <c r="J956" s="1"/>
    </row>
    <row r="957" ht="15.75" customHeight="1">
      <c r="A957" s="36"/>
      <c r="B957" s="37"/>
      <c r="C957" s="37"/>
      <c r="D957" s="1"/>
      <c r="E957" s="1"/>
      <c r="F957" s="1"/>
      <c r="G957" s="1"/>
      <c r="H957" s="1"/>
      <c r="I957" s="1"/>
      <c r="J957" s="1"/>
    </row>
    <row r="958" ht="15.75" customHeight="1">
      <c r="A958" s="36"/>
      <c r="B958" s="37"/>
      <c r="C958" s="37"/>
      <c r="D958" s="1"/>
      <c r="E958" s="1"/>
      <c r="F958" s="1"/>
      <c r="G958" s="1"/>
      <c r="H958" s="1"/>
      <c r="I958" s="1"/>
      <c r="J958" s="1"/>
    </row>
    <row r="959" ht="15.75" customHeight="1">
      <c r="A959" s="36"/>
      <c r="B959" s="37"/>
      <c r="C959" s="37"/>
      <c r="D959" s="1"/>
      <c r="E959" s="1"/>
      <c r="F959" s="1"/>
      <c r="G959" s="1"/>
      <c r="H959" s="1"/>
      <c r="I959" s="1"/>
      <c r="J959" s="1"/>
    </row>
    <row r="960" ht="15.75" customHeight="1">
      <c r="A960" s="36"/>
      <c r="B960" s="37"/>
      <c r="C960" s="37"/>
      <c r="D960" s="1"/>
      <c r="E960" s="1"/>
      <c r="F960" s="1"/>
      <c r="G960" s="1"/>
      <c r="H960" s="1"/>
      <c r="I960" s="1"/>
      <c r="J960" s="1"/>
    </row>
    <row r="961" ht="15.75" customHeight="1">
      <c r="A961" s="36"/>
      <c r="B961" s="37"/>
      <c r="C961" s="37"/>
      <c r="D961" s="1"/>
      <c r="E961" s="1"/>
      <c r="F961" s="1"/>
      <c r="G961" s="1"/>
      <c r="H961" s="1"/>
      <c r="I961" s="1"/>
      <c r="J961" s="1"/>
    </row>
    <row r="962" ht="15.75" customHeight="1">
      <c r="A962" s="36"/>
      <c r="B962" s="37"/>
      <c r="C962" s="37"/>
      <c r="D962" s="1"/>
      <c r="E962" s="1"/>
      <c r="F962" s="1"/>
      <c r="G962" s="1"/>
      <c r="H962" s="1"/>
      <c r="I962" s="1"/>
      <c r="J962" s="1"/>
    </row>
    <row r="963" ht="15.75" customHeight="1">
      <c r="A963" s="36"/>
      <c r="B963" s="37"/>
      <c r="C963" s="37"/>
      <c r="D963" s="1"/>
      <c r="E963" s="1"/>
      <c r="F963" s="1"/>
      <c r="G963" s="1"/>
      <c r="H963" s="1"/>
      <c r="I963" s="1"/>
      <c r="J963" s="1"/>
    </row>
    <row r="964" ht="15.75" customHeight="1">
      <c r="A964" s="36"/>
      <c r="B964" s="37"/>
      <c r="C964" s="37"/>
      <c r="D964" s="1"/>
      <c r="E964" s="1"/>
      <c r="F964" s="1"/>
      <c r="G964" s="1"/>
      <c r="H964" s="1"/>
      <c r="I964" s="1"/>
      <c r="J964" s="1"/>
    </row>
    <row r="965" ht="15.75" customHeight="1">
      <c r="A965" s="36"/>
      <c r="B965" s="37"/>
      <c r="C965" s="37"/>
      <c r="D965" s="1"/>
      <c r="E965" s="1"/>
      <c r="F965" s="1"/>
      <c r="G965" s="1"/>
      <c r="H965" s="1"/>
      <c r="I965" s="1"/>
      <c r="J965" s="1"/>
    </row>
    <row r="966" ht="15.75" customHeight="1">
      <c r="A966" s="36"/>
      <c r="B966" s="37"/>
      <c r="C966" s="37"/>
      <c r="D966" s="1"/>
      <c r="E966" s="1"/>
      <c r="F966" s="1"/>
      <c r="G966" s="1"/>
      <c r="H966" s="1"/>
      <c r="I966" s="1"/>
      <c r="J966" s="1"/>
    </row>
    <row r="967" ht="15.75" customHeight="1">
      <c r="A967" s="36"/>
      <c r="B967" s="37"/>
      <c r="C967" s="37"/>
      <c r="D967" s="1"/>
      <c r="E967" s="1"/>
      <c r="F967" s="1"/>
      <c r="G967" s="1"/>
      <c r="H967" s="1"/>
      <c r="I967" s="1"/>
      <c r="J967" s="1"/>
    </row>
    <row r="968" ht="15.75" customHeight="1">
      <c r="A968" s="36"/>
      <c r="B968" s="37"/>
      <c r="C968" s="37"/>
      <c r="D968" s="1"/>
      <c r="E968" s="1"/>
      <c r="F968" s="1"/>
      <c r="G968" s="1"/>
      <c r="H968" s="1"/>
      <c r="I968" s="1"/>
      <c r="J968" s="1"/>
    </row>
    <row r="969" ht="15.75" customHeight="1">
      <c r="A969" s="36"/>
      <c r="B969" s="37"/>
      <c r="C969" s="37"/>
      <c r="D969" s="1"/>
      <c r="E969" s="1"/>
      <c r="F969" s="1"/>
      <c r="G969" s="1"/>
      <c r="H969" s="1"/>
      <c r="I969" s="1"/>
      <c r="J969" s="1"/>
    </row>
    <row r="970" ht="15.75" customHeight="1">
      <c r="A970" s="36"/>
      <c r="B970" s="37"/>
      <c r="C970" s="37"/>
      <c r="D970" s="1"/>
      <c r="E970" s="1"/>
      <c r="F970" s="1"/>
      <c r="G970" s="1"/>
      <c r="H970" s="1"/>
      <c r="I970" s="1"/>
      <c r="J970" s="1"/>
    </row>
    <row r="971" ht="15.75" customHeight="1">
      <c r="A971" s="36"/>
      <c r="B971" s="37"/>
      <c r="C971" s="37"/>
      <c r="D971" s="1"/>
      <c r="E971" s="1"/>
      <c r="F971" s="1"/>
      <c r="G971" s="1"/>
      <c r="H971" s="1"/>
      <c r="I971" s="1"/>
      <c r="J971" s="1"/>
    </row>
    <row r="972" ht="15.75" customHeight="1">
      <c r="A972" s="36"/>
      <c r="B972" s="37"/>
      <c r="C972" s="37"/>
      <c r="D972" s="1"/>
      <c r="E972" s="1"/>
      <c r="F972" s="1"/>
      <c r="G972" s="1"/>
      <c r="H972" s="1"/>
      <c r="I972" s="1"/>
      <c r="J972" s="1"/>
    </row>
    <row r="973" ht="15.75" customHeight="1">
      <c r="A973" s="36"/>
      <c r="B973" s="37"/>
      <c r="C973" s="37"/>
      <c r="D973" s="1"/>
      <c r="E973" s="1"/>
      <c r="F973" s="1"/>
      <c r="G973" s="1"/>
      <c r="H973" s="1"/>
      <c r="I973" s="1"/>
      <c r="J973" s="1"/>
    </row>
    <row r="974" ht="15.75" customHeight="1">
      <c r="A974" s="36"/>
      <c r="B974" s="37"/>
      <c r="C974" s="37"/>
      <c r="D974" s="1"/>
      <c r="E974" s="1"/>
      <c r="F974" s="1"/>
      <c r="G974" s="1"/>
      <c r="H974" s="1"/>
      <c r="I974" s="1"/>
      <c r="J974" s="1"/>
    </row>
    <row r="975" ht="15.75" customHeight="1">
      <c r="A975" s="36"/>
      <c r="B975" s="37"/>
      <c r="C975" s="37"/>
      <c r="D975" s="1"/>
      <c r="E975" s="1"/>
      <c r="F975" s="1"/>
      <c r="G975" s="1"/>
      <c r="H975" s="1"/>
      <c r="I975" s="1"/>
      <c r="J975" s="1"/>
    </row>
    <row r="976" ht="15.75" customHeight="1">
      <c r="A976" s="36"/>
      <c r="B976" s="37"/>
      <c r="C976" s="37"/>
      <c r="D976" s="1"/>
      <c r="E976" s="1"/>
      <c r="F976" s="1"/>
      <c r="G976" s="1"/>
      <c r="H976" s="1"/>
      <c r="I976" s="1"/>
      <c r="J976" s="1"/>
    </row>
    <row r="977" ht="15.75" customHeight="1">
      <c r="A977" s="36"/>
      <c r="B977" s="37"/>
      <c r="C977" s="37"/>
      <c r="D977" s="1"/>
      <c r="E977" s="1"/>
      <c r="F977" s="1"/>
      <c r="G977" s="1"/>
      <c r="H977" s="1"/>
      <c r="I977" s="1"/>
      <c r="J977" s="1"/>
    </row>
    <row r="978" ht="15.75" customHeight="1">
      <c r="A978" s="36"/>
      <c r="B978" s="37"/>
      <c r="C978" s="37"/>
      <c r="D978" s="1"/>
      <c r="E978" s="1"/>
      <c r="F978" s="1"/>
      <c r="G978" s="1"/>
      <c r="H978" s="1"/>
      <c r="I978" s="1"/>
      <c r="J978" s="1"/>
    </row>
    <row r="979" ht="15.75" customHeight="1">
      <c r="A979" s="36"/>
      <c r="B979" s="37"/>
      <c r="C979" s="37"/>
      <c r="D979" s="1"/>
      <c r="E979" s="1"/>
      <c r="F979" s="1"/>
      <c r="G979" s="1"/>
      <c r="H979" s="1"/>
      <c r="I979" s="1"/>
      <c r="J979" s="1"/>
    </row>
    <row r="980" ht="15.75" customHeight="1">
      <c r="A980" s="36"/>
      <c r="B980" s="37"/>
      <c r="C980" s="37"/>
      <c r="D980" s="1"/>
      <c r="E980" s="1"/>
      <c r="F980" s="1"/>
      <c r="G980" s="1"/>
      <c r="H980" s="1"/>
      <c r="I980" s="1"/>
      <c r="J980" s="1"/>
    </row>
    <row r="981" ht="15.75" customHeight="1">
      <c r="A981" s="36"/>
      <c r="B981" s="37"/>
      <c r="C981" s="37"/>
      <c r="D981" s="1"/>
      <c r="E981" s="1"/>
      <c r="F981" s="1"/>
      <c r="G981" s="1"/>
      <c r="H981" s="1"/>
      <c r="I981" s="1"/>
      <c r="J981" s="1"/>
    </row>
    <row r="982" ht="15.75" customHeight="1">
      <c r="A982" s="36"/>
      <c r="B982" s="37"/>
      <c r="C982" s="37"/>
      <c r="D982" s="1"/>
      <c r="E982" s="1"/>
      <c r="F982" s="1"/>
      <c r="G982" s="1"/>
      <c r="H982" s="1"/>
      <c r="I982" s="1"/>
      <c r="J982" s="1"/>
    </row>
    <row r="983" ht="15.75" customHeight="1">
      <c r="A983" s="36"/>
      <c r="B983" s="37"/>
      <c r="C983" s="37"/>
      <c r="D983" s="1"/>
      <c r="E983" s="1"/>
      <c r="F983" s="1"/>
      <c r="G983" s="1"/>
      <c r="H983" s="1"/>
      <c r="I983" s="1"/>
      <c r="J983" s="1"/>
    </row>
    <row r="984" ht="15.75" customHeight="1">
      <c r="A984" s="36"/>
      <c r="B984" s="37"/>
      <c r="C984" s="37"/>
      <c r="D984" s="1"/>
      <c r="E984" s="1"/>
      <c r="F984" s="1"/>
      <c r="G984" s="1"/>
      <c r="H984" s="1"/>
      <c r="I984" s="1"/>
      <c r="J984" s="1"/>
    </row>
    <row r="985" ht="15.75" customHeight="1">
      <c r="A985" s="36"/>
      <c r="B985" s="37"/>
      <c r="C985" s="37"/>
      <c r="D985" s="1"/>
      <c r="E985" s="1"/>
      <c r="F985" s="1"/>
      <c r="G985" s="1"/>
      <c r="H985" s="1"/>
      <c r="I985" s="1"/>
      <c r="J985" s="1"/>
    </row>
    <row r="986" ht="15.75" customHeight="1">
      <c r="A986" s="36"/>
      <c r="B986" s="37"/>
      <c r="C986" s="37"/>
      <c r="D986" s="1"/>
      <c r="E986" s="1"/>
      <c r="F986" s="1"/>
      <c r="G986" s="1"/>
      <c r="H986" s="1"/>
      <c r="I986" s="1"/>
      <c r="J986" s="1"/>
    </row>
    <row r="987" ht="15.75" customHeight="1">
      <c r="A987" s="36"/>
      <c r="B987" s="37"/>
      <c r="C987" s="37"/>
      <c r="D987" s="1"/>
      <c r="E987" s="1"/>
      <c r="F987" s="1"/>
      <c r="G987" s="1"/>
      <c r="H987" s="1"/>
      <c r="I987" s="1"/>
      <c r="J987" s="1"/>
    </row>
    <row r="988" ht="15.75" customHeight="1">
      <c r="A988" s="36"/>
      <c r="B988" s="37"/>
      <c r="C988" s="37"/>
      <c r="D988" s="1"/>
      <c r="E988" s="1"/>
      <c r="F988" s="1"/>
      <c r="G988" s="1"/>
      <c r="H988" s="1"/>
      <c r="I988" s="1"/>
      <c r="J988" s="1"/>
    </row>
    <row r="989" ht="15.75" customHeight="1">
      <c r="A989" s="36"/>
      <c r="B989" s="37"/>
      <c r="C989" s="37"/>
      <c r="D989" s="1"/>
      <c r="E989" s="1"/>
      <c r="F989" s="1"/>
      <c r="G989" s="1"/>
      <c r="H989" s="1"/>
      <c r="I989" s="1"/>
      <c r="J989" s="1"/>
    </row>
    <row r="990" ht="15.75" customHeight="1">
      <c r="A990" s="36"/>
      <c r="B990" s="37"/>
      <c r="C990" s="37"/>
      <c r="D990" s="1"/>
      <c r="E990" s="1"/>
      <c r="F990" s="1"/>
      <c r="G990" s="1"/>
      <c r="H990" s="1"/>
      <c r="I990" s="1"/>
      <c r="J990" s="1"/>
    </row>
    <row r="991" ht="15.75" customHeight="1">
      <c r="A991" s="36"/>
      <c r="B991" s="37"/>
      <c r="C991" s="37"/>
      <c r="D991" s="1"/>
      <c r="E991" s="1"/>
      <c r="F991" s="1"/>
      <c r="G991" s="1"/>
      <c r="H991" s="1"/>
      <c r="I991" s="1"/>
      <c r="J991" s="1"/>
    </row>
    <row r="992" ht="15.75" customHeight="1">
      <c r="A992" s="36"/>
      <c r="B992" s="37"/>
      <c r="C992" s="37"/>
      <c r="D992" s="1"/>
      <c r="E992" s="1"/>
      <c r="F992" s="1"/>
      <c r="G992" s="1"/>
      <c r="H992" s="1"/>
      <c r="I992" s="1"/>
      <c r="J992" s="1"/>
    </row>
    <row r="993" ht="15.75" customHeight="1">
      <c r="A993" s="36"/>
      <c r="B993" s="37"/>
      <c r="C993" s="37"/>
      <c r="D993" s="1"/>
      <c r="E993" s="1"/>
      <c r="F993" s="1"/>
      <c r="G993" s="1"/>
      <c r="H993" s="1"/>
      <c r="I993" s="1"/>
      <c r="J993" s="1"/>
    </row>
    <row r="994" ht="15.75" customHeight="1">
      <c r="A994" s="36"/>
      <c r="B994" s="37"/>
      <c r="C994" s="37"/>
      <c r="D994" s="1"/>
      <c r="E994" s="1"/>
      <c r="F994" s="1"/>
      <c r="G994" s="1"/>
      <c r="H994" s="1"/>
      <c r="I994" s="1"/>
      <c r="J994" s="1"/>
    </row>
    <row r="995" ht="15.75" customHeight="1">
      <c r="A995" s="36"/>
      <c r="B995" s="37"/>
      <c r="C995" s="37"/>
      <c r="D995" s="1"/>
      <c r="E995" s="1"/>
      <c r="F995" s="1"/>
      <c r="G995" s="1"/>
      <c r="H995" s="1"/>
      <c r="I995" s="1"/>
      <c r="J995" s="1"/>
    </row>
    <row r="996" ht="15.75" customHeight="1">
      <c r="A996" s="36"/>
      <c r="B996" s="37"/>
      <c r="C996" s="37"/>
      <c r="D996" s="1"/>
      <c r="E996" s="1"/>
      <c r="F996" s="1"/>
      <c r="G996" s="1"/>
      <c r="H996" s="1"/>
      <c r="I996" s="1"/>
      <c r="J996" s="1"/>
    </row>
    <row r="997" ht="15.75" customHeight="1">
      <c r="A997" s="36"/>
      <c r="B997" s="37"/>
      <c r="C997" s="37"/>
      <c r="D997" s="1"/>
      <c r="E997" s="1"/>
      <c r="F997" s="1"/>
      <c r="G997" s="1"/>
      <c r="H997" s="1"/>
      <c r="I997" s="1"/>
      <c r="J997" s="1"/>
    </row>
    <row r="998" ht="15.75" customHeight="1">
      <c r="A998" s="36"/>
      <c r="B998" s="37"/>
      <c r="C998" s="37"/>
      <c r="D998" s="1"/>
      <c r="E998" s="1"/>
      <c r="F998" s="1"/>
      <c r="G998" s="1"/>
      <c r="H998" s="1"/>
      <c r="I998" s="1"/>
      <c r="J998" s="1"/>
    </row>
    <row r="999" ht="15.75" customHeight="1">
      <c r="A999" s="36"/>
      <c r="B999" s="37"/>
      <c r="C999" s="37"/>
      <c r="D999" s="1"/>
      <c r="E999" s="1"/>
      <c r="F999" s="1"/>
      <c r="G999" s="1"/>
      <c r="H999" s="1"/>
      <c r="I999" s="1"/>
      <c r="J999" s="1"/>
    </row>
    <row r="1000" ht="15.75" customHeight="1">
      <c r="A1000" s="36"/>
      <c r="B1000" s="37"/>
      <c r="C1000" s="37"/>
      <c r="D1000" s="1"/>
      <c r="E1000" s="1"/>
      <c r="F1000" s="1"/>
      <c r="G1000" s="1"/>
      <c r="H1000" s="1"/>
      <c r="I1000" s="1"/>
      <c r="J1000" s="1"/>
    </row>
  </sheetData>
  <mergeCells count="8">
    <mergeCell ref="A2:J2"/>
    <mergeCell ref="A4:J4"/>
    <mergeCell ref="A5:J5"/>
    <mergeCell ref="A6:J6"/>
    <mergeCell ref="A7:J7"/>
    <mergeCell ref="A8:J8"/>
    <mergeCell ref="A9:J9"/>
    <mergeCell ref="A64:J64"/>
  </mergeCells>
  <hyperlinks>
    <hyperlink r:id="rId1" ref="D14"/>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14"/>
    <col customWidth="1" min="3" max="3" width="10.71"/>
    <col customWidth="1" min="4" max="4" width="13.43"/>
    <col customWidth="1" min="5" max="5" width="15.57"/>
    <col customWidth="1" min="6" max="7" width="9.14"/>
    <col customWidth="1" min="8" max="9" width="7.71"/>
    <col customWidth="1" min="10" max="10" width="12.14"/>
    <col customWidth="1" min="11" max="11" width="21.14"/>
    <col customWidth="1" min="12" max="12" width="9.14"/>
    <col customWidth="1" min="13" max="26" width="8.0"/>
  </cols>
  <sheetData>
    <row r="1">
      <c r="A1" s="36"/>
      <c r="B1" s="36"/>
      <c r="C1" s="37"/>
      <c r="D1" s="1"/>
      <c r="E1" s="1"/>
      <c r="F1" s="1"/>
      <c r="G1" s="1"/>
      <c r="H1" s="1"/>
      <c r="I1" s="1"/>
      <c r="J1" s="1"/>
      <c r="K1" s="1"/>
      <c r="L1" s="1"/>
    </row>
    <row r="2" ht="33.0" customHeight="1">
      <c r="A2" s="38" t="s">
        <v>628</v>
      </c>
      <c r="B2" s="39"/>
      <c r="C2" s="39"/>
      <c r="D2" s="39"/>
      <c r="E2" s="39"/>
      <c r="F2" s="39"/>
      <c r="G2" s="39"/>
      <c r="H2" s="39"/>
      <c r="I2" s="39"/>
      <c r="J2" s="40"/>
      <c r="K2" s="41"/>
      <c r="L2" s="41"/>
      <c r="M2" s="42"/>
      <c r="N2" s="42"/>
      <c r="O2" s="42"/>
      <c r="P2" s="42"/>
      <c r="Q2" s="42"/>
      <c r="R2" s="42"/>
      <c r="S2" s="42"/>
      <c r="T2" s="42"/>
      <c r="U2" s="42"/>
      <c r="V2" s="42"/>
      <c r="W2" s="42"/>
      <c r="X2" s="42"/>
      <c r="Y2" s="42"/>
      <c r="Z2" s="42"/>
    </row>
    <row r="3">
      <c r="A3" s="105"/>
      <c r="B3" s="105"/>
      <c r="C3" s="105"/>
      <c r="D3" s="105"/>
      <c r="E3" s="105"/>
      <c r="F3" s="105"/>
      <c r="G3" s="105"/>
      <c r="H3" s="105"/>
      <c r="I3" s="105"/>
      <c r="J3" s="105"/>
      <c r="K3" s="41"/>
      <c r="L3" s="41"/>
      <c r="M3" s="42"/>
      <c r="N3" s="42"/>
      <c r="O3" s="42"/>
      <c r="P3" s="42"/>
      <c r="Q3" s="42"/>
      <c r="R3" s="42"/>
      <c r="S3" s="42"/>
      <c r="T3" s="42"/>
      <c r="U3" s="42"/>
      <c r="V3" s="42"/>
      <c r="W3" s="42"/>
      <c r="X3" s="42"/>
      <c r="Y3" s="42"/>
      <c r="Z3" s="42"/>
    </row>
    <row r="4" ht="28.5" customHeight="1">
      <c r="A4" s="281" t="s">
        <v>629</v>
      </c>
      <c r="B4" s="39"/>
      <c r="C4" s="39"/>
      <c r="D4" s="39"/>
      <c r="E4" s="39"/>
      <c r="F4" s="39"/>
      <c r="G4" s="39"/>
      <c r="H4" s="39"/>
      <c r="I4" s="39"/>
      <c r="J4" s="40"/>
      <c r="K4" s="41"/>
      <c r="L4" s="41"/>
      <c r="M4" s="42"/>
      <c r="N4" s="42"/>
      <c r="O4" s="42"/>
      <c r="P4" s="42"/>
      <c r="Q4" s="42"/>
      <c r="R4" s="42"/>
      <c r="S4" s="42"/>
      <c r="T4" s="42"/>
      <c r="U4" s="42"/>
      <c r="V4" s="42"/>
      <c r="W4" s="42"/>
      <c r="X4" s="42"/>
      <c r="Y4" s="42"/>
      <c r="Z4" s="42"/>
    </row>
    <row r="5">
      <c r="A5" s="281" t="s">
        <v>630</v>
      </c>
      <c r="B5" s="39"/>
      <c r="C5" s="39"/>
      <c r="D5" s="39"/>
      <c r="E5" s="39"/>
      <c r="F5" s="39"/>
      <c r="G5" s="39"/>
      <c r="H5" s="39"/>
      <c r="I5" s="39"/>
      <c r="J5" s="40"/>
      <c r="K5" s="41"/>
      <c r="L5" s="41"/>
      <c r="M5" s="42"/>
      <c r="N5" s="42"/>
      <c r="O5" s="42"/>
      <c r="P5" s="42"/>
      <c r="Q5" s="42"/>
      <c r="R5" s="42"/>
      <c r="S5" s="42"/>
      <c r="T5" s="42"/>
      <c r="U5" s="42"/>
      <c r="V5" s="42"/>
      <c r="W5" s="42"/>
      <c r="X5" s="42"/>
      <c r="Y5" s="42"/>
      <c r="Z5" s="42"/>
    </row>
    <row r="6" ht="13.5" customHeight="1">
      <c r="A6" s="281" t="s">
        <v>631</v>
      </c>
      <c r="B6" s="39"/>
      <c r="C6" s="39"/>
      <c r="D6" s="39"/>
      <c r="E6" s="39"/>
      <c r="F6" s="39"/>
      <c r="G6" s="39"/>
      <c r="H6" s="39"/>
      <c r="I6" s="39"/>
      <c r="J6" s="40"/>
      <c r="K6" s="88"/>
      <c r="L6" s="88"/>
      <c r="M6" s="282"/>
      <c r="N6" s="282"/>
      <c r="O6" s="282"/>
      <c r="P6" s="282"/>
      <c r="Q6" s="282"/>
      <c r="R6" s="282"/>
      <c r="S6" s="282"/>
      <c r="T6" s="282"/>
      <c r="U6" s="282"/>
      <c r="V6" s="282"/>
      <c r="W6" s="282"/>
      <c r="X6" s="282"/>
      <c r="Y6" s="282"/>
      <c r="Z6" s="282"/>
    </row>
    <row r="7" ht="13.5" customHeight="1">
      <c r="A7" s="281" t="s">
        <v>632</v>
      </c>
      <c r="B7" s="39"/>
      <c r="C7" s="39"/>
      <c r="D7" s="39"/>
      <c r="E7" s="39"/>
      <c r="F7" s="39"/>
      <c r="G7" s="39"/>
      <c r="H7" s="39"/>
      <c r="I7" s="39"/>
      <c r="J7" s="40"/>
      <c r="K7" s="88"/>
      <c r="L7" s="88"/>
      <c r="M7" s="282"/>
      <c r="N7" s="282"/>
      <c r="O7" s="282"/>
      <c r="P7" s="282"/>
      <c r="Q7" s="282"/>
      <c r="R7" s="282"/>
      <c r="S7" s="282"/>
      <c r="T7" s="282"/>
      <c r="U7" s="282"/>
      <c r="V7" s="282"/>
      <c r="W7" s="282"/>
      <c r="X7" s="282"/>
      <c r="Y7" s="282"/>
      <c r="Z7" s="282"/>
    </row>
    <row r="8" ht="40.5" customHeight="1">
      <c r="A8" s="281" t="s">
        <v>633</v>
      </c>
      <c r="B8" s="39"/>
      <c r="C8" s="39"/>
      <c r="D8" s="39"/>
      <c r="E8" s="39"/>
      <c r="F8" s="39"/>
      <c r="G8" s="39"/>
      <c r="H8" s="39"/>
      <c r="I8" s="39"/>
      <c r="J8" s="40"/>
      <c r="K8" s="88"/>
      <c r="L8" s="88"/>
      <c r="M8" s="282"/>
      <c r="N8" s="282"/>
      <c r="O8" s="282"/>
      <c r="P8" s="282"/>
      <c r="Q8" s="282"/>
      <c r="R8" s="282"/>
      <c r="S8" s="282"/>
      <c r="T8" s="282"/>
      <c r="U8" s="282"/>
      <c r="V8" s="282"/>
      <c r="W8" s="282"/>
      <c r="X8" s="282"/>
      <c r="Y8" s="282"/>
      <c r="Z8" s="282"/>
    </row>
    <row r="9" ht="68.25" customHeight="1">
      <c r="A9" s="281" t="s">
        <v>634</v>
      </c>
      <c r="B9" s="39"/>
      <c r="C9" s="39"/>
      <c r="D9" s="39"/>
      <c r="E9" s="39"/>
      <c r="F9" s="39"/>
      <c r="G9" s="39"/>
      <c r="H9" s="39"/>
      <c r="I9" s="39"/>
      <c r="J9" s="40"/>
      <c r="K9" s="88"/>
      <c r="L9" s="88"/>
      <c r="M9" s="282"/>
      <c r="N9" s="282"/>
      <c r="O9" s="282"/>
      <c r="P9" s="282"/>
      <c r="Q9" s="282"/>
      <c r="R9" s="282"/>
      <c r="S9" s="282"/>
      <c r="T9" s="282"/>
      <c r="U9" s="282"/>
      <c r="V9" s="282"/>
      <c r="W9" s="282"/>
      <c r="X9" s="282"/>
      <c r="Y9" s="282"/>
      <c r="Z9" s="282"/>
    </row>
    <row r="10" ht="42.75" customHeight="1">
      <c r="A10" s="106" t="s">
        <v>601</v>
      </c>
      <c r="B10" s="39"/>
      <c r="C10" s="39"/>
      <c r="D10" s="39"/>
      <c r="E10" s="39"/>
      <c r="F10" s="39"/>
      <c r="G10" s="39"/>
      <c r="H10" s="39"/>
      <c r="I10" s="39"/>
      <c r="J10" s="40"/>
      <c r="K10" s="88"/>
      <c r="L10" s="88"/>
      <c r="M10" s="282"/>
      <c r="N10" s="282"/>
      <c r="O10" s="282"/>
      <c r="P10" s="282"/>
      <c r="Q10" s="282"/>
      <c r="R10" s="282"/>
      <c r="S10" s="282"/>
      <c r="T10" s="282"/>
      <c r="U10" s="282"/>
      <c r="V10" s="282"/>
      <c r="W10" s="282"/>
      <c r="X10" s="282"/>
      <c r="Y10" s="282"/>
      <c r="Z10" s="282"/>
    </row>
    <row r="11">
      <c r="A11" s="45"/>
      <c r="B11" s="45"/>
      <c r="C11" s="46"/>
      <c r="D11" s="45"/>
      <c r="E11" s="45"/>
      <c r="F11" s="45"/>
      <c r="G11" s="45"/>
      <c r="H11" s="45"/>
      <c r="I11" s="45"/>
      <c r="J11" s="45"/>
      <c r="K11" s="41"/>
      <c r="L11" s="41"/>
      <c r="M11" s="42"/>
      <c r="N11" s="42"/>
      <c r="O11" s="42"/>
      <c r="P11" s="42"/>
      <c r="Q11" s="42"/>
      <c r="R11" s="42"/>
      <c r="S11" s="42"/>
      <c r="T11" s="42"/>
      <c r="U11" s="42"/>
      <c r="V11" s="42"/>
      <c r="W11" s="42"/>
      <c r="X11" s="42"/>
      <c r="Y11" s="42"/>
      <c r="Z11" s="42"/>
    </row>
    <row r="12" ht="57.0" customHeight="1">
      <c r="A12" s="228" t="s">
        <v>602</v>
      </c>
      <c r="B12" s="269" t="s">
        <v>603</v>
      </c>
      <c r="C12" s="109" t="s">
        <v>9</v>
      </c>
      <c r="D12" s="270" t="s">
        <v>635</v>
      </c>
      <c r="E12" s="269" t="s">
        <v>605</v>
      </c>
      <c r="F12" s="269" t="s">
        <v>113</v>
      </c>
      <c r="G12" s="269" t="s">
        <v>606</v>
      </c>
      <c r="H12" s="269" t="s">
        <v>607</v>
      </c>
      <c r="I12" s="228" t="s">
        <v>116</v>
      </c>
      <c r="J12" s="228" t="s">
        <v>117</v>
      </c>
      <c r="K12" s="49" t="s">
        <v>118</v>
      </c>
      <c r="L12" s="41"/>
      <c r="M12" s="42"/>
      <c r="N12" s="42"/>
      <c r="O12" s="42"/>
      <c r="P12" s="42"/>
      <c r="Q12" s="42"/>
      <c r="R12" s="42"/>
      <c r="S12" s="42"/>
      <c r="T12" s="42"/>
      <c r="U12" s="42"/>
      <c r="V12" s="42"/>
      <c r="W12" s="42"/>
      <c r="X12" s="42"/>
      <c r="Y12" s="42"/>
      <c r="Z12" s="42"/>
    </row>
    <row r="13" ht="38.25" customHeight="1">
      <c r="A13" s="52" t="s">
        <v>636</v>
      </c>
      <c r="B13" s="52" t="s">
        <v>637</v>
      </c>
      <c r="C13" s="60" t="s">
        <v>38</v>
      </c>
      <c r="D13" s="52" t="s">
        <v>478</v>
      </c>
      <c r="E13" s="60" t="s">
        <v>638</v>
      </c>
      <c r="F13" s="60">
        <v>2020.0</v>
      </c>
      <c r="G13" s="60" t="s">
        <v>639</v>
      </c>
      <c r="H13" s="60">
        <v>24.0</v>
      </c>
      <c r="I13" s="271">
        <v>48.0</v>
      </c>
      <c r="J13" s="62">
        <v>48.0</v>
      </c>
      <c r="K13" s="62" t="s">
        <v>194</v>
      </c>
      <c r="L13" s="1"/>
    </row>
    <row r="14" ht="38.25" customHeight="1">
      <c r="A14" s="52" t="s">
        <v>640</v>
      </c>
      <c r="B14" s="52" t="s">
        <v>641</v>
      </c>
      <c r="C14" s="60" t="s">
        <v>38</v>
      </c>
      <c r="D14" s="52" t="s">
        <v>642</v>
      </c>
      <c r="E14" s="60" t="s">
        <v>643</v>
      </c>
      <c r="F14" s="60">
        <v>2020.0</v>
      </c>
      <c r="G14" s="60">
        <v>12.0</v>
      </c>
      <c r="H14" s="60">
        <v>212.0</v>
      </c>
      <c r="I14" s="271">
        <f>H14*2</f>
        <v>424</v>
      </c>
      <c r="J14" s="62">
        <v>300.0</v>
      </c>
      <c r="K14" s="62" t="s">
        <v>470</v>
      </c>
      <c r="L14" s="1"/>
    </row>
    <row r="15" ht="25.5" customHeight="1">
      <c r="A15" s="283" t="s">
        <v>644</v>
      </c>
      <c r="B15" s="52" t="s">
        <v>645</v>
      </c>
      <c r="C15" s="60" t="s">
        <v>38</v>
      </c>
      <c r="D15" s="52" t="s">
        <v>646</v>
      </c>
      <c r="E15" s="283" t="s">
        <v>647</v>
      </c>
      <c r="F15" s="60">
        <v>2020.0</v>
      </c>
      <c r="G15" s="60" t="s">
        <v>623</v>
      </c>
      <c r="H15" s="60">
        <v>270.0</v>
      </c>
      <c r="I15" s="271">
        <v>540.0</v>
      </c>
      <c r="J15" s="62">
        <v>270.0</v>
      </c>
      <c r="K15" s="62" t="s">
        <v>648</v>
      </c>
      <c r="L15" s="1"/>
    </row>
    <row r="16" ht="51.0" customHeight="1">
      <c r="A16" s="52" t="s">
        <v>649</v>
      </c>
      <c r="B16" s="52" t="s">
        <v>650</v>
      </c>
      <c r="C16" s="60" t="s">
        <v>38</v>
      </c>
      <c r="D16" s="52" t="s">
        <v>651</v>
      </c>
      <c r="E16" s="60" t="s">
        <v>652</v>
      </c>
      <c r="F16" s="60">
        <v>2020.0</v>
      </c>
      <c r="G16" s="60" t="s">
        <v>653</v>
      </c>
      <c r="H16" s="60">
        <v>100.0</v>
      </c>
      <c r="I16" s="271">
        <v>200.0</v>
      </c>
      <c r="J16" s="62">
        <v>200.0</v>
      </c>
      <c r="K16" s="62" t="s">
        <v>654</v>
      </c>
      <c r="L16" s="1"/>
    </row>
    <row r="17" ht="51.0" customHeight="1">
      <c r="A17" s="284" t="s">
        <v>655</v>
      </c>
      <c r="B17" s="284" t="s">
        <v>656</v>
      </c>
      <c r="C17" s="285" t="s">
        <v>38</v>
      </c>
      <c r="D17" s="284" t="s">
        <v>651</v>
      </c>
      <c r="E17" s="284" t="s">
        <v>657</v>
      </c>
      <c r="F17" s="286">
        <v>2020.0</v>
      </c>
      <c r="G17" s="287">
        <v>44501.0</v>
      </c>
      <c r="H17" s="286">
        <v>194.0</v>
      </c>
      <c r="I17" s="288">
        <v>388.0</v>
      </c>
      <c r="J17" s="289">
        <v>300.0</v>
      </c>
      <c r="K17" s="62" t="s">
        <v>658</v>
      </c>
      <c r="L17" s="1"/>
    </row>
    <row r="18" ht="51.0" customHeight="1">
      <c r="A18" s="52" t="s">
        <v>659</v>
      </c>
      <c r="B18" s="52" t="s">
        <v>348</v>
      </c>
      <c r="C18" s="60" t="s">
        <v>38</v>
      </c>
      <c r="D18" s="52" t="s">
        <v>660</v>
      </c>
      <c r="E18" s="60" t="s">
        <v>661</v>
      </c>
      <c r="F18" s="60">
        <v>2020.0</v>
      </c>
      <c r="G18" s="60" t="s">
        <v>662</v>
      </c>
      <c r="H18" s="60">
        <v>208.0</v>
      </c>
      <c r="I18" s="271">
        <v>416.0</v>
      </c>
      <c r="J18" s="290">
        <v>300.0</v>
      </c>
      <c r="K18" s="62" t="s">
        <v>355</v>
      </c>
      <c r="L18" s="1"/>
    </row>
    <row r="19" ht="51.0" customHeight="1">
      <c r="A19" s="52" t="s">
        <v>663</v>
      </c>
      <c r="B19" s="52" t="s">
        <v>664</v>
      </c>
      <c r="C19" s="60" t="s">
        <v>38</v>
      </c>
      <c r="D19" s="52" t="s">
        <v>665</v>
      </c>
      <c r="E19" s="60" t="s">
        <v>666</v>
      </c>
      <c r="F19" s="60">
        <v>2020.0</v>
      </c>
      <c r="G19" s="60" t="s">
        <v>667</v>
      </c>
      <c r="H19" s="60">
        <v>155.0</v>
      </c>
      <c r="I19" s="60">
        <v>310.0</v>
      </c>
      <c r="J19" s="62">
        <v>155.0</v>
      </c>
      <c r="K19" s="62" t="s">
        <v>668</v>
      </c>
      <c r="L19" s="1"/>
    </row>
    <row r="20" ht="38.25" customHeight="1">
      <c r="A20" s="52" t="s">
        <v>636</v>
      </c>
      <c r="B20" s="52" t="s">
        <v>669</v>
      </c>
      <c r="C20" s="60" t="s">
        <v>38</v>
      </c>
      <c r="D20" s="52" t="s">
        <v>478</v>
      </c>
      <c r="E20" s="60" t="s">
        <v>638</v>
      </c>
      <c r="F20" s="60">
        <v>2020.0</v>
      </c>
      <c r="G20" s="60" t="s">
        <v>639</v>
      </c>
      <c r="H20" s="60">
        <v>170.0</v>
      </c>
      <c r="I20" s="271">
        <v>340.0</v>
      </c>
      <c r="J20" s="62">
        <f>I20/2</f>
        <v>170</v>
      </c>
      <c r="K20" s="62" t="s">
        <v>425</v>
      </c>
      <c r="L20" s="1"/>
    </row>
    <row r="21" ht="63.75" customHeight="1">
      <c r="A21" s="52" t="s">
        <v>670</v>
      </c>
      <c r="B21" s="52" t="s">
        <v>671</v>
      </c>
      <c r="C21" s="60" t="s">
        <v>38</v>
      </c>
      <c r="D21" s="52" t="s">
        <v>672</v>
      </c>
      <c r="E21" s="60" t="s">
        <v>673</v>
      </c>
      <c r="F21" s="60">
        <v>2020.0</v>
      </c>
      <c r="G21" s="60" t="s">
        <v>623</v>
      </c>
      <c r="H21" s="60">
        <v>145.0</v>
      </c>
      <c r="I21" s="271">
        <f>145*2</f>
        <v>290</v>
      </c>
      <c r="J21" s="62">
        <v>290.0</v>
      </c>
      <c r="K21" s="62" t="s">
        <v>146</v>
      </c>
      <c r="L21" s="1"/>
    </row>
    <row r="22" ht="76.5" customHeight="1">
      <c r="A22" s="52" t="s">
        <v>674</v>
      </c>
      <c r="B22" s="52" t="s">
        <v>625</v>
      </c>
      <c r="C22" s="60" t="s">
        <v>38</v>
      </c>
      <c r="D22" s="52" t="s">
        <v>675</v>
      </c>
      <c r="E22" s="60" t="s">
        <v>676</v>
      </c>
      <c r="F22" s="60">
        <v>2020.0</v>
      </c>
      <c r="G22" s="60" t="s">
        <v>677</v>
      </c>
      <c r="H22" s="60">
        <v>9.0</v>
      </c>
      <c r="I22" s="271">
        <v>18.0</v>
      </c>
      <c r="J22" s="62">
        <v>9.0</v>
      </c>
      <c r="K22" s="62" t="s">
        <v>485</v>
      </c>
      <c r="L22" s="1"/>
    </row>
    <row r="23" ht="51.0" customHeight="1">
      <c r="A23" s="52" t="s">
        <v>678</v>
      </c>
      <c r="B23" s="52" t="s">
        <v>679</v>
      </c>
      <c r="C23" s="60" t="s">
        <v>38</v>
      </c>
      <c r="D23" s="52" t="s">
        <v>651</v>
      </c>
      <c r="E23" s="60" t="s">
        <v>680</v>
      </c>
      <c r="F23" s="60">
        <v>2020.0</v>
      </c>
      <c r="G23" s="60" t="s">
        <v>667</v>
      </c>
      <c r="H23" s="60">
        <v>241.0</v>
      </c>
      <c r="I23" s="271">
        <v>482.0</v>
      </c>
      <c r="J23" s="62">
        <v>300.0</v>
      </c>
      <c r="K23" s="62" t="s">
        <v>679</v>
      </c>
      <c r="L23" s="1"/>
    </row>
    <row r="24" ht="51.0" customHeight="1">
      <c r="A24" s="271" t="s">
        <v>681</v>
      </c>
      <c r="B24" s="52" t="s">
        <v>682</v>
      </c>
      <c r="C24" s="60" t="s">
        <v>38</v>
      </c>
      <c r="D24" s="57" t="s">
        <v>683</v>
      </c>
      <c r="E24" s="60" t="s">
        <v>684</v>
      </c>
      <c r="F24" s="60">
        <v>2020.0</v>
      </c>
      <c r="G24" s="60" t="s">
        <v>623</v>
      </c>
      <c r="H24" s="60">
        <v>270.0</v>
      </c>
      <c r="I24" s="271">
        <v>540.0</v>
      </c>
      <c r="J24" s="62">
        <v>270.0</v>
      </c>
      <c r="K24" s="62" t="s">
        <v>685</v>
      </c>
      <c r="L24" s="1"/>
    </row>
    <row r="25" ht="38.25" customHeight="1">
      <c r="A25" s="52" t="s">
        <v>686</v>
      </c>
      <c r="B25" s="52" t="s">
        <v>687</v>
      </c>
      <c r="C25" s="60" t="s">
        <v>38</v>
      </c>
      <c r="D25" s="52" t="s">
        <v>688</v>
      </c>
      <c r="E25" s="291">
        <v>9.786061218387E12</v>
      </c>
      <c r="F25" s="60">
        <v>2020.0</v>
      </c>
      <c r="G25" s="60" t="s">
        <v>689</v>
      </c>
      <c r="H25" s="60">
        <v>150.0</v>
      </c>
      <c r="I25" s="271">
        <v>300.0</v>
      </c>
      <c r="J25" s="62">
        <f>I25</f>
        <v>300</v>
      </c>
      <c r="K25" s="62" t="s">
        <v>203</v>
      </c>
      <c r="L25" s="1"/>
    </row>
    <row r="26" ht="15.75" customHeight="1">
      <c r="A26" s="52"/>
      <c r="B26" s="52"/>
      <c r="C26" s="56"/>
      <c r="D26" s="52"/>
      <c r="E26" s="60"/>
      <c r="F26" s="60"/>
      <c r="G26" s="60"/>
      <c r="H26" s="60"/>
      <c r="I26" s="271"/>
      <c r="J26" s="62"/>
      <c r="K26" s="62"/>
      <c r="L26" s="1"/>
    </row>
    <row r="27" ht="15.75" customHeight="1">
      <c r="A27" s="52"/>
      <c r="B27" s="52"/>
      <c r="C27" s="56"/>
      <c r="D27" s="52"/>
      <c r="E27" s="60"/>
      <c r="F27" s="60"/>
      <c r="G27" s="60"/>
      <c r="H27" s="60"/>
      <c r="I27" s="271"/>
      <c r="J27" s="62"/>
      <c r="K27" s="62"/>
      <c r="L27" s="1"/>
    </row>
    <row r="28" ht="15.75" customHeight="1">
      <c r="A28" s="52"/>
      <c r="B28" s="52"/>
      <c r="C28" s="56"/>
      <c r="D28" s="52"/>
      <c r="E28" s="60"/>
      <c r="F28" s="60"/>
      <c r="G28" s="60"/>
      <c r="H28" s="60"/>
      <c r="I28" s="271"/>
      <c r="J28" s="62"/>
      <c r="K28" s="62"/>
      <c r="L28" s="1"/>
    </row>
    <row r="29" ht="15.75" customHeight="1">
      <c r="A29" s="52"/>
      <c r="B29" s="52"/>
      <c r="C29" s="56"/>
      <c r="D29" s="52"/>
      <c r="E29" s="60"/>
      <c r="F29" s="60"/>
      <c r="G29" s="60"/>
      <c r="H29" s="60"/>
      <c r="I29" s="271"/>
      <c r="J29" s="62"/>
      <c r="K29" s="62"/>
      <c r="L29" s="1"/>
    </row>
    <row r="30" ht="15.75" customHeight="1">
      <c r="A30" s="52"/>
      <c r="B30" s="52"/>
      <c r="C30" s="56"/>
      <c r="D30" s="52"/>
      <c r="E30" s="60"/>
      <c r="F30" s="60"/>
      <c r="G30" s="60"/>
      <c r="H30" s="60"/>
      <c r="I30" s="271"/>
      <c r="J30" s="62"/>
      <c r="K30" s="62"/>
      <c r="L30" s="1"/>
    </row>
    <row r="31" ht="15.75" customHeight="1">
      <c r="A31" s="52"/>
      <c r="B31" s="52"/>
      <c r="C31" s="56"/>
      <c r="D31" s="52"/>
      <c r="E31" s="60"/>
      <c r="F31" s="60"/>
      <c r="G31" s="60"/>
      <c r="H31" s="60"/>
      <c r="I31" s="271"/>
      <c r="J31" s="62"/>
      <c r="K31" s="62"/>
      <c r="L31" s="1"/>
    </row>
    <row r="32" ht="15.75" customHeight="1">
      <c r="A32" s="52"/>
      <c r="B32" s="52"/>
      <c r="C32" s="56"/>
      <c r="D32" s="52"/>
      <c r="E32" s="60"/>
      <c r="F32" s="60"/>
      <c r="G32" s="60"/>
      <c r="H32" s="60"/>
      <c r="I32" s="271"/>
      <c r="J32" s="62"/>
      <c r="K32" s="62"/>
      <c r="L32" s="1"/>
    </row>
    <row r="33" ht="15.75" customHeight="1">
      <c r="A33" s="52"/>
      <c r="B33" s="52"/>
      <c r="C33" s="56"/>
      <c r="D33" s="52"/>
      <c r="E33" s="60"/>
      <c r="F33" s="60"/>
      <c r="G33" s="60"/>
      <c r="H33" s="60"/>
      <c r="I33" s="271"/>
      <c r="J33" s="62"/>
      <c r="K33" s="62"/>
      <c r="L33" s="1"/>
    </row>
    <row r="34" ht="15.75" customHeight="1">
      <c r="A34" s="52"/>
      <c r="B34" s="52"/>
      <c r="C34" s="56"/>
      <c r="D34" s="52"/>
      <c r="E34" s="60"/>
      <c r="F34" s="60"/>
      <c r="G34" s="60"/>
      <c r="H34" s="60"/>
      <c r="I34" s="271"/>
      <c r="J34" s="62"/>
      <c r="K34" s="62"/>
      <c r="L34" s="1"/>
    </row>
    <row r="35" ht="15.75" customHeight="1">
      <c r="A35" s="52"/>
      <c r="B35" s="52"/>
      <c r="C35" s="56"/>
      <c r="D35" s="52"/>
      <c r="E35" s="60"/>
      <c r="F35" s="60"/>
      <c r="G35" s="60"/>
      <c r="H35" s="60"/>
      <c r="I35" s="271"/>
      <c r="J35" s="62"/>
      <c r="K35" s="62"/>
      <c r="L35" s="1"/>
    </row>
    <row r="36" ht="15.75" customHeight="1">
      <c r="A36" s="52"/>
      <c r="B36" s="52"/>
      <c r="C36" s="56"/>
      <c r="D36" s="52"/>
      <c r="E36" s="60"/>
      <c r="F36" s="60"/>
      <c r="G36" s="60"/>
      <c r="H36" s="60"/>
      <c r="I36" s="271"/>
      <c r="J36" s="62"/>
      <c r="K36" s="62"/>
      <c r="L36" s="1"/>
    </row>
    <row r="37" ht="15.75" customHeight="1">
      <c r="A37" s="52"/>
      <c r="B37" s="52"/>
      <c r="C37" s="56"/>
      <c r="D37" s="52"/>
      <c r="E37" s="60"/>
      <c r="F37" s="60"/>
      <c r="G37" s="60"/>
      <c r="H37" s="60"/>
      <c r="I37" s="271"/>
      <c r="J37" s="62"/>
      <c r="K37" s="62"/>
      <c r="L37" s="1"/>
    </row>
    <row r="38" ht="15.75" customHeight="1">
      <c r="A38" s="52"/>
      <c r="B38" s="52"/>
      <c r="C38" s="56"/>
      <c r="D38" s="52"/>
      <c r="E38" s="60"/>
      <c r="F38" s="60"/>
      <c r="G38" s="60"/>
      <c r="H38" s="60"/>
      <c r="I38" s="271"/>
      <c r="J38" s="62"/>
      <c r="K38" s="62"/>
      <c r="L38" s="1"/>
    </row>
    <row r="39" ht="15.75" customHeight="1">
      <c r="A39" s="52"/>
      <c r="B39" s="52"/>
      <c r="C39" s="56"/>
      <c r="D39" s="52"/>
      <c r="E39" s="60"/>
      <c r="F39" s="60"/>
      <c r="G39" s="60"/>
      <c r="H39" s="60"/>
      <c r="I39" s="271"/>
      <c r="J39" s="62"/>
      <c r="K39" s="62"/>
      <c r="L39" s="1"/>
    </row>
    <row r="40" ht="15.75" customHeight="1">
      <c r="A40" s="52"/>
      <c r="B40" s="52"/>
      <c r="C40" s="56"/>
      <c r="D40" s="52"/>
      <c r="E40" s="60"/>
      <c r="F40" s="60"/>
      <c r="G40" s="60"/>
      <c r="H40" s="60"/>
      <c r="I40" s="271"/>
      <c r="J40" s="62"/>
      <c r="K40" s="62"/>
      <c r="L40" s="1"/>
    </row>
    <row r="41" ht="15.75" customHeight="1">
      <c r="A41" s="52"/>
      <c r="B41" s="52"/>
      <c r="C41" s="56"/>
      <c r="D41" s="52"/>
      <c r="E41" s="60"/>
      <c r="F41" s="60"/>
      <c r="G41" s="60"/>
      <c r="H41" s="60"/>
      <c r="I41" s="271"/>
      <c r="J41" s="62"/>
      <c r="K41" s="62"/>
      <c r="L41" s="1"/>
    </row>
    <row r="42" ht="15.75" customHeight="1">
      <c r="A42" s="52"/>
      <c r="B42" s="52"/>
      <c r="C42" s="56"/>
      <c r="D42" s="52"/>
      <c r="E42" s="60"/>
      <c r="F42" s="60"/>
      <c r="G42" s="60"/>
      <c r="H42" s="60"/>
      <c r="I42" s="271"/>
      <c r="J42" s="62"/>
      <c r="K42" s="62"/>
      <c r="L42" s="1"/>
    </row>
    <row r="43" ht="15.75" customHeight="1">
      <c r="A43" s="52"/>
      <c r="B43" s="52"/>
      <c r="C43" s="56"/>
      <c r="D43" s="52"/>
      <c r="E43" s="60"/>
      <c r="F43" s="60"/>
      <c r="G43" s="60"/>
      <c r="H43" s="60"/>
      <c r="I43" s="271"/>
      <c r="J43" s="62"/>
      <c r="K43" s="62"/>
      <c r="L43" s="1"/>
    </row>
    <row r="44" ht="15.75" customHeight="1">
      <c r="A44" s="52"/>
      <c r="B44" s="52"/>
      <c r="C44" s="56"/>
      <c r="D44" s="52"/>
      <c r="E44" s="60"/>
      <c r="F44" s="60"/>
      <c r="G44" s="60"/>
      <c r="H44" s="60"/>
      <c r="I44" s="271"/>
      <c r="J44" s="62"/>
      <c r="K44" s="62"/>
      <c r="L44" s="1"/>
    </row>
    <row r="45" ht="15.75" customHeight="1">
      <c r="A45" s="52"/>
      <c r="B45" s="52"/>
      <c r="C45" s="56"/>
      <c r="D45" s="52"/>
      <c r="E45" s="60"/>
      <c r="F45" s="60"/>
      <c r="G45" s="60"/>
      <c r="H45" s="60"/>
      <c r="I45" s="271"/>
      <c r="J45" s="62"/>
      <c r="K45" s="62"/>
      <c r="L45" s="1"/>
    </row>
    <row r="46" ht="15.75" customHeight="1">
      <c r="A46" s="52"/>
      <c r="B46" s="52"/>
      <c r="C46" s="56"/>
      <c r="D46" s="52"/>
      <c r="E46" s="60"/>
      <c r="F46" s="60"/>
      <c r="G46" s="60"/>
      <c r="H46" s="60"/>
      <c r="I46" s="271"/>
      <c r="J46" s="62"/>
      <c r="K46" s="62"/>
      <c r="L46" s="1"/>
    </row>
    <row r="47" ht="15.75" customHeight="1">
      <c r="A47" s="52"/>
      <c r="B47" s="52"/>
      <c r="C47" s="56"/>
      <c r="D47" s="52"/>
      <c r="E47" s="60"/>
      <c r="F47" s="60"/>
      <c r="G47" s="60"/>
      <c r="H47" s="60"/>
      <c r="I47" s="271"/>
      <c r="J47" s="62"/>
      <c r="K47" s="62"/>
      <c r="L47" s="1"/>
    </row>
    <row r="48" ht="15.75" customHeight="1">
      <c r="A48" s="52"/>
      <c r="B48" s="52"/>
      <c r="C48" s="56"/>
      <c r="D48" s="52"/>
      <c r="E48" s="60"/>
      <c r="F48" s="60"/>
      <c r="G48" s="60"/>
      <c r="H48" s="60"/>
      <c r="I48" s="271"/>
      <c r="J48" s="62"/>
      <c r="K48" s="62"/>
      <c r="L48" s="1"/>
    </row>
    <row r="49" ht="15.75" customHeight="1">
      <c r="A49" s="52"/>
      <c r="B49" s="52"/>
      <c r="C49" s="56"/>
      <c r="D49" s="52"/>
      <c r="E49" s="60"/>
      <c r="F49" s="60"/>
      <c r="G49" s="60"/>
      <c r="H49" s="60"/>
      <c r="I49" s="271"/>
      <c r="J49" s="62"/>
      <c r="K49" s="62"/>
      <c r="L49" s="1"/>
    </row>
    <row r="50" ht="15.75" customHeight="1">
      <c r="A50" s="52"/>
      <c r="B50" s="52"/>
      <c r="C50" s="56"/>
      <c r="D50" s="52"/>
      <c r="E50" s="60"/>
      <c r="F50" s="60"/>
      <c r="G50" s="60"/>
      <c r="H50" s="60"/>
      <c r="I50" s="271"/>
      <c r="J50" s="62"/>
      <c r="K50" s="62"/>
      <c r="L50" s="1"/>
    </row>
    <row r="51" ht="15.75" customHeight="1">
      <c r="A51" s="52"/>
      <c r="B51" s="52"/>
      <c r="C51" s="56"/>
      <c r="D51" s="52"/>
      <c r="E51" s="60"/>
      <c r="F51" s="60"/>
      <c r="G51" s="60"/>
      <c r="H51" s="60"/>
      <c r="I51" s="271"/>
      <c r="J51" s="62"/>
      <c r="K51" s="62"/>
      <c r="L51" s="1"/>
    </row>
    <row r="52" ht="15.75" customHeight="1">
      <c r="A52" s="52"/>
      <c r="B52" s="52"/>
      <c r="C52" s="56"/>
      <c r="D52" s="52"/>
      <c r="E52" s="60"/>
      <c r="F52" s="60"/>
      <c r="G52" s="60"/>
      <c r="H52" s="60"/>
      <c r="I52" s="271"/>
      <c r="J52" s="62"/>
      <c r="K52" s="62"/>
      <c r="L52" s="1"/>
    </row>
    <row r="53" ht="15.75" customHeight="1">
      <c r="A53" s="52"/>
      <c r="B53" s="52"/>
      <c r="C53" s="56"/>
      <c r="D53" s="52"/>
      <c r="E53" s="60"/>
      <c r="F53" s="60"/>
      <c r="G53" s="60"/>
      <c r="H53" s="60"/>
      <c r="I53" s="271"/>
      <c r="J53" s="62"/>
      <c r="K53" s="62"/>
      <c r="L53" s="1"/>
    </row>
    <row r="54" ht="15.75" customHeight="1">
      <c r="A54" s="52"/>
      <c r="B54" s="52"/>
      <c r="C54" s="56"/>
      <c r="D54" s="52"/>
      <c r="E54" s="60"/>
      <c r="F54" s="60"/>
      <c r="G54" s="60"/>
      <c r="H54" s="60"/>
      <c r="I54" s="271"/>
      <c r="J54" s="62"/>
      <c r="K54" s="62"/>
      <c r="L54" s="1"/>
    </row>
    <row r="55" ht="15.75" customHeight="1">
      <c r="A55" s="52"/>
      <c r="B55" s="52"/>
      <c r="C55" s="56"/>
      <c r="D55" s="52"/>
      <c r="E55" s="60"/>
      <c r="F55" s="60"/>
      <c r="G55" s="60"/>
      <c r="H55" s="60"/>
      <c r="I55" s="271"/>
      <c r="J55" s="62"/>
      <c r="K55" s="62"/>
      <c r="L55" s="1"/>
    </row>
    <row r="56" ht="15.75" customHeight="1">
      <c r="A56" s="52"/>
      <c r="B56" s="52"/>
      <c r="C56" s="56"/>
      <c r="D56" s="52"/>
      <c r="E56" s="60"/>
      <c r="F56" s="60"/>
      <c r="G56" s="60"/>
      <c r="H56" s="60"/>
      <c r="I56" s="271"/>
      <c r="J56" s="62"/>
      <c r="K56" s="62"/>
      <c r="L56" s="1"/>
    </row>
    <row r="57" ht="15.75" customHeight="1">
      <c r="A57" s="52"/>
      <c r="B57" s="52"/>
      <c r="C57" s="56"/>
      <c r="D57" s="52"/>
      <c r="E57" s="60"/>
      <c r="F57" s="60"/>
      <c r="G57" s="60"/>
      <c r="H57" s="60"/>
      <c r="I57" s="271"/>
      <c r="J57" s="62"/>
      <c r="K57" s="62"/>
      <c r="L57" s="1"/>
    </row>
    <row r="58" ht="15.75" customHeight="1">
      <c r="A58" s="52"/>
      <c r="B58" s="52"/>
      <c r="C58" s="56"/>
      <c r="D58" s="52"/>
      <c r="E58" s="60"/>
      <c r="F58" s="60"/>
      <c r="G58" s="60"/>
      <c r="H58" s="60"/>
      <c r="I58" s="271"/>
      <c r="J58" s="62"/>
      <c r="K58" s="62"/>
      <c r="L58" s="1"/>
    </row>
    <row r="59" ht="15.75" customHeight="1">
      <c r="A59" s="52"/>
      <c r="B59" s="52"/>
      <c r="C59" s="56"/>
      <c r="D59" s="52"/>
      <c r="E59" s="60"/>
      <c r="F59" s="60"/>
      <c r="G59" s="60"/>
      <c r="H59" s="60"/>
      <c r="I59" s="271"/>
      <c r="J59" s="62"/>
      <c r="K59" s="62"/>
      <c r="L59" s="1"/>
    </row>
    <row r="60" ht="15.75" customHeight="1">
      <c r="A60" s="52"/>
      <c r="B60" s="52"/>
      <c r="C60" s="56"/>
      <c r="D60" s="52"/>
      <c r="E60" s="60"/>
      <c r="F60" s="60"/>
      <c r="G60" s="60"/>
      <c r="H60" s="60"/>
      <c r="I60" s="271"/>
      <c r="J60" s="62"/>
      <c r="K60" s="62"/>
      <c r="L60" s="1"/>
    </row>
    <row r="61" ht="15.75" customHeight="1">
      <c r="A61" s="52"/>
      <c r="B61" s="52"/>
      <c r="C61" s="56"/>
      <c r="D61" s="52"/>
      <c r="E61" s="60"/>
      <c r="F61" s="60"/>
      <c r="G61" s="60"/>
      <c r="H61" s="60"/>
      <c r="I61" s="271"/>
      <c r="J61" s="62"/>
      <c r="K61" s="62"/>
      <c r="L61" s="1"/>
    </row>
    <row r="62" ht="15.75" customHeight="1">
      <c r="A62" s="52"/>
      <c r="B62" s="52"/>
      <c r="C62" s="60"/>
      <c r="D62" s="52"/>
      <c r="E62" s="60"/>
      <c r="F62" s="60"/>
      <c r="G62" s="60"/>
      <c r="H62" s="60"/>
      <c r="I62" s="271"/>
      <c r="J62" s="62"/>
      <c r="K62" s="62"/>
      <c r="L62" s="1"/>
    </row>
    <row r="63" ht="15.75" customHeight="1">
      <c r="A63" s="88" t="s">
        <v>88</v>
      </c>
      <c r="B63" s="88"/>
      <c r="C63" s="37"/>
      <c r="D63" s="1"/>
      <c r="E63" s="1"/>
      <c r="F63" s="1"/>
      <c r="G63" s="1"/>
      <c r="H63" s="1"/>
      <c r="I63" s="279"/>
      <c r="J63" s="89">
        <f>SUM(J13:J62)</f>
        <v>2912</v>
      </c>
      <c r="K63" s="1"/>
      <c r="L63" s="1"/>
    </row>
    <row r="64" ht="15.75" customHeight="1">
      <c r="A64" s="36"/>
      <c r="B64" s="36"/>
      <c r="C64" s="37"/>
      <c r="D64" s="1"/>
      <c r="E64" s="1"/>
      <c r="F64" s="1"/>
      <c r="G64" s="1"/>
      <c r="H64" s="1"/>
      <c r="I64" s="1"/>
      <c r="J64" s="1"/>
      <c r="K64" s="1"/>
      <c r="L64" s="1"/>
    </row>
    <row r="65" ht="15.75" customHeight="1">
      <c r="A65" s="90" t="s">
        <v>178</v>
      </c>
      <c r="B65" s="91"/>
      <c r="C65" s="91"/>
      <c r="D65" s="91"/>
      <c r="E65" s="91"/>
      <c r="F65" s="91"/>
      <c r="G65" s="91"/>
      <c r="H65" s="91"/>
      <c r="I65" s="91"/>
      <c r="J65" s="92"/>
      <c r="K65" s="1"/>
      <c r="L65" s="1"/>
    </row>
    <row r="66" ht="15.75" customHeight="1">
      <c r="A66" s="36"/>
      <c r="B66" s="36"/>
      <c r="C66" s="37"/>
      <c r="D66" s="1"/>
      <c r="E66" s="1"/>
      <c r="F66" s="1"/>
      <c r="G66" s="1"/>
      <c r="H66" s="1"/>
      <c r="I66" s="1"/>
      <c r="J66" s="1"/>
      <c r="K66" s="1"/>
      <c r="L66" s="1"/>
    </row>
    <row r="67" ht="15.75" customHeight="1">
      <c r="A67" s="36"/>
      <c r="B67" s="36"/>
      <c r="C67" s="37"/>
      <c r="D67" s="1"/>
      <c r="E67" s="1"/>
      <c r="F67" s="1"/>
      <c r="G67" s="1"/>
      <c r="H67" s="1"/>
      <c r="I67" s="1"/>
      <c r="J67" s="1"/>
      <c r="K67" s="1"/>
      <c r="L67" s="1"/>
    </row>
    <row r="68" ht="15.75" customHeight="1">
      <c r="A68" s="36"/>
      <c r="B68" s="36"/>
      <c r="C68" s="37"/>
      <c r="D68" s="1"/>
      <c r="E68" s="1"/>
      <c r="F68" s="1"/>
      <c r="G68" s="1"/>
      <c r="H68" s="1"/>
      <c r="I68" s="1"/>
      <c r="J68" s="1"/>
      <c r="K68" s="1"/>
      <c r="L68" s="1"/>
    </row>
    <row r="69" ht="15.75" customHeight="1">
      <c r="A69" s="36"/>
      <c r="B69" s="36"/>
      <c r="C69" s="37"/>
      <c r="D69" s="1"/>
      <c r="E69" s="1"/>
      <c r="F69" s="1"/>
      <c r="G69" s="1"/>
      <c r="H69" s="1"/>
      <c r="I69" s="1"/>
      <c r="J69" s="1"/>
      <c r="K69" s="1"/>
      <c r="L69" s="1"/>
    </row>
    <row r="70" ht="15.75" customHeight="1">
      <c r="A70" s="36"/>
      <c r="B70" s="36"/>
      <c r="C70" s="37"/>
      <c r="D70" s="1"/>
      <c r="E70" s="1"/>
      <c r="F70" s="1"/>
      <c r="G70" s="1"/>
      <c r="H70" s="1"/>
      <c r="I70" s="1"/>
      <c r="J70" s="1"/>
      <c r="K70" s="1"/>
      <c r="L70" s="1"/>
    </row>
    <row r="71" ht="15.75" customHeight="1">
      <c r="A71" s="36"/>
      <c r="B71" s="36"/>
      <c r="C71" s="37"/>
      <c r="D71" s="1"/>
      <c r="E71" s="1"/>
      <c r="F71" s="1"/>
      <c r="G71" s="1"/>
      <c r="H71" s="1"/>
      <c r="I71" s="1"/>
      <c r="J71" s="1"/>
      <c r="K71" s="1"/>
      <c r="L71" s="1"/>
    </row>
    <row r="72" ht="15.75" customHeight="1">
      <c r="A72" s="36"/>
      <c r="B72" s="36"/>
      <c r="C72" s="37"/>
      <c r="D72" s="1"/>
      <c r="E72" s="1"/>
      <c r="F72" s="1"/>
      <c r="G72" s="1"/>
      <c r="H72" s="1"/>
      <c r="I72" s="1"/>
      <c r="J72" s="1"/>
      <c r="K72" s="1"/>
      <c r="L72" s="1"/>
    </row>
    <row r="73" ht="15.75" customHeight="1">
      <c r="A73" s="36"/>
      <c r="B73" s="36"/>
      <c r="C73" s="37"/>
      <c r="D73" s="1"/>
      <c r="E73" s="1"/>
      <c r="F73" s="1"/>
      <c r="G73" s="1"/>
      <c r="H73" s="1"/>
      <c r="I73" s="1"/>
      <c r="J73" s="1"/>
      <c r="K73" s="1"/>
      <c r="L73" s="1"/>
    </row>
    <row r="74" ht="15.75" customHeight="1">
      <c r="A74" s="36"/>
      <c r="B74" s="36"/>
      <c r="C74" s="37"/>
      <c r="D74" s="1"/>
      <c r="E74" s="1"/>
      <c r="F74" s="1"/>
      <c r="G74" s="1"/>
      <c r="H74" s="1"/>
      <c r="I74" s="1"/>
      <c r="J74" s="1"/>
      <c r="K74" s="1"/>
      <c r="L74" s="1"/>
    </row>
    <row r="75" ht="15.75" customHeight="1">
      <c r="A75" s="36"/>
      <c r="B75" s="36"/>
      <c r="C75" s="37"/>
      <c r="D75" s="1"/>
      <c r="E75" s="1"/>
      <c r="F75" s="1"/>
      <c r="G75" s="1"/>
      <c r="H75" s="1"/>
      <c r="I75" s="1"/>
      <c r="J75" s="1"/>
      <c r="K75" s="1"/>
      <c r="L75" s="1"/>
    </row>
    <row r="76" ht="15.75" customHeight="1">
      <c r="A76" s="36"/>
      <c r="B76" s="36"/>
      <c r="C76" s="37"/>
      <c r="D76" s="1"/>
      <c r="E76" s="1"/>
      <c r="F76" s="1"/>
      <c r="G76" s="1"/>
      <c r="H76" s="1"/>
      <c r="I76" s="1"/>
      <c r="J76" s="1"/>
      <c r="K76" s="1"/>
      <c r="L76" s="1"/>
    </row>
    <row r="77" ht="15.75" customHeight="1">
      <c r="A77" s="36"/>
      <c r="B77" s="36"/>
      <c r="C77" s="37"/>
      <c r="D77" s="1"/>
      <c r="E77" s="1"/>
      <c r="F77" s="1"/>
      <c r="G77" s="1"/>
      <c r="H77" s="1"/>
      <c r="I77" s="1"/>
      <c r="J77" s="1"/>
      <c r="K77" s="1"/>
      <c r="L77" s="1"/>
    </row>
    <row r="78" ht="15.75" customHeight="1">
      <c r="A78" s="36"/>
      <c r="B78" s="36"/>
      <c r="C78" s="37"/>
      <c r="D78" s="1"/>
      <c r="E78" s="1"/>
      <c r="F78" s="1"/>
      <c r="G78" s="1"/>
      <c r="H78" s="1"/>
      <c r="I78" s="1"/>
      <c r="J78" s="1"/>
      <c r="K78" s="1"/>
      <c r="L78" s="1"/>
    </row>
    <row r="79" ht="15.75" customHeight="1">
      <c r="A79" s="36"/>
      <c r="B79" s="36"/>
      <c r="C79" s="37"/>
      <c r="D79" s="1"/>
      <c r="E79" s="1"/>
      <c r="F79" s="1"/>
      <c r="G79" s="1"/>
      <c r="H79" s="1"/>
      <c r="I79" s="1"/>
      <c r="J79" s="1"/>
      <c r="K79" s="1"/>
      <c r="L79" s="1"/>
    </row>
    <row r="80" ht="15.75" customHeight="1">
      <c r="A80" s="36"/>
      <c r="B80" s="36"/>
      <c r="C80" s="37"/>
      <c r="D80" s="1"/>
      <c r="E80" s="1"/>
      <c r="F80" s="1"/>
      <c r="G80" s="1"/>
      <c r="H80" s="1"/>
      <c r="I80" s="1"/>
      <c r="J80" s="1"/>
      <c r="K80" s="1"/>
      <c r="L80" s="1"/>
    </row>
    <row r="81" ht="15.75" customHeight="1">
      <c r="A81" s="36"/>
      <c r="B81" s="36"/>
      <c r="C81" s="37"/>
      <c r="D81" s="1"/>
      <c r="E81" s="1"/>
      <c r="F81" s="1"/>
      <c r="G81" s="1"/>
      <c r="H81" s="1"/>
      <c r="I81" s="1"/>
      <c r="J81" s="1"/>
      <c r="K81" s="1"/>
      <c r="L81" s="1"/>
    </row>
    <row r="82" ht="15.75" customHeight="1">
      <c r="A82" s="36"/>
      <c r="B82" s="36"/>
      <c r="C82" s="37"/>
      <c r="D82" s="1"/>
      <c r="E82" s="1"/>
      <c r="F82" s="1"/>
      <c r="G82" s="1"/>
      <c r="H82" s="1"/>
      <c r="I82" s="1"/>
      <c r="J82" s="1"/>
      <c r="K82" s="1"/>
      <c r="L82" s="1"/>
    </row>
    <row r="83" ht="15.75" customHeight="1">
      <c r="A83" s="36"/>
      <c r="B83" s="36"/>
      <c r="C83" s="37"/>
      <c r="D83" s="1"/>
      <c r="E83" s="1"/>
      <c r="F83" s="1"/>
      <c r="G83" s="1"/>
      <c r="H83" s="1"/>
      <c r="I83" s="1"/>
      <c r="J83" s="1"/>
      <c r="K83" s="1"/>
      <c r="L83" s="1"/>
    </row>
    <row r="84" ht="15.75" customHeight="1">
      <c r="A84" s="36"/>
      <c r="B84" s="36"/>
      <c r="C84" s="37"/>
      <c r="D84" s="1"/>
      <c r="E84" s="1"/>
      <c r="F84" s="1"/>
      <c r="G84" s="1"/>
      <c r="H84" s="1"/>
      <c r="I84" s="1"/>
      <c r="J84" s="1"/>
      <c r="K84" s="1"/>
      <c r="L84" s="1"/>
    </row>
    <row r="85" ht="15.75" customHeight="1">
      <c r="A85" s="36"/>
      <c r="B85" s="36"/>
      <c r="C85" s="37"/>
      <c r="D85" s="1"/>
      <c r="E85" s="1"/>
      <c r="F85" s="1"/>
      <c r="G85" s="1"/>
      <c r="H85" s="1"/>
      <c r="I85" s="1"/>
      <c r="J85" s="1"/>
      <c r="K85" s="1"/>
      <c r="L85" s="1"/>
    </row>
    <row r="86" ht="15.75" customHeight="1">
      <c r="A86" s="36"/>
      <c r="B86" s="36"/>
      <c r="C86" s="37"/>
      <c r="D86" s="1"/>
      <c r="E86" s="1"/>
      <c r="F86" s="1"/>
      <c r="G86" s="1"/>
      <c r="H86" s="1"/>
      <c r="I86" s="1"/>
      <c r="J86" s="1"/>
      <c r="K86" s="1"/>
      <c r="L86" s="1"/>
    </row>
    <row r="87" ht="15.75" customHeight="1">
      <c r="A87" s="36"/>
      <c r="B87" s="36"/>
      <c r="C87" s="37"/>
      <c r="D87" s="1"/>
      <c r="E87" s="1"/>
      <c r="F87" s="1"/>
      <c r="G87" s="1"/>
      <c r="H87" s="1"/>
      <c r="I87" s="1"/>
      <c r="J87" s="1"/>
      <c r="K87" s="1"/>
      <c r="L87" s="1"/>
    </row>
    <row r="88" ht="15.75" customHeight="1">
      <c r="A88" s="36"/>
      <c r="B88" s="36"/>
      <c r="C88" s="37"/>
      <c r="D88" s="1"/>
      <c r="E88" s="1"/>
      <c r="F88" s="1"/>
      <c r="G88" s="1"/>
      <c r="H88" s="1"/>
      <c r="I88" s="1"/>
      <c r="J88" s="1"/>
      <c r="K88" s="1"/>
      <c r="L88" s="1"/>
    </row>
    <row r="89" ht="15.75" customHeight="1">
      <c r="A89" s="36"/>
      <c r="B89" s="36"/>
      <c r="C89" s="37"/>
      <c r="D89" s="1"/>
      <c r="E89" s="1"/>
      <c r="F89" s="1"/>
      <c r="G89" s="1"/>
      <c r="H89" s="1"/>
      <c r="I89" s="1"/>
      <c r="J89" s="1"/>
      <c r="K89" s="1"/>
      <c r="L89" s="1"/>
    </row>
    <row r="90" ht="15.75" customHeight="1">
      <c r="A90" s="36"/>
      <c r="B90" s="36"/>
      <c r="C90" s="37"/>
      <c r="D90" s="1"/>
      <c r="E90" s="1"/>
      <c r="F90" s="1"/>
      <c r="G90" s="1"/>
      <c r="H90" s="1"/>
      <c r="I90" s="1"/>
      <c r="J90" s="1"/>
      <c r="K90" s="1"/>
      <c r="L90" s="1"/>
    </row>
    <row r="91" ht="15.75" customHeight="1">
      <c r="A91" s="36"/>
      <c r="B91" s="36"/>
      <c r="C91" s="37"/>
      <c r="D91" s="1"/>
      <c r="E91" s="1"/>
      <c r="F91" s="1"/>
      <c r="G91" s="1"/>
      <c r="H91" s="1"/>
      <c r="I91" s="1"/>
      <c r="J91" s="1"/>
      <c r="K91" s="1"/>
      <c r="L91" s="1"/>
    </row>
    <row r="92" ht="15.75" customHeight="1">
      <c r="A92" s="36"/>
      <c r="B92" s="36"/>
      <c r="C92" s="37"/>
      <c r="D92" s="1"/>
      <c r="E92" s="1"/>
      <c r="F92" s="1"/>
      <c r="G92" s="1"/>
      <c r="H92" s="1"/>
      <c r="I92" s="1"/>
      <c r="J92" s="1"/>
      <c r="K92" s="1"/>
      <c r="L92" s="1"/>
    </row>
    <row r="93" ht="15.75" customHeight="1">
      <c r="A93" s="36"/>
      <c r="B93" s="36"/>
      <c r="C93" s="37"/>
      <c r="D93" s="1"/>
      <c r="E93" s="1"/>
      <c r="F93" s="1"/>
      <c r="G93" s="1"/>
      <c r="H93" s="1"/>
      <c r="I93" s="1"/>
      <c r="J93" s="1"/>
      <c r="K93" s="1"/>
      <c r="L93" s="1"/>
    </row>
    <row r="94" ht="15.75" customHeight="1">
      <c r="A94" s="36"/>
      <c r="B94" s="36"/>
      <c r="C94" s="37"/>
      <c r="D94" s="1"/>
      <c r="E94" s="1"/>
      <c r="F94" s="1"/>
      <c r="G94" s="1"/>
      <c r="H94" s="1"/>
      <c r="I94" s="1"/>
      <c r="J94" s="1"/>
      <c r="K94" s="1"/>
      <c r="L94" s="1"/>
    </row>
    <row r="95" ht="15.75" customHeight="1">
      <c r="A95" s="36"/>
      <c r="B95" s="36"/>
      <c r="C95" s="37"/>
      <c r="D95" s="1"/>
      <c r="E95" s="1"/>
      <c r="F95" s="1"/>
      <c r="G95" s="1"/>
      <c r="H95" s="1"/>
      <c r="I95" s="1"/>
      <c r="J95" s="1"/>
      <c r="K95" s="1"/>
      <c r="L95" s="1"/>
    </row>
    <row r="96" ht="15.75" customHeight="1">
      <c r="A96" s="36"/>
      <c r="B96" s="36"/>
      <c r="C96" s="37"/>
      <c r="D96" s="1"/>
      <c r="E96" s="1"/>
      <c r="F96" s="1"/>
      <c r="G96" s="1"/>
      <c r="H96" s="1"/>
      <c r="I96" s="1"/>
      <c r="J96" s="1"/>
      <c r="K96" s="1"/>
      <c r="L96" s="1"/>
    </row>
    <row r="97" ht="15.75" customHeight="1">
      <c r="A97" s="36"/>
      <c r="B97" s="36"/>
      <c r="C97" s="37"/>
      <c r="D97" s="1"/>
      <c r="E97" s="1"/>
      <c r="F97" s="1"/>
      <c r="G97" s="1"/>
      <c r="H97" s="1"/>
      <c r="I97" s="1"/>
      <c r="J97" s="1"/>
      <c r="K97" s="1"/>
      <c r="L97" s="1"/>
    </row>
    <row r="98" ht="15.75" customHeight="1">
      <c r="A98" s="36"/>
      <c r="B98" s="36"/>
      <c r="C98" s="37"/>
      <c r="D98" s="1"/>
      <c r="E98" s="1"/>
      <c r="F98" s="1"/>
      <c r="G98" s="1"/>
      <c r="H98" s="1"/>
      <c r="I98" s="1"/>
      <c r="J98" s="1"/>
      <c r="K98" s="1"/>
      <c r="L98" s="1"/>
    </row>
    <row r="99" ht="15.75" customHeight="1">
      <c r="A99" s="36"/>
      <c r="B99" s="36"/>
      <c r="C99" s="37"/>
      <c r="D99" s="1"/>
      <c r="E99" s="1"/>
      <c r="F99" s="1"/>
      <c r="G99" s="1"/>
      <c r="H99" s="1"/>
      <c r="I99" s="1"/>
      <c r="J99" s="1"/>
      <c r="K99" s="1"/>
      <c r="L99" s="1"/>
    </row>
    <row r="100" ht="15.75" customHeight="1">
      <c r="A100" s="36"/>
      <c r="B100" s="36"/>
      <c r="C100" s="37"/>
      <c r="D100" s="1"/>
      <c r="E100" s="1"/>
      <c r="F100" s="1"/>
      <c r="G100" s="1"/>
      <c r="H100" s="1"/>
      <c r="I100" s="1"/>
      <c r="J100" s="1"/>
      <c r="K100" s="1"/>
      <c r="L100" s="1"/>
    </row>
    <row r="101" ht="15.75" customHeight="1">
      <c r="A101" s="36"/>
      <c r="B101" s="36"/>
      <c r="C101" s="37"/>
      <c r="D101" s="1"/>
      <c r="E101" s="1"/>
      <c r="F101" s="1"/>
      <c r="G101" s="1"/>
      <c r="H101" s="1"/>
      <c r="I101" s="1"/>
      <c r="J101" s="1"/>
      <c r="K101" s="1"/>
      <c r="L101" s="1"/>
    </row>
    <row r="102" ht="15.75" customHeight="1">
      <c r="A102" s="36"/>
      <c r="B102" s="36"/>
      <c r="C102" s="37"/>
      <c r="D102" s="1"/>
      <c r="E102" s="1"/>
      <c r="F102" s="1"/>
      <c r="G102" s="1"/>
      <c r="H102" s="1"/>
      <c r="I102" s="1"/>
      <c r="J102" s="1"/>
      <c r="K102" s="1"/>
      <c r="L102" s="1"/>
    </row>
    <row r="103" ht="15.75" customHeight="1">
      <c r="A103" s="36"/>
      <c r="B103" s="36"/>
      <c r="C103" s="37"/>
      <c r="D103" s="1"/>
      <c r="E103" s="1"/>
      <c r="F103" s="1"/>
      <c r="G103" s="1"/>
      <c r="H103" s="1"/>
      <c r="I103" s="1"/>
      <c r="J103" s="1"/>
      <c r="K103" s="1"/>
      <c r="L103" s="1"/>
    </row>
    <row r="104" ht="15.75" customHeight="1">
      <c r="A104" s="36"/>
      <c r="B104" s="36"/>
      <c r="C104" s="37"/>
      <c r="D104" s="1"/>
      <c r="E104" s="1"/>
      <c r="F104" s="1"/>
      <c r="G104" s="1"/>
      <c r="H104" s="1"/>
      <c r="I104" s="1"/>
      <c r="J104" s="1"/>
      <c r="K104" s="1"/>
      <c r="L104" s="1"/>
    </row>
    <row r="105" ht="15.75" customHeight="1">
      <c r="A105" s="36"/>
      <c r="B105" s="36"/>
      <c r="C105" s="37"/>
      <c r="D105" s="1"/>
      <c r="E105" s="1"/>
      <c r="F105" s="1"/>
      <c r="G105" s="1"/>
      <c r="H105" s="1"/>
      <c r="I105" s="1"/>
      <c r="J105" s="1"/>
      <c r="K105" s="1"/>
      <c r="L105" s="1"/>
    </row>
    <row r="106" ht="15.75" customHeight="1">
      <c r="A106" s="36"/>
      <c r="B106" s="36"/>
      <c r="C106" s="37"/>
      <c r="D106" s="1"/>
      <c r="E106" s="1"/>
      <c r="F106" s="1"/>
      <c r="G106" s="1"/>
      <c r="H106" s="1"/>
      <c r="I106" s="1"/>
      <c r="J106" s="1"/>
      <c r="K106" s="1"/>
      <c r="L106" s="1"/>
    </row>
    <row r="107" ht="15.75" customHeight="1">
      <c r="A107" s="36"/>
      <c r="B107" s="36"/>
      <c r="C107" s="37"/>
      <c r="D107" s="1"/>
      <c r="E107" s="1"/>
      <c r="F107" s="1"/>
      <c r="G107" s="1"/>
      <c r="H107" s="1"/>
      <c r="I107" s="1"/>
      <c r="J107" s="1"/>
      <c r="K107" s="1"/>
      <c r="L107" s="1"/>
    </row>
    <row r="108" ht="15.75" customHeight="1">
      <c r="A108" s="36"/>
      <c r="B108" s="36"/>
      <c r="C108" s="37"/>
      <c r="D108" s="1"/>
      <c r="E108" s="1"/>
      <c r="F108" s="1"/>
      <c r="G108" s="1"/>
      <c r="H108" s="1"/>
      <c r="I108" s="1"/>
      <c r="J108" s="1"/>
      <c r="K108" s="1"/>
      <c r="L108" s="1"/>
    </row>
    <row r="109" ht="15.75" customHeight="1">
      <c r="A109" s="36"/>
      <c r="B109" s="36"/>
      <c r="C109" s="37"/>
      <c r="D109" s="1"/>
      <c r="E109" s="1"/>
      <c r="F109" s="1"/>
      <c r="G109" s="1"/>
      <c r="H109" s="1"/>
      <c r="I109" s="1"/>
      <c r="J109" s="1"/>
      <c r="K109" s="1"/>
      <c r="L109" s="1"/>
    </row>
    <row r="110" ht="15.75" customHeight="1">
      <c r="A110" s="36"/>
      <c r="B110" s="36"/>
      <c r="C110" s="37"/>
      <c r="D110" s="1"/>
      <c r="E110" s="1"/>
      <c r="F110" s="1"/>
      <c r="G110" s="1"/>
      <c r="H110" s="1"/>
      <c r="I110" s="1"/>
      <c r="J110" s="1"/>
      <c r="K110" s="1"/>
      <c r="L110" s="1"/>
    </row>
    <row r="111" ht="15.75" customHeight="1">
      <c r="A111" s="36"/>
      <c r="B111" s="36"/>
      <c r="C111" s="37"/>
      <c r="D111" s="1"/>
      <c r="E111" s="1"/>
      <c r="F111" s="1"/>
      <c r="G111" s="1"/>
      <c r="H111" s="1"/>
      <c r="I111" s="1"/>
      <c r="J111" s="1"/>
      <c r="K111" s="1"/>
      <c r="L111" s="1"/>
    </row>
    <row r="112" ht="15.75" customHeight="1">
      <c r="A112" s="36"/>
      <c r="B112" s="36"/>
      <c r="C112" s="37"/>
      <c r="D112" s="1"/>
      <c r="E112" s="1"/>
      <c r="F112" s="1"/>
      <c r="G112" s="1"/>
      <c r="H112" s="1"/>
      <c r="I112" s="1"/>
      <c r="J112" s="1"/>
      <c r="K112" s="1"/>
      <c r="L112" s="1"/>
    </row>
    <row r="113" ht="15.75" customHeight="1">
      <c r="A113" s="36"/>
      <c r="B113" s="36"/>
      <c r="C113" s="37"/>
      <c r="D113" s="1"/>
      <c r="E113" s="1"/>
      <c r="F113" s="1"/>
      <c r="G113" s="1"/>
      <c r="H113" s="1"/>
      <c r="I113" s="1"/>
      <c r="J113" s="1"/>
      <c r="K113" s="1"/>
      <c r="L113" s="1"/>
    </row>
    <row r="114" ht="15.75" customHeight="1">
      <c r="A114" s="36"/>
      <c r="B114" s="36"/>
      <c r="C114" s="37"/>
      <c r="D114" s="1"/>
      <c r="E114" s="1"/>
      <c r="F114" s="1"/>
      <c r="G114" s="1"/>
      <c r="H114" s="1"/>
      <c r="I114" s="1"/>
      <c r="J114" s="1"/>
      <c r="K114" s="1"/>
      <c r="L114" s="1"/>
    </row>
    <row r="115" ht="15.75" customHeight="1">
      <c r="A115" s="36"/>
      <c r="B115" s="36"/>
      <c r="C115" s="37"/>
      <c r="D115" s="1"/>
      <c r="E115" s="1"/>
      <c r="F115" s="1"/>
      <c r="G115" s="1"/>
      <c r="H115" s="1"/>
      <c r="I115" s="1"/>
      <c r="J115" s="1"/>
      <c r="K115" s="1"/>
      <c r="L115" s="1"/>
    </row>
    <row r="116" ht="15.75" customHeight="1">
      <c r="A116" s="36"/>
      <c r="B116" s="36"/>
      <c r="C116" s="37"/>
      <c r="D116" s="1"/>
      <c r="E116" s="1"/>
      <c r="F116" s="1"/>
      <c r="G116" s="1"/>
      <c r="H116" s="1"/>
      <c r="I116" s="1"/>
      <c r="J116" s="1"/>
      <c r="K116" s="1"/>
      <c r="L116" s="1"/>
    </row>
    <row r="117" ht="15.75" customHeight="1">
      <c r="A117" s="36"/>
      <c r="B117" s="36"/>
      <c r="C117" s="37"/>
      <c r="D117" s="1"/>
      <c r="E117" s="1"/>
      <c r="F117" s="1"/>
      <c r="G117" s="1"/>
      <c r="H117" s="1"/>
      <c r="I117" s="1"/>
      <c r="J117" s="1"/>
      <c r="K117" s="1"/>
      <c r="L117" s="1"/>
    </row>
    <row r="118" ht="15.75" customHeight="1">
      <c r="A118" s="36"/>
      <c r="B118" s="36"/>
      <c r="C118" s="37"/>
      <c r="D118" s="1"/>
      <c r="E118" s="1"/>
      <c r="F118" s="1"/>
      <c r="G118" s="1"/>
      <c r="H118" s="1"/>
      <c r="I118" s="1"/>
      <c r="J118" s="1"/>
      <c r="K118" s="1"/>
      <c r="L118" s="1"/>
    </row>
    <row r="119" ht="15.75" customHeight="1">
      <c r="A119" s="36"/>
      <c r="B119" s="36"/>
      <c r="C119" s="37"/>
      <c r="D119" s="1"/>
      <c r="E119" s="1"/>
      <c r="F119" s="1"/>
      <c r="G119" s="1"/>
      <c r="H119" s="1"/>
      <c r="I119" s="1"/>
      <c r="J119" s="1"/>
      <c r="K119" s="1"/>
      <c r="L119" s="1"/>
    </row>
    <row r="120" ht="15.75" customHeight="1">
      <c r="A120" s="36"/>
      <c r="B120" s="36"/>
      <c r="C120" s="37"/>
      <c r="D120" s="1"/>
      <c r="E120" s="1"/>
      <c r="F120" s="1"/>
      <c r="G120" s="1"/>
      <c r="H120" s="1"/>
      <c r="I120" s="1"/>
      <c r="J120" s="1"/>
      <c r="K120" s="1"/>
      <c r="L120" s="1"/>
    </row>
    <row r="121" ht="15.75" customHeight="1">
      <c r="A121" s="36"/>
      <c r="B121" s="36"/>
      <c r="C121" s="37"/>
      <c r="D121" s="1"/>
      <c r="E121" s="1"/>
      <c r="F121" s="1"/>
      <c r="G121" s="1"/>
      <c r="H121" s="1"/>
      <c r="I121" s="1"/>
      <c r="J121" s="1"/>
      <c r="K121" s="1"/>
      <c r="L121" s="1"/>
    </row>
    <row r="122" ht="15.75" customHeight="1">
      <c r="A122" s="36"/>
      <c r="B122" s="36"/>
      <c r="C122" s="37"/>
      <c r="D122" s="1"/>
      <c r="E122" s="1"/>
      <c r="F122" s="1"/>
      <c r="G122" s="1"/>
      <c r="H122" s="1"/>
      <c r="I122" s="1"/>
      <c r="J122" s="1"/>
      <c r="K122" s="1"/>
      <c r="L122" s="1"/>
    </row>
    <row r="123" ht="15.75" customHeight="1">
      <c r="A123" s="36"/>
      <c r="B123" s="36"/>
      <c r="C123" s="37"/>
      <c r="D123" s="1"/>
      <c r="E123" s="1"/>
      <c r="F123" s="1"/>
      <c r="G123" s="1"/>
      <c r="H123" s="1"/>
      <c r="I123" s="1"/>
      <c r="J123" s="1"/>
      <c r="K123" s="1"/>
      <c r="L123" s="1"/>
    </row>
    <row r="124" ht="15.75" customHeight="1">
      <c r="A124" s="36"/>
      <c r="B124" s="36"/>
      <c r="C124" s="37"/>
      <c r="D124" s="1"/>
      <c r="E124" s="1"/>
      <c r="F124" s="1"/>
      <c r="G124" s="1"/>
      <c r="H124" s="1"/>
      <c r="I124" s="1"/>
      <c r="J124" s="1"/>
      <c r="K124" s="1"/>
      <c r="L124" s="1"/>
    </row>
    <row r="125" ht="15.75" customHeight="1">
      <c r="A125" s="36"/>
      <c r="B125" s="36"/>
      <c r="C125" s="37"/>
      <c r="D125" s="1"/>
      <c r="E125" s="1"/>
      <c r="F125" s="1"/>
      <c r="G125" s="1"/>
      <c r="H125" s="1"/>
      <c r="I125" s="1"/>
      <c r="J125" s="1"/>
      <c r="K125" s="1"/>
      <c r="L125" s="1"/>
    </row>
    <row r="126" ht="15.75" customHeight="1">
      <c r="A126" s="36"/>
      <c r="B126" s="36"/>
      <c r="C126" s="37"/>
      <c r="D126" s="1"/>
      <c r="E126" s="1"/>
      <c r="F126" s="1"/>
      <c r="G126" s="1"/>
      <c r="H126" s="1"/>
      <c r="I126" s="1"/>
      <c r="J126" s="1"/>
      <c r="K126" s="1"/>
      <c r="L126" s="1"/>
    </row>
    <row r="127" ht="15.75" customHeight="1">
      <c r="A127" s="36"/>
      <c r="B127" s="36"/>
      <c r="C127" s="37"/>
      <c r="D127" s="1"/>
      <c r="E127" s="1"/>
      <c r="F127" s="1"/>
      <c r="G127" s="1"/>
      <c r="H127" s="1"/>
      <c r="I127" s="1"/>
      <c r="J127" s="1"/>
      <c r="K127" s="1"/>
      <c r="L127" s="1"/>
    </row>
    <row r="128" ht="15.75" customHeight="1">
      <c r="A128" s="36"/>
      <c r="B128" s="36"/>
      <c r="C128" s="37"/>
      <c r="D128" s="1"/>
      <c r="E128" s="1"/>
      <c r="F128" s="1"/>
      <c r="G128" s="1"/>
      <c r="H128" s="1"/>
      <c r="I128" s="1"/>
      <c r="J128" s="1"/>
      <c r="K128" s="1"/>
      <c r="L128" s="1"/>
    </row>
    <row r="129" ht="15.75" customHeight="1">
      <c r="A129" s="36"/>
      <c r="B129" s="36"/>
      <c r="C129" s="37"/>
      <c r="D129" s="1"/>
      <c r="E129" s="1"/>
      <c r="F129" s="1"/>
      <c r="G129" s="1"/>
      <c r="H129" s="1"/>
      <c r="I129" s="1"/>
      <c r="J129" s="1"/>
      <c r="K129" s="1"/>
      <c r="L129" s="1"/>
    </row>
    <row r="130" ht="15.75" customHeight="1">
      <c r="A130" s="36"/>
      <c r="B130" s="36"/>
      <c r="C130" s="37"/>
      <c r="D130" s="1"/>
      <c r="E130" s="1"/>
      <c r="F130" s="1"/>
      <c r="G130" s="1"/>
      <c r="H130" s="1"/>
      <c r="I130" s="1"/>
      <c r="J130" s="1"/>
      <c r="K130" s="1"/>
      <c r="L130" s="1"/>
    </row>
    <row r="131" ht="15.75" customHeight="1">
      <c r="A131" s="36"/>
      <c r="B131" s="36"/>
      <c r="C131" s="37"/>
      <c r="D131" s="1"/>
      <c r="E131" s="1"/>
      <c r="F131" s="1"/>
      <c r="G131" s="1"/>
      <c r="H131" s="1"/>
      <c r="I131" s="1"/>
      <c r="J131" s="1"/>
      <c r="K131" s="1"/>
      <c r="L131" s="1"/>
    </row>
    <row r="132" ht="15.75" customHeight="1">
      <c r="A132" s="36"/>
      <c r="B132" s="36"/>
      <c r="C132" s="37"/>
      <c r="D132" s="1"/>
      <c r="E132" s="1"/>
      <c r="F132" s="1"/>
      <c r="G132" s="1"/>
      <c r="H132" s="1"/>
      <c r="I132" s="1"/>
      <c r="J132" s="1"/>
      <c r="K132" s="1"/>
      <c r="L132" s="1"/>
    </row>
    <row r="133" ht="15.75" customHeight="1">
      <c r="A133" s="36"/>
      <c r="B133" s="36"/>
      <c r="C133" s="37"/>
      <c r="D133" s="1"/>
      <c r="E133" s="1"/>
      <c r="F133" s="1"/>
      <c r="G133" s="1"/>
      <c r="H133" s="1"/>
      <c r="I133" s="1"/>
      <c r="J133" s="1"/>
      <c r="K133" s="1"/>
      <c r="L133" s="1"/>
    </row>
    <row r="134" ht="15.75" customHeight="1">
      <c r="A134" s="36"/>
      <c r="B134" s="36"/>
      <c r="C134" s="37"/>
      <c r="D134" s="1"/>
      <c r="E134" s="1"/>
      <c r="F134" s="1"/>
      <c r="G134" s="1"/>
      <c r="H134" s="1"/>
      <c r="I134" s="1"/>
      <c r="J134" s="1"/>
      <c r="K134" s="1"/>
      <c r="L134" s="1"/>
    </row>
    <row r="135" ht="15.75" customHeight="1">
      <c r="A135" s="36"/>
      <c r="B135" s="36"/>
      <c r="C135" s="37"/>
      <c r="D135" s="1"/>
      <c r="E135" s="1"/>
      <c r="F135" s="1"/>
      <c r="G135" s="1"/>
      <c r="H135" s="1"/>
      <c r="I135" s="1"/>
      <c r="J135" s="1"/>
      <c r="K135" s="1"/>
      <c r="L135" s="1"/>
    </row>
    <row r="136" ht="15.75" customHeight="1">
      <c r="A136" s="36"/>
      <c r="B136" s="36"/>
      <c r="C136" s="37"/>
      <c r="D136" s="1"/>
      <c r="E136" s="1"/>
      <c r="F136" s="1"/>
      <c r="G136" s="1"/>
      <c r="H136" s="1"/>
      <c r="I136" s="1"/>
      <c r="J136" s="1"/>
      <c r="K136" s="1"/>
      <c r="L136" s="1"/>
    </row>
    <row r="137" ht="15.75" customHeight="1">
      <c r="A137" s="36"/>
      <c r="B137" s="36"/>
      <c r="C137" s="37"/>
      <c r="D137" s="1"/>
      <c r="E137" s="1"/>
      <c r="F137" s="1"/>
      <c r="G137" s="1"/>
      <c r="H137" s="1"/>
      <c r="I137" s="1"/>
      <c r="J137" s="1"/>
      <c r="K137" s="1"/>
      <c r="L137" s="1"/>
    </row>
    <row r="138" ht="15.75" customHeight="1">
      <c r="A138" s="36"/>
      <c r="B138" s="36"/>
      <c r="C138" s="37"/>
      <c r="D138" s="1"/>
      <c r="E138" s="1"/>
      <c r="F138" s="1"/>
      <c r="G138" s="1"/>
      <c r="H138" s="1"/>
      <c r="I138" s="1"/>
      <c r="J138" s="1"/>
      <c r="K138" s="1"/>
      <c r="L138" s="1"/>
    </row>
    <row r="139" ht="15.75" customHeight="1">
      <c r="A139" s="36"/>
      <c r="B139" s="36"/>
      <c r="C139" s="37"/>
      <c r="D139" s="1"/>
      <c r="E139" s="1"/>
      <c r="F139" s="1"/>
      <c r="G139" s="1"/>
      <c r="H139" s="1"/>
      <c r="I139" s="1"/>
      <c r="J139" s="1"/>
      <c r="K139" s="1"/>
      <c r="L139" s="1"/>
    </row>
    <row r="140" ht="15.75" customHeight="1">
      <c r="A140" s="36"/>
      <c r="B140" s="36"/>
      <c r="C140" s="37"/>
      <c r="D140" s="1"/>
      <c r="E140" s="1"/>
      <c r="F140" s="1"/>
      <c r="G140" s="1"/>
      <c r="H140" s="1"/>
      <c r="I140" s="1"/>
      <c r="J140" s="1"/>
      <c r="K140" s="1"/>
      <c r="L140" s="1"/>
    </row>
    <row r="141" ht="15.75" customHeight="1">
      <c r="A141" s="36"/>
      <c r="B141" s="36"/>
      <c r="C141" s="37"/>
      <c r="D141" s="1"/>
      <c r="E141" s="1"/>
      <c r="F141" s="1"/>
      <c r="G141" s="1"/>
      <c r="H141" s="1"/>
      <c r="I141" s="1"/>
      <c r="J141" s="1"/>
      <c r="K141" s="1"/>
      <c r="L141" s="1"/>
    </row>
    <row r="142" ht="15.75" customHeight="1">
      <c r="A142" s="36"/>
      <c r="B142" s="36"/>
      <c r="C142" s="37"/>
      <c r="D142" s="1"/>
      <c r="E142" s="1"/>
      <c r="F142" s="1"/>
      <c r="G142" s="1"/>
      <c r="H142" s="1"/>
      <c r="I142" s="1"/>
      <c r="J142" s="1"/>
      <c r="K142" s="1"/>
      <c r="L142" s="1"/>
    </row>
    <row r="143" ht="15.75" customHeight="1">
      <c r="A143" s="36"/>
      <c r="B143" s="36"/>
      <c r="C143" s="37"/>
      <c r="D143" s="1"/>
      <c r="E143" s="1"/>
      <c r="F143" s="1"/>
      <c r="G143" s="1"/>
      <c r="H143" s="1"/>
      <c r="I143" s="1"/>
      <c r="J143" s="1"/>
      <c r="K143" s="1"/>
      <c r="L143" s="1"/>
    </row>
    <row r="144" ht="15.75" customHeight="1">
      <c r="A144" s="36"/>
      <c r="B144" s="36"/>
      <c r="C144" s="37"/>
      <c r="D144" s="1"/>
      <c r="E144" s="1"/>
      <c r="F144" s="1"/>
      <c r="G144" s="1"/>
      <c r="H144" s="1"/>
      <c r="I144" s="1"/>
      <c r="J144" s="1"/>
      <c r="K144" s="1"/>
      <c r="L144" s="1"/>
    </row>
    <row r="145" ht="15.75" customHeight="1">
      <c r="A145" s="36"/>
      <c r="B145" s="36"/>
      <c r="C145" s="37"/>
      <c r="D145" s="1"/>
      <c r="E145" s="1"/>
      <c r="F145" s="1"/>
      <c r="G145" s="1"/>
      <c r="H145" s="1"/>
      <c r="I145" s="1"/>
      <c r="J145" s="1"/>
      <c r="K145" s="1"/>
      <c r="L145" s="1"/>
    </row>
    <row r="146" ht="15.75" customHeight="1">
      <c r="A146" s="36"/>
      <c r="B146" s="36"/>
      <c r="C146" s="37"/>
      <c r="D146" s="1"/>
      <c r="E146" s="1"/>
      <c r="F146" s="1"/>
      <c r="G146" s="1"/>
      <c r="H146" s="1"/>
      <c r="I146" s="1"/>
      <c r="J146" s="1"/>
      <c r="K146" s="1"/>
      <c r="L146" s="1"/>
    </row>
    <row r="147" ht="15.75" customHeight="1">
      <c r="A147" s="36"/>
      <c r="B147" s="36"/>
      <c r="C147" s="37"/>
      <c r="D147" s="1"/>
      <c r="E147" s="1"/>
      <c r="F147" s="1"/>
      <c r="G147" s="1"/>
      <c r="H147" s="1"/>
      <c r="I147" s="1"/>
      <c r="J147" s="1"/>
      <c r="K147" s="1"/>
      <c r="L147" s="1"/>
    </row>
    <row r="148" ht="15.75" customHeight="1">
      <c r="A148" s="36"/>
      <c r="B148" s="36"/>
      <c r="C148" s="37"/>
      <c r="D148" s="1"/>
      <c r="E148" s="1"/>
      <c r="F148" s="1"/>
      <c r="G148" s="1"/>
      <c r="H148" s="1"/>
      <c r="I148" s="1"/>
      <c r="J148" s="1"/>
      <c r="K148" s="1"/>
      <c r="L148" s="1"/>
    </row>
    <row r="149" ht="15.75" customHeight="1">
      <c r="A149" s="36"/>
      <c r="B149" s="36"/>
      <c r="C149" s="37"/>
      <c r="D149" s="1"/>
      <c r="E149" s="1"/>
      <c r="F149" s="1"/>
      <c r="G149" s="1"/>
      <c r="H149" s="1"/>
      <c r="I149" s="1"/>
      <c r="J149" s="1"/>
      <c r="K149" s="1"/>
      <c r="L149" s="1"/>
    </row>
    <row r="150" ht="15.75" customHeight="1">
      <c r="A150" s="36"/>
      <c r="B150" s="36"/>
      <c r="C150" s="37"/>
      <c r="D150" s="1"/>
      <c r="E150" s="1"/>
      <c r="F150" s="1"/>
      <c r="G150" s="1"/>
      <c r="H150" s="1"/>
      <c r="I150" s="1"/>
      <c r="J150" s="1"/>
      <c r="K150" s="1"/>
      <c r="L150" s="1"/>
    </row>
    <row r="151" ht="15.75" customHeight="1">
      <c r="A151" s="36"/>
      <c r="B151" s="36"/>
      <c r="C151" s="37"/>
      <c r="D151" s="1"/>
      <c r="E151" s="1"/>
      <c r="F151" s="1"/>
      <c r="G151" s="1"/>
      <c r="H151" s="1"/>
      <c r="I151" s="1"/>
      <c r="J151" s="1"/>
      <c r="K151" s="1"/>
      <c r="L151" s="1"/>
    </row>
    <row r="152" ht="15.75" customHeight="1">
      <c r="A152" s="36"/>
      <c r="B152" s="36"/>
      <c r="C152" s="37"/>
      <c r="D152" s="1"/>
      <c r="E152" s="1"/>
      <c r="F152" s="1"/>
      <c r="G152" s="1"/>
      <c r="H152" s="1"/>
      <c r="I152" s="1"/>
      <c r="J152" s="1"/>
      <c r="K152" s="1"/>
      <c r="L152" s="1"/>
    </row>
    <row r="153" ht="15.75" customHeight="1">
      <c r="A153" s="36"/>
      <c r="B153" s="36"/>
      <c r="C153" s="37"/>
      <c r="D153" s="1"/>
      <c r="E153" s="1"/>
      <c r="F153" s="1"/>
      <c r="G153" s="1"/>
      <c r="H153" s="1"/>
      <c r="I153" s="1"/>
      <c r="J153" s="1"/>
      <c r="K153" s="1"/>
      <c r="L153" s="1"/>
    </row>
    <row r="154" ht="15.75" customHeight="1">
      <c r="A154" s="36"/>
      <c r="B154" s="36"/>
      <c r="C154" s="37"/>
      <c r="D154" s="1"/>
      <c r="E154" s="1"/>
      <c r="F154" s="1"/>
      <c r="G154" s="1"/>
      <c r="H154" s="1"/>
      <c r="I154" s="1"/>
      <c r="J154" s="1"/>
      <c r="K154" s="1"/>
      <c r="L154" s="1"/>
    </row>
    <row r="155" ht="15.75" customHeight="1">
      <c r="A155" s="36"/>
      <c r="B155" s="36"/>
      <c r="C155" s="37"/>
      <c r="D155" s="1"/>
      <c r="E155" s="1"/>
      <c r="F155" s="1"/>
      <c r="G155" s="1"/>
      <c r="H155" s="1"/>
      <c r="I155" s="1"/>
      <c r="J155" s="1"/>
      <c r="K155" s="1"/>
      <c r="L155" s="1"/>
    </row>
    <row r="156" ht="15.75" customHeight="1">
      <c r="A156" s="36"/>
      <c r="B156" s="36"/>
      <c r="C156" s="37"/>
      <c r="D156" s="1"/>
      <c r="E156" s="1"/>
      <c r="F156" s="1"/>
      <c r="G156" s="1"/>
      <c r="H156" s="1"/>
      <c r="I156" s="1"/>
      <c r="J156" s="1"/>
      <c r="K156" s="1"/>
      <c r="L156" s="1"/>
    </row>
    <row r="157" ht="15.75" customHeight="1">
      <c r="A157" s="36"/>
      <c r="B157" s="36"/>
      <c r="C157" s="37"/>
      <c r="D157" s="1"/>
      <c r="E157" s="1"/>
      <c r="F157" s="1"/>
      <c r="G157" s="1"/>
      <c r="H157" s="1"/>
      <c r="I157" s="1"/>
      <c r="J157" s="1"/>
      <c r="K157" s="1"/>
      <c r="L157" s="1"/>
    </row>
    <row r="158" ht="15.75" customHeight="1">
      <c r="A158" s="36"/>
      <c r="B158" s="36"/>
      <c r="C158" s="37"/>
      <c r="D158" s="1"/>
      <c r="E158" s="1"/>
      <c r="F158" s="1"/>
      <c r="G158" s="1"/>
      <c r="H158" s="1"/>
      <c r="I158" s="1"/>
      <c r="J158" s="1"/>
      <c r="K158" s="1"/>
      <c r="L158" s="1"/>
    </row>
    <row r="159" ht="15.75" customHeight="1">
      <c r="A159" s="36"/>
      <c r="B159" s="36"/>
      <c r="C159" s="37"/>
      <c r="D159" s="1"/>
      <c r="E159" s="1"/>
      <c r="F159" s="1"/>
      <c r="G159" s="1"/>
      <c r="H159" s="1"/>
      <c r="I159" s="1"/>
      <c r="J159" s="1"/>
      <c r="K159" s="1"/>
      <c r="L159" s="1"/>
    </row>
    <row r="160" ht="15.75" customHeight="1">
      <c r="A160" s="36"/>
      <c r="B160" s="36"/>
      <c r="C160" s="37"/>
      <c r="D160" s="1"/>
      <c r="E160" s="1"/>
      <c r="F160" s="1"/>
      <c r="G160" s="1"/>
      <c r="H160" s="1"/>
      <c r="I160" s="1"/>
      <c r="J160" s="1"/>
      <c r="K160" s="1"/>
      <c r="L160" s="1"/>
    </row>
    <row r="161" ht="15.75" customHeight="1">
      <c r="A161" s="36"/>
      <c r="B161" s="36"/>
      <c r="C161" s="37"/>
      <c r="D161" s="1"/>
      <c r="E161" s="1"/>
      <c r="F161" s="1"/>
      <c r="G161" s="1"/>
      <c r="H161" s="1"/>
      <c r="I161" s="1"/>
      <c r="J161" s="1"/>
      <c r="K161" s="1"/>
      <c r="L161" s="1"/>
    </row>
    <row r="162" ht="15.75" customHeight="1">
      <c r="A162" s="36"/>
      <c r="B162" s="36"/>
      <c r="C162" s="37"/>
      <c r="D162" s="1"/>
      <c r="E162" s="1"/>
      <c r="F162" s="1"/>
      <c r="G162" s="1"/>
      <c r="H162" s="1"/>
      <c r="I162" s="1"/>
      <c r="J162" s="1"/>
      <c r="K162" s="1"/>
      <c r="L162" s="1"/>
    </row>
    <row r="163" ht="15.75" customHeight="1">
      <c r="A163" s="36"/>
      <c r="B163" s="36"/>
      <c r="C163" s="37"/>
      <c r="D163" s="1"/>
      <c r="E163" s="1"/>
      <c r="F163" s="1"/>
      <c r="G163" s="1"/>
      <c r="H163" s="1"/>
      <c r="I163" s="1"/>
      <c r="J163" s="1"/>
      <c r="K163" s="1"/>
      <c r="L163" s="1"/>
    </row>
    <row r="164" ht="15.75" customHeight="1">
      <c r="A164" s="36"/>
      <c r="B164" s="36"/>
      <c r="C164" s="37"/>
      <c r="D164" s="1"/>
      <c r="E164" s="1"/>
      <c r="F164" s="1"/>
      <c r="G164" s="1"/>
      <c r="H164" s="1"/>
      <c r="I164" s="1"/>
      <c r="J164" s="1"/>
      <c r="K164" s="1"/>
      <c r="L164" s="1"/>
    </row>
    <row r="165" ht="15.75" customHeight="1">
      <c r="A165" s="36"/>
      <c r="B165" s="36"/>
      <c r="C165" s="37"/>
      <c r="D165" s="1"/>
      <c r="E165" s="1"/>
      <c r="F165" s="1"/>
      <c r="G165" s="1"/>
      <c r="H165" s="1"/>
      <c r="I165" s="1"/>
      <c r="J165" s="1"/>
      <c r="K165" s="1"/>
      <c r="L165" s="1"/>
    </row>
    <row r="166" ht="15.75" customHeight="1">
      <c r="A166" s="36"/>
      <c r="B166" s="36"/>
      <c r="C166" s="37"/>
      <c r="D166" s="1"/>
      <c r="E166" s="1"/>
      <c r="F166" s="1"/>
      <c r="G166" s="1"/>
      <c r="H166" s="1"/>
      <c r="I166" s="1"/>
      <c r="J166" s="1"/>
      <c r="K166" s="1"/>
      <c r="L166" s="1"/>
    </row>
    <row r="167" ht="15.75" customHeight="1">
      <c r="A167" s="36"/>
      <c r="B167" s="36"/>
      <c r="C167" s="37"/>
      <c r="D167" s="1"/>
      <c r="E167" s="1"/>
      <c r="F167" s="1"/>
      <c r="G167" s="1"/>
      <c r="H167" s="1"/>
      <c r="I167" s="1"/>
      <c r="J167" s="1"/>
      <c r="K167" s="1"/>
      <c r="L167" s="1"/>
    </row>
    <row r="168" ht="15.75" customHeight="1">
      <c r="A168" s="36"/>
      <c r="B168" s="36"/>
      <c r="C168" s="37"/>
      <c r="D168" s="1"/>
      <c r="E168" s="1"/>
      <c r="F168" s="1"/>
      <c r="G168" s="1"/>
      <c r="H168" s="1"/>
      <c r="I168" s="1"/>
      <c r="J168" s="1"/>
      <c r="K168" s="1"/>
      <c r="L168" s="1"/>
    </row>
    <row r="169" ht="15.75" customHeight="1">
      <c r="A169" s="36"/>
      <c r="B169" s="36"/>
      <c r="C169" s="37"/>
      <c r="D169" s="1"/>
      <c r="E169" s="1"/>
      <c r="F169" s="1"/>
      <c r="G169" s="1"/>
      <c r="H169" s="1"/>
      <c r="I169" s="1"/>
      <c r="J169" s="1"/>
      <c r="K169" s="1"/>
      <c r="L169" s="1"/>
    </row>
    <row r="170" ht="15.75" customHeight="1">
      <c r="A170" s="36"/>
      <c r="B170" s="36"/>
      <c r="C170" s="37"/>
      <c r="D170" s="1"/>
      <c r="E170" s="1"/>
      <c r="F170" s="1"/>
      <c r="G170" s="1"/>
      <c r="H170" s="1"/>
      <c r="I170" s="1"/>
      <c r="J170" s="1"/>
      <c r="K170" s="1"/>
      <c r="L170" s="1"/>
    </row>
    <row r="171" ht="15.75" customHeight="1">
      <c r="A171" s="36"/>
      <c r="B171" s="36"/>
      <c r="C171" s="37"/>
      <c r="D171" s="1"/>
      <c r="E171" s="1"/>
      <c r="F171" s="1"/>
      <c r="G171" s="1"/>
      <c r="H171" s="1"/>
      <c r="I171" s="1"/>
      <c r="J171" s="1"/>
      <c r="K171" s="1"/>
      <c r="L171" s="1"/>
    </row>
    <row r="172" ht="15.75" customHeight="1">
      <c r="A172" s="36"/>
      <c r="B172" s="36"/>
      <c r="C172" s="37"/>
      <c r="D172" s="1"/>
      <c r="E172" s="1"/>
      <c r="F172" s="1"/>
      <c r="G172" s="1"/>
      <c r="H172" s="1"/>
      <c r="I172" s="1"/>
      <c r="J172" s="1"/>
      <c r="K172" s="1"/>
      <c r="L172" s="1"/>
    </row>
    <row r="173" ht="15.75" customHeight="1">
      <c r="A173" s="36"/>
      <c r="B173" s="36"/>
      <c r="C173" s="37"/>
      <c r="D173" s="1"/>
      <c r="E173" s="1"/>
      <c r="F173" s="1"/>
      <c r="G173" s="1"/>
      <c r="H173" s="1"/>
      <c r="I173" s="1"/>
      <c r="J173" s="1"/>
      <c r="K173" s="1"/>
      <c r="L173" s="1"/>
    </row>
    <row r="174" ht="15.75" customHeight="1">
      <c r="A174" s="36"/>
      <c r="B174" s="36"/>
      <c r="C174" s="37"/>
      <c r="D174" s="1"/>
      <c r="E174" s="1"/>
      <c r="F174" s="1"/>
      <c r="G174" s="1"/>
      <c r="H174" s="1"/>
      <c r="I174" s="1"/>
      <c r="J174" s="1"/>
      <c r="K174" s="1"/>
      <c r="L174" s="1"/>
    </row>
    <row r="175" ht="15.75" customHeight="1">
      <c r="A175" s="36"/>
      <c r="B175" s="36"/>
      <c r="C175" s="37"/>
      <c r="D175" s="1"/>
      <c r="E175" s="1"/>
      <c r="F175" s="1"/>
      <c r="G175" s="1"/>
      <c r="H175" s="1"/>
      <c r="I175" s="1"/>
      <c r="J175" s="1"/>
      <c r="K175" s="1"/>
      <c r="L175" s="1"/>
    </row>
    <row r="176" ht="15.75" customHeight="1">
      <c r="A176" s="36"/>
      <c r="B176" s="36"/>
      <c r="C176" s="37"/>
      <c r="D176" s="1"/>
      <c r="E176" s="1"/>
      <c r="F176" s="1"/>
      <c r="G176" s="1"/>
      <c r="H176" s="1"/>
      <c r="I176" s="1"/>
      <c r="J176" s="1"/>
      <c r="K176" s="1"/>
      <c r="L176" s="1"/>
    </row>
    <row r="177" ht="15.75" customHeight="1">
      <c r="A177" s="36"/>
      <c r="B177" s="36"/>
      <c r="C177" s="37"/>
      <c r="D177" s="1"/>
      <c r="E177" s="1"/>
      <c r="F177" s="1"/>
      <c r="G177" s="1"/>
      <c r="H177" s="1"/>
      <c r="I177" s="1"/>
      <c r="J177" s="1"/>
      <c r="K177" s="1"/>
      <c r="L177" s="1"/>
    </row>
    <row r="178" ht="15.75" customHeight="1">
      <c r="A178" s="36"/>
      <c r="B178" s="36"/>
      <c r="C178" s="37"/>
      <c r="D178" s="1"/>
      <c r="E178" s="1"/>
      <c r="F178" s="1"/>
      <c r="G178" s="1"/>
      <c r="H178" s="1"/>
      <c r="I178" s="1"/>
      <c r="J178" s="1"/>
      <c r="K178" s="1"/>
      <c r="L178" s="1"/>
    </row>
    <row r="179" ht="15.75" customHeight="1">
      <c r="A179" s="36"/>
      <c r="B179" s="36"/>
      <c r="C179" s="37"/>
      <c r="D179" s="1"/>
      <c r="E179" s="1"/>
      <c r="F179" s="1"/>
      <c r="G179" s="1"/>
      <c r="H179" s="1"/>
      <c r="I179" s="1"/>
      <c r="J179" s="1"/>
      <c r="K179" s="1"/>
      <c r="L179" s="1"/>
    </row>
    <row r="180" ht="15.75" customHeight="1">
      <c r="A180" s="36"/>
      <c r="B180" s="36"/>
      <c r="C180" s="37"/>
      <c r="D180" s="1"/>
      <c r="E180" s="1"/>
      <c r="F180" s="1"/>
      <c r="G180" s="1"/>
      <c r="H180" s="1"/>
      <c r="I180" s="1"/>
      <c r="J180" s="1"/>
      <c r="K180" s="1"/>
      <c r="L180" s="1"/>
    </row>
    <row r="181" ht="15.75" customHeight="1">
      <c r="A181" s="36"/>
      <c r="B181" s="36"/>
      <c r="C181" s="37"/>
      <c r="D181" s="1"/>
      <c r="E181" s="1"/>
      <c r="F181" s="1"/>
      <c r="G181" s="1"/>
      <c r="H181" s="1"/>
      <c r="I181" s="1"/>
      <c r="J181" s="1"/>
      <c r="K181" s="1"/>
      <c r="L181" s="1"/>
    </row>
    <row r="182" ht="15.75" customHeight="1">
      <c r="A182" s="36"/>
      <c r="B182" s="36"/>
      <c r="C182" s="37"/>
      <c r="D182" s="1"/>
      <c r="E182" s="1"/>
      <c r="F182" s="1"/>
      <c r="G182" s="1"/>
      <c r="H182" s="1"/>
      <c r="I182" s="1"/>
      <c r="J182" s="1"/>
      <c r="K182" s="1"/>
      <c r="L182" s="1"/>
    </row>
    <row r="183" ht="15.75" customHeight="1">
      <c r="A183" s="36"/>
      <c r="B183" s="36"/>
      <c r="C183" s="37"/>
      <c r="D183" s="1"/>
      <c r="E183" s="1"/>
      <c r="F183" s="1"/>
      <c r="G183" s="1"/>
      <c r="H183" s="1"/>
      <c r="I183" s="1"/>
      <c r="J183" s="1"/>
      <c r="K183" s="1"/>
      <c r="L183" s="1"/>
    </row>
    <row r="184" ht="15.75" customHeight="1">
      <c r="A184" s="36"/>
      <c r="B184" s="36"/>
      <c r="C184" s="37"/>
      <c r="D184" s="1"/>
      <c r="E184" s="1"/>
      <c r="F184" s="1"/>
      <c r="G184" s="1"/>
      <c r="H184" s="1"/>
      <c r="I184" s="1"/>
      <c r="J184" s="1"/>
      <c r="K184" s="1"/>
      <c r="L184" s="1"/>
    </row>
    <row r="185" ht="15.75" customHeight="1">
      <c r="A185" s="36"/>
      <c r="B185" s="36"/>
      <c r="C185" s="37"/>
      <c r="D185" s="1"/>
      <c r="E185" s="1"/>
      <c r="F185" s="1"/>
      <c r="G185" s="1"/>
      <c r="H185" s="1"/>
      <c r="I185" s="1"/>
      <c r="J185" s="1"/>
      <c r="K185" s="1"/>
      <c r="L185" s="1"/>
    </row>
    <row r="186" ht="15.75" customHeight="1">
      <c r="A186" s="36"/>
      <c r="B186" s="36"/>
      <c r="C186" s="37"/>
      <c r="D186" s="1"/>
      <c r="E186" s="1"/>
      <c r="F186" s="1"/>
      <c r="G186" s="1"/>
      <c r="H186" s="1"/>
      <c r="I186" s="1"/>
      <c r="J186" s="1"/>
      <c r="K186" s="1"/>
      <c r="L186" s="1"/>
    </row>
    <row r="187" ht="15.75" customHeight="1">
      <c r="A187" s="36"/>
      <c r="B187" s="36"/>
      <c r="C187" s="37"/>
      <c r="D187" s="1"/>
      <c r="E187" s="1"/>
      <c r="F187" s="1"/>
      <c r="G187" s="1"/>
      <c r="H187" s="1"/>
      <c r="I187" s="1"/>
      <c r="J187" s="1"/>
      <c r="K187" s="1"/>
      <c r="L187" s="1"/>
    </row>
    <row r="188" ht="15.75" customHeight="1">
      <c r="A188" s="36"/>
      <c r="B188" s="36"/>
      <c r="C188" s="37"/>
      <c r="D188" s="1"/>
      <c r="E188" s="1"/>
      <c r="F188" s="1"/>
      <c r="G188" s="1"/>
      <c r="H188" s="1"/>
      <c r="I188" s="1"/>
      <c r="J188" s="1"/>
      <c r="K188" s="1"/>
      <c r="L188" s="1"/>
    </row>
    <row r="189" ht="15.75" customHeight="1">
      <c r="A189" s="36"/>
      <c r="B189" s="36"/>
      <c r="C189" s="37"/>
      <c r="D189" s="1"/>
      <c r="E189" s="1"/>
      <c r="F189" s="1"/>
      <c r="G189" s="1"/>
      <c r="H189" s="1"/>
      <c r="I189" s="1"/>
      <c r="J189" s="1"/>
      <c r="K189" s="1"/>
      <c r="L189" s="1"/>
    </row>
    <row r="190" ht="15.75" customHeight="1">
      <c r="A190" s="36"/>
      <c r="B190" s="36"/>
      <c r="C190" s="37"/>
      <c r="D190" s="1"/>
      <c r="E190" s="1"/>
      <c r="F190" s="1"/>
      <c r="G190" s="1"/>
      <c r="H190" s="1"/>
      <c r="I190" s="1"/>
      <c r="J190" s="1"/>
      <c r="K190" s="1"/>
      <c r="L190" s="1"/>
    </row>
    <row r="191" ht="15.75" customHeight="1">
      <c r="A191" s="36"/>
      <c r="B191" s="36"/>
      <c r="C191" s="37"/>
      <c r="D191" s="1"/>
      <c r="E191" s="1"/>
      <c r="F191" s="1"/>
      <c r="G191" s="1"/>
      <c r="H191" s="1"/>
      <c r="I191" s="1"/>
      <c r="J191" s="1"/>
      <c r="K191" s="1"/>
      <c r="L191" s="1"/>
    </row>
    <row r="192" ht="15.75" customHeight="1">
      <c r="A192" s="36"/>
      <c r="B192" s="36"/>
      <c r="C192" s="37"/>
      <c r="D192" s="1"/>
      <c r="E192" s="1"/>
      <c r="F192" s="1"/>
      <c r="G192" s="1"/>
      <c r="H192" s="1"/>
      <c r="I192" s="1"/>
      <c r="J192" s="1"/>
      <c r="K192" s="1"/>
      <c r="L192" s="1"/>
    </row>
    <row r="193" ht="15.75" customHeight="1">
      <c r="A193" s="36"/>
      <c r="B193" s="36"/>
      <c r="C193" s="37"/>
      <c r="D193" s="1"/>
      <c r="E193" s="1"/>
      <c r="F193" s="1"/>
      <c r="G193" s="1"/>
      <c r="H193" s="1"/>
      <c r="I193" s="1"/>
      <c r="J193" s="1"/>
      <c r="K193" s="1"/>
      <c r="L193" s="1"/>
    </row>
    <row r="194" ht="15.75" customHeight="1">
      <c r="A194" s="36"/>
      <c r="B194" s="36"/>
      <c r="C194" s="37"/>
      <c r="D194" s="1"/>
      <c r="E194" s="1"/>
      <c r="F194" s="1"/>
      <c r="G194" s="1"/>
      <c r="H194" s="1"/>
      <c r="I194" s="1"/>
      <c r="J194" s="1"/>
      <c r="K194" s="1"/>
      <c r="L194" s="1"/>
    </row>
    <row r="195" ht="15.75" customHeight="1">
      <c r="A195" s="36"/>
      <c r="B195" s="36"/>
      <c r="C195" s="37"/>
      <c r="D195" s="1"/>
      <c r="E195" s="1"/>
      <c r="F195" s="1"/>
      <c r="G195" s="1"/>
      <c r="H195" s="1"/>
      <c r="I195" s="1"/>
      <c r="J195" s="1"/>
      <c r="K195" s="1"/>
      <c r="L195" s="1"/>
    </row>
    <row r="196" ht="15.75" customHeight="1">
      <c r="A196" s="36"/>
      <c r="B196" s="36"/>
      <c r="C196" s="37"/>
      <c r="D196" s="1"/>
      <c r="E196" s="1"/>
      <c r="F196" s="1"/>
      <c r="G196" s="1"/>
      <c r="H196" s="1"/>
      <c r="I196" s="1"/>
      <c r="J196" s="1"/>
      <c r="K196" s="1"/>
      <c r="L196" s="1"/>
    </row>
    <row r="197" ht="15.75" customHeight="1">
      <c r="A197" s="36"/>
      <c r="B197" s="36"/>
      <c r="C197" s="37"/>
      <c r="D197" s="1"/>
      <c r="E197" s="1"/>
      <c r="F197" s="1"/>
      <c r="G197" s="1"/>
      <c r="H197" s="1"/>
      <c r="I197" s="1"/>
      <c r="J197" s="1"/>
      <c r="K197" s="1"/>
      <c r="L197" s="1"/>
    </row>
    <row r="198" ht="15.75" customHeight="1">
      <c r="A198" s="36"/>
      <c r="B198" s="36"/>
      <c r="C198" s="37"/>
      <c r="D198" s="1"/>
      <c r="E198" s="1"/>
      <c r="F198" s="1"/>
      <c r="G198" s="1"/>
      <c r="H198" s="1"/>
      <c r="I198" s="1"/>
      <c r="J198" s="1"/>
      <c r="K198" s="1"/>
      <c r="L198" s="1"/>
    </row>
    <row r="199" ht="15.75" customHeight="1">
      <c r="A199" s="36"/>
      <c r="B199" s="36"/>
      <c r="C199" s="37"/>
      <c r="D199" s="1"/>
      <c r="E199" s="1"/>
      <c r="F199" s="1"/>
      <c r="G199" s="1"/>
      <c r="H199" s="1"/>
      <c r="I199" s="1"/>
      <c r="J199" s="1"/>
      <c r="K199" s="1"/>
      <c r="L199" s="1"/>
    </row>
    <row r="200" ht="15.75" customHeight="1">
      <c r="A200" s="36"/>
      <c r="B200" s="36"/>
      <c r="C200" s="37"/>
      <c r="D200" s="1"/>
      <c r="E200" s="1"/>
      <c r="F200" s="1"/>
      <c r="G200" s="1"/>
      <c r="H200" s="1"/>
      <c r="I200" s="1"/>
      <c r="J200" s="1"/>
      <c r="K200" s="1"/>
      <c r="L200" s="1"/>
    </row>
    <row r="201" ht="15.75" customHeight="1">
      <c r="A201" s="36"/>
      <c r="B201" s="36"/>
      <c r="C201" s="37"/>
      <c r="D201" s="1"/>
      <c r="E201" s="1"/>
      <c r="F201" s="1"/>
      <c r="G201" s="1"/>
      <c r="H201" s="1"/>
      <c r="I201" s="1"/>
      <c r="J201" s="1"/>
      <c r="K201" s="1"/>
      <c r="L201" s="1"/>
    </row>
    <row r="202" ht="15.75" customHeight="1">
      <c r="A202" s="36"/>
      <c r="B202" s="36"/>
      <c r="C202" s="37"/>
      <c r="D202" s="1"/>
      <c r="E202" s="1"/>
      <c r="F202" s="1"/>
      <c r="G202" s="1"/>
      <c r="H202" s="1"/>
      <c r="I202" s="1"/>
      <c r="J202" s="1"/>
      <c r="K202" s="1"/>
      <c r="L202" s="1"/>
    </row>
    <row r="203" ht="15.75" customHeight="1">
      <c r="A203" s="36"/>
      <c r="B203" s="36"/>
      <c r="C203" s="37"/>
      <c r="D203" s="1"/>
      <c r="E203" s="1"/>
      <c r="F203" s="1"/>
      <c r="G203" s="1"/>
      <c r="H203" s="1"/>
      <c r="I203" s="1"/>
      <c r="J203" s="1"/>
      <c r="K203" s="1"/>
      <c r="L203" s="1"/>
    </row>
    <row r="204" ht="15.75" customHeight="1">
      <c r="A204" s="36"/>
      <c r="B204" s="36"/>
      <c r="C204" s="37"/>
      <c r="D204" s="1"/>
      <c r="E204" s="1"/>
      <c r="F204" s="1"/>
      <c r="G204" s="1"/>
      <c r="H204" s="1"/>
      <c r="I204" s="1"/>
      <c r="J204" s="1"/>
      <c r="K204" s="1"/>
      <c r="L204" s="1"/>
    </row>
    <row r="205" ht="15.75" customHeight="1">
      <c r="A205" s="36"/>
      <c r="B205" s="36"/>
      <c r="C205" s="37"/>
      <c r="D205" s="1"/>
      <c r="E205" s="1"/>
      <c r="F205" s="1"/>
      <c r="G205" s="1"/>
      <c r="H205" s="1"/>
      <c r="I205" s="1"/>
      <c r="J205" s="1"/>
      <c r="K205" s="1"/>
      <c r="L205" s="1"/>
    </row>
    <row r="206" ht="15.75" customHeight="1">
      <c r="A206" s="36"/>
      <c r="B206" s="36"/>
      <c r="C206" s="37"/>
      <c r="D206" s="1"/>
      <c r="E206" s="1"/>
      <c r="F206" s="1"/>
      <c r="G206" s="1"/>
      <c r="H206" s="1"/>
      <c r="I206" s="1"/>
      <c r="J206" s="1"/>
      <c r="K206" s="1"/>
      <c r="L206" s="1"/>
    </row>
    <row r="207" ht="15.75" customHeight="1">
      <c r="A207" s="36"/>
      <c r="B207" s="36"/>
      <c r="C207" s="37"/>
      <c r="D207" s="1"/>
      <c r="E207" s="1"/>
      <c r="F207" s="1"/>
      <c r="G207" s="1"/>
      <c r="H207" s="1"/>
      <c r="I207" s="1"/>
      <c r="J207" s="1"/>
      <c r="K207" s="1"/>
      <c r="L207" s="1"/>
    </row>
    <row r="208" ht="15.75" customHeight="1">
      <c r="A208" s="36"/>
      <c r="B208" s="36"/>
      <c r="C208" s="37"/>
      <c r="D208" s="1"/>
      <c r="E208" s="1"/>
      <c r="F208" s="1"/>
      <c r="G208" s="1"/>
      <c r="H208" s="1"/>
      <c r="I208" s="1"/>
      <c r="J208" s="1"/>
      <c r="K208" s="1"/>
      <c r="L208" s="1"/>
    </row>
    <row r="209" ht="15.75" customHeight="1">
      <c r="A209" s="36"/>
      <c r="B209" s="36"/>
      <c r="C209" s="37"/>
      <c r="D209" s="1"/>
      <c r="E209" s="1"/>
      <c r="F209" s="1"/>
      <c r="G209" s="1"/>
      <c r="H209" s="1"/>
      <c r="I209" s="1"/>
      <c r="J209" s="1"/>
      <c r="K209" s="1"/>
      <c r="L209" s="1"/>
    </row>
    <row r="210" ht="15.75" customHeight="1">
      <c r="A210" s="36"/>
      <c r="B210" s="36"/>
      <c r="C210" s="37"/>
      <c r="D210" s="1"/>
      <c r="E210" s="1"/>
      <c r="F210" s="1"/>
      <c r="G210" s="1"/>
      <c r="H210" s="1"/>
      <c r="I210" s="1"/>
      <c r="J210" s="1"/>
      <c r="K210" s="1"/>
      <c r="L210" s="1"/>
    </row>
    <row r="211" ht="15.75" customHeight="1">
      <c r="A211" s="36"/>
      <c r="B211" s="36"/>
      <c r="C211" s="37"/>
      <c r="D211" s="1"/>
      <c r="E211" s="1"/>
      <c r="F211" s="1"/>
      <c r="G211" s="1"/>
      <c r="H211" s="1"/>
      <c r="I211" s="1"/>
      <c r="J211" s="1"/>
      <c r="K211" s="1"/>
      <c r="L211" s="1"/>
    </row>
    <row r="212" ht="15.75" customHeight="1">
      <c r="A212" s="36"/>
      <c r="B212" s="36"/>
      <c r="C212" s="37"/>
      <c r="D212" s="1"/>
      <c r="E212" s="1"/>
      <c r="F212" s="1"/>
      <c r="G212" s="1"/>
      <c r="H212" s="1"/>
      <c r="I212" s="1"/>
      <c r="J212" s="1"/>
      <c r="K212" s="1"/>
      <c r="L212" s="1"/>
    </row>
    <row r="213" ht="15.75" customHeight="1">
      <c r="A213" s="36"/>
      <c r="B213" s="36"/>
      <c r="C213" s="37"/>
      <c r="D213" s="1"/>
      <c r="E213" s="1"/>
      <c r="F213" s="1"/>
      <c r="G213" s="1"/>
      <c r="H213" s="1"/>
      <c r="I213" s="1"/>
      <c r="J213" s="1"/>
      <c r="K213" s="1"/>
      <c r="L213" s="1"/>
    </row>
    <row r="214" ht="15.75" customHeight="1">
      <c r="A214" s="36"/>
      <c r="B214" s="36"/>
      <c r="C214" s="37"/>
      <c r="D214" s="1"/>
      <c r="E214" s="1"/>
      <c r="F214" s="1"/>
      <c r="G214" s="1"/>
      <c r="H214" s="1"/>
      <c r="I214" s="1"/>
      <c r="J214" s="1"/>
      <c r="K214" s="1"/>
      <c r="L214" s="1"/>
    </row>
    <row r="215" ht="15.75" customHeight="1">
      <c r="A215" s="36"/>
      <c r="B215" s="36"/>
      <c r="C215" s="37"/>
      <c r="D215" s="1"/>
      <c r="E215" s="1"/>
      <c r="F215" s="1"/>
      <c r="G215" s="1"/>
      <c r="H215" s="1"/>
      <c r="I215" s="1"/>
      <c r="J215" s="1"/>
      <c r="K215" s="1"/>
      <c r="L215" s="1"/>
    </row>
    <row r="216" ht="15.75" customHeight="1">
      <c r="A216" s="36"/>
      <c r="B216" s="36"/>
      <c r="C216" s="37"/>
      <c r="D216" s="1"/>
      <c r="E216" s="1"/>
      <c r="F216" s="1"/>
      <c r="G216" s="1"/>
      <c r="H216" s="1"/>
      <c r="I216" s="1"/>
      <c r="J216" s="1"/>
      <c r="K216" s="1"/>
      <c r="L216" s="1"/>
    </row>
    <row r="217" ht="15.75" customHeight="1">
      <c r="A217" s="36"/>
      <c r="B217" s="36"/>
      <c r="C217" s="37"/>
      <c r="D217" s="1"/>
      <c r="E217" s="1"/>
      <c r="F217" s="1"/>
      <c r="G217" s="1"/>
      <c r="H217" s="1"/>
      <c r="I217" s="1"/>
      <c r="J217" s="1"/>
      <c r="K217" s="1"/>
      <c r="L217" s="1"/>
    </row>
    <row r="218" ht="15.75" customHeight="1">
      <c r="A218" s="36"/>
      <c r="B218" s="36"/>
      <c r="C218" s="37"/>
      <c r="D218" s="1"/>
      <c r="E218" s="1"/>
      <c r="F218" s="1"/>
      <c r="G218" s="1"/>
      <c r="H218" s="1"/>
      <c r="I218" s="1"/>
      <c r="J218" s="1"/>
      <c r="K218" s="1"/>
      <c r="L218" s="1"/>
    </row>
    <row r="219" ht="15.75" customHeight="1">
      <c r="A219" s="36"/>
      <c r="B219" s="36"/>
      <c r="C219" s="37"/>
      <c r="D219" s="1"/>
      <c r="E219" s="1"/>
      <c r="F219" s="1"/>
      <c r="G219" s="1"/>
      <c r="H219" s="1"/>
      <c r="I219" s="1"/>
      <c r="J219" s="1"/>
      <c r="K219" s="1"/>
      <c r="L219" s="1"/>
    </row>
    <row r="220" ht="15.75" customHeight="1">
      <c r="A220" s="36"/>
      <c r="B220" s="36"/>
      <c r="C220" s="37"/>
      <c r="D220" s="1"/>
      <c r="E220" s="1"/>
      <c r="F220" s="1"/>
      <c r="G220" s="1"/>
      <c r="H220" s="1"/>
      <c r="I220" s="1"/>
      <c r="J220" s="1"/>
      <c r="K220" s="1"/>
      <c r="L220" s="1"/>
    </row>
    <row r="221" ht="15.75" customHeight="1">
      <c r="A221" s="36"/>
      <c r="B221" s="36"/>
      <c r="C221" s="37"/>
      <c r="D221" s="1"/>
      <c r="E221" s="1"/>
      <c r="F221" s="1"/>
      <c r="G221" s="1"/>
      <c r="H221" s="1"/>
      <c r="I221" s="1"/>
      <c r="J221" s="1"/>
      <c r="K221" s="1"/>
      <c r="L221" s="1"/>
    </row>
    <row r="222" ht="15.75" customHeight="1">
      <c r="A222" s="36"/>
      <c r="B222" s="36"/>
      <c r="C222" s="37"/>
      <c r="D222" s="1"/>
      <c r="E222" s="1"/>
      <c r="F222" s="1"/>
      <c r="G222" s="1"/>
      <c r="H222" s="1"/>
      <c r="I222" s="1"/>
      <c r="J222" s="1"/>
      <c r="K222" s="1"/>
      <c r="L222" s="1"/>
    </row>
    <row r="223" ht="15.75" customHeight="1">
      <c r="A223" s="36"/>
      <c r="B223" s="36"/>
      <c r="C223" s="37"/>
      <c r="D223" s="1"/>
      <c r="E223" s="1"/>
      <c r="F223" s="1"/>
      <c r="G223" s="1"/>
      <c r="H223" s="1"/>
      <c r="I223" s="1"/>
      <c r="J223" s="1"/>
      <c r="K223" s="1"/>
      <c r="L223" s="1"/>
    </row>
    <row r="224" ht="15.75" customHeight="1">
      <c r="A224" s="36"/>
      <c r="B224" s="36"/>
      <c r="C224" s="37"/>
      <c r="D224" s="1"/>
      <c r="E224" s="1"/>
      <c r="F224" s="1"/>
      <c r="G224" s="1"/>
      <c r="H224" s="1"/>
      <c r="I224" s="1"/>
      <c r="J224" s="1"/>
      <c r="K224" s="1"/>
      <c r="L224" s="1"/>
    </row>
    <row r="225" ht="15.75" customHeight="1">
      <c r="A225" s="36"/>
      <c r="B225" s="36"/>
      <c r="C225" s="37"/>
      <c r="D225" s="1"/>
      <c r="E225" s="1"/>
      <c r="F225" s="1"/>
      <c r="G225" s="1"/>
      <c r="H225" s="1"/>
      <c r="I225" s="1"/>
      <c r="J225" s="1"/>
      <c r="K225" s="1"/>
      <c r="L225" s="1"/>
    </row>
    <row r="226" ht="15.75" customHeight="1">
      <c r="A226" s="36"/>
      <c r="B226" s="36"/>
      <c r="C226" s="37"/>
      <c r="D226" s="1"/>
      <c r="E226" s="1"/>
      <c r="F226" s="1"/>
      <c r="G226" s="1"/>
      <c r="H226" s="1"/>
      <c r="I226" s="1"/>
      <c r="J226" s="1"/>
      <c r="K226" s="1"/>
      <c r="L226" s="1"/>
    </row>
    <row r="227" ht="15.75" customHeight="1">
      <c r="A227" s="36"/>
      <c r="B227" s="36"/>
      <c r="C227" s="37"/>
      <c r="D227" s="1"/>
      <c r="E227" s="1"/>
      <c r="F227" s="1"/>
      <c r="G227" s="1"/>
      <c r="H227" s="1"/>
      <c r="I227" s="1"/>
      <c r="J227" s="1"/>
      <c r="K227" s="1"/>
      <c r="L227" s="1"/>
    </row>
    <row r="228" ht="15.75" customHeight="1">
      <c r="A228" s="36"/>
      <c r="B228" s="36"/>
      <c r="C228" s="37"/>
      <c r="D228" s="1"/>
      <c r="E228" s="1"/>
      <c r="F228" s="1"/>
      <c r="G228" s="1"/>
      <c r="H228" s="1"/>
      <c r="I228" s="1"/>
      <c r="J228" s="1"/>
      <c r="K228" s="1"/>
      <c r="L228" s="1"/>
    </row>
    <row r="229" ht="15.75" customHeight="1">
      <c r="A229" s="36"/>
      <c r="B229" s="36"/>
      <c r="C229" s="37"/>
      <c r="D229" s="1"/>
      <c r="E229" s="1"/>
      <c r="F229" s="1"/>
      <c r="G229" s="1"/>
      <c r="H229" s="1"/>
      <c r="I229" s="1"/>
      <c r="J229" s="1"/>
      <c r="K229" s="1"/>
      <c r="L229" s="1"/>
    </row>
    <row r="230" ht="15.75" customHeight="1">
      <c r="A230" s="36"/>
      <c r="B230" s="36"/>
      <c r="C230" s="37"/>
      <c r="D230" s="1"/>
      <c r="E230" s="1"/>
      <c r="F230" s="1"/>
      <c r="G230" s="1"/>
      <c r="H230" s="1"/>
      <c r="I230" s="1"/>
      <c r="J230" s="1"/>
      <c r="K230" s="1"/>
      <c r="L230" s="1"/>
    </row>
    <row r="231" ht="15.75" customHeight="1">
      <c r="A231" s="36"/>
      <c r="B231" s="36"/>
      <c r="C231" s="37"/>
      <c r="D231" s="1"/>
      <c r="E231" s="1"/>
      <c r="F231" s="1"/>
      <c r="G231" s="1"/>
      <c r="H231" s="1"/>
      <c r="I231" s="1"/>
      <c r="J231" s="1"/>
      <c r="K231" s="1"/>
      <c r="L231" s="1"/>
    </row>
    <row r="232" ht="15.75" customHeight="1">
      <c r="A232" s="36"/>
      <c r="B232" s="36"/>
      <c r="C232" s="37"/>
      <c r="D232" s="1"/>
      <c r="E232" s="1"/>
      <c r="F232" s="1"/>
      <c r="G232" s="1"/>
      <c r="H232" s="1"/>
      <c r="I232" s="1"/>
      <c r="J232" s="1"/>
      <c r="K232" s="1"/>
      <c r="L232" s="1"/>
    </row>
    <row r="233" ht="15.75" customHeight="1">
      <c r="A233" s="36"/>
      <c r="B233" s="36"/>
      <c r="C233" s="37"/>
      <c r="D233" s="1"/>
      <c r="E233" s="1"/>
      <c r="F233" s="1"/>
      <c r="G233" s="1"/>
      <c r="H233" s="1"/>
      <c r="I233" s="1"/>
      <c r="J233" s="1"/>
      <c r="K233" s="1"/>
      <c r="L233" s="1"/>
    </row>
    <row r="234" ht="15.75" customHeight="1">
      <c r="A234" s="36"/>
      <c r="B234" s="36"/>
      <c r="C234" s="37"/>
      <c r="D234" s="1"/>
      <c r="E234" s="1"/>
      <c r="F234" s="1"/>
      <c r="G234" s="1"/>
      <c r="H234" s="1"/>
      <c r="I234" s="1"/>
      <c r="J234" s="1"/>
      <c r="K234" s="1"/>
      <c r="L234" s="1"/>
    </row>
    <row r="235" ht="15.75" customHeight="1">
      <c r="A235" s="36"/>
      <c r="B235" s="36"/>
      <c r="C235" s="37"/>
      <c r="D235" s="1"/>
      <c r="E235" s="1"/>
      <c r="F235" s="1"/>
      <c r="G235" s="1"/>
      <c r="H235" s="1"/>
      <c r="I235" s="1"/>
      <c r="J235" s="1"/>
      <c r="K235" s="1"/>
      <c r="L235" s="1"/>
    </row>
    <row r="236" ht="15.75" customHeight="1">
      <c r="A236" s="36"/>
      <c r="B236" s="36"/>
      <c r="C236" s="37"/>
      <c r="D236" s="1"/>
      <c r="E236" s="1"/>
      <c r="F236" s="1"/>
      <c r="G236" s="1"/>
      <c r="H236" s="1"/>
      <c r="I236" s="1"/>
      <c r="J236" s="1"/>
      <c r="K236" s="1"/>
      <c r="L236" s="1"/>
    </row>
    <row r="237" ht="15.75" customHeight="1">
      <c r="A237" s="36"/>
      <c r="B237" s="36"/>
      <c r="C237" s="37"/>
      <c r="D237" s="1"/>
      <c r="E237" s="1"/>
      <c r="F237" s="1"/>
      <c r="G237" s="1"/>
      <c r="H237" s="1"/>
      <c r="I237" s="1"/>
      <c r="J237" s="1"/>
      <c r="K237" s="1"/>
      <c r="L237" s="1"/>
    </row>
    <row r="238" ht="15.75" customHeight="1">
      <c r="A238" s="36"/>
      <c r="B238" s="36"/>
      <c r="C238" s="37"/>
      <c r="D238" s="1"/>
      <c r="E238" s="1"/>
      <c r="F238" s="1"/>
      <c r="G238" s="1"/>
      <c r="H238" s="1"/>
      <c r="I238" s="1"/>
      <c r="J238" s="1"/>
      <c r="K238" s="1"/>
      <c r="L238" s="1"/>
    </row>
    <row r="239" ht="15.75" customHeight="1">
      <c r="A239" s="36"/>
      <c r="B239" s="36"/>
      <c r="C239" s="37"/>
      <c r="D239" s="1"/>
      <c r="E239" s="1"/>
      <c r="F239" s="1"/>
      <c r="G239" s="1"/>
      <c r="H239" s="1"/>
      <c r="I239" s="1"/>
      <c r="J239" s="1"/>
      <c r="K239" s="1"/>
      <c r="L239" s="1"/>
    </row>
    <row r="240" ht="15.75" customHeight="1">
      <c r="A240" s="36"/>
      <c r="B240" s="36"/>
      <c r="C240" s="37"/>
      <c r="D240" s="1"/>
      <c r="E240" s="1"/>
      <c r="F240" s="1"/>
      <c r="G240" s="1"/>
      <c r="H240" s="1"/>
      <c r="I240" s="1"/>
      <c r="J240" s="1"/>
      <c r="K240" s="1"/>
      <c r="L240" s="1"/>
    </row>
    <row r="241" ht="15.75" customHeight="1">
      <c r="A241" s="36"/>
      <c r="B241" s="36"/>
      <c r="C241" s="37"/>
      <c r="D241" s="1"/>
      <c r="E241" s="1"/>
      <c r="F241" s="1"/>
      <c r="G241" s="1"/>
      <c r="H241" s="1"/>
      <c r="I241" s="1"/>
      <c r="J241" s="1"/>
      <c r="K241" s="1"/>
      <c r="L241" s="1"/>
    </row>
    <row r="242" ht="15.75" customHeight="1">
      <c r="A242" s="36"/>
      <c r="B242" s="36"/>
      <c r="C242" s="37"/>
      <c r="D242" s="1"/>
      <c r="E242" s="1"/>
      <c r="F242" s="1"/>
      <c r="G242" s="1"/>
      <c r="H242" s="1"/>
      <c r="I242" s="1"/>
      <c r="J242" s="1"/>
      <c r="K242" s="1"/>
      <c r="L242" s="1"/>
    </row>
    <row r="243" ht="15.75" customHeight="1">
      <c r="A243" s="36"/>
      <c r="B243" s="36"/>
      <c r="C243" s="37"/>
      <c r="D243" s="1"/>
      <c r="E243" s="1"/>
      <c r="F243" s="1"/>
      <c r="G243" s="1"/>
      <c r="H243" s="1"/>
      <c r="I243" s="1"/>
      <c r="J243" s="1"/>
      <c r="K243" s="1"/>
      <c r="L243" s="1"/>
    </row>
    <row r="244" ht="15.75" customHeight="1">
      <c r="A244" s="36"/>
      <c r="B244" s="36"/>
      <c r="C244" s="37"/>
      <c r="D244" s="1"/>
      <c r="E244" s="1"/>
      <c r="F244" s="1"/>
      <c r="G244" s="1"/>
      <c r="H244" s="1"/>
      <c r="I244" s="1"/>
      <c r="J244" s="1"/>
      <c r="K244" s="1"/>
      <c r="L244" s="1"/>
    </row>
    <row r="245" ht="15.75" customHeight="1">
      <c r="A245" s="36"/>
      <c r="B245" s="36"/>
      <c r="C245" s="37"/>
      <c r="D245" s="1"/>
      <c r="E245" s="1"/>
      <c r="F245" s="1"/>
      <c r="G245" s="1"/>
      <c r="H245" s="1"/>
      <c r="I245" s="1"/>
      <c r="J245" s="1"/>
      <c r="K245" s="1"/>
      <c r="L245" s="1"/>
    </row>
    <row r="246" ht="15.75" customHeight="1">
      <c r="A246" s="36"/>
      <c r="B246" s="36"/>
      <c r="C246" s="37"/>
      <c r="D246" s="1"/>
      <c r="E246" s="1"/>
      <c r="F246" s="1"/>
      <c r="G246" s="1"/>
      <c r="H246" s="1"/>
      <c r="I246" s="1"/>
      <c r="J246" s="1"/>
      <c r="K246" s="1"/>
      <c r="L246" s="1"/>
    </row>
    <row r="247" ht="15.75" customHeight="1">
      <c r="A247" s="36"/>
      <c r="B247" s="36"/>
      <c r="C247" s="37"/>
      <c r="D247" s="1"/>
      <c r="E247" s="1"/>
      <c r="F247" s="1"/>
      <c r="G247" s="1"/>
      <c r="H247" s="1"/>
      <c r="I247" s="1"/>
      <c r="J247" s="1"/>
      <c r="K247" s="1"/>
      <c r="L247" s="1"/>
    </row>
    <row r="248" ht="15.75" customHeight="1">
      <c r="A248" s="36"/>
      <c r="B248" s="36"/>
      <c r="C248" s="37"/>
      <c r="D248" s="1"/>
      <c r="E248" s="1"/>
      <c r="F248" s="1"/>
      <c r="G248" s="1"/>
      <c r="H248" s="1"/>
      <c r="I248" s="1"/>
      <c r="J248" s="1"/>
      <c r="K248" s="1"/>
      <c r="L248" s="1"/>
    </row>
    <row r="249" ht="15.75" customHeight="1">
      <c r="A249" s="36"/>
      <c r="B249" s="36"/>
      <c r="C249" s="37"/>
      <c r="D249" s="1"/>
      <c r="E249" s="1"/>
      <c r="F249" s="1"/>
      <c r="G249" s="1"/>
      <c r="H249" s="1"/>
      <c r="I249" s="1"/>
      <c r="J249" s="1"/>
      <c r="K249" s="1"/>
      <c r="L249" s="1"/>
    </row>
    <row r="250" ht="15.75" customHeight="1">
      <c r="A250" s="36"/>
      <c r="B250" s="36"/>
      <c r="C250" s="37"/>
      <c r="D250" s="1"/>
      <c r="E250" s="1"/>
      <c r="F250" s="1"/>
      <c r="G250" s="1"/>
      <c r="H250" s="1"/>
      <c r="I250" s="1"/>
      <c r="J250" s="1"/>
      <c r="K250" s="1"/>
      <c r="L250" s="1"/>
    </row>
    <row r="251" ht="15.75" customHeight="1">
      <c r="A251" s="36"/>
      <c r="B251" s="36"/>
      <c r="C251" s="37"/>
      <c r="D251" s="1"/>
      <c r="E251" s="1"/>
      <c r="F251" s="1"/>
      <c r="G251" s="1"/>
      <c r="H251" s="1"/>
      <c r="I251" s="1"/>
      <c r="J251" s="1"/>
      <c r="K251" s="1"/>
      <c r="L251" s="1"/>
    </row>
    <row r="252" ht="15.75" customHeight="1">
      <c r="A252" s="36"/>
      <c r="B252" s="36"/>
      <c r="C252" s="37"/>
      <c r="D252" s="1"/>
      <c r="E252" s="1"/>
      <c r="F252" s="1"/>
      <c r="G252" s="1"/>
      <c r="H252" s="1"/>
      <c r="I252" s="1"/>
      <c r="J252" s="1"/>
      <c r="K252" s="1"/>
      <c r="L252" s="1"/>
    </row>
    <row r="253" ht="15.75" customHeight="1">
      <c r="A253" s="36"/>
      <c r="B253" s="36"/>
      <c r="C253" s="37"/>
      <c r="D253" s="1"/>
      <c r="E253" s="1"/>
      <c r="F253" s="1"/>
      <c r="G253" s="1"/>
      <c r="H253" s="1"/>
      <c r="I253" s="1"/>
      <c r="J253" s="1"/>
      <c r="K253" s="1"/>
      <c r="L253" s="1"/>
    </row>
    <row r="254" ht="15.75" customHeight="1">
      <c r="A254" s="36"/>
      <c r="B254" s="36"/>
      <c r="C254" s="37"/>
      <c r="D254" s="1"/>
      <c r="E254" s="1"/>
      <c r="F254" s="1"/>
      <c r="G254" s="1"/>
      <c r="H254" s="1"/>
      <c r="I254" s="1"/>
      <c r="J254" s="1"/>
      <c r="K254" s="1"/>
      <c r="L254" s="1"/>
    </row>
    <row r="255" ht="15.75" customHeight="1">
      <c r="A255" s="36"/>
      <c r="B255" s="36"/>
      <c r="C255" s="37"/>
      <c r="D255" s="1"/>
      <c r="E255" s="1"/>
      <c r="F255" s="1"/>
      <c r="G255" s="1"/>
      <c r="H255" s="1"/>
      <c r="I255" s="1"/>
      <c r="J255" s="1"/>
      <c r="K255" s="1"/>
      <c r="L255" s="1"/>
    </row>
    <row r="256" ht="15.75" customHeight="1">
      <c r="A256" s="36"/>
      <c r="B256" s="36"/>
      <c r="C256" s="37"/>
      <c r="D256" s="1"/>
      <c r="E256" s="1"/>
      <c r="F256" s="1"/>
      <c r="G256" s="1"/>
      <c r="H256" s="1"/>
      <c r="I256" s="1"/>
      <c r="J256" s="1"/>
      <c r="K256" s="1"/>
      <c r="L256" s="1"/>
    </row>
    <row r="257" ht="15.75" customHeight="1">
      <c r="A257" s="36"/>
      <c r="B257" s="36"/>
      <c r="C257" s="37"/>
      <c r="D257" s="1"/>
      <c r="E257" s="1"/>
      <c r="F257" s="1"/>
      <c r="G257" s="1"/>
      <c r="H257" s="1"/>
      <c r="I257" s="1"/>
      <c r="J257" s="1"/>
      <c r="K257" s="1"/>
      <c r="L257" s="1"/>
    </row>
    <row r="258" ht="15.75" customHeight="1">
      <c r="A258" s="36"/>
      <c r="B258" s="36"/>
      <c r="C258" s="37"/>
      <c r="D258" s="1"/>
      <c r="E258" s="1"/>
      <c r="F258" s="1"/>
      <c r="G258" s="1"/>
      <c r="H258" s="1"/>
      <c r="I258" s="1"/>
      <c r="J258" s="1"/>
      <c r="K258" s="1"/>
      <c r="L258" s="1"/>
    </row>
    <row r="259" ht="15.75" customHeight="1">
      <c r="A259" s="36"/>
      <c r="B259" s="36"/>
      <c r="C259" s="37"/>
      <c r="D259" s="1"/>
      <c r="E259" s="1"/>
      <c r="F259" s="1"/>
      <c r="G259" s="1"/>
      <c r="H259" s="1"/>
      <c r="I259" s="1"/>
      <c r="J259" s="1"/>
      <c r="K259" s="1"/>
      <c r="L259" s="1"/>
    </row>
    <row r="260" ht="15.75" customHeight="1">
      <c r="A260" s="36"/>
      <c r="B260" s="36"/>
      <c r="C260" s="37"/>
      <c r="D260" s="1"/>
      <c r="E260" s="1"/>
      <c r="F260" s="1"/>
      <c r="G260" s="1"/>
      <c r="H260" s="1"/>
      <c r="I260" s="1"/>
      <c r="J260" s="1"/>
      <c r="K260" s="1"/>
      <c r="L260" s="1"/>
    </row>
    <row r="261" ht="15.75" customHeight="1">
      <c r="A261" s="36"/>
      <c r="B261" s="36"/>
      <c r="C261" s="37"/>
      <c r="D261" s="1"/>
      <c r="E261" s="1"/>
      <c r="F261" s="1"/>
      <c r="G261" s="1"/>
      <c r="H261" s="1"/>
      <c r="I261" s="1"/>
      <c r="J261" s="1"/>
      <c r="K261" s="1"/>
      <c r="L261" s="1"/>
    </row>
    <row r="262" ht="15.75" customHeight="1">
      <c r="A262" s="36"/>
      <c r="B262" s="36"/>
      <c r="C262" s="37"/>
      <c r="D262" s="1"/>
      <c r="E262" s="1"/>
      <c r="F262" s="1"/>
      <c r="G262" s="1"/>
      <c r="H262" s="1"/>
      <c r="I262" s="1"/>
      <c r="J262" s="1"/>
      <c r="K262" s="1"/>
      <c r="L262" s="1"/>
    </row>
    <row r="263" ht="15.75" customHeight="1">
      <c r="A263" s="36"/>
      <c r="B263" s="36"/>
      <c r="C263" s="37"/>
      <c r="D263" s="1"/>
      <c r="E263" s="1"/>
      <c r="F263" s="1"/>
      <c r="G263" s="1"/>
      <c r="H263" s="1"/>
      <c r="I263" s="1"/>
      <c r="J263" s="1"/>
      <c r="K263" s="1"/>
      <c r="L263" s="1"/>
    </row>
    <row r="264" ht="15.75" customHeight="1">
      <c r="A264" s="36"/>
      <c r="B264" s="36"/>
      <c r="C264" s="37"/>
      <c r="D264" s="1"/>
      <c r="E264" s="1"/>
      <c r="F264" s="1"/>
      <c r="G264" s="1"/>
      <c r="H264" s="1"/>
      <c r="I264" s="1"/>
      <c r="J264" s="1"/>
      <c r="K264" s="1"/>
      <c r="L264" s="1"/>
    </row>
    <row r="265" ht="15.75" customHeight="1">
      <c r="A265" s="36"/>
      <c r="B265" s="36"/>
      <c r="C265" s="37"/>
      <c r="D265" s="1"/>
      <c r="E265" s="1"/>
      <c r="F265" s="1"/>
      <c r="G265" s="1"/>
      <c r="H265" s="1"/>
      <c r="I265" s="1"/>
      <c r="J265" s="1"/>
      <c r="K265" s="1"/>
      <c r="L265" s="1"/>
    </row>
    <row r="266" ht="15.75" customHeight="1">
      <c r="A266" s="36"/>
      <c r="B266" s="36"/>
      <c r="C266" s="37"/>
      <c r="D266" s="1"/>
      <c r="E266" s="1"/>
      <c r="F266" s="1"/>
      <c r="G266" s="1"/>
      <c r="H266" s="1"/>
      <c r="I266" s="1"/>
      <c r="J266" s="1"/>
      <c r="K266" s="1"/>
      <c r="L266" s="1"/>
    </row>
    <row r="267" ht="15.75" customHeight="1">
      <c r="A267" s="36"/>
      <c r="B267" s="36"/>
      <c r="C267" s="37"/>
      <c r="D267" s="1"/>
      <c r="E267" s="1"/>
      <c r="F267" s="1"/>
      <c r="G267" s="1"/>
      <c r="H267" s="1"/>
      <c r="I267" s="1"/>
      <c r="J267" s="1"/>
      <c r="K267" s="1"/>
      <c r="L267" s="1"/>
    </row>
    <row r="268" ht="15.75" customHeight="1">
      <c r="A268" s="36"/>
      <c r="B268" s="36"/>
      <c r="C268" s="37"/>
      <c r="D268" s="1"/>
      <c r="E268" s="1"/>
      <c r="F268" s="1"/>
      <c r="G268" s="1"/>
      <c r="H268" s="1"/>
      <c r="I268" s="1"/>
      <c r="J268" s="1"/>
      <c r="K268" s="1"/>
      <c r="L268" s="1"/>
    </row>
    <row r="269" ht="15.75" customHeight="1">
      <c r="A269" s="36"/>
      <c r="B269" s="36"/>
      <c r="C269" s="37"/>
      <c r="D269" s="1"/>
      <c r="E269" s="1"/>
      <c r="F269" s="1"/>
      <c r="G269" s="1"/>
      <c r="H269" s="1"/>
      <c r="I269" s="1"/>
      <c r="J269" s="1"/>
      <c r="K269" s="1"/>
      <c r="L269" s="1"/>
    </row>
    <row r="270" ht="15.75" customHeight="1">
      <c r="A270" s="36"/>
      <c r="B270" s="36"/>
      <c r="C270" s="37"/>
      <c r="D270" s="1"/>
      <c r="E270" s="1"/>
      <c r="F270" s="1"/>
      <c r="G270" s="1"/>
      <c r="H270" s="1"/>
      <c r="I270" s="1"/>
      <c r="J270" s="1"/>
      <c r="K270" s="1"/>
      <c r="L270" s="1"/>
    </row>
    <row r="271" ht="15.75" customHeight="1">
      <c r="A271" s="36"/>
      <c r="B271" s="36"/>
      <c r="C271" s="37"/>
      <c r="D271" s="1"/>
      <c r="E271" s="1"/>
      <c r="F271" s="1"/>
      <c r="G271" s="1"/>
      <c r="H271" s="1"/>
      <c r="I271" s="1"/>
      <c r="J271" s="1"/>
      <c r="K271" s="1"/>
      <c r="L271" s="1"/>
    </row>
    <row r="272" ht="15.75" customHeight="1">
      <c r="A272" s="36"/>
      <c r="B272" s="36"/>
      <c r="C272" s="37"/>
      <c r="D272" s="1"/>
      <c r="E272" s="1"/>
      <c r="F272" s="1"/>
      <c r="G272" s="1"/>
      <c r="H272" s="1"/>
      <c r="I272" s="1"/>
      <c r="J272" s="1"/>
      <c r="K272" s="1"/>
      <c r="L272" s="1"/>
    </row>
    <row r="273" ht="15.75" customHeight="1">
      <c r="A273" s="36"/>
      <c r="B273" s="36"/>
      <c r="C273" s="37"/>
      <c r="D273" s="1"/>
      <c r="E273" s="1"/>
      <c r="F273" s="1"/>
      <c r="G273" s="1"/>
      <c r="H273" s="1"/>
      <c r="I273" s="1"/>
      <c r="J273" s="1"/>
      <c r="K273" s="1"/>
      <c r="L273" s="1"/>
    </row>
    <row r="274" ht="15.75" customHeight="1">
      <c r="A274" s="36"/>
      <c r="B274" s="36"/>
      <c r="C274" s="37"/>
      <c r="D274" s="1"/>
      <c r="E274" s="1"/>
      <c r="F274" s="1"/>
      <c r="G274" s="1"/>
      <c r="H274" s="1"/>
      <c r="I274" s="1"/>
      <c r="J274" s="1"/>
      <c r="K274" s="1"/>
      <c r="L274" s="1"/>
    </row>
    <row r="275" ht="15.75" customHeight="1">
      <c r="A275" s="36"/>
      <c r="B275" s="36"/>
      <c r="C275" s="37"/>
      <c r="D275" s="1"/>
      <c r="E275" s="1"/>
      <c r="F275" s="1"/>
      <c r="G275" s="1"/>
      <c r="H275" s="1"/>
      <c r="I275" s="1"/>
      <c r="J275" s="1"/>
      <c r="K275" s="1"/>
      <c r="L275" s="1"/>
    </row>
    <row r="276" ht="15.75" customHeight="1">
      <c r="A276" s="36"/>
      <c r="B276" s="36"/>
      <c r="C276" s="37"/>
      <c r="D276" s="1"/>
      <c r="E276" s="1"/>
      <c r="F276" s="1"/>
      <c r="G276" s="1"/>
      <c r="H276" s="1"/>
      <c r="I276" s="1"/>
      <c r="J276" s="1"/>
      <c r="K276" s="1"/>
      <c r="L276" s="1"/>
    </row>
    <row r="277" ht="15.75" customHeight="1">
      <c r="A277" s="36"/>
      <c r="B277" s="36"/>
      <c r="C277" s="37"/>
      <c r="D277" s="1"/>
      <c r="E277" s="1"/>
      <c r="F277" s="1"/>
      <c r="G277" s="1"/>
      <c r="H277" s="1"/>
      <c r="I277" s="1"/>
      <c r="J277" s="1"/>
      <c r="K277" s="1"/>
      <c r="L277" s="1"/>
    </row>
    <row r="278" ht="15.75" customHeight="1">
      <c r="A278" s="36"/>
      <c r="B278" s="36"/>
      <c r="C278" s="37"/>
      <c r="D278" s="1"/>
      <c r="E278" s="1"/>
      <c r="F278" s="1"/>
      <c r="G278" s="1"/>
      <c r="H278" s="1"/>
      <c r="I278" s="1"/>
      <c r="J278" s="1"/>
      <c r="K278" s="1"/>
      <c r="L278" s="1"/>
    </row>
    <row r="279" ht="15.75" customHeight="1">
      <c r="A279" s="36"/>
      <c r="B279" s="36"/>
      <c r="C279" s="37"/>
      <c r="D279" s="1"/>
      <c r="E279" s="1"/>
      <c r="F279" s="1"/>
      <c r="G279" s="1"/>
      <c r="H279" s="1"/>
      <c r="I279" s="1"/>
      <c r="J279" s="1"/>
      <c r="K279" s="1"/>
      <c r="L279" s="1"/>
    </row>
    <row r="280" ht="15.75" customHeight="1">
      <c r="A280" s="36"/>
      <c r="B280" s="36"/>
      <c r="C280" s="37"/>
      <c r="D280" s="1"/>
      <c r="E280" s="1"/>
      <c r="F280" s="1"/>
      <c r="G280" s="1"/>
      <c r="H280" s="1"/>
      <c r="I280" s="1"/>
      <c r="J280" s="1"/>
      <c r="K280" s="1"/>
      <c r="L280" s="1"/>
    </row>
    <row r="281" ht="15.75" customHeight="1">
      <c r="A281" s="36"/>
      <c r="B281" s="36"/>
      <c r="C281" s="37"/>
      <c r="D281" s="1"/>
      <c r="E281" s="1"/>
      <c r="F281" s="1"/>
      <c r="G281" s="1"/>
      <c r="H281" s="1"/>
      <c r="I281" s="1"/>
      <c r="J281" s="1"/>
      <c r="K281" s="1"/>
      <c r="L281" s="1"/>
    </row>
    <row r="282" ht="15.75" customHeight="1">
      <c r="A282" s="36"/>
      <c r="B282" s="36"/>
      <c r="C282" s="37"/>
      <c r="D282" s="1"/>
      <c r="E282" s="1"/>
      <c r="F282" s="1"/>
      <c r="G282" s="1"/>
      <c r="H282" s="1"/>
      <c r="I282" s="1"/>
      <c r="J282" s="1"/>
      <c r="K282" s="1"/>
      <c r="L282" s="1"/>
    </row>
    <row r="283" ht="15.75" customHeight="1">
      <c r="A283" s="36"/>
      <c r="B283" s="36"/>
      <c r="C283" s="37"/>
      <c r="D283" s="1"/>
      <c r="E283" s="1"/>
      <c r="F283" s="1"/>
      <c r="G283" s="1"/>
      <c r="H283" s="1"/>
      <c r="I283" s="1"/>
      <c r="J283" s="1"/>
      <c r="K283" s="1"/>
      <c r="L283" s="1"/>
    </row>
    <row r="284" ht="15.75" customHeight="1">
      <c r="A284" s="36"/>
      <c r="B284" s="36"/>
      <c r="C284" s="37"/>
      <c r="D284" s="1"/>
      <c r="E284" s="1"/>
      <c r="F284" s="1"/>
      <c r="G284" s="1"/>
      <c r="H284" s="1"/>
      <c r="I284" s="1"/>
      <c r="J284" s="1"/>
      <c r="K284" s="1"/>
      <c r="L284" s="1"/>
    </row>
    <row r="285" ht="15.75" customHeight="1">
      <c r="A285" s="36"/>
      <c r="B285" s="36"/>
      <c r="C285" s="37"/>
      <c r="D285" s="1"/>
      <c r="E285" s="1"/>
      <c r="F285" s="1"/>
      <c r="G285" s="1"/>
      <c r="H285" s="1"/>
      <c r="I285" s="1"/>
      <c r="J285" s="1"/>
      <c r="K285" s="1"/>
      <c r="L285" s="1"/>
    </row>
    <row r="286" ht="15.75" customHeight="1">
      <c r="A286" s="36"/>
      <c r="B286" s="36"/>
      <c r="C286" s="37"/>
      <c r="D286" s="1"/>
      <c r="E286" s="1"/>
      <c r="F286" s="1"/>
      <c r="G286" s="1"/>
      <c r="H286" s="1"/>
      <c r="I286" s="1"/>
      <c r="J286" s="1"/>
      <c r="K286" s="1"/>
      <c r="L286" s="1"/>
    </row>
    <row r="287" ht="15.75" customHeight="1">
      <c r="A287" s="36"/>
      <c r="B287" s="36"/>
      <c r="C287" s="37"/>
      <c r="D287" s="1"/>
      <c r="E287" s="1"/>
      <c r="F287" s="1"/>
      <c r="G287" s="1"/>
      <c r="H287" s="1"/>
      <c r="I287" s="1"/>
      <c r="J287" s="1"/>
      <c r="K287" s="1"/>
      <c r="L287" s="1"/>
    </row>
    <row r="288" ht="15.75" customHeight="1">
      <c r="A288" s="36"/>
      <c r="B288" s="36"/>
      <c r="C288" s="37"/>
      <c r="D288" s="1"/>
      <c r="E288" s="1"/>
      <c r="F288" s="1"/>
      <c r="G288" s="1"/>
      <c r="H288" s="1"/>
      <c r="I288" s="1"/>
      <c r="J288" s="1"/>
      <c r="K288" s="1"/>
      <c r="L288" s="1"/>
    </row>
    <row r="289" ht="15.75" customHeight="1">
      <c r="A289" s="36"/>
      <c r="B289" s="36"/>
      <c r="C289" s="37"/>
      <c r="D289" s="1"/>
      <c r="E289" s="1"/>
      <c r="F289" s="1"/>
      <c r="G289" s="1"/>
      <c r="H289" s="1"/>
      <c r="I289" s="1"/>
      <c r="J289" s="1"/>
      <c r="K289" s="1"/>
      <c r="L289" s="1"/>
    </row>
    <row r="290" ht="15.75" customHeight="1">
      <c r="A290" s="36"/>
      <c r="B290" s="36"/>
      <c r="C290" s="37"/>
      <c r="D290" s="1"/>
      <c r="E290" s="1"/>
      <c r="F290" s="1"/>
      <c r="G290" s="1"/>
      <c r="H290" s="1"/>
      <c r="I290" s="1"/>
      <c r="J290" s="1"/>
      <c r="K290" s="1"/>
      <c r="L290" s="1"/>
    </row>
    <row r="291" ht="15.75" customHeight="1">
      <c r="A291" s="36"/>
      <c r="B291" s="36"/>
      <c r="C291" s="37"/>
      <c r="D291" s="1"/>
      <c r="E291" s="1"/>
      <c r="F291" s="1"/>
      <c r="G291" s="1"/>
      <c r="H291" s="1"/>
      <c r="I291" s="1"/>
      <c r="J291" s="1"/>
      <c r="K291" s="1"/>
      <c r="L291" s="1"/>
    </row>
    <row r="292" ht="15.75" customHeight="1">
      <c r="A292" s="36"/>
      <c r="B292" s="36"/>
      <c r="C292" s="37"/>
      <c r="D292" s="1"/>
      <c r="E292" s="1"/>
      <c r="F292" s="1"/>
      <c r="G292" s="1"/>
      <c r="H292" s="1"/>
      <c r="I292" s="1"/>
      <c r="J292" s="1"/>
      <c r="K292" s="1"/>
      <c r="L292" s="1"/>
    </row>
    <row r="293" ht="15.75" customHeight="1">
      <c r="A293" s="36"/>
      <c r="B293" s="36"/>
      <c r="C293" s="37"/>
      <c r="D293" s="1"/>
      <c r="E293" s="1"/>
      <c r="F293" s="1"/>
      <c r="G293" s="1"/>
      <c r="H293" s="1"/>
      <c r="I293" s="1"/>
      <c r="J293" s="1"/>
      <c r="K293" s="1"/>
      <c r="L293" s="1"/>
    </row>
    <row r="294" ht="15.75" customHeight="1">
      <c r="A294" s="36"/>
      <c r="B294" s="36"/>
      <c r="C294" s="37"/>
      <c r="D294" s="1"/>
      <c r="E294" s="1"/>
      <c r="F294" s="1"/>
      <c r="G294" s="1"/>
      <c r="H294" s="1"/>
      <c r="I294" s="1"/>
      <c r="J294" s="1"/>
      <c r="K294" s="1"/>
      <c r="L294" s="1"/>
    </row>
    <row r="295" ht="15.75" customHeight="1">
      <c r="A295" s="36"/>
      <c r="B295" s="36"/>
      <c r="C295" s="37"/>
      <c r="D295" s="1"/>
      <c r="E295" s="1"/>
      <c r="F295" s="1"/>
      <c r="G295" s="1"/>
      <c r="H295" s="1"/>
      <c r="I295" s="1"/>
      <c r="J295" s="1"/>
      <c r="K295" s="1"/>
      <c r="L295" s="1"/>
    </row>
    <row r="296" ht="15.75" customHeight="1">
      <c r="A296" s="36"/>
      <c r="B296" s="36"/>
      <c r="C296" s="37"/>
      <c r="D296" s="1"/>
      <c r="E296" s="1"/>
      <c r="F296" s="1"/>
      <c r="G296" s="1"/>
      <c r="H296" s="1"/>
      <c r="I296" s="1"/>
      <c r="J296" s="1"/>
      <c r="K296" s="1"/>
      <c r="L296" s="1"/>
    </row>
    <row r="297" ht="15.75" customHeight="1">
      <c r="A297" s="36"/>
      <c r="B297" s="36"/>
      <c r="C297" s="37"/>
      <c r="D297" s="1"/>
      <c r="E297" s="1"/>
      <c r="F297" s="1"/>
      <c r="G297" s="1"/>
      <c r="H297" s="1"/>
      <c r="I297" s="1"/>
      <c r="J297" s="1"/>
      <c r="K297" s="1"/>
      <c r="L297" s="1"/>
    </row>
    <row r="298" ht="15.75" customHeight="1">
      <c r="A298" s="36"/>
      <c r="B298" s="36"/>
      <c r="C298" s="37"/>
      <c r="D298" s="1"/>
      <c r="E298" s="1"/>
      <c r="F298" s="1"/>
      <c r="G298" s="1"/>
      <c r="H298" s="1"/>
      <c r="I298" s="1"/>
      <c r="J298" s="1"/>
      <c r="K298" s="1"/>
      <c r="L298" s="1"/>
    </row>
    <row r="299" ht="15.75" customHeight="1">
      <c r="A299" s="36"/>
      <c r="B299" s="36"/>
      <c r="C299" s="37"/>
      <c r="D299" s="1"/>
      <c r="E299" s="1"/>
      <c r="F299" s="1"/>
      <c r="G299" s="1"/>
      <c r="H299" s="1"/>
      <c r="I299" s="1"/>
      <c r="J299" s="1"/>
      <c r="K299" s="1"/>
      <c r="L299" s="1"/>
    </row>
    <row r="300" ht="15.75" customHeight="1">
      <c r="A300" s="36"/>
      <c r="B300" s="36"/>
      <c r="C300" s="37"/>
      <c r="D300" s="1"/>
      <c r="E300" s="1"/>
      <c r="F300" s="1"/>
      <c r="G300" s="1"/>
      <c r="H300" s="1"/>
      <c r="I300" s="1"/>
      <c r="J300" s="1"/>
      <c r="K300" s="1"/>
      <c r="L300" s="1"/>
    </row>
    <row r="301" ht="15.75" customHeight="1">
      <c r="A301" s="36"/>
      <c r="B301" s="36"/>
      <c r="C301" s="37"/>
      <c r="D301" s="1"/>
      <c r="E301" s="1"/>
      <c r="F301" s="1"/>
      <c r="G301" s="1"/>
      <c r="H301" s="1"/>
      <c r="I301" s="1"/>
      <c r="J301" s="1"/>
      <c r="K301" s="1"/>
      <c r="L301" s="1"/>
    </row>
    <row r="302" ht="15.75" customHeight="1">
      <c r="A302" s="36"/>
      <c r="B302" s="36"/>
      <c r="C302" s="37"/>
      <c r="D302" s="1"/>
      <c r="E302" s="1"/>
      <c r="F302" s="1"/>
      <c r="G302" s="1"/>
      <c r="H302" s="1"/>
      <c r="I302" s="1"/>
      <c r="J302" s="1"/>
      <c r="K302" s="1"/>
      <c r="L302" s="1"/>
    </row>
    <row r="303" ht="15.75" customHeight="1">
      <c r="A303" s="36"/>
      <c r="B303" s="36"/>
      <c r="C303" s="37"/>
      <c r="D303" s="1"/>
      <c r="E303" s="1"/>
      <c r="F303" s="1"/>
      <c r="G303" s="1"/>
      <c r="H303" s="1"/>
      <c r="I303" s="1"/>
      <c r="J303" s="1"/>
      <c r="K303" s="1"/>
      <c r="L303" s="1"/>
    </row>
    <row r="304" ht="15.75" customHeight="1">
      <c r="A304" s="36"/>
      <c r="B304" s="36"/>
      <c r="C304" s="37"/>
      <c r="D304" s="1"/>
      <c r="E304" s="1"/>
      <c r="F304" s="1"/>
      <c r="G304" s="1"/>
      <c r="H304" s="1"/>
      <c r="I304" s="1"/>
      <c r="J304" s="1"/>
      <c r="K304" s="1"/>
      <c r="L304" s="1"/>
    </row>
    <row r="305" ht="15.75" customHeight="1">
      <c r="A305" s="36"/>
      <c r="B305" s="36"/>
      <c r="C305" s="37"/>
      <c r="D305" s="1"/>
      <c r="E305" s="1"/>
      <c r="F305" s="1"/>
      <c r="G305" s="1"/>
      <c r="H305" s="1"/>
      <c r="I305" s="1"/>
      <c r="J305" s="1"/>
      <c r="K305" s="1"/>
      <c r="L305" s="1"/>
    </row>
    <row r="306" ht="15.75" customHeight="1">
      <c r="A306" s="36"/>
      <c r="B306" s="36"/>
      <c r="C306" s="37"/>
      <c r="D306" s="1"/>
      <c r="E306" s="1"/>
      <c r="F306" s="1"/>
      <c r="G306" s="1"/>
      <c r="H306" s="1"/>
      <c r="I306" s="1"/>
      <c r="J306" s="1"/>
      <c r="K306" s="1"/>
      <c r="L306" s="1"/>
    </row>
    <row r="307" ht="15.75" customHeight="1">
      <c r="A307" s="36"/>
      <c r="B307" s="36"/>
      <c r="C307" s="37"/>
      <c r="D307" s="1"/>
      <c r="E307" s="1"/>
      <c r="F307" s="1"/>
      <c r="G307" s="1"/>
      <c r="H307" s="1"/>
      <c r="I307" s="1"/>
      <c r="J307" s="1"/>
      <c r="K307" s="1"/>
      <c r="L307" s="1"/>
    </row>
    <row r="308" ht="15.75" customHeight="1">
      <c r="A308" s="36"/>
      <c r="B308" s="36"/>
      <c r="C308" s="37"/>
      <c r="D308" s="1"/>
      <c r="E308" s="1"/>
      <c r="F308" s="1"/>
      <c r="G308" s="1"/>
      <c r="H308" s="1"/>
      <c r="I308" s="1"/>
      <c r="J308" s="1"/>
      <c r="K308" s="1"/>
      <c r="L308" s="1"/>
    </row>
    <row r="309" ht="15.75" customHeight="1">
      <c r="A309" s="36"/>
      <c r="B309" s="36"/>
      <c r="C309" s="37"/>
      <c r="D309" s="1"/>
      <c r="E309" s="1"/>
      <c r="F309" s="1"/>
      <c r="G309" s="1"/>
      <c r="H309" s="1"/>
      <c r="I309" s="1"/>
      <c r="J309" s="1"/>
      <c r="K309" s="1"/>
      <c r="L309" s="1"/>
    </row>
    <row r="310" ht="15.75" customHeight="1">
      <c r="A310" s="36"/>
      <c r="B310" s="36"/>
      <c r="C310" s="37"/>
      <c r="D310" s="1"/>
      <c r="E310" s="1"/>
      <c r="F310" s="1"/>
      <c r="G310" s="1"/>
      <c r="H310" s="1"/>
      <c r="I310" s="1"/>
      <c r="J310" s="1"/>
      <c r="K310" s="1"/>
      <c r="L310" s="1"/>
    </row>
    <row r="311" ht="15.75" customHeight="1">
      <c r="A311" s="36"/>
      <c r="B311" s="36"/>
      <c r="C311" s="37"/>
      <c r="D311" s="1"/>
      <c r="E311" s="1"/>
      <c r="F311" s="1"/>
      <c r="G311" s="1"/>
      <c r="H311" s="1"/>
      <c r="I311" s="1"/>
      <c r="J311" s="1"/>
      <c r="K311" s="1"/>
      <c r="L311" s="1"/>
    </row>
    <row r="312" ht="15.75" customHeight="1">
      <c r="A312" s="36"/>
      <c r="B312" s="36"/>
      <c r="C312" s="37"/>
      <c r="D312" s="1"/>
      <c r="E312" s="1"/>
      <c r="F312" s="1"/>
      <c r="G312" s="1"/>
      <c r="H312" s="1"/>
      <c r="I312" s="1"/>
      <c r="J312" s="1"/>
      <c r="K312" s="1"/>
      <c r="L312" s="1"/>
    </row>
    <row r="313" ht="15.75" customHeight="1">
      <c r="A313" s="36"/>
      <c r="B313" s="36"/>
      <c r="C313" s="37"/>
      <c r="D313" s="1"/>
      <c r="E313" s="1"/>
      <c r="F313" s="1"/>
      <c r="G313" s="1"/>
      <c r="H313" s="1"/>
      <c r="I313" s="1"/>
      <c r="J313" s="1"/>
      <c r="K313" s="1"/>
      <c r="L313" s="1"/>
    </row>
    <row r="314" ht="15.75" customHeight="1">
      <c r="A314" s="36"/>
      <c r="B314" s="36"/>
      <c r="C314" s="37"/>
      <c r="D314" s="1"/>
      <c r="E314" s="1"/>
      <c r="F314" s="1"/>
      <c r="G314" s="1"/>
      <c r="H314" s="1"/>
      <c r="I314" s="1"/>
      <c r="J314" s="1"/>
      <c r="K314" s="1"/>
      <c r="L314" s="1"/>
    </row>
    <row r="315" ht="15.75" customHeight="1">
      <c r="A315" s="36"/>
      <c r="B315" s="36"/>
      <c r="C315" s="37"/>
      <c r="D315" s="1"/>
      <c r="E315" s="1"/>
      <c r="F315" s="1"/>
      <c r="G315" s="1"/>
      <c r="H315" s="1"/>
      <c r="I315" s="1"/>
      <c r="J315" s="1"/>
      <c r="K315" s="1"/>
      <c r="L315" s="1"/>
    </row>
    <row r="316" ht="15.75" customHeight="1">
      <c r="A316" s="36"/>
      <c r="B316" s="36"/>
      <c r="C316" s="37"/>
      <c r="D316" s="1"/>
      <c r="E316" s="1"/>
      <c r="F316" s="1"/>
      <c r="G316" s="1"/>
      <c r="H316" s="1"/>
      <c r="I316" s="1"/>
      <c r="J316" s="1"/>
      <c r="K316" s="1"/>
      <c r="L316" s="1"/>
    </row>
    <row r="317" ht="15.75" customHeight="1">
      <c r="A317" s="36"/>
      <c r="B317" s="36"/>
      <c r="C317" s="37"/>
      <c r="D317" s="1"/>
      <c r="E317" s="1"/>
      <c r="F317" s="1"/>
      <c r="G317" s="1"/>
      <c r="H317" s="1"/>
      <c r="I317" s="1"/>
      <c r="J317" s="1"/>
      <c r="K317" s="1"/>
      <c r="L317" s="1"/>
    </row>
    <row r="318" ht="15.75" customHeight="1">
      <c r="A318" s="36"/>
      <c r="B318" s="36"/>
      <c r="C318" s="37"/>
      <c r="D318" s="1"/>
      <c r="E318" s="1"/>
      <c r="F318" s="1"/>
      <c r="G318" s="1"/>
      <c r="H318" s="1"/>
      <c r="I318" s="1"/>
      <c r="J318" s="1"/>
      <c r="K318" s="1"/>
      <c r="L318" s="1"/>
    </row>
    <row r="319" ht="15.75" customHeight="1">
      <c r="A319" s="36"/>
      <c r="B319" s="36"/>
      <c r="C319" s="37"/>
      <c r="D319" s="1"/>
      <c r="E319" s="1"/>
      <c r="F319" s="1"/>
      <c r="G319" s="1"/>
      <c r="H319" s="1"/>
      <c r="I319" s="1"/>
      <c r="J319" s="1"/>
      <c r="K319" s="1"/>
      <c r="L319" s="1"/>
    </row>
    <row r="320" ht="15.75" customHeight="1">
      <c r="A320" s="36"/>
      <c r="B320" s="36"/>
      <c r="C320" s="37"/>
      <c r="D320" s="1"/>
      <c r="E320" s="1"/>
      <c r="F320" s="1"/>
      <c r="G320" s="1"/>
      <c r="H320" s="1"/>
      <c r="I320" s="1"/>
      <c r="J320" s="1"/>
      <c r="K320" s="1"/>
      <c r="L320" s="1"/>
    </row>
    <row r="321" ht="15.75" customHeight="1">
      <c r="A321" s="36"/>
      <c r="B321" s="36"/>
      <c r="C321" s="37"/>
      <c r="D321" s="1"/>
      <c r="E321" s="1"/>
      <c r="F321" s="1"/>
      <c r="G321" s="1"/>
      <c r="H321" s="1"/>
      <c r="I321" s="1"/>
      <c r="J321" s="1"/>
      <c r="K321" s="1"/>
      <c r="L321" s="1"/>
    </row>
    <row r="322" ht="15.75" customHeight="1">
      <c r="A322" s="36"/>
      <c r="B322" s="36"/>
      <c r="C322" s="37"/>
      <c r="D322" s="1"/>
      <c r="E322" s="1"/>
      <c r="F322" s="1"/>
      <c r="G322" s="1"/>
      <c r="H322" s="1"/>
      <c r="I322" s="1"/>
      <c r="J322" s="1"/>
      <c r="K322" s="1"/>
      <c r="L322" s="1"/>
    </row>
    <row r="323" ht="15.75" customHeight="1">
      <c r="A323" s="36"/>
      <c r="B323" s="36"/>
      <c r="C323" s="37"/>
      <c r="D323" s="1"/>
      <c r="E323" s="1"/>
      <c r="F323" s="1"/>
      <c r="G323" s="1"/>
      <c r="H323" s="1"/>
      <c r="I323" s="1"/>
      <c r="J323" s="1"/>
      <c r="K323" s="1"/>
      <c r="L323" s="1"/>
    </row>
    <row r="324" ht="15.75" customHeight="1">
      <c r="A324" s="36"/>
      <c r="B324" s="36"/>
      <c r="C324" s="37"/>
      <c r="D324" s="1"/>
      <c r="E324" s="1"/>
      <c r="F324" s="1"/>
      <c r="G324" s="1"/>
      <c r="H324" s="1"/>
      <c r="I324" s="1"/>
      <c r="J324" s="1"/>
      <c r="K324" s="1"/>
      <c r="L324" s="1"/>
    </row>
    <row r="325" ht="15.75" customHeight="1">
      <c r="A325" s="36"/>
      <c r="B325" s="36"/>
      <c r="C325" s="37"/>
      <c r="D325" s="1"/>
      <c r="E325" s="1"/>
      <c r="F325" s="1"/>
      <c r="G325" s="1"/>
      <c r="H325" s="1"/>
      <c r="I325" s="1"/>
      <c r="J325" s="1"/>
      <c r="K325" s="1"/>
      <c r="L325" s="1"/>
    </row>
    <row r="326" ht="15.75" customHeight="1">
      <c r="A326" s="36"/>
      <c r="B326" s="36"/>
      <c r="C326" s="37"/>
      <c r="D326" s="1"/>
      <c r="E326" s="1"/>
      <c r="F326" s="1"/>
      <c r="G326" s="1"/>
      <c r="H326" s="1"/>
      <c r="I326" s="1"/>
      <c r="J326" s="1"/>
      <c r="K326" s="1"/>
      <c r="L326" s="1"/>
    </row>
    <row r="327" ht="15.75" customHeight="1">
      <c r="A327" s="36"/>
      <c r="B327" s="36"/>
      <c r="C327" s="37"/>
      <c r="D327" s="1"/>
      <c r="E327" s="1"/>
      <c r="F327" s="1"/>
      <c r="G327" s="1"/>
      <c r="H327" s="1"/>
      <c r="I327" s="1"/>
      <c r="J327" s="1"/>
      <c r="K327" s="1"/>
      <c r="L327" s="1"/>
    </row>
    <row r="328" ht="15.75" customHeight="1">
      <c r="A328" s="36"/>
      <c r="B328" s="36"/>
      <c r="C328" s="37"/>
      <c r="D328" s="1"/>
      <c r="E328" s="1"/>
      <c r="F328" s="1"/>
      <c r="G328" s="1"/>
      <c r="H328" s="1"/>
      <c r="I328" s="1"/>
      <c r="J328" s="1"/>
      <c r="K328" s="1"/>
      <c r="L328" s="1"/>
    </row>
    <row r="329" ht="15.75" customHeight="1">
      <c r="A329" s="36"/>
      <c r="B329" s="36"/>
      <c r="C329" s="37"/>
      <c r="D329" s="1"/>
      <c r="E329" s="1"/>
      <c r="F329" s="1"/>
      <c r="G329" s="1"/>
      <c r="H329" s="1"/>
      <c r="I329" s="1"/>
      <c r="J329" s="1"/>
      <c r="K329" s="1"/>
      <c r="L329" s="1"/>
    </row>
    <row r="330" ht="15.75" customHeight="1">
      <c r="A330" s="36"/>
      <c r="B330" s="36"/>
      <c r="C330" s="37"/>
      <c r="D330" s="1"/>
      <c r="E330" s="1"/>
      <c r="F330" s="1"/>
      <c r="G330" s="1"/>
      <c r="H330" s="1"/>
      <c r="I330" s="1"/>
      <c r="J330" s="1"/>
      <c r="K330" s="1"/>
      <c r="L330" s="1"/>
    </row>
    <row r="331" ht="15.75" customHeight="1">
      <c r="A331" s="36"/>
      <c r="B331" s="36"/>
      <c r="C331" s="37"/>
      <c r="D331" s="1"/>
      <c r="E331" s="1"/>
      <c r="F331" s="1"/>
      <c r="G331" s="1"/>
      <c r="H331" s="1"/>
      <c r="I331" s="1"/>
      <c r="J331" s="1"/>
      <c r="K331" s="1"/>
      <c r="L331" s="1"/>
    </row>
    <row r="332" ht="15.75" customHeight="1">
      <c r="A332" s="36"/>
      <c r="B332" s="36"/>
      <c r="C332" s="37"/>
      <c r="D332" s="1"/>
      <c r="E332" s="1"/>
      <c r="F332" s="1"/>
      <c r="G332" s="1"/>
      <c r="H332" s="1"/>
      <c r="I332" s="1"/>
      <c r="J332" s="1"/>
      <c r="K332" s="1"/>
      <c r="L332" s="1"/>
    </row>
    <row r="333" ht="15.75" customHeight="1">
      <c r="A333" s="36"/>
      <c r="B333" s="36"/>
      <c r="C333" s="37"/>
      <c r="D333" s="1"/>
      <c r="E333" s="1"/>
      <c r="F333" s="1"/>
      <c r="G333" s="1"/>
      <c r="H333" s="1"/>
      <c r="I333" s="1"/>
      <c r="J333" s="1"/>
      <c r="K333" s="1"/>
      <c r="L333" s="1"/>
    </row>
    <row r="334" ht="15.75" customHeight="1">
      <c r="A334" s="36"/>
      <c r="B334" s="36"/>
      <c r="C334" s="37"/>
      <c r="D334" s="1"/>
      <c r="E334" s="1"/>
      <c r="F334" s="1"/>
      <c r="G334" s="1"/>
      <c r="H334" s="1"/>
      <c r="I334" s="1"/>
      <c r="J334" s="1"/>
      <c r="K334" s="1"/>
      <c r="L334" s="1"/>
    </row>
    <row r="335" ht="15.75" customHeight="1">
      <c r="A335" s="36"/>
      <c r="B335" s="36"/>
      <c r="C335" s="37"/>
      <c r="D335" s="1"/>
      <c r="E335" s="1"/>
      <c r="F335" s="1"/>
      <c r="G335" s="1"/>
      <c r="H335" s="1"/>
      <c r="I335" s="1"/>
      <c r="J335" s="1"/>
      <c r="K335" s="1"/>
      <c r="L335" s="1"/>
    </row>
    <row r="336" ht="15.75" customHeight="1">
      <c r="A336" s="36"/>
      <c r="B336" s="36"/>
      <c r="C336" s="37"/>
      <c r="D336" s="1"/>
      <c r="E336" s="1"/>
      <c r="F336" s="1"/>
      <c r="G336" s="1"/>
      <c r="H336" s="1"/>
      <c r="I336" s="1"/>
      <c r="J336" s="1"/>
      <c r="K336" s="1"/>
      <c r="L336" s="1"/>
    </row>
    <row r="337" ht="15.75" customHeight="1">
      <c r="A337" s="36"/>
      <c r="B337" s="36"/>
      <c r="C337" s="37"/>
      <c r="D337" s="1"/>
      <c r="E337" s="1"/>
      <c r="F337" s="1"/>
      <c r="G337" s="1"/>
      <c r="H337" s="1"/>
      <c r="I337" s="1"/>
      <c r="J337" s="1"/>
      <c r="K337" s="1"/>
      <c r="L337" s="1"/>
    </row>
    <row r="338" ht="15.75" customHeight="1">
      <c r="A338" s="36"/>
      <c r="B338" s="36"/>
      <c r="C338" s="37"/>
      <c r="D338" s="1"/>
      <c r="E338" s="1"/>
      <c r="F338" s="1"/>
      <c r="G338" s="1"/>
      <c r="H338" s="1"/>
      <c r="I338" s="1"/>
      <c r="J338" s="1"/>
      <c r="K338" s="1"/>
      <c r="L338" s="1"/>
    </row>
    <row r="339" ht="15.75" customHeight="1">
      <c r="A339" s="36"/>
      <c r="B339" s="36"/>
      <c r="C339" s="37"/>
      <c r="D339" s="1"/>
      <c r="E339" s="1"/>
      <c r="F339" s="1"/>
      <c r="G339" s="1"/>
      <c r="H339" s="1"/>
      <c r="I339" s="1"/>
      <c r="J339" s="1"/>
      <c r="K339" s="1"/>
      <c r="L339" s="1"/>
    </row>
    <row r="340" ht="15.75" customHeight="1">
      <c r="A340" s="36"/>
      <c r="B340" s="36"/>
      <c r="C340" s="37"/>
      <c r="D340" s="1"/>
      <c r="E340" s="1"/>
      <c r="F340" s="1"/>
      <c r="G340" s="1"/>
      <c r="H340" s="1"/>
      <c r="I340" s="1"/>
      <c r="J340" s="1"/>
      <c r="K340" s="1"/>
      <c r="L340" s="1"/>
    </row>
    <row r="341" ht="15.75" customHeight="1">
      <c r="A341" s="36"/>
      <c r="B341" s="36"/>
      <c r="C341" s="37"/>
      <c r="D341" s="1"/>
      <c r="E341" s="1"/>
      <c r="F341" s="1"/>
      <c r="G341" s="1"/>
      <c r="H341" s="1"/>
      <c r="I341" s="1"/>
      <c r="J341" s="1"/>
      <c r="K341" s="1"/>
      <c r="L341" s="1"/>
    </row>
    <row r="342" ht="15.75" customHeight="1">
      <c r="A342" s="36"/>
      <c r="B342" s="36"/>
      <c r="C342" s="37"/>
      <c r="D342" s="1"/>
      <c r="E342" s="1"/>
      <c r="F342" s="1"/>
      <c r="G342" s="1"/>
      <c r="H342" s="1"/>
      <c r="I342" s="1"/>
      <c r="J342" s="1"/>
      <c r="K342" s="1"/>
      <c r="L342" s="1"/>
    </row>
    <row r="343" ht="15.75" customHeight="1">
      <c r="A343" s="36"/>
      <c r="B343" s="36"/>
      <c r="C343" s="37"/>
      <c r="D343" s="1"/>
      <c r="E343" s="1"/>
      <c r="F343" s="1"/>
      <c r="G343" s="1"/>
      <c r="H343" s="1"/>
      <c r="I343" s="1"/>
      <c r="J343" s="1"/>
      <c r="K343" s="1"/>
      <c r="L343" s="1"/>
    </row>
    <row r="344" ht="15.75" customHeight="1">
      <c r="A344" s="36"/>
      <c r="B344" s="36"/>
      <c r="C344" s="37"/>
      <c r="D344" s="1"/>
      <c r="E344" s="1"/>
      <c r="F344" s="1"/>
      <c r="G344" s="1"/>
      <c r="H344" s="1"/>
      <c r="I344" s="1"/>
      <c r="J344" s="1"/>
      <c r="K344" s="1"/>
      <c r="L344" s="1"/>
    </row>
    <row r="345" ht="15.75" customHeight="1">
      <c r="A345" s="36"/>
      <c r="B345" s="36"/>
      <c r="C345" s="37"/>
      <c r="D345" s="1"/>
      <c r="E345" s="1"/>
      <c r="F345" s="1"/>
      <c r="G345" s="1"/>
      <c r="H345" s="1"/>
      <c r="I345" s="1"/>
      <c r="J345" s="1"/>
      <c r="K345" s="1"/>
      <c r="L345" s="1"/>
    </row>
    <row r="346" ht="15.75" customHeight="1">
      <c r="A346" s="36"/>
      <c r="B346" s="36"/>
      <c r="C346" s="37"/>
      <c r="D346" s="1"/>
      <c r="E346" s="1"/>
      <c r="F346" s="1"/>
      <c r="G346" s="1"/>
      <c r="H346" s="1"/>
      <c r="I346" s="1"/>
      <c r="J346" s="1"/>
      <c r="K346" s="1"/>
      <c r="L346" s="1"/>
    </row>
    <row r="347" ht="15.75" customHeight="1">
      <c r="A347" s="36"/>
      <c r="B347" s="36"/>
      <c r="C347" s="37"/>
      <c r="D347" s="1"/>
      <c r="E347" s="1"/>
      <c r="F347" s="1"/>
      <c r="G347" s="1"/>
      <c r="H347" s="1"/>
      <c r="I347" s="1"/>
      <c r="J347" s="1"/>
      <c r="K347" s="1"/>
      <c r="L347" s="1"/>
    </row>
    <row r="348" ht="15.75" customHeight="1">
      <c r="A348" s="36"/>
      <c r="B348" s="36"/>
      <c r="C348" s="37"/>
      <c r="D348" s="1"/>
      <c r="E348" s="1"/>
      <c r="F348" s="1"/>
      <c r="G348" s="1"/>
      <c r="H348" s="1"/>
      <c r="I348" s="1"/>
      <c r="J348" s="1"/>
      <c r="K348" s="1"/>
      <c r="L348" s="1"/>
    </row>
    <row r="349" ht="15.75" customHeight="1">
      <c r="A349" s="36"/>
      <c r="B349" s="36"/>
      <c r="C349" s="37"/>
      <c r="D349" s="1"/>
      <c r="E349" s="1"/>
      <c r="F349" s="1"/>
      <c r="G349" s="1"/>
      <c r="H349" s="1"/>
      <c r="I349" s="1"/>
      <c r="J349" s="1"/>
      <c r="K349" s="1"/>
      <c r="L349" s="1"/>
    </row>
    <row r="350" ht="15.75" customHeight="1">
      <c r="A350" s="36"/>
      <c r="B350" s="36"/>
      <c r="C350" s="37"/>
      <c r="D350" s="1"/>
      <c r="E350" s="1"/>
      <c r="F350" s="1"/>
      <c r="G350" s="1"/>
      <c r="H350" s="1"/>
      <c r="I350" s="1"/>
      <c r="J350" s="1"/>
      <c r="K350" s="1"/>
      <c r="L350" s="1"/>
    </row>
    <row r="351" ht="15.75" customHeight="1">
      <c r="A351" s="36"/>
      <c r="B351" s="36"/>
      <c r="C351" s="37"/>
      <c r="D351" s="1"/>
      <c r="E351" s="1"/>
      <c r="F351" s="1"/>
      <c r="G351" s="1"/>
      <c r="H351" s="1"/>
      <c r="I351" s="1"/>
      <c r="J351" s="1"/>
      <c r="K351" s="1"/>
      <c r="L351" s="1"/>
    </row>
    <row r="352" ht="15.75" customHeight="1">
      <c r="A352" s="36"/>
      <c r="B352" s="36"/>
      <c r="C352" s="37"/>
      <c r="D352" s="1"/>
      <c r="E352" s="1"/>
      <c r="F352" s="1"/>
      <c r="G352" s="1"/>
      <c r="H352" s="1"/>
      <c r="I352" s="1"/>
      <c r="J352" s="1"/>
      <c r="K352" s="1"/>
      <c r="L352" s="1"/>
    </row>
    <row r="353" ht="15.75" customHeight="1">
      <c r="A353" s="36"/>
      <c r="B353" s="36"/>
      <c r="C353" s="37"/>
      <c r="D353" s="1"/>
      <c r="E353" s="1"/>
      <c r="F353" s="1"/>
      <c r="G353" s="1"/>
      <c r="H353" s="1"/>
      <c r="I353" s="1"/>
      <c r="J353" s="1"/>
      <c r="K353" s="1"/>
      <c r="L353" s="1"/>
    </row>
    <row r="354" ht="15.75" customHeight="1">
      <c r="A354" s="36"/>
      <c r="B354" s="36"/>
      <c r="C354" s="37"/>
      <c r="D354" s="1"/>
      <c r="E354" s="1"/>
      <c r="F354" s="1"/>
      <c r="G354" s="1"/>
      <c r="H354" s="1"/>
      <c r="I354" s="1"/>
      <c r="J354" s="1"/>
      <c r="K354" s="1"/>
      <c r="L354" s="1"/>
    </row>
    <row r="355" ht="15.75" customHeight="1">
      <c r="A355" s="36"/>
      <c r="B355" s="36"/>
      <c r="C355" s="37"/>
      <c r="D355" s="1"/>
      <c r="E355" s="1"/>
      <c r="F355" s="1"/>
      <c r="G355" s="1"/>
      <c r="H355" s="1"/>
      <c r="I355" s="1"/>
      <c r="J355" s="1"/>
      <c r="K355" s="1"/>
      <c r="L355" s="1"/>
    </row>
    <row r="356" ht="15.75" customHeight="1">
      <c r="A356" s="36"/>
      <c r="B356" s="36"/>
      <c r="C356" s="37"/>
      <c r="D356" s="1"/>
      <c r="E356" s="1"/>
      <c r="F356" s="1"/>
      <c r="G356" s="1"/>
      <c r="H356" s="1"/>
      <c r="I356" s="1"/>
      <c r="J356" s="1"/>
      <c r="K356" s="1"/>
      <c r="L356" s="1"/>
    </row>
    <row r="357" ht="15.75" customHeight="1">
      <c r="A357" s="36"/>
      <c r="B357" s="36"/>
      <c r="C357" s="37"/>
      <c r="D357" s="1"/>
      <c r="E357" s="1"/>
      <c r="F357" s="1"/>
      <c r="G357" s="1"/>
      <c r="H357" s="1"/>
      <c r="I357" s="1"/>
      <c r="J357" s="1"/>
      <c r="K357" s="1"/>
      <c r="L357" s="1"/>
    </row>
    <row r="358" ht="15.75" customHeight="1">
      <c r="A358" s="36"/>
      <c r="B358" s="36"/>
      <c r="C358" s="37"/>
      <c r="D358" s="1"/>
      <c r="E358" s="1"/>
      <c r="F358" s="1"/>
      <c r="G358" s="1"/>
      <c r="H358" s="1"/>
      <c r="I358" s="1"/>
      <c r="J358" s="1"/>
      <c r="K358" s="1"/>
      <c r="L358" s="1"/>
    </row>
    <row r="359" ht="15.75" customHeight="1">
      <c r="A359" s="36"/>
      <c r="B359" s="36"/>
      <c r="C359" s="37"/>
      <c r="D359" s="1"/>
      <c r="E359" s="1"/>
      <c r="F359" s="1"/>
      <c r="G359" s="1"/>
      <c r="H359" s="1"/>
      <c r="I359" s="1"/>
      <c r="J359" s="1"/>
      <c r="K359" s="1"/>
      <c r="L359" s="1"/>
    </row>
    <row r="360" ht="15.75" customHeight="1">
      <c r="A360" s="36"/>
      <c r="B360" s="36"/>
      <c r="C360" s="37"/>
      <c r="D360" s="1"/>
      <c r="E360" s="1"/>
      <c r="F360" s="1"/>
      <c r="G360" s="1"/>
      <c r="H360" s="1"/>
      <c r="I360" s="1"/>
      <c r="J360" s="1"/>
      <c r="K360" s="1"/>
      <c r="L360" s="1"/>
    </row>
    <row r="361" ht="15.75" customHeight="1">
      <c r="A361" s="36"/>
      <c r="B361" s="36"/>
      <c r="C361" s="37"/>
      <c r="D361" s="1"/>
      <c r="E361" s="1"/>
      <c r="F361" s="1"/>
      <c r="G361" s="1"/>
      <c r="H361" s="1"/>
      <c r="I361" s="1"/>
      <c r="J361" s="1"/>
      <c r="K361" s="1"/>
      <c r="L361" s="1"/>
    </row>
    <row r="362" ht="15.75" customHeight="1">
      <c r="A362" s="36"/>
      <c r="B362" s="36"/>
      <c r="C362" s="37"/>
      <c r="D362" s="1"/>
      <c r="E362" s="1"/>
      <c r="F362" s="1"/>
      <c r="G362" s="1"/>
      <c r="H362" s="1"/>
      <c r="I362" s="1"/>
      <c r="J362" s="1"/>
      <c r="K362" s="1"/>
      <c r="L362" s="1"/>
    </row>
    <row r="363" ht="15.75" customHeight="1">
      <c r="A363" s="36"/>
      <c r="B363" s="36"/>
      <c r="C363" s="37"/>
      <c r="D363" s="1"/>
      <c r="E363" s="1"/>
      <c r="F363" s="1"/>
      <c r="G363" s="1"/>
      <c r="H363" s="1"/>
      <c r="I363" s="1"/>
      <c r="J363" s="1"/>
      <c r="K363" s="1"/>
      <c r="L363" s="1"/>
    </row>
    <row r="364" ht="15.75" customHeight="1">
      <c r="A364" s="36"/>
      <c r="B364" s="36"/>
      <c r="C364" s="37"/>
      <c r="D364" s="1"/>
      <c r="E364" s="1"/>
      <c r="F364" s="1"/>
      <c r="G364" s="1"/>
      <c r="H364" s="1"/>
      <c r="I364" s="1"/>
      <c r="J364" s="1"/>
      <c r="K364" s="1"/>
      <c r="L364" s="1"/>
    </row>
    <row r="365" ht="15.75" customHeight="1">
      <c r="A365" s="36"/>
      <c r="B365" s="36"/>
      <c r="C365" s="37"/>
      <c r="D365" s="1"/>
      <c r="E365" s="1"/>
      <c r="F365" s="1"/>
      <c r="G365" s="1"/>
      <c r="H365" s="1"/>
      <c r="I365" s="1"/>
      <c r="J365" s="1"/>
      <c r="K365" s="1"/>
      <c r="L365" s="1"/>
    </row>
    <row r="366" ht="15.75" customHeight="1">
      <c r="A366" s="36"/>
      <c r="B366" s="36"/>
      <c r="C366" s="37"/>
      <c r="D366" s="1"/>
      <c r="E366" s="1"/>
      <c r="F366" s="1"/>
      <c r="G366" s="1"/>
      <c r="H366" s="1"/>
      <c r="I366" s="1"/>
      <c r="J366" s="1"/>
      <c r="K366" s="1"/>
      <c r="L366" s="1"/>
    </row>
    <row r="367" ht="15.75" customHeight="1">
      <c r="A367" s="36"/>
      <c r="B367" s="36"/>
      <c r="C367" s="37"/>
      <c r="D367" s="1"/>
      <c r="E367" s="1"/>
      <c r="F367" s="1"/>
      <c r="G367" s="1"/>
      <c r="H367" s="1"/>
      <c r="I367" s="1"/>
      <c r="J367" s="1"/>
      <c r="K367" s="1"/>
      <c r="L367" s="1"/>
    </row>
    <row r="368" ht="15.75" customHeight="1">
      <c r="A368" s="36"/>
      <c r="B368" s="36"/>
      <c r="C368" s="37"/>
      <c r="D368" s="1"/>
      <c r="E368" s="1"/>
      <c r="F368" s="1"/>
      <c r="G368" s="1"/>
      <c r="H368" s="1"/>
      <c r="I368" s="1"/>
      <c r="J368" s="1"/>
      <c r="K368" s="1"/>
      <c r="L368" s="1"/>
    </row>
    <row r="369" ht="15.75" customHeight="1">
      <c r="A369" s="36"/>
      <c r="B369" s="36"/>
      <c r="C369" s="37"/>
      <c r="D369" s="1"/>
      <c r="E369" s="1"/>
      <c r="F369" s="1"/>
      <c r="G369" s="1"/>
      <c r="H369" s="1"/>
      <c r="I369" s="1"/>
      <c r="J369" s="1"/>
      <c r="K369" s="1"/>
      <c r="L369" s="1"/>
    </row>
    <row r="370" ht="15.75" customHeight="1">
      <c r="A370" s="36"/>
      <c r="B370" s="36"/>
      <c r="C370" s="37"/>
      <c r="D370" s="1"/>
      <c r="E370" s="1"/>
      <c r="F370" s="1"/>
      <c r="G370" s="1"/>
      <c r="H370" s="1"/>
      <c r="I370" s="1"/>
      <c r="J370" s="1"/>
      <c r="K370" s="1"/>
      <c r="L370" s="1"/>
    </row>
    <row r="371" ht="15.75" customHeight="1">
      <c r="A371" s="36"/>
      <c r="B371" s="36"/>
      <c r="C371" s="37"/>
      <c r="D371" s="1"/>
      <c r="E371" s="1"/>
      <c r="F371" s="1"/>
      <c r="G371" s="1"/>
      <c r="H371" s="1"/>
      <c r="I371" s="1"/>
      <c r="J371" s="1"/>
      <c r="K371" s="1"/>
      <c r="L371" s="1"/>
    </row>
    <row r="372" ht="15.75" customHeight="1">
      <c r="A372" s="36"/>
      <c r="B372" s="36"/>
      <c r="C372" s="37"/>
      <c r="D372" s="1"/>
      <c r="E372" s="1"/>
      <c r="F372" s="1"/>
      <c r="G372" s="1"/>
      <c r="H372" s="1"/>
      <c r="I372" s="1"/>
      <c r="J372" s="1"/>
      <c r="K372" s="1"/>
      <c r="L372" s="1"/>
    </row>
    <row r="373" ht="15.75" customHeight="1">
      <c r="A373" s="36"/>
      <c r="B373" s="36"/>
      <c r="C373" s="37"/>
      <c r="D373" s="1"/>
      <c r="E373" s="1"/>
      <c r="F373" s="1"/>
      <c r="G373" s="1"/>
      <c r="H373" s="1"/>
      <c r="I373" s="1"/>
      <c r="J373" s="1"/>
      <c r="K373" s="1"/>
      <c r="L373" s="1"/>
    </row>
    <row r="374" ht="15.75" customHeight="1">
      <c r="A374" s="36"/>
      <c r="B374" s="36"/>
      <c r="C374" s="37"/>
      <c r="D374" s="1"/>
      <c r="E374" s="1"/>
      <c r="F374" s="1"/>
      <c r="G374" s="1"/>
      <c r="H374" s="1"/>
      <c r="I374" s="1"/>
      <c r="J374" s="1"/>
      <c r="K374" s="1"/>
      <c r="L374" s="1"/>
    </row>
    <row r="375" ht="15.75" customHeight="1">
      <c r="A375" s="36"/>
      <c r="B375" s="36"/>
      <c r="C375" s="37"/>
      <c r="D375" s="1"/>
      <c r="E375" s="1"/>
      <c r="F375" s="1"/>
      <c r="G375" s="1"/>
      <c r="H375" s="1"/>
      <c r="I375" s="1"/>
      <c r="J375" s="1"/>
      <c r="K375" s="1"/>
      <c r="L375" s="1"/>
    </row>
    <row r="376" ht="15.75" customHeight="1">
      <c r="A376" s="36"/>
      <c r="B376" s="36"/>
      <c r="C376" s="37"/>
      <c r="D376" s="1"/>
      <c r="E376" s="1"/>
      <c r="F376" s="1"/>
      <c r="G376" s="1"/>
      <c r="H376" s="1"/>
      <c r="I376" s="1"/>
      <c r="J376" s="1"/>
      <c r="K376" s="1"/>
      <c r="L376" s="1"/>
    </row>
    <row r="377" ht="15.75" customHeight="1">
      <c r="A377" s="36"/>
      <c r="B377" s="36"/>
      <c r="C377" s="37"/>
      <c r="D377" s="1"/>
      <c r="E377" s="1"/>
      <c r="F377" s="1"/>
      <c r="G377" s="1"/>
      <c r="H377" s="1"/>
      <c r="I377" s="1"/>
      <c r="J377" s="1"/>
      <c r="K377" s="1"/>
      <c r="L377" s="1"/>
    </row>
    <row r="378" ht="15.75" customHeight="1">
      <c r="A378" s="36"/>
      <c r="B378" s="36"/>
      <c r="C378" s="37"/>
      <c r="D378" s="1"/>
      <c r="E378" s="1"/>
      <c r="F378" s="1"/>
      <c r="G378" s="1"/>
      <c r="H378" s="1"/>
      <c r="I378" s="1"/>
      <c r="J378" s="1"/>
      <c r="K378" s="1"/>
      <c r="L378" s="1"/>
    </row>
    <row r="379" ht="15.75" customHeight="1">
      <c r="A379" s="36"/>
      <c r="B379" s="36"/>
      <c r="C379" s="37"/>
      <c r="D379" s="1"/>
      <c r="E379" s="1"/>
      <c r="F379" s="1"/>
      <c r="G379" s="1"/>
      <c r="H379" s="1"/>
      <c r="I379" s="1"/>
      <c r="J379" s="1"/>
      <c r="K379" s="1"/>
      <c r="L379" s="1"/>
    </row>
    <row r="380" ht="15.75" customHeight="1">
      <c r="A380" s="36"/>
      <c r="B380" s="36"/>
      <c r="C380" s="37"/>
      <c r="D380" s="1"/>
      <c r="E380" s="1"/>
      <c r="F380" s="1"/>
      <c r="G380" s="1"/>
      <c r="H380" s="1"/>
      <c r="I380" s="1"/>
      <c r="J380" s="1"/>
      <c r="K380" s="1"/>
      <c r="L380" s="1"/>
    </row>
    <row r="381" ht="15.75" customHeight="1">
      <c r="A381" s="36"/>
      <c r="B381" s="36"/>
      <c r="C381" s="37"/>
      <c r="D381" s="1"/>
      <c r="E381" s="1"/>
      <c r="F381" s="1"/>
      <c r="G381" s="1"/>
      <c r="H381" s="1"/>
      <c r="I381" s="1"/>
      <c r="J381" s="1"/>
      <c r="K381" s="1"/>
      <c r="L381" s="1"/>
    </row>
    <row r="382" ht="15.75" customHeight="1">
      <c r="A382" s="36"/>
      <c r="B382" s="36"/>
      <c r="C382" s="37"/>
      <c r="D382" s="1"/>
      <c r="E382" s="1"/>
      <c r="F382" s="1"/>
      <c r="G382" s="1"/>
      <c r="H382" s="1"/>
      <c r="I382" s="1"/>
      <c r="J382" s="1"/>
      <c r="K382" s="1"/>
      <c r="L382" s="1"/>
    </row>
    <row r="383" ht="15.75" customHeight="1">
      <c r="A383" s="36"/>
      <c r="B383" s="36"/>
      <c r="C383" s="37"/>
      <c r="D383" s="1"/>
      <c r="E383" s="1"/>
      <c r="F383" s="1"/>
      <c r="G383" s="1"/>
      <c r="H383" s="1"/>
      <c r="I383" s="1"/>
      <c r="J383" s="1"/>
      <c r="K383" s="1"/>
      <c r="L383" s="1"/>
    </row>
    <row r="384" ht="15.75" customHeight="1">
      <c r="A384" s="36"/>
      <c r="B384" s="36"/>
      <c r="C384" s="37"/>
      <c r="D384" s="1"/>
      <c r="E384" s="1"/>
      <c r="F384" s="1"/>
      <c r="G384" s="1"/>
      <c r="H384" s="1"/>
      <c r="I384" s="1"/>
      <c r="J384" s="1"/>
      <c r="K384" s="1"/>
      <c r="L384" s="1"/>
    </row>
    <row r="385" ht="15.75" customHeight="1">
      <c r="A385" s="36"/>
      <c r="B385" s="36"/>
      <c r="C385" s="37"/>
      <c r="D385" s="1"/>
      <c r="E385" s="1"/>
      <c r="F385" s="1"/>
      <c r="G385" s="1"/>
      <c r="H385" s="1"/>
      <c r="I385" s="1"/>
      <c r="J385" s="1"/>
      <c r="K385" s="1"/>
      <c r="L385" s="1"/>
    </row>
    <row r="386" ht="15.75" customHeight="1">
      <c r="A386" s="36"/>
      <c r="B386" s="36"/>
      <c r="C386" s="37"/>
      <c r="D386" s="1"/>
      <c r="E386" s="1"/>
      <c r="F386" s="1"/>
      <c r="G386" s="1"/>
      <c r="H386" s="1"/>
      <c r="I386" s="1"/>
      <c r="J386" s="1"/>
      <c r="K386" s="1"/>
      <c r="L386" s="1"/>
    </row>
    <row r="387" ht="15.75" customHeight="1">
      <c r="A387" s="36"/>
      <c r="B387" s="36"/>
      <c r="C387" s="37"/>
      <c r="D387" s="1"/>
      <c r="E387" s="1"/>
      <c r="F387" s="1"/>
      <c r="G387" s="1"/>
      <c r="H387" s="1"/>
      <c r="I387" s="1"/>
      <c r="J387" s="1"/>
      <c r="K387" s="1"/>
      <c r="L387" s="1"/>
    </row>
    <row r="388" ht="15.75" customHeight="1">
      <c r="A388" s="36"/>
      <c r="B388" s="36"/>
      <c r="C388" s="37"/>
      <c r="D388" s="1"/>
      <c r="E388" s="1"/>
      <c r="F388" s="1"/>
      <c r="G388" s="1"/>
      <c r="H388" s="1"/>
      <c r="I388" s="1"/>
      <c r="J388" s="1"/>
      <c r="K388" s="1"/>
      <c r="L388" s="1"/>
    </row>
    <row r="389" ht="15.75" customHeight="1">
      <c r="A389" s="36"/>
      <c r="B389" s="36"/>
      <c r="C389" s="37"/>
      <c r="D389" s="1"/>
      <c r="E389" s="1"/>
      <c r="F389" s="1"/>
      <c r="G389" s="1"/>
      <c r="H389" s="1"/>
      <c r="I389" s="1"/>
      <c r="J389" s="1"/>
      <c r="K389" s="1"/>
      <c r="L389" s="1"/>
    </row>
    <row r="390" ht="15.75" customHeight="1">
      <c r="A390" s="36"/>
      <c r="B390" s="36"/>
      <c r="C390" s="37"/>
      <c r="D390" s="1"/>
      <c r="E390" s="1"/>
      <c r="F390" s="1"/>
      <c r="G390" s="1"/>
      <c r="H390" s="1"/>
      <c r="I390" s="1"/>
      <c r="J390" s="1"/>
      <c r="K390" s="1"/>
      <c r="L390" s="1"/>
    </row>
    <row r="391" ht="15.75" customHeight="1">
      <c r="A391" s="36"/>
      <c r="B391" s="36"/>
      <c r="C391" s="37"/>
      <c r="D391" s="1"/>
      <c r="E391" s="1"/>
      <c r="F391" s="1"/>
      <c r="G391" s="1"/>
      <c r="H391" s="1"/>
      <c r="I391" s="1"/>
      <c r="J391" s="1"/>
      <c r="K391" s="1"/>
      <c r="L391" s="1"/>
    </row>
    <row r="392" ht="15.75" customHeight="1">
      <c r="A392" s="36"/>
      <c r="B392" s="36"/>
      <c r="C392" s="37"/>
      <c r="D392" s="1"/>
      <c r="E392" s="1"/>
      <c r="F392" s="1"/>
      <c r="G392" s="1"/>
      <c r="H392" s="1"/>
      <c r="I392" s="1"/>
      <c r="J392" s="1"/>
      <c r="K392" s="1"/>
      <c r="L392" s="1"/>
    </row>
    <row r="393" ht="15.75" customHeight="1">
      <c r="A393" s="36"/>
      <c r="B393" s="36"/>
      <c r="C393" s="37"/>
      <c r="D393" s="1"/>
      <c r="E393" s="1"/>
      <c r="F393" s="1"/>
      <c r="G393" s="1"/>
      <c r="H393" s="1"/>
      <c r="I393" s="1"/>
      <c r="J393" s="1"/>
      <c r="K393" s="1"/>
      <c r="L393" s="1"/>
    </row>
    <row r="394" ht="15.75" customHeight="1">
      <c r="A394" s="36"/>
      <c r="B394" s="36"/>
      <c r="C394" s="37"/>
      <c r="D394" s="1"/>
      <c r="E394" s="1"/>
      <c r="F394" s="1"/>
      <c r="G394" s="1"/>
      <c r="H394" s="1"/>
      <c r="I394" s="1"/>
      <c r="J394" s="1"/>
      <c r="K394" s="1"/>
      <c r="L394" s="1"/>
    </row>
    <row r="395" ht="15.75" customHeight="1">
      <c r="A395" s="36"/>
      <c r="B395" s="36"/>
      <c r="C395" s="37"/>
      <c r="D395" s="1"/>
      <c r="E395" s="1"/>
      <c r="F395" s="1"/>
      <c r="G395" s="1"/>
      <c r="H395" s="1"/>
      <c r="I395" s="1"/>
      <c r="J395" s="1"/>
      <c r="K395" s="1"/>
      <c r="L395" s="1"/>
    </row>
    <row r="396" ht="15.75" customHeight="1">
      <c r="A396" s="36"/>
      <c r="B396" s="36"/>
      <c r="C396" s="37"/>
      <c r="D396" s="1"/>
      <c r="E396" s="1"/>
      <c r="F396" s="1"/>
      <c r="G396" s="1"/>
      <c r="H396" s="1"/>
      <c r="I396" s="1"/>
      <c r="J396" s="1"/>
      <c r="K396" s="1"/>
      <c r="L396" s="1"/>
    </row>
    <row r="397" ht="15.75" customHeight="1">
      <c r="A397" s="36"/>
      <c r="B397" s="36"/>
      <c r="C397" s="37"/>
      <c r="D397" s="1"/>
      <c r="E397" s="1"/>
      <c r="F397" s="1"/>
      <c r="G397" s="1"/>
      <c r="H397" s="1"/>
      <c r="I397" s="1"/>
      <c r="J397" s="1"/>
      <c r="K397" s="1"/>
      <c r="L397" s="1"/>
    </row>
    <row r="398" ht="15.75" customHeight="1">
      <c r="A398" s="36"/>
      <c r="B398" s="36"/>
      <c r="C398" s="37"/>
      <c r="D398" s="1"/>
      <c r="E398" s="1"/>
      <c r="F398" s="1"/>
      <c r="G398" s="1"/>
      <c r="H398" s="1"/>
      <c r="I398" s="1"/>
      <c r="J398" s="1"/>
      <c r="K398" s="1"/>
      <c r="L398" s="1"/>
    </row>
    <row r="399" ht="15.75" customHeight="1">
      <c r="A399" s="36"/>
      <c r="B399" s="36"/>
      <c r="C399" s="37"/>
      <c r="D399" s="1"/>
      <c r="E399" s="1"/>
      <c r="F399" s="1"/>
      <c r="G399" s="1"/>
      <c r="H399" s="1"/>
      <c r="I399" s="1"/>
      <c r="J399" s="1"/>
      <c r="K399" s="1"/>
      <c r="L399" s="1"/>
    </row>
    <row r="400" ht="15.75" customHeight="1">
      <c r="A400" s="36"/>
      <c r="B400" s="36"/>
      <c r="C400" s="37"/>
      <c r="D400" s="1"/>
      <c r="E400" s="1"/>
      <c r="F400" s="1"/>
      <c r="G400" s="1"/>
      <c r="H400" s="1"/>
      <c r="I400" s="1"/>
      <c r="J400" s="1"/>
      <c r="K400" s="1"/>
      <c r="L400" s="1"/>
    </row>
    <row r="401" ht="15.75" customHeight="1">
      <c r="A401" s="36"/>
      <c r="B401" s="36"/>
      <c r="C401" s="37"/>
      <c r="D401" s="1"/>
      <c r="E401" s="1"/>
      <c r="F401" s="1"/>
      <c r="G401" s="1"/>
      <c r="H401" s="1"/>
      <c r="I401" s="1"/>
      <c r="J401" s="1"/>
      <c r="K401" s="1"/>
      <c r="L401" s="1"/>
    </row>
    <row r="402" ht="15.75" customHeight="1">
      <c r="A402" s="36"/>
      <c r="B402" s="36"/>
      <c r="C402" s="37"/>
      <c r="D402" s="1"/>
      <c r="E402" s="1"/>
      <c r="F402" s="1"/>
      <c r="G402" s="1"/>
      <c r="H402" s="1"/>
      <c r="I402" s="1"/>
      <c r="J402" s="1"/>
      <c r="K402" s="1"/>
      <c r="L402" s="1"/>
    </row>
    <row r="403" ht="15.75" customHeight="1">
      <c r="A403" s="36"/>
      <c r="B403" s="36"/>
      <c r="C403" s="37"/>
      <c r="D403" s="1"/>
      <c r="E403" s="1"/>
      <c r="F403" s="1"/>
      <c r="G403" s="1"/>
      <c r="H403" s="1"/>
      <c r="I403" s="1"/>
      <c r="J403" s="1"/>
      <c r="K403" s="1"/>
      <c r="L403" s="1"/>
    </row>
    <row r="404" ht="15.75" customHeight="1">
      <c r="A404" s="36"/>
      <c r="B404" s="36"/>
      <c r="C404" s="37"/>
      <c r="D404" s="1"/>
      <c r="E404" s="1"/>
      <c r="F404" s="1"/>
      <c r="G404" s="1"/>
      <c r="H404" s="1"/>
      <c r="I404" s="1"/>
      <c r="J404" s="1"/>
      <c r="K404" s="1"/>
      <c r="L404" s="1"/>
    </row>
    <row r="405" ht="15.75" customHeight="1">
      <c r="A405" s="36"/>
      <c r="B405" s="36"/>
      <c r="C405" s="37"/>
      <c r="D405" s="1"/>
      <c r="E405" s="1"/>
      <c r="F405" s="1"/>
      <c r="G405" s="1"/>
      <c r="H405" s="1"/>
      <c r="I405" s="1"/>
      <c r="J405" s="1"/>
      <c r="K405" s="1"/>
      <c r="L405" s="1"/>
    </row>
    <row r="406" ht="15.75" customHeight="1">
      <c r="A406" s="36"/>
      <c r="B406" s="36"/>
      <c r="C406" s="37"/>
      <c r="D406" s="1"/>
      <c r="E406" s="1"/>
      <c r="F406" s="1"/>
      <c r="G406" s="1"/>
      <c r="H406" s="1"/>
      <c r="I406" s="1"/>
      <c r="J406" s="1"/>
      <c r="K406" s="1"/>
      <c r="L406" s="1"/>
    </row>
    <row r="407" ht="15.75" customHeight="1">
      <c r="A407" s="36"/>
      <c r="B407" s="36"/>
      <c r="C407" s="37"/>
      <c r="D407" s="1"/>
      <c r="E407" s="1"/>
      <c r="F407" s="1"/>
      <c r="G407" s="1"/>
      <c r="H407" s="1"/>
      <c r="I407" s="1"/>
      <c r="J407" s="1"/>
      <c r="K407" s="1"/>
      <c r="L407" s="1"/>
    </row>
    <row r="408" ht="15.75" customHeight="1">
      <c r="A408" s="36"/>
      <c r="B408" s="36"/>
      <c r="C408" s="37"/>
      <c r="D408" s="1"/>
      <c r="E408" s="1"/>
      <c r="F408" s="1"/>
      <c r="G408" s="1"/>
      <c r="H408" s="1"/>
      <c r="I408" s="1"/>
      <c r="J408" s="1"/>
      <c r="K408" s="1"/>
      <c r="L408" s="1"/>
    </row>
    <row r="409" ht="15.75" customHeight="1">
      <c r="A409" s="36"/>
      <c r="B409" s="36"/>
      <c r="C409" s="37"/>
      <c r="D409" s="1"/>
      <c r="E409" s="1"/>
      <c r="F409" s="1"/>
      <c r="G409" s="1"/>
      <c r="H409" s="1"/>
      <c r="I409" s="1"/>
      <c r="J409" s="1"/>
      <c r="K409" s="1"/>
      <c r="L409" s="1"/>
    </row>
    <row r="410" ht="15.75" customHeight="1">
      <c r="A410" s="36"/>
      <c r="B410" s="36"/>
      <c r="C410" s="37"/>
      <c r="D410" s="1"/>
      <c r="E410" s="1"/>
      <c r="F410" s="1"/>
      <c r="G410" s="1"/>
      <c r="H410" s="1"/>
      <c r="I410" s="1"/>
      <c r="J410" s="1"/>
      <c r="K410" s="1"/>
      <c r="L410" s="1"/>
    </row>
    <row r="411" ht="15.75" customHeight="1">
      <c r="A411" s="36"/>
      <c r="B411" s="36"/>
      <c r="C411" s="37"/>
      <c r="D411" s="1"/>
      <c r="E411" s="1"/>
      <c r="F411" s="1"/>
      <c r="G411" s="1"/>
      <c r="H411" s="1"/>
      <c r="I411" s="1"/>
      <c r="J411" s="1"/>
      <c r="K411" s="1"/>
      <c r="L411" s="1"/>
    </row>
    <row r="412" ht="15.75" customHeight="1">
      <c r="A412" s="36"/>
      <c r="B412" s="36"/>
      <c r="C412" s="37"/>
      <c r="D412" s="1"/>
      <c r="E412" s="1"/>
      <c r="F412" s="1"/>
      <c r="G412" s="1"/>
      <c r="H412" s="1"/>
      <c r="I412" s="1"/>
      <c r="J412" s="1"/>
      <c r="K412" s="1"/>
      <c r="L412" s="1"/>
    </row>
    <row r="413" ht="15.75" customHeight="1">
      <c r="A413" s="36"/>
      <c r="B413" s="36"/>
      <c r="C413" s="37"/>
      <c r="D413" s="1"/>
      <c r="E413" s="1"/>
      <c r="F413" s="1"/>
      <c r="G413" s="1"/>
      <c r="H413" s="1"/>
      <c r="I413" s="1"/>
      <c r="J413" s="1"/>
      <c r="K413" s="1"/>
      <c r="L413" s="1"/>
    </row>
    <row r="414" ht="15.75" customHeight="1">
      <c r="A414" s="36"/>
      <c r="B414" s="36"/>
      <c r="C414" s="37"/>
      <c r="D414" s="1"/>
      <c r="E414" s="1"/>
      <c r="F414" s="1"/>
      <c r="G414" s="1"/>
      <c r="H414" s="1"/>
      <c r="I414" s="1"/>
      <c r="J414" s="1"/>
      <c r="K414" s="1"/>
      <c r="L414" s="1"/>
    </row>
    <row r="415" ht="15.75" customHeight="1">
      <c r="A415" s="36"/>
      <c r="B415" s="36"/>
      <c r="C415" s="37"/>
      <c r="D415" s="1"/>
      <c r="E415" s="1"/>
      <c r="F415" s="1"/>
      <c r="G415" s="1"/>
      <c r="H415" s="1"/>
      <c r="I415" s="1"/>
      <c r="J415" s="1"/>
      <c r="K415" s="1"/>
      <c r="L415" s="1"/>
    </row>
    <row r="416" ht="15.75" customHeight="1">
      <c r="A416" s="36"/>
      <c r="B416" s="36"/>
      <c r="C416" s="37"/>
      <c r="D416" s="1"/>
      <c r="E416" s="1"/>
      <c r="F416" s="1"/>
      <c r="G416" s="1"/>
      <c r="H416" s="1"/>
      <c r="I416" s="1"/>
      <c r="J416" s="1"/>
      <c r="K416" s="1"/>
      <c r="L416" s="1"/>
    </row>
    <row r="417" ht="15.75" customHeight="1">
      <c r="A417" s="36"/>
      <c r="B417" s="36"/>
      <c r="C417" s="37"/>
      <c r="D417" s="1"/>
      <c r="E417" s="1"/>
      <c r="F417" s="1"/>
      <c r="G417" s="1"/>
      <c r="H417" s="1"/>
      <c r="I417" s="1"/>
      <c r="J417" s="1"/>
      <c r="K417" s="1"/>
      <c r="L417" s="1"/>
    </row>
    <row r="418" ht="15.75" customHeight="1">
      <c r="A418" s="36"/>
      <c r="B418" s="36"/>
      <c r="C418" s="37"/>
      <c r="D418" s="1"/>
      <c r="E418" s="1"/>
      <c r="F418" s="1"/>
      <c r="G418" s="1"/>
      <c r="H418" s="1"/>
      <c r="I418" s="1"/>
      <c r="J418" s="1"/>
      <c r="K418" s="1"/>
      <c r="L418" s="1"/>
    </row>
    <row r="419" ht="15.75" customHeight="1">
      <c r="A419" s="36"/>
      <c r="B419" s="36"/>
      <c r="C419" s="37"/>
      <c r="D419" s="1"/>
      <c r="E419" s="1"/>
      <c r="F419" s="1"/>
      <c r="G419" s="1"/>
      <c r="H419" s="1"/>
      <c r="I419" s="1"/>
      <c r="J419" s="1"/>
      <c r="K419" s="1"/>
      <c r="L419" s="1"/>
    </row>
    <row r="420" ht="15.75" customHeight="1">
      <c r="A420" s="36"/>
      <c r="B420" s="36"/>
      <c r="C420" s="37"/>
      <c r="D420" s="1"/>
      <c r="E420" s="1"/>
      <c r="F420" s="1"/>
      <c r="G420" s="1"/>
      <c r="H420" s="1"/>
      <c r="I420" s="1"/>
      <c r="J420" s="1"/>
      <c r="K420" s="1"/>
      <c r="L420" s="1"/>
    </row>
    <row r="421" ht="15.75" customHeight="1">
      <c r="A421" s="36"/>
      <c r="B421" s="36"/>
      <c r="C421" s="37"/>
      <c r="D421" s="1"/>
      <c r="E421" s="1"/>
      <c r="F421" s="1"/>
      <c r="G421" s="1"/>
      <c r="H421" s="1"/>
      <c r="I421" s="1"/>
      <c r="J421" s="1"/>
      <c r="K421" s="1"/>
      <c r="L421" s="1"/>
    </row>
    <row r="422" ht="15.75" customHeight="1">
      <c r="A422" s="36"/>
      <c r="B422" s="36"/>
      <c r="C422" s="37"/>
      <c r="D422" s="1"/>
      <c r="E422" s="1"/>
      <c r="F422" s="1"/>
      <c r="G422" s="1"/>
      <c r="H422" s="1"/>
      <c r="I422" s="1"/>
      <c r="J422" s="1"/>
      <c r="K422" s="1"/>
      <c r="L422" s="1"/>
    </row>
    <row r="423" ht="15.75" customHeight="1">
      <c r="A423" s="36"/>
      <c r="B423" s="36"/>
      <c r="C423" s="37"/>
      <c r="D423" s="1"/>
      <c r="E423" s="1"/>
      <c r="F423" s="1"/>
      <c r="G423" s="1"/>
      <c r="H423" s="1"/>
      <c r="I423" s="1"/>
      <c r="J423" s="1"/>
      <c r="K423" s="1"/>
      <c r="L423" s="1"/>
    </row>
    <row r="424" ht="15.75" customHeight="1">
      <c r="A424" s="36"/>
      <c r="B424" s="36"/>
      <c r="C424" s="37"/>
      <c r="D424" s="1"/>
      <c r="E424" s="1"/>
      <c r="F424" s="1"/>
      <c r="G424" s="1"/>
      <c r="H424" s="1"/>
      <c r="I424" s="1"/>
      <c r="J424" s="1"/>
      <c r="K424" s="1"/>
      <c r="L424" s="1"/>
    </row>
    <row r="425" ht="15.75" customHeight="1">
      <c r="A425" s="36"/>
      <c r="B425" s="36"/>
      <c r="C425" s="37"/>
      <c r="D425" s="1"/>
      <c r="E425" s="1"/>
      <c r="F425" s="1"/>
      <c r="G425" s="1"/>
      <c r="H425" s="1"/>
      <c r="I425" s="1"/>
      <c r="J425" s="1"/>
      <c r="K425" s="1"/>
      <c r="L425" s="1"/>
    </row>
    <row r="426" ht="15.75" customHeight="1">
      <c r="A426" s="36"/>
      <c r="B426" s="36"/>
      <c r="C426" s="37"/>
      <c r="D426" s="1"/>
      <c r="E426" s="1"/>
      <c r="F426" s="1"/>
      <c r="G426" s="1"/>
      <c r="H426" s="1"/>
      <c r="I426" s="1"/>
      <c r="J426" s="1"/>
      <c r="K426" s="1"/>
      <c r="L426" s="1"/>
    </row>
    <row r="427" ht="15.75" customHeight="1">
      <c r="A427" s="36"/>
      <c r="B427" s="36"/>
      <c r="C427" s="37"/>
      <c r="D427" s="1"/>
      <c r="E427" s="1"/>
      <c r="F427" s="1"/>
      <c r="G427" s="1"/>
      <c r="H427" s="1"/>
      <c r="I427" s="1"/>
      <c r="J427" s="1"/>
      <c r="K427" s="1"/>
      <c r="L427" s="1"/>
    </row>
    <row r="428" ht="15.75" customHeight="1">
      <c r="A428" s="36"/>
      <c r="B428" s="36"/>
      <c r="C428" s="37"/>
      <c r="D428" s="1"/>
      <c r="E428" s="1"/>
      <c r="F428" s="1"/>
      <c r="G428" s="1"/>
      <c r="H428" s="1"/>
      <c r="I428" s="1"/>
      <c r="J428" s="1"/>
      <c r="K428" s="1"/>
      <c r="L428" s="1"/>
    </row>
    <row r="429" ht="15.75" customHeight="1">
      <c r="A429" s="36"/>
      <c r="B429" s="36"/>
      <c r="C429" s="37"/>
      <c r="D429" s="1"/>
      <c r="E429" s="1"/>
      <c r="F429" s="1"/>
      <c r="G429" s="1"/>
      <c r="H429" s="1"/>
      <c r="I429" s="1"/>
      <c r="J429" s="1"/>
      <c r="K429" s="1"/>
      <c r="L429" s="1"/>
    </row>
    <row r="430" ht="15.75" customHeight="1">
      <c r="A430" s="36"/>
      <c r="B430" s="36"/>
      <c r="C430" s="37"/>
      <c r="D430" s="1"/>
      <c r="E430" s="1"/>
      <c r="F430" s="1"/>
      <c r="G430" s="1"/>
      <c r="H430" s="1"/>
      <c r="I430" s="1"/>
      <c r="J430" s="1"/>
      <c r="K430" s="1"/>
      <c r="L430" s="1"/>
    </row>
    <row r="431" ht="15.75" customHeight="1">
      <c r="A431" s="36"/>
      <c r="B431" s="36"/>
      <c r="C431" s="37"/>
      <c r="D431" s="1"/>
      <c r="E431" s="1"/>
      <c r="F431" s="1"/>
      <c r="G431" s="1"/>
      <c r="H431" s="1"/>
      <c r="I431" s="1"/>
      <c r="J431" s="1"/>
      <c r="K431" s="1"/>
      <c r="L431" s="1"/>
    </row>
    <row r="432" ht="15.75" customHeight="1">
      <c r="A432" s="36"/>
      <c r="B432" s="36"/>
      <c r="C432" s="37"/>
      <c r="D432" s="1"/>
      <c r="E432" s="1"/>
      <c r="F432" s="1"/>
      <c r="G432" s="1"/>
      <c r="H432" s="1"/>
      <c r="I432" s="1"/>
      <c r="J432" s="1"/>
      <c r="K432" s="1"/>
      <c r="L432" s="1"/>
    </row>
    <row r="433" ht="15.75" customHeight="1">
      <c r="A433" s="36"/>
      <c r="B433" s="36"/>
      <c r="C433" s="37"/>
      <c r="D433" s="1"/>
      <c r="E433" s="1"/>
      <c r="F433" s="1"/>
      <c r="G433" s="1"/>
      <c r="H433" s="1"/>
      <c r="I433" s="1"/>
      <c r="J433" s="1"/>
      <c r="K433" s="1"/>
      <c r="L433" s="1"/>
    </row>
    <row r="434" ht="15.75" customHeight="1">
      <c r="A434" s="36"/>
      <c r="B434" s="36"/>
      <c r="C434" s="37"/>
      <c r="D434" s="1"/>
      <c r="E434" s="1"/>
      <c r="F434" s="1"/>
      <c r="G434" s="1"/>
      <c r="H434" s="1"/>
      <c r="I434" s="1"/>
      <c r="J434" s="1"/>
      <c r="K434" s="1"/>
      <c r="L434" s="1"/>
    </row>
    <row r="435" ht="15.75" customHeight="1">
      <c r="A435" s="36"/>
      <c r="B435" s="36"/>
      <c r="C435" s="37"/>
      <c r="D435" s="1"/>
      <c r="E435" s="1"/>
      <c r="F435" s="1"/>
      <c r="G435" s="1"/>
      <c r="H435" s="1"/>
      <c r="I435" s="1"/>
      <c r="J435" s="1"/>
      <c r="K435" s="1"/>
      <c r="L435" s="1"/>
    </row>
    <row r="436" ht="15.75" customHeight="1">
      <c r="A436" s="36"/>
      <c r="B436" s="36"/>
      <c r="C436" s="37"/>
      <c r="D436" s="1"/>
      <c r="E436" s="1"/>
      <c r="F436" s="1"/>
      <c r="G436" s="1"/>
      <c r="H436" s="1"/>
      <c r="I436" s="1"/>
      <c r="J436" s="1"/>
      <c r="K436" s="1"/>
      <c r="L436" s="1"/>
    </row>
    <row r="437" ht="15.75" customHeight="1">
      <c r="A437" s="36"/>
      <c r="B437" s="36"/>
      <c r="C437" s="37"/>
      <c r="D437" s="1"/>
      <c r="E437" s="1"/>
      <c r="F437" s="1"/>
      <c r="G437" s="1"/>
      <c r="H437" s="1"/>
      <c r="I437" s="1"/>
      <c r="J437" s="1"/>
      <c r="K437" s="1"/>
      <c r="L437" s="1"/>
    </row>
    <row r="438" ht="15.75" customHeight="1">
      <c r="A438" s="36"/>
      <c r="B438" s="36"/>
      <c r="C438" s="37"/>
      <c r="D438" s="1"/>
      <c r="E438" s="1"/>
      <c r="F438" s="1"/>
      <c r="G438" s="1"/>
      <c r="H438" s="1"/>
      <c r="I438" s="1"/>
      <c r="J438" s="1"/>
      <c r="K438" s="1"/>
      <c r="L438" s="1"/>
    </row>
    <row r="439" ht="15.75" customHeight="1">
      <c r="A439" s="36"/>
      <c r="B439" s="36"/>
      <c r="C439" s="37"/>
      <c r="D439" s="1"/>
      <c r="E439" s="1"/>
      <c r="F439" s="1"/>
      <c r="G439" s="1"/>
      <c r="H439" s="1"/>
      <c r="I439" s="1"/>
      <c r="J439" s="1"/>
      <c r="K439" s="1"/>
      <c r="L439" s="1"/>
    </row>
    <row r="440" ht="15.75" customHeight="1">
      <c r="A440" s="36"/>
      <c r="B440" s="36"/>
      <c r="C440" s="37"/>
      <c r="D440" s="1"/>
      <c r="E440" s="1"/>
      <c r="F440" s="1"/>
      <c r="G440" s="1"/>
      <c r="H440" s="1"/>
      <c r="I440" s="1"/>
      <c r="J440" s="1"/>
      <c r="K440" s="1"/>
      <c r="L440" s="1"/>
    </row>
    <row r="441" ht="15.75" customHeight="1">
      <c r="A441" s="36"/>
      <c r="B441" s="36"/>
      <c r="C441" s="37"/>
      <c r="D441" s="1"/>
      <c r="E441" s="1"/>
      <c r="F441" s="1"/>
      <c r="G441" s="1"/>
      <c r="H441" s="1"/>
      <c r="I441" s="1"/>
      <c r="J441" s="1"/>
      <c r="K441" s="1"/>
      <c r="L441" s="1"/>
    </row>
    <row r="442" ht="15.75" customHeight="1">
      <c r="A442" s="36"/>
      <c r="B442" s="36"/>
      <c r="C442" s="37"/>
      <c r="D442" s="1"/>
      <c r="E442" s="1"/>
      <c r="F442" s="1"/>
      <c r="G442" s="1"/>
      <c r="H442" s="1"/>
      <c r="I442" s="1"/>
      <c r="J442" s="1"/>
      <c r="K442" s="1"/>
      <c r="L442" s="1"/>
    </row>
    <row r="443" ht="15.75" customHeight="1">
      <c r="A443" s="36"/>
      <c r="B443" s="36"/>
      <c r="C443" s="37"/>
      <c r="D443" s="1"/>
      <c r="E443" s="1"/>
      <c r="F443" s="1"/>
      <c r="G443" s="1"/>
      <c r="H443" s="1"/>
      <c r="I443" s="1"/>
      <c r="J443" s="1"/>
      <c r="K443" s="1"/>
      <c r="L443" s="1"/>
    </row>
    <row r="444" ht="15.75" customHeight="1">
      <c r="A444" s="36"/>
      <c r="B444" s="36"/>
      <c r="C444" s="37"/>
      <c r="D444" s="1"/>
      <c r="E444" s="1"/>
      <c r="F444" s="1"/>
      <c r="G444" s="1"/>
      <c r="H444" s="1"/>
      <c r="I444" s="1"/>
      <c r="J444" s="1"/>
      <c r="K444" s="1"/>
      <c r="L444" s="1"/>
    </row>
    <row r="445" ht="15.75" customHeight="1">
      <c r="A445" s="36"/>
      <c r="B445" s="36"/>
      <c r="C445" s="37"/>
      <c r="D445" s="1"/>
      <c r="E445" s="1"/>
      <c r="F445" s="1"/>
      <c r="G445" s="1"/>
      <c r="H445" s="1"/>
      <c r="I445" s="1"/>
      <c r="J445" s="1"/>
      <c r="K445" s="1"/>
      <c r="L445" s="1"/>
    </row>
    <row r="446" ht="15.75" customHeight="1">
      <c r="A446" s="36"/>
      <c r="B446" s="36"/>
      <c r="C446" s="37"/>
      <c r="D446" s="1"/>
      <c r="E446" s="1"/>
      <c r="F446" s="1"/>
      <c r="G446" s="1"/>
      <c r="H446" s="1"/>
      <c r="I446" s="1"/>
      <c r="J446" s="1"/>
      <c r="K446" s="1"/>
      <c r="L446" s="1"/>
    </row>
    <row r="447" ht="15.75" customHeight="1">
      <c r="A447" s="36"/>
      <c r="B447" s="36"/>
      <c r="C447" s="37"/>
      <c r="D447" s="1"/>
      <c r="E447" s="1"/>
      <c r="F447" s="1"/>
      <c r="G447" s="1"/>
      <c r="H447" s="1"/>
      <c r="I447" s="1"/>
      <c r="J447" s="1"/>
      <c r="K447" s="1"/>
      <c r="L447" s="1"/>
    </row>
    <row r="448" ht="15.75" customHeight="1">
      <c r="A448" s="36"/>
      <c r="B448" s="36"/>
      <c r="C448" s="37"/>
      <c r="D448" s="1"/>
      <c r="E448" s="1"/>
      <c r="F448" s="1"/>
      <c r="G448" s="1"/>
      <c r="H448" s="1"/>
      <c r="I448" s="1"/>
      <c r="J448" s="1"/>
      <c r="K448" s="1"/>
      <c r="L448" s="1"/>
    </row>
    <row r="449" ht="15.75" customHeight="1">
      <c r="A449" s="36"/>
      <c r="B449" s="36"/>
      <c r="C449" s="37"/>
      <c r="D449" s="1"/>
      <c r="E449" s="1"/>
      <c r="F449" s="1"/>
      <c r="G449" s="1"/>
      <c r="H449" s="1"/>
      <c r="I449" s="1"/>
      <c r="J449" s="1"/>
      <c r="K449" s="1"/>
      <c r="L449" s="1"/>
    </row>
    <row r="450" ht="15.75" customHeight="1">
      <c r="A450" s="36"/>
      <c r="B450" s="36"/>
      <c r="C450" s="37"/>
      <c r="D450" s="1"/>
      <c r="E450" s="1"/>
      <c r="F450" s="1"/>
      <c r="G450" s="1"/>
      <c r="H450" s="1"/>
      <c r="I450" s="1"/>
      <c r="J450" s="1"/>
      <c r="K450" s="1"/>
      <c r="L450" s="1"/>
    </row>
    <row r="451" ht="15.75" customHeight="1">
      <c r="A451" s="36"/>
      <c r="B451" s="36"/>
      <c r="C451" s="37"/>
      <c r="D451" s="1"/>
      <c r="E451" s="1"/>
      <c r="F451" s="1"/>
      <c r="G451" s="1"/>
      <c r="H451" s="1"/>
      <c r="I451" s="1"/>
      <c r="J451" s="1"/>
      <c r="K451" s="1"/>
      <c r="L451" s="1"/>
    </row>
    <row r="452" ht="15.75" customHeight="1">
      <c r="A452" s="36"/>
      <c r="B452" s="36"/>
      <c r="C452" s="37"/>
      <c r="D452" s="1"/>
      <c r="E452" s="1"/>
      <c r="F452" s="1"/>
      <c r="G452" s="1"/>
      <c r="H452" s="1"/>
      <c r="I452" s="1"/>
      <c r="J452" s="1"/>
      <c r="K452" s="1"/>
      <c r="L452" s="1"/>
    </row>
    <row r="453" ht="15.75" customHeight="1">
      <c r="A453" s="36"/>
      <c r="B453" s="36"/>
      <c r="C453" s="37"/>
      <c r="D453" s="1"/>
      <c r="E453" s="1"/>
      <c r="F453" s="1"/>
      <c r="G453" s="1"/>
      <c r="H453" s="1"/>
      <c r="I453" s="1"/>
      <c r="J453" s="1"/>
      <c r="K453" s="1"/>
      <c r="L453" s="1"/>
    </row>
    <row r="454" ht="15.75" customHeight="1">
      <c r="A454" s="36"/>
      <c r="B454" s="36"/>
      <c r="C454" s="37"/>
      <c r="D454" s="1"/>
      <c r="E454" s="1"/>
      <c r="F454" s="1"/>
      <c r="G454" s="1"/>
      <c r="H454" s="1"/>
      <c r="I454" s="1"/>
      <c r="J454" s="1"/>
      <c r="K454" s="1"/>
      <c r="L454" s="1"/>
    </row>
    <row r="455" ht="15.75" customHeight="1">
      <c r="A455" s="36"/>
      <c r="B455" s="36"/>
      <c r="C455" s="37"/>
      <c r="D455" s="1"/>
      <c r="E455" s="1"/>
      <c r="F455" s="1"/>
      <c r="G455" s="1"/>
      <c r="H455" s="1"/>
      <c r="I455" s="1"/>
      <c r="J455" s="1"/>
      <c r="K455" s="1"/>
      <c r="L455" s="1"/>
    </row>
    <row r="456" ht="15.75" customHeight="1">
      <c r="A456" s="36"/>
      <c r="B456" s="36"/>
      <c r="C456" s="37"/>
      <c r="D456" s="1"/>
      <c r="E456" s="1"/>
      <c r="F456" s="1"/>
      <c r="G456" s="1"/>
      <c r="H456" s="1"/>
      <c r="I456" s="1"/>
      <c r="J456" s="1"/>
      <c r="K456" s="1"/>
      <c r="L456" s="1"/>
    </row>
    <row r="457" ht="15.75" customHeight="1">
      <c r="A457" s="36"/>
      <c r="B457" s="36"/>
      <c r="C457" s="37"/>
      <c r="D457" s="1"/>
      <c r="E457" s="1"/>
      <c r="F457" s="1"/>
      <c r="G457" s="1"/>
      <c r="H457" s="1"/>
      <c r="I457" s="1"/>
      <c r="J457" s="1"/>
      <c r="K457" s="1"/>
      <c r="L457" s="1"/>
    </row>
    <row r="458" ht="15.75" customHeight="1">
      <c r="A458" s="36"/>
      <c r="B458" s="36"/>
      <c r="C458" s="37"/>
      <c r="D458" s="1"/>
      <c r="E458" s="1"/>
      <c r="F458" s="1"/>
      <c r="G458" s="1"/>
      <c r="H458" s="1"/>
      <c r="I458" s="1"/>
      <c r="J458" s="1"/>
      <c r="K458" s="1"/>
      <c r="L458" s="1"/>
    </row>
    <row r="459" ht="15.75" customHeight="1">
      <c r="A459" s="36"/>
      <c r="B459" s="36"/>
      <c r="C459" s="37"/>
      <c r="D459" s="1"/>
      <c r="E459" s="1"/>
      <c r="F459" s="1"/>
      <c r="G459" s="1"/>
      <c r="H459" s="1"/>
      <c r="I459" s="1"/>
      <c r="J459" s="1"/>
      <c r="K459" s="1"/>
      <c r="L459" s="1"/>
    </row>
    <row r="460" ht="15.75" customHeight="1">
      <c r="A460" s="36"/>
      <c r="B460" s="36"/>
      <c r="C460" s="37"/>
      <c r="D460" s="1"/>
      <c r="E460" s="1"/>
      <c r="F460" s="1"/>
      <c r="G460" s="1"/>
      <c r="H460" s="1"/>
      <c r="I460" s="1"/>
      <c r="J460" s="1"/>
      <c r="K460" s="1"/>
      <c r="L460" s="1"/>
    </row>
    <row r="461" ht="15.75" customHeight="1">
      <c r="A461" s="36"/>
      <c r="B461" s="36"/>
      <c r="C461" s="37"/>
      <c r="D461" s="1"/>
      <c r="E461" s="1"/>
      <c r="F461" s="1"/>
      <c r="G461" s="1"/>
      <c r="H461" s="1"/>
      <c r="I461" s="1"/>
      <c r="J461" s="1"/>
      <c r="K461" s="1"/>
      <c r="L461" s="1"/>
    </row>
    <row r="462" ht="15.75" customHeight="1">
      <c r="A462" s="36"/>
      <c r="B462" s="36"/>
      <c r="C462" s="37"/>
      <c r="D462" s="1"/>
      <c r="E462" s="1"/>
      <c r="F462" s="1"/>
      <c r="G462" s="1"/>
      <c r="H462" s="1"/>
      <c r="I462" s="1"/>
      <c r="J462" s="1"/>
      <c r="K462" s="1"/>
      <c r="L462" s="1"/>
    </row>
    <row r="463" ht="15.75" customHeight="1">
      <c r="A463" s="36"/>
      <c r="B463" s="36"/>
      <c r="C463" s="37"/>
      <c r="D463" s="1"/>
      <c r="E463" s="1"/>
      <c r="F463" s="1"/>
      <c r="G463" s="1"/>
      <c r="H463" s="1"/>
      <c r="I463" s="1"/>
      <c r="J463" s="1"/>
      <c r="K463" s="1"/>
      <c r="L463" s="1"/>
    </row>
    <row r="464" ht="15.75" customHeight="1">
      <c r="A464" s="36"/>
      <c r="B464" s="36"/>
      <c r="C464" s="37"/>
      <c r="D464" s="1"/>
      <c r="E464" s="1"/>
      <c r="F464" s="1"/>
      <c r="G464" s="1"/>
      <c r="H464" s="1"/>
      <c r="I464" s="1"/>
      <c r="J464" s="1"/>
      <c r="K464" s="1"/>
      <c r="L464" s="1"/>
    </row>
    <row r="465" ht="15.75" customHeight="1">
      <c r="A465" s="36"/>
      <c r="B465" s="36"/>
      <c r="C465" s="37"/>
      <c r="D465" s="1"/>
      <c r="E465" s="1"/>
      <c r="F465" s="1"/>
      <c r="G465" s="1"/>
      <c r="H465" s="1"/>
      <c r="I465" s="1"/>
      <c r="J465" s="1"/>
      <c r="K465" s="1"/>
      <c r="L465" s="1"/>
    </row>
    <row r="466" ht="15.75" customHeight="1">
      <c r="A466" s="36"/>
      <c r="B466" s="36"/>
      <c r="C466" s="37"/>
      <c r="D466" s="1"/>
      <c r="E466" s="1"/>
      <c r="F466" s="1"/>
      <c r="G466" s="1"/>
      <c r="H466" s="1"/>
      <c r="I466" s="1"/>
      <c r="J466" s="1"/>
      <c r="K466" s="1"/>
      <c r="L466" s="1"/>
    </row>
    <row r="467" ht="15.75" customHeight="1">
      <c r="A467" s="36"/>
      <c r="B467" s="36"/>
      <c r="C467" s="37"/>
      <c r="D467" s="1"/>
      <c r="E467" s="1"/>
      <c r="F467" s="1"/>
      <c r="G467" s="1"/>
      <c r="H467" s="1"/>
      <c r="I467" s="1"/>
      <c r="J467" s="1"/>
      <c r="K467" s="1"/>
      <c r="L467" s="1"/>
    </row>
    <row r="468" ht="15.75" customHeight="1">
      <c r="A468" s="36"/>
      <c r="B468" s="36"/>
      <c r="C468" s="37"/>
      <c r="D468" s="1"/>
      <c r="E468" s="1"/>
      <c r="F468" s="1"/>
      <c r="G468" s="1"/>
      <c r="H468" s="1"/>
      <c r="I468" s="1"/>
      <c r="J468" s="1"/>
      <c r="K468" s="1"/>
      <c r="L468" s="1"/>
    </row>
    <row r="469" ht="15.75" customHeight="1">
      <c r="A469" s="36"/>
      <c r="B469" s="36"/>
      <c r="C469" s="37"/>
      <c r="D469" s="1"/>
      <c r="E469" s="1"/>
      <c r="F469" s="1"/>
      <c r="G469" s="1"/>
      <c r="H469" s="1"/>
      <c r="I469" s="1"/>
      <c r="J469" s="1"/>
      <c r="K469" s="1"/>
      <c r="L469" s="1"/>
    </row>
    <row r="470" ht="15.75" customHeight="1">
      <c r="A470" s="36"/>
      <c r="B470" s="36"/>
      <c r="C470" s="37"/>
      <c r="D470" s="1"/>
      <c r="E470" s="1"/>
      <c r="F470" s="1"/>
      <c r="G470" s="1"/>
      <c r="H470" s="1"/>
      <c r="I470" s="1"/>
      <c r="J470" s="1"/>
      <c r="K470" s="1"/>
      <c r="L470" s="1"/>
    </row>
    <row r="471" ht="15.75" customHeight="1">
      <c r="A471" s="36"/>
      <c r="B471" s="36"/>
      <c r="C471" s="37"/>
      <c r="D471" s="1"/>
      <c r="E471" s="1"/>
      <c r="F471" s="1"/>
      <c r="G471" s="1"/>
      <c r="H471" s="1"/>
      <c r="I471" s="1"/>
      <c r="J471" s="1"/>
      <c r="K471" s="1"/>
      <c r="L471" s="1"/>
    </row>
    <row r="472" ht="15.75" customHeight="1">
      <c r="A472" s="36"/>
      <c r="B472" s="36"/>
      <c r="C472" s="37"/>
      <c r="D472" s="1"/>
      <c r="E472" s="1"/>
      <c r="F472" s="1"/>
      <c r="G472" s="1"/>
      <c r="H472" s="1"/>
      <c r="I472" s="1"/>
      <c r="J472" s="1"/>
      <c r="K472" s="1"/>
      <c r="L472" s="1"/>
    </row>
    <row r="473" ht="15.75" customHeight="1">
      <c r="A473" s="36"/>
      <c r="B473" s="36"/>
      <c r="C473" s="37"/>
      <c r="D473" s="1"/>
      <c r="E473" s="1"/>
      <c r="F473" s="1"/>
      <c r="G473" s="1"/>
      <c r="H473" s="1"/>
      <c r="I473" s="1"/>
      <c r="J473" s="1"/>
      <c r="K473" s="1"/>
      <c r="L473" s="1"/>
    </row>
    <row r="474" ht="15.75" customHeight="1">
      <c r="A474" s="36"/>
      <c r="B474" s="36"/>
      <c r="C474" s="37"/>
      <c r="D474" s="1"/>
      <c r="E474" s="1"/>
      <c r="F474" s="1"/>
      <c r="G474" s="1"/>
      <c r="H474" s="1"/>
      <c r="I474" s="1"/>
      <c r="J474" s="1"/>
      <c r="K474" s="1"/>
      <c r="L474" s="1"/>
    </row>
    <row r="475" ht="15.75" customHeight="1">
      <c r="A475" s="36"/>
      <c r="B475" s="36"/>
      <c r="C475" s="37"/>
      <c r="D475" s="1"/>
      <c r="E475" s="1"/>
      <c r="F475" s="1"/>
      <c r="G475" s="1"/>
      <c r="H475" s="1"/>
      <c r="I475" s="1"/>
      <c r="J475" s="1"/>
      <c r="K475" s="1"/>
      <c r="L475" s="1"/>
    </row>
    <row r="476" ht="15.75" customHeight="1">
      <c r="A476" s="36"/>
      <c r="B476" s="36"/>
      <c r="C476" s="37"/>
      <c r="D476" s="1"/>
      <c r="E476" s="1"/>
      <c r="F476" s="1"/>
      <c r="G476" s="1"/>
      <c r="H476" s="1"/>
      <c r="I476" s="1"/>
      <c r="J476" s="1"/>
      <c r="K476" s="1"/>
      <c r="L476" s="1"/>
    </row>
    <row r="477" ht="15.75" customHeight="1">
      <c r="A477" s="36"/>
      <c r="B477" s="36"/>
      <c r="C477" s="37"/>
      <c r="D477" s="1"/>
      <c r="E477" s="1"/>
      <c r="F477" s="1"/>
      <c r="G477" s="1"/>
      <c r="H477" s="1"/>
      <c r="I477" s="1"/>
      <c r="J477" s="1"/>
      <c r="K477" s="1"/>
      <c r="L477" s="1"/>
    </row>
    <row r="478" ht="15.75" customHeight="1">
      <c r="A478" s="36"/>
      <c r="B478" s="36"/>
      <c r="C478" s="37"/>
      <c r="D478" s="1"/>
      <c r="E478" s="1"/>
      <c r="F478" s="1"/>
      <c r="G478" s="1"/>
      <c r="H478" s="1"/>
      <c r="I478" s="1"/>
      <c r="J478" s="1"/>
      <c r="K478" s="1"/>
      <c r="L478" s="1"/>
    </row>
    <row r="479" ht="15.75" customHeight="1">
      <c r="A479" s="36"/>
      <c r="B479" s="36"/>
      <c r="C479" s="37"/>
      <c r="D479" s="1"/>
      <c r="E479" s="1"/>
      <c r="F479" s="1"/>
      <c r="G479" s="1"/>
      <c r="H479" s="1"/>
      <c r="I479" s="1"/>
      <c r="J479" s="1"/>
      <c r="K479" s="1"/>
      <c r="L479" s="1"/>
    </row>
    <row r="480" ht="15.75" customHeight="1">
      <c r="A480" s="36"/>
      <c r="B480" s="36"/>
      <c r="C480" s="37"/>
      <c r="D480" s="1"/>
      <c r="E480" s="1"/>
      <c r="F480" s="1"/>
      <c r="G480" s="1"/>
      <c r="H480" s="1"/>
      <c r="I480" s="1"/>
      <c r="J480" s="1"/>
      <c r="K480" s="1"/>
      <c r="L480" s="1"/>
    </row>
    <row r="481" ht="15.75" customHeight="1">
      <c r="A481" s="36"/>
      <c r="B481" s="36"/>
      <c r="C481" s="37"/>
      <c r="D481" s="1"/>
      <c r="E481" s="1"/>
      <c r="F481" s="1"/>
      <c r="G481" s="1"/>
      <c r="H481" s="1"/>
      <c r="I481" s="1"/>
      <c r="J481" s="1"/>
      <c r="K481" s="1"/>
      <c r="L481" s="1"/>
    </row>
    <row r="482" ht="15.75" customHeight="1">
      <c r="A482" s="36"/>
      <c r="B482" s="36"/>
      <c r="C482" s="37"/>
      <c r="D482" s="1"/>
      <c r="E482" s="1"/>
      <c r="F482" s="1"/>
      <c r="G482" s="1"/>
      <c r="H482" s="1"/>
      <c r="I482" s="1"/>
      <c r="J482" s="1"/>
      <c r="K482" s="1"/>
      <c r="L482" s="1"/>
    </row>
    <row r="483" ht="15.75" customHeight="1">
      <c r="A483" s="36"/>
      <c r="B483" s="36"/>
      <c r="C483" s="37"/>
      <c r="D483" s="1"/>
      <c r="E483" s="1"/>
      <c r="F483" s="1"/>
      <c r="G483" s="1"/>
      <c r="H483" s="1"/>
      <c r="I483" s="1"/>
      <c r="J483" s="1"/>
      <c r="K483" s="1"/>
      <c r="L483" s="1"/>
    </row>
    <row r="484" ht="15.75" customHeight="1">
      <c r="A484" s="36"/>
      <c r="B484" s="36"/>
      <c r="C484" s="37"/>
      <c r="D484" s="1"/>
      <c r="E484" s="1"/>
      <c r="F484" s="1"/>
      <c r="G484" s="1"/>
      <c r="H484" s="1"/>
      <c r="I484" s="1"/>
      <c r="J484" s="1"/>
      <c r="K484" s="1"/>
      <c r="L484" s="1"/>
    </row>
    <row r="485" ht="15.75" customHeight="1">
      <c r="A485" s="36"/>
      <c r="B485" s="36"/>
      <c r="C485" s="37"/>
      <c r="D485" s="1"/>
      <c r="E485" s="1"/>
      <c r="F485" s="1"/>
      <c r="G485" s="1"/>
      <c r="H485" s="1"/>
      <c r="I485" s="1"/>
      <c r="J485" s="1"/>
      <c r="K485" s="1"/>
      <c r="L485" s="1"/>
    </row>
    <row r="486" ht="15.75" customHeight="1">
      <c r="A486" s="36"/>
      <c r="B486" s="36"/>
      <c r="C486" s="37"/>
      <c r="D486" s="1"/>
      <c r="E486" s="1"/>
      <c r="F486" s="1"/>
      <c r="G486" s="1"/>
      <c r="H486" s="1"/>
      <c r="I486" s="1"/>
      <c r="J486" s="1"/>
      <c r="K486" s="1"/>
      <c r="L486" s="1"/>
    </row>
    <row r="487" ht="15.75" customHeight="1">
      <c r="A487" s="36"/>
      <c r="B487" s="36"/>
      <c r="C487" s="37"/>
      <c r="D487" s="1"/>
      <c r="E487" s="1"/>
      <c r="F487" s="1"/>
      <c r="G487" s="1"/>
      <c r="H487" s="1"/>
      <c r="I487" s="1"/>
      <c r="J487" s="1"/>
      <c r="K487" s="1"/>
      <c r="L487" s="1"/>
    </row>
    <row r="488" ht="15.75" customHeight="1">
      <c r="A488" s="36"/>
      <c r="B488" s="36"/>
      <c r="C488" s="37"/>
      <c r="D488" s="1"/>
      <c r="E488" s="1"/>
      <c r="F488" s="1"/>
      <c r="G488" s="1"/>
      <c r="H488" s="1"/>
      <c r="I488" s="1"/>
      <c r="J488" s="1"/>
      <c r="K488" s="1"/>
      <c r="L488" s="1"/>
    </row>
    <row r="489" ht="15.75" customHeight="1">
      <c r="A489" s="36"/>
      <c r="B489" s="36"/>
      <c r="C489" s="37"/>
      <c r="D489" s="1"/>
      <c r="E489" s="1"/>
      <c r="F489" s="1"/>
      <c r="G489" s="1"/>
      <c r="H489" s="1"/>
      <c r="I489" s="1"/>
      <c r="J489" s="1"/>
      <c r="K489" s="1"/>
      <c r="L489" s="1"/>
    </row>
    <row r="490" ht="15.75" customHeight="1">
      <c r="A490" s="36"/>
      <c r="B490" s="36"/>
      <c r="C490" s="37"/>
      <c r="D490" s="1"/>
      <c r="E490" s="1"/>
      <c r="F490" s="1"/>
      <c r="G490" s="1"/>
      <c r="H490" s="1"/>
      <c r="I490" s="1"/>
      <c r="J490" s="1"/>
      <c r="K490" s="1"/>
      <c r="L490" s="1"/>
    </row>
    <row r="491" ht="15.75" customHeight="1">
      <c r="A491" s="36"/>
      <c r="B491" s="36"/>
      <c r="C491" s="37"/>
      <c r="D491" s="1"/>
      <c r="E491" s="1"/>
      <c r="F491" s="1"/>
      <c r="G491" s="1"/>
      <c r="H491" s="1"/>
      <c r="I491" s="1"/>
      <c r="J491" s="1"/>
      <c r="K491" s="1"/>
      <c r="L491" s="1"/>
    </row>
    <row r="492" ht="15.75" customHeight="1">
      <c r="A492" s="36"/>
      <c r="B492" s="36"/>
      <c r="C492" s="37"/>
      <c r="D492" s="1"/>
      <c r="E492" s="1"/>
      <c r="F492" s="1"/>
      <c r="G492" s="1"/>
      <c r="H492" s="1"/>
      <c r="I492" s="1"/>
      <c r="J492" s="1"/>
      <c r="K492" s="1"/>
      <c r="L492" s="1"/>
    </row>
    <row r="493" ht="15.75" customHeight="1">
      <c r="A493" s="36"/>
      <c r="B493" s="36"/>
      <c r="C493" s="37"/>
      <c r="D493" s="1"/>
      <c r="E493" s="1"/>
      <c r="F493" s="1"/>
      <c r="G493" s="1"/>
      <c r="H493" s="1"/>
      <c r="I493" s="1"/>
      <c r="J493" s="1"/>
      <c r="K493" s="1"/>
      <c r="L493" s="1"/>
    </row>
    <row r="494" ht="15.75" customHeight="1">
      <c r="A494" s="36"/>
      <c r="B494" s="36"/>
      <c r="C494" s="37"/>
      <c r="D494" s="1"/>
      <c r="E494" s="1"/>
      <c r="F494" s="1"/>
      <c r="G494" s="1"/>
      <c r="H494" s="1"/>
      <c r="I494" s="1"/>
      <c r="J494" s="1"/>
      <c r="K494" s="1"/>
      <c r="L494" s="1"/>
    </row>
    <row r="495" ht="15.75" customHeight="1">
      <c r="A495" s="36"/>
      <c r="B495" s="36"/>
      <c r="C495" s="37"/>
      <c r="D495" s="1"/>
      <c r="E495" s="1"/>
      <c r="F495" s="1"/>
      <c r="G495" s="1"/>
      <c r="H495" s="1"/>
      <c r="I495" s="1"/>
      <c r="J495" s="1"/>
      <c r="K495" s="1"/>
      <c r="L495" s="1"/>
    </row>
    <row r="496" ht="15.75" customHeight="1">
      <c r="A496" s="36"/>
      <c r="B496" s="36"/>
      <c r="C496" s="37"/>
      <c r="D496" s="1"/>
      <c r="E496" s="1"/>
      <c r="F496" s="1"/>
      <c r="G496" s="1"/>
      <c r="H496" s="1"/>
      <c r="I496" s="1"/>
      <c r="J496" s="1"/>
      <c r="K496" s="1"/>
      <c r="L496" s="1"/>
    </row>
    <row r="497" ht="15.75" customHeight="1">
      <c r="A497" s="36"/>
      <c r="B497" s="36"/>
      <c r="C497" s="37"/>
      <c r="D497" s="1"/>
      <c r="E497" s="1"/>
      <c r="F497" s="1"/>
      <c r="G497" s="1"/>
      <c r="H497" s="1"/>
      <c r="I497" s="1"/>
      <c r="J497" s="1"/>
      <c r="K497" s="1"/>
      <c r="L497" s="1"/>
    </row>
    <row r="498" ht="15.75" customHeight="1">
      <c r="A498" s="36"/>
      <c r="B498" s="36"/>
      <c r="C498" s="37"/>
      <c r="D498" s="1"/>
      <c r="E498" s="1"/>
      <c r="F498" s="1"/>
      <c r="G498" s="1"/>
      <c r="H498" s="1"/>
      <c r="I498" s="1"/>
      <c r="J498" s="1"/>
      <c r="K498" s="1"/>
      <c r="L498" s="1"/>
    </row>
    <row r="499" ht="15.75" customHeight="1">
      <c r="A499" s="36"/>
      <c r="B499" s="36"/>
      <c r="C499" s="37"/>
      <c r="D499" s="1"/>
      <c r="E499" s="1"/>
      <c r="F499" s="1"/>
      <c r="G499" s="1"/>
      <c r="H499" s="1"/>
      <c r="I499" s="1"/>
      <c r="J499" s="1"/>
      <c r="K499" s="1"/>
      <c r="L499" s="1"/>
    </row>
    <row r="500" ht="15.75" customHeight="1">
      <c r="A500" s="36"/>
      <c r="B500" s="36"/>
      <c r="C500" s="37"/>
      <c r="D500" s="1"/>
      <c r="E500" s="1"/>
      <c r="F500" s="1"/>
      <c r="G500" s="1"/>
      <c r="H500" s="1"/>
      <c r="I500" s="1"/>
      <c r="J500" s="1"/>
      <c r="K500" s="1"/>
      <c r="L500" s="1"/>
    </row>
    <row r="501" ht="15.75" customHeight="1">
      <c r="A501" s="36"/>
      <c r="B501" s="36"/>
      <c r="C501" s="37"/>
      <c r="D501" s="1"/>
      <c r="E501" s="1"/>
      <c r="F501" s="1"/>
      <c r="G501" s="1"/>
      <c r="H501" s="1"/>
      <c r="I501" s="1"/>
      <c r="J501" s="1"/>
      <c r="K501" s="1"/>
      <c r="L501" s="1"/>
    </row>
    <row r="502" ht="15.75" customHeight="1">
      <c r="A502" s="36"/>
      <c r="B502" s="36"/>
      <c r="C502" s="37"/>
      <c r="D502" s="1"/>
      <c r="E502" s="1"/>
      <c r="F502" s="1"/>
      <c r="G502" s="1"/>
      <c r="H502" s="1"/>
      <c r="I502" s="1"/>
      <c r="J502" s="1"/>
      <c r="K502" s="1"/>
      <c r="L502" s="1"/>
    </row>
    <row r="503" ht="15.75" customHeight="1">
      <c r="A503" s="36"/>
      <c r="B503" s="36"/>
      <c r="C503" s="37"/>
      <c r="D503" s="1"/>
      <c r="E503" s="1"/>
      <c r="F503" s="1"/>
      <c r="G503" s="1"/>
      <c r="H503" s="1"/>
      <c r="I503" s="1"/>
      <c r="J503" s="1"/>
      <c r="K503" s="1"/>
      <c r="L503" s="1"/>
    </row>
    <row r="504" ht="15.75" customHeight="1">
      <c r="A504" s="36"/>
      <c r="B504" s="36"/>
      <c r="C504" s="37"/>
      <c r="D504" s="1"/>
      <c r="E504" s="1"/>
      <c r="F504" s="1"/>
      <c r="G504" s="1"/>
      <c r="H504" s="1"/>
      <c r="I504" s="1"/>
      <c r="J504" s="1"/>
      <c r="K504" s="1"/>
      <c r="L504" s="1"/>
    </row>
    <row r="505" ht="15.75" customHeight="1">
      <c r="A505" s="36"/>
      <c r="B505" s="36"/>
      <c r="C505" s="37"/>
      <c r="D505" s="1"/>
      <c r="E505" s="1"/>
      <c r="F505" s="1"/>
      <c r="G505" s="1"/>
      <c r="H505" s="1"/>
      <c r="I505" s="1"/>
      <c r="J505" s="1"/>
      <c r="K505" s="1"/>
      <c r="L505" s="1"/>
    </row>
    <row r="506" ht="15.75" customHeight="1">
      <c r="A506" s="36"/>
      <c r="B506" s="36"/>
      <c r="C506" s="37"/>
      <c r="D506" s="1"/>
      <c r="E506" s="1"/>
      <c r="F506" s="1"/>
      <c r="G506" s="1"/>
      <c r="H506" s="1"/>
      <c r="I506" s="1"/>
      <c r="J506" s="1"/>
      <c r="K506" s="1"/>
      <c r="L506" s="1"/>
    </row>
    <row r="507" ht="15.75" customHeight="1">
      <c r="A507" s="36"/>
      <c r="B507" s="36"/>
      <c r="C507" s="37"/>
      <c r="D507" s="1"/>
      <c r="E507" s="1"/>
      <c r="F507" s="1"/>
      <c r="G507" s="1"/>
      <c r="H507" s="1"/>
      <c r="I507" s="1"/>
      <c r="J507" s="1"/>
      <c r="K507" s="1"/>
      <c r="L507" s="1"/>
    </row>
    <row r="508" ht="15.75" customHeight="1">
      <c r="A508" s="36"/>
      <c r="B508" s="36"/>
      <c r="C508" s="37"/>
      <c r="D508" s="1"/>
      <c r="E508" s="1"/>
      <c r="F508" s="1"/>
      <c r="G508" s="1"/>
      <c r="H508" s="1"/>
      <c r="I508" s="1"/>
      <c r="J508" s="1"/>
      <c r="K508" s="1"/>
      <c r="L508" s="1"/>
    </row>
    <row r="509" ht="15.75" customHeight="1">
      <c r="A509" s="36"/>
      <c r="B509" s="36"/>
      <c r="C509" s="37"/>
      <c r="D509" s="1"/>
      <c r="E509" s="1"/>
      <c r="F509" s="1"/>
      <c r="G509" s="1"/>
      <c r="H509" s="1"/>
      <c r="I509" s="1"/>
      <c r="J509" s="1"/>
      <c r="K509" s="1"/>
      <c r="L509" s="1"/>
    </row>
    <row r="510" ht="15.75" customHeight="1">
      <c r="A510" s="36"/>
      <c r="B510" s="36"/>
      <c r="C510" s="37"/>
      <c r="D510" s="1"/>
      <c r="E510" s="1"/>
      <c r="F510" s="1"/>
      <c r="G510" s="1"/>
      <c r="H510" s="1"/>
      <c r="I510" s="1"/>
      <c r="J510" s="1"/>
      <c r="K510" s="1"/>
      <c r="L510" s="1"/>
    </row>
    <row r="511" ht="15.75" customHeight="1">
      <c r="A511" s="36"/>
      <c r="B511" s="36"/>
      <c r="C511" s="37"/>
      <c r="D511" s="1"/>
      <c r="E511" s="1"/>
      <c r="F511" s="1"/>
      <c r="G511" s="1"/>
      <c r="H511" s="1"/>
      <c r="I511" s="1"/>
      <c r="J511" s="1"/>
      <c r="K511" s="1"/>
      <c r="L511" s="1"/>
    </row>
    <row r="512" ht="15.75" customHeight="1">
      <c r="A512" s="36"/>
      <c r="B512" s="36"/>
      <c r="C512" s="37"/>
      <c r="D512" s="1"/>
      <c r="E512" s="1"/>
      <c r="F512" s="1"/>
      <c r="G512" s="1"/>
      <c r="H512" s="1"/>
      <c r="I512" s="1"/>
      <c r="J512" s="1"/>
      <c r="K512" s="1"/>
      <c r="L512" s="1"/>
    </row>
    <row r="513" ht="15.75" customHeight="1">
      <c r="A513" s="36"/>
      <c r="B513" s="36"/>
      <c r="C513" s="37"/>
      <c r="D513" s="1"/>
      <c r="E513" s="1"/>
      <c r="F513" s="1"/>
      <c r="G513" s="1"/>
      <c r="H513" s="1"/>
      <c r="I513" s="1"/>
      <c r="J513" s="1"/>
      <c r="K513" s="1"/>
      <c r="L513" s="1"/>
    </row>
    <row r="514" ht="15.75" customHeight="1">
      <c r="A514" s="36"/>
      <c r="B514" s="36"/>
      <c r="C514" s="37"/>
      <c r="D514" s="1"/>
      <c r="E514" s="1"/>
      <c r="F514" s="1"/>
      <c r="G514" s="1"/>
      <c r="H514" s="1"/>
      <c r="I514" s="1"/>
      <c r="J514" s="1"/>
      <c r="K514" s="1"/>
      <c r="L514" s="1"/>
    </row>
    <row r="515" ht="15.75" customHeight="1">
      <c r="A515" s="36"/>
      <c r="B515" s="36"/>
      <c r="C515" s="37"/>
      <c r="D515" s="1"/>
      <c r="E515" s="1"/>
      <c r="F515" s="1"/>
      <c r="G515" s="1"/>
      <c r="H515" s="1"/>
      <c r="I515" s="1"/>
      <c r="J515" s="1"/>
      <c r="K515" s="1"/>
      <c r="L515" s="1"/>
    </row>
    <row r="516" ht="15.75" customHeight="1">
      <c r="A516" s="36"/>
      <c r="B516" s="36"/>
      <c r="C516" s="37"/>
      <c r="D516" s="1"/>
      <c r="E516" s="1"/>
      <c r="F516" s="1"/>
      <c r="G516" s="1"/>
      <c r="H516" s="1"/>
      <c r="I516" s="1"/>
      <c r="J516" s="1"/>
      <c r="K516" s="1"/>
      <c r="L516" s="1"/>
    </row>
    <row r="517" ht="15.75" customHeight="1">
      <c r="A517" s="36"/>
      <c r="B517" s="36"/>
      <c r="C517" s="37"/>
      <c r="D517" s="1"/>
      <c r="E517" s="1"/>
      <c r="F517" s="1"/>
      <c r="G517" s="1"/>
      <c r="H517" s="1"/>
      <c r="I517" s="1"/>
      <c r="J517" s="1"/>
      <c r="K517" s="1"/>
      <c r="L517" s="1"/>
    </row>
    <row r="518" ht="15.75" customHeight="1">
      <c r="A518" s="36"/>
      <c r="B518" s="36"/>
      <c r="C518" s="37"/>
      <c r="D518" s="1"/>
      <c r="E518" s="1"/>
      <c r="F518" s="1"/>
      <c r="G518" s="1"/>
      <c r="H518" s="1"/>
      <c r="I518" s="1"/>
      <c r="J518" s="1"/>
      <c r="K518" s="1"/>
      <c r="L518" s="1"/>
    </row>
    <row r="519" ht="15.75" customHeight="1">
      <c r="A519" s="36"/>
      <c r="B519" s="36"/>
      <c r="C519" s="37"/>
      <c r="D519" s="1"/>
      <c r="E519" s="1"/>
      <c r="F519" s="1"/>
      <c r="G519" s="1"/>
      <c r="H519" s="1"/>
      <c r="I519" s="1"/>
      <c r="J519" s="1"/>
      <c r="K519" s="1"/>
      <c r="L519" s="1"/>
    </row>
    <row r="520" ht="15.75" customHeight="1">
      <c r="A520" s="36"/>
      <c r="B520" s="36"/>
      <c r="C520" s="37"/>
      <c r="D520" s="1"/>
      <c r="E520" s="1"/>
      <c r="F520" s="1"/>
      <c r="G520" s="1"/>
      <c r="H520" s="1"/>
      <c r="I520" s="1"/>
      <c r="J520" s="1"/>
      <c r="K520" s="1"/>
      <c r="L520" s="1"/>
    </row>
    <row r="521" ht="15.75" customHeight="1">
      <c r="A521" s="36"/>
      <c r="B521" s="36"/>
      <c r="C521" s="37"/>
      <c r="D521" s="1"/>
      <c r="E521" s="1"/>
      <c r="F521" s="1"/>
      <c r="G521" s="1"/>
      <c r="H521" s="1"/>
      <c r="I521" s="1"/>
      <c r="J521" s="1"/>
      <c r="K521" s="1"/>
      <c r="L521" s="1"/>
    </row>
    <row r="522" ht="15.75" customHeight="1">
      <c r="A522" s="36"/>
      <c r="B522" s="36"/>
      <c r="C522" s="37"/>
      <c r="D522" s="1"/>
      <c r="E522" s="1"/>
      <c r="F522" s="1"/>
      <c r="G522" s="1"/>
      <c r="H522" s="1"/>
      <c r="I522" s="1"/>
      <c r="J522" s="1"/>
      <c r="K522" s="1"/>
      <c r="L522" s="1"/>
    </row>
    <row r="523" ht="15.75" customHeight="1">
      <c r="A523" s="36"/>
      <c r="B523" s="36"/>
      <c r="C523" s="37"/>
      <c r="D523" s="1"/>
      <c r="E523" s="1"/>
      <c r="F523" s="1"/>
      <c r="G523" s="1"/>
      <c r="H523" s="1"/>
      <c r="I523" s="1"/>
      <c r="J523" s="1"/>
      <c r="K523" s="1"/>
      <c r="L523" s="1"/>
    </row>
    <row r="524" ht="15.75" customHeight="1">
      <c r="A524" s="36"/>
      <c r="B524" s="36"/>
      <c r="C524" s="37"/>
      <c r="D524" s="1"/>
      <c r="E524" s="1"/>
      <c r="F524" s="1"/>
      <c r="G524" s="1"/>
      <c r="H524" s="1"/>
      <c r="I524" s="1"/>
      <c r="J524" s="1"/>
      <c r="K524" s="1"/>
      <c r="L524" s="1"/>
    </row>
    <row r="525" ht="15.75" customHeight="1">
      <c r="A525" s="36"/>
      <c r="B525" s="36"/>
      <c r="C525" s="37"/>
      <c r="D525" s="1"/>
      <c r="E525" s="1"/>
      <c r="F525" s="1"/>
      <c r="G525" s="1"/>
      <c r="H525" s="1"/>
      <c r="I525" s="1"/>
      <c r="J525" s="1"/>
      <c r="K525" s="1"/>
      <c r="L525" s="1"/>
    </row>
    <row r="526" ht="15.75" customHeight="1">
      <c r="A526" s="36"/>
      <c r="B526" s="36"/>
      <c r="C526" s="37"/>
      <c r="D526" s="1"/>
      <c r="E526" s="1"/>
      <c r="F526" s="1"/>
      <c r="G526" s="1"/>
      <c r="H526" s="1"/>
      <c r="I526" s="1"/>
      <c r="J526" s="1"/>
      <c r="K526" s="1"/>
      <c r="L526" s="1"/>
    </row>
    <row r="527" ht="15.75" customHeight="1">
      <c r="A527" s="36"/>
      <c r="B527" s="36"/>
      <c r="C527" s="37"/>
      <c r="D527" s="1"/>
      <c r="E527" s="1"/>
      <c r="F527" s="1"/>
      <c r="G527" s="1"/>
      <c r="H527" s="1"/>
      <c r="I527" s="1"/>
      <c r="J527" s="1"/>
      <c r="K527" s="1"/>
      <c r="L527" s="1"/>
    </row>
    <row r="528" ht="15.75" customHeight="1">
      <c r="A528" s="36"/>
      <c r="B528" s="36"/>
      <c r="C528" s="37"/>
      <c r="D528" s="1"/>
      <c r="E528" s="1"/>
      <c r="F528" s="1"/>
      <c r="G528" s="1"/>
      <c r="H528" s="1"/>
      <c r="I528" s="1"/>
      <c r="J528" s="1"/>
      <c r="K528" s="1"/>
      <c r="L528" s="1"/>
    </row>
    <row r="529" ht="15.75" customHeight="1">
      <c r="A529" s="36"/>
      <c r="B529" s="36"/>
      <c r="C529" s="37"/>
      <c r="D529" s="1"/>
      <c r="E529" s="1"/>
      <c r="F529" s="1"/>
      <c r="G529" s="1"/>
      <c r="H529" s="1"/>
      <c r="I529" s="1"/>
      <c r="J529" s="1"/>
      <c r="K529" s="1"/>
      <c r="L529" s="1"/>
    </row>
    <row r="530" ht="15.75" customHeight="1">
      <c r="A530" s="36"/>
      <c r="B530" s="36"/>
      <c r="C530" s="37"/>
      <c r="D530" s="1"/>
      <c r="E530" s="1"/>
      <c r="F530" s="1"/>
      <c r="G530" s="1"/>
      <c r="H530" s="1"/>
      <c r="I530" s="1"/>
      <c r="J530" s="1"/>
      <c r="K530" s="1"/>
      <c r="L530" s="1"/>
    </row>
    <row r="531" ht="15.75" customHeight="1">
      <c r="A531" s="36"/>
      <c r="B531" s="36"/>
      <c r="C531" s="37"/>
      <c r="D531" s="1"/>
      <c r="E531" s="1"/>
      <c r="F531" s="1"/>
      <c r="G531" s="1"/>
      <c r="H531" s="1"/>
      <c r="I531" s="1"/>
      <c r="J531" s="1"/>
      <c r="K531" s="1"/>
      <c r="L531" s="1"/>
    </row>
    <row r="532" ht="15.75" customHeight="1">
      <c r="A532" s="36"/>
      <c r="B532" s="36"/>
      <c r="C532" s="37"/>
      <c r="D532" s="1"/>
      <c r="E532" s="1"/>
      <c r="F532" s="1"/>
      <c r="G532" s="1"/>
      <c r="H532" s="1"/>
      <c r="I532" s="1"/>
      <c r="J532" s="1"/>
      <c r="K532" s="1"/>
      <c r="L532" s="1"/>
    </row>
    <row r="533" ht="15.75" customHeight="1">
      <c r="A533" s="36"/>
      <c r="B533" s="36"/>
      <c r="C533" s="37"/>
      <c r="D533" s="1"/>
      <c r="E533" s="1"/>
      <c r="F533" s="1"/>
      <c r="G533" s="1"/>
      <c r="H533" s="1"/>
      <c r="I533" s="1"/>
      <c r="J533" s="1"/>
      <c r="K533" s="1"/>
      <c r="L533" s="1"/>
    </row>
    <row r="534" ht="15.75" customHeight="1">
      <c r="A534" s="36"/>
      <c r="B534" s="36"/>
      <c r="C534" s="37"/>
      <c r="D534" s="1"/>
      <c r="E534" s="1"/>
      <c r="F534" s="1"/>
      <c r="G534" s="1"/>
      <c r="H534" s="1"/>
      <c r="I534" s="1"/>
      <c r="J534" s="1"/>
      <c r="K534" s="1"/>
      <c r="L534" s="1"/>
    </row>
    <row r="535" ht="15.75" customHeight="1">
      <c r="A535" s="36"/>
      <c r="B535" s="36"/>
      <c r="C535" s="37"/>
      <c r="D535" s="1"/>
      <c r="E535" s="1"/>
      <c r="F535" s="1"/>
      <c r="G535" s="1"/>
      <c r="H535" s="1"/>
      <c r="I535" s="1"/>
      <c r="J535" s="1"/>
      <c r="K535" s="1"/>
      <c r="L535" s="1"/>
    </row>
    <row r="536" ht="15.75" customHeight="1">
      <c r="A536" s="36"/>
      <c r="B536" s="36"/>
      <c r="C536" s="37"/>
      <c r="D536" s="1"/>
      <c r="E536" s="1"/>
      <c r="F536" s="1"/>
      <c r="G536" s="1"/>
      <c r="H536" s="1"/>
      <c r="I536" s="1"/>
      <c r="J536" s="1"/>
      <c r="K536" s="1"/>
      <c r="L536" s="1"/>
    </row>
    <row r="537" ht="15.75" customHeight="1">
      <c r="A537" s="36"/>
      <c r="B537" s="36"/>
      <c r="C537" s="37"/>
      <c r="D537" s="1"/>
      <c r="E537" s="1"/>
      <c r="F537" s="1"/>
      <c r="G537" s="1"/>
      <c r="H537" s="1"/>
      <c r="I537" s="1"/>
      <c r="J537" s="1"/>
      <c r="K537" s="1"/>
      <c r="L537" s="1"/>
    </row>
    <row r="538" ht="15.75" customHeight="1">
      <c r="A538" s="36"/>
      <c r="B538" s="36"/>
      <c r="C538" s="37"/>
      <c r="D538" s="1"/>
      <c r="E538" s="1"/>
      <c r="F538" s="1"/>
      <c r="G538" s="1"/>
      <c r="H538" s="1"/>
      <c r="I538" s="1"/>
      <c r="J538" s="1"/>
      <c r="K538" s="1"/>
      <c r="L538" s="1"/>
    </row>
    <row r="539" ht="15.75" customHeight="1">
      <c r="A539" s="36"/>
      <c r="B539" s="36"/>
      <c r="C539" s="37"/>
      <c r="D539" s="1"/>
      <c r="E539" s="1"/>
      <c r="F539" s="1"/>
      <c r="G539" s="1"/>
      <c r="H539" s="1"/>
      <c r="I539" s="1"/>
      <c r="J539" s="1"/>
      <c r="K539" s="1"/>
      <c r="L539" s="1"/>
    </row>
    <row r="540" ht="15.75" customHeight="1">
      <c r="A540" s="36"/>
      <c r="B540" s="36"/>
      <c r="C540" s="37"/>
      <c r="D540" s="1"/>
      <c r="E540" s="1"/>
      <c r="F540" s="1"/>
      <c r="G540" s="1"/>
      <c r="H540" s="1"/>
      <c r="I540" s="1"/>
      <c r="J540" s="1"/>
      <c r="K540" s="1"/>
      <c r="L540" s="1"/>
    </row>
    <row r="541" ht="15.75" customHeight="1">
      <c r="A541" s="36"/>
      <c r="B541" s="36"/>
      <c r="C541" s="37"/>
      <c r="D541" s="1"/>
      <c r="E541" s="1"/>
      <c r="F541" s="1"/>
      <c r="G541" s="1"/>
      <c r="H541" s="1"/>
      <c r="I541" s="1"/>
      <c r="J541" s="1"/>
      <c r="K541" s="1"/>
      <c r="L541" s="1"/>
    </row>
    <row r="542" ht="15.75" customHeight="1">
      <c r="A542" s="36"/>
      <c r="B542" s="36"/>
      <c r="C542" s="37"/>
      <c r="D542" s="1"/>
      <c r="E542" s="1"/>
      <c r="F542" s="1"/>
      <c r="G542" s="1"/>
      <c r="H542" s="1"/>
      <c r="I542" s="1"/>
      <c r="J542" s="1"/>
      <c r="K542" s="1"/>
      <c r="L542" s="1"/>
    </row>
    <row r="543" ht="15.75" customHeight="1">
      <c r="A543" s="36"/>
      <c r="B543" s="36"/>
      <c r="C543" s="37"/>
      <c r="D543" s="1"/>
      <c r="E543" s="1"/>
      <c r="F543" s="1"/>
      <c r="G543" s="1"/>
      <c r="H543" s="1"/>
      <c r="I543" s="1"/>
      <c r="J543" s="1"/>
      <c r="K543" s="1"/>
      <c r="L543" s="1"/>
    </row>
    <row r="544" ht="15.75" customHeight="1">
      <c r="A544" s="36"/>
      <c r="B544" s="36"/>
      <c r="C544" s="37"/>
      <c r="D544" s="1"/>
      <c r="E544" s="1"/>
      <c r="F544" s="1"/>
      <c r="G544" s="1"/>
      <c r="H544" s="1"/>
      <c r="I544" s="1"/>
      <c r="J544" s="1"/>
      <c r="K544" s="1"/>
      <c r="L544" s="1"/>
    </row>
    <row r="545" ht="15.75" customHeight="1">
      <c r="A545" s="36"/>
      <c r="B545" s="36"/>
      <c r="C545" s="37"/>
      <c r="D545" s="1"/>
      <c r="E545" s="1"/>
      <c r="F545" s="1"/>
      <c r="G545" s="1"/>
      <c r="H545" s="1"/>
      <c r="I545" s="1"/>
      <c r="J545" s="1"/>
      <c r="K545" s="1"/>
      <c r="L545" s="1"/>
    </row>
    <row r="546" ht="15.75" customHeight="1">
      <c r="A546" s="36"/>
      <c r="B546" s="36"/>
      <c r="C546" s="37"/>
      <c r="D546" s="1"/>
      <c r="E546" s="1"/>
      <c r="F546" s="1"/>
      <c r="G546" s="1"/>
      <c r="H546" s="1"/>
      <c r="I546" s="1"/>
      <c r="J546" s="1"/>
      <c r="K546" s="1"/>
      <c r="L546" s="1"/>
    </row>
    <row r="547" ht="15.75" customHeight="1">
      <c r="A547" s="36"/>
      <c r="B547" s="36"/>
      <c r="C547" s="37"/>
      <c r="D547" s="1"/>
      <c r="E547" s="1"/>
      <c r="F547" s="1"/>
      <c r="G547" s="1"/>
      <c r="H547" s="1"/>
      <c r="I547" s="1"/>
      <c r="J547" s="1"/>
      <c r="K547" s="1"/>
      <c r="L547" s="1"/>
    </row>
    <row r="548" ht="15.75" customHeight="1">
      <c r="A548" s="36"/>
      <c r="B548" s="36"/>
      <c r="C548" s="37"/>
      <c r="D548" s="1"/>
      <c r="E548" s="1"/>
      <c r="F548" s="1"/>
      <c r="G548" s="1"/>
      <c r="H548" s="1"/>
      <c r="I548" s="1"/>
      <c r="J548" s="1"/>
      <c r="K548" s="1"/>
      <c r="L548" s="1"/>
    </row>
    <row r="549" ht="15.75" customHeight="1">
      <c r="A549" s="36"/>
      <c r="B549" s="36"/>
      <c r="C549" s="37"/>
      <c r="D549" s="1"/>
      <c r="E549" s="1"/>
      <c r="F549" s="1"/>
      <c r="G549" s="1"/>
      <c r="H549" s="1"/>
      <c r="I549" s="1"/>
      <c r="J549" s="1"/>
      <c r="K549" s="1"/>
      <c r="L549" s="1"/>
    </row>
    <row r="550" ht="15.75" customHeight="1">
      <c r="A550" s="36"/>
      <c r="B550" s="36"/>
      <c r="C550" s="37"/>
      <c r="D550" s="1"/>
      <c r="E550" s="1"/>
      <c r="F550" s="1"/>
      <c r="G550" s="1"/>
      <c r="H550" s="1"/>
      <c r="I550" s="1"/>
      <c r="J550" s="1"/>
      <c r="K550" s="1"/>
      <c r="L550" s="1"/>
    </row>
    <row r="551" ht="15.75" customHeight="1">
      <c r="A551" s="36"/>
      <c r="B551" s="36"/>
      <c r="C551" s="37"/>
      <c r="D551" s="1"/>
      <c r="E551" s="1"/>
      <c r="F551" s="1"/>
      <c r="G551" s="1"/>
      <c r="H551" s="1"/>
      <c r="I551" s="1"/>
      <c r="J551" s="1"/>
      <c r="K551" s="1"/>
      <c r="L551" s="1"/>
    </row>
    <row r="552" ht="15.75" customHeight="1">
      <c r="A552" s="36"/>
      <c r="B552" s="36"/>
      <c r="C552" s="37"/>
      <c r="D552" s="1"/>
      <c r="E552" s="1"/>
      <c r="F552" s="1"/>
      <c r="G552" s="1"/>
      <c r="H552" s="1"/>
      <c r="I552" s="1"/>
      <c r="J552" s="1"/>
      <c r="K552" s="1"/>
      <c r="L552" s="1"/>
    </row>
    <row r="553" ht="15.75" customHeight="1">
      <c r="A553" s="36"/>
      <c r="B553" s="36"/>
      <c r="C553" s="37"/>
      <c r="D553" s="1"/>
      <c r="E553" s="1"/>
      <c r="F553" s="1"/>
      <c r="G553" s="1"/>
      <c r="H553" s="1"/>
      <c r="I553" s="1"/>
      <c r="J553" s="1"/>
      <c r="K553" s="1"/>
      <c r="L553" s="1"/>
    </row>
    <row r="554" ht="15.75" customHeight="1">
      <c r="A554" s="36"/>
      <c r="B554" s="36"/>
      <c r="C554" s="37"/>
      <c r="D554" s="1"/>
      <c r="E554" s="1"/>
      <c r="F554" s="1"/>
      <c r="G554" s="1"/>
      <c r="H554" s="1"/>
      <c r="I554" s="1"/>
      <c r="J554" s="1"/>
      <c r="K554" s="1"/>
      <c r="L554" s="1"/>
    </row>
    <row r="555" ht="15.75" customHeight="1">
      <c r="A555" s="36"/>
      <c r="B555" s="36"/>
      <c r="C555" s="37"/>
      <c r="D555" s="1"/>
      <c r="E555" s="1"/>
      <c r="F555" s="1"/>
      <c r="G555" s="1"/>
      <c r="H555" s="1"/>
      <c r="I555" s="1"/>
      <c r="J555" s="1"/>
      <c r="K555" s="1"/>
      <c r="L555" s="1"/>
    </row>
    <row r="556" ht="15.75" customHeight="1">
      <c r="A556" s="36"/>
      <c r="B556" s="36"/>
      <c r="C556" s="37"/>
      <c r="D556" s="1"/>
      <c r="E556" s="1"/>
      <c r="F556" s="1"/>
      <c r="G556" s="1"/>
      <c r="H556" s="1"/>
      <c r="I556" s="1"/>
      <c r="J556" s="1"/>
      <c r="K556" s="1"/>
      <c r="L556" s="1"/>
    </row>
    <row r="557" ht="15.75" customHeight="1">
      <c r="A557" s="36"/>
      <c r="B557" s="36"/>
      <c r="C557" s="37"/>
      <c r="D557" s="1"/>
      <c r="E557" s="1"/>
      <c r="F557" s="1"/>
      <c r="G557" s="1"/>
      <c r="H557" s="1"/>
      <c r="I557" s="1"/>
      <c r="J557" s="1"/>
      <c r="K557" s="1"/>
      <c r="L557" s="1"/>
    </row>
    <row r="558" ht="15.75" customHeight="1">
      <c r="A558" s="36"/>
      <c r="B558" s="36"/>
      <c r="C558" s="37"/>
      <c r="D558" s="1"/>
      <c r="E558" s="1"/>
      <c r="F558" s="1"/>
      <c r="G558" s="1"/>
      <c r="H558" s="1"/>
      <c r="I558" s="1"/>
      <c r="J558" s="1"/>
      <c r="K558" s="1"/>
      <c r="L558" s="1"/>
    </row>
    <row r="559" ht="15.75" customHeight="1">
      <c r="A559" s="36"/>
      <c r="B559" s="36"/>
      <c r="C559" s="37"/>
      <c r="D559" s="1"/>
      <c r="E559" s="1"/>
      <c r="F559" s="1"/>
      <c r="G559" s="1"/>
      <c r="H559" s="1"/>
      <c r="I559" s="1"/>
      <c r="J559" s="1"/>
      <c r="K559" s="1"/>
      <c r="L559" s="1"/>
    </row>
    <row r="560" ht="15.75" customHeight="1">
      <c r="A560" s="36"/>
      <c r="B560" s="36"/>
      <c r="C560" s="37"/>
      <c r="D560" s="1"/>
      <c r="E560" s="1"/>
      <c r="F560" s="1"/>
      <c r="G560" s="1"/>
      <c r="H560" s="1"/>
      <c r="I560" s="1"/>
      <c r="J560" s="1"/>
      <c r="K560" s="1"/>
      <c r="L560" s="1"/>
    </row>
    <row r="561" ht="15.75" customHeight="1">
      <c r="A561" s="36"/>
      <c r="B561" s="36"/>
      <c r="C561" s="37"/>
      <c r="D561" s="1"/>
      <c r="E561" s="1"/>
      <c r="F561" s="1"/>
      <c r="G561" s="1"/>
      <c r="H561" s="1"/>
      <c r="I561" s="1"/>
      <c r="J561" s="1"/>
      <c r="K561" s="1"/>
      <c r="L561" s="1"/>
    </row>
    <row r="562" ht="15.75" customHeight="1">
      <c r="A562" s="36"/>
      <c r="B562" s="36"/>
      <c r="C562" s="37"/>
      <c r="D562" s="1"/>
      <c r="E562" s="1"/>
      <c r="F562" s="1"/>
      <c r="G562" s="1"/>
      <c r="H562" s="1"/>
      <c r="I562" s="1"/>
      <c r="J562" s="1"/>
      <c r="K562" s="1"/>
      <c r="L562" s="1"/>
    </row>
    <row r="563" ht="15.75" customHeight="1">
      <c r="A563" s="36"/>
      <c r="B563" s="36"/>
      <c r="C563" s="37"/>
      <c r="D563" s="1"/>
      <c r="E563" s="1"/>
      <c r="F563" s="1"/>
      <c r="G563" s="1"/>
      <c r="H563" s="1"/>
      <c r="I563" s="1"/>
      <c r="J563" s="1"/>
      <c r="K563" s="1"/>
      <c r="L563" s="1"/>
    </row>
    <row r="564" ht="15.75" customHeight="1">
      <c r="A564" s="36"/>
      <c r="B564" s="36"/>
      <c r="C564" s="37"/>
      <c r="D564" s="1"/>
      <c r="E564" s="1"/>
      <c r="F564" s="1"/>
      <c r="G564" s="1"/>
      <c r="H564" s="1"/>
      <c r="I564" s="1"/>
      <c r="J564" s="1"/>
      <c r="K564" s="1"/>
      <c r="L564" s="1"/>
    </row>
    <row r="565" ht="15.75" customHeight="1">
      <c r="A565" s="36"/>
      <c r="B565" s="36"/>
      <c r="C565" s="37"/>
      <c r="D565" s="1"/>
      <c r="E565" s="1"/>
      <c r="F565" s="1"/>
      <c r="G565" s="1"/>
      <c r="H565" s="1"/>
      <c r="I565" s="1"/>
      <c r="J565" s="1"/>
      <c r="K565" s="1"/>
      <c r="L565" s="1"/>
    </row>
    <row r="566" ht="15.75" customHeight="1">
      <c r="A566" s="36"/>
      <c r="B566" s="36"/>
      <c r="C566" s="37"/>
      <c r="D566" s="1"/>
      <c r="E566" s="1"/>
      <c r="F566" s="1"/>
      <c r="G566" s="1"/>
      <c r="H566" s="1"/>
      <c r="I566" s="1"/>
      <c r="J566" s="1"/>
      <c r="K566" s="1"/>
      <c r="L566" s="1"/>
    </row>
    <row r="567" ht="15.75" customHeight="1">
      <c r="A567" s="36"/>
      <c r="B567" s="36"/>
      <c r="C567" s="37"/>
      <c r="D567" s="1"/>
      <c r="E567" s="1"/>
      <c r="F567" s="1"/>
      <c r="G567" s="1"/>
      <c r="H567" s="1"/>
      <c r="I567" s="1"/>
      <c r="J567" s="1"/>
      <c r="K567" s="1"/>
      <c r="L567" s="1"/>
    </row>
    <row r="568" ht="15.75" customHeight="1">
      <c r="A568" s="36"/>
      <c r="B568" s="36"/>
      <c r="C568" s="37"/>
      <c r="D568" s="1"/>
      <c r="E568" s="1"/>
      <c r="F568" s="1"/>
      <c r="G568" s="1"/>
      <c r="H568" s="1"/>
      <c r="I568" s="1"/>
      <c r="J568" s="1"/>
      <c r="K568" s="1"/>
      <c r="L568" s="1"/>
    </row>
    <row r="569" ht="15.75" customHeight="1">
      <c r="A569" s="36"/>
      <c r="B569" s="36"/>
      <c r="C569" s="37"/>
      <c r="D569" s="1"/>
      <c r="E569" s="1"/>
      <c r="F569" s="1"/>
      <c r="G569" s="1"/>
      <c r="H569" s="1"/>
      <c r="I569" s="1"/>
      <c r="J569" s="1"/>
      <c r="K569" s="1"/>
      <c r="L569" s="1"/>
    </row>
    <row r="570" ht="15.75" customHeight="1">
      <c r="A570" s="36"/>
      <c r="B570" s="36"/>
      <c r="C570" s="37"/>
      <c r="D570" s="1"/>
      <c r="E570" s="1"/>
      <c r="F570" s="1"/>
      <c r="G570" s="1"/>
      <c r="H570" s="1"/>
      <c r="I570" s="1"/>
      <c r="J570" s="1"/>
      <c r="K570" s="1"/>
      <c r="L570" s="1"/>
    </row>
    <row r="571" ht="15.75" customHeight="1">
      <c r="A571" s="36"/>
      <c r="B571" s="36"/>
      <c r="C571" s="37"/>
      <c r="D571" s="1"/>
      <c r="E571" s="1"/>
      <c r="F571" s="1"/>
      <c r="G571" s="1"/>
      <c r="H571" s="1"/>
      <c r="I571" s="1"/>
      <c r="J571" s="1"/>
      <c r="K571" s="1"/>
      <c r="L571" s="1"/>
    </row>
    <row r="572" ht="15.75" customHeight="1">
      <c r="A572" s="36"/>
      <c r="B572" s="36"/>
      <c r="C572" s="37"/>
      <c r="D572" s="1"/>
      <c r="E572" s="1"/>
      <c r="F572" s="1"/>
      <c r="G572" s="1"/>
      <c r="H572" s="1"/>
      <c r="I572" s="1"/>
      <c r="J572" s="1"/>
      <c r="K572" s="1"/>
      <c r="L572" s="1"/>
    </row>
    <row r="573" ht="15.75" customHeight="1">
      <c r="A573" s="36"/>
      <c r="B573" s="36"/>
      <c r="C573" s="37"/>
      <c r="D573" s="1"/>
      <c r="E573" s="1"/>
      <c r="F573" s="1"/>
      <c r="G573" s="1"/>
      <c r="H573" s="1"/>
      <c r="I573" s="1"/>
      <c r="J573" s="1"/>
      <c r="K573" s="1"/>
      <c r="L573" s="1"/>
    </row>
    <row r="574" ht="15.75" customHeight="1">
      <c r="A574" s="36"/>
      <c r="B574" s="36"/>
      <c r="C574" s="37"/>
      <c r="D574" s="1"/>
      <c r="E574" s="1"/>
      <c r="F574" s="1"/>
      <c r="G574" s="1"/>
      <c r="H574" s="1"/>
      <c r="I574" s="1"/>
      <c r="J574" s="1"/>
      <c r="K574" s="1"/>
      <c r="L574" s="1"/>
    </row>
    <row r="575" ht="15.75" customHeight="1">
      <c r="A575" s="36"/>
      <c r="B575" s="36"/>
      <c r="C575" s="37"/>
      <c r="D575" s="1"/>
      <c r="E575" s="1"/>
      <c r="F575" s="1"/>
      <c r="G575" s="1"/>
      <c r="H575" s="1"/>
      <c r="I575" s="1"/>
      <c r="J575" s="1"/>
      <c r="K575" s="1"/>
      <c r="L575" s="1"/>
    </row>
    <row r="576" ht="15.75" customHeight="1">
      <c r="A576" s="36"/>
      <c r="B576" s="36"/>
      <c r="C576" s="37"/>
      <c r="D576" s="1"/>
      <c r="E576" s="1"/>
      <c r="F576" s="1"/>
      <c r="G576" s="1"/>
      <c r="H576" s="1"/>
      <c r="I576" s="1"/>
      <c r="J576" s="1"/>
      <c r="K576" s="1"/>
      <c r="L576" s="1"/>
    </row>
    <row r="577" ht="15.75" customHeight="1">
      <c r="A577" s="36"/>
      <c r="B577" s="36"/>
      <c r="C577" s="37"/>
      <c r="D577" s="1"/>
      <c r="E577" s="1"/>
      <c r="F577" s="1"/>
      <c r="G577" s="1"/>
      <c r="H577" s="1"/>
      <c r="I577" s="1"/>
      <c r="J577" s="1"/>
      <c r="K577" s="1"/>
      <c r="L577" s="1"/>
    </row>
    <row r="578" ht="15.75" customHeight="1">
      <c r="A578" s="36"/>
      <c r="B578" s="36"/>
      <c r="C578" s="37"/>
      <c r="D578" s="1"/>
      <c r="E578" s="1"/>
      <c r="F578" s="1"/>
      <c r="G578" s="1"/>
      <c r="H578" s="1"/>
      <c r="I578" s="1"/>
      <c r="J578" s="1"/>
      <c r="K578" s="1"/>
      <c r="L578" s="1"/>
    </row>
    <row r="579" ht="15.75" customHeight="1">
      <c r="A579" s="36"/>
      <c r="B579" s="36"/>
      <c r="C579" s="37"/>
      <c r="D579" s="1"/>
      <c r="E579" s="1"/>
      <c r="F579" s="1"/>
      <c r="G579" s="1"/>
      <c r="H579" s="1"/>
      <c r="I579" s="1"/>
      <c r="J579" s="1"/>
      <c r="K579" s="1"/>
      <c r="L579" s="1"/>
    </row>
    <row r="580" ht="15.75" customHeight="1">
      <c r="A580" s="36"/>
      <c r="B580" s="36"/>
      <c r="C580" s="37"/>
      <c r="D580" s="1"/>
      <c r="E580" s="1"/>
      <c r="F580" s="1"/>
      <c r="G580" s="1"/>
      <c r="H580" s="1"/>
      <c r="I580" s="1"/>
      <c r="J580" s="1"/>
      <c r="K580" s="1"/>
      <c r="L580" s="1"/>
    </row>
    <row r="581" ht="15.75" customHeight="1">
      <c r="A581" s="36"/>
      <c r="B581" s="36"/>
      <c r="C581" s="37"/>
      <c r="D581" s="1"/>
      <c r="E581" s="1"/>
      <c r="F581" s="1"/>
      <c r="G581" s="1"/>
      <c r="H581" s="1"/>
      <c r="I581" s="1"/>
      <c r="J581" s="1"/>
      <c r="K581" s="1"/>
      <c r="L581" s="1"/>
    </row>
    <row r="582" ht="15.75" customHeight="1">
      <c r="A582" s="36"/>
      <c r="B582" s="36"/>
      <c r="C582" s="37"/>
      <c r="D582" s="1"/>
      <c r="E582" s="1"/>
      <c r="F582" s="1"/>
      <c r="G582" s="1"/>
      <c r="H582" s="1"/>
      <c r="I582" s="1"/>
      <c r="J582" s="1"/>
      <c r="K582" s="1"/>
      <c r="L582" s="1"/>
    </row>
    <row r="583" ht="15.75" customHeight="1">
      <c r="A583" s="36"/>
      <c r="B583" s="36"/>
      <c r="C583" s="37"/>
      <c r="D583" s="1"/>
      <c r="E583" s="1"/>
      <c r="F583" s="1"/>
      <c r="G583" s="1"/>
      <c r="H583" s="1"/>
      <c r="I583" s="1"/>
      <c r="J583" s="1"/>
      <c r="K583" s="1"/>
      <c r="L583" s="1"/>
    </row>
    <row r="584" ht="15.75" customHeight="1">
      <c r="A584" s="36"/>
      <c r="B584" s="36"/>
      <c r="C584" s="37"/>
      <c r="D584" s="1"/>
      <c r="E584" s="1"/>
      <c r="F584" s="1"/>
      <c r="G584" s="1"/>
      <c r="H584" s="1"/>
      <c r="I584" s="1"/>
      <c r="J584" s="1"/>
      <c r="K584" s="1"/>
      <c r="L584" s="1"/>
    </row>
    <row r="585" ht="15.75" customHeight="1">
      <c r="A585" s="36"/>
      <c r="B585" s="36"/>
      <c r="C585" s="37"/>
      <c r="D585" s="1"/>
      <c r="E585" s="1"/>
      <c r="F585" s="1"/>
      <c r="G585" s="1"/>
      <c r="H585" s="1"/>
      <c r="I585" s="1"/>
      <c r="J585" s="1"/>
      <c r="K585" s="1"/>
      <c r="L585" s="1"/>
    </row>
    <row r="586" ht="15.75" customHeight="1">
      <c r="A586" s="36"/>
      <c r="B586" s="36"/>
      <c r="C586" s="37"/>
      <c r="D586" s="1"/>
      <c r="E586" s="1"/>
      <c r="F586" s="1"/>
      <c r="G586" s="1"/>
      <c r="H586" s="1"/>
      <c r="I586" s="1"/>
      <c r="J586" s="1"/>
      <c r="K586" s="1"/>
      <c r="L586" s="1"/>
    </row>
    <row r="587" ht="15.75" customHeight="1">
      <c r="A587" s="36"/>
      <c r="B587" s="36"/>
      <c r="C587" s="37"/>
      <c r="D587" s="1"/>
      <c r="E587" s="1"/>
      <c r="F587" s="1"/>
      <c r="G587" s="1"/>
      <c r="H587" s="1"/>
      <c r="I587" s="1"/>
      <c r="J587" s="1"/>
      <c r="K587" s="1"/>
      <c r="L587" s="1"/>
    </row>
    <row r="588" ht="15.75" customHeight="1">
      <c r="A588" s="36"/>
      <c r="B588" s="36"/>
      <c r="C588" s="37"/>
      <c r="D588" s="1"/>
      <c r="E588" s="1"/>
      <c r="F588" s="1"/>
      <c r="G588" s="1"/>
      <c r="H588" s="1"/>
      <c r="I588" s="1"/>
      <c r="J588" s="1"/>
      <c r="K588" s="1"/>
      <c r="L588" s="1"/>
    </row>
    <row r="589" ht="15.75" customHeight="1">
      <c r="A589" s="36"/>
      <c r="B589" s="36"/>
      <c r="C589" s="37"/>
      <c r="D589" s="1"/>
      <c r="E589" s="1"/>
      <c r="F589" s="1"/>
      <c r="G589" s="1"/>
      <c r="H589" s="1"/>
      <c r="I589" s="1"/>
      <c r="J589" s="1"/>
      <c r="K589" s="1"/>
      <c r="L589" s="1"/>
    </row>
    <row r="590" ht="15.75" customHeight="1">
      <c r="A590" s="36"/>
      <c r="B590" s="36"/>
      <c r="C590" s="37"/>
      <c r="D590" s="1"/>
      <c r="E590" s="1"/>
      <c r="F590" s="1"/>
      <c r="G590" s="1"/>
      <c r="H590" s="1"/>
      <c r="I590" s="1"/>
      <c r="J590" s="1"/>
      <c r="K590" s="1"/>
      <c r="L590" s="1"/>
    </row>
    <row r="591" ht="15.75" customHeight="1">
      <c r="A591" s="36"/>
      <c r="B591" s="36"/>
      <c r="C591" s="37"/>
      <c r="D591" s="1"/>
      <c r="E591" s="1"/>
      <c r="F591" s="1"/>
      <c r="G591" s="1"/>
      <c r="H591" s="1"/>
      <c r="I591" s="1"/>
      <c r="J591" s="1"/>
      <c r="K591" s="1"/>
      <c r="L591" s="1"/>
    </row>
    <row r="592" ht="15.75" customHeight="1">
      <c r="A592" s="36"/>
      <c r="B592" s="36"/>
      <c r="C592" s="37"/>
      <c r="D592" s="1"/>
      <c r="E592" s="1"/>
      <c r="F592" s="1"/>
      <c r="G592" s="1"/>
      <c r="H592" s="1"/>
      <c r="I592" s="1"/>
      <c r="J592" s="1"/>
      <c r="K592" s="1"/>
      <c r="L592" s="1"/>
    </row>
    <row r="593" ht="15.75" customHeight="1">
      <c r="A593" s="36"/>
      <c r="B593" s="36"/>
      <c r="C593" s="37"/>
      <c r="D593" s="1"/>
      <c r="E593" s="1"/>
      <c r="F593" s="1"/>
      <c r="G593" s="1"/>
      <c r="H593" s="1"/>
      <c r="I593" s="1"/>
      <c r="J593" s="1"/>
      <c r="K593" s="1"/>
      <c r="L593" s="1"/>
    </row>
    <row r="594" ht="15.75" customHeight="1">
      <c r="A594" s="36"/>
      <c r="B594" s="36"/>
      <c r="C594" s="37"/>
      <c r="D594" s="1"/>
      <c r="E594" s="1"/>
      <c r="F594" s="1"/>
      <c r="G594" s="1"/>
      <c r="H594" s="1"/>
      <c r="I594" s="1"/>
      <c r="J594" s="1"/>
      <c r="K594" s="1"/>
      <c r="L594" s="1"/>
    </row>
    <row r="595" ht="15.75" customHeight="1">
      <c r="A595" s="36"/>
      <c r="B595" s="36"/>
      <c r="C595" s="37"/>
      <c r="D595" s="1"/>
      <c r="E595" s="1"/>
      <c r="F595" s="1"/>
      <c r="G595" s="1"/>
      <c r="H595" s="1"/>
      <c r="I595" s="1"/>
      <c r="J595" s="1"/>
      <c r="K595" s="1"/>
      <c r="L595" s="1"/>
    </row>
    <row r="596" ht="15.75" customHeight="1">
      <c r="A596" s="36"/>
      <c r="B596" s="36"/>
      <c r="C596" s="37"/>
      <c r="D596" s="1"/>
      <c r="E596" s="1"/>
      <c r="F596" s="1"/>
      <c r="G596" s="1"/>
      <c r="H596" s="1"/>
      <c r="I596" s="1"/>
      <c r="J596" s="1"/>
      <c r="K596" s="1"/>
      <c r="L596" s="1"/>
    </row>
    <row r="597" ht="15.75" customHeight="1">
      <c r="A597" s="36"/>
      <c r="B597" s="36"/>
      <c r="C597" s="37"/>
      <c r="D597" s="1"/>
      <c r="E597" s="1"/>
      <c r="F597" s="1"/>
      <c r="G597" s="1"/>
      <c r="H597" s="1"/>
      <c r="I597" s="1"/>
      <c r="J597" s="1"/>
      <c r="K597" s="1"/>
      <c r="L597" s="1"/>
    </row>
    <row r="598" ht="15.75" customHeight="1">
      <c r="A598" s="36"/>
      <c r="B598" s="36"/>
      <c r="C598" s="37"/>
      <c r="D598" s="1"/>
      <c r="E598" s="1"/>
      <c r="F598" s="1"/>
      <c r="G598" s="1"/>
      <c r="H598" s="1"/>
      <c r="I598" s="1"/>
      <c r="J598" s="1"/>
      <c r="K598" s="1"/>
      <c r="L598" s="1"/>
    </row>
    <row r="599" ht="15.75" customHeight="1">
      <c r="A599" s="36"/>
      <c r="B599" s="36"/>
      <c r="C599" s="37"/>
      <c r="D599" s="1"/>
      <c r="E599" s="1"/>
      <c r="F599" s="1"/>
      <c r="G599" s="1"/>
      <c r="H599" s="1"/>
      <c r="I599" s="1"/>
      <c r="J599" s="1"/>
      <c r="K599" s="1"/>
      <c r="L599" s="1"/>
    </row>
    <row r="600" ht="15.75" customHeight="1">
      <c r="A600" s="36"/>
      <c r="B600" s="36"/>
      <c r="C600" s="37"/>
      <c r="D600" s="1"/>
      <c r="E600" s="1"/>
      <c r="F600" s="1"/>
      <c r="G600" s="1"/>
      <c r="H600" s="1"/>
      <c r="I600" s="1"/>
      <c r="J600" s="1"/>
      <c r="K600" s="1"/>
      <c r="L600" s="1"/>
    </row>
    <row r="601" ht="15.75" customHeight="1">
      <c r="A601" s="36"/>
      <c r="B601" s="36"/>
      <c r="C601" s="37"/>
      <c r="D601" s="1"/>
      <c r="E601" s="1"/>
      <c r="F601" s="1"/>
      <c r="G601" s="1"/>
      <c r="H601" s="1"/>
      <c r="I601" s="1"/>
      <c r="J601" s="1"/>
      <c r="K601" s="1"/>
      <c r="L601" s="1"/>
    </row>
    <row r="602" ht="15.75" customHeight="1">
      <c r="A602" s="36"/>
      <c r="B602" s="36"/>
      <c r="C602" s="37"/>
      <c r="D602" s="1"/>
      <c r="E602" s="1"/>
      <c r="F602" s="1"/>
      <c r="G602" s="1"/>
      <c r="H602" s="1"/>
      <c r="I602" s="1"/>
      <c r="J602" s="1"/>
      <c r="K602" s="1"/>
      <c r="L602" s="1"/>
    </row>
    <row r="603" ht="15.75" customHeight="1">
      <c r="A603" s="36"/>
      <c r="B603" s="36"/>
      <c r="C603" s="37"/>
      <c r="D603" s="1"/>
      <c r="E603" s="1"/>
      <c r="F603" s="1"/>
      <c r="G603" s="1"/>
      <c r="H603" s="1"/>
      <c r="I603" s="1"/>
      <c r="J603" s="1"/>
      <c r="K603" s="1"/>
      <c r="L603" s="1"/>
    </row>
    <row r="604" ht="15.75" customHeight="1">
      <c r="A604" s="36"/>
      <c r="B604" s="36"/>
      <c r="C604" s="37"/>
      <c r="D604" s="1"/>
      <c r="E604" s="1"/>
      <c r="F604" s="1"/>
      <c r="G604" s="1"/>
      <c r="H604" s="1"/>
      <c r="I604" s="1"/>
      <c r="J604" s="1"/>
      <c r="K604" s="1"/>
      <c r="L604" s="1"/>
    </row>
    <row r="605" ht="15.75" customHeight="1">
      <c r="A605" s="36"/>
      <c r="B605" s="36"/>
      <c r="C605" s="37"/>
      <c r="D605" s="1"/>
      <c r="E605" s="1"/>
      <c r="F605" s="1"/>
      <c r="G605" s="1"/>
      <c r="H605" s="1"/>
      <c r="I605" s="1"/>
      <c r="J605" s="1"/>
      <c r="K605" s="1"/>
      <c r="L605" s="1"/>
    </row>
    <row r="606" ht="15.75" customHeight="1">
      <c r="A606" s="36"/>
      <c r="B606" s="36"/>
      <c r="C606" s="37"/>
      <c r="D606" s="1"/>
      <c r="E606" s="1"/>
      <c r="F606" s="1"/>
      <c r="G606" s="1"/>
      <c r="H606" s="1"/>
      <c r="I606" s="1"/>
      <c r="J606" s="1"/>
      <c r="K606" s="1"/>
      <c r="L606" s="1"/>
    </row>
    <row r="607" ht="15.75" customHeight="1">
      <c r="A607" s="36"/>
      <c r="B607" s="36"/>
      <c r="C607" s="37"/>
      <c r="D607" s="1"/>
      <c r="E607" s="1"/>
      <c r="F607" s="1"/>
      <c r="G607" s="1"/>
      <c r="H607" s="1"/>
      <c r="I607" s="1"/>
      <c r="J607" s="1"/>
      <c r="K607" s="1"/>
      <c r="L607" s="1"/>
    </row>
    <row r="608" ht="15.75" customHeight="1">
      <c r="A608" s="36"/>
      <c r="B608" s="36"/>
      <c r="C608" s="37"/>
      <c r="D608" s="1"/>
      <c r="E608" s="1"/>
      <c r="F608" s="1"/>
      <c r="G608" s="1"/>
      <c r="H608" s="1"/>
      <c r="I608" s="1"/>
      <c r="J608" s="1"/>
      <c r="K608" s="1"/>
      <c r="L608" s="1"/>
    </row>
    <row r="609" ht="15.75" customHeight="1">
      <c r="A609" s="36"/>
      <c r="B609" s="36"/>
      <c r="C609" s="37"/>
      <c r="D609" s="1"/>
      <c r="E609" s="1"/>
      <c r="F609" s="1"/>
      <c r="G609" s="1"/>
      <c r="H609" s="1"/>
      <c r="I609" s="1"/>
      <c r="J609" s="1"/>
      <c r="K609" s="1"/>
      <c r="L609" s="1"/>
    </row>
    <row r="610" ht="15.75" customHeight="1">
      <c r="A610" s="36"/>
      <c r="B610" s="36"/>
      <c r="C610" s="37"/>
      <c r="D610" s="1"/>
      <c r="E610" s="1"/>
      <c r="F610" s="1"/>
      <c r="G610" s="1"/>
      <c r="H610" s="1"/>
      <c r="I610" s="1"/>
      <c r="J610" s="1"/>
      <c r="K610" s="1"/>
      <c r="L610" s="1"/>
    </row>
    <row r="611" ht="15.75" customHeight="1">
      <c r="A611" s="36"/>
      <c r="B611" s="36"/>
      <c r="C611" s="37"/>
      <c r="D611" s="1"/>
      <c r="E611" s="1"/>
      <c r="F611" s="1"/>
      <c r="G611" s="1"/>
      <c r="H611" s="1"/>
      <c r="I611" s="1"/>
      <c r="J611" s="1"/>
      <c r="K611" s="1"/>
      <c r="L611" s="1"/>
    </row>
    <row r="612" ht="15.75" customHeight="1">
      <c r="A612" s="36"/>
      <c r="B612" s="36"/>
      <c r="C612" s="37"/>
      <c r="D612" s="1"/>
      <c r="E612" s="1"/>
      <c r="F612" s="1"/>
      <c r="G612" s="1"/>
      <c r="H612" s="1"/>
      <c r="I612" s="1"/>
      <c r="J612" s="1"/>
      <c r="K612" s="1"/>
      <c r="L612" s="1"/>
    </row>
    <row r="613" ht="15.75" customHeight="1">
      <c r="A613" s="36"/>
      <c r="B613" s="36"/>
      <c r="C613" s="37"/>
      <c r="D613" s="1"/>
      <c r="E613" s="1"/>
      <c r="F613" s="1"/>
      <c r="G613" s="1"/>
      <c r="H613" s="1"/>
      <c r="I613" s="1"/>
      <c r="J613" s="1"/>
      <c r="K613" s="1"/>
      <c r="L613" s="1"/>
    </row>
    <row r="614" ht="15.75" customHeight="1">
      <c r="A614" s="36"/>
      <c r="B614" s="36"/>
      <c r="C614" s="37"/>
      <c r="D614" s="1"/>
      <c r="E614" s="1"/>
      <c r="F614" s="1"/>
      <c r="G614" s="1"/>
      <c r="H614" s="1"/>
      <c r="I614" s="1"/>
      <c r="J614" s="1"/>
      <c r="K614" s="1"/>
      <c r="L614" s="1"/>
    </row>
    <row r="615" ht="15.75" customHeight="1">
      <c r="A615" s="36"/>
      <c r="B615" s="36"/>
      <c r="C615" s="37"/>
      <c r="D615" s="1"/>
      <c r="E615" s="1"/>
      <c r="F615" s="1"/>
      <c r="G615" s="1"/>
      <c r="H615" s="1"/>
      <c r="I615" s="1"/>
      <c r="J615" s="1"/>
      <c r="K615" s="1"/>
      <c r="L615" s="1"/>
    </row>
    <row r="616" ht="15.75" customHeight="1">
      <c r="A616" s="36"/>
      <c r="B616" s="36"/>
      <c r="C616" s="37"/>
      <c r="D616" s="1"/>
      <c r="E616" s="1"/>
      <c r="F616" s="1"/>
      <c r="G616" s="1"/>
      <c r="H616" s="1"/>
      <c r="I616" s="1"/>
      <c r="J616" s="1"/>
      <c r="K616" s="1"/>
      <c r="L616" s="1"/>
    </row>
    <row r="617" ht="15.75" customHeight="1">
      <c r="A617" s="36"/>
      <c r="B617" s="36"/>
      <c r="C617" s="37"/>
      <c r="D617" s="1"/>
      <c r="E617" s="1"/>
      <c r="F617" s="1"/>
      <c r="G617" s="1"/>
      <c r="H617" s="1"/>
      <c r="I617" s="1"/>
      <c r="J617" s="1"/>
      <c r="K617" s="1"/>
      <c r="L617" s="1"/>
    </row>
    <row r="618" ht="15.75" customHeight="1">
      <c r="A618" s="36"/>
      <c r="B618" s="36"/>
      <c r="C618" s="37"/>
      <c r="D618" s="1"/>
      <c r="E618" s="1"/>
      <c r="F618" s="1"/>
      <c r="G618" s="1"/>
      <c r="H618" s="1"/>
      <c r="I618" s="1"/>
      <c r="J618" s="1"/>
      <c r="K618" s="1"/>
      <c r="L618" s="1"/>
    </row>
    <row r="619" ht="15.75" customHeight="1">
      <c r="A619" s="36"/>
      <c r="B619" s="36"/>
      <c r="C619" s="37"/>
      <c r="D619" s="1"/>
      <c r="E619" s="1"/>
      <c r="F619" s="1"/>
      <c r="G619" s="1"/>
      <c r="H619" s="1"/>
      <c r="I619" s="1"/>
      <c r="J619" s="1"/>
      <c r="K619" s="1"/>
      <c r="L619" s="1"/>
    </row>
    <row r="620" ht="15.75" customHeight="1">
      <c r="A620" s="36"/>
      <c r="B620" s="36"/>
      <c r="C620" s="37"/>
      <c r="D620" s="1"/>
      <c r="E620" s="1"/>
      <c r="F620" s="1"/>
      <c r="G620" s="1"/>
      <c r="H620" s="1"/>
      <c r="I620" s="1"/>
      <c r="J620" s="1"/>
      <c r="K620" s="1"/>
      <c r="L620" s="1"/>
    </row>
    <row r="621" ht="15.75" customHeight="1">
      <c r="A621" s="36"/>
      <c r="B621" s="36"/>
      <c r="C621" s="37"/>
      <c r="D621" s="1"/>
      <c r="E621" s="1"/>
      <c r="F621" s="1"/>
      <c r="G621" s="1"/>
      <c r="H621" s="1"/>
      <c r="I621" s="1"/>
      <c r="J621" s="1"/>
      <c r="K621" s="1"/>
      <c r="L621" s="1"/>
    </row>
    <row r="622" ht="15.75" customHeight="1">
      <c r="A622" s="36"/>
      <c r="B622" s="36"/>
      <c r="C622" s="37"/>
      <c r="D622" s="1"/>
      <c r="E622" s="1"/>
      <c r="F622" s="1"/>
      <c r="G622" s="1"/>
      <c r="H622" s="1"/>
      <c r="I622" s="1"/>
      <c r="J622" s="1"/>
      <c r="K622" s="1"/>
      <c r="L622" s="1"/>
    </row>
    <row r="623" ht="15.75" customHeight="1">
      <c r="A623" s="36"/>
      <c r="B623" s="36"/>
      <c r="C623" s="37"/>
      <c r="D623" s="1"/>
      <c r="E623" s="1"/>
      <c r="F623" s="1"/>
      <c r="G623" s="1"/>
      <c r="H623" s="1"/>
      <c r="I623" s="1"/>
      <c r="J623" s="1"/>
      <c r="K623" s="1"/>
      <c r="L623" s="1"/>
    </row>
    <row r="624" ht="15.75" customHeight="1">
      <c r="A624" s="36"/>
      <c r="B624" s="36"/>
      <c r="C624" s="37"/>
      <c r="D624" s="1"/>
      <c r="E624" s="1"/>
      <c r="F624" s="1"/>
      <c r="G624" s="1"/>
      <c r="H624" s="1"/>
      <c r="I624" s="1"/>
      <c r="J624" s="1"/>
      <c r="K624" s="1"/>
      <c r="L624" s="1"/>
    </row>
    <row r="625" ht="15.75" customHeight="1">
      <c r="A625" s="36"/>
      <c r="B625" s="36"/>
      <c r="C625" s="37"/>
      <c r="D625" s="1"/>
      <c r="E625" s="1"/>
      <c r="F625" s="1"/>
      <c r="G625" s="1"/>
      <c r="H625" s="1"/>
      <c r="I625" s="1"/>
      <c r="J625" s="1"/>
      <c r="K625" s="1"/>
      <c r="L625" s="1"/>
    </row>
    <row r="626" ht="15.75" customHeight="1">
      <c r="A626" s="36"/>
      <c r="B626" s="36"/>
      <c r="C626" s="37"/>
      <c r="D626" s="1"/>
      <c r="E626" s="1"/>
      <c r="F626" s="1"/>
      <c r="G626" s="1"/>
      <c r="H626" s="1"/>
      <c r="I626" s="1"/>
      <c r="J626" s="1"/>
      <c r="K626" s="1"/>
      <c r="L626" s="1"/>
    </row>
    <row r="627" ht="15.75" customHeight="1">
      <c r="A627" s="36"/>
      <c r="B627" s="36"/>
      <c r="C627" s="37"/>
      <c r="D627" s="1"/>
      <c r="E627" s="1"/>
      <c r="F627" s="1"/>
      <c r="G627" s="1"/>
      <c r="H627" s="1"/>
      <c r="I627" s="1"/>
      <c r="J627" s="1"/>
      <c r="K627" s="1"/>
      <c r="L627" s="1"/>
    </row>
    <row r="628" ht="15.75" customHeight="1">
      <c r="A628" s="36"/>
      <c r="B628" s="36"/>
      <c r="C628" s="37"/>
      <c r="D628" s="1"/>
      <c r="E628" s="1"/>
      <c r="F628" s="1"/>
      <c r="G628" s="1"/>
      <c r="H628" s="1"/>
      <c r="I628" s="1"/>
      <c r="J628" s="1"/>
      <c r="K628" s="1"/>
      <c r="L628" s="1"/>
    </row>
    <row r="629" ht="15.75" customHeight="1">
      <c r="A629" s="36"/>
      <c r="B629" s="36"/>
      <c r="C629" s="37"/>
      <c r="D629" s="1"/>
      <c r="E629" s="1"/>
      <c r="F629" s="1"/>
      <c r="G629" s="1"/>
      <c r="H629" s="1"/>
      <c r="I629" s="1"/>
      <c r="J629" s="1"/>
      <c r="K629" s="1"/>
      <c r="L629" s="1"/>
    </row>
    <row r="630" ht="15.75" customHeight="1">
      <c r="A630" s="36"/>
      <c r="B630" s="36"/>
      <c r="C630" s="37"/>
      <c r="D630" s="1"/>
      <c r="E630" s="1"/>
      <c r="F630" s="1"/>
      <c r="G630" s="1"/>
      <c r="H630" s="1"/>
      <c r="I630" s="1"/>
      <c r="J630" s="1"/>
      <c r="K630" s="1"/>
      <c r="L630" s="1"/>
    </row>
    <row r="631" ht="15.75" customHeight="1">
      <c r="A631" s="36"/>
      <c r="B631" s="36"/>
      <c r="C631" s="37"/>
      <c r="D631" s="1"/>
      <c r="E631" s="1"/>
      <c r="F631" s="1"/>
      <c r="G631" s="1"/>
      <c r="H631" s="1"/>
      <c r="I631" s="1"/>
      <c r="J631" s="1"/>
      <c r="K631" s="1"/>
      <c r="L631" s="1"/>
    </row>
    <row r="632" ht="15.75" customHeight="1">
      <c r="A632" s="36"/>
      <c r="B632" s="36"/>
      <c r="C632" s="37"/>
      <c r="D632" s="1"/>
      <c r="E632" s="1"/>
      <c r="F632" s="1"/>
      <c r="G632" s="1"/>
      <c r="H632" s="1"/>
      <c r="I632" s="1"/>
      <c r="J632" s="1"/>
      <c r="K632" s="1"/>
      <c r="L632" s="1"/>
    </row>
    <row r="633" ht="15.75" customHeight="1">
      <c r="A633" s="36"/>
      <c r="B633" s="36"/>
      <c r="C633" s="37"/>
      <c r="D633" s="1"/>
      <c r="E633" s="1"/>
      <c r="F633" s="1"/>
      <c r="G633" s="1"/>
      <c r="H633" s="1"/>
      <c r="I633" s="1"/>
      <c r="J633" s="1"/>
      <c r="K633" s="1"/>
      <c r="L633" s="1"/>
    </row>
    <row r="634" ht="15.75" customHeight="1">
      <c r="A634" s="36"/>
      <c r="B634" s="36"/>
      <c r="C634" s="37"/>
      <c r="D634" s="1"/>
      <c r="E634" s="1"/>
      <c r="F634" s="1"/>
      <c r="G634" s="1"/>
      <c r="H634" s="1"/>
      <c r="I634" s="1"/>
      <c r="J634" s="1"/>
      <c r="K634" s="1"/>
      <c r="L634" s="1"/>
    </row>
    <row r="635" ht="15.75" customHeight="1">
      <c r="A635" s="36"/>
      <c r="B635" s="36"/>
      <c r="C635" s="37"/>
      <c r="D635" s="1"/>
      <c r="E635" s="1"/>
      <c r="F635" s="1"/>
      <c r="G635" s="1"/>
      <c r="H635" s="1"/>
      <c r="I635" s="1"/>
      <c r="J635" s="1"/>
      <c r="K635" s="1"/>
      <c r="L635" s="1"/>
    </row>
    <row r="636" ht="15.75" customHeight="1">
      <c r="A636" s="36"/>
      <c r="B636" s="36"/>
      <c r="C636" s="37"/>
      <c r="D636" s="1"/>
      <c r="E636" s="1"/>
      <c r="F636" s="1"/>
      <c r="G636" s="1"/>
      <c r="H636" s="1"/>
      <c r="I636" s="1"/>
      <c r="J636" s="1"/>
      <c r="K636" s="1"/>
      <c r="L636" s="1"/>
    </row>
    <row r="637" ht="15.75" customHeight="1">
      <c r="A637" s="36"/>
      <c r="B637" s="36"/>
      <c r="C637" s="37"/>
      <c r="D637" s="1"/>
      <c r="E637" s="1"/>
      <c r="F637" s="1"/>
      <c r="G637" s="1"/>
      <c r="H637" s="1"/>
      <c r="I637" s="1"/>
      <c r="J637" s="1"/>
      <c r="K637" s="1"/>
      <c r="L637" s="1"/>
    </row>
    <row r="638" ht="15.75" customHeight="1">
      <c r="A638" s="36"/>
      <c r="B638" s="36"/>
      <c r="C638" s="37"/>
      <c r="D638" s="1"/>
      <c r="E638" s="1"/>
      <c r="F638" s="1"/>
      <c r="G638" s="1"/>
      <c r="H638" s="1"/>
      <c r="I638" s="1"/>
      <c r="J638" s="1"/>
      <c r="K638" s="1"/>
      <c r="L638" s="1"/>
    </row>
    <row r="639" ht="15.75" customHeight="1">
      <c r="A639" s="36"/>
      <c r="B639" s="36"/>
      <c r="C639" s="37"/>
      <c r="D639" s="1"/>
      <c r="E639" s="1"/>
      <c r="F639" s="1"/>
      <c r="G639" s="1"/>
      <c r="H639" s="1"/>
      <c r="I639" s="1"/>
      <c r="J639" s="1"/>
      <c r="K639" s="1"/>
      <c r="L639" s="1"/>
    </row>
    <row r="640" ht="15.75" customHeight="1">
      <c r="A640" s="36"/>
      <c r="B640" s="36"/>
      <c r="C640" s="37"/>
      <c r="D640" s="1"/>
      <c r="E640" s="1"/>
      <c r="F640" s="1"/>
      <c r="G640" s="1"/>
      <c r="H640" s="1"/>
      <c r="I640" s="1"/>
      <c r="J640" s="1"/>
      <c r="K640" s="1"/>
      <c r="L640" s="1"/>
    </row>
    <row r="641" ht="15.75" customHeight="1">
      <c r="A641" s="36"/>
      <c r="B641" s="36"/>
      <c r="C641" s="37"/>
      <c r="D641" s="1"/>
      <c r="E641" s="1"/>
      <c r="F641" s="1"/>
      <c r="G641" s="1"/>
      <c r="H641" s="1"/>
      <c r="I641" s="1"/>
      <c r="J641" s="1"/>
      <c r="K641" s="1"/>
      <c r="L641" s="1"/>
    </row>
    <row r="642" ht="15.75" customHeight="1">
      <c r="A642" s="36"/>
      <c r="B642" s="36"/>
      <c r="C642" s="37"/>
      <c r="D642" s="1"/>
      <c r="E642" s="1"/>
      <c r="F642" s="1"/>
      <c r="G642" s="1"/>
      <c r="H642" s="1"/>
      <c r="I642" s="1"/>
      <c r="J642" s="1"/>
      <c r="K642" s="1"/>
      <c r="L642" s="1"/>
    </row>
    <row r="643" ht="15.75" customHeight="1">
      <c r="A643" s="36"/>
      <c r="B643" s="36"/>
      <c r="C643" s="37"/>
      <c r="D643" s="1"/>
      <c r="E643" s="1"/>
      <c r="F643" s="1"/>
      <c r="G643" s="1"/>
      <c r="H643" s="1"/>
      <c r="I643" s="1"/>
      <c r="J643" s="1"/>
      <c r="K643" s="1"/>
      <c r="L643" s="1"/>
    </row>
    <row r="644" ht="15.75" customHeight="1">
      <c r="A644" s="36"/>
      <c r="B644" s="36"/>
      <c r="C644" s="37"/>
      <c r="D644" s="1"/>
      <c r="E644" s="1"/>
      <c r="F644" s="1"/>
      <c r="G644" s="1"/>
      <c r="H644" s="1"/>
      <c r="I644" s="1"/>
      <c r="J644" s="1"/>
      <c r="K644" s="1"/>
      <c r="L644" s="1"/>
    </row>
    <row r="645" ht="15.75" customHeight="1">
      <c r="A645" s="36"/>
      <c r="B645" s="36"/>
      <c r="C645" s="37"/>
      <c r="D645" s="1"/>
      <c r="E645" s="1"/>
      <c r="F645" s="1"/>
      <c r="G645" s="1"/>
      <c r="H645" s="1"/>
      <c r="I645" s="1"/>
      <c r="J645" s="1"/>
      <c r="K645" s="1"/>
      <c r="L645" s="1"/>
    </row>
    <row r="646" ht="15.75" customHeight="1">
      <c r="A646" s="36"/>
      <c r="B646" s="36"/>
      <c r="C646" s="37"/>
      <c r="D646" s="1"/>
      <c r="E646" s="1"/>
      <c r="F646" s="1"/>
      <c r="G646" s="1"/>
      <c r="H646" s="1"/>
      <c r="I646" s="1"/>
      <c r="J646" s="1"/>
      <c r="K646" s="1"/>
      <c r="L646" s="1"/>
    </row>
    <row r="647" ht="15.75" customHeight="1">
      <c r="A647" s="36"/>
      <c r="B647" s="36"/>
      <c r="C647" s="37"/>
      <c r="D647" s="1"/>
      <c r="E647" s="1"/>
      <c r="F647" s="1"/>
      <c r="G647" s="1"/>
      <c r="H647" s="1"/>
      <c r="I647" s="1"/>
      <c r="J647" s="1"/>
      <c r="K647" s="1"/>
      <c r="L647" s="1"/>
    </row>
    <row r="648" ht="15.75" customHeight="1">
      <c r="A648" s="36"/>
      <c r="B648" s="36"/>
      <c r="C648" s="37"/>
      <c r="D648" s="1"/>
      <c r="E648" s="1"/>
      <c r="F648" s="1"/>
      <c r="G648" s="1"/>
      <c r="H648" s="1"/>
      <c r="I648" s="1"/>
      <c r="J648" s="1"/>
      <c r="K648" s="1"/>
      <c r="L648" s="1"/>
    </row>
    <row r="649" ht="15.75" customHeight="1">
      <c r="A649" s="36"/>
      <c r="B649" s="36"/>
      <c r="C649" s="37"/>
      <c r="D649" s="1"/>
      <c r="E649" s="1"/>
      <c r="F649" s="1"/>
      <c r="G649" s="1"/>
      <c r="H649" s="1"/>
      <c r="I649" s="1"/>
      <c r="J649" s="1"/>
      <c r="K649" s="1"/>
      <c r="L649" s="1"/>
    </row>
    <row r="650" ht="15.75" customHeight="1">
      <c r="A650" s="36"/>
      <c r="B650" s="36"/>
      <c r="C650" s="37"/>
      <c r="D650" s="1"/>
      <c r="E650" s="1"/>
      <c r="F650" s="1"/>
      <c r="G650" s="1"/>
      <c r="H650" s="1"/>
      <c r="I650" s="1"/>
      <c r="J650" s="1"/>
      <c r="K650" s="1"/>
      <c r="L650" s="1"/>
    </row>
    <row r="651" ht="15.75" customHeight="1">
      <c r="A651" s="36"/>
      <c r="B651" s="36"/>
      <c r="C651" s="37"/>
      <c r="D651" s="1"/>
      <c r="E651" s="1"/>
      <c r="F651" s="1"/>
      <c r="G651" s="1"/>
      <c r="H651" s="1"/>
      <c r="I651" s="1"/>
      <c r="J651" s="1"/>
      <c r="K651" s="1"/>
      <c r="L651" s="1"/>
    </row>
    <row r="652" ht="15.75" customHeight="1">
      <c r="A652" s="36"/>
      <c r="B652" s="36"/>
      <c r="C652" s="37"/>
      <c r="D652" s="1"/>
      <c r="E652" s="1"/>
      <c r="F652" s="1"/>
      <c r="G652" s="1"/>
      <c r="H652" s="1"/>
      <c r="I652" s="1"/>
      <c r="J652" s="1"/>
      <c r="K652" s="1"/>
      <c r="L652" s="1"/>
    </row>
    <row r="653" ht="15.75" customHeight="1">
      <c r="A653" s="36"/>
      <c r="B653" s="36"/>
      <c r="C653" s="37"/>
      <c r="D653" s="1"/>
      <c r="E653" s="1"/>
      <c r="F653" s="1"/>
      <c r="G653" s="1"/>
      <c r="H653" s="1"/>
      <c r="I653" s="1"/>
      <c r="J653" s="1"/>
      <c r="K653" s="1"/>
      <c r="L653" s="1"/>
    </row>
    <row r="654" ht="15.75" customHeight="1">
      <c r="A654" s="36"/>
      <c r="B654" s="36"/>
      <c r="C654" s="37"/>
      <c r="D654" s="1"/>
      <c r="E654" s="1"/>
      <c r="F654" s="1"/>
      <c r="G654" s="1"/>
      <c r="H654" s="1"/>
      <c r="I654" s="1"/>
      <c r="J654" s="1"/>
      <c r="K654" s="1"/>
      <c r="L654" s="1"/>
    </row>
    <row r="655" ht="15.75" customHeight="1">
      <c r="A655" s="36"/>
      <c r="B655" s="36"/>
      <c r="C655" s="37"/>
      <c r="D655" s="1"/>
      <c r="E655" s="1"/>
      <c r="F655" s="1"/>
      <c r="G655" s="1"/>
      <c r="H655" s="1"/>
      <c r="I655" s="1"/>
      <c r="J655" s="1"/>
      <c r="K655" s="1"/>
      <c r="L655" s="1"/>
    </row>
    <row r="656" ht="15.75" customHeight="1">
      <c r="A656" s="36"/>
      <c r="B656" s="36"/>
      <c r="C656" s="37"/>
      <c r="D656" s="1"/>
      <c r="E656" s="1"/>
      <c r="F656" s="1"/>
      <c r="G656" s="1"/>
      <c r="H656" s="1"/>
      <c r="I656" s="1"/>
      <c r="J656" s="1"/>
      <c r="K656" s="1"/>
      <c r="L656" s="1"/>
    </row>
    <row r="657" ht="15.75" customHeight="1">
      <c r="A657" s="36"/>
      <c r="B657" s="36"/>
      <c r="C657" s="37"/>
      <c r="D657" s="1"/>
      <c r="E657" s="1"/>
      <c r="F657" s="1"/>
      <c r="G657" s="1"/>
      <c r="H657" s="1"/>
      <c r="I657" s="1"/>
      <c r="J657" s="1"/>
      <c r="K657" s="1"/>
      <c r="L657" s="1"/>
    </row>
    <row r="658" ht="15.75" customHeight="1">
      <c r="A658" s="36"/>
      <c r="B658" s="36"/>
      <c r="C658" s="37"/>
      <c r="D658" s="1"/>
      <c r="E658" s="1"/>
      <c r="F658" s="1"/>
      <c r="G658" s="1"/>
      <c r="H658" s="1"/>
      <c r="I658" s="1"/>
      <c r="J658" s="1"/>
      <c r="K658" s="1"/>
      <c r="L658" s="1"/>
    </row>
    <row r="659" ht="15.75" customHeight="1">
      <c r="A659" s="36"/>
      <c r="B659" s="36"/>
      <c r="C659" s="37"/>
      <c r="D659" s="1"/>
      <c r="E659" s="1"/>
      <c r="F659" s="1"/>
      <c r="G659" s="1"/>
      <c r="H659" s="1"/>
      <c r="I659" s="1"/>
      <c r="J659" s="1"/>
      <c r="K659" s="1"/>
      <c r="L659" s="1"/>
    </row>
    <row r="660" ht="15.75" customHeight="1">
      <c r="A660" s="36"/>
      <c r="B660" s="36"/>
      <c r="C660" s="37"/>
      <c r="D660" s="1"/>
      <c r="E660" s="1"/>
      <c r="F660" s="1"/>
      <c r="G660" s="1"/>
      <c r="H660" s="1"/>
      <c r="I660" s="1"/>
      <c r="J660" s="1"/>
      <c r="K660" s="1"/>
      <c r="L660" s="1"/>
    </row>
    <row r="661" ht="15.75" customHeight="1">
      <c r="A661" s="36"/>
      <c r="B661" s="36"/>
      <c r="C661" s="37"/>
      <c r="D661" s="1"/>
      <c r="E661" s="1"/>
      <c r="F661" s="1"/>
      <c r="G661" s="1"/>
      <c r="H661" s="1"/>
      <c r="I661" s="1"/>
      <c r="J661" s="1"/>
      <c r="K661" s="1"/>
      <c r="L661" s="1"/>
    </row>
    <row r="662" ht="15.75" customHeight="1">
      <c r="A662" s="36"/>
      <c r="B662" s="36"/>
      <c r="C662" s="37"/>
      <c r="D662" s="1"/>
      <c r="E662" s="1"/>
      <c r="F662" s="1"/>
      <c r="G662" s="1"/>
      <c r="H662" s="1"/>
      <c r="I662" s="1"/>
      <c r="J662" s="1"/>
      <c r="K662" s="1"/>
      <c r="L662" s="1"/>
    </row>
    <row r="663" ht="15.75" customHeight="1">
      <c r="A663" s="36"/>
      <c r="B663" s="36"/>
      <c r="C663" s="37"/>
      <c r="D663" s="1"/>
      <c r="E663" s="1"/>
      <c r="F663" s="1"/>
      <c r="G663" s="1"/>
      <c r="H663" s="1"/>
      <c r="I663" s="1"/>
      <c r="J663" s="1"/>
      <c r="K663" s="1"/>
      <c r="L663" s="1"/>
    </row>
    <row r="664" ht="15.75" customHeight="1">
      <c r="A664" s="36"/>
      <c r="B664" s="36"/>
      <c r="C664" s="37"/>
      <c r="D664" s="1"/>
      <c r="E664" s="1"/>
      <c r="F664" s="1"/>
      <c r="G664" s="1"/>
      <c r="H664" s="1"/>
      <c r="I664" s="1"/>
      <c r="J664" s="1"/>
      <c r="K664" s="1"/>
      <c r="L664" s="1"/>
    </row>
    <row r="665" ht="15.75" customHeight="1">
      <c r="A665" s="36"/>
      <c r="B665" s="36"/>
      <c r="C665" s="37"/>
      <c r="D665" s="1"/>
      <c r="E665" s="1"/>
      <c r="F665" s="1"/>
      <c r="G665" s="1"/>
      <c r="H665" s="1"/>
      <c r="I665" s="1"/>
      <c r="J665" s="1"/>
      <c r="K665" s="1"/>
      <c r="L665" s="1"/>
    </row>
    <row r="666" ht="15.75" customHeight="1">
      <c r="A666" s="36"/>
      <c r="B666" s="36"/>
      <c r="C666" s="37"/>
      <c r="D666" s="1"/>
      <c r="E666" s="1"/>
      <c r="F666" s="1"/>
      <c r="G666" s="1"/>
      <c r="H666" s="1"/>
      <c r="I666" s="1"/>
      <c r="J666" s="1"/>
      <c r="K666" s="1"/>
      <c r="L666" s="1"/>
    </row>
    <row r="667" ht="15.75" customHeight="1">
      <c r="A667" s="36"/>
      <c r="B667" s="36"/>
      <c r="C667" s="37"/>
      <c r="D667" s="1"/>
      <c r="E667" s="1"/>
      <c r="F667" s="1"/>
      <c r="G667" s="1"/>
      <c r="H667" s="1"/>
      <c r="I667" s="1"/>
      <c r="J667" s="1"/>
      <c r="K667" s="1"/>
      <c r="L667" s="1"/>
    </row>
    <row r="668" ht="15.75" customHeight="1">
      <c r="A668" s="36"/>
      <c r="B668" s="36"/>
      <c r="C668" s="37"/>
      <c r="D668" s="1"/>
      <c r="E668" s="1"/>
      <c r="F668" s="1"/>
      <c r="G668" s="1"/>
      <c r="H668" s="1"/>
      <c r="I668" s="1"/>
      <c r="J668" s="1"/>
      <c r="K668" s="1"/>
      <c r="L668" s="1"/>
    </row>
    <row r="669" ht="15.75" customHeight="1">
      <c r="A669" s="36"/>
      <c r="B669" s="36"/>
      <c r="C669" s="37"/>
      <c r="D669" s="1"/>
      <c r="E669" s="1"/>
      <c r="F669" s="1"/>
      <c r="G669" s="1"/>
      <c r="H669" s="1"/>
      <c r="I669" s="1"/>
      <c r="J669" s="1"/>
      <c r="K669" s="1"/>
      <c r="L669" s="1"/>
    </row>
    <row r="670" ht="15.75" customHeight="1">
      <c r="A670" s="36"/>
      <c r="B670" s="36"/>
      <c r="C670" s="37"/>
      <c r="D670" s="1"/>
      <c r="E670" s="1"/>
      <c r="F670" s="1"/>
      <c r="G670" s="1"/>
      <c r="H670" s="1"/>
      <c r="I670" s="1"/>
      <c r="J670" s="1"/>
      <c r="K670" s="1"/>
      <c r="L670" s="1"/>
    </row>
    <row r="671" ht="15.75" customHeight="1">
      <c r="A671" s="36"/>
      <c r="B671" s="36"/>
      <c r="C671" s="37"/>
      <c r="D671" s="1"/>
      <c r="E671" s="1"/>
      <c r="F671" s="1"/>
      <c r="G671" s="1"/>
      <c r="H671" s="1"/>
      <c r="I671" s="1"/>
      <c r="J671" s="1"/>
      <c r="K671" s="1"/>
      <c r="L671" s="1"/>
    </row>
    <row r="672" ht="15.75" customHeight="1">
      <c r="A672" s="36"/>
      <c r="B672" s="36"/>
      <c r="C672" s="37"/>
      <c r="D672" s="1"/>
      <c r="E672" s="1"/>
      <c r="F672" s="1"/>
      <c r="G672" s="1"/>
      <c r="H672" s="1"/>
      <c r="I672" s="1"/>
      <c r="J672" s="1"/>
      <c r="K672" s="1"/>
      <c r="L672" s="1"/>
    </row>
    <row r="673" ht="15.75" customHeight="1">
      <c r="A673" s="36"/>
      <c r="B673" s="36"/>
      <c r="C673" s="37"/>
      <c r="D673" s="1"/>
      <c r="E673" s="1"/>
      <c r="F673" s="1"/>
      <c r="G673" s="1"/>
      <c r="H673" s="1"/>
      <c r="I673" s="1"/>
      <c r="J673" s="1"/>
      <c r="K673" s="1"/>
      <c r="L673" s="1"/>
    </row>
    <row r="674" ht="15.75" customHeight="1">
      <c r="A674" s="36"/>
      <c r="B674" s="36"/>
      <c r="C674" s="37"/>
      <c r="D674" s="1"/>
      <c r="E674" s="1"/>
      <c r="F674" s="1"/>
      <c r="G674" s="1"/>
      <c r="H674" s="1"/>
      <c r="I674" s="1"/>
      <c r="J674" s="1"/>
      <c r="K674" s="1"/>
      <c r="L674" s="1"/>
    </row>
    <row r="675" ht="15.75" customHeight="1">
      <c r="A675" s="36"/>
      <c r="B675" s="36"/>
      <c r="C675" s="37"/>
      <c r="D675" s="1"/>
      <c r="E675" s="1"/>
      <c r="F675" s="1"/>
      <c r="G675" s="1"/>
      <c r="H675" s="1"/>
      <c r="I675" s="1"/>
      <c r="J675" s="1"/>
      <c r="K675" s="1"/>
      <c r="L675" s="1"/>
    </row>
    <row r="676" ht="15.75" customHeight="1">
      <c r="A676" s="36"/>
      <c r="B676" s="36"/>
      <c r="C676" s="37"/>
      <c r="D676" s="1"/>
      <c r="E676" s="1"/>
      <c r="F676" s="1"/>
      <c r="G676" s="1"/>
      <c r="H676" s="1"/>
      <c r="I676" s="1"/>
      <c r="J676" s="1"/>
      <c r="K676" s="1"/>
      <c r="L676" s="1"/>
    </row>
    <row r="677" ht="15.75" customHeight="1">
      <c r="A677" s="36"/>
      <c r="B677" s="36"/>
      <c r="C677" s="37"/>
      <c r="D677" s="1"/>
      <c r="E677" s="1"/>
      <c r="F677" s="1"/>
      <c r="G677" s="1"/>
      <c r="H677" s="1"/>
      <c r="I677" s="1"/>
      <c r="J677" s="1"/>
      <c r="K677" s="1"/>
      <c r="L677" s="1"/>
    </row>
    <row r="678" ht="15.75" customHeight="1">
      <c r="A678" s="36"/>
      <c r="B678" s="36"/>
      <c r="C678" s="37"/>
      <c r="D678" s="1"/>
      <c r="E678" s="1"/>
      <c r="F678" s="1"/>
      <c r="G678" s="1"/>
      <c r="H678" s="1"/>
      <c r="I678" s="1"/>
      <c r="J678" s="1"/>
      <c r="K678" s="1"/>
      <c r="L678" s="1"/>
    </row>
    <row r="679" ht="15.75" customHeight="1">
      <c r="A679" s="36"/>
      <c r="B679" s="36"/>
      <c r="C679" s="37"/>
      <c r="D679" s="1"/>
      <c r="E679" s="1"/>
      <c r="F679" s="1"/>
      <c r="G679" s="1"/>
      <c r="H679" s="1"/>
      <c r="I679" s="1"/>
      <c r="J679" s="1"/>
      <c r="K679" s="1"/>
      <c r="L679" s="1"/>
    </row>
    <row r="680" ht="15.75" customHeight="1">
      <c r="A680" s="36"/>
      <c r="B680" s="36"/>
      <c r="C680" s="37"/>
      <c r="D680" s="1"/>
      <c r="E680" s="1"/>
      <c r="F680" s="1"/>
      <c r="G680" s="1"/>
      <c r="H680" s="1"/>
      <c r="I680" s="1"/>
      <c r="J680" s="1"/>
      <c r="K680" s="1"/>
      <c r="L680" s="1"/>
    </row>
    <row r="681" ht="15.75" customHeight="1">
      <c r="A681" s="36"/>
      <c r="B681" s="36"/>
      <c r="C681" s="37"/>
      <c r="D681" s="1"/>
      <c r="E681" s="1"/>
      <c r="F681" s="1"/>
      <c r="G681" s="1"/>
      <c r="H681" s="1"/>
      <c r="I681" s="1"/>
      <c r="J681" s="1"/>
      <c r="K681" s="1"/>
      <c r="L681" s="1"/>
    </row>
    <row r="682" ht="15.75" customHeight="1">
      <c r="A682" s="36"/>
      <c r="B682" s="36"/>
      <c r="C682" s="37"/>
      <c r="D682" s="1"/>
      <c r="E682" s="1"/>
      <c r="F682" s="1"/>
      <c r="G682" s="1"/>
      <c r="H682" s="1"/>
      <c r="I682" s="1"/>
      <c r="J682" s="1"/>
      <c r="K682" s="1"/>
      <c r="L682" s="1"/>
    </row>
    <row r="683" ht="15.75" customHeight="1">
      <c r="A683" s="36"/>
      <c r="B683" s="36"/>
      <c r="C683" s="37"/>
      <c r="D683" s="1"/>
      <c r="E683" s="1"/>
      <c r="F683" s="1"/>
      <c r="G683" s="1"/>
      <c r="H683" s="1"/>
      <c r="I683" s="1"/>
      <c r="J683" s="1"/>
      <c r="K683" s="1"/>
      <c r="L683" s="1"/>
    </row>
    <row r="684" ht="15.75" customHeight="1">
      <c r="A684" s="36"/>
      <c r="B684" s="36"/>
      <c r="C684" s="37"/>
      <c r="D684" s="1"/>
      <c r="E684" s="1"/>
      <c r="F684" s="1"/>
      <c r="G684" s="1"/>
      <c r="H684" s="1"/>
      <c r="I684" s="1"/>
      <c r="J684" s="1"/>
      <c r="K684" s="1"/>
      <c r="L684" s="1"/>
    </row>
    <row r="685" ht="15.75" customHeight="1">
      <c r="A685" s="36"/>
      <c r="B685" s="36"/>
      <c r="C685" s="37"/>
      <c r="D685" s="1"/>
      <c r="E685" s="1"/>
      <c r="F685" s="1"/>
      <c r="G685" s="1"/>
      <c r="H685" s="1"/>
      <c r="I685" s="1"/>
      <c r="J685" s="1"/>
      <c r="K685" s="1"/>
      <c r="L685" s="1"/>
    </row>
    <row r="686" ht="15.75" customHeight="1">
      <c r="A686" s="36"/>
      <c r="B686" s="36"/>
      <c r="C686" s="37"/>
      <c r="D686" s="1"/>
      <c r="E686" s="1"/>
      <c r="F686" s="1"/>
      <c r="G686" s="1"/>
      <c r="H686" s="1"/>
      <c r="I686" s="1"/>
      <c r="J686" s="1"/>
      <c r="K686" s="1"/>
      <c r="L686" s="1"/>
    </row>
    <row r="687" ht="15.75" customHeight="1">
      <c r="A687" s="36"/>
      <c r="B687" s="36"/>
      <c r="C687" s="37"/>
      <c r="D687" s="1"/>
      <c r="E687" s="1"/>
      <c r="F687" s="1"/>
      <c r="G687" s="1"/>
      <c r="H687" s="1"/>
      <c r="I687" s="1"/>
      <c r="J687" s="1"/>
      <c r="K687" s="1"/>
      <c r="L687" s="1"/>
    </row>
    <row r="688" ht="15.75" customHeight="1">
      <c r="A688" s="36"/>
      <c r="B688" s="36"/>
      <c r="C688" s="37"/>
      <c r="D688" s="1"/>
      <c r="E688" s="1"/>
      <c r="F688" s="1"/>
      <c r="G688" s="1"/>
      <c r="H688" s="1"/>
      <c r="I688" s="1"/>
      <c r="J688" s="1"/>
      <c r="K688" s="1"/>
      <c r="L688" s="1"/>
    </row>
    <row r="689" ht="15.75" customHeight="1">
      <c r="A689" s="36"/>
      <c r="B689" s="36"/>
      <c r="C689" s="37"/>
      <c r="D689" s="1"/>
      <c r="E689" s="1"/>
      <c r="F689" s="1"/>
      <c r="G689" s="1"/>
      <c r="H689" s="1"/>
      <c r="I689" s="1"/>
      <c r="J689" s="1"/>
      <c r="K689" s="1"/>
      <c r="L689" s="1"/>
    </row>
    <row r="690" ht="15.75" customHeight="1">
      <c r="A690" s="36"/>
      <c r="B690" s="36"/>
      <c r="C690" s="37"/>
      <c r="D690" s="1"/>
      <c r="E690" s="1"/>
      <c r="F690" s="1"/>
      <c r="G690" s="1"/>
      <c r="H690" s="1"/>
      <c r="I690" s="1"/>
      <c r="J690" s="1"/>
      <c r="K690" s="1"/>
      <c r="L690" s="1"/>
    </row>
    <row r="691" ht="15.75" customHeight="1">
      <c r="A691" s="36"/>
      <c r="B691" s="36"/>
      <c r="C691" s="37"/>
      <c r="D691" s="1"/>
      <c r="E691" s="1"/>
      <c r="F691" s="1"/>
      <c r="G691" s="1"/>
      <c r="H691" s="1"/>
      <c r="I691" s="1"/>
      <c r="J691" s="1"/>
      <c r="K691" s="1"/>
      <c r="L691" s="1"/>
    </row>
    <row r="692" ht="15.75" customHeight="1">
      <c r="A692" s="36"/>
      <c r="B692" s="36"/>
      <c r="C692" s="37"/>
      <c r="D692" s="1"/>
      <c r="E692" s="1"/>
      <c r="F692" s="1"/>
      <c r="G692" s="1"/>
      <c r="H692" s="1"/>
      <c r="I692" s="1"/>
      <c r="J692" s="1"/>
      <c r="K692" s="1"/>
      <c r="L692" s="1"/>
    </row>
    <row r="693" ht="15.75" customHeight="1">
      <c r="A693" s="36"/>
      <c r="B693" s="36"/>
      <c r="C693" s="37"/>
      <c r="D693" s="1"/>
      <c r="E693" s="1"/>
      <c r="F693" s="1"/>
      <c r="G693" s="1"/>
      <c r="H693" s="1"/>
      <c r="I693" s="1"/>
      <c r="J693" s="1"/>
      <c r="K693" s="1"/>
      <c r="L693" s="1"/>
    </row>
    <row r="694" ht="15.75" customHeight="1">
      <c r="A694" s="36"/>
      <c r="B694" s="36"/>
      <c r="C694" s="37"/>
      <c r="D694" s="1"/>
      <c r="E694" s="1"/>
      <c r="F694" s="1"/>
      <c r="G694" s="1"/>
      <c r="H694" s="1"/>
      <c r="I694" s="1"/>
      <c r="J694" s="1"/>
      <c r="K694" s="1"/>
      <c r="L694" s="1"/>
    </row>
    <row r="695" ht="15.75" customHeight="1">
      <c r="A695" s="36"/>
      <c r="B695" s="36"/>
      <c r="C695" s="37"/>
      <c r="D695" s="1"/>
      <c r="E695" s="1"/>
      <c r="F695" s="1"/>
      <c r="G695" s="1"/>
      <c r="H695" s="1"/>
      <c r="I695" s="1"/>
      <c r="J695" s="1"/>
      <c r="K695" s="1"/>
      <c r="L695" s="1"/>
    </row>
    <row r="696" ht="15.75" customHeight="1">
      <c r="A696" s="36"/>
      <c r="B696" s="36"/>
      <c r="C696" s="37"/>
      <c r="D696" s="1"/>
      <c r="E696" s="1"/>
      <c r="F696" s="1"/>
      <c r="G696" s="1"/>
      <c r="H696" s="1"/>
      <c r="I696" s="1"/>
      <c r="J696" s="1"/>
      <c r="K696" s="1"/>
      <c r="L696" s="1"/>
    </row>
    <row r="697" ht="15.75" customHeight="1">
      <c r="A697" s="36"/>
      <c r="B697" s="36"/>
      <c r="C697" s="37"/>
      <c r="D697" s="1"/>
      <c r="E697" s="1"/>
      <c r="F697" s="1"/>
      <c r="G697" s="1"/>
      <c r="H697" s="1"/>
      <c r="I697" s="1"/>
      <c r="J697" s="1"/>
      <c r="K697" s="1"/>
      <c r="L697" s="1"/>
    </row>
    <row r="698" ht="15.75" customHeight="1">
      <c r="A698" s="36"/>
      <c r="B698" s="36"/>
      <c r="C698" s="37"/>
      <c r="D698" s="1"/>
      <c r="E698" s="1"/>
      <c r="F698" s="1"/>
      <c r="G698" s="1"/>
      <c r="H698" s="1"/>
      <c r="I698" s="1"/>
      <c r="J698" s="1"/>
      <c r="K698" s="1"/>
      <c r="L698" s="1"/>
    </row>
    <row r="699" ht="15.75" customHeight="1">
      <c r="A699" s="36"/>
      <c r="B699" s="36"/>
      <c r="C699" s="37"/>
      <c r="D699" s="1"/>
      <c r="E699" s="1"/>
      <c r="F699" s="1"/>
      <c r="G699" s="1"/>
      <c r="H699" s="1"/>
      <c r="I699" s="1"/>
      <c r="J699" s="1"/>
      <c r="K699" s="1"/>
      <c r="L699" s="1"/>
    </row>
    <row r="700" ht="15.75" customHeight="1">
      <c r="A700" s="36"/>
      <c r="B700" s="36"/>
      <c r="C700" s="37"/>
      <c r="D700" s="1"/>
      <c r="E700" s="1"/>
      <c r="F700" s="1"/>
      <c r="G700" s="1"/>
      <c r="H700" s="1"/>
      <c r="I700" s="1"/>
      <c r="J700" s="1"/>
      <c r="K700" s="1"/>
      <c r="L700" s="1"/>
    </row>
    <row r="701" ht="15.75" customHeight="1">
      <c r="A701" s="36"/>
      <c r="B701" s="36"/>
      <c r="C701" s="37"/>
      <c r="D701" s="1"/>
      <c r="E701" s="1"/>
      <c r="F701" s="1"/>
      <c r="G701" s="1"/>
      <c r="H701" s="1"/>
      <c r="I701" s="1"/>
      <c r="J701" s="1"/>
      <c r="K701" s="1"/>
      <c r="L701" s="1"/>
    </row>
    <row r="702" ht="15.75" customHeight="1">
      <c r="A702" s="36"/>
      <c r="B702" s="36"/>
      <c r="C702" s="37"/>
      <c r="D702" s="1"/>
      <c r="E702" s="1"/>
      <c r="F702" s="1"/>
      <c r="G702" s="1"/>
      <c r="H702" s="1"/>
      <c r="I702" s="1"/>
      <c r="J702" s="1"/>
      <c r="K702" s="1"/>
      <c r="L702" s="1"/>
    </row>
    <row r="703" ht="15.75" customHeight="1">
      <c r="A703" s="36"/>
      <c r="B703" s="36"/>
      <c r="C703" s="37"/>
      <c r="D703" s="1"/>
      <c r="E703" s="1"/>
      <c r="F703" s="1"/>
      <c r="G703" s="1"/>
      <c r="H703" s="1"/>
      <c r="I703" s="1"/>
      <c r="J703" s="1"/>
      <c r="K703" s="1"/>
      <c r="L703" s="1"/>
    </row>
    <row r="704" ht="15.75" customHeight="1">
      <c r="A704" s="36"/>
      <c r="B704" s="36"/>
      <c r="C704" s="37"/>
      <c r="D704" s="1"/>
      <c r="E704" s="1"/>
      <c r="F704" s="1"/>
      <c r="G704" s="1"/>
      <c r="H704" s="1"/>
      <c r="I704" s="1"/>
      <c r="J704" s="1"/>
      <c r="K704" s="1"/>
      <c r="L704" s="1"/>
    </row>
    <row r="705" ht="15.75" customHeight="1">
      <c r="A705" s="36"/>
      <c r="B705" s="36"/>
      <c r="C705" s="37"/>
      <c r="D705" s="1"/>
      <c r="E705" s="1"/>
      <c r="F705" s="1"/>
      <c r="G705" s="1"/>
      <c r="H705" s="1"/>
      <c r="I705" s="1"/>
      <c r="J705" s="1"/>
      <c r="K705" s="1"/>
      <c r="L705" s="1"/>
    </row>
    <row r="706" ht="15.75" customHeight="1">
      <c r="A706" s="36"/>
      <c r="B706" s="36"/>
      <c r="C706" s="37"/>
      <c r="D706" s="1"/>
      <c r="E706" s="1"/>
      <c r="F706" s="1"/>
      <c r="G706" s="1"/>
      <c r="H706" s="1"/>
      <c r="I706" s="1"/>
      <c r="J706" s="1"/>
      <c r="K706" s="1"/>
      <c r="L706" s="1"/>
    </row>
    <row r="707" ht="15.75" customHeight="1">
      <c r="A707" s="36"/>
      <c r="B707" s="36"/>
      <c r="C707" s="37"/>
      <c r="D707" s="1"/>
      <c r="E707" s="1"/>
      <c r="F707" s="1"/>
      <c r="G707" s="1"/>
      <c r="H707" s="1"/>
      <c r="I707" s="1"/>
      <c r="J707" s="1"/>
      <c r="K707" s="1"/>
      <c r="L707" s="1"/>
    </row>
    <row r="708" ht="15.75" customHeight="1">
      <c r="A708" s="36"/>
      <c r="B708" s="36"/>
      <c r="C708" s="37"/>
      <c r="D708" s="1"/>
      <c r="E708" s="1"/>
      <c r="F708" s="1"/>
      <c r="G708" s="1"/>
      <c r="H708" s="1"/>
      <c r="I708" s="1"/>
      <c r="J708" s="1"/>
      <c r="K708" s="1"/>
      <c r="L708" s="1"/>
    </row>
    <row r="709" ht="15.75" customHeight="1">
      <c r="A709" s="36"/>
      <c r="B709" s="36"/>
      <c r="C709" s="37"/>
      <c r="D709" s="1"/>
      <c r="E709" s="1"/>
      <c r="F709" s="1"/>
      <c r="G709" s="1"/>
      <c r="H709" s="1"/>
      <c r="I709" s="1"/>
      <c r="J709" s="1"/>
      <c r="K709" s="1"/>
      <c r="L709" s="1"/>
    </row>
    <row r="710" ht="15.75" customHeight="1">
      <c r="A710" s="36"/>
      <c r="B710" s="36"/>
      <c r="C710" s="37"/>
      <c r="D710" s="1"/>
      <c r="E710" s="1"/>
      <c r="F710" s="1"/>
      <c r="G710" s="1"/>
      <c r="H710" s="1"/>
      <c r="I710" s="1"/>
      <c r="J710" s="1"/>
      <c r="K710" s="1"/>
      <c r="L710" s="1"/>
    </row>
    <row r="711" ht="15.75" customHeight="1">
      <c r="A711" s="36"/>
      <c r="B711" s="36"/>
      <c r="C711" s="37"/>
      <c r="D711" s="1"/>
      <c r="E711" s="1"/>
      <c r="F711" s="1"/>
      <c r="G711" s="1"/>
      <c r="H711" s="1"/>
      <c r="I711" s="1"/>
      <c r="J711" s="1"/>
      <c r="K711" s="1"/>
      <c r="L711" s="1"/>
    </row>
    <row r="712" ht="15.75" customHeight="1">
      <c r="A712" s="36"/>
      <c r="B712" s="36"/>
      <c r="C712" s="37"/>
      <c r="D712" s="1"/>
      <c r="E712" s="1"/>
      <c r="F712" s="1"/>
      <c r="G712" s="1"/>
      <c r="H712" s="1"/>
      <c r="I712" s="1"/>
      <c r="J712" s="1"/>
      <c r="K712" s="1"/>
      <c r="L712" s="1"/>
    </row>
    <row r="713" ht="15.75" customHeight="1">
      <c r="A713" s="36"/>
      <c r="B713" s="36"/>
      <c r="C713" s="37"/>
      <c r="D713" s="1"/>
      <c r="E713" s="1"/>
      <c r="F713" s="1"/>
      <c r="G713" s="1"/>
      <c r="H713" s="1"/>
      <c r="I713" s="1"/>
      <c r="J713" s="1"/>
      <c r="K713" s="1"/>
      <c r="L713" s="1"/>
    </row>
    <row r="714" ht="15.75" customHeight="1">
      <c r="A714" s="36"/>
      <c r="B714" s="36"/>
      <c r="C714" s="37"/>
      <c r="D714" s="1"/>
      <c r="E714" s="1"/>
      <c r="F714" s="1"/>
      <c r="G714" s="1"/>
      <c r="H714" s="1"/>
      <c r="I714" s="1"/>
      <c r="J714" s="1"/>
      <c r="K714" s="1"/>
      <c r="L714" s="1"/>
    </row>
    <row r="715" ht="15.75" customHeight="1">
      <c r="A715" s="36"/>
      <c r="B715" s="36"/>
      <c r="C715" s="37"/>
      <c r="D715" s="1"/>
      <c r="E715" s="1"/>
      <c r="F715" s="1"/>
      <c r="G715" s="1"/>
      <c r="H715" s="1"/>
      <c r="I715" s="1"/>
      <c r="J715" s="1"/>
      <c r="K715" s="1"/>
      <c r="L715" s="1"/>
    </row>
    <row r="716" ht="15.75" customHeight="1">
      <c r="A716" s="36"/>
      <c r="B716" s="36"/>
      <c r="C716" s="37"/>
      <c r="D716" s="1"/>
      <c r="E716" s="1"/>
      <c r="F716" s="1"/>
      <c r="G716" s="1"/>
      <c r="H716" s="1"/>
      <c r="I716" s="1"/>
      <c r="J716" s="1"/>
      <c r="K716" s="1"/>
      <c r="L716" s="1"/>
    </row>
    <row r="717" ht="15.75" customHeight="1">
      <c r="A717" s="36"/>
      <c r="B717" s="36"/>
      <c r="C717" s="37"/>
      <c r="D717" s="1"/>
      <c r="E717" s="1"/>
      <c r="F717" s="1"/>
      <c r="G717" s="1"/>
      <c r="H717" s="1"/>
      <c r="I717" s="1"/>
      <c r="J717" s="1"/>
      <c r="K717" s="1"/>
      <c r="L717" s="1"/>
    </row>
    <row r="718" ht="15.75" customHeight="1">
      <c r="A718" s="36"/>
      <c r="B718" s="36"/>
      <c r="C718" s="37"/>
      <c r="D718" s="1"/>
      <c r="E718" s="1"/>
      <c r="F718" s="1"/>
      <c r="G718" s="1"/>
      <c r="H718" s="1"/>
      <c r="I718" s="1"/>
      <c r="J718" s="1"/>
      <c r="K718" s="1"/>
      <c r="L718" s="1"/>
    </row>
    <row r="719" ht="15.75" customHeight="1">
      <c r="A719" s="36"/>
      <c r="B719" s="36"/>
      <c r="C719" s="37"/>
      <c r="D719" s="1"/>
      <c r="E719" s="1"/>
      <c r="F719" s="1"/>
      <c r="G719" s="1"/>
      <c r="H719" s="1"/>
      <c r="I719" s="1"/>
      <c r="J719" s="1"/>
      <c r="K719" s="1"/>
      <c r="L719" s="1"/>
    </row>
    <row r="720" ht="15.75" customHeight="1">
      <c r="A720" s="36"/>
      <c r="B720" s="36"/>
      <c r="C720" s="37"/>
      <c r="D720" s="1"/>
      <c r="E720" s="1"/>
      <c r="F720" s="1"/>
      <c r="G720" s="1"/>
      <c r="H720" s="1"/>
      <c r="I720" s="1"/>
      <c r="J720" s="1"/>
      <c r="K720" s="1"/>
      <c r="L720" s="1"/>
    </row>
    <row r="721" ht="15.75" customHeight="1">
      <c r="A721" s="36"/>
      <c r="B721" s="36"/>
      <c r="C721" s="37"/>
      <c r="D721" s="1"/>
      <c r="E721" s="1"/>
      <c r="F721" s="1"/>
      <c r="G721" s="1"/>
      <c r="H721" s="1"/>
      <c r="I721" s="1"/>
      <c r="J721" s="1"/>
      <c r="K721" s="1"/>
      <c r="L721" s="1"/>
    </row>
    <row r="722" ht="15.75" customHeight="1">
      <c r="A722" s="36"/>
      <c r="B722" s="36"/>
      <c r="C722" s="37"/>
      <c r="D722" s="1"/>
      <c r="E722" s="1"/>
      <c r="F722" s="1"/>
      <c r="G722" s="1"/>
      <c r="H722" s="1"/>
      <c r="I722" s="1"/>
      <c r="J722" s="1"/>
      <c r="K722" s="1"/>
      <c r="L722" s="1"/>
    </row>
    <row r="723" ht="15.75" customHeight="1">
      <c r="A723" s="36"/>
      <c r="B723" s="36"/>
      <c r="C723" s="37"/>
      <c r="D723" s="1"/>
      <c r="E723" s="1"/>
      <c r="F723" s="1"/>
      <c r="G723" s="1"/>
      <c r="H723" s="1"/>
      <c r="I723" s="1"/>
      <c r="J723" s="1"/>
      <c r="K723" s="1"/>
      <c r="L723" s="1"/>
    </row>
    <row r="724" ht="15.75" customHeight="1">
      <c r="A724" s="36"/>
      <c r="B724" s="36"/>
      <c r="C724" s="37"/>
      <c r="D724" s="1"/>
      <c r="E724" s="1"/>
      <c r="F724" s="1"/>
      <c r="G724" s="1"/>
      <c r="H724" s="1"/>
      <c r="I724" s="1"/>
      <c r="J724" s="1"/>
      <c r="K724" s="1"/>
      <c r="L724" s="1"/>
    </row>
    <row r="725" ht="15.75" customHeight="1">
      <c r="A725" s="36"/>
      <c r="B725" s="36"/>
      <c r="C725" s="37"/>
      <c r="D725" s="1"/>
      <c r="E725" s="1"/>
      <c r="F725" s="1"/>
      <c r="G725" s="1"/>
      <c r="H725" s="1"/>
      <c r="I725" s="1"/>
      <c r="J725" s="1"/>
      <c r="K725" s="1"/>
      <c r="L725" s="1"/>
    </row>
    <row r="726" ht="15.75" customHeight="1">
      <c r="A726" s="36"/>
      <c r="B726" s="36"/>
      <c r="C726" s="37"/>
      <c r="D726" s="1"/>
      <c r="E726" s="1"/>
      <c r="F726" s="1"/>
      <c r="G726" s="1"/>
      <c r="H726" s="1"/>
      <c r="I726" s="1"/>
      <c r="J726" s="1"/>
      <c r="K726" s="1"/>
      <c r="L726" s="1"/>
    </row>
    <row r="727" ht="15.75" customHeight="1">
      <c r="A727" s="36"/>
      <c r="B727" s="36"/>
      <c r="C727" s="37"/>
      <c r="D727" s="1"/>
      <c r="E727" s="1"/>
      <c r="F727" s="1"/>
      <c r="G727" s="1"/>
      <c r="H727" s="1"/>
      <c r="I727" s="1"/>
      <c r="J727" s="1"/>
      <c r="K727" s="1"/>
      <c r="L727" s="1"/>
    </row>
    <row r="728" ht="15.75" customHeight="1">
      <c r="A728" s="36"/>
      <c r="B728" s="36"/>
      <c r="C728" s="37"/>
      <c r="D728" s="1"/>
      <c r="E728" s="1"/>
      <c r="F728" s="1"/>
      <c r="G728" s="1"/>
      <c r="H728" s="1"/>
      <c r="I728" s="1"/>
      <c r="J728" s="1"/>
      <c r="K728" s="1"/>
      <c r="L728" s="1"/>
    </row>
    <row r="729" ht="15.75" customHeight="1">
      <c r="A729" s="36"/>
      <c r="B729" s="36"/>
      <c r="C729" s="37"/>
      <c r="D729" s="1"/>
      <c r="E729" s="1"/>
      <c r="F729" s="1"/>
      <c r="G729" s="1"/>
      <c r="H729" s="1"/>
      <c r="I729" s="1"/>
      <c r="J729" s="1"/>
      <c r="K729" s="1"/>
      <c r="L729" s="1"/>
    </row>
    <row r="730" ht="15.75" customHeight="1">
      <c r="A730" s="36"/>
      <c r="B730" s="36"/>
      <c r="C730" s="37"/>
      <c r="D730" s="1"/>
      <c r="E730" s="1"/>
      <c r="F730" s="1"/>
      <c r="G730" s="1"/>
      <c r="H730" s="1"/>
      <c r="I730" s="1"/>
      <c r="J730" s="1"/>
      <c r="K730" s="1"/>
      <c r="L730" s="1"/>
    </row>
    <row r="731" ht="15.75" customHeight="1">
      <c r="A731" s="36"/>
      <c r="B731" s="36"/>
      <c r="C731" s="37"/>
      <c r="D731" s="1"/>
      <c r="E731" s="1"/>
      <c r="F731" s="1"/>
      <c r="G731" s="1"/>
      <c r="H731" s="1"/>
      <c r="I731" s="1"/>
      <c r="J731" s="1"/>
      <c r="K731" s="1"/>
      <c r="L731" s="1"/>
    </row>
    <row r="732" ht="15.75" customHeight="1">
      <c r="A732" s="36"/>
      <c r="B732" s="36"/>
      <c r="C732" s="37"/>
      <c r="D732" s="1"/>
      <c r="E732" s="1"/>
      <c r="F732" s="1"/>
      <c r="G732" s="1"/>
      <c r="H732" s="1"/>
      <c r="I732" s="1"/>
      <c r="J732" s="1"/>
      <c r="K732" s="1"/>
      <c r="L732" s="1"/>
    </row>
    <row r="733" ht="15.75" customHeight="1">
      <c r="A733" s="36"/>
      <c r="B733" s="36"/>
      <c r="C733" s="37"/>
      <c r="D733" s="1"/>
      <c r="E733" s="1"/>
      <c r="F733" s="1"/>
      <c r="G733" s="1"/>
      <c r="H733" s="1"/>
      <c r="I733" s="1"/>
      <c r="J733" s="1"/>
      <c r="K733" s="1"/>
      <c r="L733" s="1"/>
    </row>
    <row r="734" ht="15.75" customHeight="1">
      <c r="A734" s="36"/>
      <c r="B734" s="36"/>
      <c r="C734" s="37"/>
      <c r="D734" s="1"/>
      <c r="E734" s="1"/>
      <c r="F734" s="1"/>
      <c r="G734" s="1"/>
      <c r="H734" s="1"/>
      <c r="I734" s="1"/>
      <c r="J734" s="1"/>
      <c r="K734" s="1"/>
      <c r="L734" s="1"/>
    </row>
    <row r="735" ht="15.75" customHeight="1">
      <c r="A735" s="36"/>
      <c r="B735" s="36"/>
      <c r="C735" s="37"/>
      <c r="D735" s="1"/>
      <c r="E735" s="1"/>
      <c r="F735" s="1"/>
      <c r="G735" s="1"/>
      <c r="H735" s="1"/>
      <c r="I735" s="1"/>
      <c r="J735" s="1"/>
      <c r="K735" s="1"/>
      <c r="L735" s="1"/>
    </row>
    <row r="736" ht="15.75" customHeight="1">
      <c r="A736" s="36"/>
      <c r="B736" s="36"/>
      <c r="C736" s="37"/>
      <c r="D736" s="1"/>
      <c r="E736" s="1"/>
      <c r="F736" s="1"/>
      <c r="G736" s="1"/>
      <c r="H736" s="1"/>
      <c r="I736" s="1"/>
      <c r="J736" s="1"/>
      <c r="K736" s="1"/>
      <c r="L736" s="1"/>
    </row>
    <row r="737" ht="15.75" customHeight="1">
      <c r="A737" s="36"/>
      <c r="B737" s="36"/>
      <c r="C737" s="37"/>
      <c r="D737" s="1"/>
      <c r="E737" s="1"/>
      <c r="F737" s="1"/>
      <c r="G737" s="1"/>
      <c r="H737" s="1"/>
      <c r="I737" s="1"/>
      <c r="J737" s="1"/>
      <c r="K737" s="1"/>
      <c r="L737" s="1"/>
    </row>
    <row r="738" ht="15.75" customHeight="1">
      <c r="A738" s="36"/>
      <c r="B738" s="36"/>
      <c r="C738" s="37"/>
      <c r="D738" s="1"/>
      <c r="E738" s="1"/>
      <c r="F738" s="1"/>
      <c r="G738" s="1"/>
      <c r="H738" s="1"/>
      <c r="I738" s="1"/>
      <c r="J738" s="1"/>
      <c r="K738" s="1"/>
      <c r="L738" s="1"/>
    </row>
    <row r="739" ht="15.75" customHeight="1">
      <c r="A739" s="36"/>
      <c r="B739" s="36"/>
      <c r="C739" s="37"/>
      <c r="D739" s="1"/>
      <c r="E739" s="1"/>
      <c r="F739" s="1"/>
      <c r="G739" s="1"/>
      <c r="H739" s="1"/>
      <c r="I739" s="1"/>
      <c r="J739" s="1"/>
      <c r="K739" s="1"/>
      <c r="L739" s="1"/>
    </row>
    <row r="740" ht="15.75" customHeight="1">
      <c r="A740" s="36"/>
      <c r="B740" s="36"/>
      <c r="C740" s="37"/>
      <c r="D740" s="1"/>
      <c r="E740" s="1"/>
      <c r="F740" s="1"/>
      <c r="G740" s="1"/>
      <c r="H740" s="1"/>
      <c r="I740" s="1"/>
      <c r="J740" s="1"/>
      <c r="K740" s="1"/>
      <c r="L740" s="1"/>
    </row>
    <row r="741" ht="15.75" customHeight="1">
      <c r="A741" s="36"/>
      <c r="B741" s="36"/>
      <c r="C741" s="37"/>
      <c r="D741" s="1"/>
      <c r="E741" s="1"/>
      <c r="F741" s="1"/>
      <c r="G741" s="1"/>
      <c r="H741" s="1"/>
      <c r="I741" s="1"/>
      <c r="J741" s="1"/>
      <c r="K741" s="1"/>
      <c r="L741" s="1"/>
    </row>
    <row r="742" ht="15.75" customHeight="1">
      <c r="A742" s="36"/>
      <c r="B742" s="36"/>
      <c r="C742" s="37"/>
      <c r="D742" s="1"/>
      <c r="E742" s="1"/>
      <c r="F742" s="1"/>
      <c r="G742" s="1"/>
      <c r="H742" s="1"/>
      <c r="I742" s="1"/>
      <c r="J742" s="1"/>
      <c r="K742" s="1"/>
      <c r="L742" s="1"/>
    </row>
    <row r="743" ht="15.75" customHeight="1">
      <c r="A743" s="36"/>
      <c r="B743" s="36"/>
      <c r="C743" s="37"/>
      <c r="D743" s="1"/>
      <c r="E743" s="1"/>
      <c r="F743" s="1"/>
      <c r="G743" s="1"/>
      <c r="H743" s="1"/>
      <c r="I743" s="1"/>
      <c r="J743" s="1"/>
      <c r="K743" s="1"/>
      <c r="L743" s="1"/>
    </row>
    <row r="744" ht="15.75" customHeight="1">
      <c r="A744" s="36"/>
      <c r="B744" s="36"/>
      <c r="C744" s="37"/>
      <c r="D744" s="1"/>
      <c r="E744" s="1"/>
      <c r="F744" s="1"/>
      <c r="G744" s="1"/>
      <c r="H744" s="1"/>
      <c r="I744" s="1"/>
      <c r="J744" s="1"/>
      <c r="K744" s="1"/>
      <c r="L744" s="1"/>
    </row>
    <row r="745" ht="15.75" customHeight="1">
      <c r="A745" s="36"/>
      <c r="B745" s="36"/>
      <c r="C745" s="37"/>
      <c r="D745" s="1"/>
      <c r="E745" s="1"/>
      <c r="F745" s="1"/>
      <c r="G745" s="1"/>
      <c r="H745" s="1"/>
      <c r="I745" s="1"/>
      <c r="J745" s="1"/>
      <c r="K745" s="1"/>
      <c r="L745" s="1"/>
    </row>
    <row r="746" ht="15.75" customHeight="1">
      <c r="A746" s="36"/>
      <c r="B746" s="36"/>
      <c r="C746" s="37"/>
      <c r="D746" s="1"/>
      <c r="E746" s="1"/>
      <c r="F746" s="1"/>
      <c r="G746" s="1"/>
      <c r="H746" s="1"/>
      <c r="I746" s="1"/>
      <c r="J746" s="1"/>
      <c r="K746" s="1"/>
      <c r="L746" s="1"/>
    </row>
    <row r="747" ht="15.75" customHeight="1">
      <c r="A747" s="36"/>
      <c r="B747" s="36"/>
      <c r="C747" s="37"/>
      <c r="D747" s="1"/>
      <c r="E747" s="1"/>
      <c r="F747" s="1"/>
      <c r="G747" s="1"/>
      <c r="H747" s="1"/>
      <c r="I747" s="1"/>
      <c r="J747" s="1"/>
      <c r="K747" s="1"/>
      <c r="L747" s="1"/>
    </row>
    <row r="748" ht="15.75" customHeight="1">
      <c r="A748" s="36"/>
      <c r="B748" s="36"/>
      <c r="C748" s="37"/>
      <c r="D748" s="1"/>
      <c r="E748" s="1"/>
      <c r="F748" s="1"/>
      <c r="G748" s="1"/>
      <c r="H748" s="1"/>
      <c r="I748" s="1"/>
      <c r="J748" s="1"/>
      <c r="K748" s="1"/>
      <c r="L748" s="1"/>
    </row>
    <row r="749" ht="15.75" customHeight="1">
      <c r="A749" s="36"/>
      <c r="B749" s="36"/>
      <c r="C749" s="37"/>
      <c r="D749" s="1"/>
      <c r="E749" s="1"/>
      <c r="F749" s="1"/>
      <c r="G749" s="1"/>
      <c r="H749" s="1"/>
      <c r="I749" s="1"/>
      <c r="J749" s="1"/>
      <c r="K749" s="1"/>
      <c r="L749" s="1"/>
    </row>
    <row r="750" ht="15.75" customHeight="1">
      <c r="A750" s="36"/>
      <c r="B750" s="36"/>
      <c r="C750" s="37"/>
      <c r="D750" s="1"/>
      <c r="E750" s="1"/>
      <c r="F750" s="1"/>
      <c r="G750" s="1"/>
      <c r="H750" s="1"/>
      <c r="I750" s="1"/>
      <c r="J750" s="1"/>
      <c r="K750" s="1"/>
      <c r="L750" s="1"/>
    </row>
    <row r="751" ht="15.75" customHeight="1">
      <c r="A751" s="36"/>
      <c r="B751" s="36"/>
      <c r="C751" s="37"/>
      <c r="D751" s="1"/>
      <c r="E751" s="1"/>
      <c r="F751" s="1"/>
      <c r="G751" s="1"/>
      <c r="H751" s="1"/>
      <c r="I751" s="1"/>
      <c r="J751" s="1"/>
      <c r="K751" s="1"/>
      <c r="L751" s="1"/>
    </row>
    <row r="752" ht="15.75" customHeight="1">
      <c r="A752" s="36"/>
      <c r="B752" s="36"/>
      <c r="C752" s="37"/>
      <c r="D752" s="1"/>
      <c r="E752" s="1"/>
      <c r="F752" s="1"/>
      <c r="G752" s="1"/>
      <c r="H752" s="1"/>
      <c r="I752" s="1"/>
      <c r="J752" s="1"/>
      <c r="K752" s="1"/>
      <c r="L752" s="1"/>
    </row>
    <row r="753" ht="15.75" customHeight="1">
      <c r="A753" s="36"/>
      <c r="B753" s="36"/>
      <c r="C753" s="37"/>
      <c r="D753" s="1"/>
      <c r="E753" s="1"/>
      <c r="F753" s="1"/>
      <c r="G753" s="1"/>
      <c r="H753" s="1"/>
      <c r="I753" s="1"/>
      <c r="J753" s="1"/>
      <c r="K753" s="1"/>
      <c r="L753" s="1"/>
    </row>
    <row r="754" ht="15.75" customHeight="1">
      <c r="A754" s="36"/>
      <c r="B754" s="36"/>
      <c r="C754" s="37"/>
      <c r="D754" s="1"/>
      <c r="E754" s="1"/>
      <c r="F754" s="1"/>
      <c r="G754" s="1"/>
      <c r="H754" s="1"/>
      <c r="I754" s="1"/>
      <c r="J754" s="1"/>
      <c r="K754" s="1"/>
      <c r="L754" s="1"/>
    </row>
    <row r="755" ht="15.75" customHeight="1">
      <c r="A755" s="36"/>
      <c r="B755" s="36"/>
      <c r="C755" s="37"/>
      <c r="D755" s="1"/>
      <c r="E755" s="1"/>
      <c r="F755" s="1"/>
      <c r="G755" s="1"/>
      <c r="H755" s="1"/>
      <c r="I755" s="1"/>
      <c r="J755" s="1"/>
      <c r="K755" s="1"/>
      <c r="L755" s="1"/>
    </row>
    <row r="756" ht="15.75" customHeight="1">
      <c r="A756" s="36"/>
      <c r="B756" s="36"/>
      <c r="C756" s="37"/>
      <c r="D756" s="1"/>
      <c r="E756" s="1"/>
      <c r="F756" s="1"/>
      <c r="G756" s="1"/>
      <c r="H756" s="1"/>
      <c r="I756" s="1"/>
      <c r="J756" s="1"/>
      <c r="K756" s="1"/>
      <c r="L756" s="1"/>
    </row>
    <row r="757" ht="15.75" customHeight="1">
      <c r="A757" s="36"/>
      <c r="B757" s="36"/>
      <c r="C757" s="37"/>
      <c r="D757" s="1"/>
      <c r="E757" s="1"/>
      <c r="F757" s="1"/>
      <c r="G757" s="1"/>
      <c r="H757" s="1"/>
      <c r="I757" s="1"/>
      <c r="J757" s="1"/>
      <c r="K757" s="1"/>
      <c r="L757" s="1"/>
    </row>
    <row r="758" ht="15.75" customHeight="1">
      <c r="A758" s="36"/>
      <c r="B758" s="36"/>
      <c r="C758" s="37"/>
      <c r="D758" s="1"/>
      <c r="E758" s="1"/>
      <c r="F758" s="1"/>
      <c r="G758" s="1"/>
      <c r="H758" s="1"/>
      <c r="I758" s="1"/>
      <c r="J758" s="1"/>
      <c r="K758" s="1"/>
      <c r="L758" s="1"/>
    </row>
    <row r="759" ht="15.75" customHeight="1">
      <c r="A759" s="36"/>
      <c r="B759" s="36"/>
      <c r="C759" s="37"/>
      <c r="D759" s="1"/>
      <c r="E759" s="1"/>
      <c r="F759" s="1"/>
      <c r="G759" s="1"/>
      <c r="H759" s="1"/>
      <c r="I759" s="1"/>
      <c r="J759" s="1"/>
      <c r="K759" s="1"/>
      <c r="L759" s="1"/>
    </row>
    <row r="760" ht="15.75" customHeight="1">
      <c r="A760" s="36"/>
      <c r="B760" s="36"/>
      <c r="C760" s="37"/>
      <c r="D760" s="1"/>
      <c r="E760" s="1"/>
      <c r="F760" s="1"/>
      <c r="G760" s="1"/>
      <c r="H760" s="1"/>
      <c r="I760" s="1"/>
      <c r="J760" s="1"/>
      <c r="K760" s="1"/>
      <c r="L760" s="1"/>
    </row>
    <row r="761" ht="15.75" customHeight="1">
      <c r="A761" s="36"/>
      <c r="B761" s="36"/>
      <c r="C761" s="37"/>
      <c r="D761" s="1"/>
      <c r="E761" s="1"/>
      <c r="F761" s="1"/>
      <c r="G761" s="1"/>
      <c r="H761" s="1"/>
      <c r="I761" s="1"/>
      <c r="J761" s="1"/>
      <c r="K761" s="1"/>
      <c r="L761" s="1"/>
    </row>
    <row r="762" ht="15.75" customHeight="1">
      <c r="A762" s="36"/>
      <c r="B762" s="36"/>
      <c r="C762" s="37"/>
      <c r="D762" s="1"/>
      <c r="E762" s="1"/>
      <c r="F762" s="1"/>
      <c r="G762" s="1"/>
      <c r="H762" s="1"/>
      <c r="I762" s="1"/>
      <c r="J762" s="1"/>
      <c r="K762" s="1"/>
      <c r="L762" s="1"/>
    </row>
    <row r="763" ht="15.75" customHeight="1">
      <c r="A763" s="36"/>
      <c r="B763" s="36"/>
      <c r="C763" s="37"/>
      <c r="D763" s="1"/>
      <c r="E763" s="1"/>
      <c r="F763" s="1"/>
      <c r="G763" s="1"/>
      <c r="H763" s="1"/>
      <c r="I763" s="1"/>
      <c r="J763" s="1"/>
      <c r="K763" s="1"/>
      <c r="L763" s="1"/>
    </row>
    <row r="764" ht="15.75" customHeight="1">
      <c r="A764" s="36"/>
      <c r="B764" s="36"/>
      <c r="C764" s="37"/>
      <c r="D764" s="1"/>
      <c r="E764" s="1"/>
      <c r="F764" s="1"/>
      <c r="G764" s="1"/>
      <c r="H764" s="1"/>
      <c r="I764" s="1"/>
      <c r="J764" s="1"/>
      <c r="K764" s="1"/>
      <c r="L764" s="1"/>
    </row>
    <row r="765" ht="15.75" customHeight="1">
      <c r="A765" s="36"/>
      <c r="B765" s="36"/>
      <c r="C765" s="37"/>
      <c r="D765" s="1"/>
      <c r="E765" s="1"/>
      <c r="F765" s="1"/>
      <c r="G765" s="1"/>
      <c r="H765" s="1"/>
      <c r="I765" s="1"/>
      <c r="J765" s="1"/>
      <c r="K765" s="1"/>
      <c r="L765" s="1"/>
    </row>
    <row r="766" ht="15.75" customHeight="1">
      <c r="A766" s="36"/>
      <c r="B766" s="36"/>
      <c r="C766" s="37"/>
      <c r="D766" s="1"/>
      <c r="E766" s="1"/>
      <c r="F766" s="1"/>
      <c r="G766" s="1"/>
      <c r="H766" s="1"/>
      <c r="I766" s="1"/>
      <c r="J766" s="1"/>
      <c r="K766" s="1"/>
      <c r="L766" s="1"/>
    </row>
    <row r="767" ht="15.75" customHeight="1">
      <c r="A767" s="36"/>
      <c r="B767" s="36"/>
      <c r="C767" s="37"/>
      <c r="D767" s="1"/>
      <c r="E767" s="1"/>
      <c r="F767" s="1"/>
      <c r="G767" s="1"/>
      <c r="H767" s="1"/>
      <c r="I767" s="1"/>
      <c r="J767" s="1"/>
      <c r="K767" s="1"/>
      <c r="L767" s="1"/>
    </row>
    <row r="768" ht="15.75" customHeight="1">
      <c r="A768" s="36"/>
      <c r="B768" s="36"/>
      <c r="C768" s="37"/>
      <c r="D768" s="1"/>
      <c r="E768" s="1"/>
      <c r="F768" s="1"/>
      <c r="G768" s="1"/>
      <c r="H768" s="1"/>
      <c r="I768" s="1"/>
      <c r="J768" s="1"/>
      <c r="K768" s="1"/>
      <c r="L768" s="1"/>
    </row>
    <row r="769" ht="15.75" customHeight="1">
      <c r="A769" s="36"/>
      <c r="B769" s="36"/>
      <c r="C769" s="37"/>
      <c r="D769" s="1"/>
      <c r="E769" s="1"/>
      <c r="F769" s="1"/>
      <c r="G769" s="1"/>
      <c r="H769" s="1"/>
      <c r="I769" s="1"/>
      <c r="J769" s="1"/>
      <c r="K769" s="1"/>
      <c r="L769" s="1"/>
    </row>
    <row r="770" ht="15.75" customHeight="1">
      <c r="A770" s="36"/>
      <c r="B770" s="36"/>
      <c r="C770" s="37"/>
      <c r="D770" s="1"/>
      <c r="E770" s="1"/>
      <c r="F770" s="1"/>
      <c r="G770" s="1"/>
      <c r="H770" s="1"/>
      <c r="I770" s="1"/>
      <c r="J770" s="1"/>
      <c r="K770" s="1"/>
      <c r="L770" s="1"/>
    </row>
    <row r="771" ht="15.75" customHeight="1">
      <c r="A771" s="36"/>
      <c r="B771" s="36"/>
      <c r="C771" s="37"/>
      <c r="D771" s="1"/>
      <c r="E771" s="1"/>
      <c r="F771" s="1"/>
      <c r="G771" s="1"/>
      <c r="H771" s="1"/>
      <c r="I771" s="1"/>
      <c r="J771" s="1"/>
      <c r="K771" s="1"/>
      <c r="L771" s="1"/>
    </row>
    <row r="772" ht="15.75" customHeight="1">
      <c r="A772" s="36"/>
      <c r="B772" s="36"/>
      <c r="C772" s="37"/>
      <c r="D772" s="1"/>
      <c r="E772" s="1"/>
      <c r="F772" s="1"/>
      <c r="G772" s="1"/>
      <c r="H772" s="1"/>
      <c r="I772" s="1"/>
      <c r="J772" s="1"/>
      <c r="K772" s="1"/>
      <c r="L772" s="1"/>
    </row>
    <row r="773" ht="15.75" customHeight="1">
      <c r="A773" s="36"/>
      <c r="B773" s="36"/>
      <c r="C773" s="37"/>
      <c r="D773" s="1"/>
      <c r="E773" s="1"/>
      <c r="F773" s="1"/>
      <c r="G773" s="1"/>
      <c r="H773" s="1"/>
      <c r="I773" s="1"/>
      <c r="J773" s="1"/>
      <c r="K773" s="1"/>
      <c r="L773" s="1"/>
    </row>
    <row r="774" ht="15.75" customHeight="1">
      <c r="A774" s="36"/>
      <c r="B774" s="36"/>
      <c r="C774" s="37"/>
      <c r="D774" s="1"/>
      <c r="E774" s="1"/>
      <c r="F774" s="1"/>
      <c r="G774" s="1"/>
      <c r="H774" s="1"/>
      <c r="I774" s="1"/>
      <c r="J774" s="1"/>
      <c r="K774" s="1"/>
      <c r="L774" s="1"/>
    </row>
    <row r="775" ht="15.75" customHeight="1">
      <c r="A775" s="36"/>
      <c r="B775" s="36"/>
      <c r="C775" s="37"/>
      <c r="D775" s="1"/>
      <c r="E775" s="1"/>
      <c r="F775" s="1"/>
      <c r="G775" s="1"/>
      <c r="H775" s="1"/>
      <c r="I775" s="1"/>
      <c r="J775" s="1"/>
      <c r="K775" s="1"/>
      <c r="L775" s="1"/>
    </row>
    <row r="776" ht="15.75" customHeight="1">
      <c r="A776" s="36"/>
      <c r="B776" s="36"/>
      <c r="C776" s="37"/>
      <c r="D776" s="1"/>
      <c r="E776" s="1"/>
      <c r="F776" s="1"/>
      <c r="G776" s="1"/>
      <c r="H776" s="1"/>
      <c r="I776" s="1"/>
      <c r="J776" s="1"/>
      <c r="K776" s="1"/>
      <c r="L776" s="1"/>
    </row>
    <row r="777" ht="15.75" customHeight="1">
      <c r="A777" s="36"/>
      <c r="B777" s="36"/>
      <c r="C777" s="37"/>
      <c r="D777" s="1"/>
      <c r="E777" s="1"/>
      <c r="F777" s="1"/>
      <c r="G777" s="1"/>
      <c r="H777" s="1"/>
      <c r="I777" s="1"/>
      <c r="J777" s="1"/>
      <c r="K777" s="1"/>
      <c r="L777" s="1"/>
    </row>
    <row r="778" ht="15.75" customHeight="1">
      <c r="A778" s="36"/>
      <c r="B778" s="36"/>
      <c r="C778" s="37"/>
      <c r="D778" s="1"/>
      <c r="E778" s="1"/>
      <c r="F778" s="1"/>
      <c r="G778" s="1"/>
      <c r="H778" s="1"/>
      <c r="I778" s="1"/>
      <c r="J778" s="1"/>
      <c r="K778" s="1"/>
      <c r="L778" s="1"/>
    </row>
    <row r="779" ht="15.75" customHeight="1">
      <c r="A779" s="36"/>
      <c r="B779" s="36"/>
      <c r="C779" s="37"/>
      <c r="D779" s="1"/>
      <c r="E779" s="1"/>
      <c r="F779" s="1"/>
      <c r="G779" s="1"/>
      <c r="H779" s="1"/>
      <c r="I779" s="1"/>
      <c r="J779" s="1"/>
      <c r="K779" s="1"/>
      <c r="L779" s="1"/>
    </row>
    <row r="780" ht="15.75" customHeight="1">
      <c r="A780" s="36"/>
      <c r="B780" s="36"/>
      <c r="C780" s="37"/>
      <c r="D780" s="1"/>
      <c r="E780" s="1"/>
      <c r="F780" s="1"/>
      <c r="G780" s="1"/>
      <c r="H780" s="1"/>
      <c r="I780" s="1"/>
      <c r="J780" s="1"/>
      <c r="K780" s="1"/>
      <c r="L780" s="1"/>
    </row>
    <row r="781" ht="15.75" customHeight="1">
      <c r="A781" s="36"/>
      <c r="B781" s="36"/>
      <c r="C781" s="37"/>
      <c r="D781" s="1"/>
      <c r="E781" s="1"/>
      <c r="F781" s="1"/>
      <c r="G781" s="1"/>
      <c r="H781" s="1"/>
      <c r="I781" s="1"/>
      <c r="J781" s="1"/>
      <c r="K781" s="1"/>
      <c r="L781" s="1"/>
    </row>
    <row r="782" ht="15.75" customHeight="1">
      <c r="A782" s="36"/>
      <c r="B782" s="36"/>
      <c r="C782" s="37"/>
      <c r="D782" s="1"/>
      <c r="E782" s="1"/>
      <c r="F782" s="1"/>
      <c r="G782" s="1"/>
      <c r="H782" s="1"/>
      <c r="I782" s="1"/>
      <c r="J782" s="1"/>
      <c r="K782" s="1"/>
      <c r="L782" s="1"/>
    </row>
    <row r="783" ht="15.75" customHeight="1">
      <c r="A783" s="36"/>
      <c r="B783" s="36"/>
      <c r="C783" s="37"/>
      <c r="D783" s="1"/>
      <c r="E783" s="1"/>
      <c r="F783" s="1"/>
      <c r="G783" s="1"/>
      <c r="H783" s="1"/>
      <c r="I783" s="1"/>
      <c r="J783" s="1"/>
      <c r="K783" s="1"/>
      <c r="L783" s="1"/>
    </row>
    <row r="784" ht="15.75" customHeight="1">
      <c r="A784" s="36"/>
      <c r="B784" s="36"/>
      <c r="C784" s="37"/>
      <c r="D784" s="1"/>
      <c r="E784" s="1"/>
      <c r="F784" s="1"/>
      <c r="G784" s="1"/>
      <c r="H784" s="1"/>
      <c r="I784" s="1"/>
      <c r="J784" s="1"/>
      <c r="K784" s="1"/>
      <c r="L784" s="1"/>
    </row>
    <row r="785" ht="15.75" customHeight="1">
      <c r="A785" s="36"/>
      <c r="B785" s="36"/>
      <c r="C785" s="37"/>
      <c r="D785" s="1"/>
      <c r="E785" s="1"/>
      <c r="F785" s="1"/>
      <c r="G785" s="1"/>
      <c r="H785" s="1"/>
      <c r="I785" s="1"/>
      <c r="J785" s="1"/>
      <c r="K785" s="1"/>
      <c r="L785" s="1"/>
    </row>
    <row r="786" ht="15.75" customHeight="1">
      <c r="A786" s="36"/>
      <c r="B786" s="36"/>
      <c r="C786" s="37"/>
      <c r="D786" s="1"/>
      <c r="E786" s="1"/>
      <c r="F786" s="1"/>
      <c r="G786" s="1"/>
      <c r="H786" s="1"/>
      <c r="I786" s="1"/>
      <c r="J786" s="1"/>
      <c r="K786" s="1"/>
      <c r="L786" s="1"/>
    </row>
    <row r="787" ht="15.75" customHeight="1">
      <c r="A787" s="36"/>
      <c r="B787" s="36"/>
      <c r="C787" s="37"/>
      <c r="D787" s="1"/>
      <c r="E787" s="1"/>
      <c r="F787" s="1"/>
      <c r="G787" s="1"/>
      <c r="H787" s="1"/>
      <c r="I787" s="1"/>
      <c r="J787" s="1"/>
      <c r="K787" s="1"/>
      <c r="L787" s="1"/>
    </row>
    <row r="788" ht="15.75" customHeight="1">
      <c r="A788" s="36"/>
      <c r="B788" s="36"/>
      <c r="C788" s="37"/>
      <c r="D788" s="1"/>
      <c r="E788" s="1"/>
      <c r="F788" s="1"/>
      <c r="G788" s="1"/>
      <c r="H788" s="1"/>
      <c r="I788" s="1"/>
      <c r="J788" s="1"/>
      <c r="K788" s="1"/>
      <c r="L788" s="1"/>
    </row>
    <row r="789" ht="15.75" customHeight="1">
      <c r="A789" s="36"/>
      <c r="B789" s="36"/>
      <c r="C789" s="37"/>
      <c r="D789" s="1"/>
      <c r="E789" s="1"/>
      <c r="F789" s="1"/>
      <c r="G789" s="1"/>
      <c r="H789" s="1"/>
      <c r="I789" s="1"/>
      <c r="J789" s="1"/>
      <c r="K789" s="1"/>
      <c r="L789" s="1"/>
    </row>
    <row r="790" ht="15.75" customHeight="1">
      <c r="A790" s="36"/>
      <c r="B790" s="36"/>
      <c r="C790" s="37"/>
      <c r="D790" s="1"/>
      <c r="E790" s="1"/>
      <c r="F790" s="1"/>
      <c r="G790" s="1"/>
      <c r="H790" s="1"/>
      <c r="I790" s="1"/>
      <c r="J790" s="1"/>
      <c r="K790" s="1"/>
      <c r="L790" s="1"/>
    </row>
    <row r="791" ht="15.75" customHeight="1">
      <c r="A791" s="36"/>
      <c r="B791" s="36"/>
      <c r="C791" s="37"/>
      <c r="D791" s="1"/>
      <c r="E791" s="1"/>
      <c r="F791" s="1"/>
      <c r="G791" s="1"/>
      <c r="H791" s="1"/>
      <c r="I791" s="1"/>
      <c r="J791" s="1"/>
      <c r="K791" s="1"/>
      <c r="L791" s="1"/>
    </row>
    <row r="792" ht="15.75" customHeight="1">
      <c r="A792" s="36"/>
      <c r="B792" s="36"/>
      <c r="C792" s="37"/>
      <c r="D792" s="1"/>
      <c r="E792" s="1"/>
      <c r="F792" s="1"/>
      <c r="G792" s="1"/>
      <c r="H792" s="1"/>
      <c r="I792" s="1"/>
      <c r="J792" s="1"/>
      <c r="K792" s="1"/>
      <c r="L792" s="1"/>
    </row>
    <row r="793" ht="15.75" customHeight="1">
      <c r="A793" s="36"/>
      <c r="B793" s="36"/>
      <c r="C793" s="37"/>
      <c r="D793" s="1"/>
      <c r="E793" s="1"/>
      <c r="F793" s="1"/>
      <c r="G793" s="1"/>
      <c r="H793" s="1"/>
      <c r="I793" s="1"/>
      <c r="J793" s="1"/>
      <c r="K793" s="1"/>
      <c r="L793" s="1"/>
    </row>
    <row r="794" ht="15.75" customHeight="1">
      <c r="A794" s="36"/>
      <c r="B794" s="36"/>
      <c r="C794" s="37"/>
      <c r="D794" s="1"/>
      <c r="E794" s="1"/>
      <c r="F794" s="1"/>
      <c r="G794" s="1"/>
      <c r="H794" s="1"/>
      <c r="I794" s="1"/>
      <c r="J794" s="1"/>
      <c r="K794" s="1"/>
      <c r="L794" s="1"/>
    </row>
    <row r="795" ht="15.75" customHeight="1">
      <c r="A795" s="36"/>
      <c r="B795" s="36"/>
      <c r="C795" s="37"/>
      <c r="D795" s="1"/>
      <c r="E795" s="1"/>
      <c r="F795" s="1"/>
      <c r="G795" s="1"/>
      <c r="H795" s="1"/>
      <c r="I795" s="1"/>
      <c r="J795" s="1"/>
      <c r="K795" s="1"/>
      <c r="L795" s="1"/>
    </row>
    <row r="796" ht="15.75" customHeight="1">
      <c r="A796" s="36"/>
      <c r="B796" s="36"/>
      <c r="C796" s="37"/>
      <c r="D796" s="1"/>
      <c r="E796" s="1"/>
      <c r="F796" s="1"/>
      <c r="G796" s="1"/>
      <c r="H796" s="1"/>
      <c r="I796" s="1"/>
      <c r="J796" s="1"/>
      <c r="K796" s="1"/>
      <c r="L796" s="1"/>
    </row>
    <row r="797" ht="15.75" customHeight="1">
      <c r="A797" s="36"/>
      <c r="B797" s="36"/>
      <c r="C797" s="37"/>
      <c r="D797" s="1"/>
      <c r="E797" s="1"/>
      <c r="F797" s="1"/>
      <c r="G797" s="1"/>
      <c r="H797" s="1"/>
      <c r="I797" s="1"/>
      <c r="J797" s="1"/>
      <c r="K797" s="1"/>
      <c r="L797" s="1"/>
    </row>
    <row r="798" ht="15.75" customHeight="1">
      <c r="A798" s="36"/>
      <c r="B798" s="36"/>
      <c r="C798" s="37"/>
      <c r="D798" s="1"/>
      <c r="E798" s="1"/>
      <c r="F798" s="1"/>
      <c r="G798" s="1"/>
      <c r="H798" s="1"/>
      <c r="I798" s="1"/>
      <c r="J798" s="1"/>
      <c r="K798" s="1"/>
      <c r="L798" s="1"/>
    </row>
    <row r="799" ht="15.75" customHeight="1">
      <c r="A799" s="36"/>
      <c r="B799" s="36"/>
      <c r="C799" s="37"/>
      <c r="D799" s="1"/>
      <c r="E799" s="1"/>
      <c r="F799" s="1"/>
      <c r="G799" s="1"/>
      <c r="H799" s="1"/>
      <c r="I799" s="1"/>
      <c r="J799" s="1"/>
      <c r="K799" s="1"/>
      <c r="L799" s="1"/>
    </row>
    <row r="800" ht="15.75" customHeight="1">
      <c r="A800" s="36"/>
      <c r="B800" s="36"/>
      <c r="C800" s="37"/>
      <c r="D800" s="1"/>
      <c r="E800" s="1"/>
      <c r="F800" s="1"/>
      <c r="G800" s="1"/>
      <c r="H800" s="1"/>
      <c r="I800" s="1"/>
      <c r="J800" s="1"/>
      <c r="K800" s="1"/>
      <c r="L800" s="1"/>
    </row>
    <row r="801" ht="15.75" customHeight="1">
      <c r="A801" s="36"/>
      <c r="B801" s="36"/>
      <c r="C801" s="37"/>
      <c r="D801" s="1"/>
      <c r="E801" s="1"/>
      <c r="F801" s="1"/>
      <c r="G801" s="1"/>
      <c r="H801" s="1"/>
      <c r="I801" s="1"/>
      <c r="J801" s="1"/>
      <c r="K801" s="1"/>
      <c r="L801" s="1"/>
    </row>
    <row r="802" ht="15.75" customHeight="1">
      <c r="A802" s="36"/>
      <c r="B802" s="36"/>
      <c r="C802" s="37"/>
      <c r="D802" s="1"/>
      <c r="E802" s="1"/>
      <c r="F802" s="1"/>
      <c r="G802" s="1"/>
      <c r="H802" s="1"/>
      <c r="I802" s="1"/>
      <c r="J802" s="1"/>
      <c r="K802" s="1"/>
      <c r="L802" s="1"/>
    </row>
    <row r="803" ht="15.75" customHeight="1">
      <c r="A803" s="36"/>
      <c r="B803" s="36"/>
      <c r="C803" s="37"/>
      <c r="D803" s="1"/>
      <c r="E803" s="1"/>
      <c r="F803" s="1"/>
      <c r="G803" s="1"/>
      <c r="H803" s="1"/>
      <c r="I803" s="1"/>
      <c r="J803" s="1"/>
      <c r="K803" s="1"/>
      <c r="L803" s="1"/>
    </row>
    <row r="804" ht="15.75" customHeight="1">
      <c r="A804" s="36"/>
      <c r="B804" s="36"/>
      <c r="C804" s="37"/>
      <c r="D804" s="1"/>
      <c r="E804" s="1"/>
      <c r="F804" s="1"/>
      <c r="G804" s="1"/>
      <c r="H804" s="1"/>
      <c r="I804" s="1"/>
      <c r="J804" s="1"/>
      <c r="K804" s="1"/>
      <c r="L804" s="1"/>
    </row>
    <row r="805" ht="15.75" customHeight="1">
      <c r="A805" s="36"/>
      <c r="B805" s="36"/>
      <c r="C805" s="37"/>
      <c r="D805" s="1"/>
      <c r="E805" s="1"/>
      <c r="F805" s="1"/>
      <c r="G805" s="1"/>
      <c r="H805" s="1"/>
      <c r="I805" s="1"/>
      <c r="J805" s="1"/>
      <c r="K805" s="1"/>
      <c r="L805" s="1"/>
    </row>
    <row r="806" ht="15.75" customHeight="1">
      <c r="A806" s="36"/>
      <c r="B806" s="36"/>
      <c r="C806" s="37"/>
      <c r="D806" s="1"/>
      <c r="E806" s="1"/>
      <c r="F806" s="1"/>
      <c r="G806" s="1"/>
      <c r="H806" s="1"/>
      <c r="I806" s="1"/>
      <c r="J806" s="1"/>
      <c r="K806" s="1"/>
      <c r="L806" s="1"/>
    </row>
    <row r="807" ht="15.75" customHeight="1">
      <c r="A807" s="36"/>
      <c r="B807" s="36"/>
      <c r="C807" s="37"/>
      <c r="D807" s="1"/>
      <c r="E807" s="1"/>
      <c r="F807" s="1"/>
      <c r="G807" s="1"/>
      <c r="H807" s="1"/>
      <c r="I807" s="1"/>
      <c r="J807" s="1"/>
      <c r="K807" s="1"/>
      <c r="L807" s="1"/>
    </row>
    <row r="808" ht="15.75" customHeight="1">
      <c r="A808" s="36"/>
      <c r="B808" s="36"/>
      <c r="C808" s="37"/>
      <c r="D808" s="1"/>
      <c r="E808" s="1"/>
      <c r="F808" s="1"/>
      <c r="G808" s="1"/>
      <c r="H808" s="1"/>
      <c r="I808" s="1"/>
      <c r="J808" s="1"/>
      <c r="K808" s="1"/>
      <c r="L808" s="1"/>
    </row>
    <row r="809" ht="15.75" customHeight="1">
      <c r="A809" s="36"/>
      <c r="B809" s="36"/>
      <c r="C809" s="37"/>
      <c r="D809" s="1"/>
      <c r="E809" s="1"/>
      <c r="F809" s="1"/>
      <c r="G809" s="1"/>
      <c r="H809" s="1"/>
      <c r="I809" s="1"/>
      <c r="J809" s="1"/>
      <c r="K809" s="1"/>
      <c r="L809" s="1"/>
    </row>
    <row r="810" ht="15.75" customHeight="1">
      <c r="A810" s="36"/>
      <c r="B810" s="36"/>
      <c r="C810" s="37"/>
      <c r="D810" s="1"/>
      <c r="E810" s="1"/>
      <c r="F810" s="1"/>
      <c r="G810" s="1"/>
      <c r="H810" s="1"/>
      <c r="I810" s="1"/>
      <c r="J810" s="1"/>
      <c r="K810" s="1"/>
      <c r="L810" s="1"/>
    </row>
    <row r="811" ht="15.75" customHeight="1">
      <c r="A811" s="36"/>
      <c r="B811" s="36"/>
      <c r="C811" s="37"/>
      <c r="D811" s="1"/>
      <c r="E811" s="1"/>
      <c r="F811" s="1"/>
      <c r="G811" s="1"/>
      <c r="H811" s="1"/>
      <c r="I811" s="1"/>
      <c r="J811" s="1"/>
      <c r="K811" s="1"/>
      <c r="L811" s="1"/>
    </row>
    <row r="812" ht="15.75" customHeight="1">
      <c r="A812" s="36"/>
      <c r="B812" s="36"/>
      <c r="C812" s="37"/>
      <c r="D812" s="1"/>
      <c r="E812" s="1"/>
      <c r="F812" s="1"/>
      <c r="G812" s="1"/>
      <c r="H812" s="1"/>
      <c r="I812" s="1"/>
      <c r="J812" s="1"/>
      <c r="K812" s="1"/>
      <c r="L812" s="1"/>
    </row>
    <row r="813" ht="15.75" customHeight="1">
      <c r="A813" s="36"/>
      <c r="B813" s="36"/>
      <c r="C813" s="37"/>
      <c r="D813" s="1"/>
      <c r="E813" s="1"/>
      <c r="F813" s="1"/>
      <c r="G813" s="1"/>
      <c r="H813" s="1"/>
      <c r="I813" s="1"/>
      <c r="J813" s="1"/>
      <c r="K813" s="1"/>
      <c r="L813" s="1"/>
    </row>
    <row r="814" ht="15.75" customHeight="1">
      <c r="A814" s="36"/>
      <c r="B814" s="36"/>
      <c r="C814" s="37"/>
      <c r="D814" s="1"/>
      <c r="E814" s="1"/>
      <c r="F814" s="1"/>
      <c r="G814" s="1"/>
      <c r="H814" s="1"/>
      <c r="I814" s="1"/>
      <c r="J814" s="1"/>
      <c r="K814" s="1"/>
      <c r="L814" s="1"/>
    </row>
    <row r="815" ht="15.75" customHeight="1">
      <c r="A815" s="36"/>
      <c r="B815" s="36"/>
      <c r="C815" s="37"/>
      <c r="D815" s="1"/>
      <c r="E815" s="1"/>
      <c r="F815" s="1"/>
      <c r="G815" s="1"/>
      <c r="H815" s="1"/>
      <c r="I815" s="1"/>
      <c r="J815" s="1"/>
      <c r="K815" s="1"/>
      <c r="L815" s="1"/>
    </row>
    <row r="816" ht="15.75" customHeight="1">
      <c r="A816" s="36"/>
      <c r="B816" s="36"/>
      <c r="C816" s="37"/>
      <c r="D816" s="1"/>
      <c r="E816" s="1"/>
      <c r="F816" s="1"/>
      <c r="G816" s="1"/>
      <c r="H816" s="1"/>
      <c r="I816" s="1"/>
      <c r="J816" s="1"/>
      <c r="K816" s="1"/>
      <c r="L816" s="1"/>
    </row>
    <row r="817" ht="15.75" customHeight="1">
      <c r="A817" s="36"/>
      <c r="B817" s="36"/>
      <c r="C817" s="37"/>
      <c r="D817" s="1"/>
      <c r="E817" s="1"/>
      <c r="F817" s="1"/>
      <c r="G817" s="1"/>
      <c r="H817" s="1"/>
      <c r="I817" s="1"/>
      <c r="J817" s="1"/>
      <c r="K817" s="1"/>
      <c r="L817" s="1"/>
    </row>
    <row r="818" ht="15.75" customHeight="1">
      <c r="A818" s="36"/>
      <c r="B818" s="36"/>
      <c r="C818" s="37"/>
      <c r="D818" s="1"/>
      <c r="E818" s="1"/>
      <c r="F818" s="1"/>
      <c r="G818" s="1"/>
      <c r="H818" s="1"/>
      <c r="I818" s="1"/>
      <c r="J818" s="1"/>
      <c r="K818" s="1"/>
      <c r="L818" s="1"/>
    </row>
    <row r="819" ht="15.75" customHeight="1">
      <c r="A819" s="36"/>
      <c r="B819" s="36"/>
      <c r="C819" s="37"/>
      <c r="D819" s="1"/>
      <c r="E819" s="1"/>
      <c r="F819" s="1"/>
      <c r="G819" s="1"/>
      <c r="H819" s="1"/>
      <c r="I819" s="1"/>
      <c r="J819" s="1"/>
      <c r="K819" s="1"/>
      <c r="L819" s="1"/>
    </row>
    <row r="820" ht="15.75" customHeight="1">
      <c r="A820" s="36"/>
      <c r="B820" s="36"/>
      <c r="C820" s="37"/>
      <c r="D820" s="1"/>
      <c r="E820" s="1"/>
      <c r="F820" s="1"/>
      <c r="G820" s="1"/>
      <c r="H820" s="1"/>
      <c r="I820" s="1"/>
      <c r="J820" s="1"/>
      <c r="K820" s="1"/>
      <c r="L820" s="1"/>
    </row>
    <row r="821" ht="15.75" customHeight="1">
      <c r="A821" s="36"/>
      <c r="B821" s="36"/>
      <c r="C821" s="37"/>
      <c r="D821" s="1"/>
      <c r="E821" s="1"/>
      <c r="F821" s="1"/>
      <c r="G821" s="1"/>
      <c r="H821" s="1"/>
      <c r="I821" s="1"/>
      <c r="J821" s="1"/>
      <c r="K821" s="1"/>
      <c r="L821" s="1"/>
    </row>
    <row r="822" ht="15.75" customHeight="1">
      <c r="A822" s="36"/>
      <c r="B822" s="36"/>
      <c r="C822" s="37"/>
      <c r="D822" s="1"/>
      <c r="E822" s="1"/>
      <c r="F822" s="1"/>
      <c r="G822" s="1"/>
      <c r="H822" s="1"/>
      <c r="I822" s="1"/>
      <c r="J822" s="1"/>
      <c r="K822" s="1"/>
      <c r="L822" s="1"/>
    </row>
    <row r="823" ht="15.75" customHeight="1">
      <c r="A823" s="36"/>
      <c r="B823" s="36"/>
      <c r="C823" s="37"/>
      <c r="D823" s="1"/>
      <c r="E823" s="1"/>
      <c r="F823" s="1"/>
      <c r="G823" s="1"/>
      <c r="H823" s="1"/>
      <c r="I823" s="1"/>
      <c r="J823" s="1"/>
      <c r="K823" s="1"/>
      <c r="L823" s="1"/>
    </row>
    <row r="824" ht="15.75" customHeight="1">
      <c r="A824" s="36"/>
      <c r="B824" s="36"/>
      <c r="C824" s="37"/>
      <c r="D824" s="1"/>
      <c r="E824" s="1"/>
      <c r="F824" s="1"/>
      <c r="G824" s="1"/>
      <c r="H824" s="1"/>
      <c r="I824" s="1"/>
      <c r="J824" s="1"/>
      <c r="K824" s="1"/>
      <c r="L824" s="1"/>
    </row>
    <row r="825" ht="15.75" customHeight="1">
      <c r="A825" s="36"/>
      <c r="B825" s="36"/>
      <c r="C825" s="37"/>
      <c r="D825" s="1"/>
      <c r="E825" s="1"/>
      <c r="F825" s="1"/>
      <c r="G825" s="1"/>
      <c r="H825" s="1"/>
      <c r="I825" s="1"/>
      <c r="J825" s="1"/>
      <c r="K825" s="1"/>
      <c r="L825" s="1"/>
    </row>
    <row r="826" ht="15.75" customHeight="1">
      <c r="A826" s="36"/>
      <c r="B826" s="36"/>
      <c r="C826" s="37"/>
      <c r="D826" s="1"/>
      <c r="E826" s="1"/>
      <c r="F826" s="1"/>
      <c r="G826" s="1"/>
      <c r="H826" s="1"/>
      <c r="I826" s="1"/>
      <c r="J826" s="1"/>
      <c r="K826" s="1"/>
      <c r="L826" s="1"/>
    </row>
    <row r="827" ht="15.75" customHeight="1">
      <c r="A827" s="36"/>
      <c r="B827" s="36"/>
      <c r="C827" s="37"/>
      <c r="D827" s="1"/>
      <c r="E827" s="1"/>
      <c r="F827" s="1"/>
      <c r="G827" s="1"/>
      <c r="H827" s="1"/>
      <c r="I827" s="1"/>
      <c r="J827" s="1"/>
      <c r="K827" s="1"/>
      <c r="L827" s="1"/>
    </row>
    <row r="828" ht="15.75" customHeight="1">
      <c r="A828" s="36"/>
      <c r="B828" s="36"/>
      <c r="C828" s="37"/>
      <c r="D828" s="1"/>
      <c r="E828" s="1"/>
      <c r="F828" s="1"/>
      <c r="G828" s="1"/>
      <c r="H828" s="1"/>
      <c r="I828" s="1"/>
      <c r="J828" s="1"/>
      <c r="K828" s="1"/>
      <c r="L828" s="1"/>
    </row>
    <row r="829" ht="15.75" customHeight="1">
      <c r="A829" s="36"/>
      <c r="B829" s="36"/>
      <c r="C829" s="37"/>
      <c r="D829" s="1"/>
      <c r="E829" s="1"/>
      <c r="F829" s="1"/>
      <c r="G829" s="1"/>
      <c r="H829" s="1"/>
      <c r="I829" s="1"/>
      <c r="J829" s="1"/>
      <c r="K829" s="1"/>
      <c r="L829" s="1"/>
    </row>
    <row r="830" ht="15.75" customHeight="1">
      <c r="A830" s="36"/>
      <c r="B830" s="36"/>
      <c r="C830" s="37"/>
      <c r="D830" s="1"/>
      <c r="E830" s="1"/>
      <c r="F830" s="1"/>
      <c r="G830" s="1"/>
      <c r="H830" s="1"/>
      <c r="I830" s="1"/>
      <c r="J830" s="1"/>
      <c r="K830" s="1"/>
      <c r="L830" s="1"/>
    </row>
    <row r="831" ht="15.75" customHeight="1">
      <c r="A831" s="36"/>
      <c r="B831" s="36"/>
      <c r="C831" s="37"/>
      <c r="D831" s="1"/>
      <c r="E831" s="1"/>
      <c r="F831" s="1"/>
      <c r="G831" s="1"/>
      <c r="H831" s="1"/>
      <c r="I831" s="1"/>
      <c r="J831" s="1"/>
      <c r="K831" s="1"/>
      <c r="L831" s="1"/>
    </row>
    <row r="832" ht="15.75" customHeight="1">
      <c r="A832" s="36"/>
      <c r="B832" s="36"/>
      <c r="C832" s="37"/>
      <c r="D832" s="1"/>
      <c r="E832" s="1"/>
      <c r="F832" s="1"/>
      <c r="G832" s="1"/>
      <c r="H832" s="1"/>
      <c r="I832" s="1"/>
      <c r="J832" s="1"/>
      <c r="K832" s="1"/>
      <c r="L832" s="1"/>
    </row>
    <row r="833" ht="15.75" customHeight="1">
      <c r="A833" s="36"/>
      <c r="B833" s="36"/>
      <c r="C833" s="37"/>
      <c r="D833" s="1"/>
      <c r="E833" s="1"/>
      <c r="F833" s="1"/>
      <c r="G833" s="1"/>
      <c r="H833" s="1"/>
      <c r="I833" s="1"/>
      <c r="J833" s="1"/>
      <c r="K833" s="1"/>
      <c r="L833" s="1"/>
    </row>
    <row r="834" ht="15.75" customHeight="1">
      <c r="A834" s="36"/>
      <c r="B834" s="36"/>
      <c r="C834" s="37"/>
      <c r="D834" s="1"/>
      <c r="E834" s="1"/>
      <c r="F834" s="1"/>
      <c r="G834" s="1"/>
      <c r="H834" s="1"/>
      <c r="I834" s="1"/>
      <c r="J834" s="1"/>
      <c r="K834" s="1"/>
      <c r="L834" s="1"/>
    </row>
    <row r="835" ht="15.75" customHeight="1">
      <c r="A835" s="36"/>
      <c r="B835" s="36"/>
      <c r="C835" s="37"/>
      <c r="D835" s="1"/>
      <c r="E835" s="1"/>
      <c r="F835" s="1"/>
      <c r="G835" s="1"/>
      <c r="H835" s="1"/>
      <c r="I835" s="1"/>
      <c r="J835" s="1"/>
      <c r="K835" s="1"/>
      <c r="L835" s="1"/>
    </row>
    <row r="836" ht="15.75" customHeight="1">
      <c r="A836" s="36"/>
      <c r="B836" s="36"/>
      <c r="C836" s="37"/>
      <c r="D836" s="1"/>
      <c r="E836" s="1"/>
      <c r="F836" s="1"/>
      <c r="G836" s="1"/>
      <c r="H836" s="1"/>
      <c r="I836" s="1"/>
      <c r="J836" s="1"/>
      <c r="K836" s="1"/>
      <c r="L836" s="1"/>
    </row>
    <row r="837" ht="15.75" customHeight="1">
      <c r="A837" s="36"/>
      <c r="B837" s="36"/>
      <c r="C837" s="37"/>
      <c r="D837" s="1"/>
      <c r="E837" s="1"/>
      <c r="F837" s="1"/>
      <c r="G837" s="1"/>
      <c r="H837" s="1"/>
      <c r="I837" s="1"/>
      <c r="J837" s="1"/>
      <c r="K837" s="1"/>
      <c r="L837" s="1"/>
    </row>
    <row r="838" ht="15.75" customHeight="1">
      <c r="A838" s="36"/>
      <c r="B838" s="36"/>
      <c r="C838" s="37"/>
      <c r="D838" s="1"/>
      <c r="E838" s="1"/>
      <c r="F838" s="1"/>
      <c r="G838" s="1"/>
      <c r="H838" s="1"/>
      <c r="I838" s="1"/>
      <c r="J838" s="1"/>
      <c r="K838" s="1"/>
      <c r="L838" s="1"/>
    </row>
    <row r="839" ht="15.75" customHeight="1">
      <c r="A839" s="36"/>
      <c r="B839" s="36"/>
      <c r="C839" s="37"/>
      <c r="D839" s="1"/>
      <c r="E839" s="1"/>
      <c r="F839" s="1"/>
      <c r="G839" s="1"/>
      <c r="H839" s="1"/>
      <c r="I839" s="1"/>
      <c r="J839" s="1"/>
      <c r="K839" s="1"/>
      <c r="L839" s="1"/>
    </row>
    <row r="840" ht="15.75" customHeight="1">
      <c r="A840" s="36"/>
      <c r="B840" s="36"/>
      <c r="C840" s="37"/>
      <c r="D840" s="1"/>
      <c r="E840" s="1"/>
      <c r="F840" s="1"/>
      <c r="G840" s="1"/>
      <c r="H840" s="1"/>
      <c r="I840" s="1"/>
      <c r="J840" s="1"/>
      <c r="K840" s="1"/>
      <c r="L840" s="1"/>
    </row>
    <row r="841" ht="15.75" customHeight="1">
      <c r="A841" s="36"/>
      <c r="B841" s="36"/>
      <c r="C841" s="37"/>
      <c r="D841" s="1"/>
      <c r="E841" s="1"/>
      <c r="F841" s="1"/>
      <c r="G841" s="1"/>
      <c r="H841" s="1"/>
      <c r="I841" s="1"/>
      <c r="J841" s="1"/>
      <c r="K841" s="1"/>
      <c r="L841" s="1"/>
    </row>
    <row r="842" ht="15.75" customHeight="1">
      <c r="A842" s="36"/>
      <c r="B842" s="36"/>
      <c r="C842" s="37"/>
      <c r="D842" s="1"/>
      <c r="E842" s="1"/>
      <c r="F842" s="1"/>
      <c r="G842" s="1"/>
      <c r="H842" s="1"/>
      <c r="I842" s="1"/>
      <c r="J842" s="1"/>
      <c r="K842" s="1"/>
      <c r="L842" s="1"/>
    </row>
    <row r="843" ht="15.75" customHeight="1">
      <c r="A843" s="36"/>
      <c r="B843" s="36"/>
      <c r="C843" s="37"/>
      <c r="D843" s="1"/>
      <c r="E843" s="1"/>
      <c r="F843" s="1"/>
      <c r="G843" s="1"/>
      <c r="H843" s="1"/>
      <c r="I843" s="1"/>
      <c r="J843" s="1"/>
      <c r="K843" s="1"/>
      <c r="L843" s="1"/>
    </row>
    <row r="844" ht="15.75" customHeight="1">
      <c r="A844" s="36"/>
      <c r="B844" s="36"/>
      <c r="C844" s="37"/>
      <c r="D844" s="1"/>
      <c r="E844" s="1"/>
      <c r="F844" s="1"/>
      <c r="G844" s="1"/>
      <c r="H844" s="1"/>
      <c r="I844" s="1"/>
      <c r="J844" s="1"/>
      <c r="K844" s="1"/>
      <c r="L844" s="1"/>
    </row>
    <row r="845" ht="15.75" customHeight="1">
      <c r="A845" s="36"/>
      <c r="B845" s="36"/>
      <c r="C845" s="37"/>
      <c r="D845" s="1"/>
      <c r="E845" s="1"/>
      <c r="F845" s="1"/>
      <c r="G845" s="1"/>
      <c r="H845" s="1"/>
      <c r="I845" s="1"/>
      <c r="J845" s="1"/>
      <c r="K845" s="1"/>
      <c r="L845" s="1"/>
    </row>
    <row r="846" ht="15.75" customHeight="1">
      <c r="A846" s="36"/>
      <c r="B846" s="36"/>
      <c r="C846" s="37"/>
      <c r="D846" s="1"/>
      <c r="E846" s="1"/>
      <c r="F846" s="1"/>
      <c r="G846" s="1"/>
      <c r="H846" s="1"/>
      <c r="I846" s="1"/>
      <c r="J846" s="1"/>
      <c r="K846" s="1"/>
      <c r="L846" s="1"/>
    </row>
    <row r="847" ht="15.75" customHeight="1">
      <c r="A847" s="36"/>
      <c r="B847" s="36"/>
      <c r="C847" s="37"/>
      <c r="D847" s="1"/>
      <c r="E847" s="1"/>
      <c r="F847" s="1"/>
      <c r="G847" s="1"/>
      <c r="H847" s="1"/>
      <c r="I847" s="1"/>
      <c r="J847" s="1"/>
      <c r="K847" s="1"/>
      <c r="L847" s="1"/>
    </row>
    <row r="848" ht="15.75" customHeight="1">
      <c r="A848" s="36"/>
      <c r="B848" s="36"/>
      <c r="C848" s="37"/>
      <c r="D848" s="1"/>
      <c r="E848" s="1"/>
      <c r="F848" s="1"/>
      <c r="G848" s="1"/>
      <c r="H848" s="1"/>
      <c r="I848" s="1"/>
      <c r="J848" s="1"/>
      <c r="K848" s="1"/>
      <c r="L848" s="1"/>
    </row>
    <row r="849" ht="15.75" customHeight="1">
      <c r="A849" s="36"/>
      <c r="B849" s="36"/>
      <c r="C849" s="37"/>
      <c r="D849" s="1"/>
      <c r="E849" s="1"/>
      <c r="F849" s="1"/>
      <c r="G849" s="1"/>
      <c r="H849" s="1"/>
      <c r="I849" s="1"/>
      <c r="J849" s="1"/>
      <c r="K849" s="1"/>
      <c r="L849" s="1"/>
    </row>
    <row r="850" ht="15.75" customHeight="1">
      <c r="A850" s="36"/>
      <c r="B850" s="36"/>
      <c r="C850" s="37"/>
      <c r="D850" s="1"/>
      <c r="E850" s="1"/>
      <c r="F850" s="1"/>
      <c r="G850" s="1"/>
      <c r="H850" s="1"/>
      <c r="I850" s="1"/>
      <c r="J850" s="1"/>
      <c r="K850" s="1"/>
      <c r="L850" s="1"/>
    </row>
    <row r="851" ht="15.75" customHeight="1">
      <c r="A851" s="36"/>
      <c r="B851" s="36"/>
      <c r="C851" s="37"/>
      <c r="D851" s="1"/>
      <c r="E851" s="1"/>
      <c r="F851" s="1"/>
      <c r="G851" s="1"/>
      <c r="H851" s="1"/>
      <c r="I851" s="1"/>
      <c r="J851" s="1"/>
      <c r="K851" s="1"/>
      <c r="L851" s="1"/>
    </row>
    <row r="852" ht="15.75" customHeight="1">
      <c r="A852" s="36"/>
      <c r="B852" s="36"/>
      <c r="C852" s="37"/>
      <c r="D852" s="1"/>
      <c r="E852" s="1"/>
      <c r="F852" s="1"/>
      <c r="G852" s="1"/>
      <c r="H852" s="1"/>
      <c r="I852" s="1"/>
      <c r="J852" s="1"/>
      <c r="K852" s="1"/>
      <c r="L852" s="1"/>
    </row>
    <row r="853" ht="15.75" customHeight="1">
      <c r="A853" s="36"/>
      <c r="B853" s="36"/>
      <c r="C853" s="37"/>
      <c r="D853" s="1"/>
      <c r="E853" s="1"/>
      <c r="F853" s="1"/>
      <c r="G853" s="1"/>
      <c r="H853" s="1"/>
      <c r="I853" s="1"/>
      <c r="J853" s="1"/>
      <c r="K853" s="1"/>
      <c r="L853" s="1"/>
    </row>
    <row r="854" ht="15.75" customHeight="1">
      <c r="A854" s="36"/>
      <c r="B854" s="36"/>
      <c r="C854" s="37"/>
      <c r="D854" s="1"/>
      <c r="E854" s="1"/>
      <c r="F854" s="1"/>
      <c r="G854" s="1"/>
      <c r="H854" s="1"/>
      <c r="I854" s="1"/>
      <c r="J854" s="1"/>
      <c r="K854" s="1"/>
      <c r="L854" s="1"/>
    </row>
    <row r="855" ht="15.75" customHeight="1">
      <c r="A855" s="36"/>
      <c r="B855" s="36"/>
      <c r="C855" s="37"/>
      <c r="D855" s="1"/>
      <c r="E855" s="1"/>
      <c r="F855" s="1"/>
      <c r="G855" s="1"/>
      <c r="H855" s="1"/>
      <c r="I855" s="1"/>
      <c r="J855" s="1"/>
      <c r="K855" s="1"/>
      <c r="L855" s="1"/>
    </row>
    <row r="856" ht="15.75" customHeight="1">
      <c r="A856" s="36"/>
      <c r="B856" s="36"/>
      <c r="C856" s="37"/>
      <c r="D856" s="1"/>
      <c r="E856" s="1"/>
      <c r="F856" s="1"/>
      <c r="G856" s="1"/>
      <c r="H856" s="1"/>
      <c r="I856" s="1"/>
      <c r="J856" s="1"/>
      <c r="K856" s="1"/>
      <c r="L856" s="1"/>
    </row>
    <row r="857" ht="15.75" customHeight="1">
      <c r="A857" s="36"/>
      <c r="B857" s="36"/>
      <c r="C857" s="37"/>
      <c r="D857" s="1"/>
      <c r="E857" s="1"/>
      <c r="F857" s="1"/>
      <c r="G857" s="1"/>
      <c r="H857" s="1"/>
      <c r="I857" s="1"/>
      <c r="J857" s="1"/>
      <c r="K857" s="1"/>
      <c r="L857" s="1"/>
    </row>
    <row r="858" ht="15.75" customHeight="1">
      <c r="A858" s="36"/>
      <c r="B858" s="36"/>
      <c r="C858" s="37"/>
      <c r="D858" s="1"/>
      <c r="E858" s="1"/>
      <c r="F858" s="1"/>
      <c r="G858" s="1"/>
      <c r="H858" s="1"/>
      <c r="I858" s="1"/>
      <c r="J858" s="1"/>
      <c r="K858" s="1"/>
      <c r="L858" s="1"/>
    </row>
    <row r="859" ht="15.75" customHeight="1">
      <c r="A859" s="36"/>
      <c r="B859" s="36"/>
      <c r="C859" s="37"/>
      <c r="D859" s="1"/>
      <c r="E859" s="1"/>
      <c r="F859" s="1"/>
      <c r="G859" s="1"/>
      <c r="H859" s="1"/>
      <c r="I859" s="1"/>
      <c r="J859" s="1"/>
      <c r="K859" s="1"/>
      <c r="L859" s="1"/>
    </row>
    <row r="860" ht="15.75" customHeight="1">
      <c r="A860" s="36"/>
      <c r="B860" s="36"/>
      <c r="C860" s="37"/>
      <c r="D860" s="1"/>
      <c r="E860" s="1"/>
      <c r="F860" s="1"/>
      <c r="G860" s="1"/>
      <c r="H860" s="1"/>
      <c r="I860" s="1"/>
      <c r="J860" s="1"/>
      <c r="K860" s="1"/>
      <c r="L860" s="1"/>
    </row>
    <row r="861" ht="15.75" customHeight="1">
      <c r="A861" s="36"/>
      <c r="B861" s="36"/>
      <c r="C861" s="37"/>
      <c r="D861" s="1"/>
      <c r="E861" s="1"/>
      <c r="F861" s="1"/>
      <c r="G861" s="1"/>
      <c r="H861" s="1"/>
      <c r="I861" s="1"/>
      <c r="J861" s="1"/>
      <c r="K861" s="1"/>
      <c r="L861" s="1"/>
    </row>
    <row r="862" ht="15.75" customHeight="1">
      <c r="A862" s="36"/>
      <c r="B862" s="36"/>
      <c r="C862" s="37"/>
      <c r="D862" s="1"/>
      <c r="E862" s="1"/>
      <c r="F862" s="1"/>
      <c r="G862" s="1"/>
      <c r="H862" s="1"/>
      <c r="I862" s="1"/>
      <c r="J862" s="1"/>
      <c r="K862" s="1"/>
      <c r="L862" s="1"/>
    </row>
    <row r="863" ht="15.75" customHeight="1">
      <c r="A863" s="36"/>
      <c r="B863" s="36"/>
      <c r="C863" s="37"/>
      <c r="D863" s="1"/>
      <c r="E863" s="1"/>
      <c r="F863" s="1"/>
      <c r="G863" s="1"/>
      <c r="H863" s="1"/>
      <c r="I863" s="1"/>
      <c r="J863" s="1"/>
      <c r="K863" s="1"/>
      <c r="L863" s="1"/>
    </row>
    <row r="864" ht="15.75" customHeight="1">
      <c r="A864" s="36"/>
      <c r="B864" s="36"/>
      <c r="C864" s="37"/>
      <c r="D864" s="1"/>
      <c r="E864" s="1"/>
      <c r="F864" s="1"/>
      <c r="G864" s="1"/>
      <c r="H864" s="1"/>
      <c r="I864" s="1"/>
      <c r="J864" s="1"/>
      <c r="K864" s="1"/>
      <c r="L864" s="1"/>
    </row>
    <row r="865" ht="15.75" customHeight="1">
      <c r="A865" s="36"/>
      <c r="B865" s="36"/>
      <c r="C865" s="37"/>
      <c r="D865" s="1"/>
      <c r="E865" s="1"/>
      <c r="F865" s="1"/>
      <c r="G865" s="1"/>
      <c r="H865" s="1"/>
      <c r="I865" s="1"/>
      <c r="J865" s="1"/>
      <c r="K865" s="1"/>
      <c r="L865" s="1"/>
    </row>
    <row r="866" ht="15.75" customHeight="1">
      <c r="A866" s="36"/>
      <c r="B866" s="36"/>
      <c r="C866" s="37"/>
      <c r="D866" s="1"/>
      <c r="E866" s="1"/>
      <c r="F866" s="1"/>
      <c r="G866" s="1"/>
      <c r="H866" s="1"/>
      <c r="I866" s="1"/>
      <c r="J866" s="1"/>
      <c r="K866" s="1"/>
      <c r="L866" s="1"/>
    </row>
    <row r="867" ht="15.75" customHeight="1">
      <c r="A867" s="36"/>
      <c r="B867" s="36"/>
      <c r="C867" s="37"/>
      <c r="D867" s="1"/>
      <c r="E867" s="1"/>
      <c r="F867" s="1"/>
      <c r="G867" s="1"/>
      <c r="H867" s="1"/>
      <c r="I867" s="1"/>
      <c r="J867" s="1"/>
      <c r="K867" s="1"/>
      <c r="L867" s="1"/>
    </row>
    <row r="868" ht="15.75" customHeight="1">
      <c r="A868" s="36"/>
      <c r="B868" s="36"/>
      <c r="C868" s="37"/>
      <c r="D868" s="1"/>
      <c r="E868" s="1"/>
      <c r="F868" s="1"/>
      <c r="G868" s="1"/>
      <c r="H868" s="1"/>
      <c r="I868" s="1"/>
      <c r="J868" s="1"/>
      <c r="K868" s="1"/>
      <c r="L868" s="1"/>
    </row>
    <row r="869" ht="15.75" customHeight="1">
      <c r="A869" s="36"/>
      <c r="B869" s="36"/>
      <c r="C869" s="37"/>
      <c r="D869" s="1"/>
      <c r="E869" s="1"/>
      <c r="F869" s="1"/>
      <c r="G869" s="1"/>
      <c r="H869" s="1"/>
      <c r="I869" s="1"/>
      <c r="J869" s="1"/>
      <c r="K869" s="1"/>
      <c r="L869" s="1"/>
    </row>
    <row r="870" ht="15.75" customHeight="1">
      <c r="A870" s="36"/>
      <c r="B870" s="36"/>
      <c r="C870" s="37"/>
      <c r="D870" s="1"/>
      <c r="E870" s="1"/>
      <c r="F870" s="1"/>
      <c r="G870" s="1"/>
      <c r="H870" s="1"/>
      <c r="I870" s="1"/>
      <c r="J870" s="1"/>
      <c r="K870" s="1"/>
      <c r="L870" s="1"/>
    </row>
    <row r="871" ht="15.75" customHeight="1">
      <c r="A871" s="36"/>
      <c r="B871" s="36"/>
      <c r="C871" s="37"/>
      <c r="D871" s="1"/>
      <c r="E871" s="1"/>
      <c r="F871" s="1"/>
      <c r="G871" s="1"/>
      <c r="H871" s="1"/>
      <c r="I871" s="1"/>
      <c r="J871" s="1"/>
      <c r="K871" s="1"/>
      <c r="L871" s="1"/>
    </row>
    <row r="872" ht="15.75" customHeight="1">
      <c r="A872" s="36"/>
      <c r="B872" s="36"/>
      <c r="C872" s="37"/>
      <c r="D872" s="1"/>
      <c r="E872" s="1"/>
      <c r="F872" s="1"/>
      <c r="G872" s="1"/>
      <c r="H872" s="1"/>
      <c r="I872" s="1"/>
      <c r="J872" s="1"/>
      <c r="K872" s="1"/>
      <c r="L872" s="1"/>
    </row>
    <row r="873" ht="15.75" customHeight="1">
      <c r="A873" s="36"/>
      <c r="B873" s="36"/>
      <c r="C873" s="37"/>
      <c r="D873" s="1"/>
      <c r="E873" s="1"/>
      <c r="F873" s="1"/>
      <c r="G873" s="1"/>
      <c r="H873" s="1"/>
      <c r="I873" s="1"/>
      <c r="J873" s="1"/>
      <c r="K873" s="1"/>
      <c r="L873" s="1"/>
    </row>
    <row r="874" ht="15.75" customHeight="1">
      <c r="A874" s="36"/>
      <c r="B874" s="36"/>
      <c r="C874" s="37"/>
      <c r="D874" s="1"/>
      <c r="E874" s="1"/>
      <c r="F874" s="1"/>
      <c r="G874" s="1"/>
      <c r="H874" s="1"/>
      <c r="I874" s="1"/>
      <c r="J874" s="1"/>
      <c r="K874" s="1"/>
      <c r="L874" s="1"/>
    </row>
    <row r="875" ht="15.75" customHeight="1">
      <c r="A875" s="36"/>
      <c r="B875" s="36"/>
      <c r="C875" s="37"/>
      <c r="D875" s="1"/>
      <c r="E875" s="1"/>
      <c r="F875" s="1"/>
      <c r="G875" s="1"/>
      <c r="H875" s="1"/>
      <c r="I875" s="1"/>
      <c r="J875" s="1"/>
      <c r="K875" s="1"/>
      <c r="L875" s="1"/>
    </row>
    <row r="876" ht="15.75" customHeight="1">
      <c r="A876" s="36"/>
      <c r="B876" s="36"/>
      <c r="C876" s="37"/>
      <c r="D876" s="1"/>
      <c r="E876" s="1"/>
      <c r="F876" s="1"/>
      <c r="G876" s="1"/>
      <c r="H876" s="1"/>
      <c r="I876" s="1"/>
      <c r="J876" s="1"/>
      <c r="K876" s="1"/>
      <c r="L876" s="1"/>
    </row>
    <row r="877" ht="15.75" customHeight="1">
      <c r="A877" s="36"/>
      <c r="B877" s="36"/>
      <c r="C877" s="37"/>
      <c r="D877" s="1"/>
      <c r="E877" s="1"/>
      <c r="F877" s="1"/>
      <c r="G877" s="1"/>
      <c r="H877" s="1"/>
      <c r="I877" s="1"/>
      <c r="J877" s="1"/>
      <c r="K877" s="1"/>
      <c r="L877" s="1"/>
    </row>
    <row r="878" ht="15.75" customHeight="1">
      <c r="A878" s="36"/>
      <c r="B878" s="36"/>
      <c r="C878" s="37"/>
      <c r="D878" s="1"/>
      <c r="E878" s="1"/>
      <c r="F878" s="1"/>
      <c r="G878" s="1"/>
      <c r="H878" s="1"/>
      <c r="I878" s="1"/>
      <c r="J878" s="1"/>
      <c r="K878" s="1"/>
      <c r="L878" s="1"/>
    </row>
    <row r="879" ht="15.75" customHeight="1">
      <c r="A879" s="36"/>
      <c r="B879" s="36"/>
      <c r="C879" s="37"/>
      <c r="D879" s="1"/>
      <c r="E879" s="1"/>
      <c r="F879" s="1"/>
      <c r="G879" s="1"/>
      <c r="H879" s="1"/>
      <c r="I879" s="1"/>
      <c r="J879" s="1"/>
      <c r="K879" s="1"/>
      <c r="L879" s="1"/>
    </row>
    <row r="880" ht="15.75" customHeight="1">
      <c r="A880" s="36"/>
      <c r="B880" s="36"/>
      <c r="C880" s="37"/>
      <c r="D880" s="1"/>
      <c r="E880" s="1"/>
      <c r="F880" s="1"/>
      <c r="G880" s="1"/>
      <c r="H880" s="1"/>
      <c r="I880" s="1"/>
      <c r="J880" s="1"/>
      <c r="K880" s="1"/>
      <c r="L880" s="1"/>
    </row>
    <row r="881" ht="15.75" customHeight="1">
      <c r="A881" s="36"/>
      <c r="B881" s="36"/>
      <c r="C881" s="37"/>
      <c r="D881" s="1"/>
      <c r="E881" s="1"/>
      <c r="F881" s="1"/>
      <c r="G881" s="1"/>
      <c r="H881" s="1"/>
      <c r="I881" s="1"/>
      <c r="J881" s="1"/>
      <c r="K881" s="1"/>
      <c r="L881" s="1"/>
    </row>
    <row r="882" ht="15.75" customHeight="1">
      <c r="A882" s="36"/>
      <c r="B882" s="36"/>
      <c r="C882" s="37"/>
      <c r="D882" s="1"/>
      <c r="E882" s="1"/>
      <c r="F882" s="1"/>
      <c r="G882" s="1"/>
      <c r="H882" s="1"/>
      <c r="I882" s="1"/>
      <c r="J882" s="1"/>
      <c r="K882" s="1"/>
      <c r="L882" s="1"/>
    </row>
    <row r="883" ht="15.75" customHeight="1">
      <c r="A883" s="36"/>
      <c r="B883" s="36"/>
      <c r="C883" s="37"/>
      <c r="D883" s="1"/>
      <c r="E883" s="1"/>
      <c r="F883" s="1"/>
      <c r="G883" s="1"/>
      <c r="H883" s="1"/>
      <c r="I883" s="1"/>
      <c r="J883" s="1"/>
      <c r="K883" s="1"/>
      <c r="L883" s="1"/>
    </row>
    <row r="884" ht="15.75" customHeight="1">
      <c r="A884" s="36"/>
      <c r="B884" s="36"/>
      <c r="C884" s="37"/>
      <c r="D884" s="1"/>
      <c r="E884" s="1"/>
      <c r="F884" s="1"/>
      <c r="G884" s="1"/>
      <c r="H884" s="1"/>
      <c r="I884" s="1"/>
      <c r="J884" s="1"/>
      <c r="K884" s="1"/>
      <c r="L884" s="1"/>
    </row>
    <row r="885" ht="15.75" customHeight="1">
      <c r="A885" s="36"/>
      <c r="B885" s="36"/>
      <c r="C885" s="37"/>
      <c r="D885" s="1"/>
      <c r="E885" s="1"/>
      <c r="F885" s="1"/>
      <c r="G885" s="1"/>
      <c r="H885" s="1"/>
      <c r="I885" s="1"/>
      <c r="J885" s="1"/>
      <c r="K885" s="1"/>
      <c r="L885" s="1"/>
    </row>
    <row r="886" ht="15.75" customHeight="1">
      <c r="A886" s="36"/>
      <c r="B886" s="36"/>
      <c r="C886" s="37"/>
      <c r="D886" s="1"/>
      <c r="E886" s="1"/>
      <c r="F886" s="1"/>
      <c r="G886" s="1"/>
      <c r="H886" s="1"/>
      <c r="I886" s="1"/>
      <c r="J886" s="1"/>
      <c r="K886" s="1"/>
      <c r="L886" s="1"/>
    </row>
    <row r="887" ht="15.75" customHeight="1">
      <c r="A887" s="36"/>
      <c r="B887" s="36"/>
      <c r="C887" s="37"/>
      <c r="D887" s="1"/>
      <c r="E887" s="1"/>
      <c r="F887" s="1"/>
      <c r="G887" s="1"/>
      <c r="H887" s="1"/>
      <c r="I887" s="1"/>
      <c r="J887" s="1"/>
      <c r="K887" s="1"/>
      <c r="L887" s="1"/>
    </row>
    <row r="888" ht="15.75" customHeight="1">
      <c r="A888" s="36"/>
      <c r="B888" s="36"/>
      <c r="C888" s="37"/>
      <c r="D888" s="1"/>
      <c r="E888" s="1"/>
      <c r="F888" s="1"/>
      <c r="G888" s="1"/>
      <c r="H888" s="1"/>
      <c r="I888" s="1"/>
      <c r="J888" s="1"/>
      <c r="K888" s="1"/>
      <c r="L888" s="1"/>
    </row>
    <row r="889" ht="15.75" customHeight="1">
      <c r="A889" s="36"/>
      <c r="B889" s="36"/>
      <c r="C889" s="37"/>
      <c r="D889" s="1"/>
      <c r="E889" s="1"/>
      <c r="F889" s="1"/>
      <c r="G889" s="1"/>
      <c r="H889" s="1"/>
      <c r="I889" s="1"/>
      <c r="J889" s="1"/>
      <c r="K889" s="1"/>
      <c r="L889" s="1"/>
    </row>
    <row r="890" ht="15.75" customHeight="1">
      <c r="A890" s="36"/>
      <c r="B890" s="36"/>
      <c r="C890" s="37"/>
      <c r="D890" s="1"/>
      <c r="E890" s="1"/>
      <c r="F890" s="1"/>
      <c r="G890" s="1"/>
      <c r="H890" s="1"/>
      <c r="I890" s="1"/>
      <c r="J890" s="1"/>
      <c r="K890" s="1"/>
      <c r="L890" s="1"/>
    </row>
    <row r="891" ht="15.75" customHeight="1">
      <c r="A891" s="36"/>
      <c r="B891" s="36"/>
      <c r="C891" s="37"/>
      <c r="D891" s="1"/>
      <c r="E891" s="1"/>
      <c r="F891" s="1"/>
      <c r="G891" s="1"/>
      <c r="H891" s="1"/>
      <c r="I891" s="1"/>
      <c r="J891" s="1"/>
      <c r="K891" s="1"/>
      <c r="L891" s="1"/>
    </row>
    <row r="892" ht="15.75" customHeight="1">
      <c r="A892" s="36"/>
      <c r="B892" s="36"/>
      <c r="C892" s="37"/>
      <c r="D892" s="1"/>
      <c r="E892" s="1"/>
      <c r="F892" s="1"/>
      <c r="G892" s="1"/>
      <c r="H892" s="1"/>
      <c r="I892" s="1"/>
      <c r="J892" s="1"/>
      <c r="K892" s="1"/>
      <c r="L892" s="1"/>
    </row>
    <row r="893" ht="15.75" customHeight="1">
      <c r="A893" s="36"/>
      <c r="B893" s="36"/>
      <c r="C893" s="37"/>
      <c r="D893" s="1"/>
      <c r="E893" s="1"/>
      <c r="F893" s="1"/>
      <c r="G893" s="1"/>
      <c r="H893" s="1"/>
      <c r="I893" s="1"/>
      <c r="J893" s="1"/>
      <c r="K893" s="1"/>
      <c r="L893" s="1"/>
    </row>
    <row r="894" ht="15.75" customHeight="1">
      <c r="A894" s="36"/>
      <c r="B894" s="36"/>
      <c r="C894" s="37"/>
      <c r="D894" s="1"/>
      <c r="E894" s="1"/>
      <c r="F894" s="1"/>
      <c r="G894" s="1"/>
      <c r="H894" s="1"/>
      <c r="I894" s="1"/>
      <c r="J894" s="1"/>
      <c r="K894" s="1"/>
      <c r="L894" s="1"/>
    </row>
    <row r="895" ht="15.75" customHeight="1">
      <c r="A895" s="36"/>
      <c r="B895" s="36"/>
      <c r="C895" s="37"/>
      <c r="D895" s="1"/>
      <c r="E895" s="1"/>
      <c r="F895" s="1"/>
      <c r="G895" s="1"/>
      <c r="H895" s="1"/>
      <c r="I895" s="1"/>
      <c r="J895" s="1"/>
      <c r="K895" s="1"/>
      <c r="L895" s="1"/>
    </row>
    <row r="896" ht="15.75" customHeight="1">
      <c r="A896" s="36"/>
      <c r="B896" s="36"/>
      <c r="C896" s="37"/>
      <c r="D896" s="1"/>
      <c r="E896" s="1"/>
      <c r="F896" s="1"/>
      <c r="G896" s="1"/>
      <c r="H896" s="1"/>
      <c r="I896" s="1"/>
      <c r="J896" s="1"/>
      <c r="K896" s="1"/>
      <c r="L896" s="1"/>
    </row>
    <row r="897" ht="15.75" customHeight="1">
      <c r="A897" s="36"/>
      <c r="B897" s="36"/>
      <c r="C897" s="37"/>
      <c r="D897" s="1"/>
      <c r="E897" s="1"/>
      <c r="F897" s="1"/>
      <c r="G897" s="1"/>
      <c r="H897" s="1"/>
      <c r="I897" s="1"/>
      <c r="J897" s="1"/>
      <c r="K897" s="1"/>
      <c r="L897" s="1"/>
    </row>
    <row r="898" ht="15.75" customHeight="1">
      <c r="A898" s="36"/>
      <c r="B898" s="36"/>
      <c r="C898" s="37"/>
      <c r="D898" s="1"/>
      <c r="E898" s="1"/>
      <c r="F898" s="1"/>
      <c r="G898" s="1"/>
      <c r="H898" s="1"/>
      <c r="I898" s="1"/>
      <c r="J898" s="1"/>
      <c r="K898" s="1"/>
      <c r="L898" s="1"/>
    </row>
    <row r="899" ht="15.75" customHeight="1">
      <c r="A899" s="36"/>
      <c r="B899" s="36"/>
      <c r="C899" s="37"/>
      <c r="D899" s="1"/>
      <c r="E899" s="1"/>
      <c r="F899" s="1"/>
      <c r="G899" s="1"/>
      <c r="H899" s="1"/>
      <c r="I899" s="1"/>
      <c r="J899" s="1"/>
      <c r="K899" s="1"/>
      <c r="L899" s="1"/>
    </row>
    <row r="900" ht="15.75" customHeight="1">
      <c r="A900" s="36"/>
      <c r="B900" s="36"/>
      <c r="C900" s="37"/>
      <c r="D900" s="1"/>
      <c r="E900" s="1"/>
      <c r="F900" s="1"/>
      <c r="G900" s="1"/>
      <c r="H900" s="1"/>
      <c r="I900" s="1"/>
      <c r="J900" s="1"/>
      <c r="K900" s="1"/>
      <c r="L900" s="1"/>
    </row>
    <row r="901" ht="15.75" customHeight="1">
      <c r="A901" s="36"/>
      <c r="B901" s="36"/>
      <c r="C901" s="37"/>
      <c r="D901" s="1"/>
      <c r="E901" s="1"/>
      <c r="F901" s="1"/>
      <c r="G901" s="1"/>
      <c r="H901" s="1"/>
      <c r="I901" s="1"/>
      <c r="J901" s="1"/>
      <c r="K901" s="1"/>
      <c r="L901" s="1"/>
    </row>
    <row r="902" ht="15.75" customHeight="1">
      <c r="A902" s="36"/>
      <c r="B902" s="36"/>
      <c r="C902" s="37"/>
      <c r="D902" s="1"/>
      <c r="E902" s="1"/>
      <c r="F902" s="1"/>
      <c r="G902" s="1"/>
      <c r="H902" s="1"/>
      <c r="I902" s="1"/>
      <c r="J902" s="1"/>
      <c r="K902" s="1"/>
      <c r="L902" s="1"/>
    </row>
    <row r="903" ht="15.75" customHeight="1">
      <c r="A903" s="36"/>
      <c r="B903" s="36"/>
      <c r="C903" s="37"/>
      <c r="D903" s="1"/>
      <c r="E903" s="1"/>
      <c r="F903" s="1"/>
      <c r="G903" s="1"/>
      <c r="H903" s="1"/>
      <c r="I903" s="1"/>
      <c r="J903" s="1"/>
      <c r="K903" s="1"/>
      <c r="L903" s="1"/>
    </row>
    <row r="904" ht="15.75" customHeight="1">
      <c r="A904" s="36"/>
      <c r="B904" s="36"/>
      <c r="C904" s="37"/>
      <c r="D904" s="1"/>
      <c r="E904" s="1"/>
      <c r="F904" s="1"/>
      <c r="G904" s="1"/>
      <c r="H904" s="1"/>
      <c r="I904" s="1"/>
      <c r="J904" s="1"/>
      <c r="K904" s="1"/>
      <c r="L904" s="1"/>
    </row>
    <row r="905" ht="15.75" customHeight="1">
      <c r="A905" s="36"/>
      <c r="B905" s="36"/>
      <c r="C905" s="37"/>
      <c r="D905" s="1"/>
      <c r="E905" s="1"/>
      <c r="F905" s="1"/>
      <c r="G905" s="1"/>
      <c r="H905" s="1"/>
      <c r="I905" s="1"/>
      <c r="J905" s="1"/>
      <c r="K905" s="1"/>
      <c r="L905" s="1"/>
    </row>
    <row r="906" ht="15.75" customHeight="1">
      <c r="A906" s="36"/>
      <c r="B906" s="36"/>
      <c r="C906" s="37"/>
      <c r="D906" s="1"/>
      <c r="E906" s="1"/>
      <c r="F906" s="1"/>
      <c r="G906" s="1"/>
      <c r="H906" s="1"/>
      <c r="I906" s="1"/>
      <c r="J906" s="1"/>
      <c r="K906" s="1"/>
      <c r="L906" s="1"/>
    </row>
    <row r="907" ht="15.75" customHeight="1">
      <c r="A907" s="36"/>
      <c r="B907" s="36"/>
      <c r="C907" s="37"/>
      <c r="D907" s="1"/>
      <c r="E907" s="1"/>
      <c r="F907" s="1"/>
      <c r="G907" s="1"/>
      <c r="H907" s="1"/>
      <c r="I907" s="1"/>
      <c r="J907" s="1"/>
      <c r="K907" s="1"/>
      <c r="L907" s="1"/>
    </row>
    <row r="908" ht="15.75" customHeight="1">
      <c r="A908" s="36"/>
      <c r="B908" s="36"/>
      <c r="C908" s="37"/>
      <c r="D908" s="1"/>
      <c r="E908" s="1"/>
      <c r="F908" s="1"/>
      <c r="G908" s="1"/>
      <c r="H908" s="1"/>
      <c r="I908" s="1"/>
      <c r="J908" s="1"/>
      <c r="K908" s="1"/>
      <c r="L908" s="1"/>
    </row>
    <row r="909" ht="15.75" customHeight="1">
      <c r="A909" s="36"/>
      <c r="B909" s="36"/>
      <c r="C909" s="37"/>
      <c r="D909" s="1"/>
      <c r="E909" s="1"/>
      <c r="F909" s="1"/>
      <c r="G909" s="1"/>
      <c r="H909" s="1"/>
      <c r="I909" s="1"/>
      <c r="J909" s="1"/>
      <c r="K909" s="1"/>
      <c r="L909" s="1"/>
    </row>
    <row r="910" ht="15.75" customHeight="1">
      <c r="A910" s="36"/>
      <c r="B910" s="36"/>
      <c r="C910" s="37"/>
      <c r="D910" s="1"/>
      <c r="E910" s="1"/>
      <c r="F910" s="1"/>
      <c r="G910" s="1"/>
      <c r="H910" s="1"/>
      <c r="I910" s="1"/>
      <c r="J910" s="1"/>
      <c r="K910" s="1"/>
      <c r="L910" s="1"/>
    </row>
    <row r="911" ht="15.75" customHeight="1">
      <c r="A911" s="36"/>
      <c r="B911" s="36"/>
      <c r="C911" s="37"/>
      <c r="D911" s="1"/>
      <c r="E911" s="1"/>
      <c r="F911" s="1"/>
      <c r="G911" s="1"/>
      <c r="H911" s="1"/>
      <c r="I911" s="1"/>
      <c r="J911" s="1"/>
      <c r="K911" s="1"/>
      <c r="L911" s="1"/>
    </row>
    <row r="912" ht="15.75" customHeight="1">
      <c r="A912" s="36"/>
      <c r="B912" s="36"/>
      <c r="C912" s="37"/>
      <c r="D912" s="1"/>
      <c r="E912" s="1"/>
      <c r="F912" s="1"/>
      <c r="G912" s="1"/>
      <c r="H912" s="1"/>
      <c r="I912" s="1"/>
      <c r="J912" s="1"/>
      <c r="K912" s="1"/>
      <c r="L912" s="1"/>
    </row>
    <row r="913" ht="15.75" customHeight="1">
      <c r="A913" s="36"/>
      <c r="B913" s="36"/>
      <c r="C913" s="37"/>
      <c r="D913" s="1"/>
      <c r="E913" s="1"/>
      <c r="F913" s="1"/>
      <c r="G913" s="1"/>
      <c r="H913" s="1"/>
      <c r="I913" s="1"/>
      <c r="J913" s="1"/>
      <c r="K913" s="1"/>
      <c r="L913" s="1"/>
    </row>
    <row r="914" ht="15.75" customHeight="1">
      <c r="A914" s="36"/>
      <c r="B914" s="36"/>
      <c r="C914" s="37"/>
      <c r="D914" s="1"/>
      <c r="E914" s="1"/>
      <c r="F914" s="1"/>
      <c r="G914" s="1"/>
      <c r="H914" s="1"/>
      <c r="I914" s="1"/>
      <c r="J914" s="1"/>
      <c r="K914" s="1"/>
      <c r="L914" s="1"/>
    </row>
    <row r="915" ht="15.75" customHeight="1">
      <c r="A915" s="36"/>
      <c r="B915" s="36"/>
      <c r="C915" s="37"/>
      <c r="D915" s="1"/>
      <c r="E915" s="1"/>
      <c r="F915" s="1"/>
      <c r="G915" s="1"/>
      <c r="H915" s="1"/>
      <c r="I915" s="1"/>
      <c r="J915" s="1"/>
      <c r="K915" s="1"/>
      <c r="L915" s="1"/>
    </row>
    <row r="916" ht="15.75" customHeight="1">
      <c r="A916" s="36"/>
      <c r="B916" s="36"/>
      <c r="C916" s="37"/>
      <c r="D916" s="1"/>
      <c r="E916" s="1"/>
      <c r="F916" s="1"/>
      <c r="G916" s="1"/>
      <c r="H916" s="1"/>
      <c r="I916" s="1"/>
      <c r="J916" s="1"/>
      <c r="K916" s="1"/>
      <c r="L916" s="1"/>
    </row>
    <row r="917" ht="15.75" customHeight="1">
      <c r="A917" s="36"/>
      <c r="B917" s="36"/>
      <c r="C917" s="37"/>
      <c r="D917" s="1"/>
      <c r="E917" s="1"/>
      <c r="F917" s="1"/>
      <c r="G917" s="1"/>
      <c r="H917" s="1"/>
      <c r="I917" s="1"/>
      <c r="J917" s="1"/>
      <c r="K917" s="1"/>
      <c r="L917" s="1"/>
    </row>
    <row r="918" ht="15.75" customHeight="1">
      <c r="A918" s="36"/>
      <c r="B918" s="36"/>
      <c r="C918" s="37"/>
      <c r="D918" s="1"/>
      <c r="E918" s="1"/>
      <c r="F918" s="1"/>
      <c r="G918" s="1"/>
      <c r="H918" s="1"/>
      <c r="I918" s="1"/>
      <c r="J918" s="1"/>
      <c r="K918" s="1"/>
      <c r="L918" s="1"/>
    </row>
    <row r="919" ht="15.75" customHeight="1">
      <c r="A919" s="36"/>
      <c r="B919" s="36"/>
      <c r="C919" s="37"/>
      <c r="D919" s="1"/>
      <c r="E919" s="1"/>
      <c r="F919" s="1"/>
      <c r="G919" s="1"/>
      <c r="H919" s="1"/>
      <c r="I919" s="1"/>
      <c r="J919" s="1"/>
      <c r="K919" s="1"/>
      <c r="L919" s="1"/>
    </row>
    <row r="920" ht="15.75" customHeight="1">
      <c r="A920" s="36"/>
      <c r="B920" s="36"/>
      <c r="C920" s="37"/>
      <c r="D920" s="1"/>
      <c r="E920" s="1"/>
      <c r="F920" s="1"/>
      <c r="G920" s="1"/>
      <c r="H920" s="1"/>
      <c r="I920" s="1"/>
      <c r="J920" s="1"/>
      <c r="K920" s="1"/>
      <c r="L920" s="1"/>
    </row>
    <row r="921" ht="15.75" customHeight="1">
      <c r="A921" s="36"/>
      <c r="B921" s="36"/>
      <c r="C921" s="37"/>
      <c r="D921" s="1"/>
      <c r="E921" s="1"/>
      <c r="F921" s="1"/>
      <c r="G921" s="1"/>
      <c r="H921" s="1"/>
      <c r="I921" s="1"/>
      <c r="J921" s="1"/>
      <c r="K921" s="1"/>
      <c r="L921" s="1"/>
    </row>
    <row r="922" ht="15.75" customHeight="1">
      <c r="A922" s="36"/>
      <c r="B922" s="36"/>
      <c r="C922" s="37"/>
      <c r="D922" s="1"/>
      <c r="E922" s="1"/>
      <c r="F922" s="1"/>
      <c r="G922" s="1"/>
      <c r="H922" s="1"/>
      <c r="I922" s="1"/>
      <c r="J922" s="1"/>
      <c r="K922" s="1"/>
      <c r="L922" s="1"/>
    </row>
    <row r="923" ht="15.75" customHeight="1">
      <c r="A923" s="36"/>
      <c r="B923" s="36"/>
      <c r="C923" s="37"/>
      <c r="D923" s="1"/>
      <c r="E923" s="1"/>
      <c r="F923" s="1"/>
      <c r="G923" s="1"/>
      <c r="H923" s="1"/>
      <c r="I923" s="1"/>
      <c r="J923" s="1"/>
      <c r="K923" s="1"/>
      <c r="L923" s="1"/>
    </row>
    <row r="924" ht="15.75" customHeight="1">
      <c r="A924" s="36"/>
      <c r="B924" s="36"/>
      <c r="C924" s="37"/>
      <c r="D924" s="1"/>
      <c r="E924" s="1"/>
      <c r="F924" s="1"/>
      <c r="G924" s="1"/>
      <c r="H924" s="1"/>
      <c r="I924" s="1"/>
      <c r="J924" s="1"/>
      <c r="K924" s="1"/>
      <c r="L924" s="1"/>
    </row>
    <row r="925" ht="15.75" customHeight="1">
      <c r="A925" s="36"/>
      <c r="B925" s="36"/>
      <c r="C925" s="37"/>
      <c r="D925" s="1"/>
      <c r="E925" s="1"/>
      <c r="F925" s="1"/>
      <c r="G925" s="1"/>
      <c r="H925" s="1"/>
      <c r="I925" s="1"/>
      <c r="J925" s="1"/>
      <c r="K925" s="1"/>
      <c r="L925" s="1"/>
    </row>
    <row r="926" ht="15.75" customHeight="1">
      <c r="A926" s="36"/>
      <c r="B926" s="36"/>
      <c r="C926" s="37"/>
      <c r="D926" s="1"/>
      <c r="E926" s="1"/>
      <c r="F926" s="1"/>
      <c r="G926" s="1"/>
      <c r="H926" s="1"/>
      <c r="I926" s="1"/>
      <c r="J926" s="1"/>
      <c r="K926" s="1"/>
      <c r="L926" s="1"/>
    </row>
    <row r="927" ht="15.75" customHeight="1">
      <c r="A927" s="36"/>
      <c r="B927" s="36"/>
      <c r="C927" s="37"/>
      <c r="D927" s="1"/>
      <c r="E927" s="1"/>
      <c r="F927" s="1"/>
      <c r="G927" s="1"/>
      <c r="H927" s="1"/>
      <c r="I927" s="1"/>
      <c r="J927" s="1"/>
      <c r="K927" s="1"/>
      <c r="L927" s="1"/>
    </row>
    <row r="928" ht="15.75" customHeight="1">
      <c r="A928" s="36"/>
      <c r="B928" s="36"/>
      <c r="C928" s="37"/>
      <c r="D928" s="1"/>
      <c r="E928" s="1"/>
      <c r="F928" s="1"/>
      <c r="G928" s="1"/>
      <c r="H928" s="1"/>
      <c r="I928" s="1"/>
      <c r="J928" s="1"/>
      <c r="K928" s="1"/>
      <c r="L928" s="1"/>
    </row>
    <row r="929" ht="15.75" customHeight="1">
      <c r="A929" s="36"/>
      <c r="B929" s="36"/>
      <c r="C929" s="37"/>
      <c r="D929" s="1"/>
      <c r="E929" s="1"/>
      <c r="F929" s="1"/>
      <c r="G929" s="1"/>
      <c r="H929" s="1"/>
      <c r="I929" s="1"/>
      <c r="J929" s="1"/>
      <c r="K929" s="1"/>
      <c r="L929" s="1"/>
    </row>
    <row r="930" ht="15.75" customHeight="1">
      <c r="A930" s="36"/>
      <c r="B930" s="36"/>
      <c r="C930" s="37"/>
      <c r="D930" s="1"/>
      <c r="E930" s="1"/>
      <c r="F930" s="1"/>
      <c r="G930" s="1"/>
      <c r="H930" s="1"/>
      <c r="I930" s="1"/>
      <c r="J930" s="1"/>
      <c r="K930" s="1"/>
      <c r="L930" s="1"/>
    </row>
    <row r="931" ht="15.75" customHeight="1">
      <c r="A931" s="36"/>
      <c r="B931" s="36"/>
      <c r="C931" s="37"/>
      <c r="D931" s="1"/>
      <c r="E931" s="1"/>
      <c r="F931" s="1"/>
      <c r="G931" s="1"/>
      <c r="H931" s="1"/>
      <c r="I931" s="1"/>
      <c r="J931" s="1"/>
      <c r="K931" s="1"/>
      <c r="L931" s="1"/>
    </row>
    <row r="932" ht="15.75" customHeight="1">
      <c r="A932" s="36"/>
      <c r="B932" s="36"/>
      <c r="C932" s="37"/>
      <c r="D932" s="1"/>
      <c r="E932" s="1"/>
      <c r="F932" s="1"/>
      <c r="G932" s="1"/>
      <c r="H932" s="1"/>
      <c r="I932" s="1"/>
      <c r="J932" s="1"/>
      <c r="K932" s="1"/>
      <c r="L932" s="1"/>
    </row>
    <row r="933" ht="15.75" customHeight="1">
      <c r="A933" s="36"/>
      <c r="B933" s="36"/>
      <c r="C933" s="37"/>
      <c r="D933" s="1"/>
      <c r="E933" s="1"/>
      <c r="F933" s="1"/>
      <c r="G933" s="1"/>
      <c r="H933" s="1"/>
      <c r="I933" s="1"/>
      <c r="J933" s="1"/>
      <c r="K933" s="1"/>
      <c r="L933" s="1"/>
    </row>
    <row r="934" ht="15.75" customHeight="1">
      <c r="A934" s="36"/>
      <c r="B934" s="36"/>
      <c r="C934" s="37"/>
      <c r="D934" s="1"/>
      <c r="E934" s="1"/>
      <c r="F934" s="1"/>
      <c r="G934" s="1"/>
      <c r="H934" s="1"/>
      <c r="I934" s="1"/>
      <c r="J934" s="1"/>
      <c r="K934" s="1"/>
      <c r="L934" s="1"/>
    </row>
    <row r="935" ht="15.75" customHeight="1">
      <c r="A935" s="36"/>
      <c r="B935" s="36"/>
      <c r="C935" s="37"/>
      <c r="D935" s="1"/>
      <c r="E935" s="1"/>
      <c r="F935" s="1"/>
      <c r="G935" s="1"/>
      <c r="H935" s="1"/>
      <c r="I935" s="1"/>
      <c r="J935" s="1"/>
      <c r="K935" s="1"/>
      <c r="L935" s="1"/>
    </row>
    <row r="936" ht="15.75" customHeight="1">
      <c r="A936" s="36"/>
      <c r="B936" s="36"/>
      <c r="C936" s="37"/>
      <c r="D936" s="1"/>
      <c r="E936" s="1"/>
      <c r="F936" s="1"/>
      <c r="G936" s="1"/>
      <c r="H936" s="1"/>
      <c r="I936" s="1"/>
      <c r="J936" s="1"/>
      <c r="K936" s="1"/>
      <c r="L936" s="1"/>
    </row>
    <row r="937" ht="15.75" customHeight="1">
      <c r="A937" s="36"/>
      <c r="B937" s="36"/>
      <c r="C937" s="37"/>
      <c r="D937" s="1"/>
      <c r="E937" s="1"/>
      <c r="F937" s="1"/>
      <c r="G937" s="1"/>
      <c r="H937" s="1"/>
      <c r="I937" s="1"/>
      <c r="J937" s="1"/>
      <c r="K937" s="1"/>
      <c r="L937" s="1"/>
    </row>
    <row r="938" ht="15.75" customHeight="1">
      <c r="A938" s="36"/>
      <c r="B938" s="36"/>
      <c r="C938" s="37"/>
      <c r="D938" s="1"/>
      <c r="E938" s="1"/>
      <c r="F938" s="1"/>
      <c r="G938" s="1"/>
      <c r="H938" s="1"/>
      <c r="I938" s="1"/>
      <c r="J938" s="1"/>
      <c r="K938" s="1"/>
      <c r="L938" s="1"/>
    </row>
    <row r="939" ht="15.75" customHeight="1">
      <c r="A939" s="36"/>
      <c r="B939" s="36"/>
      <c r="C939" s="37"/>
      <c r="D939" s="1"/>
      <c r="E939" s="1"/>
      <c r="F939" s="1"/>
      <c r="G939" s="1"/>
      <c r="H939" s="1"/>
      <c r="I939" s="1"/>
      <c r="J939" s="1"/>
      <c r="K939" s="1"/>
      <c r="L939" s="1"/>
    </row>
    <row r="940" ht="15.75" customHeight="1">
      <c r="A940" s="36"/>
      <c r="B940" s="36"/>
      <c r="C940" s="37"/>
      <c r="D940" s="1"/>
      <c r="E940" s="1"/>
      <c r="F940" s="1"/>
      <c r="G940" s="1"/>
      <c r="H940" s="1"/>
      <c r="I940" s="1"/>
      <c r="J940" s="1"/>
      <c r="K940" s="1"/>
      <c r="L940" s="1"/>
    </row>
    <row r="941" ht="15.75" customHeight="1">
      <c r="A941" s="36"/>
      <c r="B941" s="36"/>
      <c r="C941" s="37"/>
      <c r="D941" s="1"/>
      <c r="E941" s="1"/>
      <c r="F941" s="1"/>
      <c r="G941" s="1"/>
      <c r="H941" s="1"/>
      <c r="I941" s="1"/>
      <c r="J941" s="1"/>
      <c r="K941" s="1"/>
      <c r="L941" s="1"/>
    </row>
    <row r="942" ht="15.75" customHeight="1">
      <c r="A942" s="36"/>
      <c r="B942" s="36"/>
      <c r="C942" s="37"/>
      <c r="D942" s="1"/>
      <c r="E942" s="1"/>
      <c r="F942" s="1"/>
      <c r="G942" s="1"/>
      <c r="H942" s="1"/>
      <c r="I942" s="1"/>
      <c r="J942" s="1"/>
      <c r="K942" s="1"/>
      <c r="L942" s="1"/>
    </row>
    <row r="943" ht="15.75" customHeight="1">
      <c r="A943" s="36"/>
      <c r="B943" s="36"/>
      <c r="C943" s="37"/>
      <c r="D943" s="1"/>
      <c r="E943" s="1"/>
      <c r="F943" s="1"/>
      <c r="G943" s="1"/>
      <c r="H943" s="1"/>
      <c r="I943" s="1"/>
      <c r="J943" s="1"/>
      <c r="K943" s="1"/>
      <c r="L943" s="1"/>
    </row>
    <row r="944" ht="15.75" customHeight="1">
      <c r="A944" s="36"/>
      <c r="B944" s="36"/>
      <c r="C944" s="37"/>
      <c r="D944" s="1"/>
      <c r="E944" s="1"/>
      <c r="F944" s="1"/>
      <c r="G944" s="1"/>
      <c r="H944" s="1"/>
      <c r="I944" s="1"/>
      <c r="J944" s="1"/>
      <c r="K944" s="1"/>
      <c r="L944" s="1"/>
    </row>
    <row r="945" ht="15.75" customHeight="1">
      <c r="A945" s="36"/>
      <c r="B945" s="36"/>
      <c r="C945" s="37"/>
      <c r="D945" s="1"/>
      <c r="E945" s="1"/>
      <c r="F945" s="1"/>
      <c r="G945" s="1"/>
      <c r="H945" s="1"/>
      <c r="I945" s="1"/>
      <c r="J945" s="1"/>
      <c r="K945" s="1"/>
      <c r="L945" s="1"/>
    </row>
    <row r="946" ht="15.75" customHeight="1">
      <c r="A946" s="36"/>
      <c r="B946" s="36"/>
      <c r="C946" s="37"/>
      <c r="D946" s="1"/>
      <c r="E946" s="1"/>
      <c r="F946" s="1"/>
      <c r="G946" s="1"/>
      <c r="H946" s="1"/>
      <c r="I946" s="1"/>
      <c r="J946" s="1"/>
      <c r="K946" s="1"/>
      <c r="L946" s="1"/>
    </row>
    <row r="947" ht="15.75" customHeight="1">
      <c r="A947" s="36"/>
      <c r="B947" s="36"/>
      <c r="C947" s="37"/>
      <c r="D947" s="1"/>
      <c r="E947" s="1"/>
      <c r="F947" s="1"/>
      <c r="G947" s="1"/>
      <c r="H947" s="1"/>
      <c r="I947" s="1"/>
      <c r="J947" s="1"/>
      <c r="K947" s="1"/>
      <c r="L947" s="1"/>
    </row>
    <row r="948" ht="15.75" customHeight="1">
      <c r="A948" s="36"/>
      <c r="B948" s="36"/>
      <c r="C948" s="37"/>
      <c r="D948" s="1"/>
      <c r="E948" s="1"/>
      <c r="F948" s="1"/>
      <c r="G948" s="1"/>
      <c r="H948" s="1"/>
      <c r="I948" s="1"/>
      <c r="J948" s="1"/>
      <c r="K948" s="1"/>
      <c r="L948" s="1"/>
    </row>
    <row r="949" ht="15.75" customHeight="1">
      <c r="A949" s="36"/>
      <c r="B949" s="36"/>
      <c r="C949" s="37"/>
      <c r="D949" s="1"/>
      <c r="E949" s="1"/>
      <c r="F949" s="1"/>
      <c r="G949" s="1"/>
      <c r="H949" s="1"/>
      <c r="I949" s="1"/>
      <c r="J949" s="1"/>
      <c r="K949" s="1"/>
      <c r="L949" s="1"/>
    </row>
    <row r="950" ht="15.75" customHeight="1">
      <c r="A950" s="36"/>
      <c r="B950" s="36"/>
      <c r="C950" s="37"/>
      <c r="D950" s="1"/>
      <c r="E950" s="1"/>
      <c r="F950" s="1"/>
      <c r="G950" s="1"/>
      <c r="H950" s="1"/>
      <c r="I950" s="1"/>
      <c r="J950" s="1"/>
      <c r="K950" s="1"/>
      <c r="L950" s="1"/>
    </row>
    <row r="951" ht="15.75" customHeight="1">
      <c r="A951" s="36"/>
      <c r="B951" s="36"/>
      <c r="C951" s="37"/>
      <c r="D951" s="1"/>
      <c r="E951" s="1"/>
      <c r="F951" s="1"/>
      <c r="G951" s="1"/>
      <c r="H951" s="1"/>
      <c r="I951" s="1"/>
      <c r="J951" s="1"/>
      <c r="K951" s="1"/>
      <c r="L951" s="1"/>
    </row>
    <row r="952" ht="15.75" customHeight="1">
      <c r="A952" s="36"/>
      <c r="B952" s="36"/>
      <c r="C952" s="37"/>
      <c r="D952" s="1"/>
      <c r="E952" s="1"/>
      <c r="F952" s="1"/>
      <c r="G952" s="1"/>
      <c r="H952" s="1"/>
      <c r="I952" s="1"/>
      <c r="J952" s="1"/>
      <c r="K952" s="1"/>
      <c r="L952" s="1"/>
    </row>
    <row r="953" ht="15.75" customHeight="1">
      <c r="A953" s="36"/>
      <c r="B953" s="36"/>
      <c r="C953" s="37"/>
      <c r="D953" s="1"/>
      <c r="E953" s="1"/>
      <c r="F953" s="1"/>
      <c r="G953" s="1"/>
      <c r="H953" s="1"/>
      <c r="I953" s="1"/>
      <c r="J953" s="1"/>
      <c r="K953" s="1"/>
      <c r="L953" s="1"/>
    </row>
    <row r="954" ht="15.75" customHeight="1">
      <c r="A954" s="36"/>
      <c r="B954" s="36"/>
      <c r="C954" s="37"/>
      <c r="D954" s="1"/>
      <c r="E954" s="1"/>
      <c r="F954" s="1"/>
      <c r="G954" s="1"/>
      <c r="H954" s="1"/>
      <c r="I954" s="1"/>
      <c r="J954" s="1"/>
      <c r="K954" s="1"/>
      <c r="L954" s="1"/>
    </row>
    <row r="955" ht="15.75" customHeight="1">
      <c r="A955" s="36"/>
      <c r="B955" s="36"/>
      <c r="C955" s="37"/>
      <c r="D955" s="1"/>
      <c r="E955" s="1"/>
      <c r="F955" s="1"/>
      <c r="G955" s="1"/>
      <c r="H955" s="1"/>
      <c r="I955" s="1"/>
      <c r="J955" s="1"/>
      <c r="K955" s="1"/>
      <c r="L955" s="1"/>
    </row>
    <row r="956" ht="15.75" customHeight="1">
      <c r="A956" s="36"/>
      <c r="B956" s="36"/>
      <c r="C956" s="37"/>
      <c r="D956" s="1"/>
      <c r="E956" s="1"/>
      <c r="F956" s="1"/>
      <c r="G956" s="1"/>
      <c r="H956" s="1"/>
      <c r="I956" s="1"/>
      <c r="J956" s="1"/>
      <c r="K956" s="1"/>
      <c r="L956" s="1"/>
    </row>
    <row r="957" ht="15.75" customHeight="1">
      <c r="A957" s="36"/>
      <c r="B957" s="36"/>
      <c r="C957" s="37"/>
      <c r="D957" s="1"/>
      <c r="E957" s="1"/>
      <c r="F957" s="1"/>
      <c r="G957" s="1"/>
      <c r="H957" s="1"/>
      <c r="I957" s="1"/>
      <c r="J957" s="1"/>
      <c r="K957" s="1"/>
      <c r="L957" s="1"/>
    </row>
    <row r="958" ht="15.75" customHeight="1">
      <c r="A958" s="36"/>
      <c r="B958" s="36"/>
      <c r="C958" s="37"/>
      <c r="D958" s="1"/>
      <c r="E958" s="1"/>
      <c r="F958" s="1"/>
      <c r="G958" s="1"/>
      <c r="H958" s="1"/>
      <c r="I958" s="1"/>
      <c r="J958" s="1"/>
      <c r="K958" s="1"/>
      <c r="L958" s="1"/>
    </row>
    <row r="959" ht="15.75" customHeight="1">
      <c r="A959" s="36"/>
      <c r="B959" s="36"/>
      <c r="C959" s="37"/>
      <c r="D959" s="1"/>
      <c r="E959" s="1"/>
      <c r="F959" s="1"/>
      <c r="G959" s="1"/>
      <c r="H959" s="1"/>
      <c r="I959" s="1"/>
      <c r="J959" s="1"/>
      <c r="K959" s="1"/>
      <c r="L959" s="1"/>
    </row>
    <row r="960" ht="15.75" customHeight="1">
      <c r="A960" s="36"/>
      <c r="B960" s="36"/>
      <c r="C960" s="37"/>
      <c r="D960" s="1"/>
      <c r="E960" s="1"/>
      <c r="F960" s="1"/>
      <c r="G960" s="1"/>
      <c r="H960" s="1"/>
      <c r="I960" s="1"/>
      <c r="J960" s="1"/>
      <c r="K960" s="1"/>
      <c r="L960" s="1"/>
    </row>
    <row r="961" ht="15.75" customHeight="1">
      <c r="A961" s="36"/>
      <c r="B961" s="36"/>
      <c r="C961" s="37"/>
      <c r="D961" s="1"/>
      <c r="E961" s="1"/>
      <c r="F961" s="1"/>
      <c r="G961" s="1"/>
      <c r="H961" s="1"/>
      <c r="I961" s="1"/>
      <c r="J961" s="1"/>
      <c r="K961" s="1"/>
      <c r="L961" s="1"/>
    </row>
    <row r="962" ht="15.75" customHeight="1">
      <c r="A962" s="36"/>
      <c r="B962" s="36"/>
      <c r="C962" s="37"/>
      <c r="D962" s="1"/>
      <c r="E962" s="1"/>
      <c r="F962" s="1"/>
      <c r="G962" s="1"/>
      <c r="H962" s="1"/>
      <c r="I962" s="1"/>
      <c r="J962" s="1"/>
      <c r="K962" s="1"/>
      <c r="L962" s="1"/>
    </row>
    <row r="963" ht="15.75" customHeight="1">
      <c r="A963" s="36"/>
      <c r="B963" s="36"/>
      <c r="C963" s="37"/>
      <c r="D963" s="1"/>
      <c r="E963" s="1"/>
      <c r="F963" s="1"/>
      <c r="G963" s="1"/>
      <c r="H963" s="1"/>
      <c r="I963" s="1"/>
      <c r="J963" s="1"/>
      <c r="K963" s="1"/>
      <c r="L963" s="1"/>
    </row>
    <row r="964" ht="15.75" customHeight="1">
      <c r="A964" s="36"/>
      <c r="B964" s="36"/>
      <c r="C964" s="37"/>
      <c r="D964" s="1"/>
      <c r="E964" s="1"/>
      <c r="F964" s="1"/>
      <c r="G964" s="1"/>
      <c r="H964" s="1"/>
      <c r="I964" s="1"/>
      <c r="J964" s="1"/>
      <c r="K964" s="1"/>
      <c r="L964" s="1"/>
    </row>
    <row r="965" ht="15.75" customHeight="1">
      <c r="A965" s="36"/>
      <c r="B965" s="36"/>
      <c r="C965" s="37"/>
      <c r="D965" s="1"/>
      <c r="E965" s="1"/>
      <c r="F965" s="1"/>
      <c r="G965" s="1"/>
      <c r="H965" s="1"/>
      <c r="I965" s="1"/>
      <c r="J965" s="1"/>
      <c r="K965" s="1"/>
      <c r="L965" s="1"/>
    </row>
    <row r="966" ht="15.75" customHeight="1">
      <c r="A966" s="36"/>
      <c r="B966" s="36"/>
      <c r="C966" s="37"/>
      <c r="D966" s="1"/>
      <c r="E966" s="1"/>
      <c r="F966" s="1"/>
      <c r="G966" s="1"/>
      <c r="H966" s="1"/>
      <c r="I966" s="1"/>
      <c r="J966" s="1"/>
      <c r="K966" s="1"/>
      <c r="L966" s="1"/>
    </row>
    <row r="967" ht="15.75" customHeight="1">
      <c r="A967" s="36"/>
      <c r="B967" s="36"/>
      <c r="C967" s="37"/>
      <c r="D967" s="1"/>
      <c r="E967" s="1"/>
      <c r="F967" s="1"/>
      <c r="G967" s="1"/>
      <c r="H967" s="1"/>
      <c r="I967" s="1"/>
      <c r="J967" s="1"/>
      <c r="K967" s="1"/>
      <c r="L967" s="1"/>
    </row>
    <row r="968" ht="15.75" customHeight="1">
      <c r="A968" s="36"/>
      <c r="B968" s="36"/>
      <c r="C968" s="37"/>
      <c r="D968" s="1"/>
      <c r="E968" s="1"/>
      <c r="F968" s="1"/>
      <c r="G968" s="1"/>
      <c r="H968" s="1"/>
      <c r="I968" s="1"/>
      <c r="J968" s="1"/>
      <c r="K968" s="1"/>
      <c r="L968" s="1"/>
    </row>
    <row r="969" ht="15.75" customHeight="1">
      <c r="A969" s="36"/>
      <c r="B969" s="36"/>
      <c r="C969" s="37"/>
      <c r="D969" s="1"/>
      <c r="E969" s="1"/>
      <c r="F969" s="1"/>
      <c r="G969" s="1"/>
      <c r="H969" s="1"/>
      <c r="I969" s="1"/>
      <c r="J969" s="1"/>
      <c r="K969" s="1"/>
      <c r="L969" s="1"/>
    </row>
    <row r="970" ht="15.75" customHeight="1">
      <c r="A970" s="36"/>
      <c r="B970" s="36"/>
      <c r="C970" s="37"/>
      <c r="D970" s="1"/>
      <c r="E970" s="1"/>
      <c r="F970" s="1"/>
      <c r="G970" s="1"/>
      <c r="H970" s="1"/>
      <c r="I970" s="1"/>
      <c r="J970" s="1"/>
      <c r="K970" s="1"/>
      <c r="L970" s="1"/>
    </row>
    <row r="971" ht="15.75" customHeight="1">
      <c r="A971" s="36"/>
      <c r="B971" s="36"/>
      <c r="C971" s="37"/>
      <c r="D971" s="1"/>
      <c r="E971" s="1"/>
      <c r="F971" s="1"/>
      <c r="G971" s="1"/>
      <c r="H971" s="1"/>
      <c r="I971" s="1"/>
      <c r="J971" s="1"/>
      <c r="K971" s="1"/>
      <c r="L971" s="1"/>
    </row>
    <row r="972" ht="15.75" customHeight="1">
      <c r="A972" s="36"/>
      <c r="B972" s="36"/>
      <c r="C972" s="37"/>
      <c r="D972" s="1"/>
      <c r="E972" s="1"/>
      <c r="F972" s="1"/>
      <c r="G972" s="1"/>
      <c r="H972" s="1"/>
      <c r="I972" s="1"/>
      <c r="J972" s="1"/>
      <c r="K972" s="1"/>
      <c r="L972" s="1"/>
    </row>
    <row r="973" ht="15.75" customHeight="1">
      <c r="A973" s="36"/>
      <c r="B973" s="36"/>
      <c r="C973" s="37"/>
      <c r="D973" s="1"/>
      <c r="E973" s="1"/>
      <c r="F973" s="1"/>
      <c r="G973" s="1"/>
      <c r="H973" s="1"/>
      <c r="I973" s="1"/>
      <c r="J973" s="1"/>
      <c r="K973" s="1"/>
      <c r="L973" s="1"/>
    </row>
    <row r="974" ht="15.75" customHeight="1">
      <c r="A974" s="36"/>
      <c r="B974" s="36"/>
      <c r="C974" s="37"/>
      <c r="D974" s="1"/>
      <c r="E974" s="1"/>
      <c r="F974" s="1"/>
      <c r="G974" s="1"/>
      <c r="H974" s="1"/>
      <c r="I974" s="1"/>
      <c r="J974" s="1"/>
      <c r="K974" s="1"/>
      <c r="L974" s="1"/>
    </row>
    <row r="975" ht="15.75" customHeight="1">
      <c r="A975" s="36"/>
      <c r="B975" s="36"/>
      <c r="C975" s="37"/>
      <c r="D975" s="1"/>
      <c r="E975" s="1"/>
      <c r="F975" s="1"/>
      <c r="G975" s="1"/>
      <c r="H975" s="1"/>
      <c r="I975" s="1"/>
      <c r="J975" s="1"/>
      <c r="K975" s="1"/>
      <c r="L975" s="1"/>
    </row>
    <row r="976" ht="15.75" customHeight="1">
      <c r="A976" s="36"/>
      <c r="B976" s="36"/>
      <c r="C976" s="37"/>
      <c r="D976" s="1"/>
      <c r="E976" s="1"/>
      <c r="F976" s="1"/>
      <c r="G976" s="1"/>
      <c r="H976" s="1"/>
      <c r="I976" s="1"/>
      <c r="J976" s="1"/>
      <c r="K976" s="1"/>
      <c r="L976" s="1"/>
    </row>
    <row r="977" ht="15.75" customHeight="1">
      <c r="A977" s="36"/>
      <c r="B977" s="36"/>
      <c r="C977" s="37"/>
      <c r="D977" s="1"/>
      <c r="E977" s="1"/>
      <c r="F977" s="1"/>
      <c r="G977" s="1"/>
      <c r="H977" s="1"/>
      <c r="I977" s="1"/>
      <c r="J977" s="1"/>
      <c r="K977" s="1"/>
      <c r="L977" s="1"/>
    </row>
    <row r="978" ht="15.75" customHeight="1">
      <c r="A978" s="36"/>
      <c r="B978" s="36"/>
      <c r="C978" s="37"/>
      <c r="D978" s="1"/>
      <c r="E978" s="1"/>
      <c r="F978" s="1"/>
      <c r="G978" s="1"/>
      <c r="H978" s="1"/>
      <c r="I978" s="1"/>
      <c r="J978" s="1"/>
      <c r="K978" s="1"/>
      <c r="L978" s="1"/>
    </row>
    <row r="979" ht="15.75" customHeight="1">
      <c r="A979" s="36"/>
      <c r="B979" s="36"/>
      <c r="C979" s="37"/>
      <c r="D979" s="1"/>
      <c r="E979" s="1"/>
      <c r="F979" s="1"/>
      <c r="G979" s="1"/>
      <c r="H979" s="1"/>
      <c r="I979" s="1"/>
      <c r="J979" s="1"/>
      <c r="K979" s="1"/>
      <c r="L979" s="1"/>
    </row>
    <row r="980" ht="15.75" customHeight="1">
      <c r="A980" s="36"/>
      <c r="B980" s="36"/>
      <c r="C980" s="37"/>
      <c r="D980" s="1"/>
      <c r="E980" s="1"/>
      <c r="F980" s="1"/>
      <c r="G980" s="1"/>
      <c r="H980" s="1"/>
      <c r="I980" s="1"/>
      <c r="J980" s="1"/>
      <c r="K980" s="1"/>
      <c r="L980" s="1"/>
    </row>
    <row r="981" ht="15.75" customHeight="1">
      <c r="A981" s="36"/>
      <c r="B981" s="36"/>
      <c r="C981" s="37"/>
      <c r="D981" s="1"/>
      <c r="E981" s="1"/>
      <c r="F981" s="1"/>
      <c r="G981" s="1"/>
      <c r="H981" s="1"/>
      <c r="I981" s="1"/>
      <c r="J981" s="1"/>
      <c r="K981" s="1"/>
      <c r="L981" s="1"/>
    </row>
    <row r="982" ht="15.75" customHeight="1">
      <c r="A982" s="36"/>
      <c r="B982" s="36"/>
      <c r="C982" s="37"/>
      <c r="D982" s="1"/>
      <c r="E982" s="1"/>
      <c r="F982" s="1"/>
      <c r="G982" s="1"/>
      <c r="H982" s="1"/>
      <c r="I982" s="1"/>
      <c r="J982" s="1"/>
      <c r="K982" s="1"/>
      <c r="L982" s="1"/>
    </row>
    <row r="983" ht="15.75" customHeight="1">
      <c r="A983" s="36"/>
      <c r="B983" s="36"/>
      <c r="C983" s="37"/>
      <c r="D983" s="1"/>
      <c r="E983" s="1"/>
      <c r="F983" s="1"/>
      <c r="G983" s="1"/>
      <c r="H983" s="1"/>
      <c r="I983" s="1"/>
      <c r="J983" s="1"/>
      <c r="K983" s="1"/>
      <c r="L983" s="1"/>
    </row>
    <row r="984" ht="15.75" customHeight="1">
      <c r="A984" s="36"/>
      <c r="B984" s="36"/>
      <c r="C984" s="37"/>
      <c r="D984" s="1"/>
      <c r="E984" s="1"/>
      <c r="F984" s="1"/>
      <c r="G984" s="1"/>
      <c r="H984" s="1"/>
      <c r="I984" s="1"/>
      <c r="J984" s="1"/>
      <c r="K984" s="1"/>
      <c r="L984" s="1"/>
    </row>
    <row r="985" ht="15.75" customHeight="1">
      <c r="A985" s="36"/>
      <c r="B985" s="36"/>
      <c r="C985" s="37"/>
      <c r="D985" s="1"/>
      <c r="E985" s="1"/>
      <c r="F985" s="1"/>
      <c r="G985" s="1"/>
      <c r="H985" s="1"/>
      <c r="I985" s="1"/>
      <c r="J985" s="1"/>
      <c r="K985" s="1"/>
      <c r="L985" s="1"/>
    </row>
    <row r="986" ht="15.75" customHeight="1">
      <c r="A986" s="36"/>
      <c r="B986" s="36"/>
      <c r="C986" s="37"/>
      <c r="D986" s="1"/>
      <c r="E986" s="1"/>
      <c r="F986" s="1"/>
      <c r="G986" s="1"/>
      <c r="H986" s="1"/>
      <c r="I986" s="1"/>
      <c r="J986" s="1"/>
      <c r="K986" s="1"/>
      <c r="L986" s="1"/>
    </row>
    <row r="987" ht="15.75" customHeight="1">
      <c r="A987" s="36"/>
      <c r="B987" s="36"/>
      <c r="C987" s="37"/>
      <c r="D987" s="1"/>
      <c r="E987" s="1"/>
      <c r="F987" s="1"/>
      <c r="G987" s="1"/>
      <c r="H987" s="1"/>
      <c r="I987" s="1"/>
      <c r="J987" s="1"/>
      <c r="K987" s="1"/>
      <c r="L987" s="1"/>
    </row>
    <row r="988" ht="15.75" customHeight="1">
      <c r="A988" s="36"/>
      <c r="B988" s="36"/>
      <c r="C988" s="37"/>
      <c r="D988" s="1"/>
      <c r="E988" s="1"/>
      <c r="F988" s="1"/>
      <c r="G988" s="1"/>
      <c r="H988" s="1"/>
      <c r="I988" s="1"/>
      <c r="J988" s="1"/>
      <c r="K988" s="1"/>
      <c r="L988" s="1"/>
    </row>
    <row r="989" ht="15.75" customHeight="1">
      <c r="A989" s="36"/>
      <c r="B989" s="36"/>
      <c r="C989" s="37"/>
      <c r="D989" s="1"/>
      <c r="E989" s="1"/>
      <c r="F989" s="1"/>
      <c r="G989" s="1"/>
      <c r="H989" s="1"/>
      <c r="I989" s="1"/>
      <c r="J989" s="1"/>
      <c r="K989" s="1"/>
      <c r="L989" s="1"/>
    </row>
    <row r="990" ht="15.75" customHeight="1">
      <c r="A990" s="36"/>
      <c r="B990" s="36"/>
      <c r="C990" s="37"/>
      <c r="D990" s="1"/>
      <c r="E990" s="1"/>
      <c r="F990" s="1"/>
      <c r="G990" s="1"/>
      <c r="H990" s="1"/>
      <c r="I990" s="1"/>
      <c r="J990" s="1"/>
      <c r="K990" s="1"/>
      <c r="L990" s="1"/>
    </row>
    <row r="991" ht="15.75" customHeight="1">
      <c r="A991" s="36"/>
      <c r="B991" s="36"/>
      <c r="C991" s="37"/>
      <c r="D991" s="1"/>
      <c r="E991" s="1"/>
      <c r="F991" s="1"/>
      <c r="G991" s="1"/>
      <c r="H991" s="1"/>
      <c r="I991" s="1"/>
      <c r="J991" s="1"/>
      <c r="K991" s="1"/>
      <c r="L991" s="1"/>
    </row>
    <row r="992" ht="15.75" customHeight="1">
      <c r="A992" s="36"/>
      <c r="B992" s="36"/>
      <c r="C992" s="37"/>
      <c r="D992" s="1"/>
      <c r="E992" s="1"/>
      <c r="F992" s="1"/>
      <c r="G992" s="1"/>
      <c r="H992" s="1"/>
      <c r="I992" s="1"/>
      <c r="J992" s="1"/>
      <c r="K992" s="1"/>
      <c r="L992" s="1"/>
    </row>
    <row r="993" ht="15.75" customHeight="1">
      <c r="A993" s="36"/>
      <c r="B993" s="36"/>
      <c r="C993" s="37"/>
      <c r="D993" s="1"/>
      <c r="E993" s="1"/>
      <c r="F993" s="1"/>
      <c r="G993" s="1"/>
      <c r="H993" s="1"/>
      <c r="I993" s="1"/>
      <c r="J993" s="1"/>
      <c r="K993" s="1"/>
      <c r="L993" s="1"/>
    </row>
    <row r="994" ht="15.75" customHeight="1">
      <c r="A994" s="36"/>
      <c r="B994" s="36"/>
      <c r="C994" s="37"/>
      <c r="D994" s="1"/>
      <c r="E994" s="1"/>
      <c r="F994" s="1"/>
      <c r="G994" s="1"/>
      <c r="H994" s="1"/>
      <c r="I994" s="1"/>
      <c r="J994" s="1"/>
      <c r="K994" s="1"/>
      <c r="L994" s="1"/>
    </row>
    <row r="995" ht="15.75" customHeight="1">
      <c r="A995" s="36"/>
      <c r="B995" s="36"/>
      <c r="C995" s="37"/>
      <c r="D995" s="1"/>
      <c r="E995" s="1"/>
      <c r="F995" s="1"/>
      <c r="G995" s="1"/>
      <c r="H995" s="1"/>
      <c r="I995" s="1"/>
      <c r="J995" s="1"/>
      <c r="K995" s="1"/>
      <c r="L995" s="1"/>
    </row>
    <row r="996" ht="15.75" customHeight="1">
      <c r="A996" s="36"/>
      <c r="B996" s="36"/>
      <c r="C996" s="37"/>
      <c r="D996" s="1"/>
      <c r="E996" s="1"/>
      <c r="F996" s="1"/>
      <c r="G996" s="1"/>
      <c r="H996" s="1"/>
      <c r="I996" s="1"/>
      <c r="J996" s="1"/>
      <c r="K996" s="1"/>
      <c r="L996" s="1"/>
    </row>
    <row r="997" ht="15.75" customHeight="1">
      <c r="A997" s="36"/>
      <c r="B997" s="36"/>
      <c r="C997" s="37"/>
      <c r="D997" s="1"/>
      <c r="E997" s="1"/>
      <c r="F997" s="1"/>
      <c r="G997" s="1"/>
      <c r="H997" s="1"/>
      <c r="I997" s="1"/>
      <c r="J997" s="1"/>
      <c r="K997" s="1"/>
      <c r="L997" s="1"/>
    </row>
    <row r="998" ht="15.75" customHeight="1">
      <c r="A998" s="36"/>
      <c r="B998" s="36"/>
      <c r="C998" s="37"/>
      <c r="D998" s="1"/>
      <c r="E998" s="1"/>
      <c r="F998" s="1"/>
      <c r="G998" s="1"/>
      <c r="H998" s="1"/>
      <c r="I998" s="1"/>
      <c r="J998" s="1"/>
      <c r="K998" s="1"/>
      <c r="L998" s="1"/>
    </row>
    <row r="999" ht="15.75" customHeight="1">
      <c r="A999" s="36"/>
      <c r="B999" s="36"/>
      <c r="C999" s="37"/>
      <c r="D999" s="1"/>
      <c r="E999" s="1"/>
      <c r="F999" s="1"/>
      <c r="G999" s="1"/>
      <c r="H999" s="1"/>
      <c r="I999" s="1"/>
      <c r="J999" s="1"/>
      <c r="K999" s="1"/>
      <c r="L999" s="1"/>
    </row>
    <row r="1000" ht="15.75" customHeight="1">
      <c r="A1000" s="36"/>
      <c r="B1000" s="36"/>
      <c r="C1000" s="37"/>
      <c r="D1000" s="1"/>
      <c r="E1000" s="1"/>
      <c r="F1000" s="1"/>
      <c r="G1000" s="1"/>
      <c r="H1000" s="1"/>
      <c r="I1000" s="1"/>
      <c r="J1000" s="1"/>
      <c r="K1000" s="1"/>
      <c r="L1000" s="1"/>
    </row>
  </sheetData>
  <mergeCells count="9">
    <mergeCell ref="A10:J10"/>
    <mergeCell ref="A65:J65"/>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9.71"/>
    <col customWidth="1" min="3" max="3" width="14.0"/>
    <col customWidth="1" min="4" max="4" width="10.0"/>
    <col customWidth="1" min="5" max="5" width="12.43"/>
    <col customWidth="1" min="6" max="6" width="8.43"/>
    <col customWidth="1" min="7" max="7" width="15.71"/>
    <col customWidth="1" min="8" max="8" width="9.14"/>
    <col customWidth="1" min="9" max="9" width="12.43"/>
    <col customWidth="1" min="10" max="10" width="20.71"/>
    <col customWidth="1" min="11" max="30" width="8.71"/>
  </cols>
  <sheetData>
    <row r="1">
      <c r="A1" s="36"/>
      <c r="B1" s="36"/>
      <c r="C1" s="37"/>
      <c r="D1" s="1"/>
      <c r="E1" s="1"/>
      <c r="F1" s="1"/>
      <c r="G1" s="1"/>
      <c r="H1" s="1"/>
      <c r="I1" s="1"/>
    </row>
    <row r="2">
      <c r="A2" s="38" t="s">
        <v>690</v>
      </c>
      <c r="B2" s="39"/>
      <c r="C2" s="39"/>
      <c r="D2" s="39"/>
      <c r="E2" s="39"/>
      <c r="F2" s="39"/>
      <c r="G2" s="39"/>
      <c r="H2" s="39"/>
      <c r="I2" s="40"/>
    </row>
    <row r="3">
      <c r="A3" s="186"/>
      <c r="B3" s="186"/>
      <c r="C3" s="186"/>
      <c r="D3" s="186"/>
      <c r="E3" s="186"/>
      <c r="F3" s="186"/>
      <c r="G3" s="186"/>
      <c r="H3" s="186"/>
      <c r="I3" s="186"/>
    </row>
    <row r="4" ht="16.5" customHeight="1">
      <c r="A4" s="292" t="s">
        <v>691</v>
      </c>
      <c r="B4" s="39"/>
      <c r="C4" s="39"/>
      <c r="D4" s="39"/>
      <c r="E4" s="39"/>
      <c r="F4" s="39"/>
      <c r="G4" s="39"/>
      <c r="H4" s="39"/>
      <c r="I4" s="40"/>
    </row>
    <row r="5">
      <c r="A5" s="44" t="s">
        <v>692</v>
      </c>
      <c r="B5" s="39"/>
      <c r="C5" s="39"/>
      <c r="D5" s="39"/>
      <c r="E5" s="39"/>
      <c r="F5" s="39"/>
      <c r="G5" s="39"/>
      <c r="H5" s="39"/>
      <c r="I5" s="40"/>
    </row>
    <row r="6" ht="118.5" customHeight="1">
      <c r="A6" s="44" t="s">
        <v>693</v>
      </c>
      <c r="B6" s="39"/>
      <c r="C6" s="39"/>
      <c r="D6" s="39"/>
      <c r="E6" s="39"/>
      <c r="F6" s="39"/>
      <c r="G6" s="39"/>
      <c r="H6" s="39"/>
      <c r="I6" s="40"/>
    </row>
    <row r="7">
      <c r="A7" s="293" t="s">
        <v>694</v>
      </c>
      <c r="B7" s="39"/>
      <c r="C7" s="39"/>
      <c r="D7" s="39"/>
      <c r="E7" s="39"/>
      <c r="F7" s="39"/>
      <c r="G7" s="39"/>
      <c r="H7" s="39"/>
      <c r="I7" s="40"/>
      <c r="K7" s="294"/>
    </row>
    <row r="8" ht="181.5" customHeight="1">
      <c r="A8" s="44" t="s">
        <v>695</v>
      </c>
      <c r="B8" s="39"/>
      <c r="C8" s="39"/>
      <c r="D8" s="39"/>
      <c r="E8" s="39"/>
      <c r="F8" s="39"/>
      <c r="G8" s="39"/>
      <c r="H8" s="39"/>
      <c r="I8" s="40"/>
      <c r="K8" s="294"/>
    </row>
    <row r="9">
      <c r="A9" s="45"/>
      <c r="B9" s="45"/>
      <c r="C9" s="46"/>
      <c r="D9" s="45"/>
      <c r="E9" s="45"/>
      <c r="F9" s="45"/>
      <c r="G9" s="45"/>
      <c r="H9" s="45"/>
      <c r="I9" s="45"/>
    </row>
    <row r="10" ht="84.75" customHeight="1">
      <c r="A10" s="228" t="s">
        <v>696</v>
      </c>
      <c r="B10" s="269" t="s">
        <v>697</v>
      </c>
      <c r="C10" s="109" t="s">
        <v>9</v>
      </c>
      <c r="D10" s="190" t="s">
        <v>698</v>
      </c>
      <c r="E10" s="229" t="s">
        <v>605</v>
      </c>
      <c r="F10" s="229" t="s">
        <v>113</v>
      </c>
      <c r="G10" s="229" t="s">
        <v>699</v>
      </c>
      <c r="H10" s="228" t="s">
        <v>700</v>
      </c>
      <c r="I10" s="228" t="s">
        <v>117</v>
      </c>
      <c r="J10" s="49" t="s">
        <v>118</v>
      </c>
      <c r="K10" s="294"/>
    </row>
    <row r="11" ht="38.25" customHeight="1">
      <c r="A11" s="52" t="s">
        <v>636</v>
      </c>
      <c r="B11" s="52" t="s">
        <v>669</v>
      </c>
      <c r="C11" s="60" t="s">
        <v>38</v>
      </c>
      <c r="D11" s="60" t="s">
        <v>478</v>
      </c>
      <c r="E11" s="60" t="s">
        <v>638</v>
      </c>
      <c r="F11" s="60">
        <v>2020.0</v>
      </c>
      <c r="G11" s="60"/>
      <c r="H11" s="210">
        <v>100.0</v>
      </c>
      <c r="I11" s="62">
        <v>50.0</v>
      </c>
      <c r="J11" s="62" t="s">
        <v>425</v>
      </c>
    </row>
    <row r="12">
      <c r="A12" s="52"/>
      <c r="B12" s="52"/>
      <c r="C12" s="56"/>
      <c r="D12" s="60"/>
      <c r="E12" s="60"/>
      <c r="F12" s="60"/>
      <c r="G12" s="60"/>
      <c r="H12" s="210"/>
      <c r="I12" s="62"/>
      <c r="J12" s="62"/>
    </row>
    <row r="13">
      <c r="A13" s="52"/>
      <c r="B13" s="52"/>
      <c r="C13" s="56"/>
      <c r="D13" s="60"/>
      <c r="E13" s="60"/>
      <c r="F13" s="60"/>
      <c r="G13" s="60"/>
      <c r="H13" s="210"/>
      <c r="I13" s="62"/>
      <c r="J13" s="62"/>
    </row>
    <row r="14">
      <c r="A14" s="52"/>
      <c r="B14" s="52"/>
      <c r="C14" s="56"/>
      <c r="D14" s="60"/>
      <c r="E14" s="60"/>
      <c r="F14" s="60"/>
      <c r="G14" s="60"/>
      <c r="H14" s="210"/>
      <c r="I14" s="62"/>
      <c r="J14" s="62"/>
    </row>
    <row r="15">
      <c r="A15" s="52"/>
      <c r="B15" s="52"/>
      <c r="C15" s="56"/>
      <c r="D15" s="60"/>
      <c r="E15" s="60"/>
      <c r="F15" s="60"/>
      <c r="G15" s="60"/>
      <c r="H15" s="210"/>
      <c r="I15" s="62"/>
      <c r="J15" s="62"/>
    </row>
    <row r="16">
      <c r="A16" s="52"/>
      <c r="B16" s="52"/>
      <c r="C16" s="56"/>
      <c r="D16" s="60"/>
      <c r="E16" s="60"/>
      <c r="F16" s="60"/>
      <c r="G16" s="60"/>
      <c r="H16" s="210"/>
      <c r="I16" s="62"/>
      <c r="J16" s="62"/>
    </row>
    <row r="17">
      <c r="A17" s="52"/>
      <c r="B17" s="52"/>
      <c r="C17" s="56"/>
      <c r="D17" s="60"/>
      <c r="E17" s="60"/>
      <c r="F17" s="60"/>
      <c r="G17" s="60"/>
      <c r="H17" s="210"/>
      <c r="I17" s="62"/>
      <c r="J17" s="62"/>
    </row>
    <row r="18">
      <c r="A18" s="52"/>
      <c r="B18" s="52"/>
      <c r="C18" s="56"/>
      <c r="D18" s="60"/>
      <c r="E18" s="60"/>
      <c r="F18" s="60"/>
      <c r="G18" s="60"/>
      <c r="H18" s="210"/>
      <c r="I18" s="62"/>
      <c r="J18" s="62"/>
    </row>
    <row r="19">
      <c r="A19" s="52"/>
      <c r="B19" s="52"/>
      <c r="C19" s="56"/>
      <c r="D19" s="60"/>
      <c r="E19" s="60"/>
      <c r="F19" s="60"/>
      <c r="G19" s="60"/>
      <c r="H19" s="210"/>
      <c r="I19" s="62"/>
      <c r="J19" s="62"/>
    </row>
    <row r="20">
      <c r="A20" s="52"/>
      <c r="B20" s="52"/>
      <c r="C20" s="56"/>
      <c r="D20" s="60"/>
      <c r="E20" s="60"/>
      <c r="F20" s="60"/>
      <c r="G20" s="60"/>
      <c r="H20" s="210"/>
      <c r="I20" s="62"/>
      <c r="J20" s="62"/>
    </row>
    <row r="21" ht="15.75" customHeight="1">
      <c r="A21" s="52"/>
      <c r="B21" s="52"/>
      <c r="C21" s="56"/>
      <c r="D21" s="60"/>
      <c r="E21" s="60"/>
      <c r="F21" s="60"/>
      <c r="G21" s="60"/>
      <c r="H21" s="210"/>
      <c r="I21" s="62"/>
      <c r="J21" s="62"/>
    </row>
    <row r="22" ht="15.75" customHeight="1">
      <c r="A22" s="52"/>
      <c r="B22" s="52"/>
      <c r="C22" s="56"/>
      <c r="D22" s="60"/>
      <c r="E22" s="60"/>
      <c r="F22" s="60"/>
      <c r="G22" s="60"/>
      <c r="H22" s="210"/>
      <c r="I22" s="62"/>
      <c r="J22" s="62"/>
    </row>
    <row r="23" ht="15.75" customHeight="1">
      <c r="A23" s="52"/>
      <c r="B23" s="52"/>
      <c r="C23" s="56"/>
      <c r="D23" s="60"/>
      <c r="E23" s="60"/>
      <c r="F23" s="60"/>
      <c r="G23" s="60"/>
      <c r="H23" s="210"/>
      <c r="I23" s="62"/>
      <c r="J23" s="62"/>
    </row>
    <row r="24" ht="15.75" customHeight="1">
      <c r="A24" s="52"/>
      <c r="B24" s="52"/>
      <c r="C24" s="56"/>
      <c r="D24" s="60"/>
      <c r="E24" s="60"/>
      <c r="F24" s="60"/>
      <c r="G24" s="60"/>
      <c r="H24" s="210"/>
      <c r="I24" s="62"/>
      <c r="J24" s="62"/>
    </row>
    <row r="25" ht="15.75" customHeight="1">
      <c r="A25" s="52"/>
      <c r="B25" s="52"/>
      <c r="C25" s="56"/>
      <c r="D25" s="60"/>
      <c r="E25" s="60"/>
      <c r="F25" s="60"/>
      <c r="G25" s="60"/>
      <c r="H25" s="210"/>
      <c r="I25" s="62"/>
      <c r="J25" s="62"/>
    </row>
    <row r="26" ht="15.75" customHeight="1">
      <c r="A26" s="52"/>
      <c r="B26" s="52"/>
      <c r="C26" s="56"/>
      <c r="D26" s="60"/>
      <c r="E26" s="60"/>
      <c r="F26" s="60"/>
      <c r="G26" s="60"/>
      <c r="H26" s="210"/>
      <c r="I26" s="62"/>
      <c r="J26" s="62"/>
    </row>
    <row r="27" ht="15.75" customHeight="1">
      <c r="A27" s="52"/>
      <c r="B27" s="52"/>
      <c r="C27" s="56"/>
      <c r="D27" s="60"/>
      <c r="E27" s="60"/>
      <c r="F27" s="60"/>
      <c r="G27" s="60"/>
      <c r="H27" s="210"/>
      <c r="I27" s="62"/>
      <c r="J27" s="62"/>
    </row>
    <row r="28" ht="15.75" customHeight="1">
      <c r="A28" s="52"/>
      <c r="B28" s="52"/>
      <c r="C28" s="56"/>
      <c r="D28" s="60"/>
      <c r="E28" s="60"/>
      <c r="F28" s="60"/>
      <c r="G28" s="60"/>
      <c r="H28" s="210"/>
      <c r="I28" s="62"/>
      <c r="J28" s="62"/>
    </row>
    <row r="29" ht="15.75" customHeight="1">
      <c r="A29" s="52"/>
      <c r="B29" s="52"/>
      <c r="C29" s="56"/>
      <c r="D29" s="60"/>
      <c r="E29" s="60"/>
      <c r="F29" s="60"/>
      <c r="G29" s="60"/>
      <c r="H29" s="210"/>
      <c r="I29" s="62"/>
      <c r="J29" s="62"/>
    </row>
    <row r="30" ht="15.75" customHeight="1">
      <c r="A30" s="52"/>
      <c r="B30" s="52"/>
      <c r="C30" s="56"/>
      <c r="D30" s="60"/>
      <c r="E30" s="60"/>
      <c r="F30" s="60"/>
      <c r="G30" s="60"/>
      <c r="H30" s="210"/>
      <c r="I30" s="62"/>
      <c r="J30" s="62"/>
    </row>
    <row r="31" ht="15.75" customHeight="1">
      <c r="A31" s="52"/>
      <c r="B31" s="52"/>
      <c r="C31" s="56"/>
      <c r="D31" s="60"/>
      <c r="E31" s="60"/>
      <c r="F31" s="60"/>
      <c r="G31" s="60"/>
      <c r="H31" s="210"/>
      <c r="I31" s="62"/>
      <c r="J31" s="62"/>
    </row>
    <row r="32" ht="15.75" customHeight="1">
      <c r="A32" s="52"/>
      <c r="B32" s="52"/>
      <c r="C32" s="56"/>
      <c r="D32" s="60"/>
      <c r="E32" s="60"/>
      <c r="F32" s="60"/>
      <c r="G32" s="60"/>
      <c r="H32" s="210"/>
      <c r="I32" s="62"/>
      <c r="J32" s="62"/>
    </row>
    <row r="33" ht="15.75" customHeight="1">
      <c r="A33" s="52"/>
      <c r="B33" s="52"/>
      <c r="C33" s="56"/>
      <c r="D33" s="60"/>
      <c r="E33" s="60"/>
      <c r="F33" s="60"/>
      <c r="G33" s="60"/>
      <c r="H33" s="210"/>
      <c r="I33" s="62"/>
      <c r="J33" s="62"/>
    </row>
    <row r="34" ht="15.75" customHeight="1">
      <c r="A34" s="52"/>
      <c r="B34" s="52"/>
      <c r="C34" s="56"/>
      <c r="D34" s="60"/>
      <c r="E34" s="60"/>
      <c r="F34" s="60"/>
      <c r="G34" s="60"/>
      <c r="H34" s="210"/>
      <c r="I34" s="62"/>
      <c r="J34" s="62"/>
    </row>
    <row r="35" ht="15.75" customHeight="1">
      <c r="A35" s="52"/>
      <c r="B35" s="52"/>
      <c r="C35" s="56"/>
      <c r="D35" s="60"/>
      <c r="E35" s="60"/>
      <c r="F35" s="60"/>
      <c r="G35" s="60"/>
      <c r="H35" s="210"/>
      <c r="I35" s="62"/>
      <c r="J35" s="62"/>
    </row>
    <row r="36" ht="15.75" customHeight="1">
      <c r="A36" s="52"/>
      <c r="B36" s="52"/>
      <c r="C36" s="56"/>
      <c r="D36" s="60"/>
      <c r="E36" s="60"/>
      <c r="F36" s="60"/>
      <c r="G36" s="60"/>
      <c r="H36" s="210"/>
      <c r="I36" s="62"/>
      <c r="J36" s="62"/>
    </row>
    <row r="37" ht="15.75" customHeight="1">
      <c r="A37" s="52"/>
      <c r="B37" s="52"/>
      <c r="C37" s="56"/>
      <c r="D37" s="60"/>
      <c r="E37" s="60"/>
      <c r="F37" s="60"/>
      <c r="G37" s="60"/>
      <c r="H37" s="210"/>
      <c r="I37" s="62"/>
      <c r="J37" s="62"/>
    </row>
    <row r="38" ht="15.75" customHeight="1">
      <c r="A38" s="52"/>
      <c r="B38" s="52"/>
      <c r="C38" s="56"/>
      <c r="D38" s="60"/>
      <c r="E38" s="60"/>
      <c r="F38" s="60"/>
      <c r="G38" s="60"/>
      <c r="H38" s="210"/>
      <c r="I38" s="62"/>
      <c r="J38" s="62"/>
    </row>
    <row r="39" ht="15.75" customHeight="1">
      <c r="A39" s="52"/>
      <c r="B39" s="52"/>
      <c r="C39" s="56"/>
      <c r="D39" s="60"/>
      <c r="E39" s="60"/>
      <c r="F39" s="60"/>
      <c r="G39" s="60"/>
      <c r="H39" s="210"/>
      <c r="I39" s="62"/>
      <c r="J39" s="62"/>
    </row>
    <row r="40" ht="15.75" customHeight="1">
      <c r="A40" s="52"/>
      <c r="B40" s="52"/>
      <c r="C40" s="56"/>
      <c r="D40" s="60"/>
      <c r="E40" s="60"/>
      <c r="F40" s="60"/>
      <c r="G40" s="60"/>
      <c r="H40" s="210"/>
      <c r="I40" s="62"/>
      <c r="J40" s="62"/>
    </row>
    <row r="41" ht="15.75" customHeight="1">
      <c r="A41" s="52"/>
      <c r="B41" s="52"/>
      <c r="C41" s="56"/>
      <c r="D41" s="60"/>
      <c r="E41" s="60"/>
      <c r="F41" s="60"/>
      <c r="G41" s="60"/>
      <c r="H41" s="210"/>
      <c r="I41" s="62"/>
      <c r="J41" s="62"/>
    </row>
    <row r="42" ht="15.75" customHeight="1">
      <c r="A42" s="52"/>
      <c r="B42" s="52"/>
      <c r="C42" s="56"/>
      <c r="D42" s="60"/>
      <c r="E42" s="60"/>
      <c r="F42" s="60"/>
      <c r="G42" s="60"/>
      <c r="H42" s="210"/>
      <c r="I42" s="62"/>
      <c r="J42" s="62"/>
    </row>
    <row r="43" ht="15.75" customHeight="1">
      <c r="A43" s="52"/>
      <c r="B43" s="52"/>
      <c r="C43" s="56"/>
      <c r="D43" s="60"/>
      <c r="E43" s="60"/>
      <c r="F43" s="60"/>
      <c r="G43" s="60"/>
      <c r="H43" s="210"/>
      <c r="I43" s="62"/>
      <c r="J43" s="62"/>
    </row>
    <row r="44" ht="15.75" customHeight="1">
      <c r="A44" s="52"/>
      <c r="B44" s="52"/>
      <c r="C44" s="56"/>
      <c r="D44" s="60"/>
      <c r="E44" s="60"/>
      <c r="F44" s="60"/>
      <c r="G44" s="60"/>
      <c r="H44" s="210"/>
      <c r="I44" s="62"/>
      <c r="J44" s="62"/>
    </row>
    <row r="45" ht="15.75" customHeight="1">
      <c r="A45" s="52"/>
      <c r="B45" s="52"/>
      <c r="C45" s="56"/>
      <c r="D45" s="60"/>
      <c r="E45" s="60"/>
      <c r="F45" s="60"/>
      <c r="G45" s="60"/>
      <c r="H45" s="210"/>
      <c r="I45" s="62"/>
      <c r="J45" s="62"/>
    </row>
    <row r="46" ht="15.75" customHeight="1">
      <c r="A46" s="52"/>
      <c r="B46" s="52"/>
      <c r="C46" s="56"/>
      <c r="D46" s="60"/>
      <c r="E46" s="60"/>
      <c r="F46" s="60"/>
      <c r="G46" s="60"/>
      <c r="H46" s="210"/>
      <c r="I46" s="62"/>
      <c r="J46" s="62"/>
    </row>
    <row r="47" ht="15.75" customHeight="1">
      <c r="A47" s="52"/>
      <c r="B47" s="52"/>
      <c r="C47" s="56"/>
      <c r="D47" s="60"/>
      <c r="E47" s="60"/>
      <c r="F47" s="60"/>
      <c r="G47" s="60"/>
      <c r="H47" s="210"/>
      <c r="I47" s="62"/>
      <c r="J47" s="62"/>
    </row>
    <row r="48" ht="15.75" customHeight="1">
      <c r="A48" s="52"/>
      <c r="B48" s="52"/>
      <c r="C48" s="56"/>
      <c r="D48" s="60"/>
      <c r="E48" s="60"/>
      <c r="F48" s="60"/>
      <c r="G48" s="60"/>
      <c r="H48" s="210"/>
      <c r="I48" s="62"/>
      <c r="J48" s="62"/>
    </row>
    <row r="49" ht="15.75" customHeight="1">
      <c r="A49" s="52"/>
      <c r="B49" s="52"/>
      <c r="C49" s="56"/>
      <c r="D49" s="60"/>
      <c r="E49" s="60"/>
      <c r="F49" s="60"/>
      <c r="G49" s="60"/>
      <c r="H49" s="210"/>
      <c r="I49" s="62"/>
      <c r="J49" s="62"/>
    </row>
    <row r="50" ht="15.75" customHeight="1">
      <c r="A50" s="52"/>
      <c r="B50" s="52"/>
      <c r="C50" s="56"/>
      <c r="D50" s="60"/>
      <c r="E50" s="60"/>
      <c r="F50" s="60"/>
      <c r="G50" s="60"/>
      <c r="H50" s="210"/>
      <c r="I50" s="62"/>
      <c r="J50" s="62"/>
    </row>
    <row r="51" ht="15.75" customHeight="1">
      <c r="A51" s="52"/>
      <c r="B51" s="52"/>
      <c r="C51" s="56"/>
      <c r="D51" s="60"/>
      <c r="E51" s="60"/>
      <c r="F51" s="60"/>
      <c r="G51" s="60"/>
      <c r="H51" s="210"/>
      <c r="I51" s="62"/>
      <c r="J51" s="62"/>
    </row>
    <row r="52" ht="15.75" customHeight="1">
      <c r="A52" s="52"/>
      <c r="B52" s="52"/>
      <c r="C52" s="56"/>
      <c r="D52" s="60"/>
      <c r="E52" s="60"/>
      <c r="F52" s="60"/>
      <c r="G52" s="60"/>
      <c r="H52" s="210"/>
      <c r="I52" s="62"/>
      <c r="J52" s="62"/>
    </row>
    <row r="53" ht="15.75" customHeight="1">
      <c r="A53" s="52"/>
      <c r="B53" s="52"/>
      <c r="C53" s="56"/>
      <c r="D53" s="60"/>
      <c r="E53" s="60"/>
      <c r="F53" s="60"/>
      <c r="G53" s="60"/>
      <c r="H53" s="210"/>
      <c r="I53" s="62"/>
      <c r="J53" s="62"/>
    </row>
    <row r="54" ht="15.75" customHeight="1">
      <c r="A54" s="52"/>
      <c r="B54" s="52"/>
      <c r="C54" s="56"/>
      <c r="D54" s="60"/>
      <c r="E54" s="60"/>
      <c r="F54" s="60"/>
      <c r="G54" s="60"/>
      <c r="H54" s="210"/>
      <c r="I54" s="62"/>
      <c r="J54" s="62"/>
    </row>
    <row r="55" ht="15.75" customHeight="1">
      <c r="A55" s="52"/>
      <c r="B55" s="52"/>
      <c r="C55" s="56"/>
      <c r="D55" s="60"/>
      <c r="E55" s="60"/>
      <c r="F55" s="60"/>
      <c r="G55" s="60"/>
      <c r="H55" s="210"/>
      <c r="I55" s="62"/>
      <c r="J55" s="62"/>
    </row>
    <row r="56" ht="15.75" customHeight="1">
      <c r="A56" s="52"/>
      <c r="B56" s="52"/>
      <c r="C56" s="56"/>
      <c r="D56" s="60"/>
      <c r="E56" s="60"/>
      <c r="F56" s="60"/>
      <c r="G56" s="60"/>
      <c r="H56" s="210"/>
      <c r="I56" s="62"/>
      <c r="J56" s="62"/>
    </row>
    <row r="57" ht="15.75" customHeight="1">
      <c r="A57" s="52"/>
      <c r="B57" s="52"/>
      <c r="C57" s="56"/>
      <c r="D57" s="60"/>
      <c r="E57" s="60"/>
      <c r="F57" s="60"/>
      <c r="G57" s="60"/>
      <c r="H57" s="210"/>
      <c r="I57" s="62"/>
      <c r="J57" s="62"/>
    </row>
    <row r="58" ht="15.75" customHeight="1">
      <c r="A58" s="52"/>
      <c r="B58" s="52"/>
      <c r="C58" s="60"/>
      <c r="D58" s="60"/>
      <c r="E58" s="60"/>
      <c r="F58" s="60"/>
      <c r="G58" s="60"/>
      <c r="H58" s="295"/>
      <c r="I58" s="62"/>
      <c r="J58" s="62"/>
    </row>
    <row r="59" ht="15.75" customHeight="1">
      <c r="A59" s="52"/>
      <c r="B59" s="52"/>
      <c r="C59" s="60"/>
      <c r="D59" s="60"/>
      <c r="E59" s="60"/>
      <c r="F59" s="60"/>
      <c r="G59" s="60"/>
      <c r="H59" s="295"/>
      <c r="I59" s="62"/>
      <c r="J59" s="62"/>
    </row>
    <row r="60" ht="15.75" customHeight="1">
      <c r="A60" s="52"/>
      <c r="B60" s="52"/>
      <c r="C60" s="60"/>
      <c r="D60" s="60"/>
      <c r="E60" s="60"/>
      <c r="F60" s="60"/>
      <c r="G60" s="60"/>
      <c r="H60" s="295"/>
      <c r="I60" s="62"/>
      <c r="J60" s="62"/>
    </row>
    <row r="61" ht="15.75" customHeight="1">
      <c r="A61" s="88" t="s">
        <v>88</v>
      </c>
      <c r="B61" s="88"/>
      <c r="C61" s="37"/>
      <c r="D61" s="1"/>
      <c r="E61" s="1"/>
      <c r="F61" s="1"/>
      <c r="G61" s="1"/>
      <c r="H61" s="41"/>
      <c r="I61" s="89">
        <f>SUM(I11:I60)</f>
        <v>50</v>
      </c>
    </row>
    <row r="62" ht="15.75" customHeight="1">
      <c r="A62" s="36"/>
      <c r="B62" s="36"/>
      <c r="C62" s="37"/>
      <c r="D62" s="1"/>
      <c r="E62" s="1"/>
      <c r="F62" s="1"/>
      <c r="G62" s="1"/>
      <c r="H62" s="1"/>
      <c r="I62" s="1"/>
    </row>
    <row r="63" ht="15.75" customHeight="1">
      <c r="A63" s="90" t="s">
        <v>178</v>
      </c>
      <c r="B63" s="91"/>
      <c r="C63" s="91"/>
      <c r="D63" s="91"/>
      <c r="E63" s="91"/>
      <c r="F63" s="91"/>
      <c r="G63" s="91"/>
      <c r="H63" s="91"/>
      <c r="I63" s="92"/>
    </row>
    <row r="64" ht="15.75" customHeight="1">
      <c r="A64" s="36"/>
      <c r="B64" s="36"/>
      <c r="C64" s="37"/>
      <c r="D64" s="1"/>
      <c r="E64" s="1"/>
      <c r="F64" s="1"/>
      <c r="G64" s="1"/>
      <c r="H64" s="1"/>
      <c r="I64" s="1"/>
    </row>
    <row r="65" ht="15.75" customHeight="1">
      <c r="A65" s="36"/>
      <c r="B65" s="36"/>
      <c r="C65" s="37"/>
      <c r="D65" s="1"/>
      <c r="E65" s="1"/>
      <c r="F65" s="1"/>
      <c r="G65" s="1"/>
      <c r="H65" s="1"/>
      <c r="I65" s="1"/>
    </row>
    <row r="66" ht="15.75" customHeight="1">
      <c r="A66" s="36"/>
      <c r="B66" s="36"/>
      <c r="C66" s="37"/>
      <c r="D66" s="1"/>
      <c r="E66" s="1"/>
      <c r="F66" s="1"/>
      <c r="G66" s="1"/>
      <c r="H66" s="1"/>
      <c r="I66" s="1"/>
    </row>
    <row r="67" ht="15.75" customHeight="1">
      <c r="A67" s="36"/>
      <c r="B67" s="36"/>
      <c r="C67" s="37"/>
      <c r="D67" s="1"/>
      <c r="E67" s="1"/>
      <c r="F67" s="1"/>
      <c r="G67" s="1"/>
      <c r="H67" s="1"/>
      <c r="I67" s="1"/>
    </row>
    <row r="68" ht="15.75" customHeight="1">
      <c r="A68" s="36"/>
      <c r="B68" s="36"/>
      <c r="C68" s="37"/>
      <c r="D68" s="1"/>
      <c r="E68" s="1"/>
      <c r="F68" s="1"/>
      <c r="G68" s="1"/>
      <c r="H68" s="1"/>
      <c r="I68" s="1"/>
    </row>
    <row r="69" ht="15.75" customHeight="1">
      <c r="A69" s="36"/>
      <c r="B69" s="36"/>
      <c r="C69" s="37"/>
      <c r="D69" s="1"/>
      <c r="E69" s="1"/>
      <c r="F69" s="1"/>
      <c r="G69" s="1"/>
      <c r="H69" s="1"/>
      <c r="I69" s="1"/>
    </row>
    <row r="70" ht="15.75" customHeight="1">
      <c r="A70" s="36"/>
      <c r="B70" s="36"/>
      <c r="C70" s="37"/>
      <c r="D70" s="1"/>
      <c r="E70" s="1"/>
      <c r="F70" s="1"/>
      <c r="G70" s="1"/>
      <c r="H70" s="1"/>
      <c r="I70" s="1"/>
    </row>
    <row r="71" ht="15.75" customHeight="1">
      <c r="A71" s="36"/>
      <c r="B71" s="36"/>
      <c r="C71" s="37"/>
      <c r="D71" s="1"/>
      <c r="E71" s="1"/>
      <c r="F71" s="1"/>
      <c r="G71" s="1"/>
      <c r="H71" s="1"/>
      <c r="I71" s="1"/>
    </row>
    <row r="72" ht="15.75" customHeight="1">
      <c r="A72" s="36"/>
      <c r="B72" s="36"/>
      <c r="C72" s="37"/>
      <c r="D72" s="1"/>
      <c r="E72" s="1"/>
      <c r="F72" s="1"/>
      <c r="G72" s="1"/>
      <c r="H72" s="1"/>
      <c r="I72" s="1"/>
    </row>
    <row r="73" ht="15.75" customHeight="1">
      <c r="A73" s="36"/>
      <c r="B73" s="36"/>
      <c r="C73" s="37"/>
      <c r="D73" s="1"/>
      <c r="E73" s="1"/>
      <c r="F73" s="1"/>
      <c r="G73" s="1"/>
      <c r="H73" s="1"/>
      <c r="I73" s="1"/>
    </row>
    <row r="74" ht="15.75" customHeight="1">
      <c r="A74" s="36"/>
      <c r="B74" s="36"/>
      <c r="C74" s="37"/>
      <c r="D74" s="1"/>
      <c r="E74" s="1"/>
      <c r="F74" s="1"/>
      <c r="G74" s="1"/>
      <c r="H74" s="1"/>
      <c r="I74" s="1"/>
    </row>
    <row r="75" ht="15.75" customHeight="1">
      <c r="A75" s="36"/>
      <c r="B75" s="36"/>
      <c r="C75" s="37"/>
      <c r="D75" s="1"/>
      <c r="E75" s="1"/>
      <c r="F75" s="1"/>
      <c r="G75" s="1"/>
      <c r="H75" s="1"/>
      <c r="I75" s="1"/>
    </row>
    <row r="76" ht="15.75" customHeight="1">
      <c r="A76" s="36"/>
      <c r="B76" s="36"/>
      <c r="C76" s="37"/>
      <c r="D76" s="1"/>
      <c r="E76" s="1"/>
      <c r="F76" s="1"/>
      <c r="G76" s="1"/>
      <c r="H76" s="1"/>
      <c r="I76" s="1"/>
    </row>
    <row r="77" ht="15.75" customHeight="1">
      <c r="A77" s="36"/>
      <c r="B77" s="36"/>
      <c r="C77" s="37"/>
      <c r="D77" s="1"/>
      <c r="E77" s="1"/>
      <c r="F77" s="1"/>
      <c r="G77" s="1"/>
      <c r="H77" s="1"/>
      <c r="I77" s="1"/>
    </row>
    <row r="78" ht="15.75" customHeight="1">
      <c r="A78" s="36"/>
      <c r="B78" s="36"/>
      <c r="C78" s="37"/>
      <c r="D78" s="1"/>
      <c r="E78" s="1"/>
      <c r="F78" s="1"/>
      <c r="G78" s="1"/>
      <c r="H78" s="1"/>
      <c r="I78" s="1"/>
    </row>
    <row r="79" ht="15.75" customHeight="1">
      <c r="A79" s="36"/>
      <c r="B79" s="36"/>
      <c r="C79" s="37"/>
      <c r="D79" s="1"/>
      <c r="E79" s="1"/>
      <c r="F79" s="1"/>
      <c r="G79" s="1"/>
      <c r="H79" s="1"/>
      <c r="I79" s="1"/>
    </row>
    <row r="80" ht="15.75" customHeight="1">
      <c r="A80" s="36"/>
      <c r="B80" s="36"/>
      <c r="C80" s="37"/>
      <c r="D80" s="1"/>
      <c r="E80" s="1"/>
      <c r="F80" s="1"/>
      <c r="G80" s="1"/>
      <c r="H80" s="1"/>
      <c r="I80" s="1"/>
    </row>
    <row r="81" ht="15.75" customHeight="1">
      <c r="A81" s="36"/>
      <c r="B81" s="36"/>
      <c r="C81" s="37"/>
      <c r="D81" s="1"/>
      <c r="E81" s="1"/>
      <c r="F81" s="1"/>
      <c r="G81" s="1"/>
      <c r="H81" s="1"/>
      <c r="I81" s="1"/>
    </row>
    <row r="82" ht="15.75" customHeight="1">
      <c r="A82" s="36"/>
      <c r="B82" s="36"/>
      <c r="C82" s="37"/>
      <c r="D82" s="1"/>
      <c r="E82" s="1"/>
      <c r="F82" s="1"/>
      <c r="G82" s="1"/>
      <c r="H82" s="1"/>
      <c r="I82" s="1"/>
    </row>
    <row r="83" ht="15.75" customHeight="1">
      <c r="A83" s="36"/>
      <c r="B83" s="36"/>
      <c r="C83" s="37"/>
      <c r="D83" s="1"/>
      <c r="E83" s="1"/>
      <c r="F83" s="1"/>
      <c r="G83" s="1"/>
      <c r="H83" s="1"/>
      <c r="I83" s="1"/>
    </row>
    <row r="84" ht="15.75" customHeight="1">
      <c r="A84" s="36"/>
      <c r="B84" s="36"/>
      <c r="C84" s="37"/>
      <c r="D84" s="1"/>
      <c r="E84" s="1"/>
      <c r="F84" s="1"/>
      <c r="G84" s="1"/>
      <c r="H84" s="1"/>
      <c r="I84" s="1"/>
    </row>
    <row r="85" ht="15.75" customHeight="1">
      <c r="A85" s="36"/>
      <c r="B85" s="36"/>
      <c r="C85" s="37"/>
      <c r="D85" s="1"/>
      <c r="E85" s="1"/>
      <c r="F85" s="1"/>
      <c r="G85" s="1"/>
      <c r="H85" s="1"/>
      <c r="I85" s="1"/>
    </row>
    <row r="86" ht="15.75" customHeight="1">
      <c r="A86" s="36"/>
      <c r="B86" s="36"/>
      <c r="C86" s="37"/>
      <c r="D86" s="1"/>
      <c r="E86" s="1"/>
      <c r="F86" s="1"/>
      <c r="G86" s="1"/>
      <c r="H86" s="1"/>
      <c r="I86" s="1"/>
    </row>
    <row r="87" ht="15.75" customHeight="1">
      <c r="A87" s="36"/>
      <c r="B87" s="36"/>
      <c r="C87" s="37"/>
      <c r="D87" s="1"/>
      <c r="E87" s="1"/>
      <c r="F87" s="1"/>
      <c r="G87" s="1"/>
      <c r="H87" s="1"/>
      <c r="I87" s="1"/>
    </row>
    <row r="88" ht="15.75" customHeight="1">
      <c r="A88" s="36"/>
      <c r="B88" s="36"/>
      <c r="C88" s="37"/>
      <c r="D88" s="1"/>
      <c r="E88" s="1"/>
      <c r="F88" s="1"/>
      <c r="G88" s="1"/>
      <c r="H88" s="1"/>
      <c r="I88" s="1"/>
    </row>
    <row r="89" ht="15.75" customHeight="1">
      <c r="A89" s="36"/>
      <c r="B89" s="36"/>
      <c r="C89" s="37"/>
      <c r="D89" s="1"/>
      <c r="E89" s="1"/>
      <c r="F89" s="1"/>
      <c r="G89" s="1"/>
      <c r="H89" s="1"/>
      <c r="I89" s="1"/>
    </row>
    <row r="90" ht="15.75" customHeight="1">
      <c r="A90" s="36"/>
      <c r="B90" s="36"/>
      <c r="C90" s="37"/>
      <c r="D90" s="1"/>
      <c r="E90" s="1"/>
      <c r="F90" s="1"/>
      <c r="G90" s="1"/>
      <c r="H90" s="1"/>
      <c r="I90" s="1"/>
    </row>
    <row r="91" ht="15.75" customHeight="1">
      <c r="A91" s="36"/>
      <c r="B91" s="36"/>
      <c r="C91" s="37"/>
      <c r="D91" s="1"/>
      <c r="E91" s="1"/>
      <c r="F91" s="1"/>
      <c r="G91" s="1"/>
      <c r="H91" s="1"/>
      <c r="I91" s="1"/>
    </row>
    <row r="92" ht="15.75" customHeight="1">
      <c r="A92" s="36"/>
      <c r="B92" s="36"/>
      <c r="C92" s="37"/>
      <c r="D92" s="1"/>
      <c r="E92" s="1"/>
      <c r="F92" s="1"/>
      <c r="G92" s="1"/>
      <c r="H92" s="1"/>
      <c r="I92" s="1"/>
    </row>
    <row r="93" ht="15.75" customHeight="1">
      <c r="A93" s="36"/>
      <c r="B93" s="36"/>
      <c r="C93" s="37"/>
      <c r="D93" s="1"/>
      <c r="E93" s="1"/>
      <c r="F93" s="1"/>
      <c r="G93" s="1"/>
      <c r="H93" s="1"/>
      <c r="I93" s="1"/>
    </row>
    <row r="94" ht="15.75" customHeight="1">
      <c r="A94" s="36"/>
      <c r="B94" s="36"/>
      <c r="C94" s="37"/>
      <c r="D94" s="1"/>
      <c r="E94" s="1"/>
      <c r="F94" s="1"/>
      <c r="G94" s="1"/>
      <c r="H94" s="1"/>
      <c r="I94" s="1"/>
    </row>
    <row r="95" ht="15.75" customHeight="1">
      <c r="A95" s="36"/>
      <c r="B95" s="36"/>
      <c r="C95" s="37"/>
      <c r="D95" s="1"/>
      <c r="E95" s="1"/>
      <c r="F95" s="1"/>
      <c r="G95" s="1"/>
      <c r="H95" s="1"/>
      <c r="I95" s="1"/>
    </row>
    <row r="96" ht="15.75" customHeight="1">
      <c r="A96" s="36"/>
      <c r="B96" s="36"/>
      <c r="C96" s="37"/>
      <c r="D96" s="1"/>
      <c r="E96" s="1"/>
      <c r="F96" s="1"/>
      <c r="G96" s="1"/>
      <c r="H96" s="1"/>
      <c r="I96" s="1"/>
    </row>
    <row r="97" ht="15.75" customHeight="1">
      <c r="A97" s="36"/>
      <c r="B97" s="36"/>
      <c r="C97" s="37"/>
      <c r="D97" s="1"/>
      <c r="E97" s="1"/>
      <c r="F97" s="1"/>
      <c r="G97" s="1"/>
      <c r="H97" s="1"/>
      <c r="I97" s="1"/>
    </row>
    <row r="98" ht="15.75" customHeight="1">
      <c r="A98" s="36"/>
      <c r="B98" s="36"/>
      <c r="C98" s="37"/>
      <c r="D98" s="1"/>
      <c r="E98" s="1"/>
      <c r="F98" s="1"/>
      <c r="G98" s="1"/>
      <c r="H98" s="1"/>
      <c r="I98" s="1"/>
    </row>
    <row r="99" ht="15.75" customHeight="1">
      <c r="A99" s="36"/>
      <c r="B99" s="36"/>
      <c r="C99" s="37"/>
      <c r="D99" s="1"/>
      <c r="E99" s="1"/>
      <c r="F99" s="1"/>
      <c r="G99" s="1"/>
      <c r="H99" s="1"/>
      <c r="I99" s="1"/>
    </row>
    <row r="100" ht="15.75" customHeight="1">
      <c r="A100" s="36"/>
      <c r="B100" s="36"/>
      <c r="C100" s="37"/>
      <c r="D100" s="1"/>
      <c r="E100" s="1"/>
      <c r="F100" s="1"/>
      <c r="G100" s="1"/>
      <c r="H100" s="1"/>
      <c r="I100" s="1"/>
    </row>
    <row r="101" ht="15.75" customHeight="1">
      <c r="A101" s="36"/>
      <c r="B101" s="36"/>
      <c r="C101" s="37"/>
      <c r="D101" s="1"/>
      <c r="E101" s="1"/>
      <c r="F101" s="1"/>
      <c r="G101" s="1"/>
      <c r="H101" s="1"/>
      <c r="I101" s="1"/>
    </row>
    <row r="102" ht="15.75" customHeight="1">
      <c r="A102" s="36"/>
      <c r="B102" s="36"/>
      <c r="C102" s="37"/>
      <c r="D102" s="1"/>
      <c r="E102" s="1"/>
      <c r="F102" s="1"/>
      <c r="G102" s="1"/>
      <c r="H102" s="1"/>
      <c r="I102" s="1"/>
    </row>
    <row r="103" ht="15.75" customHeight="1">
      <c r="A103" s="36"/>
      <c r="B103" s="36"/>
      <c r="C103" s="37"/>
      <c r="D103" s="1"/>
      <c r="E103" s="1"/>
      <c r="F103" s="1"/>
      <c r="G103" s="1"/>
      <c r="H103" s="1"/>
      <c r="I103" s="1"/>
    </row>
    <row r="104" ht="15.75" customHeight="1">
      <c r="A104" s="36"/>
      <c r="B104" s="36"/>
      <c r="C104" s="37"/>
      <c r="D104" s="1"/>
      <c r="E104" s="1"/>
      <c r="F104" s="1"/>
      <c r="G104" s="1"/>
      <c r="H104" s="1"/>
      <c r="I104" s="1"/>
    </row>
    <row r="105" ht="15.75" customHeight="1">
      <c r="A105" s="36"/>
      <c r="B105" s="36"/>
      <c r="C105" s="37"/>
      <c r="D105" s="1"/>
      <c r="E105" s="1"/>
      <c r="F105" s="1"/>
      <c r="G105" s="1"/>
      <c r="H105" s="1"/>
      <c r="I105" s="1"/>
    </row>
    <row r="106" ht="15.75" customHeight="1">
      <c r="A106" s="36"/>
      <c r="B106" s="36"/>
      <c r="C106" s="37"/>
      <c r="D106" s="1"/>
      <c r="E106" s="1"/>
      <c r="F106" s="1"/>
      <c r="G106" s="1"/>
      <c r="H106" s="1"/>
      <c r="I106" s="1"/>
    </row>
    <row r="107" ht="15.75" customHeight="1">
      <c r="A107" s="36"/>
      <c r="B107" s="36"/>
      <c r="C107" s="37"/>
      <c r="D107" s="1"/>
      <c r="E107" s="1"/>
      <c r="F107" s="1"/>
      <c r="G107" s="1"/>
      <c r="H107" s="1"/>
      <c r="I107" s="1"/>
    </row>
    <row r="108" ht="15.75" customHeight="1">
      <c r="A108" s="36"/>
      <c r="B108" s="36"/>
      <c r="C108" s="37"/>
      <c r="D108" s="1"/>
      <c r="E108" s="1"/>
      <c r="F108" s="1"/>
      <c r="G108" s="1"/>
      <c r="H108" s="1"/>
      <c r="I108" s="1"/>
    </row>
    <row r="109" ht="15.75" customHeight="1">
      <c r="A109" s="36"/>
      <c r="B109" s="36"/>
      <c r="C109" s="37"/>
      <c r="D109" s="1"/>
      <c r="E109" s="1"/>
      <c r="F109" s="1"/>
      <c r="G109" s="1"/>
      <c r="H109" s="1"/>
      <c r="I109" s="1"/>
    </row>
    <row r="110" ht="15.75" customHeight="1">
      <c r="A110" s="36"/>
      <c r="B110" s="36"/>
      <c r="C110" s="37"/>
      <c r="D110" s="1"/>
      <c r="E110" s="1"/>
      <c r="F110" s="1"/>
      <c r="G110" s="1"/>
      <c r="H110" s="1"/>
      <c r="I110" s="1"/>
    </row>
    <row r="111" ht="15.75" customHeight="1">
      <c r="A111" s="36"/>
      <c r="B111" s="36"/>
      <c r="C111" s="37"/>
      <c r="D111" s="1"/>
      <c r="E111" s="1"/>
      <c r="F111" s="1"/>
      <c r="G111" s="1"/>
      <c r="H111" s="1"/>
      <c r="I111" s="1"/>
    </row>
    <row r="112" ht="15.75" customHeight="1">
      <c r="A112" s="36"/>
      <c r="B112" s="36"/>
      <c r="C112" s="37"/>
      <c r="D112" s="1"/>
      <c r="E112" s="1"/>
      <c r="F112" s="1"/>
      <c r="G112" s="1"/>
      <c r="H112" s="1"/>
      <c r="I112" s="1"/>
    </row>
    <row r="113" ht="15.75" customHeight="1">
      <c r="A113" s="36"/>
      <c r="B113" s="36"/>
      <c r="C113" s="37"/>
      <c r="D113" s="1"/>
      <c r="E113" s="1"/>
      <c r="F113" s="1"/>
      <c r="G113" s="1"/>
      <c r="H113" s="1"/>
      <c r="I113" s="1"/>
    </row>
    <row r="114" ht="15.75" customHeight="1">
      <c r="A114" s="36"/>
      <c r="B114" s="36"/>
      <c r="C114" s="37"/>
      <c r="D114" s="1"/>
      <c r="E114" s="1"/>
      <c r="F114" s="1"/>
      <c r="G114" s="1"/>
      <c r="H114" s="1"/>
      <c r="I114" s="1"/>
    </row>
    <row r="115" ht="15.75" customHeight="1">
      <c r="A115" s="36"/>
      <c r="B115" s="36"/>
      <c r="C115" s="37"/>
      <c r="D115" s="1"/>
      <c r="E115" s="1"/>
      <c r="F115" s="1"/>
      <c r="G115" s="1"/>
      <c r="H115" s="1"/>
      <c r="I115" s="1"/>
    </row>
    <row r="116" ht="15.75" customHeight="1">
      <c r="A116" s="36"/>
      <c r="B116" s="36"/>
      <c r="C116" s="37"/>
      <c r="D116" s="1"/>
      <c r="E116" s="1"/>
      <c r="F116" s="1"/>
      <c r="G116" s="1"/>
      <c r="H116" s="1"/>
      <c r="I116" s="1"/>
    </row>
    <row r="117" ht="15.75" customHeight="1">
      <c r="A117" s="36"/>
      <c r="B117" s="36"/>
      <c r="C117" s="37"/>
      <c r="D117" s="1"/>
      <c r="E117" s="1"/>
      <c r="F117" s="1"/>
      <c r="G117" s="1"/>
      <c r="H117" s="1"/>
      <c r="I117" s="1"/>
    </row>
    <row r="118" ht="15.75" customHeight="1">
      <c r="A118" s="36"/>
      <c r="B118" s="36"/>
      <c r="C118" s="37"/>
      <c r="D118" s="1"/>
      <c r="E118" s="1"/>
      <c r="F118" s="1"/>
      <c r="G118" s="1"/>
      <c r="H118" s="1"/>
      <c r="I118" s="1"/>
    </row>
    <row r="119" ht="15.75" customHeight="1">
      <c r="A119" s="36"/>
      <c r="B119" s="36"/>
      <c r="C119" s="37"/>
      <c r="D119" s="1"/>
      <c r="E119" s="1"/>
      <c r="F119" s="1"/>
      <c r="G119" s="1"/>
      <c r="H119" s="1"/>
      <c r="I119" s="1"/>
    </row>
    <row r="120" ht="15.75" customHeight="1">
      <c r="A120" s="36"/>
      <c r="B120" s="36"/>
      <c r="C120" s="37"/>
      <c r="D120" s="1"/>
      <c r="E120" s="1"/>
      <c r="F120" s="1"/>
      <c r="G120" s="1"/>
      <c r="H120" s="1"/>
      <c r="I120" s="1"/>
    </row>
    <row r="121" ht="15.75" customHeight="1">
      <c r="A121" s="36"/>
      <c r="B121" s="36"/>
      <c r="C121" s="37"/>
      <c r="D121" s="1"/>
      <c r="E121" s="1"/>
      <c r="F121" s="1"/>
      <c r="G121" s="1"/>
      <c r="H121" s="1"/>
      <c r="I121" s="1"/>
    </row>
    <row r="122" ht="15.75" customHeight="1">
      <c r="A122" s="36"/>
      <c r="B122" s="36"/>
      <c r="C122" s="37"/>
      <c r="D122" s="1"/>
      <c r="E122" s="1"/>
      <c r="F122" s="1"/>
      <c r="G122" s="1"/>
      <c r="H122" s="1"/>
      <c r="I122" s="1"/>
    </row>
    <row r="123" ht="15.75" customHeight="1">
      <c r="A123" s="36"/>
      <c r="B123" s="36"/>
      <c r="C123" s="37"/>
      <c r="D123" s="1"/>
      <c r="E123" s="1"/>
      <c r="F123" s="1"/>
      <c r="G123" s="1"/>
      <c r="H123" s="1"/>
      <c r="I123" s="1"/>
    </row>
    <row r="124" ht="15.75" customHeight="1">
      <c r="A124" s="36"/>
      <c r="B124" s="36"/>
      <c r="C124" s="37"/>
      <c r="D124" s="1"/>
      <c r="E124" s="1"/>
      <c r="F124" s="1"/>
      <c r="G124" s="1"/>
      <c r="H124" s="1"/>
      <c r="I124" s="1"/>
    </row>
    <row r="125" ht="15.75" customHeight="1">
      <c r="A125" s="36"/>
      <c r="B125" s="36"/>
      <c r="C125" s="37"/>
      <c r="D125" s="1"/>
      <c r="E125" s="1"/>
      <c r="F125" s="1"/>
      <c r="G125" s="1"/>
      <c r="H125" s="1"/>
      <c r="I125" s="1"/>
    </row>
    <row r="126" ht="15.75" customHeight="1">
      <c r="A126" s="36"/>
      <c r="B126" s="36"/>
      <c r="C126" s="37"/>
      <c r="D126" s="1"/>
      <c r="E126" s="1"/>
      <c r="F126" s="1"/>
      <c r="G126" s="1"/>
      <c r="H126" s="1"/>
      <c r="I126" s="1"/>
    </row>
    <row r="127" ht="15.75" customHeight="1">
      <c r="A127" s="36"/>
      <c r="B127" s="36"/>
      <c r="C127" s="37"/>
      <c r="D127" s="1"/>
      <c r="E127" s="1"/>
      <c r="F127" s="1"/>
      <c r="G127" s="1"/>
      <c r="H127" s="1"/>
      <c r="I127" s="1"/>
    </row>
    <row r="128" ht="15.75" customHeight="1">
      <c r="A128" s="36"/>
      <c r="B128" s="36"/>
      <c r="C128" s="37"/>
      <c r="D128" s="1"/>
      <c r="E128" s="1"/>
      <c r="F128" s="1"/>
      <c r="G128" s="1"/>
      <c r="H128" s="1"/>
      <c r="I128" s="1"/>
    </row>
    <row r="129" ht="15.75" customHeight="1">
      <c r="A129" s="36"/>
      <c r="B129" s="36"/>
      <c r="C129" s="37"/>
      <c r="D129" s="1"/>
      <c r="E129" s="1"/>
      <c r="F129" s="1"/>
      <c r="G129" s="1"/>
      <c r="H129" s="1"/>
      <c r="I129" s="1"/>
    </row>
    <row r="130" ht="15.75" customHeight="1">
      <c r="A130" s="36"/>
      <c r="B130" s="36"/>
      <c r="C130" s="37"/>
      <c r="D130" s="1"/>
      <c r="E130" s="1"/>
      <c r="F130" s="1"/>
      <c r="G130" s="1"/>
      <c r="H130" s="1"/>
      <c r="I130" s="1"/>
    </row>
    <row r="131" ht="15.75" customHeight="1">
      <c r="A131" s="36"/>
      <c r="B131" s="36"/>
      <c r="C131" s="37"/>
      <c r="D131" s="1"/>
      <c r="E131" s="1"/>
      <c r="F131" s="1"/>
      <c r="G131" s="1"/>
      <c r="H131" s="1"/>
      <c r="I131" s="1"/>
    </row>
    <row r="132" ht="15.75" customHeight="1">
      <c r="A132" s="36"/>
      <c r="B132" s="36"/>
      <c r="C132" s="37"/>
      <c r="D132" s="1"/>
      <c r="E132" s="1"/>
      <c r="F132" s="1"/>
      <c r="G132" s="1"/>
      <c r="H132" s="1"/>
      <c r="I132" s="1"/>
    </row>
    <row r="133" ht="15.75" customHeight="1">
      <c r="A133" s="36"/>
      <c r="B133" s="36"/>
      <c r="C133" s="37"/>
      <c r="D133" s="1"/>
      <c r="E133" s="1"/>
      <c r="F133" s="1"/>
      <c r="G133" s="1"/>
      <c r="H133" s="1"/>
      <c r="I133" s="1"/>
    </row>
    <row r="134" ht="15.75" customHeight="1">
      <c r="A134" s="36"/>
      <c r="B134" s="36"/>
      <c r="C134" s="37"/>
      <c r="D134" s="1"/>
      <c r="E134" s="1"/>
      <c r="F134" s="1"/>
      <c r="G134" s="1"/>
      <c r="H134" s="1"/>
      <c r="I134" s="1"/>
    </row>
    <row r="135" ht="15.75" customHeight="1">
      <c r="A135" s="36"/>
      <c r="B135" s="36"/>
      <c r="C135" s="37"/>
      <c r="D135" s="1"/>
      <c r="E135" s="1"/>
      <c r="F135" s="1"/>
      <c r="G135" s="1"/>
      <c r="H135" s="1"/>
      <c r="I135" s="1"/>
    </row>
    <row r="136" ht="15.75" customHeight="1">
      <c r="A136" s="36"/>
      <c r="B136" s="36"/>
      <c r="C136" s="37"/>
      <c r="D136" s="1"/>
      <c r="E136" s="1"/>
      <c r="F136" s="1"/>
      <c r="G136" s="1"/>
      <c r="H136" s="1"/>
      <c r="I136" s="1"/>
    </row>
    <row r="137" ht="15.75" customHeight="1">
      <c r="A137" s="36"/>
      <c r="B137" s="36"/>
      <c r="C137" s="37"/>
      <c r="D137" s="1"/>
      <c r="E137" s="1"/>
      <c r="F137" s="1"/>
      <c r="G137" s="1"/>
      <c r="H137" s="1"/>
      <c r="I137" s="1"/>
    </row>
    <row r="138" ht="15.75" customHeight="1">
      <c r="A138" s="36"/>
      <c r="B138" s="36"/>
      <c r="C138" s="37"/>
      <c r="D138" s="1"/>
      <c r="E138" s="1"/>
      <c r="F138" s="1"/>
      <c r="G138" s="1"/>
      <c r="H138" s="1"/>
      <c r="I138" s="1"/>
    </row>
    <row r="139" ht="15.75" customHeight="1">
      <c r="A139" s="36"/>
      <c r="B139" s="36"/>
      <c r="C139" s="37"/>
      <c r="D139" s="1"/>
      <c r="E139" s="1"/>
      <c r="F139" s="1"/>
      <c r="G139" s="1"/>
      <c r="H139" s="1"/>
      <c r="I139" s="1"/>
    </row>
    <row r="140" ht="15.75" customHeight="1">
      <c r="A140" s="36"/>
      <c r="B140" s="36"/>
      <c r="C140" s="37"/>
      <c r="D140" s="1"/>
      <c r="E140" s="1"/>
      <c r="F140" s="1"/>
      <c r="G140" s="1"/>
      <c r="H140" s="1"/>
      <c r="I140" s="1"/>
    </row>
    <row r="141" ht="15.75" customHeight="1">
      <c r="A141" s="36"/>
      <c r="B141" s="36"/>
      <c r="C141" s="37"/>
      <c r="D141" s="1"/>
      <c r="E141" s="1"/>
      <c r="F141" s="1"/>
      <c r="G141" s="1"/>
      <c r="H141" s="1"/>
      <c r="I141" s="1"/>
    </row>
    <row r="142" ht="15.75" customHeight="1">
      <c r="A142" s="36"/>
      <c r="B142" s="36"/>
      <c r="C142" s="37"/>
      <c r="D142" s="1"/>
      <c r="E142" s="1"/>
      <c r="F142" s="1"/>
      <c r="G142" s="1"/>
      <c r="H142" s="1"/>
      <c r="I142" s="1"/>
    </row>
    <row r="143" ht="15.75" customHeight="1">
      <c r="A143" s="36"/>
      <c r="B143" s="36"/>
      <c r="C143" s="37"/>
      <c r="D143" s="1"/>
      <c r="E143" s="1"/>
      <c r="F143" s="1"/>
      <c r="G143" s="1"/>
      <c r="H143" s="1"/>
      <c r="I143" s="1"/>
    </row>
    <row r="144" ht="15.75" customHeight="1">
      <c r="A144" s="36"/>
      <c r="B144" s="36"/>
      <c r="C144" s="37"/>
      <c r="D144" s="1"/>
      <c r="E144" s="1"/>
      <c r="F144" s="1"/>
      <c r="G144" s="1"/>
      <c r="H144" s="1"/>
      <c r="I144" s="1"/>
    </row>
    <row r="145" ht="15.75" customHeight="1">
      <c r="A145" s="36"/>
      <c r="B145" s="36"/>
      <c r="C145" s="37"/>
      <c r="D145" s="1"/>
      <c r="E145" s="1"/>
      <c r="F145" s="1"/>
      <c r="G145" s="1"/>
      <c r="H145" s="1"/>
      <c r="I145" s="1"/>
    </row>
    <row r="146" ht="15.75" customHeight="1">
      <c r="A146" s="36"/>
      <c r="B146" s="36"/>
      <c r="C146" s="37"/>
      <c r="D146" s="1"/>
      <c r="E146" s="1"/>
      <c r="F146" s="1"/>
      <c r="G146" s="1"/>
      <c r="H146" s="1"/>
      <c r="I146" s="1"/>
    </row>
    <row r="147" ht="15.75" customHeight="1">
      <c r="A147" s="36"/>
      <c r="B147" s="36"/>
      <c r="C147" s="37"/>
      <c r="D147" s="1"/>
      <c r="E147" s="1"/>
      <c r="F147" s="1"/>
      <c r="G147" s="1"/>
      <c r="H147" s="1"/>
      <c r="I147" s="1"/>
    </row>
    <row r="148" ht="15.75" customHeight="1">
      <c r="A148" s="36"/>
      <c r="B148" s="36"/>
      <c r="C148" s="37"/>
      <c r="D148" s="1"/>
      <c r="E148" s="1"/>
      <c r="F148" s="1"/>
      <c r="G148" s="1"/>
      <c r="H148" s="1"/>
      <c r="I148" s="1"/>
    </row>
    <row r="149" ht="15.75" customHeight="1">
      <c r="A149" s="36"/>
      <c r="B149" s="36"/>
      <c r="C149" s="37"/>
      <c r="D149" s="1"/>
      <c r="E149" s="1"/>
      <c r="F149" s="1"/>
      <c r="G149" s="1"/>
      <c r="H149" s="1"/>
      <c r="I149" s="1"/>
    </row>
    <row r="150" ht="15.75" customHeight="1">
      <c r="A150" s="36"/>
      <c r="B150" s="36"/>
      <c r="C150" s="37"/>
      <c r="D150" s="1"/>
      <c r="E150" s="1"/>
      <c r="F150" s="1"/>
      <c r="G150" s="1"/>
      <c r="H150" s="1"/>
      <c r="I150" s="1"/>
    </row>
    <row r="151" ht="15.75" customHeight="1">
      <c r="A151" s="36"/>
      <c r="B151" s="36"/>
      <c r="C151" s="37"/>
      <c r="D151" s="1"/>
      <c r="E151" s="1"/>
      <c r="F151" s="1"/>
      <c r="G151" s="1"/>
      <c r="H151" s="1"/>
      <c r="I151" s="1"/>
    </row>
    <row r="152" ht="15.75" customHeight="1">
      <c r="A152" s="36"/>
      <c r="B152" s="36"/>
      <c r="C152" s="37"/>
      <c r="D152" s="1"/>
      <c r="E152" s="1"/>
      <c r="F152" s="1"/>
      <c r="G152" s="1"/>
      <c r="H152" s="1"/>
      <c r="I152" s="1"/>
    </row>
    <row r="153" ht="15.75" customHeight="1">
      <c r="A153" s="36"/>
      <c r="B153" s="36"/>
      <c r="C153" s="37"/>
      <c r="D153" s="1"/>
      <c r="E153" s="1"/>
      <c r="F153" s="1"/>
      <c r="G153" s="1"/>
      <c r="H153" s="1"/>
      <c r="I153" s="1"/>
    </row>
    <row r="154" ht="15.75" customHeight="1">
      <c r="A154" s="36"/>
      <c r="B154" s="36"/>
      <c r="C154" s="37"/>
      <c r="D154" s="1"/>
      <c r="E154" s="1"/>
      <c r="F154" s="1"/>
      <c r="G154" s="1"/>
      <c r="H154" s="1"/>
      <c r="I154" s="1"/>
    </row>
    <row r="155" ht="15.75" customHeight="1">
      <c r="A155" s="36"/>
      <c r="B155" s="36"/>
      <c r="C155" s="37"/>
      <c r="D155" s="1"/>
      <c r="E155" s="1"/>
      <c r="F155" s="1"/>
      <c r="G155" s="1"/>
      <c r="H155" s="1"/>
      <c r="I155" s="1"/>
    </row>
    <row r="156" ht="15.75" customHeight="1">
      <c r="A156" s="36"/>
      <c r="B156" s="36"/>
      <c r="C156" s="37"/>
      <c r="D156" s="1"/>
      <c r="E156" s="1"/>
      <c r="F156" s="1"/>
      <c r="G156" s="1"/>
      <c r="H156" s="1"/>
      <c r="I156" s="1"/>
    </row>
    <row r="157" ht="15.75" customHeight="1">
      <c r="A157" s="36"/>
      <c r="B157" s="36"/>
      <c r="C157" s="37"/>
      <c r="D157" s="1"/>
      <c r="E157" s="1"/>
      <c r="F157" s="1"/>
      <c r="G157" s="1"/>
      <c r="H157" s="1"/>
      <c r="I157" s="1"/>
    </row>
    <row r="158" ht="15.75" customHeight="1">
      <c r="A158" s="36"/>
      <c r="B158" s="36"/>
      <c r="C158" s="37"/>
      <c r="D158" s="1"/>
      <c r="E158" s="1"/>
      <c r="F158" s="1"/>
      <c r="G158" s="1"/>
      <c r="H158" s="1"/>
      <c r="I158" s="1"/>
    </row>
    <row r="159" ht="15.75" customHeight="1">
      <c r="A159" s="36"/>
      <c r="B159" s="36"/>
      <c r="C159" s="37"/>
      <c r="D159" s="1"/>
      <c r="E159" s="1"/>
      <c r="F159" s="1"/>
      <c r="G159" s="1"/>
      <c r="H159" s="1"/>
      <c r="I159" s="1"/>
    </row>
    <row r="160" ht="15.75" customHeight="1">
      <c r="A160" s="36"/>
      <c r="B160" s="36"/>
      <c r="C160" s="37"/>
      <c r="D160" s="1"/>
      <c r="E160" s="1"/>
      <c r="F160" s="1"/>
      <c r="G160" s="1"/>
      <c r="H160" s="1"/>
      <c r="I160" s="1"/>
    </row>
    <row r="161" ht="15.75" customHeight="1">
      <c r="A161" s="36"/>
      <c r="B161" s="36"/>
      <c r="C161" s="37"/>
      <c r="D161" s="1"/>
      <c r="E161" s="1"/>
      <c r="F161" s="1"/>
      <c r="G161" s="1"/>
      <c r="H161" s="1"/>
      <c r="I161" s="1"/>
    </row>
    <row r="162" ht="15.75" customHeight="1">
      <c r="A162" s="36"/>
      <c r="B162" s="36"/>
      <c r="C162" s="37"/>
      <c r="D162" s="1"/>
      <c r="E162" s="1"/>
      <c r="F162" s="1"/>
      <c r="G162" s="1"/>
      <c r="H162" s="1"/>
      <c r="I162" s="1"/>
    </row>
    <row r="163" ht="15.75" customHeight="1">
      <c r="A163" s="36"/>
      <c r="B163" s="36"/>
      <c r="C163" s="37"/>
      <c r="D163" s="1"/>
      <c r="E163" s="1"/>
      <c r="F163" s="1"/>
      <c r="G163" s="1"/>
      <c r="H163" s="1"/>
      <c r="I163" s="1"/>
    </row>
    <row r="164" ht="15.75" customHeight="1">
      <c r="A164" s="36"/>
      <c r="B164" s="36"/>
      <c r="C164" s="37"/>
      <c r="D164" s="1"/>
      <c r="E164" s="1"/>
      <c r="F164" s="1"/>
      <c r="G164" s="1"/>
      <c r="H164" s="1"/>
      <c r="I164" s="1"/>
    </row>
    <row r="165" ht="15.75" customHeight="1">
      <c r="A165" s="36"/>
      <c r="B165" s="36"/>
      <c r="C165" s="37"/>
      <c r="D165" s="1"/>
      <c r="E165" s="1"/>
      <c r="F165" s="1"/>
      <c r="G165" s="1"/>
      <c r="H165" s="1"/>
      <c r="I165" s="1"/>
    </row>
    <row r="166" ht="15.75" customHeight="1">
      <c r="A166" s="36"/>
      <c r="B166" s="36"/>
      <c r="C166" s="37"/>
      <c r="D166" s="1"/>
      <c r="E166" s="1"/>
      <c r="F166" s="1"/>
      <c r="G166" s="1"/>
      <c r="H166" s="1"/>
      <c r="I166" s="1"/>
    </row>
    <row r="167" ht="15.75" customHeight="1">
      <c r="A167" s="36"/>
      <c r="B167" s="36"/>
      <c r="C167" s="37"/>
      <c r="D167" s="1"/>
      <c r="E167" s="1"/>
      <c r="F167" s="1"/>
      <c r="G167" s="1"/>
      <c r="H167" s="1"/>
      <c r="I167" s="1"/>
    </row>
    <row r="168" ht="15.75" customHeight="1">
      <c r="A168" s="36"/>
      <c r="B168" s="36"/>
      <c r="C168" s="37"/>
      <c r="D168" s="1"/>
      <c r="E168" s="1"/>
      <c r="F168" s="1"/>
      <c r="G168" s="1"/>
      <c r="H168" s="1"/>
      <c r="I168" s="1"/>
    </row>
    <row r="169" ht="15.75" customHeight="1">
      <c r="A169" s="36"/>
      <c r="B169" s="36"/>
      <c r="C169" s="37"/>
      <c r="D169" s="1"/>
      <c r="E169" s="1"/>
      <c r="F169" s="1"/>
      <c r="G169" s="1"/>
      <c r="H169" s="1"/>
      <c r="I169" s="1"/>
    </row>
    <row r="170" ht="15.75" customHeight="1">
      <c r="A170" s="36"/>
      <c r="B170" s="36"/>
      <c r="C170" s="37"/>
      <c r="D170" s="1"/>
      <c r="E170" s="1"/>
      <c r="F170" s="1"/>
      <c r="G170" s="1"/>
      <c r="H170" s="1"/>
      <c r="I170" s="1"/>
    </row>
    <row r="171" ht="15.75" customHeight="1">
      <c r="A171" s="36"/>
      <c r="B171" s="36"/>
      <c r="C171" s="37"/>
      <c r="D171" s="1"/>
      <c r="E171" s="1"/>
      <c r="F171" s="1"/>
      <c r="G171" s="1"/>
      <c r="H171" s="1"/>
      <c r="I171" s="1"/>
    </row>
    <row r="172" ht="15.75" customHeight="1">
      <c r="A172" s="36"/>
      <c r="B172" s="36"/>
      <c r="C172" s="37"/>
      <c r="D172" s="1"/>
      <c r="E172" s="1"/>
      <c r="F172" s="1"/>
      <c r="G172" s="1"/>
      <c r="H172" s="1"/>
      <c r="I172" s="1"/>
    </row>
    <row r="173" ht="15.75" customHeight="1">
      <c r="A173" s="36"/>
      <c r="B173" s="36"/>
      <c r="C173" s="37"/>
      <c r="D173" s="1"/>
      <c r="E173" s="1"/>
      <c r="F173" s="1"/>
      <c r="G173" s="1"/>
      <c r="H173" s="1"/>
      <c r="I173" s="1"/>
    </row>
    <row r="174" ht="15.75" customHeight="1">
      <c r="A174" s="36"/>
      <c r="B174" s="36"/>
      <c r="C174" s="37"/>
      <c r="D174" s="1"/>
      <c r="E174" s="1"/>
      <c r="F174" s="1"/>
      <c r="G174" s="1"/>
      <c r="H174" s="1"/>
      <c r="I174" s="1"/>
    </row>
    <row r="175" ht="15.75" customHeight="1">
      <c r="A175" s="36"/>
      <c r="B175" s="36"/>
      <c r="C175" s="37"/>
      <c r="D175" s="1"/>
      <c r="E175" s="1"/>
      <c r="F175" s="1"/>
      <c r="G175" s="1"/>
      <c r="H175" s="1"/>
      <c r="I175" s="1"/>
    </row>
    <row r="176" ht="15.75" customHeight="1">
      <c r="A176" s="36"/>
      <c r="B176" s="36"/>
      <c r="C176" s="37"/>
      <c r="D176" s="1"/>
      <c r="E176" s="1"/>
      <c r="F176" s="1"/>
      <c r="G176" s="1"/>
      <c r="H176" s="1"/>
      <c r="I176" s="1"/>
    </row>
    <row r="177" ht="15.75" customHeight="1">
      <c r="A177" s="36"/>
      <c r="B177" s="36"/>
      <c r="C177" s="37"/>
      <c r="D177" s="1"/>
      <c r="E177" s="1"/>
      <c r="F177" s="1"/>
      <c r="G177" s="1"/>
      <c r="H177" s="1"/>
      <c r="I177" s="1"/>
    </row>
    <row r="178" ht="15.75" customHeight="1">
      <c r="A178" s="36"/>
      <c r="B178" s="36"/>
      <c r="C178" s="37"/>
      <c r="D178" s="1"/>
      <c r="E178" s="1"/>
      <c r="F178" s="1"/>
      <c r="G178" s="1"/>
      <c r="H178" s="1"/>
      <c r="I178" s="1"/>
    </row>
    <row r="179" ht="15.75" customHeight="1">
      <c r="A179" s="36"/>
      <c r="B179" s="36"/>
      <c r="C179" s="37"/>
      <c r="D179" s="1"/>
      <c r="E179" s="1"/>
      <c r="F179" s="1"/>
      <c r="G179" s="1"/>
      <c r="H179" s="1"/>
      <c r="I179" s="1"/>
    </row>
    <row r="180" ht="15.75" customHeight="1">
      <c r="A180" s="36"/>
      <c r="B180" s="36"/>
      <c r="C180" s="37"/>
      <c r="D180" s="1"/>
      <c r="E180" s="1"/>
      <c r="F180" s="1"/>
      <c r="G180" s="1"/>
      <c r="H180" s="1"/>
      <c r="I180" s="1"/>
    </row>
    <row r="181" ht="15.75" customHeight="1">
      <c r="A181" s="36"/>
      <c r="B181" s="36"/>
      <c r="C181" s="37"/>
      <c r="D181" s="1"/>
      <c r="E181" s="1"/>
      <c r="F181" s="1"/>
      <c r="G181" s="1"/>
      <c r="H181" s="1"/>
      <c r="I181" s="1"/>
    </row>
    <row r="182" ht="15.75" customHeight="1">
      <c r="A182" s="36"/>
      <c r="B182" s="36"/>
      <c r="C182" s="37"/>
      <c r="D182" s="1"/>
      <c r="E182" s="1"/>
      <c r="F182" s="1"/>
      <c r="G182" s="1"/>
      <c r="H182" s="1"/>
      <c r="I182" s="1"/>
    </row>
    <row r="183" ht="15.75" customHeight="1">
      <c r="A183" s="36"/>
      <c r="B183" s="36"/>
      <c r="C183" s="37"/>
      <c r="D183" s="1"/>
      <c r="E183" s="1"/>
      <c r="F183" s="1"/>
      <c r="G183" s="1"/>
      <c r="H183" s="1"/>
      <c r="I183" s="1"/>
    </row>
    <row r="184" ht="15.75" customHeight="1">
      <c r="A184" s="36"/>
      <c r="B184" s="36"/>
      <c r="C184" s="37"/>
      <c r="D184" s="1"/>
      <c r="E184" s="1"/>
      <c r="F184" s="1"/>
      <c r="G184" s="1"/>
      <c r="H184" s="1"/>
      <c r="I184" s="1"/>
    </row>
    <row r="185" ht="15.75" customHeight="1">
      <c r="A185" s="36"/>
      <c r="B185" s="36"/>
      <c r="C185" s="37"/>
      <c r="D185" s="1"/>
      <c r="E185" s="1"/>
      <c r="F185" s="1"/>
      <c r="G185" s="1"/>
      <c r="H185" s="1"/>
      <c r="I185" s="1"/>
    </row>
    <row r="186" ht="15.75" customHeight="1">
      <c r="A186" s="36"/>
      <c r="B186" s="36"/>
      <c r="C186" s="37"/>
      <c r="D186" s="1"/>
      <c r="E186" s="1"/>
      <c r="F186" s="1"/>
      <c r="G186" s="1"/>
      <c r="H186" s="1"/>
      <c r="I186" s="1"/>
    </row>
    <row r="187" ht="15.75" customHeight="1">
      <c r="A187" s="36"/>
      <c r="B187" s="36"/>
      <c r="C187" s="37"/>
      <c r="D187" s="1"/>
      <c r="E187" s="1"/>
      <c r="F187" s="1"/>
      <c r="G187" s="1"/>
      <c r="H187" s="1"/>
      <c r="I187" s="1"/>
    </row>
    <row r="188" ht="15.75" customHeight="1">
      <c r="A188" s="36"/>
      <c r="B188" s="36"/>
      <c r="C188" s="37"/>
      <c r="D188" s="1"/>
      <c r="E188" s="1"/>
      <c r="F188" s="1"/>
      <c r="G188" s="1"/>
      <c r="H188" s="1"/>
      <c r="I188" s="1"/>
    </row>
    <row r="189" ht="15.75" customHeight="1">
      <c r="A189" s="36"/>
      <c r="B189" s="36"/>
      <c r="C189" s="37"/>
      <c r="D189" s="1"/>
      <c r="E189" s="1"/>
      <c r="F189" s="1"/>
      <c r="G189" s="1"/>
      <c r="H189" s="1"/>
      <c r="I189" s="1"/>
    </row>
    <row r="190" ht="15.75" customHeight="1">
      <c r="A190" s="36"/>
      <c r="B190" s="36"/>
      <c r="C190" s="37"/>
      <c r="D190" s="1"/>
      <c r="E190" s="1"/>
      <c r="F190" s="1"/>
      <c r="G190" s="1"/>
      <c r="H190" s="1"/>
      <c r="I190" s="1"/>
    </row>
    <row r="191" ht="15.75" customHeight="1">
      <c r="A191" s="36"/>
      <c r="B191" s="36"/>
      <c r="C191" s="37"/>
      <c r="D191" s="1"/>
      <c r="E191" s="1"/>
      <c r="F191" s="1"/>
      <c r="G191" s="1"/>
      <c r="H191" s="1"/>
      <c r="I191" s="1"/>
    </row>
    <row r="192" ht="15.75" customHeight="1">
      <c r="A192" s="36"/>
      <c r="B192" s="36"/>
      <c r="C192" s="37"/>
      <c r="D192" s="1"/>
      <c r="E192" s="1"/>
      <c r="F192" s="1"/>
      <c r="G192" s="1"/>
      <c r="H192" s="1"/>
      <c r="I192" s="1"/>
    </row>
    <row r="193" ht="15.75" customHeight="1">
      <c r="A193" s="36"/>
      <c r="B193" s="36"/>
      <c r="C193" s="37"/>
      <c r="D193" s="1"/>
      <c r="E193" s="1"/>
      <c r="F193" s="1"/>
      <c r="G193" s="1"/>
      <c r="H193" s="1"/>
      <c r="I193" s="1"/>
    </row>
    <row r="194" ht="15.75" customHeight="1">
      <c r="A194" s="36"/>
      <c r="B194" s="36"/>
      <c r="C194" s="37"/>
      <c r="D194" s="1"/>
      <c r="E194" s="1"/>
      <c r="F194" s="1"/>
      <c r="G194" s="1"/>
      <c r="H194" s="1"/>
      <c r="I194" s="1"/>
    </row>
    <row r="195" ht="15.75" customHeight="1">
      <c r="A195" s="36"/>
      <c r="B195" s="36"/>
      <c r="C195" s="37"/>
      <c r="D195" s="1"/>
      <c r="E195" s="1"/>
      <c r="F195" s="1"/>
      <c r="G195" s="1"/>
      <c r="H195" s="1"/>
      <c r="I195" s="1"/>
    </row>
    <row r="196" ht="15.75" customHeight="1">
      <c r="A196" s="36"/>
      <c r="B196" s="36"/>
      <c r="C196" s="37"/>
      <c r="D196" s="1"/>
      <c r="E196" s="1"/>
      <c r="F196" s="1"/>
      <c r="G196" s="1"/>
      <c r="H196" s="1"/>
      <c r="I196" s="1"/>
    </row>
    <row r="197" ht="15.75" customHeight="1">
      <c r="A197" s="36"/>
      <c r="B197" s="36"/>
      <c r="C197" s="37"/>
      <c r="D197" s="1"/>
      <c r="E197" s="1"/>
      <c r="F197" s="1"/>
      <c r="G197" s="1"/>
      <c r="H197" s="1"/>
      <c r="I197" s="1"/>
    </row>
    <row r="198" ht="15.75" customHeight="1">
      <c r="A198" s="36"/>
      <c r="B198" s="36"/>
      <c r="C198" s="37"/>
      <c r="D198" s="1"/>
      <c r="E198" s="1"/>
      <c r="F198" s="1"/>
      <c r="G198" s="1"/>
      <c r="H198" s="1"/>
      <c r="I198" s="1"/>
    </row>
    <row r="199" ht="15.75" customHeight="1">
      <c r="A199" s="36"/>
      <c r="B199" s="36"/>
      <c r="C199" s="37"/>
      <c r="D199" s="1"/>
      <c r="E199" s="1"/>
      <c r="F199" s="1"/>
      <c r="G199" s="1"/>
      <c r="H199" s="1"/>
      <c r="I199" s="1"/>
    </row>
    <row r="200" ht="15.75" customHeight="1">
      <c r="A200" s="36"/>
      <c r="B200" s="36"/>
      <c r="C200" s="37"/>
      <c r="D200" s="1"/>
      <c r="E200" s="1"/>
      <c r="F200" s="1"/>
      <c r="G200" s="1"/>
      <c r="H200" s="1"/>
      <c r="I200" s="1"/>
    </row>
    <row r="201" ht="15.75" customHeight="1">
      <c r="A201" s="36"/>
      <c r="B201" s="36"/>
      <c r="C201" s="37"/>
      <c r="D201" s="1"/>
      <c r="E201" s="1"/>
      <c r="F201" s="1"/>
      <c r="G201" s="1"/>
      <c r="H201" s="1"/>
      <c r="I201" s="1"/>
    </row>
    <row r="202" ht="15.75" customHeight="1">
      <c r="A202" s="36"/>
      <c r="B202" s="36"/>
      <c r="C202" s="37"/>
      <c r="D202" s="1"/>
      <c r="E202" s="1"/>
      <c r="F202" s="1"/>
      <c r="G202" s="1"/>
      <c r="H202" s="1"/>
      <c r="I202" s="1"/>
    </row>
    <row r="203" ht="15.75" customHeight="1">
      <c r="A203" s="36"/>
      <c r="B203" s="36"/>
      <c r="C203" s="37"/>
      <c r="D203" s="1"/>
      <c r="E203" s="1"/>
      <c r="F203" s="1"/>
      <c r="G203" s="1"/>
      <c r="H203" s="1"/>
      <c r="I203" s="1"/>
    </row>
    <row r="204" ht="15.75" customHeight="1">
      <c r="A204" s="36"/>
      <c r="B204" s="36"/>
      <c r="C204" s="37"/>
      <c r="D204" s="1"/>
      <c r="E204" s="1"/>
      <c r="F204" s="1"/>
      <c r="G204" s="1"/>
      <c r="H204" s="1"/>
      <c r="I204" s="1"/>
    </row>
    <row r="205" ht="15.75" customHeight="1">
      <c r="A205" s="36"/>
      <c r="B205" s="36"/>
      <c r="C205" s="37"/>
      <c r="D205" s="1"/>
      <c r="E205" s="1"/>
      <c r="F205" s="1"/>
      <c r="G205" s="1"/>
      <c r="H205" s="1"/>
      <c r="I205" s="1"/>
    </row>
    <row r="206" ht="15.75" customHeight="1">
      <c r="A206" s="36"/>
      <c r="B206" s="36"/>
      <c r="C206" s="37"/>
      <c r="D206" s="1"/>
      <c r="E206" s="1"/>
      <c r="F206" s="1"/>
      <c r="G206" s="1"/>
      <c r="H206" s="1"/>
      <c r="I206" s="1"/>
    </row>
    <row r="207" ht="15.75" customHeight="1">
      <c r="A207" s="36"/>
      <c r="B207" s="36"/>
      <c r="C207" s="37"/>
      <c r="D207" s="1"/>
      <c r="E207" s="1"/>
      <c r="F207" s="1"/>
      <c r="G207" s="1"/>
      <c r="H207" s="1"/>
      <c r="I207" s="1"/>
    </row>
    <row r="208" ht="15.75" customHeight="1">
      <c r="A208" s="36"/>
      <c r="B208" s="36"/>
      <c r="C208" s="37"/>
      <c r="D208" s="1"/>
      <c r="E208" s="1"/>
      <c r="F208" s="1"/>
      <c r="G208" s="1"/>
      <c r="H208" s="1"/>
      <c r="I208" s="1"/>
    </row>
    <row r="209" ht="15.75" customHeight="1">
      <c r="A209" s="36"/>
      <c r="B209" s="36"/>
      <c r="C209" s="37"/>
      <c r="D209" s="1"/>
      <c r="E209" s="1"/>
      <c r="F209" s="1"/>
      <c r="G209" s="1"/>
      <c r="H209" s="1"/>
      <c r="I209" s="1"/>
    </row>
    <row r="210" ht="15.75" customHeight="1">
      <c r="A210" s="36"/>
      <c r="B210" s="36"/>
      <c r="C210" s="37"/>
      <c r="D210" s="1"/>
      <c r="E210" s="1"/>
      <c r="F210" s="1"/>
      <c r="G210" s="1"/>
      <c r="H210" s="1"/>
      <c r="I210" s="1"/>
    </row>
    <row r="211" ht="15.75" customHeight="1">
      <c r="A211" s="36"/>
      <c r="B211" s="36"/>
      <c r="C211" s="37"/>
      <c r="D211" s="1"/>
      <c r="E211" s="1"/>
      <c r="F211" s="1"/>
      <c r="G211" s="1"/>
      <c r="H211" s="1"/>
      <c r="I211" s="1"/>
    </row>
    <row r="212" ht="15.75" customHeight="1">
      <c r="A212" s="36"/>
      <c r="B212" s="36"/>
      <c r="C212" s="37"/>
      <c r="D212" s="1"/>
      <c r="E212" s="1"/>
      <c r="F212" s="1"/>
      <c r="G212" s="1"/>
      <c r="H212" s="1"/>
      <c r="I212" s="1"/>
    </row>
    <row r="213" ht="15.75" customHeight="1">
      <c r="A213" s="36"/>
      <c r="B213" s="36"/>
      <c r="C213" s="37"/>
      <c r="D213" s="1"/>
      <c r="E213" s="1"/>
      <c r="F213" s="1"/>
      <c r="G213" s="1"/>
      <c r="H213" s="1"/>
      <c r="I213" s="1"/>
    </row>
    <row r="214" ht="15.75" customHeight="1">
      <c r="A214" s="36"/>
      <c r="B214" s="36"/>
      <c r="C214" s="37"/>
      <c r="D214" s="1"/>
      <c r="E214" s="1"/>
      <c r="F214" s="1"/>
      <c r="G214" s="1"/>
      <c r="H214" s="1"/>
      <c r="I214" s="1"/>
    </row>
    <row r="215" ht="15.75" customHeight="1">
      <c r="A215" s="36"/>
      <c r="B215" s="36"/>
      <c r="C215" s="37"/>
      <c r="D215" s="1"/>
      <c r="E215" s="1"/>
      <c r="F215" s="1"/>
      <c r="G215" s="1"/>
      <c r="H215" s="1"/>
      <c r="I215" s="1"/>
    </row>
    <row r="216" ht="15.75" customHeight="1">
      <c r="A216" s="36"/>
      <c r="B216" s="36"/>
      <c r="C216" s="37"/>
      <c r="D216" s="1"/>
      <c r="E216" s="1"/>
      <c r="F216" s="1"/>
      <c r="G216" s="1"/>
      <c r="H216" s="1"/>
      <c r="I216" s="1"/>
    </row>
    <row r="217" ht="15.75" customHeight="1">
      <c r="A217" s="36"/>
      <c r="B217" s="36"/>
      <c r="C217" s="37"/>
      <c r="D217" s="1"/>
      <c r="E217" s="1"/>
      <c r="F217" s="1"/>
      <c r="G217" s="1"/>
      <c r="H217" s="1"/>
      <c r="I217" s="1"/>
    </row>
    <row r="218" ht="15.75" customHeight="1">
      <c r="A218" s="36"/>
      <c r="B218" s="36"/>
      <c r="C218" s="37"/>
      <c r="D218" s="1"/>
      <c r="E218" s="1"/>
      <c r="F218" s="1"/>
      <c r="G218" s="1"/>
      <c r="H218" s="1"/>
      <c r="I218" s="1"/>
    </row>
    <row r="219" ht="15.75" customHeight="1">
      <c r="A219" s="36"/>
      <c r="B219" s="36"/>
      <c r="C219" s="37"/>
      <c r="D219" s="1"/>
      <c r="E219" s="1"/>
      <c r="F219" s="1"/>
      <c r="G219" s="1"/>
      <c r="H219" s="1"/>
      <c r="I219" s="1"/>
    </row>
    <row r="220" ht="15.75" customHeight="1">
      <c r="A220" s="36"/>
      <c r="B220" s="36"/>
      <c r="C220" s="37"/>
      <c r="D220" s="1"/>
      <c r="E220" s="1"/>
      <c r="F220" s="1"/>
      <c r="G220" s="1"/>
      <c r="H220" s="1"/>
      <c r="I220" s="1"/>
    </row>
    <row r="221" ht="15.75" customHeight="1">
      <c r="A221" s="36"/>
      <c r="B221" s="36"/>
      <c r="C221" s="37"/>
      <c r="D221" s="1"/>
      <c r="E221" s="1"/>
      <c r="F221" s="1"/>
      <c r="G221" s="1"/>
      <c r="H221" s="1"/>
      <c r="I221" s="1"/>
    </row>
    <row r="222" ht="15.75" customHeight="1">
      <c r="A222" s="36"/>
      <c r="B222" s="36"/>
      <c r="C222" s="37"/>
      <c r="D222" s="1"/>
      <c r="E222" s="1"/>
      <c r="F222" s="1"/>
      <c r="G222" s="1"/>
      <c r="H222" s="1"/>
      <c r="I222" s="1"/>
    </row>
    <row r="223" ht="15.75" customHeight="1">
      <c r="A223" s="36"/>
      <c r="B223" s="36"/>
      <c r="C223" s="37"/>
      <c r="D223" s="1"/>
      <c r="E223" s="1"/>
      <c r="F223" s="1"/>
      <c r="G223" s="1"/>
      <c r="H223" s="1"/>
      <c r="I223" s="1"/>
    </row>
    <row r="224" ht="15.75" customHeight="1">
      <c r="A224" s="36"/>
      <c r="B224" s="36"/>
      <c r="C224" s="37"/>
      <c r="D224" s="1"/>
      <c r="E224" s="1"/>
      <c r="F224" s="1"/>
      <c r="G224" s="1"/>
      <c r="H224" s="1"/>
      <c r="I224" s="1"/>
    </row>
    <row r="225" ht="15.75" customHeight="1">
      <c r="A225" s="36"/>
      <c r="B225" s="36"/>
      <c r="C225" s="37"/>
      <c r="D225" s="1"/>
      <c r="E225" s="1"/>
      <c r="F225" s="1"/>
      <c r="G225" s="1"/>
      <c r="H225" s="1"/>
      <c r="I225" s="1"/>
    </row>
    <row r="226" ht="15.75" customHeight="1">
      <c r="A226" s="36"/>
      <c r="B226" s="36"/>
      <c r="C226" s="37"/>
      <c r="D226" s="1"/>
      <c r="E226" s="1"/>
      <c r="F226" s="1"/>
      <c r="G226" s="1"/>
      <c r="H226" s="1"/>
      <c r="I226" s="1"/>
    </row>
    <row r="227" ht="15.75" customHeight="1">
      <c r="A227" s="36"/>
      <c r="B227" s="36"/>
      <c r="C227" s="37"/>
      <c r="D227" s="1"/>
      <c r="E227" s="1"/>
      <c r="F227" s="1"/>
      <c r="G227" s="1"/>
      <c r="H227" s="1"/>
      <c r="I227" s="1"/>
    </row>
    <row r="228" ht="15.75" customHeight="1">
      <c r="A228" s="36"/>
      <c r="B228" s="36"/>
      <c r="C228" s="37"/>
      <c r="D228" s="1"/>
      <c r="E228" s="1"/>
      <c r="F228" s="1"/>
      <c r="G228" s="1"/>
      <c r="H228" s="1"/>
      <c r="I228" s="1"/>
    </row>
    <row r="229" ht="15.75" customHeight="1">
      <c r="A229" s="36"/>
      <c r="B229" s="36"/>
      <c r="C229" s="37"/>
      <c r="D229" s="1"/>
      <c r="E229" s="1"/>
      <c r="F229" s="1"/>
      <c r="G229" s="1"/>
      <c r="H229" s="1"/>
      <c r="I229" s="1"/>
    </row>
    <row r="230" ht="15.75" customHeight="1">
      <c r="A230" s="36"/>
      <c r="B230" s="36"/>
      <c r="C230" s="37"/>
      <c r="D230" s="1"/>
      <c r="E230" s="1"/>
      <c r="F230" s="1"/>
      <c r="G230" s="1"/>
      <c r="H230" s="1"/>
      <c r="I230" s="1"/>
    </row>
    <row r="231" ht="15.75" customHeight="1">
      <c r="A231" s="36"/>
      <c r="B231" s="36"/>
      <c r="C231" s="37"/>
      <c r="D231" s="1"/>
      <c r="E231" s="1"/>
      <c r="F231" s="1"/>
      <c r="G231" s="1"/>
      <c r="H231" s="1"/>
      <c r="I231" s="1"/>
    </row>
    <row r="232" ht="15.75" customHeight="1">
      <c r="A232" s="36"/>
      <c r="B232" s="36"/>
      <c r="C232" s="37"/>
      <c r="D232" s="1"/>
      <c r="E232" s="1"/>
      <c r="F232" s="1"/>
      <c r="G232" s="1"/>
      <c r="H232" s="1"/>
      <c r="I232" s="1"/>
    </row>
    <row r="233" ht="15.75" customHeight="1">
      <c r="A233" s="36"/>
      <c r="B233" s="36"/>
      <c r="C233" s="37"/>
      <c r="D233" s="1"/>
      <c r="E233" s="1"/>
      <c r="F233" s="1"/>
      <c r="G233" s="1"/>
      <c r="H233" s="1"/>
      <c r="I233" s="1"/>
    </row>
    <row r="234" ht="15.75" customHeight="1">
      <c r="A234" s="36"/>
      <c r="B234" s="36"/>
      <c r="C234" s="37"/>
      <c r="D234" s="1"/>
      <c r="E234" s="1"/>
      <c r="F234" s="1"/>
      <c r="G234" s="1"/>
      <c r="H234" s="1"/>
      <c r="I234" s="1"/>
    </row>
    <row r="235" ht="15.75" customHeight="1">
      <c r="A235" s="36"/>
      <c r="B235" s="36"/>
      <c r="C235" s="37"/>
      <c r="D235" s="1"/>
      <c r="E235" s="1"/>
      <c r="F235" s="1"/>
      <c r="G235" s="1"/>
      <c r="H235" s="1"/>
      <c r="I235" s="1"/>
    </row>
    <row r="236" ht="15.75" customHeight="1">
      <c r="A236" s="36"/>
      <c r="B236" s="36"/>
      <c r="C236" s="37"/>
      <c r="D236" s="1"/>
      <c r="E236" s="1"/>
      <c r="F236" s="1"/>
      <c r="G236" s="1"/>
      <c r="H236" s="1"/>
      <c r="I236" s="1"/>
    </row>
    <row r="237" ht="15.75" customHeight="1">
      <c r="A237" s="36"/>
      <c r="B237" s="36"/>
      <c r="C237" s="37"/>
      <c r="D237" s="1"/>
      <c r="E237" s="1"/>
      <c r="F237" s="1"/>
      <c r="G237" s="1"/>
      <c r="H237" s="1"/>
      <c r="I237" s="1"/>
    </row>
    <row r="238" ht="15.75" customHeight="1">
      <c r="A238" s="36"/>
      <c r="B238" s="36"/>
      <c r="C238" s="37"/>
      <c r="D238" s="1"/>
      <c r="E238" s="1"/>
      <c r="F238" s="1"/>
      <c r="G238" s="1"/>
      <c r="H238" s="1"/>
      <c r="I238" s="1"/>
    </row>
    <row r="239" ht="15.75" customHeight="1">
      <c r="A239" s="36"/>
      <c r="B239" s="36"/>
      <c r="C239" s="37"/>
      <c r="D239" s="1"/>
      <c r="E239" s="1"/>
      <c r="F239" s="1"/>
      <c r="G239" s="1"/>
      <c r="H239" s="1"/>
      <c r="I239" s="1"/>
    </row>
    <row r="240" ht="15.75" customHeight="1">
      <c r="A240" s="36"/>
      <c r="B240" s="36"/>
      <c r="C240" s="37"/>
      <c r="D240" s="1"/>
      <c r="E240" s="1"/>
      <c r="F240" s="1"/>
      <c r="G240" s="1"/>
      <c r="H240" s="1"/>
      <c r="I240" s="1"/>
    </row>
    <row r="241" ht="15.75" customHeight="1">
      <c r="A241" s="36"/>
      <c r="B241" s="36"/>
      <c r="C241" s="37"/>
      <c r="D241" s="1"/>
      <c r="E241" s="1"/>
      <c r="F241" s="1"/>
      <c r="G241" s="1"/>
      <c r="H241" s="1"/>
      <c r="I241" s="1"/>
    </row>
    <row r="242" ht="15.75" customHeight="1">
      <c r="A242" s="36"/>
      <c r="B242" s="36"/>
      <c r="C242" s="37"/>
      <c r="D242" s="1"/>
      <c r="E242" s="1"/>
      <c r="F242" s="1"/>
      <c r="G242" s="1"/>
      <c r="H242" s="1"/>
      <c r="I242" s="1"/>
    </row>
    <row r="243" ht="15.75" customHeight="1">
      <c r="A243" s="36"/>
      <c r="B243" s="36"/>
      <c r="C243" s="37"/>
      <c r="D243" s="1"/>
      <c r="E243" s="1"/>
      <c r="F243" s="1"/>
      <c r="G243" s="1"/>
      <c r="H243" s="1"/>
      <c r="I243" s="1"/>
    </row>
    <row r="244" ht="15.75" customHeight="1">
      <c r="A244" s="36"/>
      <c r="B244" s="36"/>
      <c r="C244" s="37"/>
      <c r="D244" s="1"/>
      <c r="E244" s="1"/>
      <c r="F244" s="1"/>
      <c r="G244" s="1"/>
      <c r="H244" s="1"/>
      <c r="I244" s="1"/>
    </row>
    <row r="245" ht="15.75" customHeight="1">
      <c r="A245" s="36"/>
      <c r="B245" s="36"/>
      <c r="C245" s="37"/>
      <c r="D245" s="1"/>
      <c r="E245" s="1"/>
      <c r="F245" s="1"/>
      <c r="G245" s="1"/>
      <c r="H245" s="1"/>
      <c r="I245" s="1"/>
    </row>
    <row r="246" ht="15.75" customHeight="1">
      <c r="A246" s="36"/>
      <c r="B246" s="36"/>
      <c r="C246" s="37"/>
      <c r="D246" s="1"/>
      <c r="E246" s="1"/>
      <c r="F246" s="1"/>
      <c r="G246" s="1"/>
      <c r="H246" s="1"/>
      <c r="I246" s="1"/>
    </row>
    <row r="247" ht="15.75" customHeight="1">
      <c r="A247" s="36"/>
      <c r="B247" s="36"/>
      <c r="C247" s="37"/>
      <c r="D247" s="1"/>
      <c r="E247" s="1"/>
      <c r="F247" s="1"/>
      <c r="G247" s="1"/>
      <c r="H247" s="1"/>
      <c r="I247" s="1"/>
    </row>
    <row r="248" ht="15.75" customHeight="1">
      <c r="A248" s="36"/>
      <c r="B248" s="36"/>
      <c r="C248" s="37"/>
      <c r="D248" s="1"/>
      <c r="E248" s="1"/>
      <c r="F248" s="1"/>
      <c r="G248" s="1"/>
      <c r="H248" s="1"/>
      <c r="I248" s="1"/>
    </row>
    <row r="249" ht="15.75" customHeight="1">
      <c r="A249" s="36"/>
      <c r="B249" s="36"/>
      <c r="C249" s="37"/>
      <c r="D249" s="1"/>
      <c r="E249" s="1"/>
      <c r="F249" s="1"/>
      <c r="G249" s="1"/>
      <c r="H249" s="1"/>
      <c r="I249" s="1"/>
    </row>
    <row r="250" ht="15.75" customHeight="1">
      <c r="A250" s="36"/>
      <c r="B250" s="36"/>
      <c r="C250" s="37"/>
      <c r="D250" s="1"/>
      <c r="E250" s="1"/>
      <c r="F250" s="1"/>
      <c r="G250" s="1"/>
      <c r="H250" s="1"/>
      <c r="I250" s="1"/>
    </row>
    <row r="251" ht="15.75" customHeight="1">
      <c r="A251" s="36"/>
      <c r="B251" s="36"/>
      <c r="C251" s="37"/>
      <c r="D251" s="1"/>
      <c r="E251" s="1"/>
      <c r="F251" s="1"/>
      <c r="G251" s="1"/>
      <c r="H251" s="1"/>
      <c r="I251" s="1"/>
    </row>
    <row r="252" ht="15.75" customHeight="1">
      <c r="A252" s="36"/>
      <c r="B252" s="36"/>
      <c r="C252" s="37"/>
      <c r="D252" s="1"/>
      <c r="E252" s="1"/>
      <c r="F252" s="1"/>
      <c r="G252" s="1"/>
      <c r="H252" s="1"/>
      <c r="I252" s="1"/>
    </row>
    <row r="253" ht="15.75" customHeight="1">
      <c r="A253" s="36"/>
      <c r="B253" s="36"/>
      <c r="C253" s="37"/>
      <c r="D253" s="1"/>
      <c r="E253" s="1"/>
      <c r="F253" s="1"/>
      <c r="G253" s="1"/>
      <c r="H253" s="1"/>
      <c r="I253" s="1"/>
    </row>
    <row r="254" ht="15.75" customHeight="1">
      <c r="A254" s="36"/>
      <c r="B254" s="36"/>
      <c r="C254" s="37"/>
      <c r="D254" s="1"/>
      <c r="E254" s="1"/>
      <c r="F254" s="1"/>
      <c r="G254" s="1"/>
      <c r="H254" s="1"/>
      <c r="I254" s="1"/>
    </row>
    <row r="255" ht="15.75" customHeight="1">
      <c r="A255" s="36"/>
      <c r="B255" s="36"/>
      <c r="C255" s="37"/>
      <c r="D255" s="1"/>
      <c r="E255" s="1"/>
      <c r="F255" s="1"/>
      <c r="G255" s="1"/>
      <c r="H255" s="1"/>
      <c r="I255" s="1"/>
    </row>
    <row r="256" ht="15.75" customHeight="1">
      <c r="A256" s="36"/>
      <c r="B256" s="36"/>
      <c r="C256" s="37"/>
      <c r="D256" s="1"/>
      <c r="E256" s="1"/>
      <c r="F256" s="1"/>
      <c r="G256" s="1"/>
      <c r="H256" s="1"/>
      <c r="I256" s="1"/>
    </row>
    <row r="257" ht="15.75" customHeight="1">
      <c r="A257" s="36"/>
      <c r="B257" s="36"/>
      <c r="C257" s="37"/>
      <c r="D257" s="1"/>
      <c r="E257" s="1"/>
      <c r="F257" s="1"/>
      <c r="G257" s="1"/>
      <c r="H257" s="1"/>
      <c r="I257" s="1"/>
    </row>
    <row r="258" ht="15.75" customHeight="1">
      <c r="A258" s="36"/>
      <c r="B258" s="36"/>
      <c r="C258" s="37"/>
      <c r="D258" s="1"/>
      <c r="E258" s="1"/>
      <c r="F258" s="1"/>
      <c r="G258" s="1"/>
      <c r="H258" s="1"/>
      <c r="I258" s="1"/>
    </row>
    <row r="259" ht="15.75" customHeight="1">
      <c r="A259" s="36"/>
      <c r="B259" s="36"/>
      <c r="C259" s="37"/>
      <c r="D259" s="1"/>
      <c r="E259" s="1"/>
      <c r="F259" s="1"/>
      <c r="G259" s="1"/>
      <c r="H259" s="1"/>
      <c r="I259" s="1"/>
    </row>
    <row r="260" ht="15.75" customHeight="1">
      <c r="A260" s="36"/>
      <c r="B260" s="36"/>
      <c r="C260" s="37"/>
      <c r="D260" s="1"/>
      <c r="E260" s="1"/>
      <c r="F260" s="1"/>
      <c r="G260" s="1"/>
      <c r="H260" s="1"/>
      <c r="I260" s="1"/>
    </row>
    <row r="261" ht="15.75" customHeight="1">
      <c r="A261" s="36"/>
      <c r="B261" s="36"/>
      <c r="C261" s="37"/>
      <c r="D261" s="1"/>
      <c r="E261" s="1"/>
      <c r="F261" s="1"/>
      <c r="G261" s="1"/>
      <c r="H261" s="1"/>
      <c r="I261" s="1"/>
    </row>
    <row r="262" ht="15.75" customHeight="1">
      <c r="A262" s="36"/>
      <c r="B262" s="36"/>
      <c r="C262" s="37"/>
      <c r="D262" s="1"/>
      <c r="E262" s="1"/>
      <c r="F262" s="1"/>
      <c r="G262" s="1"/>
      <c r="H262" s="1"/>
      <c r="I262" s="1"/>
    </row>
    <row r="263" ht="15.75" customHeight="1">
      <c r="A263" s="36"/>
      <c r="B263" s="36"/>
      <c r="C263" s="37"/>
      <c r="D263" s="1"/>
      <c r="E263" s="1"/>
      <c r="F263" s="1"/>
      <c r="G263" s="1"/>
      <c r="H263" s="1"/>
      <c r="I263" s="1"/>
    </row>
    <row r="264" ht="15.75" customHeight="1">
      <c r="A264" s="36"/>
      <c r="B264" s="36"/>
      <c r="C264" s="37"/>
      <c r="D264" s="1"/>
      <c r="E264" s="1"/>
      <c r="F264" s="1"/>
      <c r="G264" s="1"/>
      <c r="H264" s="1"/>
      <c r="I264" s="1"/>
    </row>
    <row r="265" ht="15.75" customHeight="1">
      <c r="A265" s="36"/>
      <c r="B265" s="36"/>
      <c r="C265" s="37"/>
      <c r="D265" s="1"/>
      <c r="E265" s="1"/>
      <c r="F265" s="1"/>
      <c r="G265" s="1"/>
      <c r="H265" s="1"/>
      <c r="I265" s="1"/>
    </row>
    <row r="266" ht="15.75" customHeight="1">
      <c r="A266" s="36"/>
      <c r="B266" s="36"/>
      <c r="C266" s="37"/>
      <c r="D266" s="1"/>
      <c r="E266" s="1"/>
      <c r="F266" s="1"/>
      <c r="G266" s="1"/>
      <c r="H266" s="1"/>
      <c r="I266" s="1"/>
    </row>
    <row r="267" ht="15.75" customHeight="1">
      <c r="A267" s="36"/>
      <c r="B267" s="36"/>
      <c r="C267" s="37"/>
      <c r="D267" s="1"/>
      <c r="E267" s="1"/>
      <c r="F267" s="1"/>
      <c r="G267" s="1"/>
      <c r="H267" s="1"/>
      <c r="I267" s="1"/>
    </row>
    <row r="268" ht="15.75" customHeight="1">
      <c r="A268" s="36"/>
      <c r="B268" s="36"/>
      <c r="C268" s="37"/>
      <c r="D268" s="1"/>
      <c r="E268" s="1"/>
      <c r="F268" s="1"/>
      <c r="G268" s="1"/>
      <c r="H268" s="1"/>
      <c r="I268" s="1"/>
    </row>
    <row r="269" ht="15.75" customHeight="1">
      <c r="A269" s="36"/>
      <c r="B269" s="36"/>
      <c r="C269" s="37"/>
      <c r="D269" s="1"/>
      <c r="E269" s="1"/>
      <c r="F269" s="1"/>
      <c r="G269" s="1"/>
      <c r="H269" s="1"/>
      <c r="I269" s="1"/>
    </row>
    <row r="270" ht="15.75" customHeight="1">
      <c r="A270" s="36"/>
      <c r="B270" s="36"/>
      <c r="C270" s="37"/>
      <c r="D270" s="1"/>
      <c r="E270" s="1"/>
      <c r="F270" s="1"/>
      <c r="G270" s="1"/>
      <c r="H270" s="1"/>
      <c r="I270" s="1"/>
    </row>
    <row r="271" ht="15.75" customHeight="1">
      <c r="A271" s="36"/>
      <c r="B271" s="36"/>
      <c r="C271" s="37"/>
      <c r="D271" s="1"/>
      <c r="E271" s="1"/>
      <c r="F271" s="1"/>
      <c r="G271" s="1"/>
      <c r="H271" s="1"/>
      <c r="I271" s="1"/>
    </row>
    <row r="272" ht="15.75" customHeight="1">
      <c r="A272" s="36"/>
      <c r="B272" s="36"/>
      <c r="C272" s="37"/>
      <c r="D272" s="1"/>
      <c r="E272" s="1"/>
      <c r="F272" s="1"/>
      <c r="G272" s="1"/>
      <c r="H272" s="1"/>
      <c r="I272" s="1"/>
    </row>
    <row r="273" ht="15.75" customHeight="1">
      <c r="A273" s="36"/>
      <c r="B273" s="36"/>
      <c r="C273" s="37"/>
      <c r="D273" s="1"/>
      <c r="E273" s="1"/>
      <c r="F273" s="1"/>
      <c r="G273" s="1"/>
      <c r="H273" s="1"/>
      <c r="I273" s="1"/>
    </row>
    <row r="274" ht="15.75" customHeight="1">
      <c r="A274" s="36"/>
      <c r="B274" s="36"/>
      <c r="C274" s="37"/>
      <c r="D274" s="1"/>
      <c r="E274" s="1"/>
      <c r="F274" s="1"/>
      <c r="G274" s="1"/>
      <c r="H274" s="1"/>
      <c r="I274" s="1"/>
    </row>
    <row r="275" ht="15.75" customHeight="1">
      <c r="A275" s="36"/>
      <c r="B275" s="36"/>
      <c r="C275" s="37"/>
      <c r="D275" s="1"/>
      <c r="E275" s="1"/>
      <c r="F275" s="1"/>
      <c r="G275" s="1"/>
      <c r="H275" s="1"/>
      <c r="I275" s="1"/>
    </row>
    <row r="276" ht="15.75" customHeight="1">
      <c r="A276" s="36"/>
      <c r="B276" s="36"/>
      <c r="C276" s="37"/>
      <c r="D276" s="1"/>
      <c r="E276" s="1"/>
      <c r="F276" s="1"/>
      <c r="G276" s="1"/>
      <c r="H276" s="1"/>
      <c r="I276" s="1"/>
    </row>
    <row r="277" ht="15.75" customHeight="1">
      <c r="A277" s="36"/>
      <c r="B277" s="36"/>
      <c r="C277" s="37"/>
      <c r="D277" s="1"/>
      <c r="E277" s="1"/>
      <c r="F277" s="1"/>
      <c r="G277" s="1"/>
      <c r="H277" s="1"/>
      <c r="I277" s="1"/>
    </row>
    <row r="278" ht="15.75" customHeight="1">
      <c r="A278" s="36"/>
      <c r="B278" s="36"/>
      <c r="C278" s="37"/>
      <c r="D278" s="1"/>
      <c r="E278" s="1"/>
      <c r="F278" s="1"/>
      <c r="G278" s="1"/>
      <c r="H278" s="1"/>
      <c r="I278" s="1"/>
    </row>
    <row r="279" ht="15.75" customHeight="1">
      <c r="A279" s="36"/>
      <c r="B279" s="36"/>
      <c r="C279" s="37"/>
      <c r="D279" s="1"/>
      <c r="E279" s="1"/>
      <c r="F279" s="1"/>
      <c r="G279" s="1"/>
      <c r="H279" s="1"/>
      <c r="I279" s="1"/>
    </row>
    <row r="280" ht="15.75" customHeight="1">
      <c r="A280" s="36"/>
      <c r="B280" s="36"/>
      <c r="C280" s="37"/>
      <c r="D280" s="1"/>
      <c r="E280" s="1"/>
      <c r="F280" s="1"/>
      <c r="G280" s="1"/>
      <c r="H280" s="1"/>
      <c r="I280" s="1"/>
    </row>
    <row r="281" ht="15.75" customHeight="1">
      <c r="A281" s="36"/>
      <c r="B281" s="36"/>
      <c r="C281" s="37"/>
      <c r="D281" s="1"/>
      <c r="E281" s="1"/>
      <c r="F281" s="1"/>
      <c r="G281" s="1"/>
      <c r="H281" s="1"/>
      <c r="I281" s="1"/>
    </row>
    <row r="282" ht="15.75" customHeight="1">
      <c r="A282" s="36"/>
      <c r="B282" s="36"/>
      <c r="C282" s="37"/>
      <c r="D282" s="1"/>
      <c r="E282" s="1"/>
      <c r="F282" s="1"/>
      <c r="G282" s="1"/>
      <c r="H282" s="1"/>
      <c r="I282" s="1"/>
    </row>
    <row r="283" ht="15.75" customHeight="1">
      <c r="A283" s="36"/>
      <c r="B283" s="36"/>
      <c r="C283" s="37"/>
      <c r="D283" s="1"/>
      <c r="E283" s="1"/>
      <c r="F283" s="1"/>
      <c r="G283" s="1"/>
      <c r="H283" s="1"/>
      <c r="I283" s="1"/>
    </row>
    <row r="284" ht="15.75" customHeight="1">
      <c r="A284" s="36"/>
      <c r="B284" s="36"/>
      <c r="C284" s="37"/>
      <c r="D284" s="1"/>
      <c r="E284" s="1"/>
      <c r="F284" s="1"/>
      <c r="G284" s="1"/>
      <c r="H284" s="1"/>
      <c r="I284" s="1"/>
    </row>
    <row r="285" ht="15.75" customHeight="1">
      <c r="A285" s="36"/>
      <c r="B285" s="36"/>
      <c r="C285" s="37"/>
      <c r="D285" s="1"/>
      <c r="E285" s="1"/>
      <c r="F285" s="1"/>
      <c r="G285" s="1"/>
      <c r="H285" s="1"/>
      <c r="I285" s="1"/>
    </row>
    <row r="286" ht="15.75" customHeight="1">
      <c r="A286" s="36"/>
      <c r="B286" s="36"/>
      <c r="C286" s="37"/>
      <c r="D286" s="1"/>
      <c r="E286" s="1"/>
      <c r="F286" s="1"/>
      <c r="G286" s="1"/>
      <c r="H286" s="1"/>
      <c r="I286" s="1"/>
    </row>
    <row r="287" ht="15.75" customHeight="1">
      <c r="A287" s="36"/>
      <c r="B287" s="36"/>
      <c r="C287" s="37"/>
      <c r="D287" s="1"/>
      <c r="E287" s="1"/>
      <c r="F287" s="1"/>
      <c r="G287" s="1"/>
      <c r="H287" s="1"/>
      <c r="I287" s="1"/>
    </row>
    <row r="288" ht="15.75" customHeight="1">
      <c r="A288" s="36"/>
      <c r="B288" s="36"/>
      <c r="C288" s="37"/>
      <c r="D288" s="1"/>
      <c r="E288" s="1"/>
      <c r="F288" s="1"/>
      <c r="G288" s="1"/>
      <c r="H288" s="1"/>
      <c r="I288" s="1"/>
    </row>
    <row r="289" ht="15.75" customHeight="1">
      <c r="A289" s="36"/>
      <c r="B289" s="36"/>
      <c r="C289" s="37"/>
      <c r="D289" s="1"/>
      <c r="E289" s="1"/>
      <c r="F289" s="1"/>
      <c r="G289" s="1"/>
      <c r="H289" s="1"/>
      <c r="I289" s="1"/>
    </row>
    <row r="290" ht="15.75" customHeight="1">
      <c r="A290" s="36"/>
      <c r="B290" s="36"/>
      <c r="C290" s="37"/>
      <c r="D290" s="1"/>
      <c r="E290" s="1"/>
      <c r="F290" s="1"/>
      <c r="G290" s="1"/>
      <c r="H290" s="1"/>
      <c r="I290" s="1"/>
    </row>
    <row r="291" ht="15.75" customHeight="1">
      <c r="A291" s="36"/>
      <c r="B291" s="36"/>
      <c r="C291" s="37"/>
      <c r="D291" s="1"/>
      <c r="E291" s="1"/>
      <c r="F291" s="1"/>
      <c r="G291" s="1"/>
      <c r="H291" s="1"/>
      <c r="I291" s="1"/>
    </row>
    <row r="292" ht="15.75" customHeight="1">
      <c r="A292" s="36"/>
      <c r="B292" s="36"/>
      <c r="C292" s="37"/>
      <c r="D292" s="1"/>
      <c r="E292" s="1"/>
      <c r="F292" s="1"/>
      <c r="G292" s="1"/>
      <c r="H292" s="1"/>
      <c r="I292" s="1"/>
    </row>
    <row r="293" ht="15.75" customHeight="1">
      <c r="A293" s="36"/>
      <c r="B293" s="36"/>
      <c r="C293" s="37"/>
      <c r="D293" s="1"/>
      <c r="E293" s="1"/>
      <c r="F293" s="1"/>
      <c r="G293" s="1"/>
      <c r="H293" s="1"/>
      <c r="I293" s="1"/>
    </row>
    <row r="294" ht="15.75" customHeight="1">
      <c r="A294" s="36"/>
      <c r="B294" s="36"/>
      <c r="C294" s="37"/>
      <c r="D294" s="1"/>
      <c r="E294" s="1"/>
      <c r="F294" s="1"/>
      <c r="G294" s="1"/>
      <c r="H294" s="1"/>
      <c r="I294" s="1"/>
    </row>
    <row r="295" ht="15.75" customHeight="1">
      <c r="A295" s="36"/>
      <c r="B295" s="36"/>
      <c r="C295" s="37"/>
      <c r="D295" s="1"/>
      <c r="E295" s="1"/>
      <c r="F295" s="1"/>
      <c r="G295" s="1"/>
      <c r="H295" s="1"/>
      <c r="I295" s="1"/>
    </row>
    <row r="296" ht="15.75" customHeight="1">
      <c r="A296" s="36"/>
      <c r="B296" s="36"/>
      <c r="C296" s="37"/>
      <c r="D296" s="1"/>
      <c r="E296" s="1"/>
      <c r="F296" s="1"/>
      <c r="G296" s="1"/>
      <c r="H296" s="1"/>
      <c r="I296" s="1"/>
    </row>
    <row r="297" ht="15.75" customHeight="1">
      <c r="A297" s="36"/>
      <c r="B297" s="36"/>
      <c r="C297" s="37"/>
      <c r="D297" s="1"/>
      <c r="E297" s="1"/>
      <c r="F297" s="1"/>
      <c r="G297" s="1"/>
      <c r="H297" s="1"/>
      <c r="I297" s="1"/>
    </row>
    <row r="298" ht="15.75" customHeight="1">
      <c r="A298" s="36"/>
      <c r="B298" s="36"/>
      <c r="C298" s="37"/>
      <c r="D298" s="1"/>
      <c r="E298" s="1"/>
      <c r="F298" s="1"/>
      <c r="G298" s="1"/>
      <c r="H298" s="1"/>
      <c r="I298" s="1"/>
    </row>
    <row r="299" ht="15.75" customHeight="1">
      <c r="A299" s="36"/>
      <c r="B299" s="36"/>
      <c r="C299" s="37"/>
      <c r="D299" s="1"/>
      <c r="E299" s="1"/>
      <c r="F299" s="1"/>
      <c r="G299" s="1"/>
      <c r="H299" s="1"/>
      <c r="I299" s="1"/>
    </row>
    <row r="300" ht="15.75" customHeight="1">
      <c r="A300" s="36"/>
      <c r="B300" s="36"/>
      <c r="C300" s="37"/>
      <c r="D300" s="1"/>
      <c r="E300" s="1"/>
      <c r="F300" s="1"/>
      <c r="G300" s="1"/>
      <c r="H300" s="1"/>
      <c r="I300" s="1"/>
    </row>
    <row r="301" ht="15.75" customHeight="1">
      <c r="A301" s="36"/>
      <c r="B301" s="36"/>
      <c r="C301" s="37"/>
      <c r="D301" s="1"/>
      <c r="E301" s="1"/>
      <c r="F301" s="1"/>
      <c r="G301" s="1"/>
      <c r="H301" s="1"/>
      <c r="I301" s="1"/>
    </row>
    <row r="302" ht="15.75" customHeight="1">
      <c r="A302" s="36"/>
      <c r="B302" s="36"/>
      <c r="C302" s="37"/>
      <c r="D302" s="1"/>
      <c r="E302" s="1"/>
      <c r="F302" s="1"/>
      <c r="G302" s="1"/>
      <c r="H302" s="1"/>
      <c r="I302" s="1"/>
    </row>
    <row r="303" ht="15.75" customHeight="1">
      <c r="A303" s="36"/>
      <c r="B303" s="36"/>
      <c r="C303" s="37"/>
      <c r="D303" s="1"/>
      <c r="E303" s="1"/>
      <c r="F303" s="1"/>
      <c r="G303" s="1"/>
      <c r="H303" s="1"/>
      <c r="I303" s="1"/>
    </row>
    <row r="304" ht="15.75" customHeight="1">
      <c r="A304" s="36"/>
      <c r="B304" s="36"/>
      <c r="C304" s="37"/>
      <c r="D304" s="1"/>
      <c r="E304" s="1"/>
      <c r="F304" s="1"/>
      <c r="G304" s="1"/>
      <c r="H304" s="1"/>
      <c r="I304" s="1"/>
    </row>
    <row r="305" ht="15.75" customHeight="1">
      <c r="A305" s="36"/>
      <c r="B305" s="36"/>
      <c r="C305" s="37"/>
      <c r="D305" s="1"/>
      <c r="E305" s="1"/>
      <c r="F305" s="1"/>
      <c r="G305" s="1"/>
      <c r="H305" s="1"/>
      <c r="I305" s="1"/>
    </row>
    <row r="306" ht="15.75" customHeight="1">
      <c r="A306" s="36"/>
      <c r="B306" s="36"/>
      <c r="C306" s="37"/>
      <c r="D306" s="1"/>
      <c r="E306" s="1"/>
      <c r="F306" s="1"/>
      <c r="G306" s="1"/>
      <c r="H306" s="1"/>
      <c r="I306" s="1"/>
    </row>
    <row r="307" ht="15.75" customHeight="1">
      <c r="A307" s="36"/>
      <c r="B307" s="36"/>
      <c r="C307" s="37"/>
      <c r="D307" s="1"/>
      <c r="E307" s="1"/>
      <c r="F307" s="1"/>
      <c r="G307" s="1"/>
      <c r="H307" s="1"/>
      <c r="I307" s="1"/>
    </row>
    <row r="308" ht="15.75" customHeight="1">
      <c r="A308" s="36"/>
      <c r="B308" s="36"/>
      <c r="C308" s="37"/>
      <c r="D308" s="1"/>
      <c r="E308" s="1"/>
      <c r="F308" s="1"/>
      <c r="G308" s="1"/>
      <c r="H308" s="1"/>
      <c r="I308" s="1"/>
    </row>
    <row r="309" ht="15.75" customHeight="1">
      <c r="A309" s="36"/>
      <c r="B309" s="36"/>
      <c r="C309" s="37"/>
      <c r="D309" s="1"/>
      <c r="E309" s="1"/>
      <c r="F309" s="1"/>
      <c r="G309" s="1"/>
      <c r="H309" s="1"/>
      <c r="I309" s="1"/>
    </row>
    <row r="310" ht="15.75" customHeight="1">
      <c r="A310" s="36"/>
      <c r="B310" s="36"/>
      <c r="C310" s="37"/>
      <c r="D310" s="1"/>
      <c r="E310" s="1"/>
      <c r="F310" s="1"/>
      <c r="G310" s="1"/>
      <c r="H310" s="1"/>
      <c r="I310" s="1"/>
    </row>
    <row r="311" ht="15.75" customHeight="1">
      <c r="A311" s="36"/>
      <c r="B311" s="36"/>
      <c r="C311" s="37"/>
      <c r="D311" s="1"/>
      <c r="E311" s="1"/>
      <c r="F311" s="1"/>
      <c r="G311" s="1"/>
      <c r="H311" s="1"/>
      <c r="I311" s="1"/>
    </row>
    <row r="312" ht="15.75" customHeight="1">
      <c r="A312" s="36"/>
      <c r="B312" s="36"/>
      <c r="C312" s="37"/>
      <c r="D312" s="1"/>
      <c r="E312" s="1"/>
      <c r="F312" s="1"/>
      <c r="G312" s="1"/>
      <c r="H312" s="1"/>
      <c r="I312" s="1"/>
    </row>
    <row r="313" ht="15.75" customHeight="1">
      <c r="A313" s="36"/>
      <c r="B313" s="36"/>
      <c r="C313" s="37"/>
      <c r="D313" s="1"/>
      <c r="E313" s="1"/>
      <c r="F313" s="1"/>
      <c r="G313" s="1"/>
      <c r="H313" s="1"/>
      <c r="I313" s="1"/>
    </row>
    <row r="314" ht="15.75" customHeight="1">
      <c r="A314" s="36"/>
      <c r="B314" s="36"/>
      <c r="C314" s="37"/>
      <c r="D314" s="1"/>
      <c r="E314" s="1"/>
      <c r="F314" s="1"/>
      <c r="G314" s="1"/>
      <c r="H314" s="1"/>
      <c r="I314" s="1"/>
    </row>
    <row r="315" ht="15.75" customHeight="1">
      <c r="A315" s="36"/>
      <c r="B315" s="36"/>
      <c r="C315" s="37"/>
      <c r="D315" s="1"/>
      <c r="E315" s="1"/>
      <c r="F315" s="1"/>
      <c r="G315" s="1"/>
      <c r="H315" s="1"/>
      <c r="I315" s="1"/>
    </row>
    <row r="316" ht="15.75" customHeight="1">
      <c r="A316" s="36"/>
      <c r="B316" s="36"/>
      <c r="C316" s="37"/>
      <c r="D316" s="1"/>
      <c r="E316" s="1"/>
      <c r="F316" s="1"/>
      <c r="G316" s="1"/>
      <c r="H316" s="1"/>
      <c r="I316" s="1"/>
    </row>
    <row r="317" ht="15.75" customHeight="1">
      <c r="A317" s="36"/>
      <c r="B317" s="36"/>
      <c r="C317" s="37"/>
      <c r="D317" s="1"/>
      <c r="E317" s="1"/>
      <c r="F317" s="1"/>
      <c r="G317" s="1"/>
      <c r="H317" s="1"/>
      <c r="I317" s="1"/>
    </row>
    <row r="318" ht="15.75" customHeight="1">
      <c r="A318" s="36"/>
      <c r="B318" s="36"/>
      <c r="C318" s="37"/>
      <c r="D318" s="1"/>
      <c r="E318" s="1"/>
      <c r="F318" s="1"/>
      <c r="G318" s="1"/>
      <c r="H318" s="1"/>
      <c r="I318" s="1"/>
    </row>
    <row r="319" ht="15.75" customHeight="1">
      <c r="A319" s="36"/>
      <c r="B319" s="36"/>
      <c r="C319" s="37"/>
      <c r="D319" s="1"/>
      <c r="E319" s="1"/>
      <c r="F319" s="1"/>
      <c r="G319" s="1"/>
      <c r="H319" s="1"/>
      <c r="I319" s="1"/>
    </row>
    <row r="320" ht="15.75" customHeight="1">
      <c r="A320" s="36"/>
      <c r="B320" s="36"/>
      <c r="C320" s="37"/>
      <c r="D320" s="1"/>
      <c r="E320" s="1"/>
      <c r="F320" s="1"/>
      <c r="G320" s="1"/>
      <c r="H320" s="1"/>
      <c r="I320" s="1"/>
    </row>
    <row r="321" ht="15.75" customHeight="1">
      <c r="A321" s="36"/>
      <c r="B321" s="36"/>
      <c r="C321" s="37"/>
      <c r="D321" s="1"/>
      <c r="E321" s="1"/>
      <c r="F321" s="1"/>
      <c r="G321" s="1"/>
      <c r="H321" s="1"/>
      <c r="I321" s="1"/>
    </row>
    <row r="322" ht="15.75" customHeight="1">
      <c r="A322" s="36"/>
      <c r="B322" s="36"/>
      <c r="C322" s="37"/>
      <c r="D322" s="1"/>
      <c r="E322" s="1"/>
      <c r="F322" s="1"/>
      <c r="G322" s="1"/>
      <c r="H322" s="1"/>
      <c r="I322" s="1"/>
    </row>
    <row r="323" ht="15.75" customHeight="1">
      <c r="A323" s="36"/>
      <c r="B323" s="36"/>
      <c r="C323" s="37"/>
      <c r="D323" s="1"/>
      <c r="E323" s="1"/>
      <c r="F323" s="1"/>
      <c r="G323" s="1"/>
      <c r="H323" s="1"/>
      <c r="I323" s="1"/>
    </row>
    <row r="324" ht="15.75" customHeight="1">
      <c r="A324" s="36"/>
      <c r="B324" s="36"/>
      <c r="C324" s="37"/>
      <c r="D324" s="1"/>
      <c r="E324" s="1"/>
      <c r="F324" s="1"/>
      <c r="G324" s="1"/>
      <c r="H324" s="1"/>
      <c r="I324" s="1"/>
    </row>
    <row r="325" ht="15.75" customHeight="1">
      <c r="A325" s="36"/>
      <c r="B325" s="36"/>
      <c r="C325" s="37"/>
      <c r="D325" s="1"/>
      <c r="E325" s="1"/>
      <c r="F325" s="1"/>
      <c r="G325" s="1"/>
      <c r="H325" s="1"/>
      <c r="I325" s="1"/>
    </row>
    <row r="326" ht="15.75" customHeight="1">
      <c r="A326" s="36"/>
      <c r="B326" s="36"/>
      <c r="C326" s="37"/>
      <c r="D326" s="1"/>
      <c r="E326" s="1"/>
      <c r="F326" s="1"/>
      <c r="G326" s="1"/>
      <c r="H326" s="1"/>
      <c r="I326" s="1"/>
    </row>
    <row r="327" ht="15.75" customHeight="1">
      <c r="A327" s="36"/>
      <c r="B327" s="36"/>
      <c r="C327" s="37"/>
      <c r="D327" s="1"/>
      <c r="E327" s="1"/>
      <c r="F327" s="1"/>
      <c r="G327" s="1"/>
      <c r="H327" s="1"/>
      <c r="I327" s="1"/>
    </row>
    <row r="328" ht="15.75" customHeight="1">
      <c r="A328" s="36"/>
      <c r="B328" s="36"/>
      <c r="C328" s="37"/>
      <c r="D328" s="1"/>
      <c r="E328" s="1"/>
      <c r="F328" s="1"/>
      <c r="G328" s="1"/>
      <c r="H328" s="1"/>
      <c r="I328" s="1"/>
    </row>
    <row r="329" ht="15.75" customHeight="1">
      <c r="A329" s="36"/>
      <c r="B329" s="36"/>
      <c r="C329" s="37"/>
      <c r="D329" s="1"/>
      <c r="E329" s="1"/>
      <c r="F329" s="1"/>
      <c r="G329" s="1"/>
      <c r="H329" s="1"/>
      <c r="I329" s="1"/>
    </row>
    <row r="330" ht="15.75" customHeight="1">
      <c r="A330" s="36"/>
      <c r="B330" s="36"/>
      <c r="C330" s="37"/>
      <c r="D330" s="1"/>
      <c r="E330" s="1"/>
      <c r="F330" s="1"/>
      <c r="G330" s="1"/>
      <c r="H330" s="1"/>
      <c r="I330" s="1"/>
    </row>
    <row r="331" ht="15.75" customHeight="1">
      <c r="A331" s="36"/>
      <c r="B331" s="36"/>
      <c r="C331" s="37"/>
      <c r="D331" s="1"/>
      <c r="E331" s="1"/>
      <c r="F331" s="1"/>
      <c r="G331" s="1"/>
      <c r="H331" s="1"/>
      <c r="I331" s="1"/>
    </row>
    <row r="332" ht="15.75" customHeight="1">
      <c r="A332" s="36"/>
      <c r="B332" s="36"/>
      <c r="C332" s="37"/>
      <c r="D332" s="1"/>
      <c r="E332" s="1"/>
      <c r="F332" s="1"/>
      <c r="G332" s="1"/>
      <c r="H332" s="1"/>
      <c r="I332" s="1"/>
    </row>
    <row r="333" ht="15.75" customHeight="1">
      <c r="A333" s="36"/>
      <c r="B333" s="36"/>
      <c r="C333" s="37"/>
      <c r="D333" s="1"/>
      <c r="E333" s="1"/>
      <c r="F333" s="1"/>
      <c r="G333" s="1"/>
      <c r="H333" s="1"/>
      <c r="I333" s="1"/>
    </row>
    <row r="334" ht="15.75" customHeight="1">
      <c r="A334" s="36"/>
      <c r="B334" s="36"/>
      <c r="C334" s="37"/>
      <c r="D334" s="1"/>
      <c r="E334" s="1"/>
      <c r="F334" s="1"/>
      <c r="G334" s="1"/>
      <c r="H334" s="1"/>
      <c r="I334" s="1"/>
    </row>
    <row r="335" ht="15.75" customHeight="1">
      <c r="A335" s="36"/>
      <c r="B335" s="36"/>
      <c r="C335" s="37"/>
      <c r="D335" s="1"/>
      <c r="E335" s="1"/>
      <c r="F335" s="1"/>
      <c r="G335" s="1"/>
      <c r="H335" s="1"/>
      <c r="I335" s="1"/>
    </row>
    <row r="336" ht="15.75" customHeight="1">
      <c r="A336" s="36"/>
      <c r="B336" s="36"/>
      <c r="C336" s="37"/>
      <c r="D336" s="1"/>
      <c r="E336" s="1"/>
      <c r="F336" s="1"/>
      <c r="G336" s="1"/>
      <c r="H336" s="1"/>
      <c r="I336" s="1"/>
    </row>
    <row r="337" ht="15.75" customHeight="1">
      <c r="A337" s="36"/>
      <c r="B337" s="36"/>
      <c r="C337" s="37"/>
      <c r="D337" s="1"/>
      <c r="E337" s="1"/>
      <c r="F337" s="1"/>
      <c r="G337" s="1"/>
      <c r="H337" s="1"/>
      <c r="I337" s="1"/>
    </row>
    <row r="338" ht="15.75" customHeight="1">
      <c r="A338" s="36"/>
      <c r="B338" s="36"/>
      <c r="C338" s="37"/>
      <c r="D338" s="1"/>
      <c r="E338" s="1"/>
      <c r="F338" s="1"/>
      <c r="G338" s="1"/>
      <c r="H338" s="1"/>
      <c r="I338" s="1"/>
    </row>
    <row r="339" ht="15.75" customHeight="1">
      <c r="A339" s="36"/>
      <c r="B339" s="36"/>
      <c r="C339" s="37"/>
      <c r="D339" s="1"/>
      <c r="E339" s="1"/>
      <c r="F339" s="1"/>
      <c r="G339" s="1"/>
      <c r="H339" s="1"/>
      <c r="I339" s="1"/>
    </row>
    <row r="340" ht="15.75" customHeight="1">
      <c r="A340" s="36"/>
      <c r="B340" s="36"/>
      <c r="C340" s="37"/>
      <c r="D340" s="1"/>
      <c r="E340" s="1"/>
      <c r="F340" s="1"/>
      <c r="G340" s="1"/>
      <c r="H340" s="1"/>
      <c r="I340" s="1"/>
    </row>
    <row r="341" ht="15.75" customHeight="1">
      <c r="A341" s="36"/>
      <c r="B341" s="36"/>
      <c r="C341" s="37"/>
      <c r="D341" s="1"/>
      <c r="E341" s="1"/>
      <c r="F341" s="1"/>
      <c r="G341" s="1"/>
      <c r="H341" s="1"/>
      <c r="I341" s="1"/>
    </row>
    <row r="342" ht="15.75" customHeight="1">
      <c r="A342" s="36"/>
      <c r="B342" s="36"/>
      <c r="C342" s="37"/>
      <c r="D342" s="1"/>
      <c r="E342" s="1"/>
      <c r="F342" s="1"/>
      <c r="G342" s="1"/>
      <c r="H342" s="1"/>
      <c r="I342" s="1"/>
    </row>
    <row r="343" ht="15.75" customHeight="1">
      <c r="A343" s="36"/>
      <c r="B343" s="36"/>
      <c r="C343" s="37"/>
      <c r="D343" s="1"/>
      <c r="E343" s="1"/>
      <c r="F343" s="1"/>
      <c r="G343" s="1"/>
      <c r="H343" s="1"/>
      <c r="I343" s="1"/>
    </row>
    <row r="344" ht="15.75" customHeight="1">
      <c r="A344" s="36"/>
      <c r="B344" s="36"/>
      <c r="C344" s="37"/>
      <c r="D344" s="1"/>
      <c r="E344" s="1"/>
      <c r="F344" s="1"/>
      <c r="G344" s="1"/>
      <c r="H344" s="1"/>
      <c r="I344" s="1"/>
    </row>
    <row r="345" ht="15.75" customHeight="1">
      <c r="A345" s="36"/>
      <c r="B345" s="36"/>
      <c r="C345" s="37"/>
      <c r="D345" s="1"/>
      <c r="E345" s="1"/>
      <c r="F345" s="1"/>
      <c r="G345" s="1"/>
      <c r="H345" s="1"/>
      <c r="I345" s="1"/>
    </row>
    <row r="346" ht="15.75" customHeight="1">
      <c r="A346" s="36"/>
      <c r="B346" s="36"/>
      <c r="C346" s="37"/>
      <c r="D346" s="1"/>
      <c r="E346" s="1"/>
      <c r="F346" s="1"/>
      <c r="G346" s="1"/>
      <c r="H346" s="1"/>
      <c r="I346" s="1"/>
    </row>
    <row r="347" ht="15.75" customHeight="1">
      <c r="A347" s="36"/>
      <c r="B347" s="36"/>
      <c r="C347" s="37"/>
      <c r="D347" s="1"/>
      <c r="E347" s="1"/>
      <c r="F347" s="1"/>
      <c r="G347" s="1"/>
      <c r="H347" s="1"/>
      <c r="I347" s="1"/>
    </row>
    <row r="348" ht="15.75" customHeight="1">
      <c r="A348" s="36"/>
      <c r="B348" s="36"/>
      <c r="C348" s="37"/>
      <c r="D348" s="1"/>
      <c r="E348" s="1"/>
      <c r="F348" s="1"/>
      <c r="G348" s="1"/>
      <c r="H348" s="1"/>
      <c r="I348" s="1"/>
    </row>
    <row r="349" ht="15.75" customHeight="1">
      <c r="A349" s="36"/>
      <c r="B349" s="36"/>
      <c r="C349" s="37"/>
      <c r="D349" s="1"/>
      <c r="E349" s="1"/>
      <c r="F349" s="1"/>
      <c r="G349" s="1"/>
      <c r="H349" s="1"/>
      <c r="I349" s="1"/>
    </row>
    <row r="350" ht="15.75" customHeight="1">
      <c r="A350" s="36"/>
      <c r="B350" s="36"/>
      <c r="C350" s="37"/>
      <c r="D350" s="1"/>
      <c r="E350" s="1"/>
      <c r="F350" s="1"/>
      <c r="G350" s="1"/>
      <c r="H350" s="1"/>
      <c r="I350" s="1"/>
    </row>
    <row r="351" ht="15.75" customHeight="1">
      <c r="A351" s="36"/>
      <c r="B351" s="36"/>
      <c r="C351" s="37"/>
      <c r="D351" s="1"/>
      <c r="E351" s="1"/>
      <c r="F351" s="1"/>
      <c r="G351" s="1"/>
      <c r="H351" s="1"/>
      <c r="I351" s="1"/>
    </row>
    <row r="352" ht="15.75" customHeight="1">
      <c r="A352" s="36"/>
      <c r="B352" s="36"/>
      <c r="C352" s="37"/>
      <c r="D352" s="1"/>
      <c r="E352" s="1"/>
      <c r="F352" s="1"/>
      <c r="G352" s="1"/>
      <c r="H352" s="1"/>
      <c r="I352" s="1"/>
    </row>
    <row r="353" ht="15.75" customHeight="1">
      <c r="A353" s="36"/>
      <c r="B353" s="36"/>
      <c r="C353" s="37"/>
      <c r="D353" s="1"/>
      <c r="E353" s="1"/>
      <c r="F353" s="1"/>
      <c r="G353" s="1"/>
      <c r="H353" s="1"/>
      <c r="I353" s="1"/>
    </row>
    <row r="354" ht="15.75" customHeight="1">
      <c r="A354" s="36"/>
      <c r="B354" s="36"/>
      <c r="C354" s="37"/>
      <c r="D354" s="1"/>
      <c r="E354" s="1"/>
      <c r="F354" s="1"/>
      <c r="G354" s="1"/>
      <c r="H354" s="1"/>
      <c r="I354" s="1"/>
    </row>
    <row r="355" ht="15.75" customHeight="1">
      <c r="A355" s="36"/>
      <c r="B355" s="36"/>
      <c r="C355" s="37"/>
      <c r="D355" s="1"/>
      <c r="E355" s="1"/>
      <c r="F355" s="1"/>
      <c r="G355" s="1"/>
      <c r="H355" s="1"/>
      <c r="I355" s="1"/>
    </row>
    <row r="356" ht="15.75" customHeight="1">
      <c r="A356" s="36"/>
      <c r="B356" s="36"/>
      <c r="C356" s="37"/>
      <c r="D356" s="1"/>
      <c r="E356" s="1"/>
      <c r="F356" s="1"/>
      <c r="G356" s="1"/>
      <c r="H356" s="1"/>
      <c r="I356" s="1"/>
    </row>
    <row r="357" ht="15.75" customHeight="1">
      <c r="A357" s="36"/>
      <c r="B357" s="36"/>
      <c r="C357" s="37"/>
      <c r="D357" s="1"/>
      <c r="E357" s="1"/>
      <c r="F357" s="1"/>
      <c r="G357" s="1"/>
      <c r="H357" s="1"/>
      <c r="I357" s="1"/>
    </row>
    <row r="358" ht="15.75" customHeight="1">
      <c r="A358" s="36"/>
      <c r="B358" s="36"/>
      <c r="C358" s="37"/>
      <c r="D358" s="1"/>
      <c r="E358" s="1"/>
      <c r="F358" s="1"/>
      <c r="G358" s="1"/>
      <c r="H358" s="1"/>
      <c r="I358" s="1"/>
    </row>
    <row r="359" ht="15.75" customHeight="1">
      <c r="A359" s="36"/>
      <c r="B359" s="36"/>
      <c r="C359" s="37"/>
      <c r="D359" s="1"/>
      <c r="E359" s="1"/>
      <c r="F359" s="1"/>
      <c r="G359" s="1"/>
      <c r="H359" s="1"/>
      <c r="I359" s="1"/>
    </row>
    <row r="360" ht="15.75" customHeight="1">
      <c r="A360" s="36"/>
      <c r="B360" s="36"/>
      <c r="C360" s="37"/>
      <c r="D360" s="1"/>
      <c r="E360" s="1"/>
      <c r="F360" s="1"/>
      <c r="G360" s="1"/>
      <c r="H360" s="1"/>
      <c r="I360" s="1"/>
    </row>
    <row r="361" ht="15.75" customHeight="1">
      <c r="A361" s="36"/>
      <c r="B361" s="36"/>
      <c r="C361" s="37"/>
      <c r="D361" s="1"/>
      <c r="E361" s="1"/>
      <c r="F361" s="1"/>
      <c r="G361" s="1"/>
      <c r="H361" s="1"/>
      <c r="I361" s="1"/>
    </row>
    <row r="362" ht="15.75" customHeight="1">
      <c r="A362" s="36"/>
      <c r="B362" s="36"/>
      <c r="C362" s="37"/>
      <c r="D362" s="1"/>
      <c r="E362" s="1"/>
      <c r="F362" s="1"/>
      <c r="G362" s="1"/>
      <c r="H362" s="1"/>
      <c r="I362" s="1"/>
    </row>
    <row r="363" ht="15.75" customHeight="1">
      <c r="A363" s="36"/>
      <c r="B363" s="36"/>
      <c r="C363" s="37"/>
      <c r="D363" s="1"/>
      <c r="E363" s="1"/>
      <c r="F363" s="1"/>
      <c r="G363" s="1"/>
      <c r="H363" s="1"/>
      <c r="I363" s="1"/>
    </row>
    <row r="364" ht="15.75" customHeight="1">
      <c r="A364" s="36"/>
      <c r="B364" s="36"/>
      <c r="C364" s="37"/>
      <c r="D364" s="1"/>
      <c r="E364" s="1"/>
      <c r="F364" s="1"/>
      <c r="G364" s="1"/>
      <c r="H364" s="1"/>
      <c r="I364" s="1"/>
    </row>
    <row r="365" ht="15.75" customHeight="1">
      <c r="A365" s="36"/>
      <c r="B365" s="36"/>
      <c r="C365" s="37"/>
      <c r="D365" s="1"/>
      <c r="E365" s="1"/>
      <c r="F365" s="1"/>
      <c r="G365" s="1"/>
      <c r="H365" s="1"/>
      <c r="I365" s="1"/>
    </row>
    <row r="366" ht="15.75" customHeight="1">
      <c r="A366" s="36"/>
      <c r="B366" s="36"/>
      <c r="C366" s="37"/>
      <c r="D366" s="1"/>
      <c r="E366" s="1"/>
      <c r="F366" s="1"/>
      <c r="G366" s="1"/>
      <c r="H366" s="1"/>
      <c r="I366" s="1"/>
    </row>
    <row r="367" ht="15.75" customHeight="1">
      <c r="A367" s="36"/>
      <c r="B367" s="36"/>
      <c r="C367" s="37"/>
      <c r="D367" s="1"/>
      <c r="E367" s="1"/>
      <c r="F367" s="1"/>
      <c r="G367" s="1"/>
      <c r="H367" s="1"/>
      <c r="I367" s="1"/>
    </row>
    <row r="368" ht="15.75" customHeight="1">
      <c r="A368" s="36"/>
      <c r="B368" s="36"/>
      <c r="C368" s="37"/>
      <c r="D368" s="1"/>
      <c r="E368" s="1"/>
      <c r="F368" s="1"/>
      <c r="G368" s="1"/>
      <c r="H368" s="1"/>
      <c r="I368" s="1"/>
    </row>
    <row r="369" ht="15.75" customHeight="1">
      <c r="A369" s="36"/>
      <c r="B369" s="36"/>
      <c r="C369" s="37"/>
      <c r="D369" s="1"/>
      <c r="E369" s="1"/>
      <c r="F369" s="1"/>
      <c r="G369" s="1"/>
      <c r="H369" s="1"/>
      <c r="I369" s="1"/>
    </row>
    <row r="370" ht="15.75" customHeight="1">
      <c r="A370" s="36"/>
      <c r="B370" s="36"/>
      <c r="C370" s="37"/>
      <c r="D370" s="1"/>
      <c r="E370" s="1"/>
      <c r="F370" s="1"/>
      <c r="G370" s="1"/>
      <c r="H370" s="1"/>
      <c r="I370" s="1"/>
    </row>
    <row r="371" ht="15.75" customHeight="1">
      <c r="A371" s="36"/>
      <c r="B371" s="36"/>
      <c r="C371" s="37"/>
      <c r="D371" s="1"/>
      <c r="E371" s="1"/>
      <c r="F371" s="1"/>
      <c r="G371" s="1"/>
      <c r="H371" s="1"/>
      <c r="I371" s="1"/>
    </row>
    <row r="372" ht="15.75" customHeight="1">
      <c r="A372" s="36"/>
      <c r="B372" s="36"/>
      <c r="C372" s="37"/>
      <c r="D372" s="1"/>
      <c r="E372" s="1"/>
      <c r="F372" s="1"/>
      <c r="G372" s="1"/>
      <c r="H372" s="1"/>
      <c r="I372" s="1"/>
    </row>
    <row r="373" ht="15.75" customHeight="1">
      <c r="A373" s="36"/>
      <c r="B373" s="36"/>
      <c r="C373" s="37"/>
      <c r="D373" s="1"/>
      <c r="E373" s="1"/>
      <c r="F373" s="1"/>
      <c r="G373" s="1"/>
      <c r="H373" s="1"/>
      <c r="I373" s="1"/>
    </row>
    <row r="374" ht="15.75" customHeight="1">
      <c r="A374" s="36"/>
      <c r="B374" s="36"/>
      <c r="C374" s="37"/>
      <c r="D374" s="1"/>
      <c r="E374" s="1"/>
      <c r="F374" s="1"/>
      <c r="G374" s="1"/>
      <c r="H374" s="1"/>
      <c r="I374" s="1"/>
    </row>
    <row r="375" ht="15.75" customHeight="1">
      <c r="A375" s="36"/>
      <c r="B375" s="36"/>
      <c r="C375" s="37"/>
      <c r="D375" s="1"/>
      <c r="E375" s="1"/>
      <c r="F375" s="1"/>
      <c r="G375" s="1"/>
      <c r="H375" s="1"/>
      <c r="I375" s="1"/>
    </row>
    <row r="376" ht="15.75" customHeight="1">
      <c r="A376" s="36"/>
      <c r="B376" s="36"/>
      <c r="C376" s="37"/>
      <c r="D376" s="1"/>
      <c r="E376" s="1"/>
      <c r="F376" s="1"/>
      <c r="G376" s="1"/>
      <c r="H376" s="1"/>
      <c r="I376" s="1"/>
    </row>
    <row r="377" ht="15.75" customHeight="1">
      <c r="A377" s="36"/>
      <c r="B377" s="36"/>
      <c r="C377" s="37"/>
      <c r="D377" s="1"/>
      <c r="E377" s="1"/>
      <c r="F377" s="1"/>
      <c r="G377" s="1"/>
      <c r="H377" s="1"/>
      <c r="I377" s="1"/>
    </row>
    <row r="378" ht="15.75" customHeight="1">
      <c r="A378" s="36"/>
      <c r="B378" s="36"/>
      <c r="C378" s="37"/>
      <c r="D378" s="1"/>
      <c r="E378" s="1"/>
      <c r="F378" s="1"/>
      <c r="G378" s="1"/>
      <c r="H378" s="1"/>
      <c r="I378" s="1"/>
    </row>
    <row r="379" ht="15.75" customHeight="1">
      <c r="A379" s="36"/>
      <c r="B379" s="36"/>
      <c r="C379" s="37"/>
      <c r="D379" s="1"/>
      <c r="E379" s="1"/>
      <c r="F379" s="1"/>
      <c r="G379" s="1"/>
      <c r="H379" s="1"/>
      <c r="I379" s="1"/>
    </row>
    <row r="380" ht="15.75" customHeight="1">
      <c r="A380" s="36"/>
      <c r="B380" s="36"/>
      <c r="C380" s="37"/>
      <c r="D380" s="1"/>
      <c r="E380" s="1"/>
      <c r="F380" s="1"/>
      <c r="G380" s="1"/>
      <c r="H380" s="1"/>
      <c r="I380" s="1"/>
    </row>
    <row r="381" ht="15.75" customHeight="1">
      <c r="A381" s="36"/>
      <c r="B381" s="36"/>
      <c r="C381" s="37"/>
      <c r="D381" s="1"/>
      <c r="E381" s="1"/>
      <c r="F381" s="1"/>
      <c r="G381" s="1"/>
      <c r="H381" s="1"/>
      <c r="I381" s="1"/>
    </row>
    <row r="382" ht="15.75" customHeight="1">
      <c r="A382" s="36"/>
      <c r="B382" s="36"/>
      <c r="C382" s="37"/>
      <c r="D382" s="1"/>
      <c r="E382" s="1"/>
      <c r="F382" s="1"/>
      <c r="G382" s="1"/>
      <c r="H382" s="1"/>
      <c r="I382" s="1"/>
    </row>
    <row r="383" ht="15.75" customHeight="1">
      <c r="A383" s="36"/>
      <c r="B383" s="36"/>
      <c r="C383" s="37"/>
      <c r="D383" s="1"/>
      <c r="E383" s="1"/>
      <c r="F383" s="1"/>
      <c r="G383" s="1"/>
      <c r="H383" s="1"/>
      <c r="I383" s="1"/>
    </row>
    <row r="384" ht="15.75" customHeight="1">
      <c r="A384" s="36"/>
      <c r="B384" s="36"/>
      <c r="C384" s="37"/>
      <c r="D384" s="1"/>
      <c r="E384" s="1"/>
      <c r="F384" s="1"/>
      <c r="G384" s="1"/>
      <c r="H384" s="1"/>
      <c r="I384" s="1"/>
    </row>
    <row r="385" ht="15.75" customHeight="1">
      <c r="A385" s="36"/>
      <c r="B385" s="36"/>
      <c r="C385" s="37"/>
      <c r="D385" s="1"/>
      <c r="E385" s="1"/>
      <c r="F385" s="1"/>
      <c r="G385" s="1"/>
      <c r="H385" s="1"/>
      <c r="I385" s="1"/>
    </row>
    <row r="386" ht="15.75" customHeight="1">
      <c r="A386" s="36"/>
      <c r="B386" s="36"/>
      <c r="C386" s="37"/>
      <c r="D386" s="1"/>
      <c r="E386" s="1"/>
      <c r="F386" s="1"/>
      <c r="G386" s="1"/>
      <c r="H386" s="1"/>
      <c r="I386" s="1"/>
    </row>
    <row r="387" ht="15.75" customHeight="1">
      <c r="A387" s="36"/>
      <c r="B387" s="36"/>
      <c r="C387" s="37"/>
      <c r="D387" s="1"/>
      <c r="E387" s="1"/>
      <c r="F387" s="1"/>
      <c r="G387" s="1"/>
      <c r="H387" s="1"/>
      <c r="I387" s="1"/>
    </row>
    <row r="388" ht="15.75" customHeight="1">
      <c r="A388" s="36"/>
      <c r="B388" s="36"/>
      <c r="C388" s="37"/>
      <c r="D388" s="1"/>
      <c r="E388" s="1"/>
      <c r="F388" s="1"/>
      <c r="G388" s="1"/>
      <c r="H388" s="1"/>
      <c r="I388" s="1"/>
    </row>
    <row r="389" ht="15.75" customHeight="1">
      <c r="A389" s="36"/>
      <c r="B389" s="36"/>
      <c r="C389" s="37"/>
      <c r="D389" s="1"/>
      <c r="E389" s="1"/>
      <c r="F389" s="1"/>
      <c r="G389" s="1"/>
      <c r="H389" s="1"/>
      <c r="I389" s="1"/>
    </row>
    <row r="390" ht="15.75" customHeight="1">
      <c r="A390" s="36"/>
      <c r="B390" s="36"/>
      <c r="C390" s="37"/>
      <c r="D390" s="1"/>
      <c r="E390" s="1"/>
      <c r="F390" s="1"/>
      <c r="G390" s="1"/>
      <c r="H390" s="1"/>
      <c r="I390" s="1"/>
    </row>
    <row r="391" ht="15.75" customHeight="1">
      <c r="A391" s="36"/>
      <c r="B391" s="36"/>
      <c r="C391" s="37"/>
      <c r="D391" s="1"/>
      <c r="E391" s="1"/>
      <c r="F391" s="1"/>
      <c r="G391" s="1"/>
      <c r="H391" s="1"/>
      <c r="I391" s="1"/>
    </row>
    <row r="392" ht="15.75" customHeight="1">
      <c r="A392" s="36"/>
      <c r="B392" s="36"/>
      <c r="C392" s="37"/>
      <c r="D392" s="1"/>
      <c r="E392" s="1"/>
      <c r="F392" s="1"/>
      <c r="G392" s="1"/>
      <c r="H392" s="1"/>
      <c r="I392" s="1"/>
    </row>
    <row r="393" ht="15.75" customHeight="1">
      <c r="A393" s="36"/>
      <c r="B393" s="36"/>
      <c r="C393" s="37"/>
      <c r="D393" s="1"/>
      <c r="E393" s="1"/>
      <c r="F393" s="1"/>
      <c r="G393" s="1"/>
      <c r="H393" s="1"/>
      <c r="I393" s="1"/>
    </row>
    <row r="394" ht="15.75" customHeight="1">
      <c r="A394" s="36"/>
      <c r="B394" s="36"/>
      <c r="C394" s="37"/>
      <c r="D394" s="1"/>
      <c r="E394" s="1"/>
      <c r="F394" s="1"/>
      <c r="G394" s="1"/>
      <c r="H394" s="1"/>
      <c r="I394" s="1"/>
    </row>
    <row r="395" ht="15.75" customHeight="1">
      <c r="A395" s="36"/>
      <c r="B395" s="36"/>
      <c r="C395" s="37"/>
      <c r="D395" s="1"/>
      <c r="E395" s="1"/>
      <c r="F395" s="1"/>
      <c r="G395" s="1"/>
      <c r="H395" s="1"/>
      <c r="I395" s="1"/>
    </row>
    <row r="396" ht="15.75" customHeight="1">
      <c r="A396" s="36"/>
      <c r="B396" s="36"/>
      <c r="C396" s="37"/>
      <c r="D396" s="1"/>
      <c r="E396" s="1"/>
      <c r="F396" s="1"/>
      <c r="G396" s="1"/>
      <c r="H396" s="1"/>
      <c r="I396" s="1"/>
    </row>
    <row r="397" ht="15.75" customHeight="1">
      <c r="A397" s="36"/>
      <c r="B397" s="36"/>
      <c r="C397" s="37"/>
      <c r="D397" s="1"/>
      <c r="E397" s="1"/>
      <c r="F397" s="1"/>
      <c r="G397" s="1"/>
      <c r="H397" s="1"/>
      <c r="I397" s="1"/>
    </row>
    <row r="398" ht="15.75" customHeight="1">
      <c r="A398" s="36"/>
      <c r="B398" s="36"/>
      <c r="C398" s="37"/>
      <c r="D398" s="1"/>
      <c r="E398" s="1"/>
      <c r="F398" s="1"/>
      <c r="G398" s="1"/>
      <c r="H398" s="1"/>
      <c r="I398" s="1"/>
    </row>
    <row r="399" ht="15.75" customHeight="1">
      <c r="A399" s="36"/>
      <c r="B399" s="36"/>
      <c r="C399" s="37"/>
      <c r="D399" s="1"/>
      <c r="E399" s="1"/>
      <c r="F399" s="1"/>
      <c r="G399" s="1"/>
      <c r="H399" s="1"/>
      <c r="I399" s="1"/>
    </row>
    <row r="400" ht="15.75" customHeight="1">
      <c r="A400" s="36"/>
      <c r="B400" s="36"/>
      <c r="C400" s="37"/>
      <c r="D400" s="1"/>
      <c r="E400" s="1"/>
      <c r="F400" s="1"/>
      <c r="G400" s="1"/>
      <c r="H400" s="1"/>
      <c r="I400" s="1"/>
    </row>
    <row r="401" ht="15.75" customHeight="1">
      <c r="A401" s="36"/>
      <c r="B401" s="36"/>
      <c r="C401" s="37"/>
      <c r="D401" s="1"/>
      <c r="E401" s="1"/>
      <c r="F401" s="1"/>
      <c r="G401" s="1"/>
      <c r="H401" s="1"/>
      <c r="I401" s="1"/>
    </row>
    <row r="402" ht="15.75" customHeight="1">
      <c r="A402" s="36"/>
      <c r="B402" s="36"/>
      <c r="C402" s="37"/>
      <c r="D402" s="1"/>
      <c r="E402" s="1"/>
      <c r="F402" s="1"/>
      <c r="G402" s="1"/>
      <c r="H402" s="1"/>
      <c r="I402" s="1"/>
    </row>
    <row r="403" ht="15.75" customHeight="1">
      <c r="A403" s="36"/>
      <c r="B403" s="36"/>
      <c r="C403" s="37"/>
      <c r="D403" s="1"/>
      <c r="E403" s="1"/>
      <c r="F403" s="1"/>
      <c r="G403" s="1"/>
      <c r="H403" s="1"/>
      <c r="I403" s="1"/>
    </row>
    <row r="404" ht="15.75" customHeight="1">
      <c r="A404" s="36"/>
      <c r="B404" s="36"/>
      <c r="C404" s="37"/>
      <c r="D404" s="1"/>
      <c r="E404" s="1"/>
      <c r="F404" s="1"/>
      <c r="G404" s="1"/>
      <c r="H404" s="1"/>
      <c r="I404" s="1"/>
    </row>
    <row r="405" ht="15.75" customHeight="1">
      <c r="A405" s="36"/>
      <c r="B405" s="36"/>
      <c r="C405" s="37"/>
      <c r="D405" s="1"/>
      <c r="E405" s="1"/>
      <c r="F405" s="1"/>
      <c r="G405" s="1"/>
      <c r="H405" s="1"/>
      <c r="I405" s="1"/>
    </row>
    <row r="406" ht="15.75" customHeight="1">
      <c r="A406" s="36"/>
      <c r="B406" s="36"/>
      <c r="C406" s="37"/>
      <c r="D406" s="1"/>
      <c r="E406" s="1"/>
      <c r="F406" s="1"/>
      <c r="G406" s="1"/>
      <c r="H406" s="1"/>
      <c r="I406" s="1"/>
    </row>
    <row r="407" ht="15.75" customHeight="1">
      <c r="A407" s="36"/>
      <c r="B407" s="36"/>
      <c r="C407" s="37"/>
      <c r="D407" s="1"/>
      <c r="E407" s="1"/>
      <c r="F407" s="1"/>
      <c r="G407" s="1"/>
      <c r="H407" s="1"/>
      <c r="I407" s="1"/>
    </row>
    <row r="408" ht="15.75" customHeight="1">
      <c r="A408" s="36"/>
      <c r="B408" s="36"/>
      <c r="C408" s="37"/>
      <c r="D408" s="1"/>
      <c r="E408" s="1"/>
      <c r="F408" s="1"/>
      <c r="G408" s="1"/>
      <c r="H408" s="1"/>
      <c r="I408" s="1"/>
    </row>
    <row r="409" ht="15.75" customHeight="1">
      <c r="A409" s="36"/>
      <c r="B409" s="36"/>
      <c r="C409" s="37"/>
      <c r="D409" s="1"/>
      <c r="E409" s="1"/>
      <c r="F409" s="1"/>
      <c r="G409" s="1"/>
      <c r="H409" s="1"/>
      <c r="I409" s="1"/>
    </row>
    <row r="410" ht="15.75" customHeight="1">
      <c r="A410" s="36"/>
      <c r="B410" s="36"/>
      <c r="C410" s="37"/>
      <c r="D410" s="1"/>
      <c r="E410" s="1"/>
      <c r="F410" s="1"/>
      <c r="G410" s="1"/>
      <c r="H410" s="1"/>
      <c r="I410" s="1"/>
    </row>
    <row r="411" ht="15.75" customHeight="1">
      <c r="A411" s="36"/>
      <c r="B411" s="36"/>
      <c r="C411" s="37"/>
      <c r="D411" s="1"/>
      <c r="E411" s="1"/>
      <c r="F411" s="1"/>
      <c r="G411" s="1"/>
      <c r="H411" s="1"/>
      <c r="I411" s="1"/>
    </row>
    <row r="412" ht="15.75" customHeight="1">
      <c r="A412" s="36"/>
      <c r="B412" s="36"/>
      <c r="C412" s="37"/>
      <c r="D412" s="1"/>
      <c r="E412" s="1"/>
      <c r="F412" s="1"/>
      <c r="G412" s="1"/>
      <c r="H412" s="1"/>
      <c r="I412" s="1"/>
    </row>
    <row r="413" ht="15.75" customHeight="1">
      <c r="A413" s="36"/>
      <c r="B413" s="36"/>
      <c r="C413" s="37"/>
      <c r="D413" s="1"/>
      <c r="E413" s="1"/>
      <c r="F413" s="1"/>
      <c r="G413" s="1"/>
      <c r="H413" s="1"/>
      <c r="I413" s="1"/>
    </row>
    <row r="414" ht="15.75" customHeight="1">
      <c r="A414" s="36"/>
      <c r="B414" s="36"/>
      <c r="C414" s="37"/>
      <c r="D414" s="1"/>
      <c r="E414" s="1"/>
      <c r="F414" s="1"/>
      <c r="G414" s="1"/>
      <c r="H414" s="1"/>
      <c r="I414" s="1"/>
    </row>
    <row r="415" ht="15.75" customHeight="1">
      <c r="A415" s="36"/>
      <c r="B415" s="36"/>
      <c r="C415" s="37"/>
      <c r="D415" s="1"/>
      <c r="E415" s="1"/>
      <c r="F415" s="1"/>
      <c r="G415" s="1"/>
      <c r="H415" s="1"/>
      <c r="I415" s="1"/>
    </row>
    <row r="416" ht="15.75" customHeight="1">
      <c r="A416" s="36"/>
      <c r="B416" s="36"/>
      <c r="C416" s="37"/>
      <c r="D416" s="1"/>
      <c r="E416" s="1"/>
      <c r="F416" s="1"/>
      <c r="G416" s="1"/>
      <c r="H416" s="1"/>
      <c r="I416" s="1"/>
    </row>
    <row r="417" ht="15.75" customHeight="1">
      <c r="A417" s="36"/>
      <c r="B417" s="36"/>
      <c r="C417" s="37"/>
      <c r="D417" s="1"/>
      <c r="E417" s="1"/>
      <c r="F417" s="1"/>
      <c r="G417" s="1"/>
      <c r="H417" s="1"/>
      <c r="I417" s="1"/>
    </row>
    <row r="418" ht="15.75" customHeight="1">
      <c r="A418" s="36"/>
      <c r="B418" s="36"/>
      <c r="C418" s="37"/>
      <c r="D418" s="1"/>
      <c r="E418" s="1"/>
      <c r="F418" s="1"/>
      <c r="G418" s="1"/>
      <c r="H418" s="1"/>
      <c r="I418" s="1"/>
    </row>
    <row r="419" ht="15.75" customHeight="1">
      <c r="A419" s="36"/>
      <c r="B419" s="36"/>
      <c r="C419" s="37"/>
      <c r="D419" s="1"/>
      <c r="E419" s="1"/>
      <c r="F419" s="1"/>
      <c r="G419" s="1"/>
      <c r="H419" s="1"/>
      <c r="I419" s="1"/>
    </row>
    <row r="420" ht="15.75" customHeight="1">
      <c r="A420" s="36"/>
      <c r="B420" s="36"/>
      <c r="C420" s="37"/>
      <c r="D420" s="1"/>
      <c r="E420" s="1"/>
      <c r="F420" s="1"/>
      <c r="G420" s="1"/>
      <c r="H420" s="1"/>
      <c r="I420" s="1"/>
    </row>
    <row r="421" ht="15.75" customHeight="1">
      <c r="A421" s="36"/>
      <c r="B421" s="36"/>
      <c r="C421" s="37"/>
      <c r="D421" s="1"/>
      <c r="E421" s="1"/>
      <c r="F421" s="1"/>
      <c r="G421" s="1"/>
      <c r="H421" s="1"/>
      <c r="I421" s="1"/>
    </row>
    <row r="422" ht="15.75" customHeight="1">
      <c r="A422" s="36"/>
      <c r="B422" s="36"/>
      <c r="C422" s="37"/>
      <c r="D422" s="1"/>
      <c r="E422" s="1"/>
      <c r="F422" s="1"/>
      <c r="G422" s="1"/>
      <c r="H422" s="1"/>
      <c r="I422" s="1"/>
    </row>
    <row r="423" ht="15.75" customHeight="1">
      <c r="A423" s="36"/>
      <c r="B423" s="36"/>
      <c r="C423" s="37"/>
      <c r="D423" s="1"/>
      <c r="E423" s="1"/>
      <c r="F423" s="1"/>
      <c r="G423" s="1"/>
      <c r="H423" s="1"/>
      <c r="I423" s="1"/>
    </row>
    <row r="424" ht="15.75" customHeight="1">
      <c r="A424" s="36"/>
      <c r="B424" s="36"/>
      <c r="C424" s="37"/>
      <c r="D424" s="1"/>
      <c r="E424" s="1"/>
      <c r="F424" s="1"/>
      <c r="G424" s="1"/>
      <c r="H424" s="1"/>
      <c r="I424" s="1"/>
    </row>
    <row r="425" ht="15.75" customHeight="1">
      <c r="A425" s="36"/>
      <c r="B425" s="36"/>
      <c r="C425" s="37"/>
      <c r="D425" s="1"/>
      <c r="E425" s="1"/>
      <c r="F425" s="1"/>
      <c r="G425" s="1"/>
      <c r="H425" s="1"/>
      <c r="I425" s="1"/>
    </row>
    <row r="426" ht="15.75" customHeight="1">
      <c r="A426" s="36"/>
      <c r="B426" s="36"/>
      <c r="C426" s="37"/>
      <c r="D426" s="1"/>
      <c r="E426" s="1"/>
      <c r="F426" s="1"/>
      <c r="G426" s="1"/>
      <c r="H426" s="1"/>
      <c r="I426" s="1"/>
    </row>
    <row r="427" ht="15.75" customHeight="1">
      <c r="A427" s="36"/>
      <c r="B427" s="36"/>
      <c r="C427" s="37"/>
      <c r="D427" s="1"/>
      <c r="E427" s="1"/>
      <c r="F427" s="1"/>
      <c r="G427" s="1"/>
      <c r="H427" s="1"/>
      <c r="I427" s="1"/>
    </row>
    <row r="428" ht="15.75" customHeight="1">
      <c r="A428" s="36"/>
      <c r="B428" s="36"/>
      <c r="C428" s="37"/>
      <c r="D428" s="1"/>
      <c r="E428" s="1"/>
      <c r="F428" s="1"/>
      <c r="G428" s="1"/>
      <c r="H428" s="1"/>
      <c r="I428" s="1"/>
    </row>
    <row r="429" ht="15.75" customHeight="1">
      <c r="A429" s="36"/>
      <c r="B429" s="36"/>
      <c r="C429" s="37"/>
      <c r="D429" s="1"/>
      <c r="E429" s="1"/>
      <c r="F429" s="1"/>
      <c r="G429" s="1"/>
      <c r="H429" s="1"/>
      <c r="I429" s="1"/>
    </row>
    <row r="430" ht="15.75" customHeight="1">
      <c r="A430" s="36"/>
      <c r="B430" s="36"/>
      <c r="C430" s="37"/>
      <c r="D430" s="1"/>
      <c r="E430" s="1"/>
      <c r="F430" s="1"/>
      <c r="G430" s="1"/>
      <c r="H430" s="1"/>
      <c r="I430" s="1"/>
    </row>
    <row r="431" ht="15.75" customHeight="1">
      <c r="A431" s="36"/>
      <c r="B431" s="36"/>
      <c r="C431" s="37"/>
      <c r="D431" s="1"/>
      <c r="E431" s="1"/>
      <c r="F431" s="1"/>
      <c r="G431" s="1"/>
      <c r="H431" s="1"/>
      <c r="I431" s="1"/>
    </row>
    <row r="432" ht="15.75" customHeight="1">
      <c r="A432" s="36"/>
      <c r="B432" s="36"/>
      <c r="C432" s="37"/>
      <c r="D432" s="1"/>
      <c r="E432" s="1"/>
      <c r="F432" s="1"/>
      <c r="G432" s="1"/>
      <c r="H432" s="1"/>
      <c r="I432" s="1"/>
    </row>
    <row r="433" ht="15.75" customHeight="1">
      <c r="A433" s="36"/>
      <c r="B433" s="36"/>
      <c r="C433" s="37"/>
      <c r="D433" s="1"/>
      <c r="E433" s="1"/>
      <c r="F433" s="1"/>
      <c r="G433" s="1"/>
      <c r="H433" s="1"/>
      <c r="I433" s="1"/>
    </row>
    <row r="434" ht="15.75" customHeight="1">
      <c r="A434" s="36"/>
      <c r="B434" s="36"/>
      <c r="C434" s="37"/>
      <c r="D434" s="1"/>
      <c r="E434" s="1"/>
      <c r="F434" s="1"/>
      <c r="G434" s="1"/>
      <c r="H434" s="1"/>
      <c r="I434" s="1"/>
    </row>
    <row r="435" ht="15.75" customHeight="1">
      <c r="A435" s="36"/>
      <c r="B435" s="36"/>
      <c r="C435" s="37"/>
      <c r="D435" s="1"/>
      <c r="E435" s="1"/>
      <c r="F435" s="1"/>
      <c r="G435" s="1"/>
      <c r="H435" s="1"/>
      <c r="I435" s="1"/>
    </row>
    <row r="436" ht="15.75" customHeight="1">
      <c r="A436" s="36"/>
      <c r="B436" s="36"/>
      <c r="C436" s="37"/>
      <c r="D436" s="1"/>
      <c r="E436" s="1"/>
      <c r="F436" s="1"/>
      <c r="G436" s="1"/>
      <c r="H436" s="1"/>
      <c r="I436" s="1"/>
    </row>
    <row r="437" ht="15.75" customHeight="1">
      <c r="A437" s="36"/>
      <c r="B437" s="36"/>
      <c r="C437" s="37"/>
      <c r="D437" s="1"/>
      <c r="E437" s="1"/>
      <c r="F437" s="1"/>
      <c r="G437" s="1"/>
      <c r="H437" s="1"/>
      <c r="I437" s="1"/>
    </row>
    <row r="438" ht="15.75" customHeight="1">
      <c r="A438" s="36"/>
      <c r="B438" s="36"/>
      <c r="C438" s="37"/>
      <c r="D438" s="1"/>
      <c r="E438" s="1"/>
      <c r="F438" s="1"/>
      <c r="G438" s="1"/>
      <c r="H438" s="1"/>
      <c r="I438" s="1"/>
    </row>
    <row r="439" ht="15.75" customHeight="1">
      <c r="A439" s="36"/>
      <c r="B439" s="36"/>
      <c r="C439" s="37"/>
      <c r="D439" s="1"/>
      <c r="E439" s="1"/>
      <c r="F439" s="1"/>
      <c r="G439" s="1"/>
      <c r="H439" s="1"/>
      <c r="I439" s="1"/>
    </row>
    <row r="440" ht="15.75" customHeight="1">
      <c r="A440" s="36"/>
      <c r="B440" s="36"/>
      <c r="C440" s="37"/>
      <c r="D440" s="1"/>
      <c r="E440" s="1"/>
      <c r="F440" s="1"/>
      <c r="G440" s="1"/>
      <c r="H440" s="1"/>
      <c r="I440" s="1"/>
    </row>
    <row r="441" ht="15.75" customHeight="1">
      <c r="A441" s="36"/>
      <c r="B441" s="36"/>
      <c r="C441" s="37"/>
      <c r="D441" s="1"/>
      <c r="E441" s="1"/>
      <c r="F441" s="1"/>
      <c r="G441" s="1"/>
      <c r="H441" s="1"/>
      <c r="I441" s="1"/>
    </row>
    <row r="442" ht="15.75" customHeight="1">
      <c r="A442" s="36"/>
      <c r="B442" s="36"/>
      <c r="C442" s="37"/>
      <c r="D442" s="1"/>
      <c r="E442" s="1"/>
      <c r="F442" s="1"/>
      <c r="G442" s="1"/>
      <c r="H442" s="1"/>
      <c r="I442" s="1"/>
    </row>
    <row r="443" ht="15.75" customHeight="1">
      <c r="A443" s="36"/>
      <c r="B443" s="36"/>
      <c r="C443" s="37"/>
      <c r="D443" s="1"/>
      <c r="E443" s="1"/>
      <c r="F443" s="1"/>
      <c r="G443" s="1"/>
      <c r="H443" s="1"/>
      <c r="I443" s="1"/>
    </row>
    <row r="444" ht="15.75" customHeight="1">
      <c r="A444" s="36"/>
      <c r="B444" s="36"/>
      <c r="C444" s="37"/>
      <c r="D444" s="1"/>
      <c r="E444" s="1"/>
      <c r="F444" s="1"/>
      <c r="G444" s="1"/>
      <c r="H444" s="1"/>
      <c r="I444" s="1"/>
    </row>
    <row r="445" ht="15.75" customHeight="1">
      <c r="A445" s="36"/>
      <c r="B445" s="36"/>
      <c r="C445" s="37"/>
      <c r="D445" s="1"/>
      <c r="E445" s="1"/>
      <c r="F445" s="1"/>
      <c r="G445" s="1"/>
      <c r="H445" s="1"/>
      <c r="I445" s="1"/>
    </row>
    <row r="446" ht="15.75" customHeight="1">
      <c r="A446" s="36"/>
      <c r="B446" s="36"/>
      <c r="C446" s="37"/>
      <c r="D446" s="1"/>
      <c r="E446" s="1"/>
      <c r="F446" s="1"/>
      <c r="G446" s="1"/>
      <c r="H446" s="1"/>
      <c r="I446" s="1"/>
    </row>
    <row r="447" ht="15.75" customHeight="1">
      <c r="A447" s="36"/>
      <c r="B447" s="36"/>
      <c r="C447" s="37"/>
      <c r="D447" s="1"/>
      <c r="E447" s="1"/>
      <c r="F447" s="1"/>
      <c r="G447" s="1"/>
      <c r="H447" s="1"/>
      <c r="I447" s="1"/>
    </row>
    <row r="448" ht="15.75" customHeight="1">
      <c r="A448" s="36"/>
      <c r="B448" s="36"/>
      <c r="C448" s="37"/>
      <c r="D448" s="1"/>
      <c r="E448" s="1"/>
      <c r="F448" s="1"/>
      <c r="G448" s="1"/>
      <c r="H448" s="1"/>
      <c r="I448" s="1"/>
    </row>
    <row r="449" ht="15.75" customHeight="1">
      <c r="A449" s="36"/>
      <c r="B449" s="36"/>
      <c r="C449" s="37"/>
      <c r="D449" s="1"/>
      <c r="E449" s="1"/>
      <c r="F449" s="1"/>
      <c r="G449" s="1"/>
      <c r="H449" s="1"/>
      <c r="I449" s="1"/>
    </row>
    <row r="450" ht="15.75" customHeight="1">
      <c r="A450" s="36"/>
      <c r="B450" s="36"/>
      <c r="C450" s="37"/>
      <c r="D450" s="1"/>
      <c r="E450" s="1"/>
      <c r="F450" s="1"/>
      <c r="G450" s="1"/>
      <c r="H450" s="1"/>
      <c r="I450" s="1"/>
    </row>
    <row r="451" ht="15.75" customHeight="1">
      <c r="A451" s="36"/>
      <c r="B451" s="36"/>
      <c r="C451" s="37"/>
      <c r="D451" s="1"/>
      <c r="E451" s="1"/>
      <c r="F451" s="1"/>
      <c r="G451" s="1"/>
      <c r="H451" s="1"/>
      <c r="I451" s="1"/>
    </row>
    <row r="452" ht="15.75" customHeight="1">
      <c r="A452" s="36"/>
      <c r="B452" s="36"/>
      <c r="C452" s="37"/>
      <c r="D452" s="1"/>
      <c r="E452" s="1"/>
      <c r="F452" s="1"/>
      <c r="G452" s="1"/>
      <c r="H452" s="1"/>
      <c r="I452" s="1"/>
    </row>
    <row r="453" ht="15.75" customHeight="1">
      <c r="A453" s="36"/>
      <c r="B453" s="36"/>
      <c r="C453" s="37"/>
      <c r="D453" s="1"/>
      <c r="E453" s="1"/>
      <c r="F453" s="1"/>
      <c r="G453" s="1"/>
      <c r="H453" s="1"/>
      <c r="I453" s="1"/>
    </row>
    <row r="454" ht="15.75" customHeight="1">
      <c r="A454" s="36"/>
      <c r="B454" s="36"/>
      <c r="C454" s="37"/>
      <c r="D454" s="1"/>
      <c r="E454" s="1"/>
      <c r="F454" s="1"/>
      <c r="G454" s="1"/>
      <c r="H454" s="1"/>
      <c r="I454" s="1"/>
    </row>
    <row r="455" ht="15.75" customHeight="1">
      <c r="A455" s="36"/>
      <c r="B455" s="36"/>
      <c r="C455" s="37"/>
      <c r="D455" s="1"/>
      <c r="E455" s="1"/>
      <c r="F455" s="1"/>
      <c r="G455" s="1"/>
      <c r="H455" s="1"/>
      <c r="I455" s="1"/>
    </row>
    <row r="456" ht="15.75" customHeight="1">
      <c r="A456" s="36"/>
      <c r="B456" s="36"/>
      <c r="C456" s="37"/>
      <c r="D456" s="1"/>
      <c r="E456" s="1"/>
      <c r="F456" s="1"/>
      <c r="G456" s="1"/>
      <c r="H456" s="1"/>
      <c r="I456" s="1"/>
    </row>
    <row r="457" ht="15.75" customHeight="1">
      <c r="A457" s="36"/>
      <c r="B457" s="36"/>
      <c r="C457" s="37"/>
      <c r="D457" s="1"/>
      <c r="E457" s="1"/>
      <c r="F457" s="1"/>
      <c r="G457" s="1"/>
      <c r="H457" s="1"/>
      <c r="I457" s="1"/>
    </row>
    <row r="458" ht="15.75" customHeight="1">
      <c r="A458" s="36"/>
      <c r="B458" s="36"/>
      <c r="C458" s="37"/>
      <c r="D458" s="1"/>
      <c r="E458" s="1"/>
      <c r="F458" s="1"/>
      <c r="G458" s="1"/>
      <c r="H458" s="1"/>
      <c r="I458" s="1"/>
    </row>
    <row r="459" ht="15.75" customHeight="1">
      <c r="A459" s="36"/>
      <c r="B459" s="36"/>
      <c r="C459" s="37"/>
      <c r="D459" s="1"/>
      <c r="E459" s="1"/>
      <c r="F459" s="1"/>
      <c r="G459" s="1"/>
      <c r="H459" s="1"/>
      <c r="I459" s="1"/>
    </row>
    <row r="460" ht="15.75" customHeight="1">
      <c r="A460" s="36"/>
      <c r="B460" s="36"/>
      <c r="C460" s="37"/>
      <c r="D460" s="1"/>
      <c r="E460" s="1"/>
      <c r="F460" s="1"/>
      <c r="G460" s="1"/>
      <c r="H460" s="1"/>
      <c r="I460" s="1"/>
    </row>
    <row r="461" ht="15.75" customHeight="1">
      <c r="A461" s="36"/>
      <c r="B461" s="36"/>
      <c r="C461" s="37"/>
      <c r="D461" s="1"/>
      <c r="E461" s="1"/>
      <c r="F461" s="1"/>
      <c r="G461" s="1"/>
      <c r="H461" s="1"/>
      <c r="I461" s="1"/>
    </row>
    <row r="462" ht="15.75" customHeight="1">
      <c r="A462" s="36"/>
      <c r="B462" s="36"/>
      <c r="C462" s="37"/>
      <c r="D462" s="1"/>
      <c r="E462" s="1"/>
      <c r="F462" s="1"/>
      <c r="G462" s="1"/>
      <c r="H462" s="1"/>
      <c r="I462" s="1"/>
    </row>
    <row r="463" ht="15.75" customHeight="1">
      <c r="A463" s="36"/>
      <c r="B463" s="36"/>
      <c r="C463" s="37"/>
      <c r="D463" s="1"/>
      <c r="E463" s="1"/>
      <c r="F463" s="1"/>
      <c r="G463" s="1"/>
      <c r="H463" s="1"/>
      <c r="I463" s="1"/>
    </row>
    <row r="464" ht="15.75" customHeight="1">
      <c r="A464" s="36"/>
      <c r="B464" s="36"/>
      <c r="C464" s="37"/>
      <c r="D464" s="1"/>
      <c r="E464" s="1"/>
      <c r="F464" s="1"/>
      <c r="G464" s="1"/>
      <c r="H464" s="1"/>
      <c r="I464" s="1"/>
    </row>
    <row r="465" ht="15.75" customHeight="1">
      <c r="A465" s="36"/>
      <c r="B465" s="36"/>
      <c r="C465" s="37"/>
      <c r="D465" s="1"/>
      <c r="E465" s="1"/>
      <c r="F465" s="1"/>
      <c r="G465" s="1"/>
      <c r="H465" s="1"/>
      <c r="I465" s="1"/>
    </row>
    <row r="466" ht="15.75" customHeight="1">
      <c r="A466" s="36"/>
      <c r="B466" s="36"/>
      <c r="C466" s="37"/>
      <c r="D466" s="1"/>
      <c r="E466" s="1"/>
      <c r="F466" s="1"/>
      <c r="G466" s="1"/>
      <c r="H466" s="1"/>
      <c r="I466" s="1"/>
    </row>
    <row r="467" ht="15.75" customHeight="1">
      <c r="A467" s="36"/>
      <c r="B467" s="36"/>
      <c r="C467" s="37"/>
      <c r="D467" s="1"/>
      <c r="E467" s="1"/>
      <c r="F467" s="1"/>
      <c r="G467" s="1"/>
      <c r="H467" s="1"/>
      <c r="I467" s="1"/>
    </row>
    <row r="468" ht="15.75" customHeight="1">
      <c r="A468" s="36"/>
      <c r="B468" s="36"/>
      <c r="C468" s="37"/>
      <c r="D468" s="1"/>
      <c r="E468" s="1"/>
      <c r="F468" s="1"/>
      <c r="G468" s="1"/>
      <c r="H468" s="1"/>
      <c r="I468" s="1"/>
    </row>
    <row r="469" ht="15.75" customHeight="1">
      <c r="A469" s="36"/>
      <c r="B469" s="36"/>
      <c r="C469" s="37"/>
      <c r="D469" s="1"/>
      <c r="E469" s="1"/>
      <c r="F469" s="1"/>
      <c r="G469" s="1"/>
      <c r="H469" s="1"/>
      <c r="I469" s="1"/>
    </row>
    <row r="470" ht="15.75" customHeight="1">
      <c r="A470" s="36"/>
      <c r="B470" s="36"/>
      <c r="C470" s="37"/>
      <c r="D470" s="1"/>
      <c r="E470" s="1"/>
      <c r="F470" s="1"/>
      <c r="G470" s="1"/>
      <c r="H470" s="1"/>
      <c r="I470" s="1"/>
    </row>
    <row r="471" ht="15.75" customHeight="1">
      <c r="A471" s="36"/>
      <c r="B471" s="36"/>
      <c r="C471" s="37"/>
      <c r="D471" s="1"/>
      <c r="E471" s="1"/>
      <c r="F471" s="1"/>
      <c r="G471" s="1"/>
      <c r="H471" s="1"/>
      <c r="I471" s="1"/>
    </row>
    <row r="472" ht="15.75" customHeight="1">
      <c r="A472" s="36"/>
      <c r="B472" s="36"/>
      <c r="C472" s="37"/>
      <c r="D472" s="1"/>
      <c r="E472" s="1"/>
      <c r="F472" s="1"/>
      <c r="G472" s="1"/>
      <c r="H472" s="1"/>
      <c r="I472" s="1"/>
    </row>
    <row r="473" ht="15.75" customHeight="1">
      <c r="A473" s="36"/>
      <c r="B473" s="36"/>
      <c r="C473" s="37"/>
      <c r="D473" s="1"/>
      <c r="E473" s="1"/>
      <c r="F473" s="1"/>
      <c r="G473" s="1"/>
      <c r="H473" s="1"/>
      <c r="I473" s="1"/>
    </row>
    <row r="474" ht="15.75" customHeight="1">
      <c r="A474" s="36"/>
      <c r="B474" s="36"/>
      <c r="C474" s="37"/>
      <c r="D474" s="1"/>
      <c r="E474" s="1"/>
      <c r="F474" s="1"/>
      <c r="G474" s="1"/>
      <c r="H474" s="1"/>
      <c r="I474" s="1"/>
    </row>
    <row r="475" ht="15.75" customHeight="1">
      <c r="A475" s="36"/>
      <c r="B475" s="36"/>
      <c r="C475" s="37"/>
      <c r="D475" s="1"/>
      <c r="E475" s="1"/>
      <c r="F475" s="1"/>
      <c r="G475" s="1"/>
      <c r="H475" s="1"/>
      <c r="I475" s="1"/>
    </row>
    <row r="476" ht="15.75" customHeight="1">
      <c r="A476" s="36"/>
      <c r="B476" s="36"/>
      <c r="C476" s="37"/>
      <c r="D476" s="1"/>
      <c r="E476" s="1"/>
      <c r="F476" s="1"/>
      <c r="G476" s="1"/>
      <c r="H476" s="1"/>
      <c r="I476" s="1"/>
    </row>
    <row r="477" ht="15.75" customHeight="1">
      <c r="A477" s="36"/>
      <c r="B477" s="36"/>
      <c r="C477" s="37"/>
      <c r="D477" s="1"/>
      <c r="E477" s="1"/>
      <c r="F477" s="1"/>
      <c r="G477" s="1"/>
      <c r="H477" s="1"/>
      <c r="I477" s="1"/>
    </row>
    <row r="478" ht="15.75" customHeight="1">
      <c r="A478" s="36"/>
      <c r="B478" s="36"/>
      <c r="C478" s="37"/>
      <c r="D478" s="1"/>
      <c r="E478" s="1"/>
      <c r="F478" s="1"/>
      <c r="G478" s="1"/>
      <c r="H478" s="1"/>
      <c r="I478" s="1"/>
    </row>
    <row r="479" ht="15.75" customHeight="1">
      <c r="A479" s="36"/>
      <c r="B479" s="36"/>
      <c r="C479" s="37"/>
      <c r="D479" s="1"/>
      <c r="E479" s="1"/>
      <c r="F479" s="1"/>
      <c r="G479" s="1"/>
      <c r="H479" s="1"/>
      <c r="I479" s="1"/>
    </row>
    <row r="480" ht="15.75" customHeight="1">
      <c r="A480" s="36"/>
      <c r="B480" s="36"/>
      <c r="C480" s="37"/>
      <c r="D480" s="1"/>
      <c r="E480" s="1"/>
      <c r="F480" s="1"/>
      <c r="G480" s="1"/>
      <c r="H480" s="1"/>
      <c r="I480" s="1"/>
    </row>
    <row r="481" ht="15.75" customHeight="1">
      <c r="A481" s="36"/>
      <c r="B481" s="36"/>
      <c r="C481" s="37"/>
      <c r="D481" s="1"/>
      <c r="E481" s="1"/>
      <c r="F481" s="1"/>
      <c r="G481" s="1"/>
      <c r="H481" s="1"/>
      <c r="I481" s="1"/>
    </row>
    <row r="482" ht="15.75" customHeight="1">
      <c r="A482" s="36"/>
      <c r="B482" s="36"/>
      <c r="C482" s="37"/>
      <c r="D482" s="1"/>
      <c r="E482" s="1"/>
      <c r="F482" s="1"/>
      <c r="G482" s="1"/>
      <c r="H482" s="1"/>
      <c r="I482" s="1"/>
    </row>
    <row r="483" ht="15.75" customHeight="1">
      <c r="A483" s="36"/>
      <c r="B483" s="36"/>
      <c r="C483" s="37"/>
      <c r="D483" s="1"/>
      <c r="E483" s="1"/>
      <c r="F483" s="1"/>
      <c r="G483" s="1"/>
      <c r="H483" s="1"/>
      <c r="I483" s="1"/>
    </row>
    <row r="484" ht="15.75" customHeight="1">
      <c r="A484" s="36"/>
      <c r="B484" s="36"/>
      <c r="C484" s="37"/>
      <c r="D484" s="1"/>
      <c r="E484" s="1"/>
      <c r="F484" s="1"/>
      <c r="G484" s="1"/>
      <c r="H484" s="1"/>
      <c r="I484" s="1"/>
    </row>
    <row r="485" ht="15.75" customHeight="1">
      <c r="A485" s="36"/>
      <c r="B485" s="36"/>
      <c r="C485" s="37"/>
      <c r="D485" s="1"/>
      <c r="E485" s="1"/>
      <c r="F485" s="1"/>
      <c r="G485" s="1"/>
      <c r="H485" s="1"/>
      <c r="I485" s="1"/>
    </row>
    <row r="486" ht="15.75" customHeight="1">
      <c r="A486" s="36"/>
      <c r="B486" s="36"/>
      <c r="C486" s="37"/>
      <c r="D486" s="1"/>
      <c r="E486" s="1"/>
      <c r="F486" s="1"/>
      <c r="G486" s="1"/>
      <c r="H486" s="1"/>
      <c r="I486" s="1"/>
    </row>
    <row r="487" ht="15.75" customHeight="1">
      <c r="A487" s="36"/>
      <c r="B487" s="36"/>
      <c r="C487" s="37"/>
      <c r="D487" s="1"/>
      <c r="E487" s="1"/>
      <c r="F487" s="1"/>
      <c r="G487" s="1"/>
      <c r="H487" s="1"/>
      <c r="I487" s="1"/>
    </row>
    <row r="488" ht="15.75" customHeight="1">
      <c r="A488" s="36"/>
      <c r="B488" s="36"/>
      <c r="C488" s="37"/>
      <c r="D488" s="1"/>
      <c r="E488" s="1"/>
      <c r="F488" s="1"/>
      <c r="G488" s="1"/>
      <c r="H488" s="1"/>
      <c r="I488" s="1"/>
    </row>
    <row r="489" ht="15.75" customHeight="1">
      <c r="A489" s="36"/>
      <c r="B489" s="36"/>
      <c r="C489" s="37"/>
      <c r="D489" s="1"/>
      <c r="E489" s="1"/>
      <c r="F489" s="1"/>
      <c r="G489" s="1"/>
      <c r="H489" s="1"/>
      <c r="I489" s="1"/>
    </row>
    <row r="490" ht="15.75" customHeight="1">
      <c r="A490" s="36"/>
      <c r="B490" s="36"/>
      <c r="C490" s="37"/>
      <c r="D490" s="1"/>
      <c r="E490" s="1"/>
      <c r="F490" s="1"/>
      <c r="G490" s="1"/>
      <c r="H490" s="1"/>
      <c r="I490" s="1"/>
    </row>
    <row r="491" ht="15.75" customHeight="1">
      <c r="A491" s="36"/>
      <c r="B491" s="36"/>
      <c r="C491" s="37"/>
      <c r="D491" s="1"/>
      <c r="E491" s="1"/>
      <c r="F491" s="1"/>
      <c r="G491" s="1"/>
      <c r="H491" s="1"/>
      <c r="I491" s="1"/>
    </row>
    <row r="492" ht="15.75" customHeight="1">
      <c r="A492" s="36"/>
      <c r="B492" s="36"/>
      <c r="C492" s="37"/>
      <c r="D492" s="1"/>
      <c r="E492" s="1"/>
      <c r="F492" s="1"/>
      <c r="G492" s="1"/>
      <c r="H492" s="1"/>
      <c r="I492" s="1"/>
    </row>
    <row r="493" ht="15.75" customHeight="1">
      <c r="A493" s="36"/>
      <c r="B493" s="36"/>
      <c r="C493" s="37"/>
      <c r="D493" s="1"/>
      <c r="E493" s="1"/>
      <c r="F493" s="1"/>
      <c r="G493" s="1"/>
      <c r="H493" s="1"/>
      <c r="I493" s="1"/>
    </row>
    <row r="494" ht="15.75" customHeight="1">
      <c r="A494" s="36"/>
      <c r="B494" s="36"/>
      <c r="C494" s="37"/>
      <c r="D494" s="1"/>
      <c r="E494" s="1"/>
      <c r="F494" s="1"/>
      <c r="G494" s="1"/>
      <c r="H494" s="1"/>
      <c r="I494" s="1"/>
    </row>
    <row r="495" ht="15.75" customHeight="1">
      <c r="A495" s="36"/>
      <c r="B495" s="36"/>
      <c r="C495" s="37"/>
      <c r="D495" s="1"/>
      <c r="E495" s="1"/>
      <c r="F495" s="1"/>
      <c r="G495" s="1"/>
      <c r="H495" s="1"/>
      <c r="I495" s="1"/>
    </row>
    <row r="496" ht="15.75" customHeight="1">
      <c r="A496" s="36"/>
      <c r="B496" s="36"/>
      <c r="C496" s="37"/>
      <c r="D496" s="1"/>
      <c r="E496" s="1"/>
      <c r="F496" s="1"/>
      <c r="G496" s="1"/>
      <c r="H496" s="1"/>
      <c r="I496" s="1"/>
    </row>
    <row r="497" ht="15.75" customHeight="1">
      <c r="A497" s="36"/>
      <c r="B497" s="36"/>
      <c r="C497" s="37"/>
      <c r="D497" s="1"/>
      <c r="E497" s="1"/>
      <c r="F497" s="1"/>
      <c r="G497" s="1"/>
      <c r="H497" s="1"/>
      <c r="I497" s="1"/>
    </row>
    <row r="498" ht="15.75" customHeight="1">
      <c r="A498" s="36"/>
      <c r="B498" s="36"/>
      <c r="C498" s="37"/>
      <c r="D498" s="1"/>
      <c r="E498" s="1"/>
      <c r="F498" s="1"/>
      <c r="G498" s="1"/>
      <c r="H498" s="1"/>
      <c r="I498" s="1"/>
    </row>
    <row r="499" ht="15.75" customHeight="1">
      <c r="A499" s="36"/>
      <c r="B499" s="36"/>
      <c r="C499" s="37"/>
      <c r="D499" s="1"/>
      <c r="E499" s="1"/>
      <c r="F499" s="1"/>
      <c r="G499" s="1"/>
      <c r="H499" s="1"/>
      <c r="I499" s="1"/>
    </row>
    <row r="500" ht="15.75" customHeight="1">
      <c r="A500" s="36"/>
      <c r="B500" s="36"/>
      <c r="C500" s="37"/>
      <c r="D500" s="1"/>
      <c r="E500" s="1"/>
      <c r="F500" s="1"/>
      <c r="G500" s="1"/>
      <c r="H500" s="1"/>
      <c r="I500" s="1"/>
    </row>
    <row r="501" ht="15.75" customHeight="1">
      <c r="A501" s="36"/>
      <c r="B501" s="36"/>
      <c r="C501" s="37"/>
      <c r="D501" s="1"/>
      <c r="E501" s="1"/>
      <c r="F501" s="1"/>
      <c r="G501" s="1"/>
      <c r="H501" s="1"/>
      <c r="I501" s="1"/>
    </row>
    <row r="502" ht="15.75" customHeight="1">
      <c r="A502" s="36"/>
      <c r="B502" s="36"/>
      <c r="C502" s="37"/>
      <c r="D502" s="1"/>
      <c r="E502" s="1"/>
      <c r="F502" s="1"/>
      <c r="G502" s="1"/>
      <c r="H502" s="1"/>
      <c r="I502" s="1"/>
    </row>
    <row r="503" ht="15.75" customHeight="1">
      <c r="A503" s="36"/>
      <c r="B503" s="36"/>
      <c r="C503" s="37"/>
      <c r="D503" s="1"/>
      <c r="E503" s="1"/>
      <c r="F503" s="1"/>
      <c r="G503" s="1"/>
      <c r="H503" s="1"/>
      <c r="I503" s="1"/>
    </row>
    <row r="504" ht="15.75" customHeight="1">
      <c r="A504" s="36"/>
      <c r="B504" s="36"/>
      <c r="C504" s="37"/>
      <c r="D504" s="1"/>
      <c r="E504" s="1"/>
      <c r="F504" s="1"/>
      <c r="G504" s="1"/>
      <c r="H504" s="1"/>
      <c r="I504" s="1"/>
    </row>
    <row r="505" ht="15.75" customHeight="1">
      <c r="A505" s="36"/>
      <c r="B505" s="36"/>
      <c r="C505" s="37"/>
      <c r="D505" s="1"/>
      <c r="E505" s="1"/>
      <c r="F505" s="1"/>
      <c r="G505" s="1"/>
      <c r="H505" s="1"/>
      <c r="I505" s="1"/>
    </row>
    <row r="506" ht="15.75" customHeight="1">
      <c r="A506" s="36"/>
      <c r="B506" s="36"/>
      <c r="C506" s="37"/>
      <c r="D506" s="1"/>
      <c r="E506" s="1"/>
      <c r="F506" s="1"/>
      <c r="G506" s="1"/>
      <c r="H506" s="1"/>
      <c r="I506" s="1"/>
    </row>
    <row r="507" ht="15.75" customHeight="1">
      <c r="A507" s="36"/>
      <c r="B507" s="36"/>
      <c r="C507" s="37"/>
      <c r="D507" s="1"/>
      <c r="E507" s="1"/>
      <c r="F507" s="1"/>
      <c r="G507" s="1"/>
      <c r="H507" s="1"/>
      <c r="I507" s="1"/>
    </row>
    <row r="508" ht="15.75" customHeight="1">
      <c r="A508" s="36"/>
      <c r="B508" s="36"/>
      <c r="C508" s="37"/>
      <c r="D508" s="1"/>
      <c r="E508" s="1"/>
      <c r="F508" s="1"/>
      <c r="G508" s="1"/>
      <c r="H508" s="1"/>
      <c r="I508" s="1"/>
    </row>
    <row r="509" ht="15.75" customHeight="1">
      <c r="A509" s="36"/>
      <c r="B509" s="36"/>
      <c r="C509" s="37"/>
      <c r="D509" s="1"/>
      <c r="E509" s="1"/>
      <c r="F509" s="1"/>
      <c r="G509" s="1"/>
      <c r="H509" s="1"/>
      <c r="I509" s="1"/>
    </row>
    <row r="510" ht="15.75" customHeight="1">
      <c r="A510" s="36"/>
      <c r="B510" s="36"/>
      <c r="C510" s="37"/>
      <c r="D510" s="1"/>
      <c r="E510" s="1"/>
      <c r="F510" s="1"/>
      <c r="G510" s="1"/>
      <c r="H510" s="1"/>
      <c r="I510" s="1"/>
    </row>
    <row r="511" ht="15.75" customHeight="1">
      <c r="A511" s="36"/>
      <c r="B511" s="36"/>
      <c r="C511" s="37"/>
      <c r="D511" s="1"/>
      <c r="E511" s="1"/>
      <c r="F511" s="1"/>
      <c r="G511" s="1"/>
      <c r="H511" s="1"/>
      <c r="I511" s="1"/>
    </row>
    <row r="512" ht="15.75" customHeight="1">
      <c r="A512" s="36"/>
      <c r="B512" s="36"/>
      <c r="C512" s="37"/>
      <c r="D512" s="1"/>
      <c r="E512" s="1"/>
      <c r="F512" s="1"/>
      <c r="G512" s="1"/>
      <c r="H512" s="1"/>
      <c r="I512" s="1"/>
    </row>
    <row r="513" ht="15.75" customHeight="1">
      <c r="A513" s="36"/>
      <c r="B513" s="36"/>
      <c r="C513" s="37"/>
      <c r="D513" s="1"/>
      <c r="E513" s="1"/>
      <c r="F513" s="1"/>
      <c r="G513" s="1"/>
      <c r="H513" s="1"/>
      <c r="I513" s="1"/>
    </row>
    <row r="514" ht="15.75" customHeight="1">
      <c r="A514" s="36"/>
      <c r="B514" s="36"/>
      <c r="C514" s="37"/>
      <c r="D514" s="1"/>
      <c r="E514" s="1"/>
      <c r="F514" s="1"/>
      <c r="G514" s="1"/>
      <c r="H514" s="1"/>
      <c r="I514" s="1"/>
    </row>
    <row r="515" ht="15.75" customHeight="1">
      <c r="A515" s="36"/>
      <c r="B515" s="36"/>
      <c r="C515" s="37"/>
      <c r="D515" s="1"/>
      <c r="E515" s="1"/>
      <c r="F515" s="1"/>
      <c r="G515" s="1"/>
      <c r="H515" s="1"/>
      <c r="I515" s="1"/>
    </row>
    <row r="516" ht="15.75" customHeight="1">
      <c r="A516" s="36"/>
      <c r="B516" s="36"/>
      <c r="C516" s="37"/>
      <c r="D516" s="1"/>
      <c r="E516" s="1"/>
      <c r="F516" s="1"/>
      <c r="G516" s="1"/>
      <c r="H516" s="1"/>
      <c r="I516" s="1"/>
    </row>
    <row r="517" ht="15.75" customHeight="1">
      <c r="A517" s="36"/>
      <c r="B517" s="36"/>
      <c r="C517" s="37"/>
      <c r="D517" s="1"/>
      <c r="E517" s="1"/>
      <c r="F517" s="1"/>
      <c r="G517" s="1"/>
      <c r="H517" s="1"/>
      <c r="I517" s="1"/>
    </row>
    <row r="518" ht="15.75" customHeight="1">
      <c r="A518" s="36"/>
      <c r="B518" s="36"/>
      <c r="C518" s="37"/>
      <c r="D518" s="1"/>
      <c r="E518" s="1"/>
      <c r="F518" s="1"/>
      <c r="G518" s="1"/>
      <c r="H518" s="1"/>
      <c r="I518" s="1"/>
    </row>
    <row r="519" ht="15.75" customHeight="1">
      <c r="A519" s="36"/>
      <c r="B519" s="36"/>
      <c r="C519" s="37"/>
      <c r="D519" s="1"/>
      <c r="E519" s="1"/>
      <c r="F519" s="1"/>
      <c r="G519" s="1"/>
      <c r="H519" s="1"/>
      <c r="I519" s="1"/>
    </row>
    <row r="520" ht="15.75" customHeight="1">
      <c r="A520" s="36"/>
      <c r="B520" s="36"/>
      <c r="C520" s="37"/>
      <c r="D520" s="1"/>
      <c r="E520" s="1"/>
      <c r="F520" s="1"/>
      <c r="G520" s="1"/>
      <c r="H520" s="1"/>
      <c r="I520" s="1"/>
    </row>
    <row r="521" ht="15.75" customHeight="1">
      <c r="A521" s="36"/>
      <c r="B521" s="36"/>
      <c r="C521" s="37"/>
      <c r="D521" s="1"/>
      <c r="E521" s="1"/>
      <c r="F521" s="1"/>
      <c r="G521" s="1"/>
      <c r="H521" s="1"/>
      <c r="I521" s="1"/>
    </row>
    <row r="522" ht="15.75" customHeight="1">
      <c r="A522" s="36"/>
      <c r="B522" s="36"/>
      <c r="C522" s="37"/>
      <c r="D522" s="1"/>
      <c r="E522" s="1"/>
      <c r="F522" s="1"/>
      <c r="G522" s="1"/>
      <c r="H522" s="1"/>
      <c r="I522" s="1"/>
    </row>
    <row r="523" ht="15.75" customHeight="1">
      <c r="A523" s="36"/>
      <c r="B523" s="36"/>
      <c r="C523" s="37"/>
      <c r="D523" s="1"/>
      <c r="E523" s="1"/>
      <c r="F523" s="1"/>
      <c r="G523" s="1"/>
      <c r="H523" s="1"/>
      <c r="I523" s="1"/>
    </row>
    <row r="524" ht="15.75" customHeight="1">
      <c r="A524" s="36"/>
      <c r="B524" s="36"/>
      <c r="C524" s="37"/>
      <c r="D524" s="1"/>
      <c r="E524" s="1"/>
      <c r="F524" s="1"/>
      <c r="G524" s="1"/>
      <c r="H524" s="1"/>
      <c r="I524" s="1"/>
    </row>
    <row r="525" ht="15.75" customHeight="1">
      <c r="A525" s="36"/>
      <c r="B525" s="36"/>
      <c r="C525" s="37"/>
      <c r="D525" s="1"/>
      <c r="E525" s="1"/>
      <c r="F525" s="1"/>
      <c r="G525" s="1"/>
      <c r="H525" s="1"/>
      <c r="I525" s="1"/>
    </row>
    <row r="526" ht="15.75" customHeight="1">
      <c r="A526" s="36"/>
      <c r="B526" s="36"/>
      <c r="C526" s="37"/>
      <c r="D526" s="1"/>
      <c r="E526" s="1"/>
      <c r="F526" s="1"/>
      <c r="G526" s="1"/>
      <c r="H526" s="1"/>
      <c r="I526" s="1"/>
    </row>
    <row r="527" ht="15.75" customHeight="1">
      <c r="A527" s="36"/>
      <c r="B527" s="36"/>
      <c r="C527" s="37"/>
      <c r="D527" s="1"/>
      <c r="E527" s="1"/>
      <c r="F527" s="1"/>
      <c r="G527" s="1"/>
      <c r="H527" s="1"/>
      <c r="I527" s="1"/>
    </row>
    <row r="528" ht="15.75" customHeight="1">
      <c r="A528" s="36"/>
      <c r="B528" s="36"/>
      <c r="C528" s="37"/>
      <c r="D528" s="1"/>
      <c r="E528" s="1"/>
      <c r="F528" s="1"/>
      <c r="G528" s="1"/>
      <c r="H528" s="1"/>
      <c r="I528" s="1"/>
    </row>
    <row r="529" ht="15.75" customHeight="1">
      <c r="A529" s="36"/>
      <c r="B529" s="36"/>
      <c r="C529" s="37"/>
      <c r="D529" s="1"/>
      <c r="E529" s="1"/>
      <c r="F529" s="1"/>
      <c r="G529" s="1"/>
      <c r="H529" s="1"/>
      <c r="I529" s="1"/>
    </row>
    <row r="530" ht="15.75" customHeight="1">
      <c r="A530" s="36"/>
      <c r="B530" s="36"/>
      <c r="C530" s="37"/>
      <c r="D530" s="1"/>
      <c r="E530" s="1"/>
      <c r="F530" s="1"/>
      <c r="G530" s="1"/>
      <c r="H530" s="1"/>
      <c r="I530" s="1"/>
    </row>
    <row r="531" ht="15.75" customHeight="1">
      <c r="A531" s="36"/>
      <c r="B531" s="36"/>
      <c r="C531" s="37"/>
      <c r="D531" s="1"/>
      <c r="E531" s="1"/>
      <c r="F531" s="1"/>
      <c r="G531" s="1"/>
      <c r="H531" s="1"/>
      <c r="I531" s="1"/>
    </row>
    <row r="532" ht="15.75" customHeight="1">
      <c r="A532" s="36"/>
      <c r="B532" s="36"/>
      <c r="C532" s="37"/>
      <c r="D532" s="1"/>
      <c r="E532" s="1"/>
      <c r="F532" s="1"/>
      <c r="G532" s="1"/>
      <c r="H532" s="1"/>
      <c r="I532" s="1"/>
    </row>
    <row r="533" ht="15.75" customHeight="1">
      <c r="A533" s="36"/>
      <c r="B533" s="36"/>
      <c r="C533" s="37"/>
      <c r="D533" s="1"/>
      <c r="E533" s="1"/>
      <c r="F533" s="1"/>
      <c r="G533" s="1"/>
      <c r="H533" s="1"/>
      <c r="I533" s="1"/>
    </row>
    <row r="534" ht="15.75" customHeight="1">
      <c r="A534" s="36"/>
      <c r="B534" s="36"/>
      <c r="C534" s="37"/>
      <c r="D534" s="1"/>
      <c r="E534" s="1"/>
      <c r="F534" s="1"/>
      <c r="G534" s="1"/>
      <c r="H534" s="1"/>
      <c r="I534" s="1"/>
    </row>
    <row r="535" ht="15.75" customHeight="1">
      <c r="A535" s="36"/>
      <c r="B535" s="36"/>
      <c r="C535" s="37"/>
      <c r="D535" s="1"/>
      <c r="E535" s="1"/>
      <c r="F535" s="1"/>
      <c r="G535" s="1"/>
      <c r="H535" s="1"/>
      <c r="I535" s="1"/>
    </row>
    <row r="536" ht="15.75" customHeight="1">
      <c r="A536" s="36"/>
      <c r="B536" s="36"/>
      <c r="C536" s="37"/>
      <c r="D536" s="1"/>
      <c r="E536" s="1"/>
      <c r="F536" s="1"/>
      <c r="G536" s="1"/>
      <c r="H536" s="1"/>
      <c r="I536" s="1"/>
    </row>
    <row r="537" ht="15.75" customHeight="1">
      <c r="A537" s="36"/>
      <c r="B537" s="36"/>
      <c r="C537" s="37"/>
      <c r="D537" s="1"/>
      <c r="E537" s="1"/>
      <c r="F537" s="1"/>
      <c r="G537" s="1"/>
      <c r="H537" s="1"/>
      <c r="I537" s="1"/>
    </row>
    <row r="538" ht="15.75" customHeight="1">
      <c r="A538" s="36"/>
      <c r="B538" s="36"/>
      <c r="C538" s="37"/>
      <c r="D538" s="1"/>
      <c r="E538" s="1"/>
      <c r="F538" s="1"/>
      <c r="G538" s="1"/>
      <c r="H538" s="1"/>
      <c r="I538" s="1"/>
    </row>
    <row r="539" ht="15.75" customHeight="1">
      <c r="A539" s="36"/>
      <c r="B539" s="36"/>
      <c r="C539" s="37"/>
      <c r="D539" s="1"/>
      <c r="E539" s="1"/>
      <c r="F539" s="1"/>
      <c r="G539" s="1"/>
      <c r="H539" s="1"/>
      <c r="I539" s="1"/>
    </row>
    <row r="540" ht="15.75" customHeight="1">
      <c r="A540" s="36"/>
      <c r="B540" s="36"/>
      <c r="C540" s="37"/>
      <c r="D540" s="1"/>
      <c r="E540" s="1"/>
      <c r="F540" s="1"/>
      <c r="G540" s="1"/>
      <c r="H540" s="1"/>
      <c r="I540" s="1"/>
    </row>
    <row r="541" ht="15.75" customHeight="1">
      <c r="A541" s="36"/>
      <c r="B541" s="36"/>
      <c r="C541" s="37"/>
      <c r="D541" s="1"/>
      <c r="E541" s="1"/>
      <c r="F541" s="1"/>
      <c r="G541" s="1"/>
      <c r="H541" s="1"/>
      <c r="I541" s="1"/>
    </row>
    <row r="542" ht="15.75" customHeight="1">
      <c r="A542" s="36"/>
      <c r="B542" s="36"/>
      <c r="C542" s="37"/>
      <c r="D542" s="1"/>
      <c r="E542" s="1"/>
      <c r="F542" s="1"/>
      <c r="G542" s="1"/>
      <c r="H542" s="1"/>
      <c r="I542" s="1"/>
    </row>
    <row r="543" ht="15.75" customHeight="1">
      <c r="A543" s="36"/>
      <c r="B543" s="36"/>
      <c r="C543" s="37"/>
      <c r="D543" s="1"/>
      <c r="E543" s="1"/>
      <c r="F543" s="1"/>
      <c r="G543" s="1"/>
      <c r="H543" s="1"/>
      <c r="I543" s="1"/>
    </row>
    <row r="544" ht="15.75" customHeight="1">
      <c r="A544" s="36"/>
      <c r="B544" s="36"/>
      <c r="C544" s="37"/>
      <c r="D544" s="1"/>
      <c r="E544" s="1"/>
      <c r="F544" s="1"/>
      <c r="G544" s="1"/>
      <c r="H544" s="1"/>
      <c r="I544" s="1"/>
    </row>
    <row r="545" ht="15.75" customHeight="1">
      <c r="A545" s="36"/>
      <c r="B545" s="36"/>
      <c r="C545" s="37"/>
      <c r="D545" s="1"/>
      <c r="E545" s="1"/>
      <c r="F545" s="1"/>
      <c r="G545" s="1"/>
      <c r="H545" s="1"/>
      <c r="I545" s="1"/>
    </row>
    <row r="546" ht="15.75" customHeight="1">
      <c r="A546" s="36"/>
      <c r="B546" s="36"/>
      <c r="C546" s="37"/>
      <c r="D546" s="1"/>
      <c r="E546" s="1"/>
      <c r="F546" s="1"/>
      <c r="G546" s="1"/>
      <c r="H546" s="1"/>
      <c r="I546" s="1"/>
    </row>
    <row r="547" ht="15.75" customHeight="1">
      <c r="A547" s="36"/>
      <c r="B547" s="36"/>
      <c r="C547" s="37"/>
      <c r="D547" s="1"/>
      <c r="E547" s="1"/>
      <c r="F547" s="1"/>
      <c r="G547" s="1"/>
      <c r="H547" s="1"/>
      <c r="I547" s="1"/>
    </row>
    <row r="548" ht="15.75" customHeight="1">
      <c r="A548" s="36"/>
      <c r="B548" s="36"/>
      <c r="C548" s="37"/>
      <c r="D548" s="1"/>
      <c r="E548" s="1"/>
      <c r="F548" s="1"/>
      <c r="G548" s="1"/>
      <c r="H548" s="1"/>
      <c r="I548" s="1"/>
    </row>
    <row r="549" ht="15.75" customHeight="1">
      <c r="A549" s="36"/>
      <c r="B549" s="36"/>
      <c r="C549" s="37"/>
      <c r="D549" s="1"/>
      <c r="E549" s="1"/>
      <c r="F549" s="1"/>
      <c r="G549" s="1"/>
      <c r="H549" s="1"/>
      <c r="I549" s="1"/>
    </row>
    <row r="550" ht="15.75" customHeight="1">
      <c r="A550" s="36"/>
      <c r="B550" s="36"/>
      <c r="C550" s="37"/>
      <c r="D550" s="1"/>
      <c r="E550" s="1"/>
      <c r="F550" s="1"/>
      <c r="G550" s="1"/>
      <c r="H550" s="1"/>
      <c r="I550" s="1"/>
    </row>
    <row r="551" ht="15.75" customHeight="1">
      <c r="A551" s="36"/>
      <c r="B551" s="36"/>
      <c r="C551" s="37"/>
      <c r="D551" s="1"/>
      <c r="E551" s="1"/>
      <c r="F551" s="1"/>
      <c r="G551" s="1"/>
      <c r="H551" s="1"/>
      <c r="I551" s="1"/>
    </row>
    <row r="552" ht="15.75" customHeight="1">
      <c r="A552" s="36"/>
      <c r="B552" s="36"/>
      <c r="C552" s="37"/>
      <c r="D552" s="1"/>
      <c r="E552" s="1"/>
      <c r="F552" s="1"/>
      <c r="G552" s="1"/>
      <c r="H552" s="1"/>
      <c r="I552" s="1"/>
    </row>
    <row r="553" ht="15.75" customHeight="1">
      <c r="A553" s="36"/>
      <c r="B553" s="36"/>
      <c r="C553" s="37"/>
      <c r="D553" s="1"/>
      <c r="E553" s="1"/>
      <c r="F553" s="1"/>
      <c r="G553" s="1"/>
      <c r="H553" s="1"/>
      <c r="I553" s="1"/>
    </row>
    <row r="554" ht="15.75" customHeight="1">
      <c r="A554" s="36"/>
      <c r="B554" s="36"/>
      <c r="C554" s="37"/>
      <c r="D554" s="1"/>
      <c r="E554" s="1"/>
      <c r="F554" s="1"/>
      <c r="G554" s="1"/>
      <c r="H554" s="1"/>
      <c r="I554" s="1"/>
    </row>
    <row r="555" ht="15.75" customHeight="1">
      <c r="A555" s="36"/>
      <c r="B555" s="36"/>
      <c r="C555" s="37"/>
      <c r="D555" s="1"/>
      <c r="E555" s="1"/>
      <c r="F555" s="1"/>
      <c r="G555" s="1"/>
      <c r="H555" s="1"/>
      <c r="I555" s="1"/>
    </row>
    <row r="556" ht="15.75" customHeight="1">
      <c r="A556" s="36"/>
      <c r="B556" s="36"/>
      <c r="C556" s="37"/>
      <c r="D556" s="1"/>
      <c r="E556" s="1"/>
      <c r="F556" s="1"/>
      <c r="G556" s="1"/>
      <c r="H556" s="1"/>
      <c r="I556" s="1"/>
    </row>
    <row r="557" ht="15.75" customHeight="1">
      <c r="A557" s="36"/>
      <c r="B557" s="36"/>
      <c r="C557" s="37"/>
      <c r="D557" s="1"/>
      <c r="E557" s="1"/>
      <c r="F557" s="1"/>
      <c r="G557" s="1"/>
      <c r="H557" s="1"/>
      <c r="I557" s="1"/>
    </row>
    <row r="558" ht="15.75" customHeight="1">
      <c r="A558" s="36"/>
      <c r="B558" s="36"/>
      <c r="C558" s="37"/>
      <c r="D558" s="1"/>
      <c r="E558" s="1"/>
      <c r="F558" s="1"/>
      <c r="G558" s="1"/>
      <c r="H558" s="1"/>
      <c r="I558" s="1"/>
    </row>
    <row r="559" ht="15.75" customHeight="1">
      <c r="A559" s="36"/>
      <c r="B559" s="36"/>
      <c r="C559" s="37"/>
      <c r="D559" s="1"/>
      <c r="E559" s="1"/>
      <c r="F559" s="1"/>
      <c r="G559" s="1"/>
      <c r="H559" s="1"/>
      <c r="I559" s="1"/>
    </row>
    <row r="560" ht="15.75" customHeight="1">
      <c r="A560" s="36"/>
      <c r="B560" s="36"/>
      <c r="C560" s="37"/>
      <c r="D560" s="1"/>
      <c r="E560" s="1"/>
      <c r="F560" s="1"/>
      <c r="G560" s="1"/>
      <c r="H560" s="1"/>
      <c r="I560" s="1"/>
    </row>
    <row r="561" ht="15.75" customHeight="1">
      <c r="A561" s="36"/>
      <c r="B561" s="36"/>
      <c r="C561" s="37"/>
      <c r="D561" s="1"/>
      <c r="E561" s="1"/>
      <c r="F561" s="1"/>
      <c r="G561" s="1"/>
      <c r="H561" s="1"/>
      <c r="I561" s="1"/>
    </row>
    <row r="562" ht="15.75" customHeight="1">
      <c r="A562" s="36"/>
      <c r="B562" s="36"/>
      <c r="C562" s="37"/>
      <c r="D562" s="1"/>
      <c r="E562" s="1"/>
      <c r="F562" s="1"/>
      <c r="G562" s="1"/>
      <c r="H562" s="1"/>
      <c r="I562" s="1"/>
    </row>
    <row r="563" ht="15.75" customHeight="1">
      <c r="A563" s="36"/>
      <c r="B563" s="36"/>
      <c r="C563" s="37"/>
      <c r="D563" s="1"/>
      <c r="E563" s="1"/>
      <c r="F563" s="1"/>
      <c r="G563" s="1"/>
      <c r="H563" s="1"/>
      <c r="I563" s="1"/>
    </row>
    <row r="564" ht="15.75" customHeight="1">
      <c r="A564" s="36"/>
      <c r="B564" s="36"/>
      <c r="C564" s="37"/>
      <c r="D564" s="1"/>
      <c r="E564" s="1"/>
      <c r="F564" s="1"/>
      <c r="G564" s="1"/>
      <c r="H564" s="1"/>
      <c r="I564" s="1"/>
    </row>
    <row r="565" ht="15.75" customHeight="1">
      <c r="A565" s="36"/>
      <c r="B565" s="36"/>
      <c r="C565" s="37"/>
      <c r="D565" s="1"/>
      <c r="E565" s="1"/>
      <c r="F565" s="1"/>
      <c r="G565" s="1"/>
      <c r="H565" s="1"/>
      <c r="I565" s="1"/>
    </row>
    <row r="566" ht="15.75" customHeight="1">
      <c r="A566" s="36"/>
      <c r="B566" s="36"/>
      <c r="C566" s="37"/>
      <c r="D566" s="1"/>
      <c r="E566" s="1"/>
      <c r="F566" s="1"/>
      <c r="G566" s="1"/>
      <c r="H566" s="1"/>
      <c r="I566" s="1"/>
    </row>
    <row r="567" ht="15.75" customHeight="1">
      <c r="A567" s="36"/>
      <c r="B567" s="36"/>
      <c r="C567" s="37"/>
      <c r="D567" s="1"/>
      <c r="E567" s="1"/>
      <c r="F567" s="1"/>
      <c r="G567" s="1"/>
      <c r="H567" s="1"/>
      <c r="I567" s="1"/>
    </row>
    <row r="568" ht="15.75" customHeight="1">
      <c r="A568" s="36"/>
      <c r="B568" s="36"/>
      <c r="C568" s="37"/>
      <c r="D568" s="1"/>
      <c r="E568" s="1"/>
      <c r="F568" s="1"/>
      <c r="G568" s="1"/>
      <c r="H568" s="1"/>
      <c r="I568" s="1"/>
    </row>
    <row r="569" ht="15.75" customHeight="1">
      <c r="A569" s="36"/>
      <c r="B569" s="36"/>
      <c r="C569" s="37"/>
      <c r="D569" s="1"/>
      <c r="E569" s="1"/>
      <c r="F569" s="1"/>
      <c r="G569" s="1"/>
      <c r="H569" s="1"/>
      <c r="I569" s="1"/>
    </row>
    <row r="570" ht="15.75" customHeight="1">
      <c r="A570" s="36"/>
      <c r="B570" s="36"/>
      <c r="C570" s="37"/>
      <c r="D570" s="1"/>
      <c r="E570" s="1"/>
      <c r="F570" s="1"/>
      <c r="G570" s="1"/>
      <c r="H570" s="1"/>
      <c r="I570" s="1"/>
    </row>
    <row r="571" ht="15.75" customHeight="1">
      <c r="A571" s="36"/>
      <c r="B571" s="36"/>
      <c r="C571" s="37"/>
      <c r="D571" s="1"/>
      <c r="E571" s="1"/>
      <c r="F571" s="1"/>
      <c r="G571" s="1"/>
      <c r="H571" s="1"/>
      <c r="I571" s="1"/>
    </row>
    <row r="572" ht="15.75" customHeight="1">
      <c r="A572" s="36"/>
      <c r="B572" s="36"/>
      <c r="C572" s="37"/>
      <c r="D572" s="1"/>
      <c r="E572" s="1"/>
      <c r="F572" s="1"/>
      <c r="G572" s="1"/>
      <c r="H572" s="1"/>
      <c r="I572" s="1"/>
    </row>
    <row r="573" ht="15.75" customHeight="1">
      <c r="A573" s="36"/>
      <c r="B573" s="36"/>
      <c r="C573" s="37"/>
      <c r="D573" s="1"/>
      <c r="E573" s="1"/>
      <c r="F573" s="1"/>
      <c r="G573" s="1"/>
      <c r="H573" s="1"/>
      <c r="I573" s="1"/>
    </row>
    <row r="574" ht="15.75" customHeight="1">
      <c r="A574" s="36"/>
      <c r="B574" s="36"/>
      <c r="C574" s="37"/>
      <c r="D574" s="1"/>
      <c r="E574" s="1"/>
      <c r="F574" s="1"/>
      <c r="G574" s="1"/>
      <c r="H574" s="1"/>
      <c r="I574" s="1"/>
    </row>
    <row r="575" ht="15.75" customHeight="1">
      <c r="A575" s="36"/>
      <c r="B575" s="36"/>
      <c r="C575" s="37"/>
      <c r="D575" s="1"/>
      <c r="E575" s="1"/>
      <c r="F575" s="1"/>
      <c r="G575" s="1"/>
      <c r="H575" s="1"/>
      <c r="I575" s="1"/>
    </row>
    <row r="576" ht="15.75" customHeight="1">
      <c r="A576" s="36"/>
      <c r="B576" s="36"/>
      <c r="C576" s="37"/>
      <c r="D576" s="1"/>
      <c r="E576" s="1"/>
      <c r="F576" s="1"/>
      <c r="G576" s="1"/>
      <c r="H576" s="1"/>
      <c r="I576" s="1"/>
    </row>
    <row r="577" ht="15.75" customHeight="1">
      <c r="A577" s="36"/>
      <c r="B577" s="36"/>
      <c r="C577" s="37"/>
      <c r="D577" s="1"/>
      <c r="E577" s="1"/>
      <c r="F577" s="1"/>
      <c r="G577" s="1"/>
      <c r="H577" s="1"/>
      <c r="I577" s="1"/>
    </row>
    <row r="578" ht="15.75" customHeight="1">
      <c r="A578" s="36"/>
      <c r="B578" s="36"/>
      <c r="C578" s="37"/>
      <c r="D578" s="1"/>
      <c r="E578" s="1"/>
      <c r="F578" s="1"/>
      <c r="G578" s="1"/>
      <c r="H578" s="1"/>
      <c r="I578" s="1"/>
    </row>
    <row r="579" ht="15.75" customHeight="1">
      <c r="A579" s="36"/>
      <c r="B579" s="36"/>
      <c r="C579" s="37"/>
      <c r="D579" s="1"/>
      <c r="E579" s="1"/>
      <c r="F579" s="1"/>
      <c r="G579" s="1"/>
      <c r="H579" s="1"/>
      <c r="I579" s="1"/>
    </row>
    <row r="580" ht="15.75" customHeight="1">
      <c r="A580" s="36"/>
      <c r="B580" s="36"/>
      <c r="C580" s="37"/>
      <c r="D580" s="1"/>
      <c r="E580" s="1"/>
      <c r="F580" s="1"/>
      <c r="G580" s="1"/>
      <c r="H580" s="1"/>
      <c r="I580" s="1"/>
    </row>
    <row r="581" ht="15.75" customHeight="1">
      <c r="A581" s="36"/>
      <c r="B581" s="36"/>
      <c r="C581" s="37"/>
      <c r="D581" s="1"/>
      <c r="E581" s="1"/>
      <c r="F581" s="1"/>
      <c r="G581" s="1"/>
      <c r="H581" s="1"/>
      <c r="I581" s="1"/>
    </row>
    <row r="582" ht="15.75" customHeight="1">
      <c r="A582" s="36"/>
      <c r="B582" s="36"/>
      <c r="C582" s="37"/>
      <c r="D582" s="1"/>
      <c r="E582" s="1"/>
      <c r="F582" s="1"/>
      <c r="G582" s="1"/>
      <c r="H582" s="1"/>
      <c r="I582" s="1"/>
    </row>
    <row r="583" ht="15.75" customHeight="1">
      <c r="A583" s="36"/>
      <c r="B583" s="36"/>
      <c r="C583" s="37"/>
      <c r="D583" s="1"/>
      <c r="E583" s="1"/>
      <c r="F583" s="1"/>
      <c r="G583" s="1"/>
      <c r="H583" s="1"/>
      <c r="I583" s="1"/>
    </row>
    <row r="584" ht="15.75" customHeight="1">
      <c r="A584" s="36"/>
      <c r="B584" s="36"/>
      <c r="C584" s="37"/>
      <c r="D584" s="1"/>
      <c r="E584" s="1"/>
      <c r="F584" s="1"/>
      <c r="G584" s="1"/>
      <c r="H584" s="1"/>
      <c r="I584" s="1"/>
    </row>
    <row r="585" ht="15.75" customHeight="1">
      <c r="A585" s="36"/>
      <c r="B585" s="36"/>
      <c r="C585" s="37"/>
      <c r="D585" s="1"/>
      <c r="E585" s="1"/>
      <c r="F585" s="1"/>
      <c r="G585" s="1"/>
      <c r="H585" s="1"/>
      <c r="I585" s="1"/>
    </row>
    <row r="586" ht="15.75" customHeight="1">
      <c r="A586" s="36"/>
      <c r="B586" s="36"/>
      <c r="C586" s="37"/>
      <c r="D586" s="1"/>
      <c r="E586" s="1"/>
      <c r="F586" s="1"/>
      <c r="G586" s="1"/>
      <c r="H586" s="1"/>
      <c r="I586" s="1"/>
    </row>
    <row r="587" ht="15.75" customHeight="1">
      <c r="A587" s="36"/>
      <c r="B587" s="36"/>
      <c r="C587" s="37"/>
      <c r="D587" s="1"/>
      <c r="E587" s="1"/>
      <c r="F587" s="1"/>
      <c r="G587" s="1"/>
      <c r="H587" s="1"/>
      <c r="I587" s="1"/>
    </row>
    <row r="588" ht="15.75" customHeight="1">
      <c r="A588" s="36"/>
      <c r="B588" s="36"/>
      <c r="C588" s="37"/>
      <c r="D588" s="1"/>
      <c r="E588" s="1"/>
      <c r="F588" s="1"/>
      <c r="G588" s="1"/>
      <c r="H588" s="1"/>
      <c r="I588" s="1"/>
    </row>
    <row r="589" ht="15.75" customHeight="1">
      <c r="A589" s="36"/>
      <c r="B589" s="36"/>
      <c r="C589" s="37"/>
      <c r="D589" s="1"/>
      <c r="E589" s="1"/>
      <c r="F589" s="1"/>
      <c r="G589" s="1"/>
      <c r="H589" s="1"/>
      <c r="I589" s="1"/>
    </row>
    <row r="590" ht="15.75" customHeight="1">
      <c r="A590" s="36"/>
      <c r="B590" s="36"/>
      <c r="C590" s="37"/>
      <c r="D590" s="1"/>
      <c r="E590" s="1"/>
      <c r="F590" s="1"/>
      <c r="G590" s="1"/>
      <c r="H590" s="1"/>
      <c r="I590" s="1"/>
    </row>
    <row r="591" ht="15.75" customHeight="1">
      <c r="A591" s="36"/>
      <c r="B591" s="36"/>
      <c r="C591" s="37"/>
      <c r="D591" s="1"/>
      <c r="E591" s="1"/>
      <c r="F591" s="1"/>
      <c r="G591" s="1"/>
      <c r="H591" s="1"/>
      <c r="I591" s="1"/>
    </row>
    <row r="592" ht="15.75" customHeight="1">
      <c r="A592" s="36"/>
      <c r="B592" s="36"/>
      <c r="C592" s="37"/>
      <c r="D592" s="1"/>
      <c r="E592" s="1"/>
      <c r="F592" s="1"/>
      <c r="G592" s="1"/>
      <c r="H592" s="1"/>
      <c r="I592" s="1"/>
    </row>
    <row r="593" ht="15.75" customHeight="1">
      <c r="A593" s="36"/>
      <c r="B593" s="36"/>
      <c r="C593" s="37"/>
      <c r="D593" s="1"/>
      <c r="E593" s="1"/>
      <c r="F593" s="1"/>
      <c r="G593" s="1"/>
      <c r="H593" s="1"/>
      <c r="I593" s="1"/>
    </row>
    <row r="594" ht="15.75" customHeight="1">
      <c r="A594" s="36"/>
      <c r="B594" s="36"/>
      <c r="C594" s="37"/>
      <c r="D594" s="1"/>
      <c r="E594" s="1"/>
      <c r="F594" s="1"/>
      <c r="G594" s="1"/>
      <c r="H594" s="1"/>
      <c r="I594" s="1"/>
    </row>
    <row r="595" ht="15.75" customHeight="1">
      <c r="A595" s="36"/>
      <c r="B595" s="36"/>
      <c r="C595" s="37"/>
      <c r="D595" s="1"/>
      <c r="E595" s="1"/>
      <c r="F595" s="1"/>
      <c r="G595" s="1"/>
      <c r="H595" s="1"/>
      <c r="I595" s="1"/>
    </row>
    <row r="596" ht="15.75" customHeight="1">
      <c r="A596" s="36"/>
      <c r="B596" s="36"/>
      <c r="C596" s="37"/>
      <c r="D596" s="1"/>
      <c r="E596" s="1"/>
      <c r="F596" s="1"/>
      <c r="G596" s="1"/>
      <c r="H596" s="1"/>
      <c r="I596" s="1"/>
    </row>
    <row r="597" ht="15.75" customHeight="1">
      <c r="A597" s="36"/>
      <c r="B597" s="36"/>
      <c r="C597" s="37"/>
      <c r="D597" s="1"/>
      <c r="E597" s="1"/>
      <c r="F597" s="1"/>
      <c r="G597" s="1"/>
      <c r="H597" s="1"/>
      <c r="I597" s="1"/>
    </row>
    <row r="598" ht="15.75" customHeight="1">
      <c r="A598" s="36"/>
      <c r="B598" s="36"/>
      <c r="C598" s="37"/>
      <c r="D598" s="1"/>
      <c r="E598" s="1"/>
      <c r="F598" s="1"/>
      <c r="G598" s="1"/>
      <c r="H598" s="1"/>
      <c r="I598" s="1"/>
    </row>
    <row r="599" ht="15.75" customHeight="1">
      <c r="A599" s="36"/>
      <c r="B599" s="36"/>
      <c r="C599" s="37"/>
      <c r="D599" s="1"/>
      <c r="E599" s="1"/>
      <c r="F599" s="1"/>
      <c r="G599" s="1"/>
      <c r="H599" s="1"/>
      <c r="I599" s="1"/>
    </row>
    <row r="600" ht="15.75" customHeight="1">
      <c r="A600" s="36"/>
      <c r="B600" s="36"/>
      <c r="C600" s="37"/>
      <c r="D600" s="1"/>
      <c r="E600" s="1"/>
      <c r="F600" s="1"/>
      <c r="G600" s="1"/>
      <c r="H600" s="1"/>
      <c r="I600" s="1"/>
    </row>
    <row r="601" ht="15.75" customHeight="1">
      <c r="A601" s="36"/>
      <c r="B601" s="36"/>
      <c r="C601" s="37"/>
      <c r="D601" s="1"/>
      <c r="E601" s="1"/>
      <c r="F601" s="1"/>
      <c r="G601" s="1"/>
      <c r="H601" s="1"/>
      <c r="I601" s="1"/>
    </row>
    <row r="602" ht="15.75" customHeight="1">
      <c r="A602" s="36"/>
      <c r="B602" s="36"/>
      <c r="C602" s="37"/>
      <c r="D602" s="1"/>
      <c r="E602" s="1"/>
      <c r="F602" s="1"/>
      <c r="G602" s="1"/>
      <c r="H602" s="1"/>
      <c r="I602" s="1"/>
    </row>
    <row r="603" ht="15.75" customHeight="1">
      <c r="A603" s="36"/>
      <c r="B603" s="36"/>
      <c r="C603" s="37"/>
      <c r="D603" s="1"/>
      <c r="E603" s="1"/>
      <c r="F603" s="1"/>
      <c r="G603" s="1"/>
      <c r="H603" s="1"/>
      <c r="I603" s="1"/>
    </row>
    <row r="604" ht="15.75" customHeight="1">
      <c r="A604" s="36"/>
      <c r="B604" s="36"/>
      <c r="C604" s="37"/>
      <c r="D604" s="1"/>
      <c r="E604" s="1"/>
      <c r="F604" s="1"/>
      <c r="G604" s="1"/>
      <c r="H604" s="1"/>
      <c r="I604" s="1"/>
    </row>
    <row r="605" ht="15.75" customHeight="1">
      <c r="A605" s="36"/>
      <c r="B605" s="36"/>
      <c r="C605" s="37"/>
      <c r="D605" s="1"/>
      <c r="E605" s="1"/>
      <c r="F605" s="1"/>
      <c r="G605" s="1"/>
      <c r="H605" s="1"/>
      <c r="I605" s="1"/>
    </row>
    <row r="606" ht="15.75" customHeight="1">
      <c r="A606" s="36"/>
      <c r="B606" s="36"/>
      <c r="C606" s="37"/>
      <c r="D606" s="1"/>
      <c r="E606" s="1"/>
      <c r="F606" s="1"/>
      <c r="G606" s="1"/>
      <c r="H606" s="1"/>
      <c r="I606" s="1"/>
    </row>
    <row r="607" ht="15.75" customHeight="1">
      <c r="A607" s="36"/>
      <c r="B607" s="36"/>
      <c r="C607" s="37"/>
      <c r="D607" s="1"/>
      <c r="E607" s="1"/>
      <c r="F607" s="1"/>
      <c r="G607" s="1"/>
      <c r="H607" s="1"/>
      <c r="I607" s="1"/>
    </row>
    <row r="608" ht="15.75" customHeight="1">
      <c r="A608" s="36"/>
      <c r="B608" s="36"/>
      <c r="C608" s="37"/>
      <c r="D608" s="1"/>
      <c r="E608" s="1"/>
      <c r="F608" s="1"/>
      <c r="G608" s="1"/>
      <c r="H608" s="1"/>
      <c r="I608" s="1"/>
    </row>
    <row r="609" ht="15.75" customHeight="1">
      <c r="A609" s="36"/>
      <c r="B609" s="36"/>
      <c r="C609" s="37"/>
      <c r="D609" s="1"/>
      <c r="E609" s="1"/>
      <c r="F609" s="1"/>
      <c r="G609" s="1"/>
      <c r="H609" s="1"/>
      <c r="I609" s="1"/>
    </row>
    <row r="610" ht="15.75" customHeight="1">
      <c r="A610" s="36"/>
      <c r="B610" s="36"/>
      <c r="C610" s="37"/>
      <c r="D610" s="1"/>
      <c r="E610" s="1"/>
      <c r="F610" s="1"/>
      <c r="G610" s="1"/>
      <c r="H610" s="1"/>
      <c r="I610" s="1"/>
    </row>
    <row r="611" ht="15.75" customHeight="1">
      <c r="A611" s="36"/>
      <c r="B611" s="36"/>
      <c r="C611" s="37"/>
      <c r="D611" s="1"/>
      <c r="E611" s="1"/>
      <c r="F611" s="1"/>
      <c r="G611" s="1"/>
      <c r="H611" s="1"/>
      <c r="I611" s="1"/>
    </row>
    <row r="612" ht="15.75" customHeight="1">
      <c r="A612" s="36"/>
      <c r="B612" s="36"/>
      <c r="C612" s="37"/>
      <c r="D612" s="1"/>
      <c r="E612" s="1"/>
      <c r="F612" s="1"/>
      <c r="G612" s="1"/>
      <c r="H612" s="1"/>
      <c r="I612" s="1"/>
    </row>
    <row r="613" ht="15.75" customHeight="1">
      <c r="A613" s="36"/>
      <c r="B613" s="36"/>
      <c r="C613" s="37"/>
      <c r="D613" s="1"/>
      <c r="E613" s="1"/>
      <c r="F613" s="1"/>
      <c r="G613" s="1"/>
      <c r="H613" s="1"/>
      <c r="I613" s="1"/>
    </row>
    <row r="614" ht="15.75" customHeight="1">
      <c r="A614" s="36"/>
      <c r="B614" s="36"/>
      <c r="C614" s="37"/>
      <c r="D614" s="1"/>
      <c r="E614" s="1"/>
      <c r="F614" s="1"/>
      <c r="G614" s="1"/>
      <c r="H614" s="1"/>
      <c r="I614" s="1"/>
    </row>
    <row r="615" ht="15.75" customHeight="1">
      <c r="A615" s="36"/>
      <c r="B615" s="36"/>
      <c r="C615" s="37"/>
      <c r="D615" s="1"/>
      <c r="E615" s="1"/>
      <c r="F615" s="1"/>
      <c r="G615" s="1"/>
      <c r="H615" s="1"/>
      <c r="I615" s="1"/>
    </row>
    <row r="616" ht="15.75" customHeight="1">
      <c r="A616" s="36"/>
      <c r="B616" s="36"/>
      <c r="C616" s="37"/>
      <c r="D616" s="1"/>
      <c r="E616" s="1"/>
      <c r="F616" s="1"/>
      <c r="G616" s="1"/>
      <c r="H616" s="1"/>
      <c r="I616" s="1"/>
    </row>
    <row r="617" ht="15.75" customHeight="1">
      <c r="A617" s="36"/>
      <c r="B617" s="36"/>
      <c r="C617" s="37"/>
      <c r="D617" s="1"/>
      <c r="E617" s="1"/>
      <c r="F617" s="1"/>
      <c r="G617" s="1"/>
      <c r="H617" s="1"/>
      <c r="I617" s="1"/>
    </row>
    <row r="618" ht="15.75" customHeight="1">
      <c r="A618" s="36"/>
      <c r="B618" s="36"/>
      <c r="C618" s="37"/>
      <c r="D618" s="1"/>
      <c r="E618" s="1"/>
      <c r="F618" s="1"/>
      <c r="G618" s="1"/>
      <c r="H618" s="1"/>
      <c r="I618" s="1"/>
    </row>
    <row r="619" ht="15.75" customHeight="1">
      <c r="A619" s="36"/>
      <c r="B619" s="36"/>
      <c r="C619" s="37"/>
      <c r="D619" s="1"/>
      <c r="E619" s="1"/>
      <c r="F619" s="1"/>
      <c r="G619" s="1"/>
      <c r="H619" s="1"/>
      <c r="I619" s="1"/>
    </row>
    <row r="620" ht="15.75" customHeight="1">
      <c r="A620" s="36"/>
      <c r="B620" s="36"/>
      <c r="C620" s="37"/>
      <c r="D620" s="1"/>
      <c r="E620" s="1"/>
      <c r="F620" s="1"/>
      <c r="G620" s="1"/>
      <c r="H620" s="1"/>
      <c r="I620" s="1"/>
    </row>
    <row r="621" ht="15.75" customHeight="1">
      <c r="A621" s="36"/>
      <c r="B621" s="36"/>
      <c r="C621" s="37"/>
      <c r="D621" s="1"/>
      <c r="E621" s="1"/>
      <c r="F621" s="1"/>
      <c r="G621" s="1"/>
      <c r="H621" s="1"/>
      <c r="I621" s="1"/>
    </row>
    <row r="622" ht="15.75" customHeight="1">
      <c r="A622" s="36"/>
      <c r="B622" s="36"/>
      <c r="C622" s="37"/>
      <c r="D622" s="1"/>
      <c r="E622" s="1"/>
      <c r="F622" s="1"/>
      <c r="G622" s="1"/>
      <c r="H622" s="1"/>
      <c r="I622" s="1"/>
    </row>
    <row r="623" ht="15.75" customHeight="1">
      <c r="A623" s="36"/>
      <c r="B623" s="36"/>
      <c r="C623" s="37"/>
      <c r="D623" s="1"/>
      <c r="E623" s="1"/>
      <c r="F623" s="1"/>
      <c r="G623" s="1"/>
      <c r="H623" s="1"/>
      <c r="I623" s="1"/>
    </row>
    <row r="624" ht="15.75" customHeight="1">
      <c r="A624" s="36"/>
      <c r="B624" s="36"/>
      <c r="C624" s="37"/>
      <c r="D624" s="1"/>
      <c r="E624" s="1"/>
      <c r="F624" s="1"/>
      <c r="G624" s="1"/>
      <c r="H624" s="1"/>
      <c r="I624" s="1"/>
    </row>
    <row r="625" ht="15.75" customHeight="1">
      <c r="A625" s="36"/>
      <c r="B625" s="36"/>
      <c r="C625" s="37"/>
      <c r="D625" s="1"/>
      <c r="E625" s="1"/>
      <c r="F625" s="1"/>
      <c r="G625" s="1"/>
      <c r="H625" s="1"/>
      <c r="I625" s="1"/>
    </row>
    <row r="626" ht="15.75" customHeight="1">
      <c r="A626" s="36"/>
      <c r="B626" s="36"/>
      <c r="C626" s="37"/>
      <c r="D626" s="1"/>
      <c r="E626" s="1"/>
      <c r="F626" s="1"/>
      <c r="G626" s="1"/>
      <c r="H626" s="1"/>
      <c r="I626" s="1"/>
    </row>
    <row r="627" ht="15.75" customHeight="1">
      <c r="A627" s="36"/>
      <c r="B627" s="36"/>
      <c r="C627" s="37"/>
      <c r="D627" s="1"/>
      <c r="E627" s="1"/>
      <c r="F627" s="1"/>
      <c r="G627" s="1"/>
      <c r="H627" s="1"/>
      <c r="I627" s="1"/>
    </row>
    <row r="628" ht="15.75" customHeight="1">
      <c r="A628" s="36"/>
      <c r="B628" s="36"/>
      <c r="C628" s="37"/>
      <c r="D628" s="1"/>
      <c r="E628" s="1"/>
      <c r="F628" s="1"/>
      <c r="G628" s="1"/>
      <c r="H628" s="1"/>
      <c r="I628" s="1"/>
    </row>
    <row r="629" ht="15.75" customHeight="1">
      <c r="A629" s="36"/>
      <c r="B629" s="36"/>
      <c r="C629" s="37"/>
      <c r="D629" s="1"/>
      <c r="E629" s="1"/>
      <c r="F629" s="1"/>
      <c r="G629" s="1"/>
      <c r="H629" s="1"/>
      <c r="I629" s="1"/>
    </row>
    <row r="630" ht="15.75" customHeight="1">
      <c r="A630" s="36"/>
      <c r="B630" s="36"/>
      <c r="C630" s="37"/>
      <c r="D630" s="1"/>
      <c r="E630" s="1"/>
      <c r="F630" s="1"/>
      <c r="G630" s="1"/>
      <c r="H630" s="1"/>
      <c r="I630" s="1"/>
    </row>
    <row r="631" ht="15.75" customHeight="1">
      <c r="A631" s="36"/>
      <c r="B631" s="36"/>
      <c r="C631" s="37"/>
      <c r="D631" s="1"/>
      <c r="E631" s="1"/>
      <c r="F631" s="1"/>
      <c r="G631" s="1"/>
      <c r="H631" s="1"/>
      <c r="I631" s="1"/>
    </row>
    <row r="632" ht="15.75" customHeight="1">
      <c r="A632" s="36"/>
      <c r="B632" s="36"/>
      <c r="C632" s="37"/>
      <c r="D632" s="1"/>
      <c r="E632" s="1"/>
      <c r="F632" s="1"/>
      <c r="G632" s="1"/>
      <c r="H632" s="1"/>
      <c r="I632" s="1"/>
    </row>
    <row r="633" ht="15.75" customHeight="1">
      <c r="A633" s="36"/>
      <c r="B633" s="36"/>
      <c r="C633" s="37"/>
      <c r="D633" s="1"/>
      <c r="E633" s="1"/>
      <c r="F633" s="1"/>
      <c r="G633" s="1"/>
      <c r="H633" s="1"/>
      <c r="I633" s="1"/>
    </row>
    <row r="634" ht="15.75" customHeight="1">
      <c r="A634" s="36"/>
      <c r="B634" s="36"/>
      <c r="C634" s="37"/>
      <c r="D634" s="1"/>
      <c r="E634" s="1"/>
      <c r="F634" s="1"/>
      <c r="G634" s="1"/>
      <c r="H634" s="1"/>
      <c r="I634" s="1"/>
    </row>
    <row r="635" ht="15.75" customHeight="1">
      <c r="A635" s="36"/>
      <c r="B635" s="36"/>
      <c r="C635" s="37"/>
      <c r="D635" s="1"/>
      <c r="E635" s="1"/>
      <c r="F635" s="1"/>
      <c r="G635" s="1"/>
      <c r="H635" s="1"/>
      <c r="I635" s="1"/>
    </row>
    <row r="636" ht="15.75" customHeight="1">
      <c r="A636" s="36"/>
      <c r="B636" s="36"/>
      <c r="C636" s="37"/>
      <c r="D636" s="1"/>
      <c r="E636" s="1"/>
      <c r="F636" s="1"/>
      <c r="G636" s="1"/>
      <c r="H636" s="1"/>
      <c r="I636" s="1"/>
    </row>
    <row r="637" ht="15.75" customHeight="1">
      <c r="A637" s="36"/>
      <c r="B637" s="36"/>
      <c r="C637" s="37"/>
      <c r="D637" s="1"/>
      <c r="E637" s="1"/>
      <c r="F637" s="1"/>
      <c r="G637" s="1"/>
      <c r="H637" s="1"/>
      <c r="I637" s="1"/>
    </row>
    <row r="638" ht="15.75" customHeight="1">
      <c r="A638" s="36"/>
      <c r="B638" s="36"/>
      <c r="C638" s="37"/>
      <c r="D638" s="1"/>
      <c r="E638" s="1"/>
      <c r="F638" s="1"/>
      <c r="G638" s="1"/>
      <c r="H638" s="1"/>
      <c r="I638" s="1"/>
    </row>
    <row r="639" ht="15.75" customHeight="1">
      <c r="A639" s="36"/>
      <c r="B639" s="36"/>
      <c r="C639" s="37"/>
      <c r="D639" s="1"/>
      <c r="E639" s="1"/>
      <c r="F639" s="1"/>
      <c r="G639" s="1"/>
      <c r="H639" s="1"/>
      <c r="I639" s="1"/>
    </row>
    <row r="640" ht="15.75" customHeight="1">
      <c r="A640" s="36"/>
      <c r="B640" s="36"/>
      <c r="C640" s="37"/>
      <c r="D640" s="1"/>
      <c r="E640" s="1"/>
      <c r="F640" s="1"/>
      <c r="G640" s="1"/>
      <c r="H640" s="1"/>
      <c r="I640" s="1"/>
    </row>
    <row r="641" ht="15.75" customHeight="1">
      <c r="A641" s="36"/>
      <c r="B641" s="36"/>
      <c r="C641" s="37"/>
      <c r="D641" s="1"/>
      <c r="E641" s="1"/>
      <c r="F641" s="1"/>
      <c r="G641" s="1"/>
      <c r="H641" s="1"/>
      <c r="I641" s="1"/>
    </row>
    <row r="642" ht="15.75" customHeight="1">
      <c r="A642" s="36"/>
      <c r="B642" s="36"/>
      <c r="C642" s="37"/>
      <c r="D642" s="1"/>
      <c r="E642" s="1"/>
      <c r="F642" s="1"/>
      <c r="G642" s="1"/>
      <c r="H642" s="1"/>
      <c r="I642" s="1"/>
    </row>
    <row r="643" ht="15.75" customHeight="1">
      <c r="A643" s="36"/>
      <c r="B643" s="36"/>
      <c r="C643" s="37"/>
      <c r="D643" s="1"/>
      <c r="E643" s="1"/>
      <c r="F643" s="1"/>
      <c r="G643" s="1"/>
      <c r="H643" s="1"/>
      <c r="I643" s="1"/>
    </row>
    <row r="644" ht="15.75" customHeight="1">
      <c r="A644" s="36"/>
      <c r="B644" s="36"/>
      <c r="C644" s="37"/>
      <c r="D644" s="1"/>
      <c r="E644" s="1"/>
      <c r="F644" s="1"/>
      <c r="G644" s="1"/>
      <c r="H644" s="1"/>
      <c r="I644" s="1"/>
    </row>
    <row r="645" ht="15.75" customHeight="1">
      <c r="A645" s="36"/>
      <c r="B645" s="36"/>
      <c r="C645" s="37"/>
      <c r="D645" s="1"/>
      <c r="E645" s="1"/>
      <c r="F645" s="1"/>
      <c r="G645" s="1"/>
      <c r="H645" s="1"/>
      <c r="I645" s="1"/>
    </row>
    <row r="646" ht="15.75" customHeight="1">
      <c r="A646" s="36"/>
      <c r="B646" s="36"/>
      <c r="C646" s="37"/>
      <c r="D646" s="1"/>
      <c r="E646" s="1"/>
      <c r="F646" s="1"/>
      <c r="G646" s="1"/>
      <c r="H646" s="1"/>
      <c r="I646" s="1"/>
    </row>
    <row r="647" ht="15.75" customHeight="1">
      <c r="A647" s="36"/>
      <c r="B647" s="36"/>
      <c r="C647" s="37"/>
      <c r="D647" s="1"/>
      <c r="E647" s="1"/>
      <c r="F647" s="1"/>
      <c r="G647" s="1"/>
      <c r="H647" s="1"/>
      <c r="I647" s="1"/>
    </row>
    <row r="648" ht="15.75" customHeight="1">
      <c r="A648" s="36"/>
      <c r="B648" s="36"/>
      <c r="C648" s="37"/>
      <c r="D648" s="1"/>
      <c r="E648" s="1"/>
      <c r="F648" s="1"/>
      <c r="G648" s="1"/>
      <c r="H648" s="1"/>
      <c r="I648" s="1"/>
    </row>
    <row r="649" ht="15.75" customHeight="1">
      <c r="A649" s="36"/>
      <c r="B649" s="36"/>
      <c r="C649" s="37"/>
      <c r="D649" s="1"/>
      <c r="E649" s="1"/>
      <c r="F649" s="1"/>
      <c r="G649" s="1"/>
      <c r="H649" s="1"/>
      <c r="I649" s="1"/>
    </row>
    <row r="650" ht="15.75" customHeight="1">
      <c r="A650" s="36"/>
      <c r="B650" s="36"/>
      <c r="C650" s="37"/>
      <c r="D650" s="1"/>
      <c r="E650" s="1"/>
      <c r="F650" s="1"/>
      <c r="G650" s="1"/>
      <c r="H650" s="1"/>
      <c r="I650" s="1"/>
    </row>
    <row r="651" ht="15.75" customHeight="1">
      <c r="A651" s="36"/>
      <c r="B651" s="36"/>
      <c r="C651" s="37"/>
      <c r="D651" s="1"/>
      <c r="E651" s="1"/>
      <c r="F651" s="1"/>
      <c r="G651" s="1"/>
      <c r="H651" s="1"/>
      <c r="I651" s="1"/>
    </row>
    <row r="652" ht="15.75" customHeight="1">
      <c r="A652" s="36"/>
      <c r="B652" s="36"/>
      <c r="C652" s="37"/>
      <c r="D652" s="1"/>
      <c r="E652" s="1"/>
      <c r="F652" s="1"/>
      <c r="G652" s="1"/>
      <c r="H652" s="1"/>
      <c r="I652" s="1"/>
    </row>
    <row r="653" ht="15.75" customHeight="1">
      <c r="A653" s="36"/>
      <c r="B653" s="36"/>
      <c r="C653" s="37"/>
      <c r="D653" s="1"/>
      <c r="E653" s="1"/>
      <c r="F653" s="1"/>
      <c r="G653" s="1"/>
      <c r="H653" s="1"/>
      <c r="I653" s="1"/>
    </row>
    <row r="654" ht="15.75" customHeight="1">
      <c r="A654" s="36"/>
      <c r="B654" s="36"/>
      <c r="C654" s="37"/>
      <c r="D654" s="1"/>
      <c r="E654" s="1"/>
      <c r="F654" s="1"/>
      <c r="G654" s="1"/>
      <c r="H654" s="1"/>
      <c r="I654" s="1"/>
    </row>
    <row r="655" ht="15.75" customHeight="1">
      <c r="A655" s="36"/>
      <c r="B655" s="36"/>
      <c r="C655" s="37"/>
      <c r="D655" s="1"/>
      <c r="E655" s="1"/>
      <c r="F655" s="1"/>
      <c r="G655" s="1"/>
      <c r="H655" s="1"/>
      <c r="I655" s="1"/>
    </row>
    <row r="656" ht="15.75" customHeight="1">
      <c r="A656" s="36"/>
      <c r="B656" s="36"/>
      <c r="C656" s="37"/>
      <c r="D656" s="1"/>
      <c r="E656" s="1"/>
      <c r="F656" s="1"/>
      <c r="G656" s="1"/>
      <c r="H656" s="1"/>
      <c r="I656" s="1"/>
    </row>
    <row r="657" ht="15.75" customHeight="1">
      <c r="A657" s="36"/>
      <c r="B657" s="36"/>
      <c r="C657" s="37"/>
      <c r="D657" s="1"/>
      <c r="E657" s="1"/>
      <c r="F657" s="1"/>
      <c r="G657" s="1"/>
      <c r="H657" s="1"/>
      <c r="I657" s="1"/>
    </row>
    <row r="658" ht="15.75" customHeight="1">
      <c r="A658" s="36"/>
      <c r="B658" s="36"/>
      <c r="C658" s="37"/>
      <c r="D658" s="1"/>
      <c r="E658" s="1"/>
      <c r="F658" s="1"/>
      <c r="G658" s="1"/>
      <c r="H658" s="1"/>
      <c r="I658" s="1"/>
    </row>
    <row r="659" ht="15.75" customHeight="1">
      <c r="A659" s="36"/>
      <c r="B659" s="36"/>
      <c r="C659" s="37"/>
      <c r="D659" s="1"/>
      <c r="E659" s="1"/>
      <c r="F659" s="1"/>
      <c r="G659" s="1"/>
      <c r="H659" s="1"/>
      <c r="I659" s="1"/>
    </row>
    <row r="660" ht="15.75" customHeight="1">
      <c r="A660" s="36"/>
      <c r="B660" s="36"/>
      <c r="C660" s="37"/>
      <c r="D660" s="1"/>
      <c r="E660" s="1"/>
      <c r="F660" s="1"/>
      <c r="G660" s="1"/>
      <c r="H660" s="1"/>
      <c r="I660" s="1"/>
    </row>
    <row r="661" ht="15.75" customHeight="1">
      <c r="A661" s="36"/>
      <c r="B661" s="36"/>
      <c r="C661" s="37"/>
      <c r="D661" s="1"/>
      <c r="E661" s="1"/>
      <c r="F661" s="1"/>
      <c r="G661" s="1"/>
      <c r="H661" s="1"/>
      <c r="I661" s="1"/>
    </row>
    <row r="662" ht="15.75" customHeight="1">
      <c r="A662" s="36"/>
      <c r="B662" s="36"/>
      <c r="C662" s="37"/>
      <c r="D662" s="1"/>
      <c r="E662" s="1"/>
      <c r="F662" s="1"/>
      <c r="G662" s="1"/>
      <c r="H662" s="1"/>
      <c r="I662" s="1"/>
    </row>
    <row r="663" ht="15.75" customHeight="1">
      <c r="A663" s="36"/>
      <c r="B663" s="36"/>
      <c r="C663" s="37"/>
      <c r="D663" s="1"/>
      <c r="E663" s="1"/>
      <c r="F663" s="1"/>
      <c r="G663" s="1"/>
      <c r="H663" s="1"/>
      <c r="I663" s="1"/>
    </row>
    <row r="664" ht="15.75" customHeight="1">
      <c r="A664" s="36"/>
      <c r="B664" s="36"/>
      <c r="C664" s="37"/>
      <c r="D664" s="1"/>
      <c r="E664" s="1"/>
      <c r="F664" s="1"/>
      <c r="G664" s="1"/>
      <c r="H664" s="1"/>
      <c r="I664" s="1"/>
    </row>
    <row r="665" ht="15.75" customHeight="1">
      <c r="A665" s="36"/>
      <c r="B665" s="36"/>
      <c r="C665" s="37"/>
      <c r="D665" s="1"/>
      <c r="E665" s="1"/>
      <c r="F665" s="1"/>
      <c r="G665" s="1"/>
      <c r="H665" s="1"/>
      <c r="I665" s="1"/>
    </row>
    <row r="666" ht="15.75" customHeight="1">
      <c r="A666" s="36"/>
      <c r="B666" s="36"/>
      <c r="C666" s="37"/>
      <c r="D666" s="1"/>
      <c r="E666" s="1"/>
      <c r="F666" s="1"/>
      <c r="G666" s="1"/>
      <c r="H666" s="1"/>
      <c r="I666" s="1"/>
    </row>
    <row r="667" ht="15.75" customHeight="1">
      <c r="A667" s="36"/>
      <c r="B667" s="36"/>
      <c r="C667" s="37"/>
      <c r="D667" s="1"/>
      <c r="E667" s="1"/>
      <c r="F667" s="1"/>
      <c r="G667" s="1"/>
      <c r="H667" s="1"/>
      <c r="I667" s="1"/>
    </row>
    <row r="668" ht="15.75" customHeight="1">
      <c r="A668" s="36"/>
      <c r="B668" s="36"/>
      <c r="C668" s="37"/>
      <c r="D668" s="1"/>
      <c r="E668" s="1"/>
      <c r="F668" s="1"/>
      <c r="G668" s="1"/>
      <c r="H668" s="1"/>
      <c r="I668" s="1"/>
    </row>
    <row r="669" ht="15.75" customHeight="1">
      <c r="A669" s="36"/>
      <c r="B669" s="36"/>
      <c r="C669" s="37"/>
      <c r="D669" s="1"/>
      <c r="E669" s="1"/>
      <c r="F669" s="1"/>
      <c r="G669" s="1"/>
      <c r="H669" s="1"/>
      <c r="I669" s="1"/>
    </row>
    <row r="670" ht="15.75" customHeight="1">
      <c r="A670" s="36"/>
      <c r="B670" s="36"/>
      <c r="C670" s="37"/>
      <c r="D670" s="1"/>
      <c r="E670" s="1"/>
      <c r="F670" s="1"/>
      <c r="G670" s="1"/>
      <c r="H670" s="1"/>
      <c r="I670" s="1"/>
    </row>
    <row r="671" ht="15.75" customHeight="1">
      <c r="A671" s="36"/>
      <c r="B671" s="36"/>
      <c r="C671" s="37"/>
      <c r="D671" s="1"/>
      <c r="E671" s="1"/>
      <c r="F671" s="1"/>
      <c r="G671" s="1"/>
      <c r="H671" s="1"/>
      <c r="I671" s="1"/>
    </row>
    <row r="672" ht="15.75" customHeight="1">
      <c r="A672" s="36"/>
      <c r="B672" s="36"/>
      <c r="C672" s="37"/>
      <c r="D672" s="1"/>
      <c r="E672" s="1"/>
      <c r="F672" s="1"/>
      <c r="G672" s="1"/>
      <c r="H672" s="1"/>
      <c r="I672" s="1"/>
    </row>
    <row r="673" ht="15.75" customHeight="1">
      <c r="A673" s="36"/>
      <c r="B673" s="36"/>
      <c r="C673" s="37"/>
      <c r="D673" s="1"/>
      <c r="E673" s="1"/>
      <c r="F673" s="1"/>
      <c r="G673" s="1"/>
      <c r="H673" s="1"/>
      <c r="I673" s="1"/>
    </row>
    <row r="674" ht="15.75" customHeight="1">
      <c r="A674" s="36"/>
      <c r="B674" s="36"/>
      <c r="C674" s="37"/>
      <c r="D674" s="1"/>
      <c r="E674" s="1"/>
      <c r="F674" s="1"/>
      <c r="G674" s="1"/>
      <c r="H674" s="1"/>
      <c r="I674" s="1"/>
    </row>
    <row r="675" ht="15.75" customHeight="1">
      <c r="A675" s="36"/>
      <c r="B675" s="36"/>
      <c r="C675" s="37"/>
      <c r="D675" s="1"/>
      <c r="E675" s="1"/>
      <c r="F675" s="1"/>
      <c r="G675" s="1"/>
      <c r="H675" s="1"/>
      <c r="I675" s="1"/>
    </row>
    <row r="676" ht="15.75" customHeight="1">
      <c r="A676" s="36"/>
      <c r="B676" s="36"/>
      <c r="C676" s="37"/>
      <c r="D676" s="1"/>
      <c r="E676" s="1"/>
      <c r="F676" s="1"/>
      <c r="G676" s="1"/>
      <c r="H676" s="1"/>
      <c r="I676" s="1"/>
    </row>
    <row r="677" ht="15.75" customHeight="1">
      <c r="A677" s="36"/>
      <c r="B677" s="36"/>
      <c r="C677" s="37"/>
      <c r="D677" s="1"/>
      <c r="E677" s="1"/>
      <c r="F677" s="1"/>
      <c r="G677" s="1"/>
      <c r="H677" s="1"/>
      <c r="I677" s="1"/>
    </row>
    <row r="678" ht="15.75" customHeight="1">
      <c r="A678" s="36"/>
      <c r="B678" s="36"/>
      <c r="C678" s="37"/>
      <c r="D678" s="1"/>
      <c r="E678" s="1"/>
      <c r="F678" s="1"/>
      <c r="G678" s="1"/>
      <c r="H678" s="1"/>
      <c r="I678" s="1"/>
    </row>
    <row r="679" ht="15.75" customHeight="1">
      <c r="A679" s="36"/>
      <c r="B679" s="36"/>
      <c r="C679" s="37"/>
      <c r="D679" s="1"/>
      <c r="E679" s="1"/>
      <c r="F679" s="1"/>
      <c r="G679" s="1"/>
      <c r="H679" s="1"/>
      <c r="I679" s="1"/>
    </row>
    <row r="680" ht="15.75" customHeight="1">
      <c r="A680" s="36"/>
      <c r="B680" s="36"/>
      <c r="C680" s="37"/>
      <c r="D680" s="1"/>
      <c r="E680" s="1"/>
      <c r="F680" s="1"/>
      <c r="G680" s="1"/>
      <c r="H680" s="1"/>
      <c r="I680" s="1"/>
    </row>
    <row r="681" ht="15.75" customHeight="1">
      <c r="A681" s="36"/>
      <c r="B681" s="36"/>
      <c r="C681" s="37"/>
      <c r="D681" s="1"/>
      <c r="E681" s="1"/>
      <c r="F681" s="1"/>
      <c r="G681" s="1"/>
      <c r="H681" s="1"/>
      <c r="I681" s="1"/>
    </row>
    <row r="682" ht="15.75" customHeight="1">
      <c r="A682" s="36"/>
      <c r="B682" s="36"/>
      <c r="C682" s="37"/>
      <c r="D682" s="1"/>
      <c r="E682" s="1"/>
      <c r="F682" s="1"/>
      <c r="G682" s="1"/>
      <c r="H682" s="1"/>
      <c r="I682" s="1"/>
    </row>
    <row r="683" ht="15.75" customHeight="1">
      <c r="A683" s="36"/>
      <c r="B683" s="36"/>
      <c r="C683" s="37"/>
      <c r="D683" s="1"/>
      <c r="E683" s="1"/>
      <c r="F683" s="1"/>
      <c r="G683" s="1"/>
      <c r="H683" s="1"/>
      <c r="I683" s="1"/>
    </row>
    <row r="684" ht="15.75" customHeight="1">
      <c r="A684" s="36"/>
      <c r="B684" s="36"/>
      <c r="C684" s="37"/>
      <c r="D684" s="1"/>
      <c r="E684" s="1"/>
      <c r="F684" s="1"/>
      <c r="G684" s="1"/>
      <c r="H684" s="1"/>
      <c r="I684" s="1"/>
    </row>
    <row r="685" ht="15.75" customHeight="1">
      <c r="A685" s="36"/>
      <c r="B685" s="36"/>
      <c r="C685" s="37"/>
      <c r="D685" s="1"/>
      <c r="E685" s="1"/>
      <c r="F685" s="1"/>
      <c r="G685" s="1"/>
      <c r="H685" s="1"/>
      <c r="I685" s="1"/>
    </row>
    <row r="686" ht="15.75" customHeight="1">
      <c r="A686" s="36"/>
      <c r="B686" s="36"/>
      <c r="C686" s="37"/>
      <c r="D686" s="1"/>
      <c r="E686" s="1"/>
      <c r="F686" s="1"/>
      <c r="G686" s="1"/>
      <c r="H686" s="1"/>
      <c r="I686" s="1"/>
    </row>
    <row r="687" ht="15.75" customHeight="1">
      <c r="A687" s="36"/>
      <c r="B687" s="36"/>
      <c r="C687" s="37"/>
      <c r="D687" s="1"/>
      <c r="E687" s="1"/>
      <c r="F687" s="1"/>
      <c r="G687" s="1"/>
      <c r="H687" s="1"/>
      <c r="I687" s="1"/>
    </row>
    <row r="688" ht="15.75" customHeight="1">
      <c r="A688" s="36"/>
      <c r="B688" s="36"/>
      <c r="C688" s="37"/>
      <c r="D688" s="1"/>
      <c r="E688" s="1"/>
      <c r="F688" s="1"/>
      <c r="G688" s="1"/>
      <c r="H688" s="1"/>
      <c r="I688" s="1"/>
    </row>
    <row r="689" ht="15.75" customHeight="1">
      <c r="A689" s="36"/>
      <c r="B689" s="36"/>
      <c r="C689" s="37"/>
      <c r="D689" s="1"/>
      <c r="E689" s="1"/>
      <c r="F689" s="1"/>
      <c r="G689" s="1"/>
      <c r="H689" s="1"/>
      <c r="I689" s="1"/>
    </row>
    <row r="690" ht="15.75" customHeight="1">
      <c r="A690" s="36"/>
      <c r="B690" s="36"/>
      <c r="C690" s="37"/>
      <c r="D690" s="1"/>
      <c r="E690" s="1"/>
      <c r="F690" s="1"/>
      <c r="G690" s="1"/>
      <c r="H690" s="1"/>
      <c r="I690" s="1"/>
    </row>
    <row r="691" ht="15.75" customHeight="1">
      <c r="A691" s="36"/>
      <c r="B691" s="36"/>
      <c r="C691" s="37"/>
      <c r="D691" s="1"/>
      <c r="E691" s="1"/>
      <c r="F691" s="1"/>
      <c r="G691" s="1"/>
      <c r="H691" s="1"/>
      <c r="I691" s="1"/>
    </row>
    <row r="692" ht="15.75" customHeight="1">
      <c r="A692" s="36"/>
      <c r="B692" s="36"/>
      <c r="C692" s="37"/>
      <c r="D692" s="1"/>
      <c r="E692" s="1"/>
      <c r="F692" s="1"/>
      <c r="G692" s="1"/>
      <c r="H692" s="1"/>
      <c r="I692" s="1"/>
    </row>
    <row r="693" ht="15.75" customHeight="1">
      <c r="A693" s="36"/>
      <c r="B693" s="36"/>
      <c r="C693" s="37"/>
      <c r="D693" s="1"/>
      <c r="E693" s="1"/>
      <c r="F693" s="1"/>
      <c r="G693" s="1"/>
      <c r="H693" s="1"/>
      <c r="I693" s="1"/>
    </row>
    <row r="694" ht="15.75" customHeight="1">
      <c r="A694" s="36"/>
      <c r="B694" s="36"/>
      <c r="C694" s="37"/>
      <c r="D694" s="1"/>
      <c r="E694" s="1"/>
      <c r="F694" s="1"/>
      <c r="G694" s="1"/>
      <c r="H694" s="1"/>
      <c r="I694" s="1"/>
    </row>
    <row r="695" ht="15.75" customHeight="1">
      <c r="A695" s="36"/>
      <c r="B695" s="36"/>
      <c r="C695" s="37"/>
      <c r="D695" s="1"/>
      <c r="E695" s="1"/>
      <c r="F695" s="1"/>
      <c r="G695" s="1"/>
      <c r="H695" s="1"/>
      <c r="I695" s="1"/>
    </row>
    <row r="696" ht="15.75" customHeight="1">
      <c r="A696" s="36"/>
      <c r="B696" s="36"/>
      <c r="C696" s="37"/>
      <c r="D696" s="1"/>
      <c r="E696" s="1"/>
      <c r="F696" s="1"/>
      <c r="G696" s="1"/>
      <c r="H696" s="1"/>
      <c r="I696" s="1"/>
    </row>
    <row r="697" ht="15.75" customHeight="1">
      <c r="A697" s="36"/>
      <c r="B697" s="36"/>
      <c r="C697" s="37"/>
      <c r="D697" s="1"/>
      <c r="E697" s="1"/>
      <c r="F697" s="1"/>
      <c r="G697" s="1"/>
      <c r="H697" s="1"/>
      <c r="I697" s="1"/>
    </row>
    <row r="698" ht="15.75" customHeight="1">
      <c r="A698" s="36"/>
      <c r="B698" s="36"/>
      <c r="C698" s="37"/>
      <c r="D698" s="1"/>
      <c r="E698" s="1"/>
      <c r="F698" s="1"/>
      <c r="G698" s="1"/>
      <c r="H698" s="1"/>
      <c r="I698" s="1"/>
    </row>
    <row r="699" ht="15.75" customHeight="1">
      <c r="A699" s="36"/>
      <c r="B699" s="36"/>
      <c r="C699" s="37"/>
      <c r="D699" s="1"/>
      <c r="E699" s="1"/>
      <c r="F699" s="1"/>
      <c r="G699" s="1"/>
      <c r="H699" s="1"/>
      <c r="I699" s="1"/>
    </row>
    <row r="700" ht="15.75" customHeight="1">
      <c r="A700" s="36"/>
      <c r="B700" s="36"/>
      <c r="C700" s="37"/>
      <c r="D700" s="1"/>
      <c r="E700" s="1"/>
      <c r="F700" s="1"/>
      <c r="G700" s="1"/>
      <c r="H700" s="1"/>
      <c r="I700" s="1"/>
    </row>
    <row r="701" ht="15.75" customHeight="1">
      <c r="A701" s="36"/>
      <c r="B701" s="36"/>
      <c r="C701" s="37"/>
      <c r="D701" s="1"/>
      <c r="E701" s="1"/>
      <c r="F701" s="1"/>
      <c r="G701" s="1"/>
      <c r="H701" s="1"/>
      <c r="I701" s="1"/>
    </row>
    <row r="702" ht="15.75" customHeight="1">
      <c r="A702" s="36"/>
      <c r="B702" s="36"/>
      <c r="C702" s="37"/>
      <c r="D702" s="1"/>
      <c r="E702" s="1"/>
      <c r="F702" s="1"/>
      <c r="G702" s="1"/>
      <c r="H702" s="1"/>
      <c r="I702" s="1"/>
    </row>
    <row r="703" ht="15.75" customHeight="1">
      <c r="A703" s="36"/>
      <c r="B703" s="36"/>
      <c r="C703" s="37"/>
      <c r="D703" s="1"/>
      <c r="E703" s="1"/>
      <c r="F703" s="1"/>
      <c r="G703" s="1"/>
      <c r="H703" s="1"/>
      <c r="I703" s="1"/>
    </row>
    <row r="704" ht="15.75" customHeight="1">
      <c r="A704" s="36"/>
      <c r="B704" s="36"/>
      <c r="C704" s="37"/>
      <c r="D704" s="1"/>
      <c r="E704" s="1"/>
      <c r="F704" s="1"/>
      <c r="G704" s="1"/>
      <c r="H704" s="1"/>
      <c r="I704" s="1"/>
    </row>
    <row r="705" ht="15.75" customHeight="1">
      <c r="A705" s="36"/>
      <c r="B705" s="36"/>
      <c r="C705" s="37"/>
      <c r="D705" s="1"/>
      <c r="E705" s="1"/>
      <c r="F705" s="1"/>
      <c r="G705" s="1"/>
      <c r="H705" s="1"/>
      <c r="I705" s="1"/>
    </row>
    <row r="706" ht="15.75" customHeight="1">
      <c r="A706" s="36"/>
      <c r="B706" s="36"/>
      <c r="C706" s="37"/>
      <c r="D706" s="1"/>
      <c r="E706" s="1"/>
      <c r="F706" s="1"/>
      <c r="G706" s="1"/>
      <c r="H706" s="1"/>
      <c r="I706" s="1"/>
    </row>
    <row r="707" ht="15.75" customHeight="1">
      <c r="A707" s="36"/>
      <c r="B707" s="36"/>
      <c r="C707" s="37"/>
      <c r="D707" s="1"/>
      <c r="E707" s="1"/>
      <c r="F707" s="1"/>
      <c r="G707" s="1"/>
      <c r="H707" s="1"/>
      <c r="I707" s="1"/>
    </row>
    <row r="708" ht="15.75" customHeight="1">
      <c r="A708" s="36"/>
      <c r="B708" s="36"/>
      <c r="C708" s="37"/>
      <c r="D708" s="1"/>
      <c r="E708" s="1"/>
      <c r="F708" s="1"/>
      <c r="G708" s="1"/>
      <c r="H708" s="1"/>
      <c r="I708" s="1"/>
    </row>
    <row r="709" ht="15.75" customHeight="1">
      <c r="A709" s="36"/>
      <c r="B709" s="36"/>
      <c r="C709" s="37"/>
      <c r="D709" s="1"/>
      <c r="E709" s="1"/>
      <c r="F709" s="1"/>
      <c r="G709" s="1"/>
      <c r="H709" s="1"/>
      <c r="I709" s="1"/>
    </row>
    <row r="710" ht="15.75" customHeight="1">
      <c r="A710" s="36"/>
      <c r="B710" s="36"/>
      <c r="C710" s="37"/>
      <c r="D710" s="1"/>
      <c r="E710" s="1"/>
      <c r="F710" s="1"/>
      <c r="G710" s="1"/>
      <c r="H710" s="1"/>
      <c r="I710" s="1"/>
    </row>
    <row r="711" ht="15.75" customHeight="1">
      <c r="A711" s="36"/>
      <c r="B711" s="36"/>
      <c r="C711" s="37"/>
      <c r="D711" s="1"/>
      <c r="E711" s="1"/>
      <c r="F711" s="1"/>
      <c r="G711" s="1"/>
      <c r="H711" s="1"/>
      <c r="I711" s="1"/>
    </row>
    <row r="712" ht="15.75" customHeight="1">
      <c r="A712" s="36"/>
      <c r="B712" s="36"/>
      <c r="C712" s="37"/>
      <c r="D712" s="1"/>
      <c r="E712" s="1"/>
      <c r="F712" s="1"/>
      <c r="G712" s="1"/>
      <c r="H712" s="1"/>
      <c r="I712" s="1"/>
    </row>
    <row r="713" ht="15.75" customHeight="1">
      <c r="A713" s="36"/>
      <c r="B713" s="36"/>
      <c r="C713" s="37"/>
      <c r="D713" s="1"/>
      <c r="E713" s="1"/>
      <c r="F713" s="1"/>
      <c r="G713" s="1"/>
      <c r="H713" s="1"/>
      <c r="I713" s="1"/>
    </row>
    <row r="714" ht="15.75" customHeight="1">
      <c r="A714" s="36"/>
      <c r="B714" s="36"/>
      <c r="C714" s="37"/>
      <c r="D714" s="1"/>
      <c r="E714" s="1"/>
      <c r="F714" s="1"/>
      <c r="G714" s="1"/>
      <c r="H714" s="1"/>
      <c r="I714" s="1"/>
    </row>
    <row r="715" ht="15.75" customHeight="1">
      <c r="A715" s="36"/>
      <c r="B715" s="36"/>
      <c r="C715" s="37"/>
      <c r="D715" s="1"/>
      <c r="E715" s="1"/>
      <c r="F715" s="1"/>
      <c r="G715" s="1"/>
      <c r="H715" s="1"/>
      <c r="I715" s="1"/>
    </row>
    <row r="716" ht="15.75" customHeight="1">
      <c r="A716" s="36"/>
      <c r="B716" s="36"/>
      <c r="C716" s="37"/>
      <c r="D716" s="1"/>
      <c r="E716" s="1"/>
      <c r="F716" s="1"/>
      <c r="G716" s="1"/>
      <c r="H716" s="1"/>
      <c r="I716" s="1"/>
    </row>
    <row r="717" ht="15.75" customHeight="1">
      <c r="A717" s="36"/>
      <c r="B717" s="36"/>
      <c r="C717" s="37"/>
      <c r="D717" s="1"/>
      <c r="E717" s="1"/>
      <c r="F717" s="1"/>
      <c r="G717" s="1"/>
      <c r="H717" s="1"/>
      <c r="I717" s="1"/>
    </row>
    <row r="718" ht="15.75" customHeight="1">
      <c r="A718" s="36"/>
      <c r="B718" s="36"/>
      <c r="C718" s="37"/>
      <c r="D718" s="1"/>
      <c r="E718" s="1"/>
      <c r="F718" s="1"/>
      <c r="G718" s="1"/>
      <c r="H718" s="1"/>
      <c r="I718" s="1"/>
    </row>
    <row r="719" ht="15.75" customHeight="1">
      <c r="A719" s="36"/>
      <c r="B719" s="36"/>
      <c r="C719" s="37"/>
      <c r="D719" s="1"/>
      <c r="E719" s="1"/>
      <c r="F719" s="1"/>
      <c r="G719" s="1"/>
      <c r="H719" s="1"/>
      <c r="I719" s="1"/>
    </row>
    <row r="720" ht="15.75" customHeight="1">
      <c r="A720" s="36"/>
      <c r="B720" s="36"/>
      <c r="C720" s="37"/>
      <c r="D720" s="1"/>
      <c r="E720" s="1"/>
      <c r="F720" s="1"/>
      <c r="G720" s="1"/>
      <c r="H720" s="1"/>
      <c r="I720" s="1"/>
    </row>
    <row r="721" ht="15.75" customHeight="1">
      <c r="A721" s="36"/>
      <c r="B721" s="36"/>
      <c r="C721" s="37"/>
      <c r="D721" s="1"/>
      <c r="E721" s="1"/>
      <c r="F721" s="1"/>
      <c r="G721" s="1"/>
      <c r="H721" s="1"/>
      <c r="I721" s="1"/>
    </row>
    <row r="722" ht="15.75" customHeight="1">
      <c r="A722" s="36"/>
      <c r="B722" s="36"/>
      <c r="C722" s="37"/>
      <c r="D722" s="1"/>
      <c r="E722" s="1"/>
      <c r="F722" s="1"/>
      <c r="G722" s="1"/>
      <c r="H722" s="1"/>
      <c r="I722" s="1"/>
    </row>
    <row r="723" ht="15.75" customHeight="1">
      <c r="A723" s="36"/>
      <c r="B723" s="36"/>
      <c r="C723" s="37"/>
      <c r="D723" s="1"/>
      <c r="E723" s="1"/>
      <c r="F723" s="1"/>
      <c r="G723" s="1"/>
      <c r="H723" s="1"/>
      <c r="I723" s="1"/>
    </row>
    <row r="724" ht="15.75" customHeight="1">
      <c r="A724" s="36"/>
      <c r="B724" s="36"/>
      <c r="C724" s="37"/>
      <c r="D724" s="1"/>
      <c r="E724" s="1"/>
      <c r="F724" s="1"/>
      <c r="G724" s="1"/>
      <c r="H724" s="1"/>
      <c r="I724" s="1"/>
    </row>
    <row r="725" ht="15.75" customHeight="1">
      <c r="A725" s="36"/>
      <c r="B725" s="36"/>
      <c r="C725" s="37"/>
      <c r="D725" s="1"/>
      <c r="E725" s="1"/>
      <c r="F725" s="1"/>
      <c r="G725" s="1"/>
      <c r="H725" s="1"/>
      <c r="I725" s="1"/>
    </row>
    <row r="726" ht="15.75" customHeight="1">
      <c r="A726" s="36"/>
      <c r="B726" s="36"/>
      <c r="C726" s="37"/>
      <c r="D726" s="1"/>
      <c r="E726" s="1"/>
      <c r="F726" s="1"/>
      <c r="G726" s="1"/>
      <c r="H726" s="1"/>
      <c r="I726" s="1"/>
    </row>
    <row r="727" ht="15.75" customHeight="1">
      <c r="A727" s="36"/>
      <c r="B727" s="36"/>
      <c r="C727" s="37"/>
      <c r="D727" s="1"/>
      <c r="E727" s="1"/>
      <c r="F727" s="1"/>
      <c r="G727" s="1"/>
      <c r="H727" s="1"/>
      <c r="I727" s="1"/>
    </row>
    <row r="728" ht="15.75" customHeight="1">
      <c r="A728" s="36"/>
      <c r="B728" s="36"/>
      <c r="C728" s="37"/>
      <c r="D728" s="1"/>
      <c r="E728" s="1"/>
      <c r="F728" s="1"/>
      <c r="G728" s="1"/>
      <c r="H728" s="1"/>
      <c r="I728" s="1"/>
    </row>
    <row r="729" ht="15.75" customHeight="1">
      <c r="A729" s="36"/>
      <c r="B729" s="36"/>
      <c r="C729" s="37"/>
      <c r="D729" s="1"/>
      <c r="E729" s="1"/>
      <c r="F729" s="1"/>
      <c r="G729" s="1"/>
      <c r="H729" s="1"/>
      <c r="I729" s="1"/>
    </row>
    <row r="730" ht="15.75" customHeight="1">
      <c r="A730" s="36"/>
      <c r="B730" s="36"/>
      <c r="C730" s="37"/>
      <c r="D730" s="1"/>
      <c r="E730" s="1"/>
      <c r="F730" s="1"/>
      <c r="G730" s="1"/>
      <c r="H730" s="1"/>
      <c r="I730" s="1"/>
    </row>
    <row r="731" ht="15.75" customHeight="1">
      <c r="A731" s="36"/>
      <c r="B731" s="36"/>
      <c r="C731" s="37"/>
      <c r="D731" s="1"/>
      <c r="E731" s="1"/>
      <c r="F731" s="1"/>
      <c r="G731" s="1"/>
      <c r="H731" s="1"/>
      <c r="I731" s="1"/>
    </row>
    <row r="732" ht="15.75" customHeight="1">
      <c r="A732" s="36"/>
      <c r="B732" s="36"/>
      <c r="C732" s="37"/>
      <c r="D732" s="1"/>
      <c r="E732" s="1"/>
      <c r="F732" s="1"/>
      <c r="G732" s="1"/>
      <c r="H732" s="1"/>
      <c r="I732" s="1"/>
    </row>
    <row r="733" ht="15.75" customHeight="1">
      <c r="A733" s="36"/>
      <c r="B733" s="36"/>
      <c r="C733" s="37"/>
      <c r="D733" s="1"/>
      <c r="E733" s="1"/>
      <c r="F733" s="1"/>
      <c r="G733" s="1"/>
      <c r="H733" s="1"/>
      <c r="I733" s="1"/>
    </row>
    <row r="734" ht="15.75" customHeight="1">
      <c r="A734" s="36"/>
      <c r="B734" s="36"/>
      <c r="C734" s="37"/>
      <c r="D734" s="1"/>
      <c r="E734" s="1"/>
      <c r="F734" s="1"/>
      <c r="G734" s="1"/>
      <c r="H734" s="1"/>
      <c r="I734" s="1"/>
    </row>
    <row r="735" ht="15.75" customHeight="1">
      <c r="A735" s="36"/>
      <c r="B735" s="36"/>
      <c r="C735" s="37"/>
      <c r="D735" s="1"/>
      <c r="E735" s="1"/>
      <c r="F735" s="1"/>
      <c r="G735" s="1"/>
      <c r="H735" s="1"/>
      <c r="I735" s="1"/>
    </row>
    <row r="736" ht="15.75" customHeight="1">
      <c r="A736" s="36"/>
      <c r="B736" s="36"/>
      <c r="C736" s="37"/>
      <c r="D736" s="1"/>
      <c r="E736" s="1"/>
      <c r="F736" s="1"/>
      <c r="G736" s="1"/>
      <c r="H736" s="1"/>
      <c r="I736" s="1"/>
    </row>
    <row r="737" ht="15.75" customHeight="1">
      <c r="A737" s="36"/>
      <c r="B737" s="36"/>
      <c r="C737" s="37"/>
      <c r="D737" s="1"/>
      <c r="E737" s="1"/>
      <c r="F737" s="1"/>
      <c r="G737" s="1"/>
      <c r="H737" s="1"/>
      <c r="I737" s="1"/>
    </row>
    <row r="738" ht="15.75" customHeight="1">
      <c r="A738" s="36"/>
      <c r="B738" s="36"/>
      <c r="C738" s="37"/>
      <c r="D738" s="1"/>
      <c r="E738" s="1"/>
      <c r="F738" s="1"/>
      <c r="G738" s="1"/>
      <c r="H738" s="1"/>
      <c r="I738" s="1"/>
    </row>
    <row r="739" ht="15.75" customHeight="1">
      <c r="A739" s="36"/>
      <c r="B739" s="36"/>
      <c r="C739" s="37"/>
      <c r="D739" s="1"/>
      <c r="E739" s="1"/>
      <c r="F739" s="1"/>
      <c r="G739" s="1"/>
      <c r="H739" s="1"/>
      <c r="I739" s="1"/>
    </row>
    <row r="740" ht="15.75" customHeight="1">
      <c r="A740" s="36"/>
      <c r="B740" s="36"/>
      <c r="C740" s="37"/>
      <c r="D740" s="1"/>
      <c r="E740" s="1"/>
      <c r="F740" s="1"/>
      <c r="G740" s="1"/>
      <c r="H740" s="1"/>
      <c r="I740" s="1"/>
    </row>
    <row r="741" ht="15.75" customHeight="1">
      <c r="A741" s="36"/>
      <c r="B741" s="36"/>
      <c r="C741" s="37"/>
      <c r="D741" s="1"/>
      <c r="E741" s="1"/>
      <c r="F741" s="1"/>
      <c r="G741" s="1"/>
      <c r="H741" s="1"/>
      <c r="I741" s="1"/>
    </row>
    <row r="742" ht="15.75" customHeight="1">
      <c r="A742" s="36"/>
      <c r="B742" s="36"/>
      <c r="C742" s="37"/>
      <c r="D742" s="1"/>
      <c r="E742" s="1"/>
      <c r="F742" s="1"/>
      <c r="G742" s="1"/>
      <c r="H742" s="1"/>
      <c r="I742" s="1"/>
    </row>
    <row r="743" ht="15.75" customHeight="1">
      <c r="A743" s="36"/>
      <c r="B743" s="36"/>
      <c r="C743" s="37"/>
      <c r="D743" s="1"/>
      <c r="E743" s="1"/>
      <c r="F743" s="1"/>
      <c r="G743" s="1"/>
      <c r="H743" s="1"/>
      <c r="I743" s="1"/>
    </row>
    <row r="744" ht="15.75" customHeight="1">
      <c r="A744" s="36"/>
      <c r="B744" s="36"/>
      <c r="C744" s="37"/>
      <c r="D744" s="1"/>
      <c r="E744" s="1"/>
      <c r="F744" s="1"/>
      <c r="G744" s="1"/>
      <c r="H744" s="1"/>
      <c r="I744" s="1"/>
    </row>
    <row r="745" ht="15.75" customHeight="1">
      <c r="A745" s="36"/>
      <c r="B745" s="36"/>
      <c r="C745" s="37"/>
      <c r="D745" s="1"/>
      <c r="E745" s="1"/>
      <c r="F745" s="1"/>
      <c r="G745" s="1"/>
      <c r="H745" s="1"/>
      <c r="I745" s="1"/>
    </row>
    <row r="746" ht="15.75" customHeight="1">
      <c r="A746" s="36"/>
      <c r="B746" s="36"/>
      <c r="C746" s="37"/>
      <c r="D746" s="1"/>
      <c r="E746" s="1"/>
      <c r="F746" s="1"/>
      <c r="G746" s="1"/>
      <c r="H746" s="1"/>
      <c r="I746" s="1"/>
    </row>
    <row r="747" ht="15.75" customHeight="1">
      <c r="A747" s="36"/>
      <c r="B747" s="36"/>
      <c r="C747" s="37"/>
      <c r="D747" s="1"/>
      <c r="E747" s="1"/>
      <c r="F747" s="1"/>
      <c r="G747" s="1"/>
      <c r="H747" s="1"/>
      <c r="I747" s="1"/>
    </row>
    <row r="748" ht="15.75" customHeight="1">
      <c r="A748" s="36"/>
      <c r="B748" s="36"/>
      <c r="C748" s="37"/>
      <c r="D748" s="1"/>
      <c r="E748" s="1"/>
      <c r="F748" s="1"/>
      <c r="G748" s="1"/>
      <c r="H748" s="1"/>
      <c r="I748" s="1"/>
    </row>
    <row r="749" ht="15.75" customHeight="1">
      <c r="A749" s="36"/>
      <c r="B749" s="36"/>
      <c r="C749" s="37"/>
      <c r="D749" s="1"/>
      <c r="E749" s="1"/>
      <c r="F749" s="1"/>
      <c r="G749" s="1"/>
      <c r="H749" s="1"/>
      <c r="I749" s="1"/>
    </row>
    <row r="750" ht="15.75" customHeight="1">
      <c r="A750" s="36"/>
      <c r="B750" s="36"/>
      <c r="C750" s="37"/>
      <c r="D750" s="1"/>
      <c r="E750" s="1"/>
      <c r="F750" s="1"/>
      <c r="G750" s="1"/>
      <c r="H750" s="1"/>
      <c r="I750" s="1"/>
    </row>
    <row r="751" ht="15.75" customHeight="1">
      <c r="A751" s="36"/>
      <c r="B751" s="36"/>
      <c r="C751" s="37"/>
      <c r="D751" s="1"/>
      <c r="E751" s="1"/>
      <c r="F751" s="1"/>
      <c r="G751" s="1"/>
      <c r="H751" s="1"/>
      <c r="I751" s="1"/>
    </row>
    <row r="752" ht="15.75" customHeight="1">
      <c r="A752" s="36"/>
      <c r="B752" s="36"/>
      <c r="C752" s="37"/>
      <c r="D752" s="1"/>
      <c r="E752" s="1"/>
      <c r="F752" s="1"/>
      <c r="G752" s="1"/>
      <c r="H752" s="1"/>
      <c r="I752" s="1"/>
    </row>
    <row r="753" ht="15.75" customHeight="1">
      <c r="A753" s="36"/>
      <c r="B753" s="36"/>
      <c r="C753" s="37"/>
      <c r="D753" s="1"/>
      <c r="E753" s="1"/>
      <c r="F753" s="1"/>
      <c r="G753" s="1"/>
      <c r="H753" s="1"/>
      <c r="I753" s="1"/>
    </row>
    <row r="754" ht="15.75" customHeight="1">
      <c r="A754" s="36"/>
      <c r="B754" s="36"/>
      <c r="C754" s="37"/>
      <c r="D754" s="1"/>
      <c r="E754" s="1"/>
      <c r="F754" s="1"/>
      <c r="G754" s="1"/>
      <c r="H754" s="1"/>
      <c r="I754" s="1"/>
    </row>
    <row r="755" ht="15.75" customHeight="1">
      <c r="A755" s="36"/>
      <c r="B755" s="36"/>
      <c r="C755" s="37"/>
      <c r="D755" s="1"/>
      <c r="E755" s="1"/>
      <c r="F755" s="1"/>
      <c r="G755" s="1"/>
      <c r="H755" s="1"/>
      <c r="I755" s="1"/>
    </row>
    <row r="756" ht="15.75" customHeight="1">
      <c r="A756" s="36"/>
      <c r="B756" s="36"/>
      <c r="C756" s="37"/>
      <c r="D756" s="1"/>
      <c r="E756" s="1"/>
      <c r="F756" s="1"/>
      <c r="G756" s="1"/>
      <c r="H756" s="1"/>
      <c r="I756" s="1"/>
    </row>
    <row r="757" ht="15.75" customHeight="1">
      <c r="A757" s="36"/>
      <c r="B757" s="36"/>
      <c r="C757" s="37"/>
      <c r="D757" s="1"/>
      <c r="E757" s="1"/>
      <c r="F757" s="1"/>
      <c r="G757" s="1"/>
      <c r="H757" s="1"/>
      <c r="I757" s="1"/>
    </row>
    <row r="758" ht="15.75" customHeight="1">
      <c r="A758" s="36"/>
      <c r="B758" s="36"/>
      <c r="C758" s="37"/>
      <c r="D758" s="1"/>
      <c r="E758" s="1"/>
      <c r="F758" s="1"/>
      <c r="G758" s="1"/>
      <c r="H758" s="1"/>
      <c r="I758" s="1"/>
    </row>
    <row r="759" ht="15.75" customHeight="1">
      <c r="A759" s="36"/>
      <c r="B759" s="36"/>
      <c r="C759" s="37"/>
      <c r="D759" s="1"/>
      <c r="E759" s="1"/>
      <c r="F759" s="1"/>
      <c r="G759" s="1"/>
      <c r="H759" s="1"/>
      <c r="I759" s="1"/>
    </row>
    <row r="760" ht="15.75" customHeight="1">
      <c r="A760" s="36"/>
      <c r="B760" s="36"/>
      <c r="C760" s="37"/>
      <c r="D760" s="1"/>
      <c r="E760" s="1"/>
      <c r="F760" s="1"/>
      <c r="G760" s="1"/>
      <c r="H760" s="1"/>
      <c r="I760" s="1"/>
    </row>
    <row r="761" ht="15.75" customHeight="1">
      <c r="A761" s="36"/>
      <c r="B761" s="36"/>
      <c r="C761" s="37"/>
      <c r="D761" s="1"/>
      <c r="E761" s="1"/>
      <c r="F761" s="1"/>
      <c r="G761" s="1"/>
      <c r="H761" s="1"/>
      <c r="I761" s="1"/>
    </row>
    <row r="762" ht="15.75" customHeight="1">
      <c r="A762" s="36"/>
      <c r="B762" s="36"/>
      <c r="C762" s="37"/>
      <c r="D762" s="1"/>
      <c r="E762" s="1"/>
      <c r="F762" s="1"/>
      <c r="G762" s="1"/>
      <c r="H762" s="1"/>
      <c r="I762" s="1"/>
    </row>
    <row r="763" ht="15.75" customHeight="1">
      <c r="A763" s="36"/>
      <c r="B763" s="36"/>
      <c r="C763" s="37"/>
      <c r="D763" s="1"/>
      <c r="E763" s="1"/>
      <c r="F763" s="1"/>
      <c r="G763" s="1"/>
      <c r="H763" s="1"/>
      <c r="I763" s="1"/>
    </row>
    <row r="764" ht="15.75" customHeight="1">
      <c r="A764" s="36"/>
      <c r="B764" s="36"/>
      <c r="C764" s="37"/>
      <c r="D764" s="1"/>
      <c r="E764" s="1"/>
      <c r="F764" s="1"/>
      <c r="G764" s="1"/>
      <c r="H764" s="1"/>
      <c r="I764" s="1"/>
    </row>
    <row r="765" ht="15.75" customHeight="1">
      <c r="A765" s="36"/>
      <c r="B765" s="36"/>
      <c r="C765" s="37"/>
      <c r="D765" s="1"/>
      <c r="E765" s="1"/>
      <c r="F765" s="1"/>
      <c r="G765" s="1"/>
      <c r="H765" s="1"/>
      <c r="I765" s="1"/>
    </row>
    <row r="766" ht="15.75" customHeight="1">
      <c r="A766" s="36"/>
      <c r="B766" s="36"/>
      <c r="C766" s="37"/>
      <c r="D766" s="1"/>
      <c r="E766" s="1"/>
      <c r="F766" s="1"/>
      <c r="G766" s="1"/>
      <c r="H766" s="1"/>
      <c r="I766" s="1"/>
    </row>
    <row r="767" ht="15.75" customHeight="1">
      <c r="A767" s="36"/>
      <c r="B767" s="36"/>
      <c r="C767" s="37"/>
      <c r="D767" s="1"/>
      <c r="E767" s="1"/>
      <c r="F767" s="1"/>
      <c r="G767" s="1"/>
      <c r="H767" s="1"/>
      <c r="I767" s="1"/>
    </row>
    <row r="768" ht="15.75" customHeight="1">
      <c r="A768" s="36"/>
      <c r="B768" s="36"/>
      <c r="C768" s="37"/>
      <c r="D768" s="1"/>
      <c r="E768" s="1"/>
      <c r="F768" s="1"/>
      <c r="G768" s="1"/>
      <c r="H768" s="1"/>
      <c r="I768" s="1"/>
    </row>
    <row r="769" ht="15.75" customHeight="1">
      <c r="A769" s="36"/>
      <c r="B769" s="36"/>
      <c r="C769" s="37"/>
      <c r="D769" s="1"/>
      <c r="E769" s="1"/>
      <c r="F769" s="1"/>
      <c r="G769" s="1"/>
      <c r="H769" s="1"/>
      <c r="I769" s="1"/>
    </row>
    <row r="770" ht="15.75" customHeight="1">
      <c r="A770" s="36"/>
      <c r="B770" s="36"/>
      <c r="C770" s="37"/>
      <c r="D770" s="1"/>
      <c r="E770" s="1"/>
      <c r="F770" s="1"/>
      <c r="G770" s="1"/>
      <c r="H770" s="1"/>
      <c r="I770" s="1"/>
    </row>
    <row r="771" ht="15.75" customHeight="1">
      <c r="A771" s="36"/>
      <c r="B771" s="36"/>
      <c r="C771" s="37"/>
      <c r="D771" s="1"/>
      <c r="E771" s="1"/>
      <c r="F771" s="1"/>
      <c r="G771" s="1"/>
      <c r="H771" s="1"/>
      <c r="I771" s="1"/>
    </row>
    <row r="772" ht="15.75" customHeight="1">
      <c r="A772" s="36"/>
      <c r="B772" s="36"/>
      <c r="C772" s="37"/>
      <c r="D772" s="1"/>
      <c r="E772" s="1"/>
      <c r="F772" s="1"/>
      <c r="G772" s="1"/>
      <c r="H772" s="1"/>
      <c r="I772" s="1"/>
    </row>
    <row r="773" ht="15.75" customHeight="1">
      <c r="A773" s="36"/>
      <c r="B773" s="36"/>
      <c r="C773" s="37"/>
      <c r="D773" s="1"/>
      <c r="E773" s="1"/>
      <c r="F773" s="1"/>
      <c r="G773" s="1"/>
      <c r="H773" s="1"/>
      <c r="I773" s="1"/>
    </row>
    <row r="774" ht="15.75" customHeight="1">
      <c r="A774" s="36"/>
      <c r="B774" s="36"/>
      <c r="C774" s="37"/>
      <c r="D774" s="1"/>
      <c r="E774" s="1"/>
      <c r="F774" s="1"/>
      <c r="G774" s="1"/>
      <c r="H774" s="1"/>
      <c r="I774" s="1"/>
    </row>
    <row r="775" ht="15.75" customHeight="1">
      <c r="A775" s="36"/>
      <c r="B775" s="36"/>
      <c r="C775" s="37"/>
      <c r="D775" s="1"/>
      <c r="E775" s="1"/>
      <c r="F775" s="1"/>
      <c r="G775" s="1"/>
      <c r="H775" s="1"/>
      <c r="I775" s="1"/>
    </row>
    <row r="776" ht="15.75" customHeight="1">
      <c r="A776" s="36"/>
      <c r="B776" s="36"/>
      <c r="C776" s="37"/>
      <c r="D776" s="1"/>
      <c r="E776" s="1"/>
      <c r="F776" s="1"/>
      <c r="G776" s="1"/>
      <c r="H776" s="1"/>
      <c r="I776" s="1"/>
    </row>
    <row r="777" ht="15.75" customHeight="1">
      <c r="A777" s="36"/>
      <c r="B777" s="36"/>
      <c r="C777" s="37"/>
      <c r="D777" s="1"/>
      <c r="E777" s="1"/>
      <c r="F777" s="1"/>
      <c r="G777" s="1"/>
      <c r="H777" s="1"/>
      <c r="I777" s="1"/>
    </row>
    <row r="778" ht="15.75" customHeight="1">
      <c r="A778" s="36"/>
      <c r="B778" s="36"/>
      <c r="C778" s="37"/>
      <c r="D778" s="1"/>
      <c r="E778" s="1"/>
      <c r="F778" s="1"/>
      <c r="G778" s="1"/>
      <c r="H778" s="1"/>
      <c r="I778" s="1"/>
    </row>
    <row r="779" ht="15.75" customHeight="1">
      <c r="A779" s="36"/>
      <c r="B779" s="36"/>
      <c r="C779" s="37"/>
      <c r="D779" s="1"/>
      <c r="E779" s="1"/>
      <c r="F779" s="1"/>
      <c r="G779" s="1"/>
      <c r="H779" s="1"/>
      <c r="I779" s="1"/>
    </row>
    <row r="780" ht="15.75" customHeight="1">
      <c r="A780" s="36"/>
      <c r="B780" s="36"/>
      <c r="C780" s="37"/>
      <c r="D780" s="1"/>
      <c r="E780" s="1"/>
      <c r="F780" s="1"/>
      <c r="G780" s="1"/>
      <c r="H780" s="1"/>
      <c r="I780" s="1"/>
    </row>
    <row r="781" ht="15.75" customHeight="1">
      <c r="A781" s="36"/>
      <c r="B781" s="36"/>
      <c r="C781" s="37"/>
      <c r="D781" s="1"/>
      <c r="E781" s="1"/>
      <c r="F781" s="1"/>
      <c r="G781" s="1"/>
      <c r="H781" s="1"/>
      <c r="I781" s="1"/>
    </row>
    <row r="782" ht="15.75" customHeight="1">
      <c r="A782" s="36"/>
      <c r="B782" s="36"/>
      <c r="C782" s="37"/>
      <c r="D782" s="1"/>
      <c r="E782" s="1"/>
      <c r="F782" s="1"/>
      <c r="G782" s="1"/>
      <c r="H782" s="1"/>
      <c r="I782" s="1"/>
    </row>
    <row r="783" ht="15.75" customHeight="1">
      <c r="A783" s="36"/>
      <c r="B783" s="36"/>
      <c r="C783" s="37"/>
      <c r="D783" s="1"/>
      <c r="E783" s="1"/>
      <c r="F783" s="1"/>
      <c r="G783" s="1"/>
      <c r="H783" s="1"/>
      <c r="I783" s="1"/>
    </row>
    <row r="784" ht="15.75" customHeight="1">
      <c r="A784" s="36"/>
      <c r="B784" s="36"/>
      <c r="C784" s="37"/>
      <c r="D784" s="1"/>
      <c r="E784" s="1"/>
      <c r="F784" s="1"/>
      <c r="G784" s="1"/>
      <c r="H784" s="1"/>
      <c r="I784" s="1"/>
    </row>
    <row r="785" ht="15.75" customHeight="1">
      <c r="A785" s="36"/>
      <c r="B785" s="36"/>
      <c r="C785" s="37"/>
      <c r="D785" s="1"/>
      <c r="E785" s="1"/>
      <c r="F785" s="1"/>
      <c r="G785" s="1"/>
      <c r="H785" s="1"/>
      <c r="I785" s="1"/>
    </row>
    <row r="786" ht="15.75" customHeight="1">
      <c r="A786" s="36"/>
      <c r="B786" s="36"/>
      <c r="C786" s="37"/>
      <c r="D786" s="1"/>
      <c r="E786" s="1"/>
      <c r="F786" s="1"/>
      <c r="G786" s="1"/>
      <c r="H786" s="1"/>
      <c r="I786" s="1"/>
    </row>
    <row r="787" ht="15.75" customHeight="1">
      <c r="A787" s="36"/>
      <c r="B787" s="36"/>
      <c r="C787" s="37"/>
      <c r="D787" s="1"/>
      <c r="E787" s="1"/>
      <c r="F787" s="1"/>
      <c r="G787" s="1"/>
      <c r="H787" s="1"/>
      <c r="I787" s="1"/>
    </row>
    <row r="788" ht="15.75" customHeight="1">
      <c r="A788" s="36"/>
      <c r="B788" s="36"/>
      <c r="C788" s="37"/>
      <c r="D788" s="1"/>
      <c r="E788" s="1"/>
      <c r="F788" s="1"/>
      <c r="G788" s="1"/>
      <c r="H788" s="1"/>
      <c r="I788" s="1"/>
    </row>
    <row r="789" ht="15.75" customHeight="1">
      <c r="A789" s="36"/>
      <c r="B789" s="36"/>
      <c r="C789" s="37"/>
      <c r="D789" s="1"/>
      <c r="E789" s="1"/>
      <c r="F789" s="1"/>
      <c r="G789" s="1"/>
      <c r="H789" s="1"/>
      <c r="I789" s="1"/>
    </row>
    <row r="790" ht="15.75" customHeight="1">
      <c r="A790" s="36"/>
      <c r="B790" s="36"/>
      <c r="C790" s="37"/>
      <c r="D790" s="1"/>
      <c r="E790" s="1"/>
      <c r="F790" s="1"/>
      <c r="G790" s="1"/>
      <c r="H790" s="1"/>
      <c r="I790" s="1"/>
    </row>
    <row r="791" ht="15.75" customHeight="1">
      <c r="A791" s="36"/>
      <c r="B791" s="36"/>
      <c r="C791" s="37"/>
      <c r="D791" s="1"/>
      <c r="E791" s="1"/>
      <c r="F791" s="1"/>
      <c r="G791" s="1"/>
      <c r="H791" s="1"/>
      <c r="I791" s="1"/>
    </row>
    <row r="792" ht="15.75" customHeight="1">
      <c r="A792" s="36"/>
      <c r="B792" s="36"/>
      <c r="C792" s="37"/>
      <c r="D792" s="1"/>
      <c r="E792" s="1"/>
      <c r="F792" s="1"/>
      <c r="G792" s="1"/>
      <c r="H792" s="1"/>
      <c r="I792" s="1"/>
    </row>
    <row r="793" ht="15.75" customHeight="1">
      <c r="A793" s="36"/>
      <c r="B793" s="36"/>
      <c r="C793" s="37"/>
      <c r="D793" s="1"/>
      <c r="E793" s="1"/>
      <c r="F793" s="1"/>
      <c r="G793" s="1"/>
      <c r="H793" s="1"/>
      <c r="I793" s="1"/>
    </row>
    <row r="794" ht="15.75" customHeight="1">
      <c r="A794" s="36"/>
      <c r="B794" s="36"/>
      <c r="C794" s="37"/>
      <c r="D794" s="1"/>
      <c r="E794" s="1"/>
      <c r="F794" s="1"/>
      <c r="G794" s="1"/>
      <c r="H794" s="1"/>
      <c r="I794" s="1"/>
    </row>
    <row r="795" ht="15.75" customHeight="1">
      <c r="A795" s="36"/>
      <c r="B795" s="36"/>
      <c r="C795" s="37"/>
      <c r="D795" s="1"/>
      <c r="E795" s="1"/>
      <c r="F795" s="1"/>
      <c r="G795" s="1"/>
      <c r="H795" s="1"/>
      <c r="I795" s="1"/>
    </row>
    <row r="796" ht="15.75" customHeight="1">
      <c r="A796" s="36"/>
      <c r="B796" s="36"/>
      <c r="C796" s="37"/>
      <c r="D796" s="1"/>
      <c r="E796" s="1"/>
      <c r="F796" s="1"/>
      <c r="G796" s="1"/>
      <c r="H796" s="1"/>
      <c r="I796" s="1"/>
    </row>
    <row r="797" ht="15.75" customHeight="1">
      <c r="A797" s="36"/>
      <c r="B797" s="36"/>
      <c r="C797" s="37"/>
      <c r="D797" s="1"/>
      <c r="E797" s="1"/>
      <c r="F797" s="1"/>
      <c r="G797" s="1"/>
      <c r="H797" s="1"/>
      <c r="I797" s="1"/>
    </row>
    <row r="798" ht="15.75" customHeight="1">
      <c r="A798" s="36"/>
      <c r="B798" s="36"/>
      <c r="C798" s="37"/>
      <c r="D798" s="1"/>
      <c r="E798" s="1"/>
      <c r="F798" s="1"/>
      <c r="G798" s="1"/>
      <c r="H798" s="1"/>
      <c r="I798" s="1"/>
    </row>
    <row r="799" ht="15.75" customHeight="1">
      <c r="A799" s="36"/>
      <c r="B799" s="36"/>
      <c r="C799" s="37"/>
      <c r="D799" s="1"/>
      <c r="E799" s="1"/>
      <c r="F799" s="1"/>
      <c r="G799" s="1"/>
      <c r="H799" s="1"/>
      <c r="I799" s="1"/>
    </row>
    <row r="800" ht="15.75" customHeight="1">
      <c r="A800" s="36"/>
      <c r="B800" s="36"/>
      <c r="C800" s="37"/>
      <c r="D800" s="1"/>
      <c r="E800" s="1"/>
      <c r="F800" s="1"/>
      <c r="G800" s="1"/>
      <c r="H800" s="1"/>
      <c r="I800" s="1"/>
    </row>
    <row r="801" ht="15.75" customHeight="1">
      <c r="A801" s="36"/>
      <c r="B801" s="36"/>
      <c r="C801" s="37"/>
      <c r="D801" s="1"/>
      <c r="E801" s="1"/>
      <c r="F801" s="1"/>
      <c r="G801" s="1"/>
      <c r="H801" s="1"/>
      <c r="I801" s="1"/>
    </row>
    <row r="802" ht="15.75" customHeight="1">
      <c r="A802" s="36"/>
      <c r="B802" s="36"/>
      <c r="C802" s="37"/>
      <c r="D802" s="1"/>
      <c r="E802" s="1"/>
      <c r="F802" s="1"/>
      <c r="G802" s="1"/>
      <c r="H802" s="1"/>
      <c r="I802" s="1"/>
    </row>
    <row r="803" ht="15.75" customHeight="1">
      <c r="A803" s="36"/>
      <c r="B803" s="36"/>
      <c r="C803" s="37"/>
      <c r="D803" s="1"/>
      <c r="E803" s="1"/>
      <c r="F803" s="1"/>
      <c r="G803" s="1"/>
      <c r="H803" s="1"/>
      <c r="I803" s="1"/>
    </row>
    <row r="804" ht="15.75" customHeight="1">
      <c r="A804" s="36"/>
      <c r="B804" s="36"/>
      <c r="C804" s="37"/>
      <c r="D804" s="1"/>
      <c r="E804" s="1"/>
      <c r="F804" s="1"/>
      <c r="G804" s="1"/>
      <c r="H804" s="1"/>
      <c r="I804" s="1"/>
    </row>
    <row r="805" ht="15.75" customHeight="1">
      <c r="A805" s="36"/>
      <c r="B805" s="36"/>
      <c r="C805" s="37"/>
      <c r="D805" s="1"/>
      <c r="E805" s="1"/>
      <c r="F805" s="1"/>
      <c r="G805" s="1"/>
      <c r="H805" s="1"/>
      <c r="I805" s="1"/>
    </row>
    <row r="806" ht="15.75" customHeight="1">
      <c r="A806" s="36"/>
      <c r="B806" s="36"/>
      <c r="C806" s="37"/>
      <c r="D806" s="1"/>
      <c r="E806" s="1"/>
      <c r="F806" s="1"/>
      <c r="G806" s="1"/>
      <c r="H806" s="1"/>
      <c r="I806" s="1"/>
    </row>
    <row r="807" ht="15.75" customHeight="1">
      <c r="A807" s="36"/>
      <c r="B807" s="36"/>
      <c r="C807" s="37"/>
      <c r="D807" s="1"/>
      <c r="E807" s="1"/>
      <c r="F807" s="1"/>
      <c r="G807" s="1"/>
      <c r="H807" s="1"/>
      <c r="I807" s="1"/>
    </row>
    <row r="808" ht="15.75" customHeight="1">
      <c r="A808" s="36"/>
      <c r="B808" s="36"/>
      <c r="C808" s="37"/>
      <c r="D808" s="1"/>
      <c r="E808" s="1"/>
      <c r="F808" s="1"/>
      <c r="G808" s="1"/>
      <c r="H808" s="1"/>
      <c r="I808" s="1"/>
    </row>
    <row r="809" ht="15.75" customHeight="1">
      <c r="A809" s="36"/>
      <c r="B809" s="36"/>
      <c r="C809" s="37"/>
      <c r="D809" s="1"/>
      <c r="E809" s="1"/>
      <c r="F809" s="1"/>
      <c r="G809" s="1"/>
      <c r="H809" s="1"/>
      <c r="I809" s="1"/>
    </row>
    <row r="810" ht="15.75" customHeight="1">
      <c r="A810" s="36"/>
      <c r="B810" s="36"/>
      <c r="C810" s="37"/>
      <c r="D810" s="1"/>
      <c r="E810" s="1"/>
      <c r="F810" s="1"/>
      <c r="G810" s="1"/>
      <c r="H810" s="1"/>
      <c r="I810" s="1"/>
    </row>
    <row r="811" ht="15.75" customHeight="1">
      <c r="A811" s="36"/>
      <c r="B811" s="36"/>
      <c r="C811" s="37"/>
      <c r="D811" s="1"/>
      <c r="E811" s="1"/>
      <c r="F811" s="1"/>
      <c r="G811" s="1"/>
      <c r="H811" s="1"/>
      <c r="I811" s="1"/>
    </row>
    <row r="812" ht="15.75" customHeight="1">
      <c r="A812" s="36"/>
      <c r="B812" s="36"/>
      <c r="C812" s="37"/>
      <c r="D812" s="1"/>
      <c r="E812" s="1"/>
      <c r="F812" s="1"/>
      <c r="G812" s="1"/>
      <c r="H812" s="1"/>
      <c r="I812" s="1"/>
    </row>
    <row r="813" ht="15.75" customHeight="1">
      <c r="A813" s="36"/>
      <c r="B813" s="36"/>
      <c r="C813" s="37"/>
      <c r="D813" s="1"/>
      <c r="E813" s="1"/>
      <c r="F813" s="1"/>
      <c r="G813" s="1"/>
      <c r="H813" s="1"/>
      <c r="I813" s="1"/>
    </row>
    <row r="814" ht="15.75" customHeight="1">
      <c r="A814" s="36"/>
      <c r="B814" s="36"/>
      <c r="C814" s="37"/>
      <c r="D814" s="1"/>
      <c r="E814" s="1"/>
      <c r="F814" s="1"/>
      <c r="G814" s="1"/>
      <c r="H814" s="1"/>
      <c r="I814" s="1"/>
    </row>
    <row r="815" ht="15.75" customHeight="1">
      <c r="A815" s="36"/>
      <c r="B815" s="36"/>
      <c r="C815" s="37"/>
      <c r="D815" s="1"/>
      <c r="E815" s="1"/>
      <c r="F815" s="1"/>
      <c r="G815" s="1"/>
      <c r="H815" s="1"/>
      <c r="I815" s="1"/>
    </row>
    <row r="816" ht="15.75" customHeight="1">
      <c r="A816" s="36"/>
      <c r="B816" s="36"/>
      <c r="C816" s="37"/>
      <c r="D816" s="1"/>
      <c r="E816" s="1"/>
      <c r="F816" s="1"/>
      <c r="G816" s="1"/>
      <c r="H816" s="1"/>
      <c r="I816" s="1"/>
    </row>
    <row r="817" ht="15.75" customHeight="1">
      <c r="A817" s="36"/>
      <c r="B817" s="36"/>
      <c r="C817" s="37"/>
      <c r="D817" s="1"/>
      <c r="E817" s="1"/>
      <c r="F817" s="1"/>
      <c r="G817" s="1"/>
      <c r="H817" s="1"/>
      <c r="I817" s="1"/>
    </row>
    <row r="818" ht="15.75" customHeight="1">
      <c r="A818" s="36"/>
      <c r="B818" s="36"/>
      <c r="C818" s="37"/>
      <c r="D818" s="1"/>
      <c r="E818" s="1"/>
      <c r="F818" s="1"/>
      <c r="G818" s="1"/>
      <c r="H818" s="1"/>
      <c r="I818" s="1"/>
    </row>
    <row r="819" ht="15.75" customHeight="1">
      <c r="A819" s="36"/>
      <c r="B819" s="36"/>
      <c r="C819" s="37"/>
      <c r="D819" s="1"/>
      <c r="E819" s="1"/>
      <c r="F819" s="1"/>
      <c r="G819" s="1"/>
      <c r="H819" s="1"/>
      <c r="I819" s="1"/>
    </row>
    <row r="820" ht="15.75" customHeight="1">
      <c r="A820" s="36"/>
      <c r="B820" s="36"/>
      <c r="C820" s="37"/>
      <c r="D820" s="1"/>
      <c r="E820" s="1"/>
      <c r="F820" s="1"/>
      <c r="G820" s="1"/>
      <c r="H820" s="1"/>
      <c r="I820" s="1"/>
    </row>
    <row r="821" ht="15.75" customHeight="1">
      <c r="A821" s="36"/>
      <c r="B821" s="36"/>
      <c r="C821" s="37"/>
      <c r="D821" s="1"/>
      <c r="E821" s="1"/>
      <c r="F821" s="1"/>
      <c r="G821" s="1"/>
      <c r="H821" s="1"/>
      <c r="I821" s="1"/>
    </row>
    <row r="822" ht="15.75" customHeight="1">
      <c r="A822" s="36"/>
      <c r="B822" s="36"/>
      <c r="C822" s="37"/>
      <c r="D822" s="1"/>
      <c r="E822" s="1"/>
      <c r="F822" s="1"/>
      <c r="G822" s="1"/>
      <c r="H822" s="1"/>
      <c r="I822" s="1"/>
    </row>
    <row r="823" ht="15.75" customHeight="1">
      <c r="A823" s="36"/>
      <c r="B823" s="36"/>
      <c r="C823" s="37"/>
      <c r="D823" s="1"/>
      <c r="E823" s="1"/>
      <c r="F823" s="1"/>
      <c r="G823" s="1"/>
      <c r="H823" s="1"/>
      <c r="I823" s="1"/>
    </row>
    <row r="824" ht="15.75" customHeight="1">
      <c r="A824" s="36"/>
      <c r="B824" s="36"/>
      <c r="C824" s="37"/>
      <c r="D824" s="1"/>
      <c r="E824" s="1"/>
      <c r="F824" s="1"/>
      <c r="G824" s="1"/>
      <c r="H824" s="1"/>
      <c r="I824" s="1"/>
    </row>
    <row r="825" ht="15.75" customHeight="1">
      <c r="A825" s="36"/>
      <c r="B825" s="36"/>
      <c r="C825" s="37"/>
      <c r="D825" s="1"/>
      <c r="E825" s="1"/>
      <c r="F825" s="1"/>
      <c r="G825" s="1"/>
      <c r="H825" s="1"/>
      <c r="I825" s="1"/>
    </row>
    <row r="826" ht="15.75" customHeight="1">
      <c r="A826" s="36"/>
      <c r="B826" s="36"/>
      <c r="C826" s="37"/>
      <c r="D826" s="1"/>
      <c r="E826" s="1"/>
      <c r="F826" s="1"/>
      <c r="G826" s="1"/>
      <c r="H826" s="1"/>
      <c r="I826" s="1"/>
    </row>
    <row r="827" ht="15.75" customHeight="1">
      <c r="A827" s="36"/>
      <c r="B827" s="36"/>
      <c r="C827" s="37"/>
      <c r="D827" s="1"/>
      <c r="E827" s="1"/>
      <c r="F827" s="1"/>
      <c r="G827" s="1"/>
      <c r="H827" s="1"/>
      <c r="I827" s="1"/>
    </row>
    <row r="828" ht="15.75" customHeight="1">
      <c r="A828" s="36"/>
      <c r="B828" s="36"/>
      <c r="C828" s="37"/>
      <c r="D828" s="1"/>
      <c r="E828" s="1"/>
      <c r="F828" s="1"/>
      <c r="G828" s="1"/>
      <c r="H828" s="1"/>
      <c r="I828" s="1"/>
    </row>
    <row r="829" ht="15.75" customHeight="1">
      <c r="A829" s="36"/>
      <c r="B829" s="36"/>
      <c r="C829" s="37"/>
      <c r="D829" s="1"/>
      <c r="E829" s="1"/>
      <c r="F829" s="1"/>
      <c r="G829" s="1"/>
      <c r="H829" s="1"/>
      <c r="I829" s="1"/>
    </row>
    <row r="830" ht="15.75" customHeight="1">
      <c r="A830" s="36"/>
      <c r="B830" s="36"/>
      <c r="C830" s="37"/>
      <c r="D830" s="1"/>
      <c r="E830" s="1"/>
      <c r="F830" s="1"/>
      <c r="G830" s="1"/>
      <c r="H830" s="1"/>
      <c r="I830" s="1"/>
    </row>
    <row r="831" ht="15.75" customHeight="1">
      <c r="A831" s="36"/>
      <c r="B831" s="36"/>
      <c r="C831" s="37"/>
      <c r="D831" s="1"/>
      <c r="E831" s="1"/>
      <c r="F831" s="1"/>
      <c r="G831" s="1"/>
      <c r="H831" s="1"/>
      <c r="I831" s="1"/>
    </row>
    <row r="832" ht="15.75" customHeight="1">
      <c r="A832" s="36"/>
      <c r="B832" s="36"/>
      <c r="C832" s="37"/>
      <c r="D832" s="1"/>
      <c r="E832" s="1"/>
      <c r="F832" s="1"/>
      <c r="G832" s="1"/>
      <c r="H832" s="1"/>
      <c r="I832" s="1"/>
    </row>
    <row r="833" ht="15.75" customHeight="1">
      <c r="A833" s="36"/>
      <c r="B833" s="36"/>
      <c r="C833" s="37"/>
      <c r="D833" s="1"/>
      <c r="E833" s="1"/>
      <c r="F833" s="1"/>
      <c r="G833" s="1"/>
      <c r="H833" s="1"/>
      <c r="I833" s="1"/>
    </row>
    <row r="834" ht="15.75" customHeight="1">
      <c r="A834" s="36"/>
      <c r="B834" s="36"/>
      <c r="C834" s="37"/>
      <c r="D834" s="1"/>
      <c r="E834" s="1"/>
      <c r="F834" s="1"/>
      <c r="G834" s="1"/>
      <c r="H834" s="1"/>
      <c r="I834" s="1"/>
    </row>
    <row r="835" ht="15.75" customHeight="1">
      <c r="A835" s="36"/>
      <c r="B835" s="36"/>
      <c r="C835" s="37"/>
      <c r="D835" s="1"/>
      <c r="E835" s="1"/>
      <c r="F835" s="1"/>
      <c r="G835" s="1"/>
      <c r="H835" s="1"/>
      <c r="I835" s="1"/>
    </row>
    <row r="836" ht="15.75" customHeight="1">
      <c r="A836" s="36"/>
      <c r="B836" s="36"/>
      <c r="C836" s="37"/>
      <c r="D836" s="1"/>
      <c r="E836" s="1"/>
      <c r="F836" s="1"/>
      <c r="G836" s="1"/>
      <c r="H836" s="1"/>
      <c r="I836" s="1"/>
    </row>
    <row r="837" ht="15.75" customHeight="1">
      <c r="A837" s="36"/>
      <c r="B837" s="36"/>
      <c r="C837" s="37"/>
      <c r="D837" s="1"/>
      <c r="E837" s="1"/>
      <c r="F837" s="1"/>
      <c r="G837" s="1"/>
      <c r="H837" s="1"/>
      <c r="I837" s="1"/>
    </row>
    <row r="838" ht="15.75" customHeight="1">
      <c r="A838" s="36"/>
      <c r="B838" s="36"/>
      <c r="C838" s="37"/>
      <c r="D838" s="1"/>
      <c r="E838" s="1"/>
      <c r="F838" s="1"/>
      <c r="G838" s="1"/>
      <c r="H838" s="1"/>
      <c r="I838" s="1"/>
    </row>
    <row r="839" ht="15.75" customHeight="1">
      <c r="A839" s="36"/>
      <c r="B839" s="36"/>
      <c r="C839" s="37"/>
      <c r="D839" s="1"/>
      <c r="E839" s="1"/>
      <c r="F839" s="1"/>
      <c r="G839" s="1"/>
      <c r="H839" s="1"/>
      <c r="I839" s="1"/>
    </row>
    <row r="840" ht="15.75" customHeight="1">
      <c r="A840" s="36"/>
      <c r="B840" s="36"/>
      <c r="C840" s="37"/>
      <c r="D840" s="1"/>
      <c r="E840" s="1"/>
      <c r="F840" s="1"/>
      <c r="G840" s="1"/>
      <c r="H840" s="1"/>
      <c r="I840" s="1"/>
    </row>
    <row r="841" ht="15.75" customHeight="1">
      <c r="A841" s="36"/>
      <c r="B841" s="36"/>
      <c r="C841" s="37"/>
      <c r="D841" s="1"/>
      <c r="E841" s="1"/>
      <c r="F841" s="1"/>
      <c r="G841" s="1"/>
      <c r="H841" s="1"/>
      <c r="I841" s="1"/>
    </row>
    <row r="842" ht="15.75" customHeight="1">
      <c r="A842" s="36"/>
      <c r="B842" s="36"/>
      <c r="C842" s="37"/>
      <c r="D842" s="1"/>
      <c r="E842" s="1"/>
      <c r="F842" s="1"/>
      <c r="G842" s="1"/>
      <c r="H842" s="1"/>
      <c r="I842" s="1"/>
    </row>
    <row r="843" ht="15.75" customHeight="1">
      <c r="A843" s="36"/>
      <c r="B843" s="36"/>
      <c r="C843" s="37"/>
      <c r="D843" s="1"/>
      <c r="E843" s="1"/>
      <c r="F843" s="1"/>
      <c r="G843" s="1"/>
      <c r="H843" s="1"/>
      <c r="I843" s="1"/>
    </row>
    <row r="844" ht="15.75" customHeight="1">
      <c r="A844" s="36"/>
      <c r="B844" s="36"/>
      <c r="C844" s="37"/>
      <c r="D844" s="1"/>
      <c r="E844" s="1"/>
      <c r="F844" s="1"/>
      <c r="G844" s="1"/>
      <c r="H844" s="1"/>
      <c r="I844" s="1"/>
    </row>
    <row r="845" ht="15.75" customHeight="1">
      <c r="A845" s="36"/>
      <c r="B845" s="36"/>
      <c r="C845" s="37"/>
      <c r="D845" s="1"/>
      <c r="E845" s="1"/>
      <c r="F845" s="1"/>
      <c r="G845" s="1"/>
      <c r="H845" s="1"/>
      <c r="I845" s="1"/>
    </row>
    <row r="846" ht="15.75" customHeight="1">
      <c r="A846" s="36"/>
      <c r="B846" s="36"/>
      <c r="C846" s="37"/>
      <c r="D846" s="1"/>
      <c r="E846" s="1"/>
      <c r="F846" s="1"/>
      <c r="G846" s="1"/>
      <c r="H846" s="1"/>
      <c r="I846" s="1"/>
    </row>
    <row r="847" ht="15.75" customHeight="1">
      <c r="A847" s="36"/>
      <c r="B847" s="36"/>
      <c r="C847" s="37"/>
      <c r="D847" s="1"/>
      <c r="E847" s="1"/>
      <c r="F847" s="1"/>
      <c r="G847" s="1"/>
      <c r="H847" s="1"/>
      <c r="I847" s="1"/>
    </row>
    <row r="848" ht="15.75" customHeight="1">
      <c r="A848" s="36"/>
      <c r="B848" s="36"/>
      <c r="C848" s="37"/>
      <c r="D848" s="1"/>
      <c r="E848" s="1"/>
      <c r="F848" s="1"/>
      <c r="G848" s="1"/>
      <c r="H848" s="1"/>
      <c r="I848" s="1"/>
    </row>
    <row r="849" ht="15.75" customHeight="1">
      <c r="A849" s="36"/>
      <c r="B849" s="36"/>
      <c r="C849" s="37"/>
      <c r="D849" s="1"/>
      <c r="E849" s="1"/>
      <c r="F849" s="1"/>
      <c r="G849" s="1"/>
      <c r="H849" s="1"/>
      <c r="I849" s="1"/>
    </row>
    <row r="850" ht="15.75" customHeight="1">
      <c r="A850" s="36"/>
      <c r="B850" s="36"/>
      <c r="C850" s="37"/>
      <c r="D850" s="1"/>
      <c r="E850" s="1"/>
      <c r="F850" s="1"/>
      <c r="G850" s="1"/>
      <c r="H850" s="1"/>
      <c r="I850" s="1"/>
    </row>
    <row r="851" ht="15.75" customHeight="1">
      <c r="A851" s="36"/>
      <c r="B851" s="36"/>
      <c r="C851" s="37"/>
      <c r="D851" s="1"/>
      <c r="E851" s="1"/>
      <c r="F851" s="1"/>
      <c r="G851" s="1"/>
      <c r="H851" s="1"/>
      <c r="I851" s="1"/>
    </row>
    <row r="852" ht="15.75" customHeight="1">
      <c r="A852" s="36"/>
      <c r="B852" s="36"/>
      <c r="C852" s="37"/>
      <c r="D852" s="1"/>
      <c r="E852" s="1"/>
      <c r="F852" s="1"/>
      <c r="G852" s="1"/>
      <c r="H852" s="1"/>
      <c r="I852" s="1"/>
    </row>
    <row r="853" ht="15.75" customHeight="1">
      <c r="A853" s="36"/>
      <c r="B853" s="36"/>
      <c r="C853" s="37"/>
      <c r="D853" s="1"/>
      <c r="E853" s="1"/>
      <c r="F853" s="1"/>
      <c r="G853" s="1"/>
      <c r="H853" s="1"/>
      <c r="I853" s="1"/>
    </row>
    <row r="854" ht="15.75" customHeight="1">
      <c r="A854" s="36"/>
      <c r="B854" s="36"/>
      <c r="C854" s="37"/>
      <c r="D854" s="1"/>
      <c r="E854" s="1"/>
      <c r="F854" s="1"/>
      <c r="G854" s="1"/>
      <c r="H854" s="1"/>
      <c r="I854" s="1"/>
    </row>
    <row r="855" ht="15.75" customHeight="1">
      <c r="A855" s="36"/>
      <c r="B855" s="36"/>
      <c r="C855" s="37"/>
      <c r="D855" s="1"/>
      <c r="E855" s="1"/>
      <c r="F855" s="1"/>
      <c r="G855" s="1"/>
      <c r="H855" s="1"/>
      <c r="I855" s="1"/>
    </row>
    <row r="856" ht="15.75" customHeight="1">
      <c r="A856" s="36"/>
      <c r="B856" s="36"/>
      <c r="C856" s="37"/>
      <c r="D856" s="1"/>
      <c r="E856" s="1"/>
      <c r="F856" s="1"/>
      <c r="G856" s="1"/>
      <c r="H856" s="1"/>
      <c r="I856" s="1"/>
    </row>
    <row r="857" ht="15.75" customHeight="1">
      <c r="A857" s="36"/>
      <c r="B857" s="36"/>
      <c r="C857" s="37"/>
      <c r="D857" s="1"/>
      <c r="E857" s="1"/>
      <c r="F857" s="1"/>
      <c r="G857" s="1"/>
      <c r="H857" s="1"/>
      <c r="I857" s="1"/>
    </row>
    <row r="858" ht="15.75" customHeight="1">
      <c r="A858" s="36"/>
      <c r="B858" s="36"/>
      <c r="C858" s="37"/>
      <c r="D858" s="1"/>
      <c r="E858" s="1"/>
      <c r="F858" s="1"/>
      <c r="G858" s="1"/>
      <c r="H858" s="1"/>
      <c r="I858" s="1"/>
    </row>
    <row r="859" ht="15.75" customHeight="1">
      <c r="A859" s="36"/>
      <c r="B859" s="36"/>
      <c r="C859" s="37"/>
      <c r="D859" s="1"/>
      <c r="E859" s="1"/>
      <c r="F859" s="1"/>
      <c r="G859" s="1"/>
      <c r="H859" s="1"/>
      <c r="I859" s="1"/>
    </row>
    <row r="860" ht="15.75" customHeight="1">
      <c r="A860" s="36"/>
      <c r="B860" s="36"/>
      <c r="C860" s="37"/>
      <c r="D860" s="1"/>
      <c r="E860" s="1"/>
      <c r="F860" s="1"/>
      <c r="G860" s="1"/>
      <c r="H860" s="1"/>
      <c r="I860" s="1"/>
    </row>
    <row r="861" ht="15.75" customHeight="1">
      <c r="A861" s="36"/>
      <c r="B861" s="36"/>
      <c r="C861" s="37"/>
      <c r="D861" s="1"/>
      <c r="E861" s="1"/>
      <c r="F861" s="1"/>
      <c r="G861" s="1"/>
      <c r="H861" s="1"/>
      <c r="I861" s="1"/>
    </row>
    <row r="862" ht="15.75" customHeight="1">
      <c r="A862" s="36"/>
      <c r="B862" s="36"/>
      <c r="C862" s="37"/>
      <c r="D862" s="1"/>
      <c r="E862" s="1"/>
      <c r="F862" s="1"/>
      <c r="G862" s="1"/>
      <c r="H862" s="1"/>
      <c r="I862" s="1"/>
    </row>
    <row r="863" ht="15.75" customHeight="1">
      <c r="A863" s="36"/>
      <c r="B863" s="36"/>
      <c r="C863" s="37"/>
      <c r="D863" s="1"/>
      <c r="E863" s="1"/>
      <c r="F863" s="1"/>
      <c r="G863" s="1"/>
      <c r="H863" s="1"/>
      <c r="I863" s="1"/>
    </row>
    <row r="864" ht="15.75" customHeight="1">
      <c r="A864" s="36"/>
      <c r="B864" s="36"/>
      <c r="C864" s="37"/>
      <c r="D864" s="1"/>
      <c r="E864" s="1"/>
      <c r="F864" s="1"/>
      <c r="G864" s="1"/>
      <c r="H864" s="1"/>
      <c r="I864" s="1"/>
    </row>
    <row r="865" ht="15.75" customHeight="1">
      <c r="A865" s="36"/>
      <c r="B865" s="36"/>
      <c r="C865" s="37"/>
      <c r="D865" s="1"/>
      <c r="E865" s="1"/>
      <c r="F865" s="1"/>
      <c r="G865" s="1"/>
      <c r="H865" s="1"/>
      <c r="I865" s="1"/>
    </row>
    <row r="866" ht="15.75" customHeight="1">
      <c r="A866" s="36"/>
      <c r="B866" s="36"/>
      <c r="C866" s="37"/>
      <c r="D866" s="1"/>
      <c r="E866" s="1"/>
      <c r="F866" s="1"/>
      <c r="G866" s="1"/>
      <c r="H866" s="1"/>
      <c r="I866" s="1"/>
    </row>
    <row r="867" ht="15.75" customHeight="1">
      <c r="A867" s="36"/>
      <c r="B867" s="36"/>
      <c r="C867" s="37"/>
      <c r="D867" s="1"/>
      <c r="E867" s="1"/>
      <c r="F867" s="1"/>
      <c r="G867" s="1"/>
      <c r="H867" s="1"/>
      <c r="I867" s="1"/>
    </row>
    <row r="868" ht="15.75" customHeight="1">
      <c r="A868" s="36"/>
      <c r="B868" s="36"/>
      <c r="C868" s="37"/>
      <c r="D868" s="1"/>
      <c r="E868" s="1"/>
      <c r="F868" s="1"/>
      <c r="G868" s="1"/>
      <c r="H868" s="1"/>
      <c r="I868" s="1"/>
    </row>
    <row r="869" ht="15.75" customHeight="1">
      <c r="A869" s="36"/>
      <c r="B869" s="36"/>
      <c r="C869" s="37"/>
      <c r="D869" s="1"/>
      <c r="E869" s="1"/>
      <c r="F869" s="1"/>
      <c r="G869" s="1"/>
      <c r="H869" s="1"/>
      <c r="I869" s="1"/>
    </row>
    <row r="870" ht="15.75" customHeight="1">
      <c r="A870" s="36"/>
      <c r="B870" s="36"/>
      <c r="C870" s="37"/>
      <c r="D870" s="1"/>
      <c r="E870" s="1"/>
      <c r="F870" s="1"/>
      <c r="G870" s="1"/>
      <c r="H870" s="1"/>
      <c r="I870" s="1"/>
    </row>
    <row r="871" ht="15.75" customHeight="1">
      <c r="A871" s="36"/>
      <c r="B871" s="36"/>
      <c r="C871" s="37"/>
      <c r="D871" s="1"/>
      <c r="E871" s="1"/>
      <c r="F871" s="1"/>
      <c r="G871" s="1"/>
      <c r="H871" s="1"/>
      <c r="I871" s="1"/>
    </row>
    <row r="872" ht="15.75" customHeight="1">
      <c r="A872" s="36"/>
      <c r="B872" s="36"/>
      <c r="C872" s="37"/>
      <c r="D872" s="1"/>
      <c r="E872" s="1"/>
      <c r="F872" s="1"/>
      <c r="G872" s="1"/>
      <c r="H872" s="1"/>
      <c r="I872" s="1"/>
    </row>
    <row r="873" ht="15.75" customHeight="1">
      <c r="A873" s="36"/>
      <c r="B873" s="36"/>
      <c r="C873" s="37"/>
      <c r="D873" s="1"/>
      <c r="E873" s="1"/>
      <c r="F873" s="1"/>
      <c r="G873" s="1"/>
      <c r="H873" s="1"/>
      <c r="I873" s="1"/>
    </row>
    <row r="874" ht="15.75" customHeight="1">
      <c r="A874" s="36"/>
      <c r="B874" s="36"/>
      <c r="C874" s="37"/>
      <c r="D874" s="1"/>
      <c r="E874" s="1"/>
      <c r="F874" s="1"/>
      <c r="G874" s="1"/>
      <c r="H874" s="1"/>
      <c r="I874" s="1"/>
    </row>
    <row r="875" ht="15.75" customHeight="1">
      <c r="A875" s="36"/>
      <c r="B875" s="36"/>
      <c r="C875" s="37"/>
      <c r="D875" s="1"/>
      <c r="E875" s="1"/>
      <c r="F875" s="1"/>
      <c r="G875" s="1"/>
      <c r="H875" s="1"/>
      <c r="I875" s="1"/>
    </row>
    <row r="876" ht="15.75" customHeight="1">
      <c r="A876" s="36"/>
      <c r="B876" s="36"/>
      <c r="C876" s="37"/>
      <c r="D876" s="1"/>
      <c r="E876" s="1"/>
      <c r="F876" s="1"/>
      <c r="G876" s="1"/>
      <c r="H876" s="1"/>
      <c r="I876" s="1"/>
    </row>
    <row r="877" ht="15.75" customHeight="1">
      <c r="A877" s="36"/>
      <c r="B877" s="36"/>
      <c r="C877" s="37"/>
      <c r="D877" s="1"/>
      <c r="E877" s="1"/>
      <c r="F877" s="1"/>
      <c r="G877" s="1"/>
      <c r="H877" s="1"/>
      <c r="I877" s="1"/>
    </row>
    <row r="878" ht="15.75" customHeight="1">
      <c r="A878" s="36"/>
      <c r="B878" s="36"/>
      <c r="C878" s="37"/>
      <c r="D878" s="1"/>
      <c r="E878" s="1"/>
      <c r="F878" s="1"/>
      <c r="G878" s="1"/>
      <c r="H878" s="1"/>
      <c r="I878" s="1"/>
    </row>
    <row r="879" ht="15.75" customHeight="1">
      <c r="A879" s="36"/>
      <c r="B879" s="36"/>
      <c r="C879" s="37"/>
      <c r="D879" s="1"/>
      <c r="E879" s="1"/>
      <c r="F879" s="1"/>
      <c r="G879" s="1"/>
      <c r="H879" s="1"/>
      <c r="I879" s="1"/>
    </row>
    <row r="880" ht="15.75" customHeight="1">
      <c r="A880" s="36"/>
      <c r="B880" s="36"/>
      <c r="C880" s="37"/>
      <c r="D880" s="1"/>
      <c r="E880" s="1"/>
      <c r="F880" s="1"/>
      <c r="G880" s="1"/>
      <c r="H880" s="1"/>
      <c r="I880" s="1"/>
    </row>
    <row r="881" ht="15.75" customHeight="1">
      <c r="A881" s="36"/>
      <c r="B881" s="36"/>
      <c r="C881" s="37"/>
      <c r="D881" s="1"/>
      <c r="E881" s="1"/>
      <c r="F881" s="1"/>
      <c r="G881" s="1"/>
      <c r="H881" s="1"/>
      <c r="I881" s="1"/>
    </row>
    <row r="882" ht="15.75" customHeight="1">
      <c r="A882" s="36"/>
      <c r="B882" s="36"/>
      <c r="C882" s="37"/>
      <c r="D882" s="1"/>
      <c r="E882" s="1"/>
      <c r="F882" s="1"/>
      <c r="G882" s="1"/>
      <c r="H882" s="1"/>
      <c r="I882" s="1"/>
    </row>
    <row r="883" ht="15.75" customHeight="1">
      <c r="A883" s="36"/>
      <c r="B883" s="36"/>
      <c r="C883" s="37"/>
      <c r="D883" s="1"/>
      <c r="E883" s="1"/>
      <c r="F883" s="1"/>
      <c r="G883" s="1"/>
      <c r="H883" s="1"/>
      <c r="I883" s="1"/>
    </row>
    <row r="884" ht="15.75" customHeight="1">
      <c r="A884" s="36"/>
      <c r="B884" s="36"/>
      <c r="C884" s="37"/>
      <c r="D884" s="1"/>
      <c r="E884" s="1"/>
      <c r="F884" s="1"/>
      <c r="G884" s="1"/>
      <c r="H884" s="1"/>
      <c r="I884" s="1"/>
    </row>
    <row r="885" ht="15.75" customHeight="1">
      <c r="A885" s="36"/>
      <c r="B885" s="36"/>
      <c r="C885" s="37"/>
      <c r="D885" s="1"/>
      <c r="E885" s="1"/>
      <c r="F885" s="1"/>
      <c r="G885" s="1"/>
      <c r="H885" s="1"/>
      <c r="I885" s="1"/>
    </row>
    <row r="886" ht="15.75" customHeight="1">
      <c r="A886" s="36"/>
      <c r="B886" s="36"/>
      <c r="C886" s="37"/>
      <c r="D886" s="1"/>
      <c r="E886" s="1"/>
      <c r="F886" s="1"/>
      <c r="G886" s="1"/>
      <c r="H886" s="1"/>
      <c r="I886" s="1"/>
    </row>
    <row r="887" ht="15.75" customHeight="1">
      <c r="A887" s="36"/>
      <c r="B887" s="36"/>
      <c r="C887" s="37"/>
      <c r="D887" s="1"/>
      <c r="E887" s="1"/>
      <c r="F887" s="1"/>
      <c r="G887" s="1"/>
      <c r="H887" s="1"/>
      <c r="I887" s="1"/>
    </row>
    <row r="888" ht="15.75" customHeight="1">
      <c r="A888" s="36"/>
      <c r="B888" s="36"/>
      <c r="C888" s="37"/>
      <c r="D888" s="1"/>
      <c r="E888" s="1"/>
      <c r="F888" s="1"/>
      <c r="G888" s="1"/>
      <c r="H888" s="1"/>
      <c r="I888" s="1"/>
    </row>
    <row r="889" ht="15.75" customHeight="1">
      <c r="A889" s="36"/>
      <c r="B889" s="36"/>
      <c r="C889" s="37"/>
      <c r="D889" s="1"/>
      <c r="E889" s="1"/>
      <c r="F889" s="1"/>
      <c r="G889" s="1"/>
      <c r="H889" s="1"/>
      <c r="I889" s="1"/>
    </row>
    <row r="890" ht="15.75" customHeight="1">
      <c r="A890" s="36"/>
      <c r="B890" s="36"/>
      <c r="C890" s="37"/>
      <c r="D890" s="1"/>
      <c r="E890" s="1"/>
      <c r="F890" s="1"/>
      <c r="G890" s="1"/>
      <c r="H890" s="1"/>
      <c r="I890" s="1"/>
    </row>
    <row r="891" ht="15.75" customHeight="1">
      <c r="A891" s="36"/>
      <c r="B891" s="36"/>
      <c r="C891" s="37"/>
      <c r="D891" s="1"/>
      <c r="E891" s="1"/>
      <c r="F891" s="1"/>
      <c r="G891" s="1"/>
      <c r="H891" s="1"/>
      <c r="I891" s="1"/>
    </row>
    <row r="892" ht="15.75" customHeight="1">
      <c r="A892" s="36"/>
      <c r="B892" s="36"/>
      <c r="C892" s="37"/>
      <c r="D892" s="1"/>
      <c r="E892" s="1"/>
      <c r="F892" s="1"/>
      <c r="G892" s="1"/>
      <c r="H892" s="1"/>
      <c r="I892" s="1"/>
    </row>
    <row r="893" ht="15.75" customHeight="1">
      <c r="A893" s="36"/>
      <c r="B893" s="36"/>
      <c r="C893" s="37"/>
      <c r="D893" s="1"/>
      <c r="E893" s="1"/>
      <c r="F893" s="1"/>
      <c r="G893" s="1"/>
      <c r="H893" s="1"/>
      <c r="I893" s="1"/>
    </row>
    <row r="894" ht="15.75" customHeight="1">
      <c r="A894" s="36"/>
      <c r="B894" s="36"/>
      <c r="C894" s="37"/>
      <c r="D894" s="1"/>
      <c r="E894" s="1"/>
      <c r="F894" s="1"/>
      <c r="G894" s="1"/>
      <c r="H894" s="1"/>
      <c r="I894" s="1"/>
    </row>
    <row r="895" ht="15.75" customHeight="1">
      <c r="A895" s="36"/>
      <c r="B895" s="36"/>
      <c r="C895" s="37"/>
      <c r="D895" s="1"/>
      <c r="E895" s="1"/>
      <c r="F895" s="1"/>
      <c r="G895" s="1"/>
      <c r="H895" s="1"/>
      <c r="I895" s="1"/>
    </row>
    <row r="896" ht="15.75" customHeight="1">
      <c r="A896" s="36"/>
      <c r="B896" s="36"/>
      <c r="C896" s="37"/>
      <c r="D896" s="1"/>
      <c r="E896" s="1"/>
      <c r="F896" s="1"/>
      <c r="G896" s="1"/>
      <c r="H896" s="1"/>
      <c r="I896" s="1"/>
    </row>
    <row r="897" ht="15.75" customHeight="1">
      <c r="A897" s="36"/>
      <c r="B897" s="36"/>
      <c r="C897" s="37"/>
      <c r="D897" s="1"/>
      <c r="E897" s="1"/>
      <c r="F897" s="1"/>
      <c r="G897" s="1"/>
      <c r="H897" s="1"/>
      <c r="I897" s="1"/>
    </row>
    <row r="898" ht="15.75" customHeight="1">
      <c r="A898" s="36"/>
      <c r="B898" s="36"/>
      <c r="C898" s="37"/>
      <c r="D898" s="1"/>
      <c r="E898" s="1"/>
      <c r="F898" s="1"/>
      <c r="G898" s="1"/>
      <c r="H898" s="1"/>
      <c r="I898" s="1"/>
    </row>
    <row r="899" ht="15.75" customHeight="1">
      <c r="A899" s="36"/>
      <c r="B899" s="36"/>
      <c r="C899" s="37"/>
      <c r="D899" s="1"/>
      <c r="E899" s="1"/>
      <c r="F899" s="1"/>
      <c r="G899" s="1"/>
      <c r="H899" s="1"/>
      <c r="I899" s="1"/>
    </row>
    <row r="900" ht="15.75" customHeight="1">
      <c r="A900" s="36"/>
      <c r="B900" s="36"/>
      <c r="C900" s="37"/>
      <c r="D900" s="1"/>
      <c r="E900" s="1"/>
      <c r="F900" s="1"/>
      <c r="G900" s="1"/>
      <c r="H900" s="1"/>
      <c r="I900" s="1"/>
    </row>
    <row r="901" ht="15.75" customHeight="1">
      <c r="A901" s="36"/>
      <c r="B901" s="36"/>
      <c r="C901" s="37"/>
      <c r="D901" s="1"/>
      <c r="E901" s="1"/>
      <c r="F901" s="1"/>
      <c r="G901" s="1"/>
      <c r="H901" s="1"/>
      <c r="I901" s="1"/>
    </row>
    <row r="902" ht="15.75" customHeight="1">
      <c r="A902" s="36"/>
      <c r="B902" s="36"/>
      <c r="C902" s="37"/>
      <c r="D902" s="1"/>
      <c r="E902" s="1"/>
      <c r="F902" s="1"/>
      <c r="G902" s="1"/>
      <c r="H902" s="1"/>
      <c r="I902" s="1"/>
    </row>
    <row r="903" ht="15.75" customHeight="1">
      <c r="A903" s="36"/>
      <c r="B903" s="36"/>
      <c r="C903" s="37"/>
      <c r="D903" s="1"/>
      <c r="E903" s="1"/>
      <c r="F903" s="1"/>
      <c r="G903" s="1"/>
      <c r="H903" s="1"/>
      <c r="I903" s="1"/>
    </row>
    <row r="904" ht="15.75" customHeight="1">
      <c r="A904" s="36"/>
      <c r="B904" s="36"/>
      <c r="C904" s="37"/>
      <c r="D904" s="1"/>
      <c r="E904" s="1"/>
      <c r="F904" s="1"/>
      <c r="G904" s="1"/>
      <c r="H904" s="1"/>
      <c r="I904" s="1"/>
    </row>
    <row r="905" ht="15.75" customHeight="1">
      <c r="A905" s="36"/>
      <c r="B905" s="36"/>
      <c r="C905" s="37"/>
      <c r="D905" s="1"/>
      <c r="E905" s="1"/>
      <c r="F905" s="1"/>
      <c r="G905" s="1"/>
      <c r="H905" s="1"/>
      <c r="I905" s="1"/>
    </row>
    <row r="906" ht="15.75" customHeight="1">
      <c r="A906" s="36"/>
      <c r="B906" s="36"/>
      <c r="C906" s="37"/>
      <c r="D906" s="1"/>
      <c r="E906" s="1"/>
      <c r="F906" s="1"/>
      <c r="G906" s="1"/>
      <c r="H906" s="1"/>
      <c r="I906" s="1"/>
    </row>
    <row r="907" ht="15.75" customHeight="1">
      <c r="A907" s="36"/>
      <c r="B907" s="36"/>
      <c r="C907" s="37"/>
      <c r="D907" s="1"/>
      <c r="E907" s="1"/>
      <c r="F907" s="1"/>
      <c r="G907" s="1"/>
      <c r="H907" s="1"/>
      <c r="I907" s="1"/>
    </row>
    <row r="908" ht="15.75" customHeight="1">
      <c r="A908" s="36"/>
      <c r="B908" s="36"/>
      <c r="C908" s="37"/>
      <c r="D908" s="1"/>
      <c r="E908" s="1"/>
      <c r="F908" s="1"/>
      <c r="G908" s="1"/>
      <c r="H908" s="1"/>
      <c r="I908" s="1"/>
    </row>
    <row r="909" ht="15.75" customHeight="1">
      <c r="A909" s="36"/>
      <c r="B909" s="36"/>
      <c r="C909" s="37"/>
      <c r="D909" s="1"/>
      <c r="E909" s="1"/>
      <c r="F909" s="1"/>
      <c r="G909" s="1"/>
      <c r="H909" s="1"/>
      <c r="I909" s="1"/>
    </row>
    <row r="910" ht="15.75" customHeight="1">
      <c r="A910" s="36"/>
      <c r="B910" s="36"/>
      <c r="C910" s="37"/>
      <c r="D910" s="1"/>
      <c r="E910" s="1"/>
      <c r="F910" s="1"/>
      <c r="G910" s="1"/>
      <c r="H910" s="1"/>
      <c r="I910" s="1"/>
    </row>
    <row r="911" ht="15.75" customHeight="1">
      <c r="A911" s="36"/>
      <c r="B911" s="36"/>
      <c r="C911" s="37"/>
      <c r="D911" s="1"/>
      <c r="E911" s="1"/>
      <c r="F911" s="1"/>
      <c r="G911" s="1"/>
      <c r="H911" s="1"/>
      <c r="I911" s="1"/>
    </row>
    <row r="912" ht="15.75" customHeight="1">
      <c r="A912" s="36"/>
      <c r="B912" s="36"/>
      <c r="C912" s="37"/>
      <c r="D912" s="1"/>
      <c r="E912" s="1"/>
      <c r="F912" s="1"/>
      <c r="G912" s="1"/>
      <c r="H912" s="1"/>
      <c r="I912" s="1"/>
    </row>
    <row r="913" ht="15.75" customHeight="1">
      <c r="A913" s="36"/>
      <c r="B913" s="36"/>
      <c r="C913" s="37"/>
      <c r="D913" s="1"/>
      <c r="E913" s="1"/>
      <c r="F913" s="1"/>
      <c r="G913" s="1"/>
      <c r="H913" s="1"/>
      <c r="I913" s="1"/>
    </row>
    <row r="914" ht="15.75" customHeight="1">
      <c r="A914" s="36"/>
      <c r="B914" s="36"/>
      <c r="C914" s="37"/>
      <c r="D914" s="1"/>
      <c r="E914" s="1"/>
      <c r="F914" s="1"/>
      <c r="G914" s="1"/>
      <c r="H914" s="1"/>
      <c r="I914" s="1"/>
    </row>
    <row r="915" ht="15.75" customHeight="1">
      <c r="A915" s="36"/>
      <c r="B915" s="36"/>
      <c r="C915" s="37"/>
      <c r="D915" s="1"/>
      <c r="E915" s="1"/>
      <c r="F915" s="1"/>
      <c r="G915" s="1"/>
      <c r="H915" s="1"/>
      <c r="I915" s="1"/>
    </row>
    <row r="916" ht="15.75" customHeight="1">
      <c r="A916" s="36"/>
      <c r="B916" s="36"/>
      <c r="C916" s="37"/>
      <c r="D916" s="1"/>
      <c r="E916" s="1"/>
      <c r="F916" s="1"/>
      <c r="G916" s="1"/>
      <c r="H916" s="1"/>
      <c r="I916" s="1"/>
    </row>
    <row r="917" ht="15.75" customHeight="1">
      <c r="A917" s="36"/>
      <c r="B917" s="36"/>
      <c r="C917" s="37"/>
      <c r="D917" s="1"/>
      <c r="E917" s="1"/>
      <c r="F917" s="1"/>
      <c r="G917" s="1"/>
      <c r="H917" s="1"/>
      <c r="I917" s="1"/>
    </row>
    <row r="918" ht="15.75" customHeight="1">
      <c r="A918" s="36"/>
      <c r="B918" s="36"/>
      <c r="C918" s="37"/>
      <c r="D918" s="1"/>
      <c r="E918" s="1"/>
      <c r="F918" s="1"/>
      <c r="G918" s="1"/>
      <c r="H918" s="1"/>
      <c r="I918" s="1"/>
    </row>
    <row r="919" ht="15.75" customHeight="1">
      <c r="A919" s="36"/>
      <c r="B919" s="36"/>
      <c r="C919" s="37"/>
      <c r="D919" s="1"/>
      <c r="E919" s="1"/>
      <c r="F919" s="1"/>
      <c r="G919" s="1"/>
      <c r="H919" s="1"/>
      <c r="I919" s="1"/>
    </row>
    <row r="920" ht="15.75" customHeight="1">
      <c r="A920" s="36"/>
      <c r="B920" s="36"/>
      <c r="C920" s="37"/>
      <c r="D920" s="1"/>
      <c r="E920" s="1"/>
      <c r="F920" s="1"/>
      <c r="G920" s="1"/>
      <c r="H920" s="1"/>
      <c r="I920" s="1"/>
    </row>
    <row r="921" ht="15.75" customHeight="1">
      <c r="A921" s="36"/>
      <c r="B921" s="36"/>
      <c r="C921" s="37"/>
      <c r="D921" s="1"/>
      <c r="E921" s="1"/>
      <c r="F921" s="1"/>
      <c r="G921" s="1"/>
      <c r="H921" s="1"/>
      <c r="I921" s="1"/>
    </row>
    <row r="922" ht="15.75" customHeight="1">
      <c r="A922" s="36"/>
      <c r="B922" s="36"/>
      <c r="C922" s="37"/>
      <c r="D922" s="1"/>
      <c r="E922" s="1"/>
      <c r="F922" s="1"/>
      <c r="G922" s="1"/>
      <c r="H922" s="1"/>
      <c r="I922" s="1"/>
    </row>
    <row r="923" ht="15.75" customHeight="1">
      <c r="A923" s="36"/>
      <c r="B923" s="36"/>
      <c r="C923" s="37"/>
      <c r="D923" s="1"/>
      <c r="E923" s="1"/>
      <c r="F923" s="1"/>
      <c r="G923" s="1"/>
      <c r="H923" s="1"/>
      <c r="I923" s="1"/>
    </row>
    <row r="924" ht="15.75" customHeight="1">
      <c r="A924" s="36"/>
      <c r="B924" s="36"/>
      <c r="C924" s="37"/>
      <c r="D924" s="1"/>
      <c r="E924" s="1"/>
      <c r="F924" s="1"/>
      <c r="G924" s="1"/>
      <c r="H924" s="1"/>
      <c r="I924" s="1"/>
    </row>
    <row r="925" ht="15.75" customHeight="1">
      <c r="A925" s="36"/>
      <c r="B925" s="36"/>
      <c r="C925" s="37"/>
      <c r="D925" s="1"/>
      <c r="E925" s="1"/>
      <c r="F925" s="1"/>
      <c r="G925" s="1"/>
      <c r="H925" s="1"/>
      <c r="I925" s="1"/>
    </row>
    <row r="926" ht="15.75" customHeight="1">
      <c r="A926" s="36"/>
      <c r="B926" s="36"/>
      <c r="C926" s="37"/>
      <c r="D926" s="1"/>
      <c r="E926" s="1"/>
      <c r="F926" s="1"/>
      <c r="G926" s="1"/>
      <c r="H926" s="1"/>
      <c r="I926" s="1"/>
    </row>
    <row r="927" ht="15.75" customHeight="1">
      <c r="A927" s="36"/>
      <c r="B927" s="36"/>
      <c r="C927" s="37"/>
      <c r="D927" s="1"/>
      <c r="E927" s="1"/>
      <c r="F927" s="1"/>
      <c r="G927" s="1"/>
      <c r="H927" s="1"/>
      <c r="I927" s="1"/>
    </row>
    <row r="928" ht="15.75" customHeight="1">
      <c r="A928" s="36"/>
      <c r="B928" s="36"/>
      <c r="C928" s="37"/>
      <c r="D928" s="1"/>
      <c r="E928" s="1"/>
      <c r="F928" s="1"/>
      <c r="G928" s="1"/>
      <c r="H928" s="1"/>
      <c r="I928" s="1"/>
    </row>
    <row r="929" ht="15.75" customHeight="1">
      <c r="A929" s="36"/>
      <c r="B929" s="36"/>
      <c r="C929" s="37"/>
      <c r="D929" s="1"/>
      <c r="E929" s="1"/>
      <c r="F929" s="1"/>
      <c r="G929" s="1"/>
      <c r="H929" s="1"/>
      <c r="I929" s="1"/>
    </row>
    <row r="930" ht="15.75" customHeight="1">
      <c r="A930" s="36"/>
      <c r="B930" s="36"/>
      <c r="C930" s="37"/>
      <c r="D930" s="1"/>
      <c r="E930" s="1"/>
      <c r="F930" s="1"/>
      <c r="G930" s="1"/>
      <c r="H930" s="1"/>
      <c r="I930" s="1"/>
    </row>
    <row r="931" ht="15.75" customHeight="1">
      <c r="A931" s="36"/>
      <c r="B931" s="36"/>
      <c r="C931" s="37"/>
      <c r="D931" s="1"/>
      <c r="E931" s="1"/>
      <c r="F931" s="1"/>
      <c r="G931" s="1"/>
      <c r="H931" s="1"/>
      <c r="I931" s="1"/>
    </row>
    <row r="932" ht="15.75" customHeight="1">
      <c r="A932" s="36"/>
      <c r="B932" s="36"/>
      <c r="C932" s="37"/>
      <c r="D932" s="1"/>
      <c r="E932" s="1"/>
      <c r="F932" s="1"/>
      <c r="G932" s="1"/>
      <c r="H932" s="1"/>
      <c r="I932" s="1"/>
    </row>
    <row r="933" ht="15.75" customHeight="1">
      <c r="A933" s="36"/>
      <c r="B933" s="36"/>
      <c r="C933" s="37"/>
      <c r="D933" s="1"/>
      <c r="E933" s="1"/>
      <c r="F933" s="1"/>
      <c r="G933" s="1"/>
      <c r="H933" s="1"/>
      <c r="I933" s="1"/>
    </row>
    <row r="934" ht="15.75" customHeight="1">
      <c r="A934" s="36"/>
      <c r="B934" s="36"/>
      <c r="C934" s="37"/>
      <c r="D934" s="1"/>
      <c r="E934" s="1"/>
      <c r="F934" s="1"/>
      <c r="G934" s="1"/>
      <c r="H934" s="1"/>
      <c r="I934" s="1"/>
    </row>
    <row r="935" ht="15.75" customHeight="1">
      <c r="A935" s="36"/>
      <c r="B935" s="36"/>
      <c r="C935" s="37"/>
      <c r="D935" s="1"/>
      <c r="E935" s="1"/>
      <c r="F935" s="1"/>
      <c r="G935" s="1"/>
      <c r="H935" s="1"/>
      <c r="I935" s="1"/>
    </row>
    <row r="936" ht="15.75" customHeight="1">
      <c r="A936" s="36"/>
      <c r="B936" s="36"/>
      <c r="C936" s="37"/>
      <c r="D936" s="1"/>
      <c r="E936" s="1"/>
      <c r="F936" s="1"/>
      <c r="G936" s="1"/>
      <c r="H936" s="1"/>
      <c r="I936" s="1"/>
    </row>
    <row r="937" ht="15.75" customHeight="1">
      <c r="A937" s="36"/>
      <c r="B937" s="36"/>
      <c r="C937" s="37"/>
      <c r="D937" s="1"/>
      <c r="E937" s="1"/>
      <c r="F937" s="1"/>
      <c r="G937" s="1"/>
      <c r="H937" s="1"/>
      <c r="I937" s="1"/>
    </row>
    <row r="938" ht="15.75" customHeight="1">
      <c r="A938" s="36"/>
      <c r="B938" s="36"/>
      <c r="C938" s="37"/>
      <c r="D938" s="1"/>
      <c r="E938" s="1"/>
      <c r="F938" s="1"/>
      <c r="G938" s="1"/>
      <c r="H938" s="1"/>
      <c r="I938" s="1"/>
    </row>
    <row r="939" ht="15.75" customHeight="1">
      <c r="A939" s="36"/>
      <c r="B939" s="36"/>
      <c r="C939" s="37"/>
      <c r="D939" s="1"/>
      <c r="E939" s="1"/>
      <c r="F939" s="1"/>
      <c r="G939" s="1"/>
      <c r="H939" s="1"/>
      <c r="I939" s="1"/>
    </row>
    <row r="940" ht="15.75" customHeight="1">
      <c r="A940" s="36"/>
      <c r="B940" s="36"/>
      <c r="C940" s="37"/>
      <c r="D940" s="1"/>
      <c r="E940" s="1"/>
      <c r="F940" s="1"/>
      <c r="G940" s="1"/>
      <c r="H940" s="1"/>
      <c r="I940" s="1"/>
    </row>
    <row r="941" ht="15.75" customHeight="1">
      <c r="A941" s="36"/>
      <c r="B941" s="36"/>
      <c r="C941" s="37"/>
      <c r="D941" s="1"/>
      <c r="E941" s="1"/>
      <c r="F941" s="1"/>
      <c r="G941" s="1"/>
      <c r="H941" s="1"/>
      <c r="I941" s="1"/>
    </row>
    <row r="942" ht="15.75" customHeight="1">
      <c r="A942" s="36"/>
      <c r="B942" s="36"/>
      <c r="C942" s="37"/>
      <c r="D942" s="1"/>
      <c r="E942" s="1"/>
      <c r="F942" s="1"/>
      <c r="G942" s="1"/>
      <c r="H942" s="1"/>
      <c r="I942" s="1"/>
    </row>
    <row r="943" ht="15.75" customHeight="1">
      <c r="A943" s="36"/>
      <c r="B943" s="36"/>
      <c r="C943" s="37"/>
      <c r="D943" s="1"/>
      <c r="E943" s="1"/>
      <c r="F943" s="1"/>
      <c r="G943" s="1"/>
      <c r="H943" s="1"/>
      <c r="I943" s="1"/>
    </row>
    <row r="944" ht="15.75" customHeight="1">
      <c r="A944" s="36"/>
      <c r="B944" s="36"/>
      <c r="C944" s="37"/>
      <c r="D944" s="1"/>
      <c r="E944" s="1"/>
      <c r="F944" s="1"/>
      <c r="G944" s="1"/>
      <c r="H944" s="1"/>
      <c r="I944" s="1"/>
    </row>
    <row r="945" ht="15.75" customHeight="1">
      <c r="A945" s="36"/>
      <c r="B945" s="36"/>
      <c r="C945" s="37"/>
      <c r="D945" s="1"/>
      <c r="E945" s="1"/>
      <c r="F945" s="1"/>
      <c r="G945" s="1"/>
      <c r="H945" s="1"/>
      <c r="I945" s="1"/>
    </row>
    <row r="946" ht="15.75" customHeight="1">
      <c r="A946" s="36"/>
      <c r="B946" s="36"/>
      <c r="C946" s="37"/>
      <c r="D946" s="1"/>
      <c r="E946" s="1"/>
      <c r="F946" s="1"/>
      <c r="G946" s="1"/>
      <c r="H946" s="1"/>
      <c r="I946" s="1"/>
    </row>
    <row r="947" ht="15.75" customHeight="1">
      <c r="A947" s="36"/>
      <c r="B947" s="36"/>
      <c r="C947" s="37"/>
      <c r="D947" s="1"/>
      <c r="E947" s="1"/>
      <c r="F947" s="1"/>
      <c r="G947" s="1"/>
      <c r="H947" s="1"/>
      <c r="I947" s="1"/>
    </row>
    <row r="948" ht="15.75" customHeight="1">
      <c r="A948" s="36"/>
      <c r="B948" s="36"/>
      <c r="C948" s="37"/>
      <c r="D948" s="1"/>
      <c r="E948" s="1"/>
      <c r="F948" s="1"/>
      <c r="G948" s="1"/>
      <c r="H948" s="1"/>
      <c r="I948" s="1"/>
    </row>
    <row r="949" ht="15.75" customHeight="1">
      <c r="A949" s="36"/>
      <c r="B949" s="36"/>
      <c r="C949" s="37"/>
      <c r="D949" s="1"/>
      <c r="E949" s="1"/>
      <c r="F949" s="1"/>
      <c r="G949" s="1"/>
      <c r="H949" s="1"/>
      <c r="I949" s="1"/>
    </row>
    <row r="950" ht="15.75" customHeight="1">
      <c r="A950" s="36"/>
      <c r="B950" s="36"/>
      <c r="C950" s="37"/>
      <c r="D950" s="1"/>
      <c r="E950" s="1"/>
      <c r="F950" s="1"/>
      <c r="G950" s="1"/>
      <c r="H950" s="1"/>
      <c r="I950" s="1"/>
    </row>
    <row r="951" ht="15.75" customHeight="1">
      <c r="A951" s="36"/>
      <c r="B951" s="36"/>
      <c r="C951" s="37"/>
      <c r="D951" s="1"/>
      <c r="E951" s="1"/>
      <c r="F951" s="1"/>
      <c r="G951" s="1"/>
      <c r="H951" s="1"/>
      <c r="I951" s="1"/>
    </row>
    <row r="952" ht="15.75" customHeight="1">
      <c r="A952" s="36"/>
      <c r="B952" s="36"/>
      <c r="C952" s="37"/>
      <c r="D952" s="1"/>
      <c r="E952" s="1"/>
      <c r="F952" s="1"/>
      <c r="G952" s="1"/>
      <c r="H952" s="1"/>
      <c r="I952" s="1"/>
    </row>
    <row r="953" ht="15.75" customHeight="1">
      <c r="A953" s="36"/>
      <c r="B953" s="36"/>
      <c r="C953" s="37"/>
      <c r="D953" s="1"/>
      <c r="E953" s="1"/>
      <c r="F953" s="1"/>
      <c r="G953" s="1"/>
      <c r="H953" s="1"/>
      <c r="I953" s="1"/>
    </row>
    <row r="954" ht="15.75" customHeight="1">
      <c r="A954" s="36"/>
      <c r="B954" s="36"/>
      <c r="C954" s="37"/>
      <c r="D954" s="1"/>
      <c r="E954" s="1"/>
      <c r="F954" s="1"/>
      <c r="G954" s="1"/>
      <c r="H954" s="1"/>
      <c r="I954" s="1"/>
    </row>
    <row r="955" ht="15.75" customHeight="1">
      <c r="A955" s="36"/>
      <c r="B955" s="36"/>
      <c r="C955" s="37"/>
      <c r="D955" s="1"/>
      <c r="E955" s="1"/>
      <c r="F955" s="1"/>
      <c r="G955" s="1"/>
      <c r="H955" s="1"/>
      <c r="I955" s="1"/>
    </row>
    <row r="956" ht="15.75" customHeight="1">
      <c r="A956" s="36"/>
      <c r="B956" s="36"/>
      <c r="C956" s="37"/>
      <c r="D956" s="1"/>
      <c r="E956" s="1"/>
      <c r="F956" s="1"/>
      <c r="G956" s="1"/>
      <c r="H956" s="1"/>
      <c r="I956" s="1"/>
    </row>
    <row r="957" ht="15.75" customHeight="1">
      <c r="A957" s="36"/>
      <c r="B957" s="36"/>
      <c r="C957" s="37"/>
      <c r="D957" s="1"/>
      <c r="E957" s="1"/>
      <c r="F957" s="1"/>
      <c r="G957" s="1"/>
      <c r="H957" s="1"/>
      <c r="I957" s="1"/>
    </row>
    <row r="958" ht="15.75" customHeight="1">
      <c r="A958" s="36"/>
      <c r="B958" s="36"/>
      <c r="C958" s="37"/>
      <c r="D958" s="1"/>
      <c r="E958" s="1"/>
      <c r="F958" s="1"/>
      <c r="G958" s="1"/>
      <c r="H958" s="1"/>
      <c r="I958" s="1"/>
    </row>
    <row r="959" ht="15.75" customHeight="1">
      <c r="A959" s="36"/>
      <c r="B959" s="36"/>
      <c r="C959" s="37"/>
      <c r="D959" s="1"/>
      <c r="E959" s="1"/>
      <c r="F959" s="1"/>
      <c r="G959" s="1"/>
      <c r="H959" s="1"/>
      <c r="I959" s="1"/>
    </row>
    <row r="960" ht="15.75" customHeight="1">
      <c r="A960" s="36"/>
      <c r="B960" s="36"/>
      <c r="C960" s="37"/>
      <c r="D960" s="1"/>
      <c r="E960" s="1"/>
      <c r="F960" s="1"/>
      <c r="G960" s="1"/>
      <c r="H960" s="1"/>
      <c r="I960" s="1"/>
    </row>
    <row r="961" ht="15.75" customHeight="1">
      <c r="A961" s="36"/>
      <c r="B961" s="36"/>
      <c r="C961" s="37"/>
      <c r="D961" s="1"/>
      <c r="E961" s="1"/>
      <c r="F961" s="1"/>
      <c r="G961" s="1"/>
      <c r="H961" s="1"/>
      <c r="I961" s="1"/>
    </row>
    <row r="962" ht="15.75" customHeight="1">
      <c r="A962" s="36"/>
      <c r="B962" s="36"/>
      <c r="C962" s="37"/>
      <c r="D962" s="1"/>
      <c r="E962" s="1"/>
      <c r="F962" s="1"/>
      <c r="G962" s="1"/>
      <c r="H962" s="1"/>
      <c r="I962" s="1"/>
    </row>
    <row r="963" ht="15.75" customHeight="1">
      <c r="A963" s="36"/>
      <c r="B963" s="36"/>
      <c r="C963" s="37"/>
      <c r="D963" s="1"/>
      <c r="E963" s="1"/>
      <c r="F963" s="1"/>
      <c r="G963" s="1"/>
      <c r="H963" s="1"/>
      <c r="I963" s="1"/>
    </row>
    <row r="964" ht="15.75" customHeight="1">
      <c r="A964" s="36"/>
      <c r="B964" s="36"/>
      <c r="C964" s="37"/>
      <c r="D964" s="1"/>
      <c r="E964" s="1"/>
      <c r="F964" s="1"/>
      <c r="G964" s="1"/>
      <c r="H964" s="1"/>
      <c r="I964" s="1"/>
    </row>
    <row r="965" ht="15.75" customHeight="1">
      <c r="A965" s="36"/>
      <c r="B965" s="36"/>
      <c r="C965" s="37"/>
      <c r="D965" s="1"/>
      <c r="E965" s="1"/>
      <c r="F965" s="1"/>
      <c r="G965" s="1"/>
      <c r="H965" s="1"/>
      <c r="I965" s="1"/>
    </row>
    <row r="966" ht="15.75" customHeight="1">
      <c r="A966" s="36"/>
      <c r="B966" s="36"/>
      <c r="C966" s="37"/>
      <c r="D966" s="1"/>
      <c r="E966" s="1"/>
      <c r="F966" s="1"/>
      <c r="G966" s="1"/>
      <c r="H966" s="1"/>
      <c r="I966" s="1"/>
    </row>
    <row r="967" ht="15.75" customHeight="1">
      <c r="A967" s="36"/>
      <c r="B967" s="36"/>
      <c r="C967" s="37"/>
      <c r="D967" s="1"/>
      <c r="E967" s="1"/>
      <c r="F967" s="1"/>
      <c r="G967" s="1"/>
      <c r="H967" s="1"/>
      <c r="I967" s="1"/>
    </row>
    <row r="968" ht="15.75" customHeight="1">
      <c r="A968" s="36"/>
      <c r="B968" s="36"/>
      <c r="C968" s="37"/>
      <c r="D968" s="1"/>
      <c r="E968" s="1"/>
      <c r="F968" s="1"/>
      <c r="G968" s="1"/>
      <c r="H968" s="1"/>
      <c r="I968" s="1"/>
    </row>
    <row r="969" ht="15.75" customHeight="1">
      <c r="A969" s="36"/>
      <c r="B969" s="36"/>
      <c r="C969" s="37"/>
      <c r="D969" s="1"/>
      <c r="E969" s="1"/>
      <c r="F969" s="1"/>
      <c r="G969" s="1"/>
      <c r="H969" s="1"/>
      <c r="I969" s="1"/>
    </row>
    <row r="970" ht="15.75" customHeight="1">
      <c r="A970" s="36"/>
      <c r="B970" s="36"/>
      <c r="C970" s="37"/>
      <c r="D970" s="1"/>
      <c r="E970" s="1"/>
      <c r="F970" s="1"/>
      <c r="G970" s="1"/>
      <c r="H970" s="1"/>
      <c r="I970" s="1"/>
    </row>
    <row r="971" ht="15.75" customHeight="1">
      <c r="A971" s="36"/>
      <c r="B971" s="36"/>
      <c r="C971" s="37"/>
      <c r="D971" s="1"/>
      <c r="E971" s="1"/>
      <c r="F971" s="1"/>
      <c r="G971" s="1"/>
      <c r="H971" s="1"/>
      <c r="I971" s="1"/>
    </row>
    <row r="972" ht="15.75" customHeight="1">
      <c r="A972" s="36"/>
      <c r="B972" s="36"/>
      <c r="C972" s="37"/>
      <c r="D972" s="1"/>
      <c r="E972" s="1"/>
      <c r="F972" s="1"/>
      <c r="G972" s="1"/>
      <c r="H972" s="1"/>
      <c r="I972" s="1"/>
    </row>
    <row r="973" ht="15.75" customHeight="1">
      <c r="A973" s="36"/>
      <c r="B973" s="36"/>
      <c r="C973" s="37"/>
      <c r="D973" s="1"/>
      <c r="E973" s="1"/>
      <c r="F973" s="1"/>
      <c r="G973" s="1"/>
      <c r="H973" s="1"/>
      <c r="I973" s="1"/>
    </row>
    <row r="974" ht="15.75" customHeight="1">
      <c r="A974" s="36"/>
      <c r="B974" s="36"/>
      <c r="C974" s="37"/>
      <c r="D974" s="1"/>
      <c r="E974" s="1"/>
      <c r="F974" s="1"/>
      <c r="G974" s="1"/>
      <c r="H974" s="1"/>
      <c r="I974" s="1"/>
    </row>
    <row r="975" ht="15.75" customHeight="1">
      <c r="A975" s="36"/>
      <c r="B975" s="36"/>
      <c r="C975" s="37"/>
      <c r="D975" s="1"/>
      <c r="E975" s="1"/>
      <c r="F975" s="1"/>
      <c r="G975" s="1"/>
      <c r="H975" s="1"/>
      <c r="I975" s="1"/>
    </row>
    <row r="976" ht="15.75" customHeight="1">
      <c r="A976" s="36"/>
      <c r="B976" s="36"/>
      <c r="C976" s="37"/>
      <c r="D976" s="1"/>
      <c r="E976" s="1"/>
      <c r="F976" s="1"/>
      <c r="G976" s="1"/>
      <c r="H976" s="1"/>
      <c r="I976" s="1"/>
    </row>
    <row r="977" ht="15.75" customHeight="1">
      <c r="A977" s="36"/>
      <c r="B977" s="36"/>
      <c r="C977" s="37"/>
      <c r="D977" s="1"/>
      <c r="E977" s="1"/>
      <c r="F977" s="1"/>
      <c r="G977" s="1"/>
      <c r="H977" s="1"/>
      <c r="I977" s="1"/>
    </row>
    <row r="978" ht="15.75" customHeight="1">
      <c r="A978" s="36"/>
      <c r="B978" s="36"/>
      <c r="C978" s="37"/>
      <c r="D978" s="1"/>
      <c r="E978" s="1"/>
      <c r="F978" s="1"/>
      <c r="G978" s="1"/>
      <c r="H978" s="1"/>
      <c r="I978" s="1"/>
    </row>
    <row r="979" ht="15.75" customHeight="1">
      <c r="A979" s="36"/>
      <c r="B979" s="36"/>
      <c r="C979" s="37"/>
      <c r="D979" s="1"/>
      <c r="E979" s="1"/>
      <c r="F979" s="1"/>
      <c r="G979" s="1"/>
      <c r="H979" s="1"/>
      <c r="I979" s="1"/>
    </row>
    <row r="980" ht="15.75" customHeight="1">
      <c r="A980" s="36"/>
      <c r="B980" s="36"/>
      <c r="C980" s="37"/>
      <c r="D980" s="1"/>
      <c r="E980" s="1"/>
      <c r="F980" s="1"/>
      <c r="G980" s="1"/>
      <c r="H980" s="1"/>
      <c r="I980" s="1"/>
    </row>
    <row r="981" ht="15.75" customHeight="1">
      <c r="A981" s="36"/>
      <c r="B981" s="36"/>
      <c r="C981" s="37"/>
      <c r="D981" s="1"/>
      <c r="E981" s="1"/>
      <c r="F981" s="1"/>
      <c r="G981" s="1"/>
      <c r="H981" s="1"/>
      <c r="I981" s="1"/>
    </row>
    <row r="982" ht="15.75" customHeight="1">
      <c r="A982" s="36"/>
      <c r="B982" s="36"/>
      <c r="C982" s="37"/>
      <c r="D982" s="1"/>
      <c r="E982" s="1"/>
      <c r="F982" s="1"/>
      <c r="G982" s="1"/>
      <c r="H982" s="1"/>
      <c r="I982" s="1"/>
    </row>
    <row r="983" ht="15.75" customHeight="1">
      <c r="A983" s="36"/>
      <c r="B983" s="36"/>
      <c r="C983" s="37"/>
      <c r="D983" s="1"/>
      <c r="E983" s="1"/>
      <c r="F983" s="1"/>
      <c r="G983" s="1"/>
      <c r="H983" s="1"/>
      <c r="I983" s="1"/>
    </row>
    <row r="984" ht="15.75" customHeight="1">
      <c r="A984" s="36"/>
      <c r="B984" s="36"/>
      <c r="C984" s="37"/>
      <c r="D984" s="1"/>
      <c r="E984" s="1"/>
      <c r="F984" s="1"/>
      <c r="G984" s="1"/>
      <c r="H984" s="1"/>
      <c r="I984" s="1"/>
    </row>
    <row r="985" ht="15.75" customHeight="1">
      <c r="A985" s="36"/>
      <c r="B985" s="36"/>
      <c r="C985" s="37"/>
      <c r="D985" s="1"/>
      <c r="E985" s="1"/>
      <c r="F985" s="1"/>
      <c r="G985" s="1"/>
      <c r="H985" s="1"/>
      <c r="I985" s="1"/>
    </row>
    <row r="986" ht="15.75" customHeight="1">
      <c r="A986" s="36"/>
      <c r="B986" s="36"/>
      <c r="C986" s="37"/>
      <c r="D986" s="1"/>
      <c r="E986" s="1"/>
      <c r="F986" s="1"/>
      <c r="G986" s="1"/>
      <c r="H986" s="1"/>
      <c r="I986" s="1"/>
    </row>
    <row r="987" ht="15.75" customHeight="1">
      <c r="A987" s="36"/>
      <c r="B987" s="36"/>
      <c r="C987" s="37"/>
      <c r="D987" s="1"/>
      <c r="E987" s="1"/>
      <c r="F987" s="1"/>
      <c r="G987" s="1"/>
      <c r="H987" s="1"/>
      <c r="I987" s="1"/>
    </row>
    <row r="988" ht="15.75" customHeight="1">
      <c r="A988" s="36"/>
      <c r="B988" s="36"/>
      <c r="C988" s="37"/>
      <c r="D988" s="1"/>
      <c r="E988" s="1"/>
      <c r="F988" s="1"/>
      <c r="G988" s="1"/>
      <c r="H988" s="1"/>
      <c r="I988" s="1"/>
    </row>
    <row r="989" ht="15.75" customHeight="1">
      <c r="A989" s="36"/>
      <c r="B989" s="36"/>
      <c r="C989" s="37"/>
      <c r="D989" s="1"/>
      <c r="E989" s="1"/>
      <c r="F989" s="1"/>
      <c r="G989" s="1"/>
      <c r="H989" s="1"/>
      <c r="I989" s="1"/>
    </row>
    <row r="990" ht="15.75" customHeight="1">
      <c r="A990" s="36"/>
      <c r="B990" s="36"/>
      <c r="C990" s="37"/>
      <c r="D990" s="1"/>
      <c r="E990" s="1"/>
      <c r="F990" s="1"/>
      <c r="G990" s="1"/>
      <c r="H990" s="1"/>
      <c r="I990" s="1"/>
    </row>
    <row r="991" ht="15.75" customHeight="1">
      <c r="A991" s="36"/>
      <c r="B991" s="36"/>
      <c r="C991" s="37"/>
      <c r="D991" s="1"/>
      <c r="E991" s="1"/>
      <c r="F991" s="1"/>
      <c r="G991" s="1"/>
      <c r="H991" s="1"/>
      <c r="I991" s="1"/>
    </row>
    <row r="992" ht="15.75" customHeight="1">
      <c r="A992" s="36"/>
      <c r="B992" s="36"/>
      <c r="C992" s="37"/>
      <c r="D992" s="1"/>
      <c r="E992" s="1"/>
      <c r="F992" s="1"/>
      <c r="G992" s="1"/>
      <c r="H992" s="1"/>
      <c r="I992" s="1"/>
    </row>
    <row r="993" ht="15.75" customHeight="1">
      <c r="A993" s="36"/>
      <c r="B993" s="36"/>
      <c r="C993" s="37"/>
      <c r="D993" s="1"/>
      <c r="E993" s="1"/>
      <c r="F993" s="1"/>
      <c r="G993" s="1"/>
      <c r="H993" s="1"/>
      <c r="I993" s="1"/>
    </row>
    <row r="994" ht="15.75" customHeight="1">
      <c r="A994" s="36"/>
      <c r="B994" s="36"/>
      <c r="C994" s="37"/>
      <c r="D994" s="1"/>
      <c r="E994" s="1"/>
      <c r="F994" s="1"/>
      <c r="G994" s="1"/>
      <c r="H994" s="1"/>
      <c r="I994" s="1"/>
    </row>
    <row r="995" ht="15.75" customHeight="1">
      <c r="A995" s="36"/>
      <c r="B995" s="36"/>
      <c r="C995" s="37"/>
      <c r="D995" s="1"/>
      <c r="E995" s="1"/>
      <c r="F995" s="1"/>
      <c r="G995" s="1"/>
      <c r="H995" s="1"/>
      <c r="I995" s="1"/>
    </row>
    <row r="996" ht="15.75" customHeight="1">
      <c r="A996" s="36"/>
      <c r="B996" s="36"/>
      <c r="C996" s="37"/>
      <c r="D996" s="1"/>
      <c r="E996" s="1"/>
      <c r="F996" s="1"/>
      <c r="G996" s="1"/>
      <c r="H996" s="1"/>
      <c r="I996" s="1"/>
    </row>
    <row r="997" ht="15.75" customHeight="1">
      <c r="A997" s="36"/>
      <c r="B997" s="36"/>
      <c r="C997" s="37"/>
      <c r="D997" s="1"/>
      <c r="E997" s="1"/>
      <c r="F997" s="1"/>
      <c r="G997" s="1"/>
      <c r="H997" s="1"/>
      <c r="I997" s="1"/>
    </row>
    <row r="998" ht="15.75" customHeight="1">
      <c r="A998" s="36"/>
      <c r="B998" s="36"/>
      <c r="C998" s="37"/>
      <c r="D998" s="1"/>
      <c r="E998" s="1"/>
      <c r="F998" s="1"/>
      <c r="G998" s="1"/>
      <c r="H998" s="1"/>
      <c r="I998" s="1"/>
    </row>
    <row r="999" ht="15.75" customHeight="1">
      <c r="A999" s="36"/>
      <c r="B999" s="36"/>
      <c r="C999" s="37"/>
      <c r="D999" s="1"/>
      <c r="E999" s="1"/>
      <c r="F999" s="1"/>
      <c r="G999" s="1"/>
      <c r="H999" s="1"/>
      <c r="I999" s="1"/>
    </row>
    <row r="1000" ht="15.75" customHeight="1">
      <c r="A1000" s="36"/>
      <c r="B1000" s="36"/>
      <c r="C1000" s="37"/>
      <c r="D1000" s="1"/>
      <c r="E1000" s="1"/>
      <c r="F1000" s="1"/>
      <c r="G1000" s="1"/>
      <c r="H1000" s="1"/>
      <c r="I1000" s="1"/>
    </row>
  </sheetData>
  <mergeCells count="7">
    <mergeCell ref="A2:I2"/>
    <mergeCell ref="A4:I4"/>
    <mergeCell ref="A5:I5"/>
    <mergeCell ref="A6:I6"/>
    <mergeCell ref="A7:I7"/>
    <mergeCell ref="A8:I8"/>
    <mergeCell ref="A63:I6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1.43"/>
    <col customWidth="1" min="3" max="3" width="19.0"/>
    <col customWidth="1" min="4" max="4" width="19.71"/>
    <col customWidth="1" min="5" max="5" width="18.14"/>
    <col customWidth="1" min="6" max="6" width="19.43"/>
    <col customWidth="1" min="7" max="7" width="11.43"/>
    <col customWidth="1" min="8" max="8" width="10.71"/>
    <col customWidth="1" min="9" max="9" width="20.71"/>
    <col customWidth="1" min="10" max="11" width="8.71"/>
    <col customWidth="1" min="12" max="26" width="8.0"/>
  </cols>
  <sheetData>
    <row r="1">
      <c r="A1" s="36"/>
      <c r="B1" s="37"/>
      <c r="C1" s="37"/>
      <c r="D1" s="1"/>
      <c r="E1" s="1"/>
      <c r="F1" s="1"/>
      <c r="G1" s="1"/>
      <c r="H1" s="1"/>
    </row>
    <row r="2" ht="15.75" customHeight="1">
      <c r="A2" s="38" t="s">
        <v>701</v>
      </c>
      <c r="B2" s="39"/>
      <c r="C2" s="39"/>
      <c r="D2" s="39"/>
      <c r="E2" s="39"/>
      <c r="F2" s="39"/>
      <c r="G2" s="39"/>
      <c r="H2" s="40"/>
      <c r="I2" s="42"/>
      <c r="J2" s="42"/>
      <c r="K2" s="42"/>
      <c r="L2" s="42"/>
      <c r="M2" s="42"/>
      <c r="N2" s="42"/>
      <c r="O2" s="42"/>
      <c r="P2" s="42"/>
      <c r="Q2" s="42"/>
      <c r="R2" s="42"/>
      <c r="S2" s="42"/>
      <c r="T2" s="42"/>
      <c r="U2" s="42"/>
      <c r="V2" s="42"/>
      <c r="W2" s="42"/>
      <c r="X2" s="42"/>
      <c r="Y2" s="42"/>
      <c r="Z2" s="42"/>
    </row>
    <row r="3">
      <c r="A3" s="186"/>
      <c r="B3" s="186"/>
      <c r="C3" s="186"/>
      <c r="D3" s="186"/>
      <c r="E3" s="186"/>
      <c r="F3" s="186"/>
      <c r="G3" s="186"/>
      <c r="H3" s="186"/>
      <c r="I3" s="42"/>
      <c r="J3" s="42"/>
      <c r="K3" s="42"/>
      <c r="L3" s="42"/>
      <c r="M3" s="42"/>
      <c r="N3" s="42"/>
      <c r="O3" s="42"/>
      <c r="P3" s="42"/>
      <c r="Q3" s="42"/>
      <c r="R3" s="42"/>
      <c r="S3" s="42"/>
      <c r="T3" s="42"/>
      <c r="U3" s="42"/>
      <c r="V3" s="42"/>
      <c r="W3" s="42"/>
      <c r="X3" s="42"/>
      <c r="Y3" s="42"/>
      <c r="Z3" s="42"/>
    </row>
    <row r="4">
      <c r="A4" s="43" t="s">
        <v>702</v>
      </c>
      <c r="B4" s="39"/>
      <c r="C4" s="39"/>
      <c r="D4" s="39"/>
      <c r="E4" s="39"/>
      <c r="F4" s="39"/>
      <c r="G4" s="39"/>
      <c r="H4" s="40"/>
      <c r="I4" s="42"/>
      <c r="J4" s="42"/>
      <c r="K4" s="42"/>
      <c r="L4" s="42"/>
      <c r="M4" s="42"/>
      <c r="N4" s="42"/>
      <c r="O4" s="42"/>
      <c r="P4" s="42"/>
      <c r="Q4" s="42"/>
      <c r="R4" s="42"/>
      <c r="S4" s="42"/>
      <c r="T4" s="42"/>
      <c r="U4" s="42"/>
      <c r="V4" s="42"/>
      <c r="W4" s="42"/>
      <c r="X4" s="42"/>
      <c r="Y4" s="42"/>
      <c r="Z4" s="42"/>
    </row>
    <row r="5">
      <c r="A5" s="43" t="s">
        <v>703</v>
      </c>
      <c r="B5" s="39"/>
      <c r="C5" s="39"/>
      <c r="D5" s="39"/>
      <c r="E5" s="39"/>
      <c r="F5" s="39"/>
      <c r="G5" s="39"/>
      <c r="H5" s="40"/>
      <c r="I5" s="42"/>
      <c r="J5" s="42"/>
      <c r="K5" s="42"/>
      <c r="L5" s="42"/>
      <c r="M5" s="42"/>
      <c r="N5" s="42"/>
      <c r="O5" s="42"/>
      <c r="P5" s="42"/>
      <c r="Q5" s="42"/>
      <c r="R5" s="42"/>
      <c r="S5" s="42"/>
      <c r="T5" s="42"/>
      <c r="U5" s="42"/>
      <c r="V5" s="42"/>
      <c r="W5" s="42"/>
      <c r="X5" s="42"/>
      <c r="Y5" s="42"/>
      <c r="Z5" s="42"/>
    </row>
    <row r="6" ht="69.0" customHeight="1">
      <c r="A6" s="43" t="s">
        <v>704</v>
      </c>
      <c r="B6" s="39"/>
      <c r="C6" s="39"/>
      <c r="D6" s="39"/>
      <c r="E6" s="39"/>
      <c r="F6" s="39"/>
      <c r="G6" s="39"/>
      <c r="H6" s="40"/>
      <c r="I6" s="42"/>
      <c r="J6" s="42"/>
      <c r="K6" s="42"/>
      <c r="L6" s="42"/>
      <c r="M6" s="42"/>
      <c r="N6" s="42"/>
      <c r="O6" s="42"/>
      <c r="P6" s="42"/>
      <c r="Q6" s="42"/>
      <c r="R6" s="42"/>
      <c r="S6" s="42"/>
      <c r="T6" s="42"/>
      <c r="U6" s="42"/>
      <c r="V6" s="42"/>
      <c r="W6" s="42"/>
      <c r="X6" s="42"/>
      <c r="Y6" s="42"/>
      <c r="Z6" s="42"/>
    </row>
    <row r="7">
      <c r="A7" s="45"/>
      <c r="B7" s="46"/>
      <c r="C7" s="46"/>
      <c r="D7" s="45"/>
      <c r="E7" s="45"/>
      <c r="F7" s="45"/>
      <c r="G7" s="45"/>
      <c r="H7" s="45"/>
      <c r="I7" s="42"/>
      <c r="J7" s="42"/>
      <c r="K7" s="42"/>
      <c r="L7" s="42"/>
      <c r="M7" s="42"/>
      <c r="N7" s="42"/>
      <c r="O7" s="42"/>
      <c r="P7" s="42"/>
      <c r="Q7" s="42"/>
      <c r="R7" s="42"/>
      <c r="S7" s="42"/>
      <c r="T7" s="42"/>
      <c r="U7" s="42"/>
      <c r="V7" s="42"/>
      <c r="W7" s="42"/>
      <c r="X7" s="42"/>
      <c r="Y7" s="42"/>
      <c r="Z7" s="42"/>
    </row>
    <row r="8" ht="51.0" customHeight="1">
      <c r="A8" s="228" t="s">
        <v>705</v>
      </c>
      <c r="B8" s="269" t="s">
        <v>104</v>
      </c>
      <c r="C8" s="109" t="s">
        <v>706</v>
      </c>
      <c r="D8" s="270" t="s">
        <v>707</v>
      </c>
      <c r="E8" s="269" t="s">
        <v>708</v>
      </c>
      <c r="F8" s="270" t="s">
        <v>709</v>
      </c>
      <c r="G8" s="228" t="s">
        <v>116</v>
      </c>
      <c r="H8" s="228" t="s">
        <v>117</v>
      </c>
      <c r="I8" s="49" t="s">
        <v>118</v>
      </c>
      <c r="J8" s="42"/>
      <c r="K8" s="42"/>
      <c r="L8" s="42"/>
      <c r="M8" s="42"/>
      <c r="N8" s="42"/>
      <c r="O8" s="42"/>
      <c r="P8" s="42"/>
      <c r="Q8" s="42"/>
      <c r="R8" s="42"/>
      <c r="S8" s="42"/>
      <c r="T8" s="42"/>
      <c r="U8" s="42"/>
      <c r="V8" s="42"/>
      <c r="W8" s="42"/>
      <c r="X8" s="42"/>
      <c r="Y8" s="42"/>
      <c r="Z8" s="42"/>
    </row>
    <row r="9" ht="140.25" customHeight="1">
      <c r="A9" s="52" t="s">
        <v>637</v>
      </c>
      <c r="B9" s="199" t="s">
        <v>38</v>
      </c>
      <c r="C9" s="60" t="s">
        <v>710</v>
      </c>
      <c r="D9" s="60" t="s">
        <v>711</v>
      </c>
      <c r="E9" s="60" t="s">
        <v>712</v>
      </c>
      <c r="F9" s="60" t="s">
        <v>713</v>
      </c>
      <c r="G9" s="61">
        <v>15.0</v>
      </c>
      <c r="H9" s="62">
        <v>15.0</v>
      </c>
      <c r="I9" s="62" t="s">
        <v>194</v>
      </c>
      <c r="J9" s="42"/>
      <c r="K9" s="42"/>
      <c r="L9" s="42"/>
      <c r="M9" s="42"/>
      <c r="N9" s="42"/>
      <c r="O9" s="42"/>
      <c r="P9" s="42"/>
      <c r="Q9" s="42"/>
      <c r="R9" s="42"/>
      <c r="S9" s="42"/>
      <c r="T9" s="42"/>
      <c r="U9" s="42"/>
      <c r="V9" s="42"/>
      <c r="W9" s="42"/>
      <c r="X9" s="42"/>
      <c r="Y9" s="42"/>
      <c r="Z9" s="42"/>
    </row>
    <row r="10" ht="89.25" customHeight="1">
      <c r="A10" s="52" t="s">
        <v>714</v>
      </c>
      <c r="B10" s="199" t="s">
        <v>38</v>
      </c>
      <c r="C10" s="60" t="s">
        <v>185</v>
      </c>
      <c r="D10" s="60" t="s">
        <v>715</v>
      </c>
      <c r="E10" s="60" t="s">
        <v>716</v>
      </c>
      <c r="F10" s="60" t="s">
        <v>717</v>
      </c>
      <c r="G10" s="61">
        <v>15.0</v>
      </c>
      <c r="H10" s="62">
        <v>7.5</v>
      </c>
      <c r="I10" s="62" t="s">
        <v>194</v>
      </c>
      <c r="J10" s="42"/>
      <c r="K10" s="42"/>
      <c r="L10" s="42"/>
      <c r="M10" s="42"/>
      <c r="N10" s="42"/>
      <c r="O10" s="42"/>
      <c r="P10" s="42"/>
      <c r="Q10" s="42"/>
      <c r="R10" s="42"/>
      <c r="S10" s="42"/>
      <c r="T10" s="42"/>
      <c r="U10" s="42"/>
      <c r="V10" s="42"/>
      <c r="W10" s="42"/>
      <c r="X10" s="42"/>
      <c r="Y10" s="42"/>
      <c r="Z10" s="42"/>
    </row>
    <row r="11" ht="114.75" customHeight="1">
      <c r="A11" s="52" t="s">
        <v>718</v>
      </c>
      <c r="B11" s="199" t="s">
        <v>38</v>
      </c>
      <c r="C11" s="60" t="s">
        <v>719</v>
      </c>
      <c r="D11" s="60" t="s">
        <v>720</v>
      </c>
      <c r="E11" s="60" t="s">
        <v>721</v>
      </c>
      <c r="F11" s="60" t="s">
        <v>717</v>
      </c>
      <c r="G11" s="61">
        <v>15.0</v>
      </c>
      <c r="H11" s="62">
        <v>3.75</v>
      </c>
      <c r="I11" s="62" t="s">
        <v>194</v>
      </c>
      <c r="J11" s="42"/>
      <c r="K11" s="42"/>
      <c r="L11" s="42"/>
      <c r="M11" s="42"/>
      <c r="N11" s="42"/>
      <c r="O11" s="42"/>
      <c r="P11" s="42"/>
      <c r="Q11" s="42"/>
      <c r="R11" s="42"/>
      <c r="S11" s="42"/>
      <c r="T11" s="42"/>
      <c r="U11" s="42"/>
      <c r="V11" s="42"/>
      <c r="W11" s="42"/>
      <c r="X11" s="42"/>
      <c r="Y11" s="42"/>
      <c r="Z11" s="42"/>
    </row>
    <row r="12" ht="127.5" customHeight="1">
      <c r="A12" s="52" t="s">
        <v>722</v>
      </c>
      <c r="B12" s="199" t="s">
        <v>38</v>
      </c>
      <c r="C12" s="60" t="s">
        <v>723</v>
      </c>
      <c r="D12" s="60" t="s">
        <v>724</v>
      </c>
      <c r="E12" s="60" t="s">
        <v>725</v>
      </c>
      <c r="F12" s="60" t="s">
        <v>726</v>
      </c>
      <c r="G12" s="61">
        <v>50.0</v>
      </c>
      <c r="H12" s="62">
        <f>G12/4</f>
        <v>12.5</v>
      </c>
      <c r="I12" s="62" t="s">
        <v>194</v>
      </c>
      <c r="J12" s="42"/>
      <c r="K12" s="42"/>
      <c r="L12" s="42"/>
      <c r="M12" s="42"/>
      <c r="N12" s="42"/>
      <c r="O12" s="42"/>
      <c r="P12" s="42"/>
      <c r="Q12" s="42"/>
      <c r="R12" s="42"/>
      <c r="S12" s="42"/>
      <c r="T12" s="42"/>
      <c r="U12" s="42"/>
      <c r="V12" s="42"/>
      <c r="W12" s="42"/>
      <c r="X12" s="42"/>
      <c r="Y12" s="42"/>
      <c r="Z12" s="42"/>
    </row>
    <row r="13" ht="127.5" customHeight="1">
      <c r="A13" s="52" t="s">
        <v>727</v>
      </c>
      <c r="B13" s="199" t="s">
        <v>38</v>
      </c>
      <c r="C13" s="60" t="s">
        <v>728</v>
      </c>
      <c r="D13" s="60" t="s">
        <v>729</v>
      </c>
      <c r="E13" s="60" t="s">
        <v>730</v>
      </c>
      <c r="F13" s="60" t="s">
        <v>726</v>
      </c>
      <c r="G13" s="61">
        <v>50.0</v>
      </c>
      <c r="H13" s="62">
        <v>16.66</v>
      </c>
      <c r="I13" s="62" t="s">
        <v>194</v>
      </c>
      <c r="J13" s="42"/>
      <c r="K13" s="42"/>
      <c r="L13" s="42"/>
      <c r="M13" s="42"/>
      <c r="N13" s="42"/>
      <c r="O13" s="42"/>
      <c r="P13" s="42"/>
      <c r="Q13" s="42"/>
      <c r="R13" s="42"/>
      <c r="S13" s="42"/>
      <c r="T13" s="42"/>
      <c r="U13" s="42"/>
      <c r="V13" s="42"/>
      <c r="W13" s="42"/>
      <c r="X13" s="42"/>
      <c r="Y13" s="42"/>
      <c r="Z13" s="42"/>
    </row>
    <row r="14" ht="140.25" customHeight="1">
      <c r="A14" s="52" t="s">
        <v>727</v>
      </c>
      <c r="B14" s="199" t="s">
        <v>38</v>
      </c>
      <c r="C14" s="60" t="s">
        <v>728</v>
      </c>
      <c r="D14" s="60" t="s">
        <v>731</v>
      </c>
      <c r="E14" s="60" t="s">
        <v>732</v>
      </c>
      <c r="F14" s="60" t="s">
        <v>733</v>
      </c>
      <c r="G14" s="61">
        <v>15.0</v>
      </c>
      <c r="H14" s="62">
        <f t="shared" ref="H14:H15" si="1">G14/3</f>
        <v>5</v>
      </c>
      <c r="I14" s="62" t="s">
        <v>194</v>
      </c>
      <c r="J14" s="42"/>
      <c r="K14" s="42"/>
      <c r="L14" s="42"/>
      <c r="M14" s="42"/>
      <c r="N14" s="42"/>
      <c r="O14" s="42"/>
      <c r="P14" s="42"/>
      <c r="Q14" s="42"/>
      <c r="R14" s="42"/>
      <c r="S14" s="42"/>
      <c r="T14" s="42"/>
      <c r="U14" s="42"/>
      <c r="V14" s="42"/>
      <c r="W14" s="42"/>
      <c r="X14" s="42"/>
      <c r="Y14" s="42"/>
      <c r="Z14" s="42"/>
    </row>
    <row r="15" ht="114.75" customHeight="1">
      <c r="A15" s="52" t="s">
        <v>727</v>
      </c>
      <c r="B15" s="199" t="s">
        <v>38</v>
      </c>
      <c r="C15" s="60" t="s">
        <v>728</v>
      </c>
      <c r="D15" s="60" t="s">
        <v>734</v>
      </c>
      <c r="E15" s="60" t="s">
        <v>735</v>
      </c>
      <c r="F15" s="60" t="s">
        <v>733</v>
      </c>
      <c r="G15" s="61">
        <v>15.0</v>
      </c>
      <c r="H15" s="62">
        <f t="shared" si="1"/>
        <v>5</v>
      </c>
      <c r="I15" s="62" t="s">
        <v>194</v>
      </c>
      <c r="J15" s="42"/>
      <c r="K15" s="42"/>
      <c r="L15" s="42"/>
      <c r="M15" s="42"/>
      <c r="N15" s="42"/>
      <c r="O15" s="42"/>
      <c r="P15" s="42"/>
      <c r="Q15" s="42"/>
      <c r="R15" s="42"/>
      <c r="S15" s="42"/>
      <c r="T15" s="42"/>
      <c r="U15" s="42"/>
      <c r="V15" s="42"/>
      <c r="W15" s="42"/>
      <c r="X15" s="42"/>
      <c r="Y15" s="42"/>
      <c r="Z15" s="42"/>
    </row>
    <row r="16" ht="153.0" customHeight="1">
      <c r="A16" s="52" t="s">
        <v>727</v>
      </c>
      <c r="B16" s="199" t="s">
        <v>38</v>
      </c>
      <c r="C16" s="60" t="s">
        <v>728</v>
      </c>
      <c r="D16" s="60" t="s">
        <v>736</v>
      </c>
      <c r="E16" s="60" t="s">
        <v>737</v>
      </c>
      <c r="F16" s="60" t="s">
        <v>738</v>
      </c>
      <c r="G16" s="61">
        <v>50.0</v>
      </c>
      <c r="H16" s="62">
        <v>16.67</v>
      </c>
      <c r="I16" s="62" t="s">
        <v>194</v>
      </c>
      <c r="J16" s="42"/>
      <c r="K16" s="42"/>
      <c r="L16" s="42"/>
      <c r="M16" s="42"/>
      <c r="N16" s="42"/>
      <c r="O16" s="42"/>
      <c r="P16" s="42"/>
      <c r="Q16" s="42"/>
      <c r="R16" s="42"/>
      <c r="S16" s="42"/>
      <c r="T16" s="42"/>
      <c r="U16" s="42"/>
      <c r="V16" s="42"/>
      <c r="W16" s="42"/>
      <c r="X16" s="42"/>
      <c r="Y16" s="42"/>
      <c r="Z16" s="42"/>
    </row>
    <row r="17" ht="165.75" customHeight="1">
      <c r="A17" s="52" t="s">
        <v>739</v>
      </c>
      <c r="B17" s="199" t="s">
        <v>38</v>
      </c>
      <c r="C17" s="60" t="s">
        <v>740</v>
      </c>
      <c r="D17" s="60" t="s">
        <v>741</v>
      </c>
      <c r="E17" s="60" t="s">
        <v>305</v>
      </c>
      <c r="F17" s="60" t="s">
        <v>738</v>
      </c>
      <c r="G17" s="61">
        <v>50.0</v>
      </c>
      <c r="H17" s="62">
        <f t="shared" ref="H17:H18" si="2">G17/2</f>
        <v>25</v>
      </c>
      <c r="I17" s="62" t="s">
        <v>194</v>
      </c>
      <c r="J17" s="42"/>
      <c r="K17" s="42"/>
      <c r="L17" s="42"/>
      <c r="M17" s="42"/>
      <c r="N17" s="42"/>
      <c r="O17" s="42"/>
      <c r="P17" s="42"/>
      <c r="Q17" s="42"/>
      <c r="R17" s="42"/>
      <c r="S17" s="42"/>
      <c r="T17" s="42"/>
      <c r="U17" s="42"/>
      <c r="V17" s="42"/>
      <c r="W17" s="42"/>
      <c r="X17" s="42"/>
      <c r="Y17" s="42"/>
      <c r="Z17" s="42"/>
    </row>
    <row r="18" ht="165.75" customHeight="1">
      <c r="A18" s="52" t="s">
        <v>739</v>
      </c>
      <c r="B18" s="199" t="s">
        <v>38</v>
      </c>
      <c r="C18" s="60" t="s">
        <v>742</v>
      </c>
      <c r="D18" s="60" t="s">
        <v>741</v>
      </c>
      <c r="E18" s="60" t="s">
        <v>305</v>
      </c>
      <c r="F18" s="60" t="s">
        <v>738</v>
      </c>
      <c r="G18" s="61">
        <v>50.0</v>
      </c>
      <c r="H18" s="62">
        <f t="shared" si="2"/>
        <v>25</v>
      </c>
      <c r="I18" s="62" t="s">
        <v>194</v>
      </c>
      <c r="J18" s="42"/>
      <c r="K18" s="42"/>
      <c r="L18" s="42"/>
      <c r="M18" s="42"/>
      <c r="N18" s="42"/>
      <c r="O18" s="42"/>
      <c r="P18" s="42"/>
      <c r="Q18" s="42"/>
      <c r="R18" s="42"/>
      <c r="S18" s="42"/>
      <c r="T18" s="42"/>
      <c r="U18" s="42"/>
      <c r="V18" s="42"/>
      <c r="W18" s="42"/>
      <c r="X18" s="42"/>
      <c r="Y18" s="42"/>
      <c r="Z18" s="42"/>
    </row>
    <row r="19" ht="178.5" customHeight="1">
      <c r="A19" s="52" t="s">
        <v>739</v>
      </c>
      <c r="B19" s="199" t="s">
        <v>38</v>
      </c>
      <c r="C19" s="60" t="s">
        <v>743</v>
      </c>
      <c r="D19" s="60" t="s">
        <v>744</v>
      </c>
      <c r="E19" s="165" t="s">
        <v>309</v>
      </c>
      <c r="F19" s="60" t="s">
        <v>745</v>
      </c>
      <c r="G19" s="61">
        <v>50.0</v>
      </c>
      <c r="H19" s="62">
        <v>25.0</v>
      </c>
      <c r="I19" s="62" t="s">
        <v>194</v>
      </c>
      <c r="J19" s="42"/>
      <c r="K19" s="42"/>
      <c r="L19" s="42"/>
      <c r="M19" s="42"/>
      <c r="N19" s="42"/>
      <c r="O19" s="42"/>
      <c r="P19" s="42"/>
      <c r="Q19" s="42"/>
      <c r="R19" s="42"/>
      <c r="S19" s="42"/>
      <c r="T19" s="42"/>
      <c r="U19" s="42"/>
      <c r="V19" s="42"/>
      <c r="W19" s="42"/>
      <c r="X19" s="42"/>
      <c r="Y19" s="42"/>
      <c r="Z19" s="42"/>
    </row>
    <row r="20" ht="191.25" customHeight="1">
      <c r="A20" s="52" t="s">
        <v>746</v>
      </c>
      <c r="B20" s="199" t="s">
        <v>38</v>
      </c>
      <c r="C20" s="135" t="s">
        <v>747</v>
      </c>
      <c r="D20" s="60" t="s">
        <v>748</v>
      </c>
      <c r="E20" s="165" t="s">
        <v>749</v>
      </c>
      <c r="F20" s="60" t="s">
        <v>750</v>
      </c>
      <c r="G20" s="61">
        <v>15.0</v>
      </c>
      <c r="H20" s="62">
        <v>7.5</v>
      </c>
      <c r="I20" s="62" t="s">
        <v>194</v>
      </c>
      <c r="J20" s="42"/>
      <c r="K20" s="42"/>
      <c r="L20" s="42"/>
      <c r="M20" s="42"/>
      <c r="N20" s="42"/>
      <c r="O20" s="42"/>
      <c r="P20" s="42"/>
      <c r="Q20" s="42"/>
      <c r="R20" s="42"/>
      <c r="S20" s="42"/>
      <c r="T20" s="42"/>
      <c r="U20" s="42"/>
      <c r="V20" s="42"/>
      <c r="W20" s="42"/>
      <c r="X20" s="42"/>
      <c r="Y20" s="42"/>
      <c r="Z20" s="42"/>
    </row>
    <row r="21" ht="114.75" customHeight="1">
      <c r="A21" s="52" t="s">
        <v>751</v>
      </c>
      <c r="B21" s="199" t="s">
        <v>38</v>
      </c>
      <c r="C21" s="60" t="s">
        <v>752</v>
      </c>
      <c r="D21" s="60" t="s">
        <v>753</v>
      </c>
      <c r="E21" s="60" t="s">
        <v>754</v>
      </c>
      <c r="F21" s="60" t="s">
        <v>733</v>
      </c>
      <c r="G21" s="61">
        <v>15.0</v>
      </c>
      <c r="H21" s="62">
        <v>1.88</v>
      </c>
      <c r="I21" s="62" t="s">
        <v>194</v>
      </c>
      <c r="J21" s="42"/>
      <c r="K21" s="42"/>
      <c r="L21" s="42"/>
      <c r="M21" s="42"/>
      <c r="N21" s="42"/>
      <c r="O21" s="42"/>
      <c r="P21" s="42"/>
      <c r="Q21" s="42"/>
      <c r="R21" s="42"/>
      <c r="S21" s="42"/>
      <c r="T21" s="42"/>
      <c r="U21" s="42"/>
      <c r="V21" s="42"/>
      <c r="W21" s="42"/>
      <c r="X21" s="42"/>
      <c r="Y21" s="42"/>
      <c r="Z21" s="42"/>
    </row>
    <row r="22" ht="153.0" customHeight="1">
      <c r="A22" s="52" t="s">
        <v>278</v>
      </c>
      <c r="B22" s="199" t="s">
        <v>755</v>
      </c>
      <c r="C22" s="60" t="s">
        <v>756</v>
      </c>
      <c r="D22" s="60" t="s">
        <v>757</v>
      </c>
      <c r="E22" s="165" t="s">
        <v>758</v>
      </c>
      <c r="F22" s="247" t="s">
        <v>759</v>
      </c>
      <c r="G22" s="61">
        <v>50.0</v>
      </c>
      <c r="H22" s="62">
        <v>50.0</v>
      </c>
      <c r="I22" s="62" t="s">
        <v>278</v>
      </c>
      <c r="J22" s="42"/>
      <c r="K22" s="42"/>
      <c r="L22" s="42"/>
      <c r="M22" s="42"/>
      <c r="N22" s="42"/>
      <c r="O22" s="42"/>
      <c r="P22" s="42"/>
      <c r="Q22" s="42"/>
      <c r="R22" s="42"/>
      <c r="S22" s="42"/>
      <c r="T22" s="42"/>
      <c r="U22" s="42"/>
      <c r="V22" s="42"/>
      <c r="W22" s="42"/>
      <c r="X22" s="42"/>
      <c r="Y22" s="42"/>
      <c r="Z22" s="42"/>
    </row>
    <row r="23" ht="216.75" customHeight="1">
      <c r="A23" s="52" t="s">
        <v>760</v>
      </c>
      <c r="B23" s="199" t="s">
        <v>755</v>
      </c>
      <c r="C23" s="60" t="s">
        <v>761</v>
      </c>
      <c r="D23" s="60" t="s">
        <v>762</v>
      </c>
      <c r="E23" s="165" t="s">
        <v>763</v>
      </c>
      <c r="F23" s="165" t="s">
        <v>745</v>
      </c>
      <c r="G23" s="61">
        <v>50.0</v>
      </c>
      <c r="H23" s="62">
        <v>7.14</v>
      </c>
      <c r="I23" s="62" t="s">
        <v>278</v>
      </c>
      <c r="J23" s="42"/>
      <c r="K23" s="42"/>
      <c r="L23" s="42"/>
      <c r="M23" s="42"/>
      <c r="N23" s="42"/>
      <c r="O23" s="42"/>
      <c r="P23" s="42"/>
      <c r="Q23" s="42"/>
      <c r="R23" s="42"/>
      <c r="S23" s="42"/>
      <c r="T23" s="42"/>
      <c r="U23" s="42"/>
      <c r="V23" s="42"/>
      <c r="W23" s="42"/>
      <c r="X23" s="42"/>
      <c r="Y23" s="42"/>
      <c r="Z23" s="42"/>
    </row>
    <row r="24" ht="135.0" customHeight="1">
      <c r="A24" s="36" t="s">
        <v>764</v>
      </c>
      <c r="B24" s="199" t="s">
        <v>755</v>
      </c>
      <c r="C24" s="60" t="s">
        <v>765</v>
      </c>
      <c r="D24" s="60" t="s">
        <v>766</v>
      </c>
      <c r="E24" s="165" t="s">
        <v>767</v>
      </c>
      <c r="F24" s="296" t="s">
        <v>768</v>
      </c>
      <c r="G24" s="297">
        <v>15.0</v>
      </c>
      <c r="H24" s="62">
        <v>3.75</v>
      </c>
      <c r="I24" s="62" t="s">
        <v>278</v>
      </c>
      <c r="J24" s="42"/>
      <c r="K24" s="42"/>
      <c r="L24" s="42"/>
      <c r="M24" s="42"/>
      <c r="N24" s="42"/>
      <c r="O24" s="42"/>
      <c r="P24" s="42"/>
      <c r="Q24" s="42"/>
      <c r="R24" s="42"/>
      <c r="S24" s="42"/>
      <c r="T24" s="42"/>
      <c r="U24" s="42"/>
      <c r="V24" s="42"/>
      <c r="W24" s="42"/>
      <c r="X24" s="42"/>
      <c r="Y24" s="42"/>
      <c r="Z24" s="42"/>
    </row>
    <row r="25" ht="135.0" customHeight="1">
      <c r="A25" s="52" t="s">
        <v>769</v>
      </c>
      <c r="B25" s="199" t="s">
        <v>755</v>
      </c>
      <c r="C25" s="60" t="s">
        <v>770</v>
      </c>
      <c r="D25" s="60" t="s">
        <v>766</v>
      </c>
      <c r="E25" s="60" t="s">
        <v>767</v>
      </c>
      <c r="F25" s="296" t="s">
        <v>768</v>
      </c>
      <c r="G25" s="297">
        <v>15.0</v>
      </c>
      <c r="H25" s="62">
        <v>7.5</v>
      </c>
      <c r="I25" s="62" t="s">
        <v>278</v>
      </c>
      <c r="J25" s="42"/>
      <c r="K25" s="42"/>
      <c r="L25" s="42"/>
      <c r="M25" s="42"/>
      <c r="N25" s="42"/>
      <c r="O25" s="42"/>
      <c r="P25" s="42"/>
      <c r="Q25" s="42"/>
      <c r="R25" s="42"/>
      <c r="S25" s="42"/>
      <c r="T25" s="42"/>
      <c r="U25" s="42"/>
      <c r="V25" s="42"/>
      <c r="W25" s="42"/>
      <c r="X25" s="42"/>
      <c r="Y25" s="42"/>
      <c r="Z25" s="42"/>
    </row>
    <row r="26" ht="114.75" customHeight="1">
      <c r="A26" s="52" t="s">
        <v>771</v>
      </c>
      <c r="B26" s="199" t="s">
        <v>755</v>
      </c>
      <c r="C26" s="60" t="s">
        <v>772</v>
      </c>
      <c r="D26" s="60" t="s">
        <v>773</v>
      </c>
      <c r="E26" s="165" t="s">
        <v>774</v>
      </c>
      <c r="F26" s="60" t="s">
        <v>775</v>
      </c>
      <c r="G26" s="61">
        <v>15.0</v>
      </c>
      <c r="H26" s="62">
        <v>2.5</v>
      </c>
      <c r="I26" s="62" t="s">
        <v>278</v>
      </c>
      <c r="J26" s="42"/>
      <c r="K26" s="42"/>
      <c r="L26" s="42"/>
      <c r="M26" s="42"/>
      <c r="N26" s="42"/>
      <c r="O26" s="42"/>
      <c r="P26" s="42"/>
      <c r="Q26" s="42"/>
      <c r="R26" s="42"/>
      <c r="S26" s="42"/>
      <c r="T26" s="42"/>
      <c r="U26" s="42"/>
      <c r="V26" s="42"/>
      <c r="W26" s="42"/>
      <c r="X26" s="42"/>
      <c r="Y26" s="42"/>
      <c r="Z26" s="42"/>
    </row>
    <row r="27" ht="212.25" customHeight="1">
      <c r="A27" s="52" t="s">
        <v>776</v>
      </c>
      <c r="B27" s="199" t="s">
        <v>755</v>
      </c>
      <c r="C27" s="60" t="s">
        <v>777</v>
      </c>
      <c r="D27" s="60" t="s">
        <v>778</v>
      </c>
      <c r="E27" s="165" t="s">
        <v>295</v>
      </c>
      <c r="F27" s="165" t="s">
        <v>779</v>
      </c>
      <c r="G27" s="61">
        <v>50.0</v>
      </c>
      <c r="H27" s="62">
        <v>25.0</v>
      </c>
      <c r="I27" s="62" t="s">
        <v>278</v>
      </c>
      <c r="J27" s="42"/>
      <c r="K27" s="42"/>
      <c r="L27" s="42"/>
      <c r="M27" s="42"/>
      <c r="N27" s="42"/>
      <c r="O27" s="42"/>
      <c r="P27" s="42"/>
      <c r="Q27" s="42"/>
      <c r="R27" s="42"/>
      <c r="S27" s="42"/>
      <c r="T27" s="42"/>
      <c r="U27" s="42"/>
      <c r="V27" s="42"/>
      <c r="W27" s="42"/>
      <c r="X27" s="42"/>
      <c r="Y27" s="42"/>
      <c r="Z27" s="42"/>
    </row>
    <row r="28" ht="255.0" customHeight="1">
      <c r="A28" s="52" t="s">
        <v>780</v>
      </c>
      <c r="B28" s="199" t="s">
        <v>755</v>
      </c>
      <c r="C28" s="126" t="s">
        <v>781</v>
      </c>
      <c r="D28" s="60" t="s">
        <v>782</v>
      </c>
      <c r="E28" s="165" t="s">
        <v>783</v>
      </c>
      <c r="F28" s="60" t="s">
        <v>784</v>
      </c>
      <c r="G28" s="61">
        <v>50.0</v>
      </c>
      <c r="H28" s="62">
        <v>10.0</v>
      </c>
      <c r="I28" s="62" t="s">
        <v>278</v>
      </c>
      <c r="J28" s="42"/>
      <c r="K28" s="42"/>
      <c r="L28" s="42"/>
      <c r="M28" s="42"/>
      <c r="N28" s="42"/>
      <c r="O28" s="42"/>
      <c r="P28" s="42"/>
      <c r="Q28" s="42"/>
      <c r="R28" s="42"/>
      <c r="S28" s="42"/>
      <c r="T28" s="42"/>
      <c r="U28" s="42"/>
      <c r="V28" s="42"/>
      <c r="W28" s="42"/>
      <c r="X28" s="42"/>
      <c r="Y28" s="42"/>
      <c r="Z28" s="42"/>
    </row>
    <row r="29" ht="178.5" customHeight="1">
      <c r="A29" s="199" t="s">
        <v>785</v>
      </c>
      <c r="B29" s="199" t="s">
        <v>38</v>
      </c>
      <c r="C29" s="199" t="s">
        <v>786</v>
      </c>
      <c r="D29" s="199" t="s">
        <v>787</v>
      </c>
      <c r="E29" s="199" t="s">
        <v>788</v>
      </c>
      <c r="F29" s="60" t="s">
        <v>789</v>
      </c>
      <c r="G29" s="61">
        <v>50.0</v>
      </c>
      <c r="H29" s="62">
        <v>16.67</v>
      </c>
      <c r="I29" s="62" t="s">
        <v>790</v>
      </c>
      <c r="J29" s="42"/>
      <c r="K29" s="42"/>
      <c r="L29" s="42"/>
      <c r="M29" s="42"/>
      <c r="N29" s="42"/>
      <c r="O29" s="42"/>
      <c r="P29" s="42"/>
      <c r="Q29" s="42"/>
      <c r="R29" s="42"/>
      <c r="S29" s="42"/>
      <c r="T29" s="42"/>
      <c r="U29" s="42"/>
      <c r="V29" s="42"/>
      <c r="W29" s="42"/>
      <c r="X29" s="42"/>
      <c r="Y29" s="42"/>
      <c r="Z29" s="42"/>
    </row>
    <row r="30" ht="140.25" customHeight="1">
      <c r="A30" s="199" t="s">
        <v>785</v>
      </c>
      <c r="B30" s="199" t="s">
        <v>38</v>
      </c>
      <c r="C30" s="199" t="s">
        <v>786</v>
      </c>
      <c r="D30" s="273" t="s">
        <v>791</v>
      </c>
      <c r="E30" s="199" t="s">
        <v>792</v>
      </c>
      <c r="F30" s="60" t="s">
        <v>793</v>
      </c>
      <c r="G30" s="61">
        <v>50.0</v>
      </c>
      <c r="H30" s="62">
        <v>16.67</v>
      </c>
      <c r="I30" s="62" t="s">
        <v>790</v>
      </c>
      <c r="J30" s="42"/>
      <c r="K30" s="42"/>
      <c r="L30" s="42"/>
      <c r="M30" s="42"/>
      <c r="N30" s="42"/>
      <c r="O30" s="42"/>
      <c r="P30" s="42"/>
      <c r="Q30" s="42"/>
      <c r="R30" s="42"/>
      <c r="S30" s="42"/>
      <c r="T30" s="42"/>
      <c r="U30" s="42"/>
      <c r="V30" s="42"/>
      <c r="W30" s="42"/>
      <c r="X30" s="42"/>
      <c r="Y30" s="42"/>
      <c r="Z30" s="42"/>
    </row>
    <row r="31" ht="216.75" customHeight="1">
      <c r="A31" s="199" t="s">
        <v>785</v>
      </c>
      <c r="B31" s="199" t="s">
        <v>38</v>
      </c>
      <c r="C31" s="199" t="s">
        <v>786</v>
      </c>
      <c r="D31" s="199" t="s">
        <v>794</v>
      </c>
      <c r="E31" s="298" t="s">
        <v>795</v>
      </c>
      <c r="F31" s="60" t="s">
        <v>796</v>
      </c>
      <c r="G31" s="61">
        <v>50.0</v>
      </c>
      <c r="H31" s="62">
        <v>16.67</v>
      </c>
      <c r="I31" s="62" t="s">
        <v>790</v>
      </c>
      <c r="J31" s="42"/>
      <c r="K31" s="42"/>
      <c r="L31" s="42"/>
      <c r="M31" s="42"/>
      <c r="N31" s="42"/>
      <c r="O31" s="42"/>
      <c r="P31" s="42"/>
      <c r="Q31" s="42"/>
      <c r="R31" s="42"/>
      <c r="S31" s="42"/>
      <c r="T31" s="42"/>
      <c r="U31" s="42"/>
      <c r="V31" s="42"/>
      <c r="W31" s="42"/>
      <c r="X31" s="42"/>
      <c r="Y31" s="42"/>
      <c r="Z31" s="42"/>
    </row>
    <row r="32" ht="153.0" customHeight="1">
      <c r="A32" s="199" t="s">
        <v>785</v>
      </c>
      <c r="B32" s="199" t="s">
        <v>38</v>
      </c>
      <c r="C32" s="199" t="s">
        <v>786</v>
      </c>
      <c r="D32" s="199" t="s">
        <v>797</v>
      </c>
      <c r="E32" s="199" t="s">
        <v>798</v>
      </c>
      <c r="F32" s="299" t="s">
        <v>799</v>
      </c>
      <c r="G32" s="300">
        <v>15.0</v>
      </c>
      <c r="H32" s="301">
        <f>G32/3</f>
        <v>5</v>
      </c>
      <c r="I32" s="62" t="s">
        <v>790</v>
      </c>
      <c r="J32" s="42"/>
      <c r="K32" s="42"/>
      <c r="L32" s="42"/>
      <c r="M32" s="42"/>
      <c r="N32" s="42"/>
      <c r="O32" s="42"/>
      <c r="P32" s="42"/>
      <c r="Q32" s="42"/>
      <c r="R32" s="42"/>
      <c r="S32" s="42"/>
      <c r="T32" s="42"/>
      <c r="U32" s="42"/>
      <c r="V32" s="42"/>
      <c r="W32" s="42"/>
      <c r="X32" s="42"/>
      <c r="Y32" s="42"/>
      <c r="Z32" s="42"/>
    </row>
    <row r="33" ht="114.75" customHeight="1">
      <c r="A33" s="199" t="s">
        <v>785</v>
      </c>
      <c r="B33" s="199" t="s">
        <v>38</v>
      </c>
      <c r="C33" s="199" t="s">
        <v>786</v>
      </c>
      <c r="D33" s="199" t="s">
        <v>800</v>
      </c>
      <c r="E33" s="199" t="s">
        <v>801</v>
      </c>
      <c r="F33" s="60" t="s">
        <v>802</v>
      </c>
      <c r="G33" s="61">
        <v>50.0</v>
      </c>
      <c r="H33" s="62">
        <v>16.67</v>
      </c>
      <c r="I33" s="62" t="s">
        <v>790</v>
      </c>
      <c r="J33" s="42"/>
      <c r="K33" s="42"/>
      <c r="L33" s="42"/>
      <c r="M33" s="42"/>
      <c r="N33" s="42"/>
      <c r="O33" s="42"/>
      <c r="P33" s="42"/>
      <c r="Q33" s="42"/>
      <c r="R33" s="42"/>
      <c r="S33" s="42"/>
      <c r="T33" s="42"/>
      <c r="U33" s="42"/>
      <c r="V33" s="42"/>
      <c r="W33" s="42"/>
      <c r="X33" s="42"/>
      <c r="Y33" s="42"/>
      <c r="Z33" s="42"/>
    </row>
    <row r="34" ht="216.75" customHeight="1">
      <c r="A34" s="199" t="s">
        <v>785</v>
      </c>
      <c r="B34" s="199" t="s">
        <v>38</v>
      </c>
      <c r="C34" s="199" t="s">
        <v>786</v>
      </c>
      <c r="D34" s="199" t="s">
        <v>803</v>
      </c>
      <c r="E34" s="302" t="s">
        <v>804</v>
      </c>
      <c r="F34" s="60" t="s">
        <v>805</v>
      </c>
      <c r="G34" s="61">
        <v>50.0</v>
      </c>
      <c r="H34" s="62">
        <v>16.67</v>
      </c>
      <c r="I34" s="62" t="s">
        <v>790</v>
      </c>
      <c r="J34" s="42"/>
      <c r="K34" s="42"/>
      <c r="L34" s="42"/>
      <c r="M34" s="42"/>
      <c r="N34" s="42"/>
      <c r="O34" s="42"/>
      <c r="P34" s="42"/>
      <c r="Q34" s="42"/>
      <c r="R34" s="42"/>
      <c r="S34" s="42"/>
      <c r="T34" s="42"/>
      <c r="U34" s="42"/>
      <c r="V34" s="42"/>
      <c r="W34" s="42"/>
      <c r="X34" s="42"/>
      <c r="Y34" s="42"/>
      <c r="Z34" s="42"/>
    </row>
    <row r="35" ht="127.5" customHeight="1">
      <c r="A35" s="199" t="s">
        <v>785</v>
      </c>
      <c r="B35" s="199" t="s">
        <v>38</v>
      </c>
      <c r="C35" s="199" t="s">
        <v>786</v>
      </c>
      <c r="D35" s="199" t="s">
        <v>806</v>
      </c>
      <c r="E35" s="199" t="s">
        <v>807</v>
      </c>
      <c r="F35" s="60" t="s">
        <v>808</v>
      </c>
      <c r="G35" s="61">
        <v>50.0</v>
      </c>
      <c r="H35" s="62">
        <v>16.67</v>
      </c>
      <c r="I35" s="62" t="s">
        <v>790</v>
      </c>
      <c r="J35" s="42"/>
      <c r="K35" s="42"/>
      <c r="L35" s="42"/>
      <c r="M35" s="42"/>
      <c r="N35" s="42"/>
      <c r="O35" s="42"/>
      <c r="P35" s="42"/>
      <c r="Q35" s="42"/>
      <c r="R35" s="42"/>
      <c r="S35" s="42"/>
      <c r="T35" s="42"/>
      <c r="U35" s="42"/>
      <c r="V35" s="42"/>
      <c r="W35" s="42"/>
      <c r="X35" s="42"/>
      <c r="Y35" s="42"/>
      <c r="Z35" s="42"/>
    </row>
    <row r="36" ht="153.0" customHeight="1">
      <c r="A36" s="199" t="s">
        <v>785</v>
      </c>
      <c r="B36" s="199" t="s">
        <v>38</v>
      </c>
      <c r="C36" s="199" t="s">
        <v>786</v>
      </c>
      <c r="D36" s="199" t="s">
        <v>809</v>
      </c>
      <c r="E36" s="199" t="s">
        <v>810</v>
      </c>
      <c r="F36" s="60" t="s">
        <v>811</v>
      </c>
      <c r="G36" s="61">
        <v>50.0</v>
      </c>
      <c r="H36" s="62">
        <v>16.67</v>
      </c>
      <c r="I36" s="62" t="s">
        <v>790</v>
      </c>
      <c r="J36" s="42"/>
      <c r="K36" s="42"/>
      <c r="L36" s="42"/>
      <c r="M36" s="42"/>
      <c r="N36" s="42"/>
      <c r="O36" s="42"/>
      <c r="P36" s="42"/>
      <c r="Q36" s="42"/>
      <c r="R36" s="42"/>
      <c r="S36" s="42"/>
      <c r="T36" s="42"/>
      <c r="U36" s="42"/>
      <c r="V36" s="42"/>
      <c r="W36" s="42"/>
      <c r="X36" s="42"/>
      <c r="Y36" s="42"/>
      <c r="Z36" s="42"/>
    </row>
    <row r="37" ht="153.0" customHeight="1">
      <c r="A37" s="199" t="s">
        <v>785</v>
      </c>
      <c r="B37" s="199" t="s">
        <v>38</v>
      </c>
      <c r="C37" s="199" t="s">
        <v>786</v>
      </c>
      <c r="D37" s="199" t="s">
        <v>812</v>
      </c>
      <c r="E37" s="199" t="s">
        <v>813</v>
      </c>
      <c r="F37" s="60" t="s">
        <v>814</v>
      </c>
      <c r="G37" s="61">
        <v>50.0</v>
      </c>
      <c r="H37" s="62">
        <v>16.67</v>
      </c>
      <c r="I37" s="62" t="s">
        <v>790</v>
      </c>
      <c r="J37" s="42"/>
      <c r="K37" s="42"/>
      <c r="L37" s="42"/>
      <c r="M37" s="42"/>
      <c r="N37" s="42"/>
      <c r="O37" s="42"/>
      <c r="P37" s="42"/>
      <c r="Q37" s="42"/>
      <c r="R37" s="42"/>
      <c r="S37" s="42"/>
      <c r="T37" s="42"/>
      <c r="U37" s="42"/>
      <c r="V37" s="42"/>
      <c r="W37" s="42"/>
      <c r="X37" s="42"/>
      <c r="Y37" s="42"/>
      <c r="Z37" s="42"/>
    </row>
    <row r="38" ht="127.5" customHeight="1">
      <c r="A38" s="199" t="s">
        <v>785</v>
      </c>
      <c r="B38" s="199" t="s">
        <v>38</v>
      </c>
      <c r="C38" s="199" t="s">
        <v>786</v>
      </c>
      <c r="D38" s="199" t="s">
        <v>815</v>
      </c>
      <c r="E38" s="199" t="s">
        <v>816</v>
      </c>
      <c r="F38" s="60" t="s">
        <v>817</v>
      </c>
      <c r="G38" s="61">
        <v>50.0</v>
      </c>
      <c r="H38" s="62">
        <v>16.67</v>
      </c>
      <c r="I38" s="62" t="s">
        <v>790</v>
      </c>
      <c r="J38" s="42"/>
      <c r="K38" s="42"/>
      <c r="L38" s="42"/>
      <c r="M38" s="42"/>
      <c r="N38" s="42"/>
      <c r="O38" s="42"/>
      <c r="P38" s="42"/>
      <c r="Q38" s="42"/>
      <c r="R38" s="42"/>
      <c r="S38" s="42"/>
      <c r="T38" s="42"/>
      <c r="U38" s="42"/>
      <c r="V38" s="42"/>
      <c r="W38" s="42"/>
      <c r="X38" s="42"/>
      <c r="Y38" s="42"/>
      <c r="Z38" s="42"/>
    </row>
    <row r="39" ht="242.25" customHeight="1">
      <c r="A39" s="199" t="s">
        <v>818</v>
      </c>
      <c r="B39" s="199" t="s">
        <v>38</v>
      </c>
      <c r="C39" s="199" t="s">
        <v>819</v>
      </c>
      <c r="D39" s="199" t="s">
        <v>820</v>
      </c>
      <c r="E39" s="298" t="s">
        <v>821</v>
      </c>
      <c r="F39" s="60" t="s">
        <v>822</v>
      </c>
      <c r="G39" s="61">
        <v>50.0</v>
      </c>
      <c r="H39" s="62">
        <v>16.67</v>
      </c>
      <c r="I39" s="62" t="s">
        <v>790</v>
      </c>
      <c r="J39" s="42"/>
      <c r="K39" s="42"/>
      <c r="L39" s="42"/>
      <c r="M39" s="42"/>
      <c r="N39" s="42"/>
      <c r="O39" s="42"/>
      <c r="P39" s="42"/>
      <c r="Q39" s="42"/>
      <c r="R39" s="42"/>
      <c r="S39" s="42"/>
      <c r="T39" s="42"/>
      <c r="U39" s="42"/>
      <c r="V39" s="42"/>
      <c r="W39" s="42"/>
      <c r="X39" s="42"/>
      <c r="Y39" s="42"/>
      <c r="Z39" s="42"/>
    </row>
    <row r="40" ht="153.0" customHeight="1">
      <c r="A40" s="199" t="s">
        <v>823</v>
      </c>
      <c r="B40" s="199" t="s">
        <v>38</v>
      </c>
      <c r="C40" s="199" t="s">
        <v>824</v>
      </c>
      <c r="D40" s="199" t="s">
        <v>825</v>
      </c>
      <c r="E40" s="298" t="s">
        <v>826</v>
      </c>
      <c r="F40" s="60" t="s">
        <v>726</v>
      </c>
      <c r="G40" s="61">
        <v>50.0</v>
      </c>
      <c r="H40" s="62">
        <f t="shared" ref="H40:H41" si="3">G40/5</f>
        <v>10</v>
      </c>
      <c r="I40" s="62" t="s">
        <v>790</v>
      </c>
      <c r="J40" s="42"/>
      <c r="K40" s="42"/>
      <c r="L40" s="42"/>
      <c r="M40" s="42"/>
      <c r="N40" s="42"/>
      <c r="O40" s="42"/>
      <c r="P40" s="42"/>
      <c r="Q40" s="42"/>
      <c r="R40" s="42"/>
      <c r="S40" s="42"/>
      <c r="T40" s="42"/>
      <c r="U40" s="42"/>
      <c r="V40" s="42"/>
      <c r="W40" s="42"/>
      <c r="X40" s="42"/>
      <c r="Y40" s="42"/>
      <c r="Z40" s="42"/>
    </row>
    <row r="41" ht="178.5" customHeight="1">
      <c r="A41" s="199" t="s">
        <v>827</v>
      </c>
      <c r="B41" s="199" t="s">
        <v>38</v>
      </c>
      <c r="C41" s="199" t="s">
        <v>828</v>
      </c>
      <c r="D41" s="199" t="s">
        <v>829</v>
      </c>
      <c r="E41" s="199" t="s">
        <v>830</v>
      </c>
      <c r="F41" s="60" t="s">
        <v>831</v>
      </c>
      <c r="G41" s="61">
        <v>50.0</v>
      </c>
      <c r="H41" s="62">
        <f t="shared" si="3"/>
        <v>10</v>
      </c>
      <c r="I41" s="62" t="s">
        <v>790</v>
      </c>
      <c r="J41" s="42"/>
      <c r="K41" s="42"/>
      <c r="L41" s="42"/>
      <c r="M41" s="42"/>
      <c r="N41" s="42"/>
      <c r="O41" s="42"/>
      <c r="P41" s="42"/>
      <c r="Q41" s="42"/>
      <c r="R41" s="42"/>
      <c r="S41" s="42"/>
      <c r="T41" s="42"/>
      <c r="U41" s="42"/>
      <c r="V41" s="42"/>
      <c r="W41" s="42"/>
      <c r="X41" s="42"/>
      <c r="Y41" s="42"/>
      <c r="Z41" s="42"/>
    </row>
    <row r="42" ht="178.5" customHeight="1">
      <c r="A42" s="199" t="s">
        <v>832</v>
      </c>
      <c r="B42" s="199" t="s">
        <v>38</v>
      </c>
      <c r="C42" s="199" t="s">
        <v>833</v>
      </c>
      <c r="D42" s="199" t="s">
        <v>829</v>
      </c>
      <c r="E42" s="298" t="s">
        <v>830</v>
      </c>
      <c r="F42" s="60" t="s">
        <v>831</v>
      </c>
      <c r="G42" s="61">
        <v>50.0</v>
      </c>
      <c r="H42" s="62">
        <f t="shared" ref="H42:H43" si="4">G42/4</f>
        <v>12.5</v>
      </c>
      <c r="I42" s="62" t="s">
        <v>790</v>
      </c>
      <c r="J42" s="42"/>
      <c r="K42" s="42"/>
      <c r="L42" s="42"/>
      <c r="M42" s="42"/>
      <c r="N42" s="42"/>
      <c r="O42" s="42"/>
      <c r="P42" s="42"/>
      <c r="Q42" s="42"/>
      <c r="R42" s="42"/>
      <c r="S42" s="42"/>
      <c r="T42" s="42"/>
      <c r="U42" s="42"/>
      <c r="V42" s="42"/>
      <c r="W42" s="42"/>
      <c r="X42" s="42"/>
      <c r="Y42" s="42"/>
      <c r="Z42" s="42"/>
    </row>
    <row r="43" ht="165.75" customHeight="1">
      <c r="A43" s="199" t="s">
        <v>834</v>
      </c>
      <c r="B43" s="199" t="s">
        <v>38</v>
      </c>
      <c r="C43" s="199" t="s">
        <v>835</v>
      </c>
      <c r="D43" s="199" t="s">
        <v>836</v>
      </c>
      <c r="E43" s="199" t="s">
        <v>813</v>
      </c>
      <c r="F43" s="60" t="s">
        <v>837</v>
      </c>
      <c r="G43" s="61">
        <v>50.0</v>
      </c>
      <c r="H43" s="62">
        <f t="shared" si="4"/>
        <v>12.5</v>
      </c>
      <c r="I43" s="62" t="s">
        <v>790</v>
      </c>
      <c r="J43" s="42"/>
      <c r="K43" s="42"/>
      <c r="L43" s="42"/>
      <c r="M43" s="42"/>
      <c r="N43" s="42"/>
      <c r="O43" s="42"/>
      <c r="P43" s="42"/>
      <c r="Q43" s="42"/>
      <c r="R43" s="42"/>
      <c r="S43" s="42"/>
      <c r="T43" s="42"/>
      <c r="U43" s="42"/>
      <c r="V43" s="42"/>
      <c r="W43" s="42"/>
      <c r="X43" s="42"/>
      <c r="Y43" s="42"/>
      <c r="Z43" s="42"/>
    </row>
    <row r="44" ht="165.75" customHeight="1">
      <c r="A44" s="303" t="s">
        <v>838</v>
      </c>
      <c r="B44" s="303" t="s">
        <v>38</v>
      </c>
      <c r="C44" s="303" t="s">
        <v>839</v>
      </c>
      <c r="D44" s="304" t="s">
        <v>840</v>
      </c>
      <c r="E44" s="305" t="s">
        <v>841</v>
      </c>
      <c r="F44" s="306" t="s">
        <v>799</v>
      </c>
      <c r="G44" s="307">
        <v>15.0</v>
      </c>
      <c r="H44" s="308">
        <v>3.0</v>
      </c>
      <c r="I44" s="62" t="s">
        <v>790</v>
      </c>
      <c r="J44" s="42"/>
      <c r="K44" s="42"/>
      <c r="L44" s="42"/>
      <c r="M44" s="42"/>
      <c r="N44" s="42"/>
      <c r="O44" s="42"/>
      <c r="P44" s="42"/>
      <c r="Q44" s="42"/>
      <c r="R44" s="42"/>
      <c r="S44" s="42"/>
      <c r="T44" s="42"/>
      <c r="U44" s="42"/>
      <c r="V44" s="42"/>
      <c r="W44" s="42"/>
      <c r="X44" s="42"/>
      <c r="Y44" s="42"/>
      <c r="Z44" s="42"/>
    </row>
    <row r="45" ht="153.0" customHeight="1">
      <c r="A45" s="199" t="s">
        <v>838</v>
      </c>
      <c r="B45" s="199" t="s">
        <v>38</v>
      </c>
      <c r="C45" s="199" t="s">
        <v>839</v>
      </c>
      <c r="D45" s="199" t="s">
        <v>842</v>
      </c>
      <c r="E45" s="309" t="s">
        <v>843</v>
      </c>
      <c r="F45" s="60" t="s">
        <v>805</v>
      </c>
      <c r="G45" s="61">
        <v>50.0</v>
      </c>
      <c r="H45" s="62">
        <v>10.0</v>
      </c>
      <c r="I45" s="62" t="s">
        <v>790</v>
      </c>
      <c r="J45" s="42"/>
      <c r="K45" s="42"/>
      <c r="L45" s="42"/>
      <c r="M45" s="42"/>
      <c r="N45" s="42"/>
      <c r="O45" s="42"/>
      <c r="P45" s="42"/>
      <c r="Q45" s="42"/>
      <c r="R45" s="42"/>
      <c r="S45" s="42"/>
      <c r="T45" s="42"/>
      <c r="U45" s="42"/>
      <c r="V45" s="42"/>
      <c r="W45" s="42"/>
      <c r="X45" s="42"/>
      <c r="Y45" s="42"/>
      <c r="Z45" s="42"/>
    </row>
    <row r="46" ht="153.75" customHeight="1">
      <c r="A46" s="199" t="s">
        <v>844</v>
      </c>
      <c r="B46" s="199" t="s">
        <v>38</v>
      </c>
      <c r="C46" s="199" t="s">
        <v>845</v>
      </c>
      <c r="D46" s="199" t="s">
        <v>846</v>
      </c>
      <c r="E46" s="310" t="s">
        <v>847</v>
      </c>
      <c r="F46" s="60" t="s">
        <v>848</v>
      </c>
      <c r="G46" s="61">
        <v>50.0</v>
      </c>
      <c r="H46" s="62">
        <v>50.0</v>
      </c>
      <c r="I46" s="62" t="s">
        <v>790</v>
      </c>
      <c r="J46" s="42"/>
      <c r="K46" s="42"/>
      <c r="L46" s="42"/>
      <c r="M46" s="42"/>
      <c r="N46" s="42"/>
      <c r="O46" s="42"/>
      <c r="P46" s="42"/>
      <c r="Q46" s="42"/>
      <c r="R46" s="42"/>
      <c r="S46" s="42"/>
      <c r="T46" s="42"/>
      <c r="U46" s="42"/>
      <c r="V46" s="42"/>
      <c r="W46" s="42"/>
      <c r="X46" s="42"/>
      <c r="Y46" s="42"/>
      <c r="Z46" s="42"/>
    </row>
    <row r="47" ht="128.25" customHeight="1">
      <c r="A47" s="311" t="s">
        <v>849</v>
      </c>
      <c r="B47" s="312" t="s">
        <v>38</v>
      </c>
      <c r="C47" s="312" t="s">
        <v>850</v>
      </c>
      <c r="D47" s="313" t="s">
        <v>851</v>
      </c>
      <c r="E47" s="312" t="s">
        <v>852</v>
      </c>
      <c r="F47" s="314" t="s">
        <v>848</v>
      </c>
      <c r="G47" s="315">
        <v>50.0</v>
      </c>
      <c r="H47" s="271">
        <v>12.5</v>
      </c>
      <c r="I47" s="62" t="s">
        <v>790</v>
      </c>
      <c r="J47" s="42"/>
      <c r="K47" s="42"/>
      <c r="L47" s="42"/>
      <c r="M47" s="42"/>
      <c r="N47" s="42"/>
      <c r="O47" s="42"/>
      <c r="P47" s="42"/>
      <c r="Q47" s="42"/>
      <c r="R47" s="42"/>
      <c r="S47" s="42"/>
      <c r="T47" s="42"/>
      <c r="U47" s="42"/>
      <c r="V47" s="42"/>
      <c r="W47" s="42"/>
      <c r="X47" s="42"/>
      <c r="Y47" s="42"/>
      <c r="Z47" s="42"/>
    </row>
    <row r="48" ht="141.0" customHeight="1">
      <c r="A48" s="316" t="s">
        <v>849</v>
      </c>
      <c r="B48" s="317" t="s">
        <v>38</v>
      </c>
      <c r="C48" s="317" t="s">
        <v>850</v>
      </c>
      <c r="D48" s="318" t="s">
        <v>853</v>
      </c>
      <c r="E48" s="317" t="s">
        <v>854</v>
      </c>
      <c r="F48" s="319" t="s">
        <v>848</v>
      </c>
      <c r="G48" s="320">
        <v>50.0</v>
      </c>
      <c r="H48" s="271">
        <v>12.5</v>
      </c>
      <c r="I48" s="62" t="s">
        <v>790</v>
      </c>
      <c r="J48" s="42"/>
      <c r="K48" s="42"/>
      <c r="L48" s="42"/>
      <c r="M48" s="42"/>
      <c r="N48" s="42"/>
      <c r="O48" s="42"/>
      <c r="P48" s="42"/>
      <c r="Q48" s="42"/>
      <c r="R48" s="42"/>
      <c r="S48" s="42"/>
      <c r="T48" s="42"/>
      <c r="U48" s="42"/>
      <c r="V48" s="42"/>
      <c r="W48" s="42"/>
      <c r="X48" s="42"/>
      <c r="Y48" s="42"/>
      <c r="Z48" s="42"/>
    </row>
    <row r="49" ht="102.75" customHeight="1">
      <c r="A49" s="311" t="s">
        <v>849</v>
      </c>
      <c r="B49" s="312" t="s">
        <v>38</v>
      </c>
      <c r="C49" s="312" t="s">
        <v>850</v>
      </c>
      <c r="D49" s="199" t="s">
        <v>855</v>
      </c>
      <c r="E49" s="199" t="s">
        <v>856</v>
      </c>
      <c r="F49" s="60" t="s">
        <v>799</v>
      </c>
      <c r="G49" s="61">
        <v>15.0</v>
      </c>
      <c r="H49" s="62">
        <v>3.75</v>
      </c>
      <c r="I49" s="62" t="s">
        <v>790</v>
      </c>
      <c r="J49" s="42"/>
      <c r="K49" s="42"/>
      <c r="L49" s="42"/>
      <c r="M49" s="42"/>
      <c r="N49" s="42"/>
      <c r="O49" s="42"/>
      <c r="P49" s="42"/>
      <c r="Q49" s="42"/>
      <c r="R49" s="42"/>
      <c r="S49" s="42"/>
      <c r="T49" s="42"/>
      <c r="U49" s="42"/>
      <c r="V49" s="42"/>
      <c r="W49" s="42"/>
      <c r="X49" s="42"/>
      <c r="Y49" s="42"/>
      <c r="Z49" s="42"/>
    </row>
    <row r="50" ht="127.5" customHeight="1">
      <c r="A50" s="199" t="s">
        <v>857</v>
      </c>
      <c r="B50" s="199" t="s">
        <v>38</v>
      </c>
      <c r="C50" s="199" t="s">
        <v>858</v>
      </c>
      <c r="D50" s="199" t="s">
        <v>859</v>
      </c>
      <c r="E50" s="199" t="s">
        <v>860</v>
      </c>
      <c r="F50" s="60" t="s">
        <v>805</v>
      </c>
      <c r="G50" s="300">
        <v>15.0</v>
      </c>
      <c r="H50" s="301">
        <v>1.67</v>
      </c>
      <c r="I50" s="62" t="s">
        <v>790</v>
      </c>
      <c r="J50" s="42"/>
      <c r="K50" s="42"/>
      <c r="L50" s="42"/>
      <c r="M50" s="42"/>
      <c r="N50" s="42"/>
      <c r="O50" s="42"/>
      <c r="P50" s="42"/>
      <c r="Q50" s="42"/>
      <c r="R50" s="42"/>
      <c r="S50" s="42"/>
      <c r="T50" s="42"/>
      <c r="U50" s="42"/>
      <c r="V50" s="42"/>
      <c r="W50" s="42"/>
      <c r="X50" s="42"/>
      <c r="Y50" s="42"/>
      <c r="Z50" s="42"/>
    </row>
    <row r="51" ht="153.0" customHeight="1">
      <c r="A51" s="199" t="s">
        <v>861</v>
      </c>
      <c r="B51" s="199" t="s">
        <v>38</v>
      </c>
      <c r="C51" s="199" t="s">
        <v>862</v>
      </c>
      <c r="D51" s="199" t="s">
        <v>863</v>
      </c>
      <c r="E51" s="309" t="s">
        <v>864</v>
      </c>
      <c r="F51" s="60" t="s">
        <v>799</v>
      </c>
      <c r="G51" s="61">
        <v>15.0</v>
      </c>
      <c r="H51" s="62">
        <v>2.1</v>
      </c>
      <c r="I51" s="62" t="s">
        <v>790</v>
      </c>
      <c r="J51" s="42"/>
      <c r="K51" s="42"/>
      <c r="L51" s="42"/>
      <c r="M51" s="42"/>
      <c r="N51" s="42"/>
      <c r="O51" s="42"/>
      <c r="P51" s="42"/>
      <c r="Q51" s="42"/>
      <c r="R51" s="42"/>
      <c r="S51" s="42"/>
      <c r="T51" s="42"/>
      <c r="U51" s="42"/>
      <c r="V51" s="42"/>
      <c r="W51" s="42"/>
      <c r="X51" s="42"/>
      <c r="Y51" s="42"/>
      <c r="Z51" s="42"/>
    </row>
    <row r="52" ht="127.5" customHeight="1">
      <c r="A52" s="199" t="s">
        <v>861</v>
      </c>
      <c r="B52" s="199" t="s">
        <v>38</v>
      </c>
      <c r="C52" s="199" t="s">
        <v>862</v>
      </c>
      <c r="D52" s="199" t="s">
        <v>865</v>
      </c>
      <c r="E52" s="309" t="s">
        <v>866</v>
      </c>
      <c r="F52" s="60" t="s">
        <v>799</v>
      </c>
      <c r="G52" s="61">
        <v>15.0</v>
      </c>
      <c r="H52" s="62">
        <v>2.1</v>
      </c>
      <c r="I52" s="62" t="s">
        <v>790</v>
      </c>
      <c r="J52" s="42"/>
      <c r="K52" s="42"/>
      <c r="L52" s="42"/>
      <c r="M52" s="42"/>
      <c r="N52" s="42"/>
      <c r="O52" s="42"/>
      <c r="P52" s="42"/>
      <c r="Q52" s="42"/>
      <c r="R52" s="42"/>
      <c r="S52" s="42"/>
      <c r="T52" s="42"/>
      <c r="U52" s="42"/>
      <c r="V52" s="42"/>
      <c r="W52" s="42"/>
      <c r="X52" s="42"/>
      <c r="Y52" s="42"/>
      <c r="Z52" s="42"/>
    </row>
    <row r="53" ht="178.5" customHeight="1">
      <c r="A53" s="199" t="s">
        <v>844</v>
      </c>
      <c r="B53" s="199" t="s">
        <v>38</v>
      </c>
      <c r="C53" s="199" t="s">
        <v>845</v>
      </c>
      <c r="D53" s="321" t="s">
        <v>867</v>
      </c>
      <c r="E53" s="322" t="s">
        <v>868</v>
      </c>
      <c r="F53" s="230" t="s">
        <v>799</v>
      </c>
      <c r="G53" s="323">
        <v>15.0</v>
      </c>
      <c r="H53" s="323">
        <v>15.0</v>
      </c>
      <c r="I53" s="62" t="s">
        <v>790</v>
      </c>
      <c r="J53" s="42"/>
      <c r="K53" s="42"/>
      <c r="L53" s="42"/>
      <c r="M53" s="42"/>
      <c r="N53" s="42"/>
      <c r="O53" s="42"/>
      <c r="P53" s="42"/>
      <c r="Q53" s="42"/>
      <c r="R53" s="42"/>
      <c r="S53" s="42"/>
      <c r="T53" s="42"/>
      <c r="U53" s="42"/>
      <c r="V53" s="42"/>
      <c r="W53" s="42"/>
      <c r="X53" s="42"/>
      <c r="Y53" s="42"/>
      <c r="Z53" s="42"/>
    </row>
    <row r="54" ht="178.5" customHeight="1">
      <c r="A54" s="199" t="s">
        <v>838</v>
      </c>
      <c r="B54" s="199" t="s">
        <v>38</v>
      </c>
      <c r="C54" s="199" t="s">
        <v>869</v>
      </c>
      <c r="D54" s="199" t="s">
        <v>870</v>
      </c>
      <c r="E54" s="309" t="s">
        <v>871</v>
      </c>
      <c r="F54" s="60" t="s">
        <v>799</v>
      </c>
      <c r="G54" s="61">
        <v>15.0</v>
      </c>
      <c r="H54" s="62">
        <v>3.0</v>
      </c>
      <c r="I54" s="62" t="s">
        <v>790</v>
      </c>
      <c r="J54" s="42"/>
      <c r="K54" s="42"/>
      <c r="L54" s="42"/>
      <c r="M54" s="42"/>
      <c r="N54" s="42"/>
      <c r="O54" s="42"/>
      <c r="P54" s="42"/>
      <c r="Q54" s="42"/>
      <c r="R54" s="42"/>
      <c r="S54" s="42"/>
      <c r="T54" s="42"/>
      <c r="U54" s="42"/>
      <c r="V54" s="42"/>
      <c r="W54" s="42"/>
      <c r="X54" s="42"/>
      <c r="Y54" s="42"/>
      <c r="Z54" s="42"/>
    </row>
    <row r="55" ht="72.0" customHeight="1">
      <c r="A55" s="52" t="s">
        <v>872</v>
      </c>
      <c r="B55" s="199" t="s">
        <v>38</v>
      </c>
      <c r="C55" s="60" t="s">
        <v>873</v>
      </c>
      <c r="D55" s="324" t="s">
        <v>874</v>
      </c>
      <c r="E55" s="325" t="s">
        <v>875</v>
      </c>
      <c r="F55" s="60" t="s">
        <v>876</v>
      </c>
      <c r="G55" s="61">
        <v>15.0</v>
      </c>
      <c r="H55" s="62">
        <v>12.5</v>
      </c>
      <c r="I55" s="62" t="s">
        <v>877</v>
      </c>
      <c r="J55" s="42"/>
      <c r="K55" s="42"/>
      <c r="L55" s="42"/>
      <c r="M55" s="42"/>
      <c r="N55" s="42"/>
      <c r="O55" s="42"/>
      <c r="P55" s="42"/>
      <c r="Q55" s="42"/>
      <c r="R55" s="42"/>
      <c r="S55" s="42"/>
      <c r="T55" s="42"/>
      <c r="U55" s="42"/>
      <c r="V55" s="42"/>
      <c r="W55" s="42"/>
      <c r="X55" s="42"/>
      <c r="Y55" s="42"/>
      <c r="Z55" s="42"/>
    </row>
    <row r="56" ht="178.5" customHeight="1">
      <c r="A56" s="97" t="s">
        <v>823</v>
      </c>
      <c r="B56" s="326" t="s">
        <v>38</v>
      </c>
      <c r="C56" s="98" t="s">
        <v>878</v>
      </c>
      <c r="D56" s="98" t="s">
        <v>879</v>
      </c>
      <c r="E56" s="165" t="s">
        <v>880</v>
      </c>
      <c r="F56" s="60" t="s">
        <v>881</v>
      </c>
      <c r="G56" s="61">
        <v>50.0</v>
      </c>
      <c r="H56" s="62">
        <v>10.0</v>
      </c>
      <c r="I56" s="62" t="s">
        <v>290</v>
      </c>
      <c r="J56" s="42"/>
      <c r="K56" s="42"/>
      <c r="L56" s="42"/>
      <c r="M56" s="42"/>
      <c r="N56" s="42"/>
      <c r="O56" s="42"/>
      <c r="P56" s="42"/>
      <c r="Q56" s="42"/>
      <c r="R56" s="42"/>
      <c r="S56" s="42"/>
      <c r="T56" s="42"/>
      <c r="U56" s="42"/>
      <c r="V56" s="42"/>
      <c r="W56" s="42"/>
      <c r="X56" s="42"/>
      <c r="Y56" s="42"/>
      <c r="Z56" s="42"/>
    </row>
    <row r="57" ht="191.25" customHeight="1">
      <c r="A57" s="97" t="s">
        <v>290</v>
      </c>
      <c r="B57" s="326" t="s">
        <v>38</v>
      </c>
      <c r="C57" s="98" t="s">
        <v>882</v>
      </c>
      <c r="D57" s="98" t="s">
        <v>883</v>
      </c>
      <c r="E57" s="165" t="s">
        <v>884</v>
      </c>
      <c r="F57" s="60" t="s">
        <v>885</v>
      </c>
      <c r="G57" s="61">
        <v>15.0</v>
      </c>
      <c r="H57" s="62">
        <v>15.0</v>
      </c>
      <c r="I57" s="62" t="s">
        <v>290</v>
      </c>
      <c r="J57" s="42"/>
      <c r="K57" s="42"/>
      <c r="L57" s="42"/>
      <c r="M57" s="42"/>
      <c r="N57" s="42"/>
      <c r="O57" s="42"/>
      <c r="P57" s="42"/>
      <c r="Q57" s="42"/>
      <c r="R57" s="42"/>
      <c r="S57" s="42"/>
      <c r="T57" s="42"/>
      <c r="U57" s="42"/>
      <c r="V57" s="42"/>
      <c r="W57" s="42"/>
      <c r="X57" s="42"/>
      <c r="Y57" s="42"/>
      <c r="Z57" s="42"/>
    </row>
    <row r="58" ht="102.0" customHeight="1">
      <c r="A58" s="97" t="s">
        <v>290</v>
      </c>
      <c r="B58" s="326" t="s">
        <v>38</v>
      </c>
      <c r="C58" s="98" t="s">
        <v>882</v>
      </c>
      <c r="D58" s="98" t="s">
        <v>886</v>
      </c>
      <c r="E58" s="165" t="s">
        <v>887</v>
      </c>
      <c r="F58" s="60" t="s">
        <v>888</v>
      </c>
      <c r="G58" s="61">
        <v>15.0</v>
      </c>
      <c r="H58" s="62">
        <v>15.0</v>
      </c>
      <c r="I58" s="62" t="s">
        <v>290</v>
      </c>
      <c r="J58" s="42"/>
      <c r="K58" s="42"/>
      <c r="L58" s="42"/>
      <c r="M58" s="42"/>
      <c r="N58" s="42"/>
      <c r="O58" s="42"/>
      <c r="P58" s="42"/>
      <c r="Q58" s="42"/>
      <c r="R58" s="42"/>
      <c r="S58" s="42"/>
      <c r="T58" s="42"/>
      <c r="U58" s="42"/>
      <c r="V58" s="42"/>
      <c r="W58" s="42"/>
      <c r="X58" s="42"/>
      <c r="Y58" s="42"/>
      <c r="Z58" s="42"/>
    </row>
    <row r="59" ht="140.25" customHeight="1">
      <c r="A59" s="97" t="s">
        <v>290</v>
      </c>
      <c r="B59" s="326" t="s">
        <v>38</v>
      </c>
      <c r="C59" s="98" t="s">
        <v>882</v>
      </c>
      <c r="D59" s="98" t="s">
        <v>889</v>
      </c>
      <c r="E59" s="165" t="s">
        <v>890</v>
      </c>
      <c r="F59" s="60" t="s">
        <v>888</v>
      </c>
      <c r="G59" s="61">
        <v>15.0</v>
      </c>
      <c r="H59" s="62">
        <v>15.0</v>
      </c>
      <c r="I59" s="62" t="s">
        <v>290</v>
      </c>
      <c r="J59" s="42"/>
      <c r="K59" s="42"/>
      <c r="L59" s="42"/>
      <c r="M59" s="42"/>
      <c r="N59" s="42"/>
      <c r="O59" s="42"/>
      <c r="P59" s="42"/>
      <c r="Q59" s="42"/>
      <c r="R59" s="42"/>
      <c r="S59" s="42"/>
      <c r="T59" s="42"/>
      <c r="U59" s="42"/>
      <c r="V59" s="42"/>
      <c r="W59" s="42"/>
      <c r="X59" s="42"/>
      <c r="Y59" s="42"/>
      <c r="Z59" s="42"/>
    </row>
    <row r="60" ht="114.75" customHeight="1">
      <c r="A60" s="97" t="s">
        <v>290</v>
      </c>
      <c r="B60" s="326" t="s">
        <v>38</v>
      </c>
      <c r="C60" s="98" t="s">
        <v>882</v>
      </c>
      <c r="D60" s="98" t="s">
        <v>891</v>
      </c>
      <c r="E60" s="165" t="s">
        <v>892</v>
      </c>
      <c r="F60" s="60" t="s">
        <v>888</v>
      </c>
      <c r="G60" s="61">
        <v>15.0</v>
      </c>
      <c r="H60" s="62">
        <v>15.0</v>
      </c>
      <c r="I60" s="62" t="s">
        <v>290</v>
      </c>
      <c r="J60" s="42"/>
      <c r="K60" s="42"/>
      <c r="L60" s="42"/>
      <c r="M60" s="42"/>
      <c r="N60" s="42"/>
      <c r="O60" s="42"/>
      <c r="P60" s="42"/>
      <c r="Q60" s="42"/>
      <c r="R60" s="42"/>
      <c r="S60" s="42"/>
      <c r="T60" s="42"/>
      <c r="U60" s="42"/>
      <c r="V60" s="42"/>
      <c r="W60" s="42"/>
      <c r="X60" s="42"/>
      <c r="Y60" s="42"/>
      <c r="Z60" s="42"/>
    </row>
    <row r="61" ht="204.0" customHeight="1">
      <c r="A61" s="97" t="s">
        <v>893</v>
      </c>
      <c r="B61" s="326" t="s">
        <v>38</v>
      </c>
      <c r="C61" s="98" t="s">
        <v>894</v>
      </c>
      <c r="D61" s="98" t="s">
        <v>895</v>
      </c>
      <c r="E61" s="165" t="s">
        <v>896</v>
      </c>
      <c r="F61" s="60" t="s">
        <v>726</v>
      </c>
      <c r="G61" s="61">
        <v>50.0</v>
      </c>
      <c r="H61" s="62">
        <v>12.5</v>
      </c>
      <c r="I61" s="62" t="s">
        <v>290</v>
      </c>
      <c r="J61" s="42"/>
      <c r="K61" s="42"/>
      <c r="L61" s="42"/>
      <c r="M61" s="42"/>
      <c r="N61" s="42"/>
      <c r="O61" s="42"/>
      <c r="P61" s="42"/>
      <c r="Q61" s="42"/>
      <c r="R61" s="42"/>
      <c r="S61" s="42"/>
      <c r="T61" s="42"/>
      <c r="U61" s="42"/>
      <c r="V61" s="42"/>
      <c r="W61" s="42"/>
      <c r="X61" s="42"/>
      <c r="Y61" s="42"/>
      <c r="Z61" s="42"/>
    </row>
    <row r="62" ht="153.0" customHeight="1">
      <c r="A62" s="97" t="s">
        <v>897</v>
      </c>
      <c r="B62" s="326" t="s">
        <v>38</v>
      </c>
      <c r="C62" s="98" t="s">
        <v>898</v>
      </c>
      <c r="D62" s="98" t="s">
        <v>899</v>
      </c>
      <c r="E62" s="165" t="s">
        <v>900</v>
      </c>
      <c r="F62" s="60" t="s">
        <v>888</v>
      </c>
      <c r="G62" s="61">
        <v>15.0</v>
      </c>
      <c r="H62" s="62">
        <v>7.5</v>
      </c>
      <c r="I62" s="62" t="s">
        <v>290</v>
      </c>
      <c r="J62" s="42"/>
      <c r="K62" s="42"/>
      <c r="L62" s="42"/>
      <c r="M62" s="42"/>
      <c r="N62" s="42"/>
      <c r="O62" s="42"/>
      <c r="P62" s="42"/>
      <c r="Q62" s="42"/>
      <c r="R62" s="42"/>
      <c r="S62" s="42"/>
      <c r="T62" s="42"/>
      <c r="U62" s="42"/>
      <c r="V62" s="42"/>
      <c r="W62" s="42"/>
      <c r="X62" s="42"/>
      <c r="Y62" s="42"/>
      <c r="Z62" s="42"/>
    </row>
    <row r="63" ht="114.75" customHeight="1">
      <c r="A63" s="97" t="s">
        <v>901</v>
      </c>
      <c r="B63" s="326" t="s">
        <v>38</v>
      </c>
      <c r="C63" s="98" t="s">
        <v>902</v>
      </c>
      <c r="D63" s="98" t="s">
        <v>899</v>
      </c>
      <c r="E63" s="165" t="s">
        <v>900</v>
      </c>
      <c r="F63" s="60" t="s">
        <v>888</v>
      </c>
      <c r="G63" s="61">
        <v>15.0</v>
      </c>
      <c r="H63" s="62">
        <v>5.0</v>
      </c>
      <c r="I63" s="62" t="s">
        <v>290</v>
      </c>
      <c r="J63" s="42"/>
      <c r="K63" s="42"/>
      <c r="L63" s="42"/>
      <c r="M63" s="42"/>
      <c r="N63" s="42"/>
      <c r="O63" s="42"/>
      <c r="P63" s="42"/>
      <c r="Q63" s="42"/>
      <c r="R63" s="42"/>
      <c r="S63" s="42"/>
      <c r="T63" s="42"/>
      <c r="U63" s="42"/>
      <c r="V63" s="42"/>
      <c r="W63" s="42"/>
      <c r="X63" s="42"/>
      <c r="Y63" s="42"/>
      <c r="Z63" s="42"/>
    </row>
    <row r="64" ht="229.5" customHeight="1">
      <c r="A64" s="97" t="s">
        <v>903</v>
      </c>
      <c r="B64" s="326" t="s">
        <v>38</v>
      </c>
      <c r="C64" s="98" t="s">
        <v>904</v>
      </c>
      <c r="D64" s="98" t="s">
        <v>905</v>
      </c>
      <c r="E64" s="165" t="s">
        <v>906</v>
      </c>
      <c r="F64" s="60" t="s">
        <v>726</v>
      </c>
      <c r="G64" s="61">
        <v>50.0</v>
      </c>
      <c r="H64" s="62">
        <v>7.14</v>
      </c>
      <c r="I64" s="62" t="s">
        <v>290</v>
      </c>
      <c r="J64" s="42"/>
      <c r="K64" s="42"/>
      <c r="L64" s="42"/>
      <c r="M64" s="42"/>
      <c r="N64" s="42"/>
      <c r="O64" s="42"/>
      <c r="P64" s="42"/>
      <c r="Q64" s="42"/>
      <c r="R64" s="42"/>
      <c r="S64" s="42"/>
      <c r="T64" s="42"/>
      <c r="U64" s="42"/>
      <c r="V64" s="42"/>
      <c r="W64" s="42"/>
      <c r="X64" s="42"/>
      <c r="Y64" s="42"/>
      <c r="Z64" s="42"/>
    </row>
    <row r="65" ht="191.25" customHeight="1">
      <c r="A65" s="97" t="s">
        <v>290</v>
      </c>
      <c r="B65" s="326" t="s">
        <v>38</v>
      </c>
      <c r="C65" s="98" t="s">
        <v>907</v>
      </c>
      <c r="D65" s="98" t="s">
        <v>908</v>
      </c>
      <c r="E65" s="165" t="s">
        <v>909</v>
      </c>
      <c r="F65" s="60" t="s">
        <v>726</v>
      </c>
      <c r="G65" s="61">
        <v>50.0</v>
      </c>
      <c r="H65" s="62">
        <v>50.0</v>
      </c>
      <c r="I65" s="62" t="s">
        <v>290</v>
      </c>
      <c r="J65" s="42"/>
      <c r="K65" s="42"/>
      <c r="L65" s="42"/>
      <c r="M65" s="42"/>
      <c r="N65" s="42"/>
      <c r="O65" s="42"/>
      <c r="P65" s="42"/>
      <c r="Q65" s="42"/>
      <c r="R65" s="42"/>
      <c r="S65" s="42"/>
      <c r="T65" s="42"/>
      <c r="U65" s="42"/>
      <c r="V65" s="42"/>
      <c r="W65" s="42"/>
      <c r="X65" s="42"/>
      <c r="Y65" s="42"/>
      <c r="Z65" s="42"/>
    </row>
    <row r="66" ht="127.5" customHeight="1">
      <c r="A66" s="327" t="s">
        <v>910</v>
      </c>
      <c r="B66" s="191" t="s">
        <v>38</v>
      </c>
      <c r="C66" s="191" t="s">
        <v>911</v>
      </c>
      <c r="D66" s="191" t="s">
        <v>912</v>
      </c>
      <c r="E66" s="233" t="s">
        <v>913</v>
      </c>
      <c r="F66" s="191" t="s">
        <v>914</v>
      </c>
      <c r="G66" s="328">
        <v>15.0</v>
      </c>
      <c r="H66" s="329">
        <f t="shared" ref="H66:H67" si="5">G66/3</f>
        <v>5</v>
      </c>
      <c r="I66" s="62" t="s">
        <v>470</v>
      </c>
      <c r="J66" s="42"/>
      <c r="K66" s="42"/>
      <c r="L66" s="42"/>
      <c r="M66" s="42"/>
      <c r="N66" s="42"/>
      <c r="O66" s="42"/>
      <c r="P66" s="42"/>
      <c r="Q66" s="42"/>
      <c r="R66" s="42"/>
      <c r="S66" s="42"/>
      <c r="T66" s="42"/>
      <c r="U66" s="42"/>
      <c r="V66" s="42"/>
      <c r="W66" s="42"/>
      <c r="X66" s="42"/>
      <c r="Y66" s="42"/>
      <c r="Z66" s="42"/>
    </row>
    <row r="67" ht="102.0" customHeight="1">
      <c r="A67" s="327" t="s">
        <v>910</v>
      </c>
      <c r="B67" s="191" t="s">
        <v>38</v>
      </c>
      <c r="C67" s="191" t="s">
        <v>911</v>
      </c>
      <c r="D67" s="191" t="s">
        <v>915</v>
      </c>
      <c r="E67" s="233" t="s">
        <v>916</v>
      </c>
      <c r="F67" s="191" t="s">
        <v>914</v>
      </c>
      <c r="G67" s="328">
        <v>15.0</v>
      </c>
      <c r="H67" s="329">
        <f t="shared" si="5"/>
        <v>5</v>
      </c>
      <c r="I67" s="62" t="s">
        <v>470</v>
      </c>
      <c r="J67" s="42"/>
      <c r="K67" s="42"/>
      <c r="L67" s="42"/>
      <c r="M67" s="42"/>
      <c r="N67" s="42"/>
      <c r="O67" s="42"/>
      <c r="P67" s="42"/>
      <c r="Q67" s="42"/>
      <c r="R67" s="42"/>
      <c r="S67" s="42"/>
      <c r="T67" s="42"/>
      <c r="U67" s="42"/>
      <c r="V67" s="42"/>
      <c r="W67" s="42"/>
      <c r="X67" s="42"/>
      <c r="Y67" s="42"/>
      <c r="Z67" s="42"/>
    </row>
    <row r="68" ht="114.75" customHeight="1">
      <c r="A68" s="191" t="s">
        <v>917</v>
      </c>
      <c r="B68" s="191" t="s">
        <v>38</v>
      </c>
      <c r="C68" s="191" t="s">
        <v>918</v>
      </c>
      <c r="D68" s="191" t="s">
        <v>919</v>
      </c>
      <c r="E68" s="233" t="s">
        <v>920</v>
      </c>
      <c r="F68" s="191" t="s">
        <v>799</v>
      </c>
      <c r="G68" s="328">
        <v>15.0</v>
      </c>
      <c r="H68" s="329">
        <v>3.75</v>
      </c>
      <c r="I68" s="62" t="s">
        <v>470</v>
      </c>
      <c r="J68" s="42"/>
      <c r="K68" s="42"/>
      <c r="L68" s="42"/>
      <c r="M68" s="42"/>
      <c r="N68" s="42"/>
      <c r="O68" s="42"/>
      <c r="P68" s="42"/>
      <c r="Q68" s="42"/>
      <c r="R68" s="42"/>
      <c r="S68" s="42"/>
      <c r="T68" s="42"/>
      <c r="U68" s="42"/>
      <c r="V68" s="42"/>
      <c r="W68" s="42"/>
      <c r="X68" s="42"/>
      <c r="Y68" s="42"/>
      <c r="Z68" s="42"/>
    </row>
    <row r="69" ht="165.75" customHeight="1">
      <c r="A69" s="191" t="s">
        <v>921</v>
      </c>
      <c r="B69" s="191" t="s">
        <v>38</v>
      </c>
      <c r="C69" s="191" t="s">
        <v>911</v>
      </c>
      <c r="D69" s="191" t="s">
        <v>922</v>
      </c>
      <c r="E69" s="233" t="s">
        <v>923</v>
      </c>
      <c r="F69" s="191" t="s">
        <v>924</v>
      </c>
      <c r="G69" s="328">
        <v>15.0</v>
      </c>
      <c r="H69" s="329">
        <v>5.0</v>
      </c>
      <c r="I69" s="62" t="s">
        <v>470</v>
      </c>
      <c r="J69" s="42"/>
      <c r="K69" s="42"/>
      <c r="L69" s="42"/>
      <c r="M69" s="42"/>
      <c r="N69" s="42"/>
      <c r="O69" s="42"/>
      <c r="P69" s="42"/>
      <c r="Q69" s="42"/>
      <c r="R69" s="42"/>
      <c r="S69" s="42"/>
      <c r="T69" s="42"/>
      <c r="U69" s="42"/>
      <c r="V69" s="42"/>
      <c r="W69" s="42"/>
      <c r="X69" s="42"/>
      <c r="Y69" s="42"/>
      <c r="Z69" s="42"/>
    </row>
    <row r="70" ht="210.0" customHeight="1">
      <c r="A70" s="327" t="s">
        <v>910</v>
      </c>
      <c r="B70" s="191" t="s">
        <v>38</v>
      </c>
      <c r="C70" s="191" t="s">
        <v>911</v>
      </c>
      <c r="D70" s="245" t="s">
        <v>925</v>
      </c>
      <c r="E70" s="233" t="s">
        <v>926</v>
      </c>
      <c r="F70" s="191" t="s">
        <v>914</v>
      </c>
      <c r="G70" s="328">
        <v>15.0</v>
      </c>
      <c r="H70" s="329">
        <f>G70/3</f>
        <v>5</v>
      </c>
      <c r="I70" s="62" t="s">
        <v>470</v>
      </c>
      <c r="J70" s="42"/>
      <c r="K70" s="42"/>
      <c r="L70" s="42"/>
      <c r="M70" s="42"/>
      <c r="N70" s="42"/>
      <c r="O70" s="42"/>
      <c r="P70" s="42"/>
      <c r="Q70" s="42"/>
      <c r="R70" s="42"/>
      <c r="S70" s="42"/>
      <c r="T70" s="42"/>
      <c r="U70" s="42"/>
      <c r="V70" s="42"/>
      <c r="W70" s="42"/>
      <c r="X70" s="42"/>
      <c r="Y70" s="42"/>
      <c r="Z70" s="42"/>
    </row>
    <row r="71" ht="204.0" customHeight="1">
      <c r="A71" s="191" t="s">
        <v>927</v>
      </c>
      <c r="B71" s="191" t="s">
        <v>38</v>
      </c>
      <c r="C71" s="191" t="s">
        <v>928</v>
      </c>
      <c r="D71" s="191" t="s">
        <v>929</v>
      </c>
      <c r="E71" s="233" t="s">
        <v>930</v>
      </c>
      <c r="F71" s="191" t="s">
        <v>726</v>
      </c>
      <c r="G71" s="328">
        <v>50.0</v>
      </c>
      <c r="H71" s="329">
        <v>50.0</v>
      </c>
      <c r="I71" s="62" t="s">
        <v>470</v>
      </c>
      <c r="J71" s="42"/>
      <c r="K71" s="42"/>
      <c r="L71" s="42"/>
      <c r="M71" s="42"/>
      <c r="N71" s="42"/>
      <c r="O71" s="42"/>
      <c r="P71" s="42"/>
      <c r="Q71" s="42"/>
      <c r="R71" s="42"/>
      <c r="S71" s="42"/>
      <c r="T71" s="42"/>
      <c r="U71" s="42"/>
      <c r="V71" s="42"/>
      <c r="W71" s="42"/>
      <c r="X71" s="42"/>
      <c r="Y71" s="42"/>
      <c r="Z71" s="42"/>
    </row>
    <row r="72" ht="178.5" customHeight="1">
      <c r="A72" s="97" t="s">
        <v>823</v>
      </c>
      <c r="B72" s="326" t="s">
        <v>38</v>
      </c>
      <c r="C72" s="98" t="s">
        <v>878</v>
      </c>
      <c r="D72" s="98" t="s">
        <v>879</v>
      </c>
      <c r="E72" s="165" t="s">
        <v>880</v>
      </c>
      <c r="F72" s="60" t="s">
        <v>881</v>
      </c>
      <c r="G72" s="61">
        <v>50.0</v>
      </c>
      <c r="H72" s="62">
        <v>10.0</v>
      </c>
      <c r="I72" s="62" t="s">
        <v>307</v>
      </c>
      <c r="J72" s="42"/>
      <c r="K72" s="42"/>
      <c r="L72" s="42"/>
      <c r="M72" s="42"/>
      <c r="N72" s="42"/>
      <c r="O72" s="42"/>
      <c r="P72" s="42"/>
      <c r="Q72" s="42"/>
      <c r="R72" s="42"/>
      <c r="S72" s="42"/>
      <c r="T72" s="42"/>
      <c r="U72" s="42"/>
      <c r="V72" s="42"/>
      <c r="W72" s="42"/>
      <c r="X72" s="42"/>
      <c r="Y72" s="42"/>
      <c r="Z72" s="42"/>
    </row>
    <row r="73" ht="216.75" customHeight="1">
      <c r="A73" s="52" t="s">
        <v>931</v>
      </c>
      <c r="B73" s="199" t="s">
        <v>38</v>
      </c>
      <c r="C73" s="60" t="s">
        <v>932</v>
      </c>
      <c r="D73" s="60" t="s">
        <v>933</v>
      </c>
      <c r="E73" s="165" t="s">
        <v>934</v>
      </c>
      <c r="F73" s="60" t="s">
        <v>888</v>
      </c>
      <c r="G73" s="61">
        <v>15.0</v>
      </c>
      <c r="H73" s="62">
        <v>3.75</v>
      </c>
      <c r="I73" s="62" t="s">
        <v>307</v>
      </c>
      <c r="J73" s="42"/>
      <c r="K73" s="42"/>
      <c r="L73" s="42"/>
      <c r="M73" s="42"/>
      <c r="N73" s="42"/>
      <c r="O73" s="42"/>
      <c r="P73" s="42"/>
      <c r="Q73" s="42"/>
      <c r="R73" s="42"/>
      <c r="S73" s="42"/>
      <c r="T73" s="42"/>
      <c r="U73" s="42"/>
      <c r="V73" s="42"/>
      <c r="W73" s="42"/>
      <c r="X73" s="42"/>
      <c r="Y73" s="42"/>
      <c r="Z73" s="42"/>
    </row>
    <row r="74" ht="165.75" customHeight="1">
      <c r="A74" s="52" t="s">
        <v>935</v>
      </c>
      <c r="B74" s="199" t="s">
        <v>38</v>
      </c>
      <c r="C74" s="60" t="s">
        <v>936</v>
      </c>
      <c r="D74" s="60" t="s">
        <v>937</v>
      </c>
      <c r="E74" s="165" t="s">
        <v>938</v>
      </c>
      <c r="F74" s="60" t="s">
        <v>939</v>
      </c>
      <c r="G74" s="61">
        <v>15.0</v>
      </c>
      <c r="H74" s="62">
        <v>1.88</v>
      </c>
      <c r="I74" s="62" t="s">
        <v>307</v>
      </c>
      <c r="J74" s="42"/>
      <c r="K74" s="42"/>
      <c r="L74" s="42"/>
      <c r="M74" s="42"/>
      <c r="N74" s="42"/>
      <c r="O74" s="42"/>
      <c r="P74" s="42"/>
      <c r="Q74" s="42"/>
      <c r="R74" s="42"/>
      <c r="S74" s="42"/>
      <c r="T74" s="42"/>
      <c r="U74" s="42"/>
      <c r="V74" s="42"/>
      <c r="W74" s="42"/>
      <c r="X74" s="42"/>
      <c r="Y74" s="42"/>
      <c r="Z74" s="42"/>
    </row>
    <row r="75" ht="114.75" customHeight="1">
      <c r="A75" s="97" t="s">
        <v>303</v>
      </c>
      <c r="B75" s="326" t="s">
        <v>38</v>
      </c>
      <c r="C75" s="98" t="s">
        <v>940</v>
      </c>
      <c r="D75" s="98" t="s">
        <v>941</v>
      </c>
      <c r="E75" s="165" t="s">
        <v>942</v>
      </c>
      <c r="F75" s="60" t="s">
        <v>943</v>
      </c>
      <c r="G75" s="61">
        <v>15.0</v>
      </c>
      <c r="H75" s="62">
        <v>15.0</v>
      </c>
      <c r="I75" s="62" t="s">
        <v>307</v>
      </c>
      <c r="J75" s="42"/>
      <c r="K75" s="42"/>
      <c r="L75" s="42"/>
      <c r="M75" s="42"/>
      <c r="N75" s="42"/>
      <c r="O75" s="42"/>
      <c r="P75" s="42"/>
      <c r="Q75" s="42"/>
      <c r="R75" s="42"/>
      <c r="S75" s="42"/>
      <c r="T75" s="42"/>
      <c r="U75" s="42"/>
      <c r="V75" s="42"/>
      <c r="W75" s="42"/>
      <c r="X75" s="42"/>
      <c r="Y75" s="42"/>
      <c r="Z75" s="42"/>
    </row>
    <row r="76" ht="178.5" customHeight="1">
      <c r="A76" s="97" t="s">
        <v>303</v>
      </c>
      <c r="B76" s="326" t="s">
        <v>38</v>
      </c>
      <c r="C76" s="98" t="s">
        <v>940</v>
      </c>
      <c r="D76" s="98" t="s">
        <v>944</v>
      </c>
      <c r="E76" s="165" t="s">
        <v>945</v>
      </c>
      <c r="F76" s="60" t="s">
        <v>726</v>
      </c>
      <c r="G76" s="61">
        <v>50.0</v>
      </c>
      <c r="H76" s="62">
        <v>50.0</v>
      </c>
      <c r="I76" s="62" t="s">
        <v>307</v>
      </c>
      <c r="J76" s="42"/>
      <c r="K76" s="42"/>
      <c r="L76" s="42"/>
      <c r="M76" s="42"/>
      <c r="N76" s="42"/>
      <c r="O76" s="42"/>
      <c r="P76" s="42"/>
      <c r="Q76" s="42"/>
      <c r="R76" s="42"/>
      <c r="S76" s="42"/>
      <c r="T76" s="42"/>
      <c r="U76" s="42"/>
      <c r="V76" s="42"/>
      <c r="W76" s="42"/>
      <c r="X76" s="42"/>
      <c r="Y76" s="42"/>
      <c r="Z76" s="42"/>
    </row>
    <row r="77" ht="255.0" customHeight="1">
      <c r="A77" s="97" t="s">
        <v>946</v>
      </c>
      <c r="B77" s="326" t="s">
        <v>38</v>
      </c>
      <c r="C77" s="98" t="s">
        <v>781</v>
      </c>
      <c r="D77" s="98" t="s">
        <v>782</v>
      </c>
      <c r="E77" s="165" t="s">
        <v>783</v>
      </c>
      <c r="F77" s="60" t="s">
        <v>726</v>
      </c>
      <c r="G77" s="61">
        <v>50.0</v>
      </c>
      <c r="H77" s="62">
        <v>10.0</v>
      </c>
      <c r="I77" s="62" t="s">
        <v>307</v>
      </c>
      <c r="J77" s="42"/>
      <c r="K77" s="42"/>
      <c r="L77" s="42"/>
      <c r="M77" s="42"/>
      <c r="N77" s="42"/>
      <c r="O77" s="42"/>
      <c r="P77" s="42"/>
      <c r="Q77" s="42"/>
      <c r="R77" s="42"/>
      <c r="S77" s="42"/>
      <c r="T77" s="42"/>
      <c r="U77" s="42"/>
      <c r="V77" s="42"/>
      <c r="W77" s="42"/>
      <c r="X77" s="42"/>
      <c r="Y77" s="42"/>
      <c r="Z77" s="42"/>
    </row>
    <row r="78" ht="242.25" customHeight="1">
      <c r="A78" s="97" t="s">
        <v>947</v>
      </c>
      <c r="B78" s="326" t="s">
        <v>38</v>
      </c>
      <c r="C78" s="98" t="s">
        <v>948</v>
      </c>
      <c r="D78" s="98" t="s">
        <v>949</v>
      </c>
      <c r="E78" s="165" t="s">
        <v>950</v>
      </c>
      <c r="F78" s="60" t="s">
        <v>745</v>
      </c>
      <c r="G78" s="61">
        <v>50.0</v>
      </c>
      <c r="H78" s="62">
        <v>8.33</v>
      </c>
      <c r="I78" s="62" t="s">
        <v>307</v>
      </c>
      <c r="J78" s="42"/>
      <c r="K78" s="42"/>
      <c r="L78" s="42"/>
      <c r="M78" s="42"/>
      <c r="N78" s="42"/>
      <c r="O78" s="42"/>
      <c r="P78" s="42"/>
      <c r="Q78" s="42"/>
      <c r="R78" s="42"/>
      <c r="S78" s="42"/>
      <c r="T78" s="42"/>
      <c r="U78" s="42"/>
      <c r="V78" s="42"/>
      <c r="W78" s="42"/>
      <c r="X78" s="42"/>
      <c r="Y78" s="42"/>
      <c r="Z78" s="42"/>
    </row>
    <row r="79" ht="255.0" customHeight="1">
      <c r="A79" s="97" t="s">
        <v>947</v>
      </c>
      <c r="B79" s="326" t="s">
        <v>38</v>
      </c>
      <c r="C79" s="98" t="s">
        <v>948</v>
      </c>
      <c r="D79" s="98" t="s">
        <v>951</v>
      </c>
      <c r="E79" s="165" t="s">
        <v>952</v>
      </c>
      <c r="F79" s="60" t="s">
        <v>738</v>
      </c>
      <c r="G79" s="61">
        <v>50.0</v>
      </c>
      <c r="H79" s="62">
        <v>10.0</v>
      </c>
      <c r="I79" s="62" t="s">
        <v>307</v>
      </c>
      <c r="J79" s="42"/>
      <c r="K79" s="42"/>
      <c r="L79" s="42"/>
      <c r="M79" s="42"/>
      <c r="N79" s="42"/>
      <c r="O79" s="42"/>
      <c r="P79" s="42"/>
      <c r="Q79" s="42"/>
      <c r="R79" s="42"/>
      <c r="S79" s="42"/>
      <c r="T79" s="42"/>
      <c r="U79" s="42"/>
      <c r="V79" s="42"/>
      <c r="W79" s="42"/>
      <c r="X79" s="42"/>
      <c r="Y79" s="42"/>
      <c r="Z79" s="42"/>
    </row>
    <row r="80" ht="255.0" customHeight="1">
      <c r="A80" s="97" t="s">
        <v>953</v>
      </c>
      <c r="B80" s="326" t="s">
        <v>38</v>
      </c>
      <c r="C80" s="98" t="s">
        <v>954</v>
      </c>
      <c r="D80" s="98" t="s">
        <v>951</v>
      </c>
      <c r="E80" s="165" t="s">
        <v>952</v>
      </c>
      <c r="F80" s="60" t="s">
        <v>738</v>
      </c>
      <c r="G80" s="61">
        <v>50.0</v>
      </c>
      <c r="H80" s="62">
        <v>8.33</v>
      </c>
      <c r="I80" s="62" t="s">
        <v>307</v>
      </c>
      <c r="J80" s="42"/>
      <c r="K80" s="42"/>
      <c r="L80" s="42"/>
      <c r="M80" s="42"/>
      <c r="N80" s="42"/>
      <c r="O80" s="42"/>
      <c r="P80" s="42"/>
      <c r="Q80" s="42"/>
      <c r="R80" s="42"/>
      <c r="S80" s="42"/>
      <c r="T80" s="42"/>
      <c r="U80" s="42"/>
      <c r="V80" s="42"/>
      <c r="W80" s="42"/>
      <c r="X80" s="42"/>
      <c r="Y80" s="42"/>
      <c r="Z80" s="42"/>
    </row>
    <row r="81" ht="242.25" customHeight="1">
      <c r="A81" s="97" t="s">
        <v>953</v>
      </c>
      <c r="B81" s="326" t="s">
        <v>38</v>
      </c>
      <c r="C81" s="98" t="s">
        <v>954</v>
      </c>
      <c r="D81" s="98" t="s">
        <v>949</v>
      </c>
      <c r="E81" s="165" t="s">
        <v>950</v>
      </c>
      <c r="F81" s="60" t="s">
        <v>745</v>
      </c>
      <c r="G81" s="61">
        <v>50.0</v>
      </c>
      <c r="H81" s="62">
        <v>8.33</v>
      </c>
      <c r="I81" s="62" t="s">
        <v>307</v>
      </c>
      <c r="J81" s="42"/>
      <c r="K81" s="42"/>
      <c r="L81" s="42"/>
      <c r="M81" s="42"/>
      <c r="N81" s="42"/>
      <c r="O81" s="42"/>
      <c r="P81" s="42"/>
      <c r="Q81" s="42"/>
      <c r="R81" s="42"/>
      <c r="S81" s="42"/>
      <c r="T81" s="42"/>
      <c r="U81" s="42"/>
      <c r="V81" s="42"/>
      <c r="W81" s="42"/>
      <c r="X81" s="42"/>
      <c r="Y81" s="42"/>
      <c r="Z81" s="42"/>
    </row>
    <row r="82" ht="165.75" customHeight="1">
      <c r="A82" s="97" t="s">
        <v>303</v>
      </c>
      <c r="B82" s="326" t="s">
        <v>38</v>
      </c>
      <c r="C82" s="98" t="s">
        <v>955</v>
      </c>
      <c r="D82" s="98" t="s">
        <v>956</v>
      </c>
      <c r="E82" s="165" t="s">
        <v>957</v>
      </c>
      <c r="F82" s="60" t="s">
        <v>745</v>
      </c>
      <c r="G82" s="61">
        <v>50.0</v>
      </c>
      <c r="H82" s="62">
        <v>50.0</v>
      </c>
      <c r="I82" s="62" t="s">
        <v>307</v>
      </c>
      <c r="J82" s="42"/>
      <c r="K82" s="42"/>
      <c r="L82" s="42"/>
      <c r="M82" s="42"/>
      <c r="N82" s="42"/>
      <c r="O82" s="42"/>
      <c r="P82" s="42"/>
      <c r="Q82" s="42"/>
      <c r="R82" s="42"/>
      <c r="S82" s="42"/>
      <c r="T82" s="42"/>
      <c r="U82" s="42"/>
      <c r="V82" s="42"/>
      <c r="W82" s="42"/>
      <c r="X82" s="42"/>
      <c r="Y82" s="42"/>
      <c r="Z82" s="42"/>
    </row>
    <row r="83" ht="216.75" customHeight="1">
      <c r="A83" s="97" t="s">
        <v>958</v>
      </c>
      <c r="B83" s="326" t="s">
        <v>38</v>
      </c>
      <c r="C83" s="98" t="s">
        <v>959</v>
      </c>
      <c r="D83" s="98" t="s">
        <v>960</v>
      </c>
      <c r="E83" s="165" t="s">
        <v>961</v>
      </c>
      <c r="F83" s="60" t="s">
        <v>745</v>
      </c>
      <c r="G83" s="61">
        <v>50.0</v>
      </c>
      <c r="H83" s="62">
        <v>8.33</v>
      </c>
      <c r="I83" s="62" t="s">
        <v>307</v>
      </c>
      <c r="J83" s="42"/>
      <c r="K83" s="42"/>
      <c r="L83" s="42"/>
      <c r="M83" s="42"/>
      <c r="N83" s="42"/>
      <c r="O83" s="42"/>
      <c r="P83" s="42"/>
      <c r="Q83" s="42"/>
      <c r="R83" s="42"/>
      <c r="S83" s="42"/>
      <c r="T83" s="42"/>
      <c r="U83" s="42"/>
      <c r="V83" s="42"/>
      <c r="W83" s="42"/>
      <c r="X83" s="42"/>
      <c r="Y83" s="42"/>
      <c r="Z83" s="42"/>
    </row>
    <row r="84" ht="165.75" customHeight="1">
      <c r="A84" s="97" t="s">
        <v>303</v>
      </c>
      <c r="B84" s="326" t="s">
        <v>38</v>
      </c>
      <c r="C84" s="98" t="s">
        <v>962</v>
      </c>
      <c r="D84" s="98" t="s">
        <v>963</v>
      </c>
      <c r="E84" s="165" t="s">
        <v>964</v>
      </c>
      <c r="F84" s="60" t="s">
        <v>965</v>
      </c>
      <c r="G84" s="61">
        <v>15.0</v>
      </c>
      <c r="H84" s="62">
        <v>15.0</v>
      </c>
      <c r="I84" s="62" t="s">
        <v>307</v>
      </c>
      <c r="J84" s="42"/>
      <c r="K84" s="42"/>
      <c r="L84" s="42"/>
      <c r="M84" s="42"/>
      <c r="N84" s="42"/>
      <c r="O84" s="42"/>
      <c r="P84" s="42"/>
      <c r="Q84" s="42"/>
      <c r="R84" s="42"/>
      <c r="S84" s="42"/>
      <c r="T84" s="42"/>
      <c r="U84" s="42"/>
      <c r="V84" s="42"/>
      <c r="W84" s="42"/>
      <c r="X84" s="42"/>
      <c r="Y84" s="42"/>
      <c r="Z84" s="42"/>
    </row>
    <row r="85" ht="255.0" customHeight="1">
      <c r="A85" s="97" t="s">
        <v>966</v>
      </c>
      <c r="B85" s="326" t="s">
        <v>38</v>
      </c>
      <c r="C85" s="98" t="s">
        <v>967</v>
      </c>
      <c r="D85" s="98" t="s">
        <v>968</v>
      </c>
      <c r="E85" s="165" t="s">
        <v>969</v>
      </c>
      <c r="F85" s="60" t="s">
        <v>888</v>
      </c>
      <c r="G85" s="61">
        <v>15.0</v>
      </c>
      <c r="H85" s="62">
        <v>7.5</v>
      </c>
      <c r="I85" s="62" t="s">
        <v>307</v>
      </c>
      <c r="J85" s="42"/>
      <c r="K85" s="42"/>
      <c r="L85" s="42"/>
      <c r="M85" s="42"/>
      <c r="N85" s="42"/>
      <c r="O85" s="42"/>
      <c r="P85" s="42"/>
      <c r="Q85" s="42"/>
      <c r="R85" s="42"/>
      <c r="S85" s="42"/>
      <c r="T85" s="42"/>
      <c r="U85" s="42"/>
      <c r="V85" s="42"/>
      <c r="W85" s="42"/>
      <c r="X85" s="42"/>
      <c r="Y85" s="42"/>
      <c r="Z85" s="42"/>
    </row>
    <row r="86" ht="127.5" customHeight="1">
      <c r="A86" s="97" t="s">
        <v>970</v>
      </c>
      <c r="B86" s="326" t="s">
        <v>38</v>
      </c>
      <c r="C86" s="98" t="s">
        <v>971</v>
      </c>
      <c r="D86" s="98" t="s">
        <v>972</v>
      </c>
      <c r="E86" s="165" t="s">
        <v>973</v>
      </c>
      <c r="F86" s="60" t="s">
        <v>888</v>
      </c>
      <c r="G86" s="61">
        <v>15.0</v>
      </c>
      <c r="H86" s="62">
        <v>0.83</v>
      </c>
      <c r="I86" s="62" t="s">
        <v>307</v>
      </c>
      <c r="J86" s="42"/>
      <c r="K86" s="42"/>
      <c r="L86" s="42"/>
      <c r="M86" s="42"/>
      <c r="N86" s="42"/>
      <c r="O86" s="42"/>
      <c r="P86" s="42"/>
      <c r="Q86" s="42"/>
      <c r="R86" s="42"/>
      <c r="S86" s="42"/>
      <c r="T86" s="42"/>
      <c r="U86" s="42"/>
      <c r="V86" s="42"/>
      <c r="W86" s="42"/>
      <c r="X86" s="42"/>
      <c r="Y86" s="42"/>
      <c r="Z86" s="42"/>
    </row>
    <row r="87" ht="153.0" customHeight="1">
      <c r="A87" s="97" t="s">
        <v>970</v>
      </c>
      <c r="B87" s="326" t="s">
        <v>38</v>
      </c>
      <c r="C87" s="98" t="s">
        <v>971</v>
      </c>
      <c r="D87" s="98" t="s">
        <v>974</v>
      </c>
      <c r="E87" s="165" t="s">
        <v>975</v>
      </c>
      <c r="F87" s="60" t="s">
        <v>888</v>
      </c>
      <c r="G87" s="61">
        <v>15.0</v>
      </c>
      <c r="H87" s="62">
        <v>0.83</v>
      </c>
      <c r="I87" s="62" t="s">
        <v>307</v>
      </c>
      <c r="J87" s="42"/>
      <c r="K87" s="42"/>
      <c r="L87" s="42"/>
      <c r="M87" s="42"/>
      <c r="N87" s="42"/>
      <c r="O87" s="42"/>
      <c r="P87" s="42"/>
      <c r="Q87" s="42"/>
      <c r="R87" s="42"/>
      <c r="S87" s="42"/>
      <c r="T87" s="42"/>
      <c r="U87" s="42"/>
      <c r="V87" s="42"/>
      <c r="W87" s="42"/>
      <c r="X87" s="42"/>
      <c r="Y87" s="42"/>
      <c r="Z87" s="42"/>
    </row>
    <row r="88" ht="216.75" customHeight="1">
      <c r="A88" s="97" t="s">
        <v>303</v>
      </c>
      <c r="B88" s="326" t="s">
        <v>38</v>
      </c>
      <c r="C88" s="98" t="s">
        <v>976</v>
      </c>
      <c r="D88" s="98" t="s">
        <v>977</v>
      </c>
      <c r="E88" s="165"/>
      <c r="F88" s="60" t="s">
        <v>888</v>
      </c>
      <c r="G88" s="61">
        <v>15.0</v>
      </c>
      <c r="H88" s="62">
        <v>15.0</v>
      </c>
      <c r="I88" s="62" t="s">
        <v>307</v>
      </c>
      <c r="J88" s="42"/>
      <c r="K88" s="42"/>
      <c r="L88" s="42"/>
      <c r="M88" s="42"/>
      <c r="N88" s="42"/>
      <c r="O88" s="42"/>
      <c r="P88" s="42"/>
      <c r="Q88" s="42"/>
      <c r="R88" s="42"/>
      <c r="S88" s="42"/>
      <c r="T88" s="42"/>
      <c r="U88" s="42"/>
      <c r="V88" s="42"/>
      <c r="W88" s="42"/>
      <c r="X88" s="42"/>
      <c r="Y88" s="42"/>
      <c r="Z88" s="42"/>
    </row>
    <row r="89" ht="204.0" customHeight="1">
      <c r="A89" s="97" t="s">
        <v>303</v>
      </c>
      <c r="B89" s="326" t="s">
        <v>38</v>
      </c>
      <c r="C89" s="98" t="s">
        <v>976</v>
      </c>
      <c r="D89" s="98" t="s">
        <v>978</v>
      </c>
      <c r="E89" s="165"/>
      <c r="F89" s="60" t="s">
        <v>888</v>
      </c>
      <c r="G89" s="61">
        <v>15.0</v>
      </c>
      <c r="H89" s="62">
        <v>15.0</v>
      </c>
      <c r="I89" s="62" t="s">
        <v>307</v>
      </c>
      <c r="J89" s="42"/>
      <c r="K89" s="42"/>
      <c r="L89" s="42"/>
      <c r="M89" s="42"/>
      <c r="N89" s="42"/>
      <c r="O89" s="42"/>
      <c r="P89" s="42"/>
      <c r="Q89" s="42"/>
      <c r="R89" s="42"/>
      <c r="S89" s="42"/>
      <c r="T89" s="42"/>
      <c r="U89" s="42"/>
      <c r="V89" s="42"/>
      <c r="W89" s="42"/>
      <c r="X89" s="42"/>
      <c r="Y89" s="42"/>
      <c r="Z89" s="42"/>
    </row>
    <row r="90" ht="191.25" customHeight="1">
      <c r="A90" s="97" t="s">
        <v>979</v>
      </c>
      <c r="B90" s="326" t="s">
        <v>38</v>
      </c>
      <c r="C90" s="98" t="s">
        <v>980</v>
      </c>
      <c r="D90" s="98" t="s">
        <v>981</v>
      </c>
      <c r="E90" s="165" t="s">
        <v>906</v>
      </c>
      <c r="F90" s="60" t="s">
        <v>745</v>
      </c>
      <c r="G90" s="61">
        <v>50.0</v>
      </c>
      <c r="H90" s="62">
        <v>7.14</v>
      </c>
      <c r="I90" s="62" t="s">
        <v>307</v>
      </c>
      <c r="J90" s="42"/>
      <c r="K90" s="42"/>
      <c r="L90" s="42"/>
      <c r="M90" s="42"/>
      <c r="N90" s="42"/>
      <c r="O90" s="42"/>
      <c r="P90" s="42"/>
      <c r="Q90" s="42"/>
      <c r="R90" s="42"/>
      <c r="S90" s="42"/>
      <c r="T90" s="42"/>
      <c r="U90" s="42"/>
      <c r="V90" s="42"/>
      <c r="W90" s="42"/>
      <c r="X90" s="42"/>
      <c r="Y90" s="42"/>
      <c r="Z90" s="42"/>
    </row>
    <row r="91" ht="153.0" customHeight="1">
      <c r="A91" s="97" t="s">
        <v>982</v>
      </c>
      <c r="B91" s="326" t="s">
        <v>38</v>
      </c>
      <c r="C91" s="98" t="s">
        <v>983</v>
      </c>
      <c r="D91" s="98" t="s">
        <v>984</v>
      </c>
      <c r="E91" s="165" t="s">
        <v>985</v>
      </c>
      <c r="F91" s="60" t="s">
        <v>888</v>
      </c>
      <c r="G91" s="61">
        <v>15.0</v>
      </c>
      <c r="H91" s="62">
        <v>15.0</v>
      </c>
      <c r="I91" s="62" t="s">
        <v>307</v>
      </c>
      <c r="J91" s="42"/>
      <c r="K91" s="42"/>
      <c r="L91" s="42"/>
      <c r="M91" s="42"/>
      <c r="N91" s="42"/>
      <c r="O91" s="42"/>
      <c r="P91" s="42"/>
      <c r="Q91" s="42"/>
      <c r="R91" s="42"/>
      <c r="S91" s="42"/>
      <c r="T91" s="42"/>
      <c r="U91" s="42"/>
      <c r="V91" s="42"/>
      <c r="W91" s="42"/>
      <c r="X91" s="42"/>
      <c r="Y91" s="42"/>
      <c r="Z91" s="42"/>
    </row>
    <row r="92" ht="229.5" customHeight="1">
      <c r="A92" s="97" t="s">
        <v>986</v>
      </c>
      <c r="B92" s="326" t="s">
        <v>38</v>
      </c>
      <c r="C92" s="98" t="s">
        <v>987</v>
      </c>
      <c r="D92" s="98" t="s">
        <v>988</v>
      </c>
      <c r="E92" s="165" t="s">
        <v>989</v>
      </c>
      <c r="F92" s="60" t="s">
        <v>745</v>
      </c>
      <c r="G92" s="61">
        <v>50.0</v>
      </c>
      <c r="H92" s="62">
        <v>12.5</v>
      </c>
      <c r="I92" s="62" t="s">
        <v>307</v>
      </c>
      <c r="J92" s="42"/>
      <c r="K92" s="42"/>
      <c r="L92" s="42"/>
      <c r="M92" s="42"/>
      <c r="N92" s="42"/>
      <c r="O92" s="42"/>
      <c r="P92" s="42"/>
      <c r="Q92" s="42"/>
      <c r="R92" s="42"/>
      <c r="S92" s="42"/>
      <c r="T92" s="42"/>
      <c r="U92" s="42"/>
      <c r="V92" s="42"/>
      <c r="W92" s="42"/>
      <c r="X92" s="42"/>
      <c r="Y92" s="42"/>
      <c r="Z92" s="42"/>
    </row>
    <row r="93" ht="140.25" customHeight="1">
      <c r="A93" s="52" t="s">
        <v>990</v>
      </c>
      <c r="B93" s="199" t="s">
        <v>38</v>
      </c>
      <c r="C93" s="60" t="s">
        <v>991</v>
      </c>
      <c r="D93" s="60" t="s">
        <v>992</v>
      </c>
      <c r="E93" s="165" t="s">
        <v>993</v>
      </c>
      <c r="F93" s="60" t="s">
        <v>888</v>
      </c>
      <c r="G93" s="61">
        <v>15.0</v>
      </c>
      <c r="H93" s="62">
        <v>3.75</v>
      </c>
      <c r="I93" s="62" t="s">
        <v>307</v>
      </c>
      <c r="J93" s="42"/>
      <c r="K93" s="42"/>
      <c r="L93" s="42"/>
      <c r="M93" s="42"/>
      <c r="N93" s="42"/>
      <c r="O93" s="42"/>
      <c r="P93" s="42"/>
      <c r="Q93" s="42"/>
      <c r="R93" s="42"/>
      <c r="S93" s="42"/>
      <c r="T93" s="42"/>
      <c r="U93" s="42"/>
      <c r="V93" s="42"/>
      <c r="W93" s="42"/>
      <c r="X93" s="42"/>
      <c r="Y93" s="42"/>
      <c r="Z93" s="42"/>
    </row>
    <row r="94" ht="127.5" customHeight="1">
      <c r="A94" s="52" t="s">
        <v>994</v>
      </c>
      <c r="B94" s="199" t="s">
        <v>38</v>
      </c>
      <c r="C94" s="60" t="s">
        <v>995</v>
      </c>
      <c r="D94" s="60" t="s">
        <v>996</v>
      </c>
      <c r="E94" s="330" t="s">
        <v>997</v>
      </c>
      <c r="F94" s="330" t="s">
        <v>998</v>
      </c>
      <c r="G94" s="61">
        <v>15.0</v>
      </c>
      <c r="H94" s="62">
        <v>5.0</v>
      </c>
      <c r="I94" s="62" t="s">
        <v>654</v>
      </c>
      <c r="J94" s="42"/>
      <c r="K94" s="42"/>
      <c r="L94" s="42"/>
      <c r="M94" s="42"/>
      <c r="N94" s="42"/>
      <c r="O94" s="42"/>
      <c r="P94" s="42"/>
      <c r="Q94" s="42"/>
      <c r="R94" s="42"/>
      <c r="S94" s="42"/>
      <c r="T94" s="42"/>
      <c r="U94" s="42"/>
      <c r="V94" s="42"/>
      <c r="W94" s="42"/>
      <c r="X94" s="42"/>
      <c r="Y94" s="42"/>
      <c r="Z94" s="42"/>
    </row>
    <row r="95" ht="127.5" customHeight="1">
      <c r="A95" s="52" t="s">
        <v>994</v>
      </c>
      <c r="B95" s="199" t="s">
        <v>38</v>
      </c>
      <c r="C95" s="60" t="s">
        <v>995</v>
      </c>
      <c r="D95" s="60" t="s">
        <v>999</v>
      </c>
      <c r="E95" s="330" t="s">
        <v>1000</v>
      </c>
      <c r="F95" s="331" t="s">
        <v>1001</v>
      </c>
      <c r="G95" s="61">
        <v>50.0</v>
      </c>
      <c r="H95" s="62">
        <v>16.67</v>
      </c>
      <c r="I95" s="62" t="s">
        <v>654</v>
      </c>
      <c r="J95" s="42"/>
      <c r="K95" s="42"/>
      <c r="L95" s="42"/>
      <c r="M95" s="42"/>
      <c r="N95" s="42"/>
      <c r="O95" s="42"/>
      <c r="P95" s="42"/>
      <c r="Q95" s="42"/>
      <c r="R95" s="42"/>
      <c r="S95" s="42"/>
      <c r="T95" s="42"/>
      <c r="U95" s="42"/>
      <c r="V95" s="42"/>
      <c r="W95" s="42"/>
      <c r="X95" s="42"/>
      <c r="Y95" s="42"/>
      <c r="Z95" s="42"/>
    </row>
    <row r="96" ht="127.5" customHeight="1">
      <c r="A96" s="52" t="s">
        <v>1002</v>
      </c>
      <c r="B96" s="199" t="s">
        <v>38</v>
      </c>
      <c r="C96" s="60" t="s">
        <v>1003</v>
      </c>
      <c r="D96" s="60" t="s">
        <v>1004</v>
      </c>
      <c r="E96" s="330" t="s">
        <v>1005</v>
      </c>
      <c r="F96" s="331" t="s">
        <v>1001</v>
      </c>
      <c r="G96" s="61">
        <v>50.0</v>
      </c>
      <c r="H96" s="62">
        <v>16.67</v>
      </c>
      <c r="I96" s="62" t="s">
        <v>654</v>
      </c>
      <c r="J96" s="42"/>
      <c r="K96" s="42"/>
      <c r="L96" s="42"/>
      <c r="M96" s="42"/>
      <c r="N96" s="42"/>
      <c r="O96" s="42"/>
      <c r="P96" s="42"/>
      <c r="Q96" s="42"/>
      <c r="R96" s="42"/>
      <c r="S96" s="42"/>
      <c r="T96" s="42"/>
      <c r="U96" s="42"/>
      <c r="V96" s="42"/>
      <c r="W96" s="42"/>
      <c r="X96" s="42"/>
      <c r="Y96" s="42"/>
      <c r="Z96" s="42"/>
    </row>
    <row r="97" ht="178.5" customHeight="1">
      <c r="A97" s="52" t="s">
        <v>1006</v>
      </c>
      <c r="B97" s="199" t="s">
        <v>38</v>
      </c>
      <c r="C97" s="60" t="s">
        <v>1007</v>
      </c>
      <c r="D97" s="60" t="s">
        <v>1008</v>
      </c>
      <c r="E97" s="165" t="s">
        <v>1009</v>
      </c>
      <c r="F97" s="60" t="s">
        <v>745</v>
      </c>
      <c r="G97" s="61">
        <v>50.0</v>
      </c>
      <c r="H97" s="62">
        <v>16.66</v>
      </c>
      <c r="I97" s="62" t="s">
        <v>1010</v>
      </c>
      <c r="J97" s="42"/>
      <c r="K97" s="42"/>
      <c r="L97" s="42"/>
      <c r="M97" s="42"/>
      <c r="N97" s="42"/>
      <c r="O97" s="42"/>
      <c r="P97" s="42"/>
      <c r="Q97" s="42"/>
      <c r="R97" s="42"/>
      <c r="S97" s="42"/>
      <c r="T97" s="42"/>
      <c r="U97" s="42"/>
      <c r="V97" s="42"/>
      <c r="W97" s="42"/>
      <c r="X97" s="42"/>
      <c r="Y97" s="42"/>
      <c r="Z97" s="42"/>
    </row>
    <row r="98" ht="178.5" customHeight="1">
      <c r="A98" s="52" t="s">
        <v>1011</v>
      </c>
      <c r="B98" s="199" t="s">
        <v>38</v>
      </c>
      <c r="C98" s="60" t="s">
        <v>1012</v>
      </c>
      <c r="D98" s="60" t="s">
        <v>1013</v>
      </c>
      <c r="E98" s="165" t="s">
        <v>1014</v>
      </c>
      <c r="F98" s="60" t="s">
        <v>745</v>
      </c>
      <c r="G98" s="61">
        <v>50.0</v>
      </c>
      <c r="H98" s="62">
        <v>16.66</v>
      </c>
      <c r="I98" s="62" t="s">
        <v>1010</v>
      </c>
      <c r="J98" s="42"/>
      <c r="K98" s="42"/>
      <c r="L98" s="42"/>
      <c r="M98" s="42"/>
      <c r="N98" s="42"/>
      <c r="O98" s="42"/>
      <c r="P98" s="42"/>
      <c r="Q98" s="42"/>
      <c r="R98" s="42"/>
      <c r="S98" s="42"/>
      <c r="T98" s="42"/>
      <c r="U98" s="42"/>
      <c r="V98" s="42"/>
      <c r="W98" s="42"/>
      <c r="X98" s="42"/>
      <c r="Y98" s="42"/>
      <c r="Z98" s="42"/>
    </row>
    <row r="99" ht="178.5" customHeight="1">
      <c r="A99" s="52" t="s">
        <v>1015</v>
      </c>
      <c r="B99" s="199" t="s">
        <v>38</v>
      </c>
      <c r="C99" s="60" t="s">
        <v>1016</v>
      </c>
      <c r="D99" s="60" t="s">
        <v>1017</v>
      </c>
      <c r="E99" s="165" t="s">
        <v>1018</v>
      </c>
      <c r="F99" s="60" t="s">
        <v>1019</v>
      </c>
      <c r="G99" s="61">
        <v>15.0</v>
      </c>
      <c r="H99" s="62">
        <v>15.0</v>
      </c>
      <c r="I99" s="62" t="s">
        <v>1010</v>
      </c>
      <c r="J99" s="42"/>
      <c r="K99" s="42"/>
      <c r="L99" s="42"/>
      <c r="M99" s="42"/>
      <c r="N99" s="42"/>
      <c r="O99" s="42"/>
      <c r="P99" s="42"/>
      <c r="Q99" s="42"/>
      <c r="R99" s="42"/>
      <c r="S99" s="42"/>
      <c r="T99" s="42"/>
      <c r="U99" s="42"/>
      <c r="V99" s="42"/>
      <c r="W99" s="42"/>
      <c r="X99" s="42"/>
      <c r="Y99" s="42"/>
      <c r="Z99" s="42"/>
    </row>
    <row r="100" ht="140.25" customHeight="1">
      <c r="A100" s="57" t="s">
        <v>1020</v>
      </c>
      <c r="B100" s="199" t="s">
        <v>38</v>
      </c>
      <c r="C100" s="37" t="s">
        <v>1021</v>
      </c>
      <c r="D100" s="60" t="s">
        <v>1022</v>
      </c>
      <c r="E100" s="165" t="s">
        <v>1023</v>
      </c>
      <c r="F100" s="247" t="s">
        <v>1024</v>
      </c>
      <c r="G100" s="61">
        <v>50.0</v>
      </c>
      <c r="H100" s="62">
        <f>G100/2</f>
        <v>25</v>
      </c>
      <c r="I100" s="62" t="s">
        <v>203</v>
      </c>
      <c r="J100" s="42"/>
      <c r="K100" s="42"/>
      <c r="L100" s="42"/>
      <c r="M100" s="42"/>
      <c r="N100" s="42"/>
      <c r="O100" s="42"/>
      <c r="P100" s="42"/>
      <c r="Q100" s="42"/>
      <c r="R100" s="42"/>
      <c r="S100" s="42"/>
      <c r="T100" s="42"/>
      <c r="U100" s="42"/>
      <c r="V100" s="42"/>
      <c r="W100" s="42"/>
      <c r="X100" s="42"/>
      <c r="Y100" s="42"/>
      <c r="Z100" s="42"/>
    </row>
    <row r="101" ht="140.25" customHeight="1">
      <c r="A101" s="52" t="s">
        <v>1025</v>
      </c>
      <c r="B101" s="199" t="s">
        <v>38</v>
      </c>
      <c r="C101" s="60" t="s">
        <v>1026</v>
      </c>
      <c r="D101" s="60" t="s">
        <v>1027</v>
      </c>
      <c r="E101" s="165" t="s">
        <v>1028</v>
      </c>
      <c r="F101" s="60"/>
      <c r="G101" s="61">
        <v>50.0</v>
      </c>
      <c r="H101" s="62">
        <v>16.67</v>
      </c>
      <c r="I101" s="62" t="s">
        <v>203</v>
      </c>
      <c r="J101" s="42"/>
      <c r="K101" s="42"/>
      <c r="L101" s="42"/>
      <c r="M101" s="42"/>
      <c r="N101" s="42"/>
      <c r="O101" s="42"/>
      <c r="P101" s="42"/>
      <c r="Q101" s="42"/>
      <c r="R101" s="42"/>
      <c r="S101" s="42"/>
      <c r="T101" s="42"/>
      <c r="U101" s="42"/>
      <c r="V101" s="42"/>
      <c r="W101" s="42"/>
      <c r="X101" s="42"/>
      <c r="Y101" s="42"/>
      <c r="Z101" s="42"/>
    </row>
    <row r="102" ht="191.25" customHeight="1">
      <c r="A102" s="57" t="s">
        <v>1029</v>
      </c>
      <c r="B102" s="199" t="s">
        <v>38</v>
      </c>
      <c r="C102" s="37" t="s">
        <v>1021</v>
      </c>
      <c r="D102" s="60" t="s">
        <v>1030</v>
      </c>
      <c r="E102" s="165" t="s">
        <v>1031</v>
      </c>
      <c r="F102" s="60"/>
      <c r="G102" s="61">
        <v>50.0</v>
      </c>
      <c r="H102" s="62">
        <v>25.0</v>
      </c>
      <c r="I102" s="62" t="s">
        <v>203</v>
      </c>
      <c r="J102" s="42"/>
      <c r="K102" s="42"/>
      <c r="L102" s="42"/>
      <c r="M102" s="42"/>
      <c r="N102" s="42"/>
      <c r="O102" s="42"/>
      <c r="P102" s="42"/>
      <c r="Q102" s="42"/>
      <c r="R102" s="42"/>
      <c r="S102" s="42"/>
      <c r="T102" s="42"/>
      <c r="U102" s="42"/>
      <c r="V102" s="42"/>
      <c r="W102" s="42"/>
      <c r="X102" s="42"/>
      <c r="Y102" s="42"/>
      <c r="Z102" s="42"/>
    </row>
    <row r="103" ht="140.25" customHeight="1">
      <c r="A103" s="57" t="s">
        <v>1032</v>
      </c>
      <c r="B103" s="199" t="s">
        <v>38</v>
      </c>
      <c r="C103" s="37" t="s">
        <v>1021</v>
      </c>
      <c r="D103" s="60" t="s">
        <v>1033</v>
      </c>
      <c r="E103" s="165" t="s">
        <v>1034</v>
      </c>
      <c r="F103" s="60"/>
      <c r="G103" s="61">
        <v>50.0</v>
      </c>
      <c r="H103" s="62">
        <v>25.0</v>
      </c>
      <c r="I103" s="62" t="s">
        <v>203</v>
      </c>
      <c r="J103" s="42"/>
      <c r="K103" s="42"/>
      <c r="L103" s="42"/>
      <c r="M103" s="42"/>
      <c r="N103" s="42"/>
      <c r="O103" s="42"/>
      <c r="P103" s="42"/>
      <c r="Q103" s="42"/>
      <c r="R103" s="42"/>
      <c r="S103" s="42"/>
      <c r="T103" s="42"/>
      <c r="U103" s="42"/>
      <c r="V103" s="42"/>
      <c r="W103" s="42"/>
      <c r="X103" s="42"/>
      <c r="Y103" s="42"/>
      <c r="Z103" s="42"/>
    </row>
    <row r="104" ht="153.0" customHeight="1">
      <c r="A104" s="332" t="s">
        <v>1035</v>
      </c>
      <c r="B104" s="333" t="s">
        <v>38</v>
      </c>
      <c r="C104" s="334" t="s">
        <v>1021</v>
      </c>
      <c r="D104" s="335" t="s">
        <v>1036</v>
      </c>
      <c r="E104" s="336" t="s">
        <v>1037</v>
      </c>
      <c r="F104" s="335"/>
      <c r="G104" s="337">
        <v>50.0</v>
      </c>
      <c r="H104" s="338">
        <f>G104/2</f>
        <v>25</v>
      </c>
      <c r="I104" s="62" t="s">
        <v>203</v>
      </c>
      <c r="J104" s="42"/>
      <c r="K104" s="42"/>
      <c r="L104" s="42"/>
      <c r="M104" s="42"/>
      <c r="N104" s="42"/>
      <c r="O104" s="42"/>
      <c r="P104" s="42"/>
      <c r="Q104" s="42"/>
      <c r="R104" s="42"/>
      <c r="S104" s="42"/>
      <c r="T104" s="42"/>
      <c r="U104" s="42"/>
      <c r="V104" s="42"/>
      <c r="W104" s="42"/>
      <c r="X104" s="42"/>
      <c r="Y104" s="42"/>
      <c r="Z104" s="42"/>
    </row>
    <row r="105" ht="102.0" customHeight="1">
      <c r="A105" s="52" t="s">
        <v>1025</v>
      </c>
      <c r="B105" s="199" t="s">
        <v>38</v>
      </c>
      <c r="C105" s="60" t="s">
        <v>1026</v>
      </c>
      <c r="D105" s="60" t="s">
        <v>1038</v>
      </c>
      <c r="E105" s="165" t="s">
        <v>1039</v>
      </c>
      <c r="F105" s="60"/>
      <c r="G105" s="61">
        <v>15.0</v>
      </c>
      <c r="H105" s="62">
        <f>G105/3</f>
        <v>5</v>
      </c>
      <c r="I105" s="62" t="s">
        <v>203</v>
      </c>
      <c r="J105" s="42"/>
      <c r="K105" s="42"/>
      <c r="L105" s="42"/>
      <c r="M105" s="42"/>
      <c r="N105" s="42"/>
      <c r="O105" s="42"/>
      <c r="P105" s="42"/>
      <c r="Q105" s="42"/>
      <c r="R105" s="42"/>
      <c r="S105" s="42"/>
      <c r="T105" s="42"/>
      <c r="U105" s="42"/>
      <c r="V105" s="42"/>
      <c r="W105" s="42"/>
      <c r="X105" s="42"/>
      <c r="Y105" s="42"/>
      <c r="Z105" s="42"/>
    </row>
    <row r="106" ht="210.0" customHeight="1">
      <c r="A106" s="52" t="s">
        <v>1040</v>
      </c>
      <c r="B106" s="199" t="s">
        <v>38</v>
      </c>
      <c r="C106" s="60" t="s">
        <v>1041</v>
      </c>
      <c r="D106" s="60" t="s">
        <v>1042</v>
      </c>
      <c r="E106" s="165" t="s">
        <v>1043</v>
      </c>
      <c r="F106" s="60"/>
      <c r="G106" s="61">
        <v>50.0</v>
      </c>
      <c r="H106" s="62">
        <v>16.67</v>
      </c>
      <c r="I106" s="62" t="s">
        <v>203</v>
      </c>
      <c r="J106" s="42"/>
      <c r="K106" s="42"/>
      <c r="L106" s="42"/>
      <c r="M106" s="42"/>
      <c r="N106" s="42"/>
      <c r="O106" s="42"/>
      <c r="P106" s="42"/>
      <c r="Q106" s="42"/>
      <c r="R106" s="42"/>
      <c r="S106" s="42"/>
      <c r="T106" s="42"/>
      <c r="U106" s="42"/>
      <c r="V106" s="42"/>
      <c r="W106" s="42"/>
      <c r="X106" s="42"/>
      <c r="Y106" s="42"/>
      <c r="Z106" s="42"/>
    </row>
    <row r="107" ht="140.25" customHeight="1">
      <c r="A107" s="57" t="s">
        <v>1044</v>
      </c>
      <c r="B107" s="199" t="s">
        <v>38</v>
      </c>
      <c r="C107" s="60" t="s">
        <v>1045</v>
      </c>
      <c r="D107" s="60" t="s">
        <v>1046</v>
      </c>
      <c r="E107" s="165" t="s">
        <v>1047</v>
      </c>
      <c r="F107" s="60" t="s">
        <v>1048</v>
      </c>
      <c r="G107" s="61">
        <v>50.0</v>
      </c>
      <c r="H107" s="62">
        <f>G107/2</f>
        <v>25</v>
      </c>
      <c r="I107" s="62" t="s">
        <v>203</v>
      </c>
      <c r="J107" s="42"/>
      <c r="K107" s="339"/>
      <c r="L107" s="42"/>
      <c r="M107" s="42"/>
      <c r="N107" s="42"/>
      <c r="O107" s="42"/>
      <c r="P107" s="42"/>
      <c r="Q107" s="42"/>
      <c r="R107" s="42"/>
      <c r="S107" s="42"/>
      <c r="T107" s="42"/>
      <c r="U107" s="42"/>
      <c r="V107" s="42"/>
      <c r="W107" s="42"/>
      <c r="X107" s="42"/>
      <c r="Y107" s="42"/>
      <c r="Z107" s="42"/>
    </row>
    <row r="108" ht="165.75" customHeight="1">
      <c r="A108" s="54" t="s">
        <v>1049</v>
      </c>
      <c r="B108" s="199" t="s">
        <v>38</v>
      </c>
      <c r="C108" s="199" t="s">
        <v>1050</v>
      </c>
      <c r="D108" s="52" t="s">
        <v>1051</v>
      </c>
      <c r="E108" s="203" t="s">
        <v>1052</v>
      </c>
      <c r="F108" s="60" t="s">
        <v>726</v>
      </c>
      <c r="G108" s="61">
        <v>50.0</v>
      </c>
      <c r="H108" s="62">
        <v>10.0</v>
      </c>
      <c r="I108" s="62" t="s">
        <v>128</v>
      </c>
    </row>
    <row r="109" ht="114.75" customHeight="1">
      <c r="A109" s="54" t="s">
        <v>1053</v>
      </c>
      <c r="B109" s="199" t="s">
        <v>38</v>
      </c>
      <c r="C109" s="199" t="s">
        <v>1050</v>
      </c>
      <c r="D109" s="52" t="s">
        <v>1054</v>
      </c>
      <c r="E109" s="203" t="s">
        <v>1055</v>
      </c>
      <c r="F109" s="60" t="s">
        <v>726</v>
      </c>
      <c r="G109" s="61">
        <v>50.0</v>
      </c>
      <c r="H109" s="62">
        <v>10.0</v>
      </c>
      <c r="I109" s="62" t="s">
        <v>128</v>
      </c>
    </row>
    <row r="110" ht="191.25" customHeight="1">
      <c r="A110" s="54" t="s">
        <v>1056</v>
      </c>
      <c r="B110" s="199" t="s">
        <v>38</v>
      </c>
      <c r="C110" s="199" t="s">
        <v>1050</v>
      </c>
      <c r="D110" s="52" t="s">
        <v>1057</v>
      </c>
      <c r="E110" s="203" t="s">
        <v>1058</v>
      </c>
      <c r="F110" s="60" t="s">
        <v>726</v>
      </c>
      <c r="G110" s="61">
        <v>50.0</v>
      </c>
      <c r="H110" s="62">
        <v>10.0</v>
      </c>
      <c r="I110" s="62" t="s">
        <v>128</v>
      </c>
    </row>
    <row r="111" ht="102.0" customHeight="1">
      <c r="A111" s="54" t="s">
        <v>1059</v>
      </c>
      <c r="B111" s="199" t="s">
        <v>38</v>
      </c>
      <c r="C111" s="199" t="s">
        <v>1050</v>
      </c>
      <c r="D111" s="52" t="s">
        <v>1060</v>
      </c>
      <c r="E111" s="203" t="s">
        <v>1061</v>
      </c>
      <c r="F111" s="60" t="s">
        <v>726</v>
      </c>
      <c r="G111" s="61">
        <v>50.0</v>
      </c>
      <c r="H111" s="62">
        <v>10.0</v>
      </c>
      <c r="I111" s="62" t="s">
        <v>128</v>
      </c>
    </row>
    <row r="112" ht="140.25" customHeight="1">
      <c r="A112" s="54" t="s">
        <v>1062</v>
      </c>
      <c r="B112" s="199" t="s">
        <v>38</v>
      </c>
      <c r="C112" s="199" t="s">
        <v>1050</v>
      </c>
      <c r="D112" s="52" t="s">
        <v>1063</v>
      </c>
      <c r="E112" s="203" t="s">
        <v>1064</v>
      </c>
      <c r="F112" s="60" t="s">
        <v>726</v>
      </c>
      <c r="G112" s="61">
        <v>50.0</v>
      </c>
      <c r="H112" s="62">
        <v>10.0</v>
      </c>
      <c r="I112" s="62" t="s">
        <v>128</v>
      </c>
    </row>
    <row r="113" ht="102.0" customHeight="1">
      <c r="A113" s="54" t="s">
        <v>1065</v>
      </c>
      <c r="B113" s="199" t="s">
        <v>38</v>
      </c>
      <c r="C113" s="199" t="s">
        <v>1050</v>
      </c>
      <c r="D113" s="52" t="s">
        <v>1066</v>
      </c>
      <c r="E113" s="203" t="s">
        <v>1067</v>
      </c>
      <c r="F113" s="60" t="s">
        <v>726</v>
      </c>
      <c r="G113" s="61">
        <v>50.0</v>
      </c>
      <c r="H113" s="62">
        <v>10.0</v>
      </c>
      <c r="I113" s="62" t="s">
        <v>128</v>
      </c>
    </row>
    <row r="114" ht="191.25" customHeight="1">
      <c r="A114" s="54" t="s">
        <v>1068</v>
      </c>
      <c r="B114" s="199" t="s">
        <v>38</v>
      </c>
      <c r="C114" s="199" t="s">
        <v>1050</v>
      </c>
      <c r="D114" s="52" t="s">
        <v>1069</v>
      </c>
      <c r="E114" s="203" t="s">
        <v>1070</v>
      </c>
      <c r="F114" s="60" t="s">
        <v>726</v>
      </c>
      <c r="G114" s="61">
        <v>50.0</v>
      </c>
      <c r="H114" s="62">
        <v>10.0</v>
      </c>
      <c r="I114" s="308" t="s">
        <v>128</v>
      </c>
    </row>
    <row r="115" ht="127.5" customHeight="1">
      <c r="A115" s="54" t="s">
        <v>1071</v>
      </c>
      <c r="B115" s="199" t="s">
        <v>38</v>
      </c>
      <c r="C115" s="199" t="s">
        <v>1050</v>
      </c>
      <c r="D115" s="52" t="s">
        <v>1072</v>
      </c>
      <c r="E115" s="203" t="s">
        <v>1073</v>
      </c>
      <c r="F115" s="60" t="s">
        <v>726</v>
      </c>
      <c r="G115" s="61">
        <v>50.0</v>
      </c>
      <c r="H115" s="62">
        <v>10.0</v>
      </c>
      <c r="I115" s="308" t="s">
        <v>128</v>
      </c>
    </row>
    <row r="116" ht="14.25" customHeight="1">
      <c r="A116" s="54" t="s">
        <v>1074</v>
      </c>
      <c r="B116" s="199" t="s">
        <v>38</v>
      </c>
      <c r="C116" s="199" t="s">
        <v>1050</v>
      </c>
      <c r="D116" s="52" t="s">
        <v>1075</v>
      </c>
      <c r="E116" s="203" t="s">
        <v>1076</v>
      </c>
      <c r="F116" s="60" t="s">
        <v>726</v>
      </c>
      <c r="G116" s="61">
        <v>50.0</v>
      </c>
      <c r="H116" s="62">
        <v>10.0</v>
      </c>
      <c r="I116" s="308" t="s">
        <v>128</v>
      </c>
    </row>
    <row r="117" ht="153.0" customHeight="1">
      <c r="A117" s="54" t="s">
        <v>1077</v>
      </c>
      <c r="B117" s="199" t="s">
        <v>38</v>
      </c>
      <c r="C117" s="199" t="s">
        <v>1050</v>
      </c>
      <c r="D117" s="52" t="s">
        <v>1078</v>
      </c>
      <c r="E117" s="203" t="s">
        <v>1079</v>
      </c>
      <c r="F117" s="60" t="s">
        <v>726</v>
      </c>
      <c r="G117" s="61">
        <v>50.0</v>
      </c>
      <c r="H117" s="62">
        <v>10.0</v>
      </c>
      <c r="I117" s="308" t="s">
        <v>128</v>
      </c>
    </row>
    <row r="118" ht="153.0" customHeight="1">
      <c r="A118" s="54" t="s">
        <v>1080</v>
      </c>
      <c r="B118" s="199" t="s">
        <v>38</v>
      </c>
      <c r="C118" s="199" t="s">
        <v>1050</v>
      </c>
      <c r="D118" s="52" t="s">
        <v>1081</v>
      </c>
      <c r="E118" s="203" t="s">
        <v>1082</v>
      </c>
      <c r="F118" s="60" t="s">
        <v>726</v>
      </c>
      <c r="G118" s="61">
        <v>50.0</v>
      </c>
      <c r="H118" s="62">
        <v>10.0</v>
      </c>
      <c r="I118" s="308" t="s">
        <v>128</v>
      </c>
    </row>
    <row r="119" ht="140.25" customHeight="1">
      <c r="A119" s="54" t="s">
        <v>1083</v>
      </c>
      <c r="B119" s="199" t="s">
        <v>38</v>
      </c>
      <c r="C119" s="199" t="s">
        <v>1050</v>
      </c>
      <c r="D119" s="52" t="s">
        <v>1084</v>
      </c>
      <c r="E119" s="203" t="s">
        <v>1085</v>
      </c>
      <c r="F119" s="60" t="s">
        <v>726</v>
      </c>
      <c r="G119" s="61">
        <v>50.0</v>
      </c>
      <c r="H119" s="62">
        <v>10.0</v>
      </c>
      <c r="I119" s="308" t="s">
        <v>128</v>
      </c>
    </row>
    <row r="120" ht="153.0" customHeight="1">
      <c r="A120" s="54" t="s">
        <v>1086</v>
      </c>
      <c r="B120" s="199" t="s">
        <v>38</v>
      </c>
      <c r="C120" s="199" t="s">
        <v>1050</v>
      </c>
      <c r="D120" s="52" t="s">
        <v>1087</v>
      </c>
      <c r="E120" s="340" t="s">
        <v>1088</v>
      </c>
      <c r="F120" s="60" t="s">
        <v>726</v>
      </c>
      <c r="G120" s="61">
        <v>50.0</v>
      </c>
      <c r="H120" s="62">
        <v>10.0</v>
      </c>
      <c r="I120" s="308" t="s">
        <v>128</v>
      </c>
    </row>
    <row r="121" ht="102.0" customHeight="1">
      <c r="A121" s="54" t="s">
        <v>1089</v>
      </c>
      <c r="B121" s="199" t="s">
        <v>38</v>
      </c>
      <c r="C121" s="199" t="s">
        <v>1050</v>
      </c>
      <c r="D121" s="52" t="s">
        <v>1090</v>
      </c>
      <c r="E121" s="340" t="s">
        <v>1091</v>
      </c>
      <c r="F121" s="60" t="s">
        <v>726</v>
      </c>
      <c r="G121" s="61">
        <v>50.0</v>
      </c>
      <c r="H121" s="62">
        <v>10.0</v>
      </c>
      <c r="I121" s="308" t="s">
        <v>128</v>
      </c>
    </row>
    <row r="122" ht="140.25" customHeight="1">
      <c r="A122" s="54" t="s">
        <v>1092</v>
      </c>
      <c r="B122" s="199" t="s">
        <v>38</v>
      </c>
      <c r="C122" s="199" t="s">
        <v>1050</v>
      </c>
      <c r="D122" s="52" t="s">
        <v>1093</v>
      </c>
      <c r="E122" s="203" t="s">
        <v>1094</v>
      </c>
      <c r="F122" s="60" t="s">
        <v>726</v>
      </c>
      <c r="G122" s="61">
        <v>50.0</v>
      </c>
      <c r="H122" s="62">
        <v>10.0</v>
      </c>
      <c r="I122" s="308" t="s">
        <v>128</v>
      </c>
    </row>
    <row r="123" ht="153.0" customHeight="1">
      <c r="A123" s="54" t="s">
        <v>1095</v>
      </c>
      <c r="B123" s="199" t="s">
        <v>38</v>
      </c>
      <c r="C123" s="199" t="s">
        <v>1050</v>
      </c>
      <c r="D123" s="52" t="s">
        <v>1096</v>
      </c>
      <c r="E123" s="203" t="s">
        <v>1097</v>
      </c>
      <c r="F123" s="60" t="s">
        <v>726</v>
      </c>
      <c r="G123" s="61">
        <v>50.0</v>
      </c>
      <c r="H123" s="62">
        <v>10.0</v>
      </c>
      <c r="I123" s="308" t="s">
        <v>128</v>
      </c>
    </row>
    <row r="124" ht="127.5" customHeight="1">
      <c r="A124" s="54" t="s">
        <v>1098</v>
      </c>
      <c r="B124" s="199" t="s">
        <v>38</v>
      </c>
      <c r="C124" s="199" t="s">
        <v>1050</v>
      </c>
      <c r="D124" s="52" t="s">
        <v>1099</v>
      </c>
      <c r="E124" s="203" t="s">
        <v>1100</v>
      </c>
      <c r="F124" s="60" t="s">
        <v>726</v>
      </c>
      <c r="G124" s="61">
        <v>50.0</v>
      </c>
      <c r="H124" s="62">
        <v>10.0</v>
      </c>
      <c r="I124" s="308" t="s">
        <v>128</v>
      </c>
    </row>
    <row r="125" ht="102.0" customHeight="1">
      <c r="A125" s="54" t="s">
        <v>1101</v>
      </c>
      <c r="B125" s="199" t="s">
        <v>38</v>
      </c>
      <c r="C125" s="199" t="s">
        <v>1050</v>
      </c>
      <c r="D125" s="52" t="s">
        <v>1102</v>
      </c>
      <c r="E125" s="203" t="s">
        <v>1103</v>
      </c>
      <c r="F125" s="60" t="s">
        <v>726</v>
      </c>
      <c r="G125" s="61">
        <v>50.0</v>
      </c>
      <c r="H125" s="62">
        <v>10.0</v>
      </c>
      <c r="I125" s="308" t="s">
        <v>128</v>
      </c>
    </row>
    <row r="126" ht="178.5" customHeight="1">
      <c r="A126" s="54" t="s">
        <v>1104</v>
      </c>
      <c r="B126" s="199" t="s">
        <v>38</v>
      </c>
      <c r="C126" s="199" t="s">
        <v>1050</v>
      </c>
      <c r="D126" s="199" t="s">
        <v>1105</v>
      </c>
      <c r="E126" s="331" t="s">
        <v>1106</v>
      </c>
      <c r="F126" s="60" t="s">
        <v>726</v>
      </c>
      <c r="G126" s="61">
        <v>50.0</v>
      </c>
      <c r="H126" s="62">
        <v>10.0</v>
      </c>
      <c r="I126" s="308" t="s">
        <v>128</v>
      </c>
    </row>
    <row r="127" ht="140.25" customHeight="1">
      <c r="A127" s="54" t="s">
        <v>1107</v>
      </c>
      <c r="B127" s="199" t="s">
        <v>38</v>
      </c>
      <c r="C127" s="199" t="s">
        <v>1050</v>
      </c>
      <c r="D127" s="199" t="s">
        <v>1108</v>
      </c>
      <c r="E127" s="203" t="s">
        <v>1109</v>
      </c>
      <c r="F127" s="60" t="s">
        <v>726</v>
      </c>
      <c r="G127" s="61">
        <v>50.0</v>
      </c>
      <c r="H127" s="62">
        <v>10.0</v>
      </c>
      <c r="I127" s="308" t="s">
        <v>128</v>
      </c>
    </row>
    <row r="128" ht="191.25" customHeight="1">
      <c r="A128" s="54" t="s">
        <v>1110</v>
      </c>
      <c r="B128" s="199" t="s">
        <v>38</v>
      </c>
      <c r="C128" s="199" t="s">
        <v>1050</v>
      </c>
      <c r="D128" s="52" t="s">
        <v>1111</v>
      </c>
      <c r="E128" s="340" t="s">
        <v>1112</v>
      </c>
      <c r="F128" s="60" t="s">
        <v>726</v>
      </c>
      <c r="G128" s="61">
        <v>50.0</v>
      </c>
      <c r="H128" s="62">
        <v>10.0</v>
      </c>
      <c r="I128" s="308" t="s">
        <v>128</v>
      </c>
    </row>
    <row r="129" ht="204.0" customHeight="1">
      <c r="A129" s="54" t="s">
        <v>1113</v>
      </c>
      <c r="B129" s="199" t="s">
        <v>38</v>
      </c>
      <c r="C129" s="199" t="s">
        <v>1050</v>
      </c>
      <c r="D129" s="52" t="s">
        <v>1114</v>
      </c>
      <c r="E129" s="203" t="s">
        <v>1115</v>
      </c>
      <c r="F129" s="60" t="s">
        <v>726</v>
      </c>
      <c r="G129" s="61">
        <v>50.0</v>
      </c>
      <c r="H129" s="62">
        <v>10.0</v>
      </c>
      <c r="I129" s="308" t="s">
        <v>128</v>
      </c>
    </row>
    <row r="130" ht="114.75" customHeight="1">
      <c r="A130" s="54" t="s">
        <v>1116</v>
      </c>
      <c r="B130" s="199" t="s">
        <v>38</v>
      </c>
      <c r="C130" s="199" t="s">
        <v>1050</v>
      </c>
      <c r="D130" s="52" t="s">
        <v>1117</v>
      </c>
      <c r="E130" s="203" t="s">
        <v>1118</v>
      </c>
      <c r="F130" s="60" t="s">
        <v>726</v>
      </c>
      <c r="G130" s="61">
        <v>50.0</v>
      </c>
      <c r="H130" s="62">
        <v>10.0</v>
      </c>
      <c r="I130" s="308" t="s">
        <v>128</v>
      </c>
    </row>
    <row r="131" ht="165.75" customHeight="1">
      <c r="A131" s="54" t="s">
        <v>1119</v>
      </c>
      <c r="B131" s="199" t="s">
        <v>38</v>
      </c>
      <c r="C131" s="199" t="s">
        <v>1050</v>
      </c>
      <c r="D131" s="52" t="s">
        <v>1120</v>
      </c>
      <c r="E131" s="203" t="s">
        <v>1121</v>
      </c>
      <c r="F131" s="60" t="s">
        <v>726</v>
      </c>
      <c r="G131" s="61">
        <v>50.0</v>
      </c>
      <c r="H131" s="62">
        <v>10.0</v>
      </c>
      <c r="I131" s="308" t="s">
        <v>128</v>
      </c>
    </row>
    <row r="132" ht="127.5" customHeight="1">
      <c r="A132" s="54" t="s">
        <v>1122</v>
      </c>
      <c r="B132" s="199" t="s">
        <v>38</v>
      </c>
      <c r="C132" s="199" t="s">
        <v>1050</v>
      </c>
      <c r="D132" s="199" t="s">
        <v>1123</v>
      </c>
      <c r="E132" s="203" t="s">
        <v>1124</v>
      </c>
      <c r="F132" s="60" t="s">
        <v>726</v>
      </c>
      <c r="G132" s="61">
        <v>50.0</v>
      </c>
      <c r="H132" s="62">
        <v>10.0</v>
      </c>
      <c r="I132" s="308" t="s">
        <v>128</v>
      </c>
    </row>
    <row r="133" ht="114.75" customHeight="1">
      <c r="A133" s="54" t="s">
        <v>1125</v>
      </c>
      <c r="B133" s="199" t="s">
        <v>38</v>
      </c>
      <c r="C133" s="199" t="s">
        <v>1050</v>
      </c>
      <c r="D133" s="199" t="s">
        <v>1126</v>
      </c>
      <c r="E133" s="340" t="s">
        <v>1127</v>
      </c>
      <c r="F133" s="60" t="s">
        <v>726</v>
      </c>
      <c r="G133" s="61">
        <v>50.0</v>
      </c>
      <c r="H133" s="62">
        <v>10.0</v>
      </c>
      <c r="I133" s="308" t="s">
        <v>128</v>
      </c>
    </row>
    <row r="134" ht="153.0" customHeight="1">
      <c r="A134" s="54" t="s">
        <v>1128</v>
      </c>
      <c r="B134" s="199" t="s">
        <v>38</v>
      </c>
      <c r="C134" s="199" t="s">
        <v>1050</v>
      </c>
      <c r="D134" s="199" t="s">
        <v>1129</v>
      </c>
      <c r="E134" s="203" t="s">
        <v>1130</v>
      </c>
      <c r="F134" s="60" t="s">
        <v>726</v>
      </c>
      <c r="G134" s="61">
        <v>50.0</v>
      </c>
      <c r="H134" s="62">
        <v>10.0</v>
      </c>
      <c r="I134" s="308" t="s">
        <v>128</v>
      </c>
    </row>
    <row r="135" ht="140.25" customHeight="1">
      <c r="A135" s="54" t="s">
        <v>1131</v>
      </c>
      <c r="B135" s="199" t="s">
        <v>38</v>
      </c>
      <c r="C135" s="199" t="s">
        <v>1050</v>
      </c>
      <c r="D135" s="199" t="s">
        <v>1132</v>
      </c>
      <c r="E135" s="203" t="s">
        <v>1133</v>
      </c>
      <c r="F135" s="60" t="s">
        <v>726</v>
      </c>
      <c r="G135" s="61">
        <v>50.0</v>
      </c>
      <c r="H135" s="62">
        <v>10.0</v>
      </c>
      <c r="I135" s="308" t="s">
        <v>128</v>
      </c>
    </row>
    <row r="136" ht="140.25" customHeight="1">
      <c r="A136" s="54" t="s">
        <v>1134</v>
      </c>
      <c r="B136" s="199" t="s">
        <v>38</v>
      </c>
      <c r="C136" s="199" t="s">
        <v>1050</v>
      </c>
      <c r="D136" s="199" t="s">
        <v>1135</v>
      </c>
      <c r="E136" s="331" t="s">
        <v>1136</v>
      </c>
      <c r="F136" s="60" t="s">
        <v>726</v>
      </c>
      <c r="G136" s="61">
        <v>50.0</v>
      </c>
      <c r="H136" s="62">
        <v>10.0</v>
      </c>
      <c r="I136" s="308" t="s">
        <v>128</v>
      </c>
    </row>
    <row r="137" ht="153.0" customHeight="1">
      <c r="A137" s="54" t="s">
        <v>1137</v>
      </c>
      <c r="B137" s="199" t="s">
        <v>38</v>
      </c>
      <c r="C137" s="199" t="s">
        <v>1050</v>
      </c>
      <c r="D137" s="199" t="s">
        <v>1138</v>
      </c>
      <c r="E137" s="331" t="s">
        <v>1139</v>
      </c>
      <c r="F137" s="60" t="s">
        <v>726</v>
      </c>
      <c r="G137" s="61">
        <v>50.0</v>
      </c>
      <c r="H137" s="62">
        <v>10.0</v>
      </c>
      <c r="I137" s="308" t="s">
        <v>128</v>
      </c>
    </row>
    <row r="138" ht="140.25" customHeight="1">
      <c r="A138" s="54" t="s">
        <v>1140</v>
      </c>
      <c r="B138" s="199" t="s">
        <v>38</v>
      </c>
      <c r="C138" s="199" t="s">
        <v>1050</v>
      </c>
      <c r="D138" s="199" t="s">
        <v>1141</v>
      </c>
      <c r="E138" s="203" t="s">
        <v>1142</v>
      </c>
      <c r="F138" s="60" t="s">
        <v>726</v>
      </c>
      <c r="G138" s="61">
        <v>50.0</v>
      </c>
      <c r="H138" s="62">
        <v>10.0</v>
      </c>
      <c r="I138" s="308" t="s">
        <v>128</v>
      </c>
    </row>
    <row r="139" ht="127.5" customHeight="1">
      <c r="A139" s="54" t="s">
        <v>1143</v>
      </c>
      <c r="B139" s="199" t="s">
        <v>38</v>
      </c>
      <c r="C139" s="199" t="s">
        <v>1050</v>
      </c>
      <c r="D139" s="199" t="s">
        <v>1144</v>
      </c>
      <c r="E139" s="203" t="s">
        <v>1145</v>
      </c>
      <c r="F139" s="60" t="s">
        <v>726</v>
      </c>
      <c r="G139" s="61">
        <v>50.0</v>
      </c>
      <c r="H139" s="62">
        <v>10.0</v>
      </c>
      <c r="I139" s="308" t="s">
        <v>128</v>
      </c>
    </row>
    <row r="140" ht="114.75" customHeight="1">
      <c r="A140" s="54" t="s">
        <v>1146</v>
      </c>
      <c r="B140" s="199" t="s">
        <v>38</v>
      </c>
      <c r="C140" s="199" t="s">
        <v>1050</v>
      </c>
      <c r="D140" s="199" t="s">
        <v>1147</v>
      </c>
      <c r="E140" s="203" t="s">
        <v>1148</v>
      </c>
      <c r="F140" s="60" t="s">
        <v>726</v>
      </c>
      <c r="G140" s="61">
        <v>50.0</v>
      </c>
      <c r="H140" s="62">
        <v>10.0</v>
      </c>
      <c r="I140" s="308" t="s">
        <v>128</v>
      </c>
    </row>
    <row r="141" ht="153.0" customHeight="1">
      <c r="A141" s="54" t="s">
        <v>1149</v>
      </c>
      <c r="B141" s="199" t="s">
        <v>38</v>
      </c>
      <c r="C141" s="199" t="s">
        <v>1050</v>
      </c>
      <c r="D141" s="199" t="s">
        <v>1150</v>
      </c>
      <c r="E141" s="203" t="s">
        <v>1151</v>
      </c>
      <c r="F141" s="60" t="s">
        <v>726</v>
      </c>
      <c r="G141" s="61">
        <v>50.0</v>
      </c>
      <c r="H141" s="62">
        <v>10.0</v>
      </c>
      <c r="I141" s="308" t="s">
        <v>128</v>
      </c>
    </row>
    <row r="142" ht="102.0" customHeight="1">
      <c r="A142" s="54" t="s">
        <v>1152</v>
      </c>
      <c r="B142" s="199" t="s">
        <v>38</v>
      </c>
      <c r="C142" s="199" t="s">
        <v>1050</v>
      </c>
      <c r="D142" s="199" t="s">
        <v>1153</v>
      </c>
      <c r="E142" s="203" t="s">
        <v>1154</v>
      </c>
      <c r="F142" s="60" t="s">
        <v>726</v>
      </c>
      <c r="G142" s="61">
        <v>50.0</v>
      </c>
      <c r="H142" s="62">
        <v>10.0</v>
      </c>
      <c r="I142" s="308" t="s">
        <v>128</v>
      </c>
    </row>
    <row r="143" ht="140.25" customHeight="1">
      <c r="A143" s="54" t="s">
        <v>1155</v>
      </c>
      <c r="B143" s="199" t="s">
        <v>38</v>
      </c>
      <c r="C143" s="199" t="s">
        <v>1050</v>
      </c>
      <c r="D143" s="199" t="s">
        <v>1156</v>
      </c>
      <c r="E143" s="340" t="s">
        <v>1157</v>
      </c>
      <c r="F143" s="60" t="s">
        <v>726</v>
      </c>
      <c r="G143" s="61">
        <v>50.0</v>
      </c>
      <c r="H143" s="62">
        <v>10.0</v>
      </c>
      <c r="I143" s="308" t="s">
        <v>128</v>
      </c>
    </row>
    <row r="144" ht="127.5" customHeight="1">
      <c r="A144" s="54" t="s">
        <v>1158</v>
      </c>
      <c r="B144" s="199" t="s">
        <v>38</v>
      </c>
      <c r="C144" s="199" t="s">
        <v>1050</v>
      </c>
      <c r="D144" s="199" t="s">
        <v>1159</v>
      </c>
      <c r="E144" s="340" t="s">
        <v>1160</v>
      </c>
      <c r="F144" s="60" t="s">
        <v>726</v>
      </c>
      <c r="G144" s="61">
        <v>50.0</v>
      </c>
      <c r="H144" s="62">
        <v>10.0</v>
      </c>
      <c r="I144" s="308" t="s">
        <v>128</v>
      </c>
    </row>
    <row r="145" ht="153.0" customHeight="1">
      <c r="A145" s="54" t="s">
        <v>1161</v>
      </c>
      <c r="B145" s="199" t="s">
        <v>38</v>
      </c>
      <c r="C145" s="199" t="s">
        <v>1050</v>
      </c>
      <c r="D145" s="199" t="s">
        <v>1162</v>
      </c>
      <c r="E145" s="340" t="s">
        <v>1163</v>
      </c>
      <c r="F145" s="60" t="s">
        <v>726</v>
      </c>
      <c r="G145" s="61">
        <v>50.0</v>
      </c>
      <c r="H145" s="62">
        <v>10.0</v>
      </c>
      <c r="I145" s="308" t="s">
        <v>128</v>
      </c>
    </row>
    <row r="146" ht="165.75" customHeight="1">
      <c r="A146" s="54" t="s">
        <v>1164</v>
      </c>
      <c r="B146" s="199" t="s">
        <v>38</v>
      </c>
      <c r="C146" s="199" t="s">
        <v>1050</v>
      </c>
      <c r="D146" s="199" t="s">
        <v>1165</v>
      </c>
      <c r="E146" s="340" t="s">
        <v>1166</v>
      </c>
      <c r="F146" s="60" t="s">
        <v>726</v>
      </c>
      <c r="G146" s="61">
        <v>50.0</v>
      </c>
      <c r="H146" s="62">
        <v>10.0</v>
      </c>
      <c r="I146" s="308" t="s">
        <v>128</v>
      </c>
    </row>
    <row r="147" ht="165.75" customHeight="1">
      <c r="A147" s="54" t="s">
        <v>1167</v>
      </c>
      <c r="B147" s="199" t="s">
        <v>38</v>
      </c>
      <c r="C147" s="199" t="s">
        <v>1050</v>
      </c>
      <c r="D147" s="199" t="s">
        <v>1168</v>
      </c>
      <c r="E147" s="340" t="s">
        <v>1169</v>
      </c>
      <c r="F147" s="60" t="s">
        <v>726</v>
      </c>
      <c r="G147" s="61">
        <v>50.0</v>
      </c>
      <c r="H147" s="62">
        <v>10.0</v>
      </c>
      <c r="I147" s="308" t="s">
        <v>128</v>
      </c>
    </row>
    <row r="148" ht="191.25" customHeight="1">
      <c r="A148" s="54" t="s">
        <v>1170</v>
      </c>
      <c r="B148" s="199" t="s">
        <v>38</v>
      </c>
      <c r="C148" s="199" t="s">
        <v>1050</v>
      </c>
      <c r="D148" s="199" t="s">
        <v>1171</v>
      </c>
      <c r="E148" s="203" t="s">
        <v>1172</v>
      </c>
      <c r="F148" s="60" t="s">
        <v>1173</v>
      </c>
      <c r="G148" s="61">
        <v>15.0</v>
      </c>
      <c r="H148" s="62">
        <v>3.0</v>
      </c>
      <c r="I148" s="308" t="s">
        <v>128</v>
      </c>
    </row>
    <row r="149" ht="165.75" customHeight="1">
      <c r="A149" s="54" t="s">
        <v>1174</v>
      </c>
      <c r="B149" s="199" t="s">
        <v>38</v>
      </c>
      <c r="C149" s="199" t="s">
        <v>1050</v>
      </c>
      <c r="D149" s="199" t="s">
        <v>1175</v>
      </c>
      <c r="E149" s="203" t="s">
        <v>1176</v>
      </c>
      <c r="F149" s="60" t="s">
        <v>288</v>
      </c>
      <c r="G149" s="61">
        <v>50.0</v>
      </c>
      <c r="H149" s="62">
        <v>10.0</v>
      </c>
      <c r="I149" s="308" t="s">
        <v>128</v>
      </c>
    </row>
    <row r="150" ht="102.0" customHeight="1">
      <c r="A150" s="54" t="s">
        <v>1177</v>
      </c>
      <c r="B150" s="199" t="s">
        <v>38</v>
      </c>
      <c r="C150" s="199" t="s">
        <v>1050</v>
      </c>
      <c r="D150" s="199" t="s">
        <v>1178</v>
      </c>
      <c r="E150" s="203" t="s">
        <v>1179</v>
      </c>
      <c r="F150" s="60" t="s">
        <v>1173</v>
      </c>
      <c r="G150" s="61">
        <v>15.0</v>
      </c>
      <c r="H150" s="62">
        <v>3.0</v>
      </c>
      <c r="I150" s="308" t="s">
        <v>128</v>
      </c>
    </row>
    <row r="151" ht="102.0" customHeight="1">
      <c r="A151" s="54" t="s">
        <v>1180</v>
      </c>
      <c r="B151" s="199" t="s">
        <v>38</v>
      </c>
      <c r="C151" s="199" t="s">
        <v>1050</v>
      </c>
      <c r="D151" s="199" t="s">
        <v>1181</v>
      </c>
      <c r="E151" s="58" t="s">
        <v>1182</v>
      </c>
      <c r="F151" s="60" t="s">
        <v>1173</v>
      </c>
      <c r="G151" s="61">
        <v>15.0</v>
      </c>
      <c r="H151" s="62">
        <v>3.0</v>
      </c>
      <c r="I151" s="308" t="s">
        <v>128</v>
      </c>
    </row>
    <row r="152" ht="127.5" customHeight="1">
      <c r="A152" s="54" t="s">
        <v>1183</v>
      </c>
      <c r="B152" s="199" t="s">
        <v>38</v>
      </c>
      <c r="C152" s="199" t="s">
        <v>1050</v>
      </c>
      <c r="D152" s="199" t="s">
        <v>1184</v>
      </c>
      <c r="E152" s="70" t="s">
        <v>1185</v>
      </c>
      <c r="F152" s="60" t="s">
        <v>1173</v>
      </c>
      <c r="G152" s="61">
        <v>15.0</v>
      </c>
      <c r="H152" s="62">
        <v>3.0</v>
      </c>
      <c r="I152" s="308" t="s">
        <v>128</v>
      </c>
    </row>
    <row r="153" ht="204.0" customHeight="1">
      <c r="A153" s="54" t="s">
        <v>1186</v>
      </c>
      <c r="B153" s="199" t="s">
        <v>38</v>
      </c>
      <c r="C153" s="199" t="s">
        <v>1050</v>
      </c>
      <c r="D153" s="199" t="s">
        <v>1187</v>
      </c>
      <c r="E153" s="203" t="s">
        <v>1188</v>
      </c>
      <c r="F153" s="60" t="s">
        <v>1173</v>
      </c>
      <c r="G153" s="61">
        <v>15.0</v>
      </c>
      <c r="H153" s="62">
        <v>3.0</v>
      </c>
      <c r="I153" s="308" t="s">
        <v>128</v>
      </c>
    </row>
    <row r="154" ht="165.75" customHeight="1">
      <c r="A154" s="54" t="s">
        <v>1189</v>
      </c>
      <c r="B154" s="199" t="s">
        <v>38</v>
      </c>
      <c r="C154" s="199" t="s">
        <v>1050</v>
      </c>
      <c r="D154" s="199" t="s">
        <v>1190</v>
      </c>
      <c r="E154" s="203" t="s">
        <v>1191</v>
      </c>
      <c r="F154" s="60" t="s">
        <v>726</v>
      </c>
      <c r="G154" s="61">
        <v>50.0</v>
      </c>
      <c r="H154" s="62">
        <v>10.0</v>
      </c>
      <c r="I154" s="308" t="s">
        <v>128</v>
      </c>
    </row>
    <row r="155" ht="191.25" customHeight="1">
      <c r="A155" s="54" t="s">
        <v>1192</v>
      </c>
      <c r="B155" s="199" t="s">
        <v>38</v>
      </c>
      <c r="C155" s="199" t="s">
        <v>1050</v>
      </c>
      <c r="D155" s="199" t="s">
        <v>1193</v>
      </c>
      <c r="E155" s="203" t="s">
        <v>1194</v>
      </c>
      <c r="F155" s="60" t="s">
        <v>726</v>
      </c>
      <c r="G155" s="61">
        <v>50.0</v>
      </c>
      <c r="H155" s="62">
        <v>10.0</v>
      </c>
      <c r="I155" s="308" t="s">
        <v>128</v>
      </c>
    </row>
    <row r="156" ht="229.5" customHeight="1">
      <c r="A156" s="54" t="s">
        <v>1195</v>
      </c>
      <c r="B156" s="199" t="s">
        <v>38</v>
      </c>
      <c r="C156" s="199" t="s">
        <v>1050</v>
      </c>
      <c r="D156" s="199" t="s">
        <v>1196</v>
      </c>
      <c r="E156" s="203" t="s">
        <v>1197</v>
      </c>
      <c r="F156" s="60" t="s">
        <v>726</v>
      </c>
      <c r="G156" s="61">
        <v>50.0</v>
      </c>
      <c r="H156" s="62">
        <v>10.0</v>
      </c>
      <c r="I156" s="308" t="s">
        <v>128</v>
      </c>
    </row>
    <row r="157" ht="242.25" customHeight="1">
      <c r="A157" s="54" t="s">
        <v>1198</v>
      </c>
      <c r="B157" s="199" t="s">
        <v>38</v>
      </c>
      <c r="C157" s="199" t="s">
        <v>1050</v>
      </c>
      <c r="D157" s="199" t="s">
        <v>1199</v>
      </c>
      <c r="E157" s="58" t="s">
        <v>1200</v>
      </c>
      <c r="F157" s="60" t="s">
        <v>1173</v>
      </c>
      <c r="G157" s="61">
        <v>15.0</v>
      </c>
      <c r="H157" s="62">
        <v>3.0</v>
      </c>
      <c r="I157" s="308" t="s">
        <v>128</v>
      </c>
    </row>
    <row r="158" ht="216.75" customHeight="1">
      <c r="A158" s="54" t="s">
        <v>1201</v>
      </c>
      <c r="B158" s="199" t="s">
        <v>38</v>
      </c>
      <c r="C158" s="199" t="s">
        <v>1050</v>
      </c>
      <c r="D158" s="199" t="s">
        <v>1202</v>
      </c>
      <c r="E158" s="58" t="s">
        <v>1203</v>
      </c>
      <c r="F158" s="60" t="s">
        <v>1173</v>
      </c>
      <c r="G158" s="61">
        <v>15.0</v>
      </c>
      <c r="H158" s="62">
        <v>3.0</v>
      </c>
      <c r="I158" s="308" t="s">
        <v>128</v>
      </c>
    </row>
    <row r="159" ht="102.0" customHeight="1">
      <c r="A159" s="54" t="s">
        <v>1204</v>
      </c>
      <c r="B159" s="199" t="s">
        <v>38</v>
      </c>
      <c r="C159" s="199" t="s">
        <v>1050</v>
      </c>
      <c r="D159" s="199" t="s">
        <v>1205</v>
      </c>
      <c r="E159" s="58" t="s">
        <v>1206</v>
      </c>
      <c r="F159" s="60" t="s">
        <v>1173</v>
      </c>
      <c r="G159" s="61">
        <v>15.0</v>
      </c>
      <c r="H159" s="62">
        <v>3.0</v>
      </c>
      <c r="I159" s="308" t="s">
        <v>128</v>
      </c>
    </row>
    <row r="160" ht="127.5" customHeight="1">
      <c r="A160" s="54" t="s">
        <v>1207</v>
      </c>
      <c r="B160" s="199" t="s">
        <v>38</v>
      </c>
      <c r="C160" s="199" t="s">
        <v>1050</v>
      </c>
      <c r="D160" s="199" t="s">
        <v>1208</v>
      </c>
      <c r="E160" s="58" t="s">
        <v>1209</v>
      </c>
      <c r="F160" s="60" t="s">
        <v>1173</v>
      </c>
      <c r="G160" s="61">
        <v>15.0</v>
      </c>
      <c r="H160" s="62">
        <v>3.0</v>
      </c>
      <c r="I160" s="308" t="s">
        <v>128</v>
      </c>
    </row>
    <row r="161" ht="191.25" customHeight="1">
      <c r="A161" s="54" t="s">
        <v>1210</v>
      </c>
      <c r="B161" s="199" t="s">
        <v>38</v>
      </c>
      <c r="C161" s="199" t="s">
        <v>1050</v>
      </c>
      <c r="D161" s="199" t="s">
        <v>1211</v>
      </c>
      <c r="E161" s="58" t="s">
        <v>1212</v>
      </c>
      <c r="F161" s="60" t="s">
        <v>1173</v>
      </c>
      <c r="G161" s="61">
        <v>15.0</v>
      </c>
      <c r="H161" s="62">
        <v>3.0</v>
      </c>
      <c r="I161" s="308" t="s">
        <v>128</v>
      </c>
    </row>
    <row r="162" ht="140.25" customHeight="1">
      <c r="A162" s="54" t="s">
        <v>1213</v>
      </c>
      <c r="B162" s="199" t="s">
        <v>38</v>
      </c>
      <c r="C162" s="199" t="s">
        <v>1050</v>
      </c>
      <c r="D162" s="199" t="s">
        <v>1214</v>
      </c>
      <c r="E162" s="58" t="s">
        <v>1215</v>
      </c>
      <c r="F162" s="60" t="s">
        <v>1173</v>
      </c>
      <c r="G162" s="61">
        <v>15.0</v>
      </c>
      <c r="H162" s="62">
        <v>3.0</v>
      </c>
      <c r="I162" s="308" t="s">
        <v>128</v>
      </c>
    </row>
    <row r="163" ht="216.75" customHeight="1">
      <c r="A163" s="54" t="s">
        <v>1216</v>
      </c>
      <c r="B163" s="199" t="s">
        <v>38</v>
      </c>
      <c r="C163" s="199" t="s">
        <v>1050</v>
      </c>
      <c r="D163" s="199" t="s">
        <v>1217</v>
      </c>
      <c r="E163" s="58" t="s">
        <v>1218</v>
      </c>
      <c r="F163" s="60" t="s">
        <v>1173</v>
      </c>
      <c r="G163" s="61">
        <v>15.0</v>
      </c>
      <c r="H163" s="62">
        <v>3.0</v>
      </c>
      <c r="I163" s="308" t="s">
        <v>128</v>
      </c>
    </row>
    <row r="164" ht="165.75" customHeight="1">
      <c r="A164" s="54" t="s">
        <v>1219</v>
      </c>
      <c r="B164" s="199" t="s">
        <v>38</v>
      </c>
      <c r="C164" s="199" t="s">
        <v>1050</v>
      </c>
      <c r="D164" s="199" t="s">
        <v>1220</v>
      </c>
      <c r="E164" s="58" t="s">
        <v>1221</v>
      </c>
      <c r="F164" s="60" t="s">
        <v>1173</v>
      </c>
      <c r="G164" s="61">
        <v>15.0</v>
      </c>
      <c r="H164" s="62">
        <v>3.0</v>
      </c>
      <c r="I164" s="308" t="s">
        <v>128</v>
      </c>
    </row>
    <row r="165" ht="140.25" customHeight="1">
      <c r="A165" s="54" t="s">
        <v>1222</v>
      </c>
      <c r="B165" s="199" t="s">
        <v>38</v>
      </c>
      <c r="C165" s="199" t="s">
        <v>1050</v>
      </c>
      <c r="D165" s="199" t="s">
        <v>1223</v>
      </c>
      <c r="E165" s="58" t="s">
        <v>1224</v>
      </c>
      <c r="F165" s="60" t="s">
        <v>1225</v>
      </c>
      <c r="G165" s="61">
        <v>15.0</v>
      </c>
      <c r="H165" s="62">
        <v>3.0</v>
      </c>
      <c r="I165" s="308" t="s">
        <v>128</v>
      </c>
    </row>
    <row r="166" ht="114.75" customHeight="1">
      <c r="A166" s="54" t="s">
        <v>1226</v>
      </c>
      <c r="B166" s="199" t="s">
        <v>38</v>
      </c>
      <c r="C166" s="199" t="s">
        <v>1050</v>
      </c>
      <c r="D166" s="199" t="s">
        <v>1227</v>
      </c>
      <c r="E166" s="58" t="s">
        <v>1228</v>
      </c>
      <c r="F166" s="60" t="s">
        <v>726</v>
      </c>
      <c r="G166" s="61">
        <v>50.0</v>
      </c>
      <c r="H166" s="62">
        <v>10.0</v>
      </c>
      <c r="I166" s="308" t="s">
        <v>128</v>
      </c>
    </row>
    <row r="167" ht="178.5" customHeight="1">
      <c r="A167" s="54" t="s">
        <v>1229</v>
      </c>
      <c r="B167" s="199" t="s">
        <v>38</v>
      </c>
      <c r="C167" s="199" t="s">
        <v>1050</v>
      </c>
      <c r="D167" s="199" t="s">
        <v>1230</v>
      </c>
      <c r="E167" s="58" t="s">
        <v>1231</v>
      </c>
      <c r="F167" s="60" t="s">
        <v>288</v>
      </c>
      <c r="G167" s="61">
        <v>50.0</v>
      </c>
      <c r="H167" s="62">
        <v>10.0</v>
      </c>
      <c r="I167" s="308" t="s">
        <v>128</v>
      </c>
    </row>
    <row r="168" ht="114.75" customHeight="1">
      <c r="A168" s="54" t="s">
        <v>1232</v>
      </c>
      <c r="B168" s="199" t="s">
        <v>38</v>
      </c>
      <c r="C168" s="199" t="s">
        <v>1050</v>
      </c>
      <c r="D168" s="199" t="s">
        <v>1233</v>
      </c>
      <c r="E168" s="58" t="s">
        <v>1234</v>
      </c>
      <c r="F168" s="60" t="s">
        <v>288</v>
      </c>
      <c r="G168" s="61">
        <v>50.0</v>
      </c>
      <c r="H168" s="62">
        <v>10.0</v>
      </c>
      <c r="I168" s="308" t="s">
        <v>128</v>
      </c>
    </row>
    <row r="169" ht="165.75" customHeight="1">
      <c r="A169" s="54" t="s">
        <v>1235</v>
      </c>
      <c r="B169" s="199" t="s">
        <v>38</v>
      </c>
      <c r="C169" s="199" t="s">
        <v>1050</v>
      </c>
      <c r="D169" s="199" t="s">
        <v>1236</v>
      </c>
      <c r="E169" s="58" t="s">
        <v>1237</v>
      </c>
      <c r="F169" s="60" t="s">
        <v>288</v>
      </c>
      <c r="G169" s="61">
        <v>50.0</v>
      </c>
      <c r="H169" s="62">
        <v>10.0</v>
      </c>
      <c r="I169" s="308" t="s">
        <v>128</v>
      </c>
    </row>
    <row r="170" ht="127.5" customHeight="1">
      <c r="A170" s="54" t="s">
        <v>1238</v>
      </c>
      <c r="B170" s="199" t="s">
        <v>38</v>
      </c>
      <c r="C170" s="199" t="s">
        <v>1050</v>
      </c>
      <c r="D170" s="199" t="s">
        <v>1239</v>
      </c>
      <c r="E170" s="58" t="s">
        <v>1240</v>
      </c>
      <c r="F170" s="60" t="s">
        <v>1173</v>
      </c>
      <c r="G170" s="61">
        <v>15.0</v>
      </c>
      <c r="H170" s="62">
        <v>3.0</v>
      </c>
      <c r="I170" s="308" t="s">
        <v>128</v>
      </c>
    </row>
    <row r="171" ht="165.75" customHeight="1">
      <c r="A171" s="54" t="s">
        <v>1241</v>
      </c>
      <c r="B171" s="199" t="s">
        <v>38</v>
      </c>
      <c r="C171" s="199" t="s">
        <v>1050</v>
      </c>
      <c r="D171" s="199" t="s">
        <v>1242</v>
      </c>
      <c r="E171" s="58" t="s">
        <v>1243</v>
      </c>
      <c r="F171" s="60" t="s">
        <v>726</v>
      </c>
      <c r="G171" s="61">
        <v>50.0</v>
      </c>
      <c r="H171" s="62">
        <v>10.0</v>
      </c>
      <c r="I171" s="308" t="s">
        <v>128</v>
      </c>
    </row>
    <row r="172" ht="114.75" customHeight="1">
      <c r="A172" s="54" t="s">
        <v>1244</v>
      </c>
      <c r="B172" s="199" t="s">
        <v>38</v>
      </c>
      <c r="C172" s="199" t="s">
        <v>1050</v>
      </c>
      <c r="D172" s="199" t="s">
        <v>1245</v>
      </c>
      <c r="E172" s="58" t="s">
        <v>1246</v>
      </c>
      <c r="F172" s="60" t="s">
        <v>1173</v>
      </c>
      <c r="G172" s="61">
        <v>15.0</v>
      </c>
      <c r="H172" s="62">
        <v>3.0</v>
      </c>
      <c r="I172" s="308" t="s">
        <v>128</v>
      </c>
    </row>
    <row r="173" ht="127.5" customHeight="1">
      <c r="A173" s="54" t="s">
        <v>1247</v>
      </c>
      <c r="B173" s="199" t="s">
        <v>38</v>
      </c>
      <c r="C173" s="199" t="s">
        <v>1050</v>
      </c>
      <c r="D173" s="199" t="s">
        <v>1248</v>
      </c>
      <c r="E173" s="58" t="s">
        <v>1249</v>
      </c>
      <c r="F173" s="60" t="s">
        <v>1173</v>
      </c>
      <c r="G173" s="61">
        <v>15.0</v>
      </c>
      <c r="H173" s="62">
        <v>3.0</v>
      </c>
      <c r="I173" s="308" t="s">
        <v>128</v>
      </c>
    </row>
    <row r="174" ht="178.5" customHeight="1">
      <c r="A174" s="54" t="s">
        <v>1250</v>
      </c>
      <c r="B174" s="199" t="s">
        <v>38</v>
      </c>
      <c r="C174" s="199" t="s">
        <v>1050</v>
      </c>
      <c r="D174" s="199" t="s">
        <v>1251</v>
      </c>
      <c r="E174" s="58" t="s">
        <v>1252</v>
      </c>
      <c r="F174" s="60" t="s">
        <v>1173</v>
      </c>
      <c r="G174" s="61">
        <v>15.0</v>
      </c>
      <c r="H174" s="62">
        <v>3.0</v>
      </c>
      <c r="I174" s="308" t="s">
        <v>128</v>
      </c>
    </row>
    <row r="175" ht="165.75" customHeight="1">
      <c r="A175" s="54" t="s">
        <v>1253</v>
      </c>
      <c r="B175" s="199" t="s">
        <v>38</v>
      </c>
      <c r="C175" s="199" t="s">
        <v>1050</v>
      </c>
      <c r="D175" s="199" t="s">
        <v>1254</v>
      </c>
      <c r="E175" s="340" t="s">
        <v>1255</v>
      </c>
      <c r="F175" s="60" t="s">
        <v>726</v>
      </c>
      <c r="G175" s="61">
        <v>50.0</v>
      </c>
      <c r="H175" s="62">
        <v>10.0</v>
      </c>
      <c r="I175" s="308" t="s">
        <v>128</v>
      </c>
    </row>
    <row r="176" ht="178.5" customHeight="1">
      <c r="A176" s="97" t="s">
        <v>1256</v>
      </c>
      <c r="B176" s="326" t="s">
        <v>38</v>
      </c>
      <c r="C176" s="97" t="s">
        <v>1257</v>
      </c>
      <c r="D176" s="97" t="s">
        <v>1258</v>
      </c>
      <c r="E176" s="341" t="s">
        <v>1259</v>
      </c>
      <c r="F176" s="60" t="s">
        <v>726</v>
      </c>
      <c r="G176" s="61">
        <v>50.0</v>
      </c>
      <c r="H176" s="62">
        <v>25.0</v>
      </c>
      <c r="I176" s="308" t="s">
        <v>128</v>
      </c>
    </row>
    <row r="177" ht="153.0" customHeight="1">
      <c r="A177" s="97" t="s">
        <v>1256</v>
      </c>
      <c r="B177" s="326" t="s">
        <v>38</v>
      </c>
      <c r="C177" s="97" t="s">
        <v>1257</v>
      </c>
      <c r="D177" s="52" t="s">
        <v>1260</v>
      </c>
      <c r="E177" s="58" t="s">
        <v>1261</v>
      </c>
      <c r="F177" s="60" t="s">
        <v>726</v>
      </c>
      <c r="G177" s="61">
        <v>50.0</v>
      </c>
      <c r="H177" s="62">
        <v>25.0</v>
      </c>
      <c r="I177" s="308" t="s">
        <v>128</v>
      </c>
    </row>
    <row r="178" ht="178.5" customHeight="1">
      <c r="A178" s="97" t="s">
        <v>1256</v>
      </c>
      <c r="B178" s="326" t="s">
        <v>38</v>
      </c>
      <c r="C178" s="97" t="s">
        <v>1257</v>
      </c>
      <c r="D178" s="52" t="s">
        <v>1262</v>
      </c>
      <c r="E178" s="274" t="s">
        <v>1263</v>
      </c>
      <c r="F178" s="60" t="s">
        <v>799</v>
      </c>
      <c r="G178" s="61">
        <v>15.0</v>
      </c>
      <c r="H178" s="62">
        <v>7.5</v>
      </c>
      <c r="I178" s="308" t="s">
        <v>128</v>
      </c>
    </row>
    <row r="179" ht="153.0" customHeight="1">
      <c r="A179" s="97" t="s">
        <v>1256</v>
      </c>
      <c r="B179" s="326" t="s">
        <v>38</v>
      </c>
      <c r="C179" s="97" t="s">
        <v>1257</v>
      </c>
      <c r="D179" s="52" t="s">
        <v>1264</v>
      </c>
      <c r="E179" s="342" t="s">
        <v>1265</v>
      </c>
      <c r="F179" s="60" t="s">
        <v>726</v>
      </c>
      <c r="G179" s="61">
        <v>50.0</v>
      </c>
      <c r="H179" s="62">
        <v>25.0</v>
      </c>
      <c r="I179" s="308" t="s">
        <v>128</v>
      </c>
    </row>
    <row r="180" ht="114.75" customHeight="1">
      <c r="A180" s="97" t="s">
        <v>1256</v>
      </c>
      <c r="B180" s="199" t="s">
        <v>38</v>
      </c>
      <c r="C180" s="135" t="s">
        <v>1266</v>
      </c>
      <c r="D180" s="135" t="s">
        <v>1267</v>
      </c>
      <c r="E180" s="341" t="s">
        <v>1268</v>
      </c>
      <c r="F180" s="98" t="s">
        <v>726</v>
      </c>
      <c r="G180" s="343">
        <v>50.0</v>
      </c>
      <c r="H180" s="344">
        <v>25.0</v>
      </c>
      <c r="I180" s="308" t="s">
        <v>128</v>
      </c>
    </row>
    <row r="181" ht="165.75" customHeight="1">
      <c r="A181" s="97" t="s">
        <v>1269</v>
      </c>
      <c r="B181" s="199" t="s">
        <v>38</v>
      </c>
      <c r="C181" s="52" t="s">
        <v>1270</v>
      </c>
      <c r="D181" s="199" t="s">
        <v>1271</v>
      </c>
      <c r="E181" s="340" t="s">
        <v>1272</v>
      </c>
      <c r="F181" s="60" t="s">
        <v>726</v>
      </c>
      <c r="G181" s="61">
        <v>50.0</v>
      </c>
      <c r="H181" s="62">
        <v>25.0</v>
      </c>
      <c r="I181" s="308" t="s">
        <v>128</v>
      </c>
    </row>
    <row r="182" ht="191.25" customHeight="1">
      <c r="A182" s="97" t="s">
        <v>1269</v>
      </c>
      <c r="B182" s="199" t="s">
        <v>38</v>
      </c>
      <c r="C182" s="52" t="s">
        <v>1270</v>
      </c>
      <c r="D182" s="199" t="s">
        <v>1273</v>
      </c>
      <c r="E182" s="203" t="s">
        <v>1274</v>
      </c>
      <c r="F182" s="60" t="s">
        <v>1275</v>
      </c>
      <c r="G182" s="61">
        <v>50.0</v>
      </c>
      <c r="H182" s="62">
        <v>25.0</v>
      </c>
      <c r="I182" s="308" t="s">
        <v>128</v>
      </c>
    </row>
    <row r="183" ht="140.25" customHeight="1">
      <c r="A183" s="97" t="s">
        <v>1276</v>
      </c>
      <c r="B183" s="199" t="s">
        <v>38</v>
      </c>
      <c r="C183" s="52" t="s">
        <v>1277</v>
      </c>
      <c r="D183" s="199" t="s">
        <v>1278</v>
      </c>
      <c r="E183" s="340" t="s">
        <v>1279</v>
      </c>
      <c r="F183" s="60" t="s">
        <v>726</v>
      </c>
      <c r="G183" s="61">
        <v>50.0</v>
      </c>
      <c r="H183" s="62">
        <v>7.14</v>
      </c>
      <c r="I183" s="308" t="s">
        <v>128</v>
      </c>
    </row>
    <row r="184" ht="114.75" customHeight="1">
      <c r="A184" s="97" t="s">
        <v>1276</v>
      </c>
      <c r="B184" s="199" t="s">
        <v>38</v>
      </c>
      <c r="C184" s="52" t="s">
        <v>1277</v>
      </c>
      <c r="D184" s="199" t="s">
        <v>1280</v>
      </c>
      <c r="E184" s="58" t="s">
        <v>1281</v>
      </c>
      <c r="F184" s="60" t="s">
        <v>726</v>
      </c>
      <c r="G184" s="61">
        <v>50.0</v>
      </c>
      <c r="H184" s="62">
        <v>7.14</v>
      </c>
      <c r="I184" s="308" t="s">
        <v>128</v>
      </c>
    </row>
    <row r="185" ht="191.25" customHeight="1">
      <c r="A185" s="97" t="s">
        <v>1282</v>
      </c>
      <c r="B185" s="199" t="s">
        <v>38</v>
      </c>
      <c r="C185" s="52" t="s">
        <v>1283</v>
      </c>
      <c r="D185" s="52" t="s">
        <v>1284</v>
      </c>
      <c r="E185" s="203" t="s">
        <v>1274</v>
      </c>
      <c r="F185" s="60" t="s">
        <v>1275</v>
      </c>
      <c r="G185" s="61">
        <v>50.0</v>
      </c>
      <c r="H185" s="62">
        <v>25.0</v>
      </c>
      <c r="I185" s="308" t="s">
        <v>128</v>
      </c>
    </row>
    <row r="186" ht="153.0" customHeight="1">
      <c r="A186" s="97" t="s">
        <v>1285</v>
      </c>
      <c r="B186" s="199" t="s">
        <v>38</v>
      </c>
      <c r="C186" s="52" t="s">
        <v>1286</v>
      </c>
      <c r="D186" s="52" t="s">
        <v>1287</v>
      </c>
      <c r="E186" s="203" t="s">
        <v>1288</v>
      </c>
      <c r="F186" s="60" t="s">
        <v>1289</v>
      </c>
      <c r="G186" s="61">
        <v>50.0</v>
      </c>
      <c r="H186" s="62">
        <v>25.0</v>
      </c>
      <c r="I186" s="308" t="s">
        <v>128</v>
      </c>
    </row>
    <row r="187" ht="127.5" customHeight="1">
      <c r="A187" s="52" t="s">
        <v>1285</v>
      </c>
      <c r="B187" s="199" t="s">
        <v>38</v>
      </c>
      <c r="C187" s="52" t="s">
        <v>1286</v>
      </c>
      <c r="D187" s="52" t="s">
        <v>1290</v>
      </c>
      <c r="E187" s="331" t="s">
        <v>1291</v>
      </c>
      <c r="F187" s="60" t="s">
        <v>726</v>
      </c>
      <c r="G187" s="61">
        <v>50.0</v>
      </c>
      <c r="H187" s="62">
        <v>25.0</v>
      </c>
      <c r="I187" s="308" t="s">
        <v>128</v>
      </c>
    </row>
    <row r="188" ht="165.75" customHeight="1">
      <c r="A188" s="52" t="s">
        <v>1285</v>
      </c>
      <c r="B188" s="199" t="s">
        <v>38</v>
      </c>
      <c r="C188" s="52" t="s">
        <v>1286</v>
      </c>
      <c r="D188" s="52" t="s">
        <v>1292</v>
      </c>
      <c r="E188" s="58" t="s">
        <v>1293</v>
      </c>
      <c r="F188" s="60" t="s">
        <v>1275</v>
      </c>
      <c r="G188" s="61">
        <v>50.0</v>
      </c>
      <c r="H188" s="62">
        <v>25.0</v>
      </c>
      <c r="I188" s="308" t="s">
        <v>128</v>
      </c>
    </row>
    <row r="189" ht="153.0" customHeight="1">
      <c r="A189" s="97" t="s">
        <v>1294</v>
      </c>
      <c r="B189" s="199" t="s">
        <v>38</v>
      </c>
      <c r="C189" s="52" t="s">
        <v>1295</v>
      </c>
      <c r="D189" s="52" t="s">
        <v>1296</v>
      </c>
      <c r="E189" s="58" t="s">
        <v>1297</v>
      </c>
      <c r="F189" s="60" t="s">
        <v>1173</v>
      </c>
      <c r="G189" s="61">
        <v>15.0</v>
      </c>
      <c r="H189" s="62">
        <v>3.0</v>
      </c>
      <c r="I189" s="308" t="s">
        <v>128</v>
      </c>
    </row>
    <row r="190" ht="153.0" customHeight="1">
      <c r="A190" s="97" t="s">
        <v>1294</v>
      </c>
      <c r="B190" s="199" t="s">
        <v>38</v>
      </c>
      <c r="C190" s="52" t="s">
        <v>1295</v>
      </c>
      <c r="D190" s="52" t="s">
        <v>1298</v>
      </c>
      <c r="E190" s="203" t="s">
        <v>1299</v>
      </c>
      <c r="F190" s="60" t="s">
        <v>1300</v>
      </c>
      <c r="G190" s="61">
        <v>15.0</v>
      </c>
      <c r="H190" s="62">
        <v>3.0</v>
      </c>
      <c r="I190" s="308" t="s">
        <v>128</v>
      </c>
    </row>
    <row r="191" ht="191.25" customHeight="1">
      <c r="A191" s="97" t="s">
        <v>1301</v>
      </c>
      <c r="B191" s="199" t="s">
        <v>38</v>
      </c>
      <c r="C191" s="52" t="s">
        <v>1302</v>
      </c>
      <c r="D191" s="52" t="s">
        <v>1284</v>
      </c>
      <c r="E191" s="203" t="s">
        <v>1274</v>
      </c>
      <c r="F191" s="60" t="s">
        <v>1275</v>
      </c>
      <c r="G191" s="61">
        <v>50.0</v>
      </c>
      <c r="H191" s="62">
        <v>25.0</v>
      </c>
      <c r="I191" s="308" t="s">
        <v>128</v>
      </c>
    </row>
    <row r="192" ht="165.75" customHeight="1">
      <c r="A192" s="52" t="s">
        <v>1301</v>
      </c>
      <c r="B192" s="199" t="s">
        <v>38</v>
      </c>
      <c r="C192" s="52" t="s">
        <v>1302</v>
      </c>
      <c r="D192" s="52" t="s">
        <v>1292</v>
      </c>
      <c r="E192" s="58" t="s">
        <v>1293</v>
      </c>
      <c r="F192" s="60" t="s">
        <v>1275</v>
      </c>
      <c r="G192" s="61">
        <v>50.0</v>
      </c>
      <c r="H192" s="62">
        <v>25.0</v>
      </c>
      <c r="I192" s="308" t="s">
        <v>128</v>
      </c>
    </row>
    <row r="193" ht="127.5" customHeight="1">
      <c r="A193" s="52" t="s">
        <v>1301</v>
      </c>
      <c r="B193" s="199" t="s">
        <v>38</v>
      </c>
      <c r="C193" s="52" t="s">
        <v>1302</v>
      </c>
      <c r="D193" s="52" t="s">
        <v>1290</v>
      </c>
      <c r="E193" s="331" t="s">
        <v>1291</v>
      </c>
      <c r="F193" s="60" t="s">
        <v>726</v>
      </c>
      <c r="G193" s="61">
        <v>50.0</v>
      </c>
      <c r="H193" s="62">
        <v>25.0</v>
      </c>
      <c r="I193" s="308" t="s">
        <v>128</v>
      </c>
    </row>
    <row r="194" ht="216.75" customHeight="1">
      <c r="A194" s="97" t="s">
        <v>1303</v>
      </c>
      <c r="B194" s="199" t="s">
        <v>38</v>
      </c>
      <c r="C194" s="52" t="s">
        <v>1304</v>
      </c>
      <c r="D194" s="52" t="s">
        <v>1305</v>
      </c>
      <c r="E194" s="331" t="s">
        <v>1306</v>
      </c>
      <c r="F194" s="60" t="s">
        <v>799</v>
      </c>
      <c r="G194" s="61">
        <v>15.0</v>
      </c>
      <c r="H194" s="62">
        <v>7.5</v>
      </c>
      <c r="I194" s="308" t="s">
        <v>128</v>
      </c>
    </row>
    <row r="195" ht="153.0" customHeight="1">
      <c r="A195" s="52" t="s">
        <v>1307</v>
      </c>
      <c r="B195" s="199" t="s">
        <v>38</v>
      </c>
      <c r="C195" s="52" t="s">
        <v>1304</v>
      </c>
      <c r="D195" s="52" t="s">
        <v>1308</v>
      </c>
      <c r="E195" s="345" t="s">
        <v>1309</v>
      </c>
      <c r="F195" s="60" t="s">
        <v>1275</v>
      </c>
      <c r="G195" s="61">
        <v>50.0</v>
      </c>
      <c r="H195" s="62">
        <v>25.0</v>
      </c>
      <c r="I195" s="308" t="s">
        <v>128</v>
      </c>
    </row>
    <row r="196" ht="77.25" customHeight="1">
      <c r="A196" s="134" t="s">
        <v>1310</v>
      </c>
      <c r="B196" s="199" t="s">
        <v>38</v>
      </c>
      <c r="C196" s="346" t="s">
        <v>1311</v>
      </c>
      <c r="D196" s="52" t="s">
        <v>1312</v>
      </c>
      <c r="E196" s="345" t="s">
        <v>1313</v>
      </c>
      <c r="F196" s="60" t="s">
        <v>799</v>
      </c>
      <c r="G196" s="61">
        <v>15.0</v>
      </c>
      <c r="H196" s="62">
        <v>2.5</v>
      </c>
      <c r="I196" s="308" t="s">
        <v>128</v>
      </c>
    </row>
    <row r="197" ht="165.75" customHeight="1">
      <c r="A197" s="347" t="s">
        <v>1314</v>
      </c>
      <c r="B197" s="199" t="s">
        <v>38</v>
      </c>
      <c r="C197" s="348" t="s">
        <v>1315</v>
      </c>
      <c r="D197" s="52" t="s">
        <v>1316</v>
      </c>
      <c r="E197" s="345" t="s">
        <v>1317</v>
      </c>
      <c r="F197" s="60" t="s">
        <v>726</v>
      </c>
      <c r="G197" s="61">
        <v>50.0</v>
      </c>
      <c r="H197" s="62">
        <v>8.33</v>
      </c>
      <c r="I197" s="308" t="s">
        <v>128</v>
      </c>
    </row>
    <row r="198" ht="114.75" customHeight="1">
      <c r="A198" s="52" t="s">
        <v>1318</v>
      </c>
      <c r="B198" s="199" t="s">
        <v>38</v>
      </c>
      <c r="C198" s="52" t="s">
        <v>1319</v>
      </c>
      <c r="D198" s="52" t="s">
        <v>1320</v>
      </c>
      <c r="E198" s="345" t="s">
        <v>1321</v>
      </c>
      <c r="F198" s="60" t="s">
        <v>1173</v>
      </c>
      <c r="G198" s="61">
        <v>15.0</v>
      </c>
      <c r="H198" s="62">
        <v>2.14</v>
      </c>
      <c r="I198" s="308" t="s">
        <v>128</v>
      </c>
    </row>
    <row r="199" ht="114.75" customHeight="1">
      <c r="A199" s="52" t="s">
        <v>1318</v>
      </c>
      <c r="B199" s="199" t="s">
        <v>38</v>
      </c>
      <c r="C199" s="52" t="s">
        <v>1319</v>
      </c>
      <c r="D199" s="52" t="s">
        <v>1322</v>
      </c>
      <c r="E199" s="345" t="s">
        <v>1323</v>
      </c>
      <c r="F199" s="60" t="s">
        <v>1173</v>
      </c>
      <c r="G199" s="61">
        <v>15.0</v>
      </c>
      <c r="H199" s="62">
        <v>2.14</v>
      </c>
      <c r="I199" s="308" t="s">
        <v>128</v>
      </c>
    </row>
    <row r="200" ht="102.0" customHeight="1">
      <c r="A200" s="97" t="s">
        <v>1324</v>
      </c>
      <c r="B200" s="199" t="s">
        <v>38</v>
      </c>
      <c r="C200" s="97" t="s">
        <v>1325</v>
      </c>
      <c r="D200" s="326" t="s">
        <v>1326</v>
      </c>
      <c r="E200" s="342" t="s">
        <v>1327</v>
      </c>
      <c r="F200" s="98" t="s">
        <v>1328</v>
      </c>
      <c r="G200" s="343">
        <v>50.0</v>
      </c>
      <c r="H200" s="344">
        <f>G200/2</f>
        <v>25</v>
      </c>
      <c r="I200" s="308" t="s">
        <v>128</v>
      </c>
    </row>
    <row r="201" ht="153.0" customHeight="1">
      <c r="A201" s="97" t="s">
        <v>1329</v>
      </c>
      <c r="B201" s="199" t="s">
        <v>38</v>
      </c>
      <c r="C201" s="97" t="s">
        <v>1325</v>
      </c>
      <c r="D201" s="52" t="s">
        <v>1330</v>
      </c>
      <c r="E201" s="345" t="s">
        <v>1331</v>
      </c>
      <c r="F201" s="60" t="s">
        <v>726</v>
      </c>
      <c r="G201" s="61">
        <v>50.0</v>
      </c>
      <c r="H201" s="62">
        <v>25.0</v>
      </c>
      <c r="I201" s="308" t="s">
        <v>128</v>
      </c>
    </row>
    <row r="202" ht="127.5" customHeight="1">
      <c r="A202" s="237" t="s">
        <v>1332</v>
      </c>
      <c r="B202" s="191" t="s">
        <v>530</v>
      </c>
      <c r="C202" s="121" t="s">
        <v>1333</v>
      </c>
      <c r="D202" s="121" t="s">
        <v>1334</v>
      </c>
      <c r="E202" s="159" t="s">
        <v>1335</v>
      </c>
      <c r="F202" s="349" t="s">
        <v>1336</v>
      </c>
      <c r="G202" s="234">
        <v>50.0</v>
      </c>
      <c r="H202" s="235">
        <f t="shared" ref="H202:H203" si="6">G202/2</f>
        <v>25</v>
      </c>
      <c r="I202" s="308" t="s">
        <v>222</v>
      </c>
    </row>
    <row r="203" ht="140.25" customHeight="1">
      <c r="A203" s="237" t="s">
        <v>1337</v>
      </c>
      <c r="B203" s="191" t="s">
        <v>38</v>
      </c>
      <c r="C203" s="121" t="s">
        <v>1338</v>
      </c>
      <c r="D203" s="121" t="s">
        <v>1339</v>
      </c>
      <c r="E203" s="159" t="s">
        <v>1340</v>
      </c>
      <c r="F203" s="60" t="s">
        <v>799</v>
      </c>
      <c r="G203" s="234">
        <v>15.0</v>
      </c>
      <c r="H203" s="235">
        <f t="shared" si="6"/>
        <v>7.5</v>
      </c>
      <c r="I203" s="308" t="s">
        <v>222</v>
      </c>
    </row>
    <row r="204" ht="242.25" customHeight="1">
      <c r="A204" s="52" t="s">
        <v>1341</v>
      </c>
      <c r="B204" s="191" t="s">
        <v>38</v>
      </c>
      <c r="C204" s="60" t="s">
        <v>1342</v>
      </c>
      <c r="D204" s="60" t="s">
        <v>1343</v>
      </c>
      <c r="E204" s="60"/>
      <c r="F204" s="60" t="s">
        <v>745</v>
      </c>
      <c r="G204" s="61">
        <v>50.0</v>
      </c>
      <c r="H204" s="62">
        <v>25.0</v>
      </c>
      <c r="I204" s="308" t="s">
        <v>222</v>
      </c>
      <c r="J204" s="247"/>
      <c r="K204" s="247"/>
      <c r="L204" s="247"/>
      <c r="M204" s="247"/>
      <c r="N204" s="247"/>
      <c r="O204" s="247"/>
      <c r="P204" s="247"/>
      <c r="Q204" s="247"/>
      <c r="R204" s="247"/>
      <c r="S204" s="247"/>
      <c r="T204" s="247"/>
      <c r="U204" s="247"/>
      <c r="V204" s="247"/>
      <c r="W204" s="247"/>
      <c r="X204" s="247"/>
      <c r="Y204" s="247"/>
      <c r="Z204" s="247"/>
    </row>
    <row r="205" ht="127.5" customHeight="1">
      <c r="A205" s="52" t="s">
        <v>1344</v>
      </c>
      <c r="B205" s="199" t="s">
        <v>38</v>
      </c>
      <c r="C205" s="60" t="s">
        <v>719</v>
      </c>
      <c r="D205" s="60" t="s">
        <v>1345</v>
      </c>
      <c r="E205" s="165" t="s">
        <v>721</v>
      </c>
      <c r="F205" s="60"/>
      <c r="G205" s="61">
        <v>15.0</v>
      </c>
      <c r="H205" s="235">
        <v>3.75</v>
      </c>
      <c r="I205" s="308" t="s">
        <v>222</v>
      </c>
    </row>
    <row r="206" ht="127.5" customHeight="1">
      <c r="A206" s="237" t="s">
        <v>1332</v>
      </c>
      <c r="B206" s="191" t="s">
        <v>530</v>
      </c>
      <c r="C206" s="121" t="s">
        <v>1333</v>
      </c>
      <c r="D206" s="121" t="s">
        <v>1334</v>
      </c>
      <c r="E206" s="159" t="s">
        <v>1335</v>
      </c>
      <c r="F206" s="349" t="s">
        <v>1336</v>
      </c>
      <c r="G206" s="234">
        <v>50.0</v>
      </c>
      <c r="H206" s="235">
        <f>G206/2</f>
        <v>25</v>
      </c>
      <c r="I206" s="308" t="s">
        <v>223</v>
      </c>
    </row>
    <row r="207" ht="242.25" customHeight="1">
      <c r="A207" s="52" t="s">
        <v>1341</v>
      </c>
      <c r="B207" s="191" t="s">
        <v>38</v>
      </c>
      <c r="C207" s="60" t="s">
        <v>1342</v>
      </c>
      <c r="D207" s="60" t="s">
        <v>1343</v>
      </c>
      <c r="E207" s="60"/>
      <c r="F207" s="60" t="s">
        <v>745</v>
      </c>
      <c r="G207" s="61">
        <v>50.0</v>
      </c>
      <c r="H207" s="62">
        <v>25.0</v>
      </c>
      <c r="I207" s="308" t="s">
        <v>223</v>
      </c>
      <c r="J207" s="247"/>
      <c r="K207" s="247"/>
      <c r="L207" s="247"/>
      <c r="M207" s="247"/>
      <c r="N207" s="247"/>
      <c r="O207" s="247"/>
      <c r="P207" s="247"/>
      <c r="Q207" s="247"/>
      <c r="R207" s="247"/>
      <c r="S207" s="247"/>
      <c r="T207" s="247"/>
      <c r="U207" s="247"/>
      <c r="V207" s="247"/>
      <c r="W207" s="247"/>
      <c r="X207" s="247"/>
      <c r="Y207" s="247"/>
      <c r="Z207" s="247"/>
    </row>
    <row r="208" ht="140.25" customHeight="1">
      <c r="A208" s="237" t="s">
        <v>1346</v>
      </c>
      <c r="B208" s="191" t="s">
        <v>38</v>
      </c>
      <c r="C208" s="121" t="s">
        <v>1338</v>
      </c>
      <c r="D208" s="121" t="s">
        <v>1339</v>
      </c>
      <c r="E208" s="159" t="s">
        <v>1340</v>
      </c>
      <c r="F208" s="121" t="s">
        <v>745</v>
      </c>
      <c r="G208" s="234">
        <v>15.0</v>
      </c>
      <c r="H208" s="235">
        <f>G208/2</f>
        <v>7.5</v>
      </c>
      <c r="I208" s="308" t="s">
        <v>223</v>
      </c>
    </row>
    <row r="209" ht="165.75" customHeight="1">
      <c r="A209" s="350" t="s">
        <v>1347</v>
      </c>
      <c r="B209" s="199" t="s">
        <v>38</v>
      </c>
      <c r="C209" s="60" t="s">
        <v>1348</v>
      </c>
      <c r="D209" s="60" t="s">
        <v>1349</v>
      </c>
      <c r="E209" s="302" t="s">
        <v>1350</v>
      </c>
      <c r="F209" s="149" t="s">
        <v>1351</v>
      </c>
      <c r="G209" s="61">
        <v>50.0</v>
      </c>
      <c r="H209" s="62">
        <v>50.0</v>
      </c>
      <c r="I209" s="308" t="s">
        <v>355</v>
      </c>
    </row>
    <row r="210" ht="127.5" customHeight="1">
      <c r="A210" s="351" t="s">
        <v>1352</v>
      </c>
      <c r="B210" s="199" t="s">
        <v>38</v>
      </c>
      <c r="C210" s="60" t="s">
        <v>1353</v>
      </c>
      <c r="D210" s="60" t="s">
        <v>1354</v>
      </c>
      <c r="E210" s="165" t="s">
        <v>1355</v>
      </c>
      <c r="F210" s="165" t="s">
        <v>1356</v>
      </c>
      <c r="G210" s="61">
        <v>50.0</v>
      </c>
      <c r="H210" s="62">
        <v>50.0</v>
      </c>
      <c r="I210" s="308" t="s">
        <v>355</v>
      </c>
    </row>
    <row r="211" ht="127.5" customHeight="1">
      <c r="A211" s="52" t="s">
        <v>1357</v>
      </c>
      <c r="B211" s="199" t="s">
        <v>1358</v>
      </c>
      <c r="C211" s="60" t="s">
        <v>1348</v>
      </c>
      <c r="D211" s="60" t="s">
        <v>1354</v>
      </c>
      <c r="E211" s="149" t="s">
        <v>1355</v>
      </c>
      <c r="F211" s="149" t="s">
        <v>1359</v>
      </c>
      <c r="G211" s="61">
        <v>50.0</v>
      </c>
      <c r="H211" s="62">
        <v>50.0</v>
      </c>
      <c r="I211" s="308" t="s">
        <v>355</v>
      </c>
    </row>
    <row r="212" ht="191.25" customHeight="1">
      <c r="A212" s="52" t="s">
        <v>1360</v>
      </c>
      <c r="B212" s="199" t="s">
        <v>1358</v>
      </c>
      <c r="C212" s="60" t="s">
        <v>1353</v>
      </c>
      <c r="D212" s="60" t="s">
        <v>1361</v>
      </c>
      <c r="E212" s="165" t="s">
        <v>1362</v>
      </c>
      <c r="F212" s="165" t="s">
        <v>1363</v>
      </c>
      <c r="G212" s="61">
        <v>50.0</v>
      </c>
      <c r="H212" s="62">
        <v>50.0</v>
      </c>
      <c r="I212" s="308" t="s">
        <v>355</v>
      </c>
    </row>
    <row r="213" ht="165.75" customHeight="1">
      <c r="A213" s="52" t="s">
        <v>1364</v>
      </c>
      <c r="B213" s="199" t="s">
        <v>1358</v>
      </c>
      <c r="C213" s="60" t="s">
        <v>1365</v>
      </c>
      <c r="D213" s="60" t="s">
        <v>1366</v>
      </c>
      <c r="E213" s="165" t="s">
        <v>1367</v>
      </c>
      <c r="F213" s="165" t="s">
        <v>1368</v>
      </c>
      <c r="G213" s="61">
        <v>50.0</v>
      </c>
      <c r="H213" s="62">
        <v>12.5</v>
      </c>
      <c r="I213" s="308" t="s">
        <v>355</v>
      </c>
    </row>
    <row r="214" ht="191.25" customHeight="1">
      <c r="A214" s="52" t="s">
        <v>1357</v>
      </c>
      <c r="B214" s="199" t="s">
        <v>1358</v>
      </c>
      <c r="C214" s="60" t="s">
        <v>1348</v>
      </c>
      <c r="D214" s="60" t="s">
        <v>1369</v>
      </c>
      <c r="E214" s="165" t="s">
        <v>1370</v>
      </c>
      <c r="F214" s="165" t="s">
        <v>1371</v>
      </c>
      <c r="G214" s="61">
        <v>50.0</v>
      </c>
      <c r="H214" s="62">
        <v>50.0</v>
      </c>
      <c r="I214" s="308" t="s">
        <v>355</v>
      </c>
    </row>
    <row r="215" ht="165.75" customHeight="1">
      <c r="A215" s="52" t="s">
        <v>1357</v>
      </c>
      <c r="B215" s="199" t="s">
        <v>38</v>
      </c>
      <c r="C215" s="60" t="s">
        <v>1348</v>
      </c>
      <c r="D215" s="60" t="s">
        <v>1372</v>
      </c>
      <c r="E215" s="165" t="s">
        <v>1373</v>
      </c>
      <c r="F215" s="165" t="s">
        <v>1374</v>
      </c>
      <c r="G215" s="61">
        <v>50.0</v>
      </c>
      <c r="H215" s="62">
        <v>50.0</v>
      </c>
      <c r="I215" s="308" t="s">
        <v>355</v>
      </c>
    </row>
    <row r="216" ht="165.75" customHeight="1">
      <c r="A216" s="52" t="s">
        <v>1375</v>
      </c>
      <c r="B216" s="199" t="s">
        <v>38</v>
      </c>
      <c r="C216" s="60" t="s">
        <v>1353</v>
      </c>
      <c r="D216" s="60" t="s">
        <v>1376</v>
      </c>
      <c r="E216" s="165" t="s">
        <v>1377</v>
      </c>
      <c r="F216" s="165" t="s">
        <v>1378</v>
      </c>
      <c r="G216" s="61">
        <v>50.0</v>
      </c>
      <c r="H216" s="62">
        <v>50.0</v>
      </c>
      <c r="I216" s="308" t="s">
        <v>355</v>
      </c>
    </row>
    <row r="217" ht="127.5" customHeight="1">
      <c r="A217" s="52" t="s">
        <v>1379</v>
      </c>
      <c r="B217" s="199" t="s">
        <v>38</v>
      </c>
      <c r="C217" s="60" t="s">
        <v>1380</v>
      </c>
      <c r="D217" s="60" t="s">
        <v>1381</v>
      </c>
      <c r="E217" s="60" t="s">
        <v>1382</v>
      </c>
      <c r="F217" s="60" t="s">
        <v>1383</v>
      </c>
      <c r="G217" s="61">
        <v>50.0</v>
      </c>
      <c r="H217" s="62">
        <f t="shared" ref="H217:H234" si="7">G217/2</f>
        <v>25</v>
      </c>
      <c r="I217" s="308" t="s">
        <v>1384</v>
      </c>
    </row>
    <row r="218" ht="89.25" customHeight="1">
      <c r="A218" s="52" t="s">
        <v>1379</v>
      </c>
      <c r="B218" s="199" t="s">
        <v>38</v>
      </c>
      <c r="C218" s="60" t="s">
        <v>1380</v>
      </c>
      <c r="D218" s="60" t="s">
        <v>1385</v>
      </c>
      <c r="E218" s="60" t="s">
        <v>1386</v>
      </c>
      <c r="F218" s="60" t="s">
        <v>1387</v>
      </c>
      <c r="G218" s="61">
        <v>50.0</v>
      </c>
      <c r="H218" s="62">
        <f t="shared" si="7"/>
        <v>25</v>
      </c>
      <c r="I218" s="308" t="s">
        <v>1384</v>
      </c>
    </row>
    <row r="219" ht="102.0" customHeight="1">
      <c r="A219" s="52" t="s">
        <v>1379</v>
      </c>
      <c r="B219" s="199" t="s">
        <v>38</v>
      </c>
      <c r="C219" s="60" t="s">
        <v>1380</v>
      </c>
      <c r="D219" s="60" t="s">
        <v>1388</v>
      </c>
      <c r="E219" s="60" t="s">
        <v>1389</v>
      </c>
      <c r="F219" s="60" t="s">
        <v>1390</v>
      </c>
      <c r="G219" s="61">
        <v>50.0</v>
      </c>
      <c r="H219" s="62">
        <f t="shared" si="7"/>
        <v>25</v>
      </c>
      <c r="I219" s="308" t="s">
        <v>1384</v>
      </c>
    </row>
    <row r="220" ht="191.25" customHeight="1">
      <c r="A220" s="52" t="s">
        <v>1379</v>
      </c>
      <c r="B220" s="199" t="s">
        <v>38</v>
      </c>
      <c r="C220" s="60" t="s">
        <v>1380</v>
      </c>
      <c r="D220" s="60" t="s">
        <v>1391</v>
      </c>
      <c r="E220" s="60" t="s">
        <v>1392</v>
      </c>
      <c r="F220" s="60" t="s">
        <v>1393</v>
      </c>
      <c r="G220" s="61">
        <v>50.0</v>
      </c>
      <c r="H220" s="62">
        <f t="shared" si="7"/>
        <v>25</v>
      </c>
      <c r="I220" s="308" t="s">
        <v>1384</v>
      </c>
    </row>
    <row r="221" ht="114.75" customHeight="1">
      <c r="A221" s="52" t="s">
        <v>1379</v>
      </c>
      <c r="B221" s="199" t="s">
        <v>38</v>
      </c>
      <c r="C221" s="60" t="s">
        <v>1380</v>
      </c>
      <c r="D221" s="60" t="s">
        <v>1394</v>
      </c>
      <c r="E221" s="165" t="s">
        <v>1395</v>
      </c>
      <c r="F221" s="60" t="s">
        <v>1396</v>
      </c>
      <c r="G221" s="61">
        <v>50.0</v>
      </c>
      <c r="H221" s="62">
        <f t="shared" si="7"/>
        <v>25</v>
      </c>
      <c r="I221" s="308" t="s">
        <v>1384</v>
      </c>
    </row>
    <row r="222" ht="178.5" customHeight="1">
      <c r="A222" s="52" t="s">
        <v>1379</v>
      </c>
      <c r="B222" s="199" t="s">
        <v>38</v>
      </c>
      <c r="C222" s="60" t="s">
        <v>1380</v>
      </c>
      <c r="D222" s="60" t="s">
        <v>1397</v>
      </c>
      <c r="E222" s="60" t="s">
        <v>1398</v>
      </c>
      <c r="F222" s="60" t="s">
        <v>1399</v>
      </c>
      <c r="G222" s="61">
        <v>50.0</v>
      </c>
      <c r="H222" s="62">
        <f t="shared" si="7"/>
        <v>25</v>
      </c>
      <c r="I222" s="308" t="s">
        <v>1384</v>
      </c>
    </row>
    <row r="223" ht="102.0" customHeight="1">
      <c r="A223" s="52" t="s">
        <v>1379</v>
      </c>
      <c r="B223" s="199" t="s">
        <v>38</v>
      </c>
      <c r="C223" s="60" t="s">
        <v>1380</v>
      </c>
      <c r="D223" s="60" t="s">
        <v>1400</v>
      </c>
      <c r="E223" s="60" t="s">
        <v>1401</v>
      </c>
      <c r="F223" s="60" t="s">
        <v>1402</v>
      </c>
      <c r="G223" s="61">
        <v>50.0</v>
      </c>
      <c r="H223" s="62">
        <f t="shared" si="7"/>
        <v>25</v>
      </c>
      <c r="I223" s="308" t="s">
        <v>1384</v>
      </c>
    </row>
    <row r="224" ht="140.25" customHeight="1">
      <c r="A224" s="52" t="s">
        <v>1379</v>
      </c>
      <c r="B224" s="199" t="s">
        <v>38</v>
      </c>
      <c r="C224" s="60" t="s">
        <v>1380</v>
      </c>
      <c r="D224" s="60" t="s">
        <v>1403</v>
      </c>
      <c r="E224" s="60" t="s">
        <v>1404</v>
      </c>
      <c r="F224" s="60" t="s">
        <v>1405</v>
      </c>
      <c r="G224" s="61">
        <v>50.0</v>
      </c>
      <c r="H224" s="62">
        <f t="shared" si="7"/>
        <v>25</v>
      </c>
      <c r="I224" s="308" t="s">
        <v>1384</v>
      </c>
    </row>
    <row r="225" ht="114.75" customHeight="1">
      <c r="A225" s="52" t="s">
        <v>1379</v>
      </c>
      <c r="B225" s="199" t="s">
        <v>38</v>
      </c>
      <c r="C225" s="60" t="s">
        <v>1380</v>
      </c>
      <c r="D225" s="60" t="s">
        <v>1406</v>
      </c>
      <c r="E225" s="60" t="s">
        <v>1407</v>
      </c>
      <c r="F225" s="60" t="s">
        <v>1408</v>
      </c>
      <c r="G225" s="61">
        <v>50.0</v>
      </c>
      <c r="H225" s="62">
        <f t="shared" si="7"/>
        <v>25</v>
      </c>
      <c r="I225" s="308" t="s">
        <v>1384</v>
      </c>
    </row>
    <row r="226" ht="153.0" customHeight="1">
      <c r="A226" s="52" t="s">
        <v>1379</v>
      </c>
      <c r="B226" s="199" t="s">
        <v>38</v>
      </c>
      <c r="C226" s="60" t="s">
        <v>1380</v>
      </c>
      <c r="D226" s="60" t="s">
        <v>1409</v>
      </c>
      <c r="E226" s="60" t="s">
        <v>1410</v>
      </c>
      <c r="F226" s="60" t="s">
        <v>1411</v>
      </c>
      <c r="G226" s="61">
        <v>50.0</v>
      </c>
      <c r="H226" s="62">
        <f t="shared" si="7"/>
        <v>25</v>
      </c>
      <c r="I226" s="308" t="s">
        <v>1384</v>
      </c>
    </row>
    <row r="227" ht="114.75" customHeight="1">
      <c r="A227" s="52" t="s">
        <v>1379</v>
      </c>
      <c r="B227" s="199" t="s">
        <v>38</v>
      </c>
      <c r="C227" s="60" t="s">
        <v>1380</v>
      </c>
      <c r="D227" s="60" t="s">
        <v>1412</v>
      </c>
      <c r="E227" s="60" t="s">
        <v>1413</v>
      </c>
      <c r="F227" s="60" t="s">
        <v>1414</v>
      </c>
      <c r="G227" s="61">
        <v>15.0</v>
      </c>
      <c r="H227" s="62">
        <f t="shared" si="7"/>
        <v>7.5</v>
      </c>
      <c r="I227" s="308" t="s">
        <v>1384</v>
      </c>
    </row>
    <row r="228" ht="102.0" customHeight="1">
      <c r="A228" s="52" t="s">
        <v>1379</v>
      </c>
      <c r="B228" s="199"/>
      <c r="C228" s="60" t="s">
        <v>1380</v>
      </c>
      <c r="D228" s="60" t="s">
        <v>1415</v>
      </c>
      <c r="E228" s="60" t="s">
        <v>1416</v>
      </c>
      <c r="F228" s="60" t="s">
        <v>1417</v>
      </c>
      <c r="G228" s="61">
        <v>15.0</v>
      </c>
      <c r="H228" s="62">
        <f t="shared" si="7"/>
        <v>7.5</v>
      </c>
      <c r="I228" s="308" t="s">
        <v>1384</v>
      </c>
    </row>
    <row r="229" ht="102.0" customHeight="1">
      <c r="A229" s="52" t="s">
        <v>1379</v>
      </c>
      <c r="B229" s="199" t="s">
        <v>38</v>
      </c>
      <c r="C229" s="60" t="s">
        <v>1380</v>
      </c>
      <c r="D229" s="60" t="s">
        <v>1418</v>
      </c>
      <c r="E229" s="60" t="s">
        <v>1419</v>
      </c>
      <c r="F229" s="60" t="s">
        <v>1420</v>
      </c>
      <c r="G229" s="61">
        <v>50.0</v>
      </c>
      <c r="H229" s="62">
        <f t="shared" si="7"/>
        <v>25</v>
      </c>
      <c r="I229" s="308" t="s">
        <v>1384</v>
      </c>
    </row>
    <row r="230" ht="153.0" customHeight="1">
      <c r="A230" s="52" t="s">
        <v>1379</v>
      </c>
      <c r="B230" s="199" t="s">
        <v>38</v>
      </c>
      <c r="C230" s="60" t="s">
        <v>1380</v>
      </c>
      <c r="D230" s="60" t="s">
        <v>1421</v>
      </c>
      <c r="E230" s="60" t="s">
        <v>1422</v>
      </c>
      <c r="F230" s="60" t="s">
        <v>1423</v>
      </c>
      <c r="G230" s="61">
        <v>50.0</v>
      </c>
      <c r="H230" s="62">
        <f t="shared" si="7"/>
        <v>25</v>
      </c>
      <c r="I230" s="308" t="s">
        <v>1384</v>
      </c>
    </row>
    <row r="231" ht="114.75" customHeight="1">
      <c r="A231" s="52" t="s">
        <v>1379</v>
      </c>
      <c r="B231" s="199" t="s">
        <v>38</v>
      </c>
      <c r="C231" s="60" t="s">
        <v>1380</v>
      </c>
      <c r="D231" s="60" t="s">
        <v>1424</v>
      </c>
      <c r="E231" s="60" t="s">
        <v>1425</v>
      </c>
      <c r="F231" s="60" t="s">
        <v>1426</v>
      </c>
      <c r="G231" s="61">
        <v>50.0</v>
      </c>
      <c r="H231" s="62">
        <f t="shared" si="7"/>
        <v>25</v>
      </c>
      <c r="I231" s="308" t="s">
        <v>1384</v>
      </c>
    </row>
    <row r="232" ht="216.75" customHeight="1">
      <c r="A232" s="52" t="s">
        <v>1379</v>
      </c>
      <c r="B232" s="199"/>
      <c r="C232" s="60" t="s">
        <v>1380</v>
      </c>
      <c r="D232" s="60" t="s">
        <v>1427</v>
      </c>
      <c r="E232" s="60" t="s">
        <v>1428</v>
      </c>
      <c r="F232" s="60" t="s">
        <v>1429</v>
      </c>
      <c r="G232" s="61">
        <v>50.0</v>
      </c>
      <c r="H232" s="62">
        <f t="shared" si="7"/>
        <v>25</v>
      </c>
      <c r="I232" s="308" t="s">
        <v>1384</v>
      </c>
    </row>
    <row r="233" ht="127.5" customHeight="1">
      <c r="A233" s="52" t="s">
        <v>1379</v>
      </c>
      <c r="B233" s="199" t="s">
        <v>38</v>
      </c>
      <c r="C233" s="60" t="s">
        <v>1380</v>
      </c>
      <c r="D233" s="60" t="s">
        <v>1430</v>
      </c>
      <c r="E233" s="165" t="s">
        <v>1431</v>
      </c>
      <c r="F233" s="60" t="s">
        <v>1432</v>
      </c>
      <c r="G233" s="61">
        <v>50.0</v>
      </c>
      <c r="H233" s="62">
        <f t="shared" si="7"/>
        <v>25</v>
      </c>
      <c r="I233" s="308" t="s">
        <v>1384</v>
      </c>
    </row>
    <row r="234" ht="90.0" customHeight="1">
      <c r="A234" s="52" t="s">
        <v>1379</v>
      </c>
      <c r="B234" s="199" t="s">
        <v>38</v>
      </c>
      <c r="C234" s="60" t="s">
        <v>1380</v>
      </c>
      <c r="D234" s="60" t="s">
        <v>1433</v>
      </c>
      <c r="E234" s="165" t="s">
        <v>1434</v>
      </c>
      <c r="F234" s="60" t="s">
        <v>1435</v>
      </c>
      <c r="G234" s="61">
        <v>15.0</v>
      </c>
      <c r="H234" s="62">
        <f t="shared" si="7"/>
        <v>7.5</v>
      </c>
      <c r="I234" s="308" t="s">
        <v>1384</v>
      </c>
    </row>
    <row r="235" ht="140.25" customHeight="1">
      <c r="A235" s="52" t="s">
        <v>1436</v>
      </c>
      <c r="B235" s="199" t="s">
        <v>38</v>
      </c>
      <c r="C235" s="60" t="s">
        <v>1437</v>
      </c>
      <c r="D235" s="60" t="s">
        <v>1438</v>
      </c>
      <c r="E235" s="60" t="s">
        <v>1439</v>
      </c>
      <c r="F235" s="60" t="s">
        <v>1440</v>
      </c>
      <c r="G235" s="61">
        <v>50.0</v>
      </c>
      <c r="H235" s="62">
        <f>G235/4</f>
        <v>12.5</v>
      </c>
      <c r="I235" s="308" t="s">
        <v>1384</v>
      </c>
    </row>
    <row r="236" ht="178.5" customHeight="1">
      <c r="A236" s="52" t="s">
        <v>1436</v>
      </c>
      <c r="B236" s="199" t="s">
        <v>38</v>
      </c>
      <c r="C236" s="60" t="s">
        <v>1437</v>
      </c>
      <c r="D236" s="60" t="s">
        <v>1441</v>
      </c>
      <c r="E236" s="60" t="s">
        <v>1442</v>
      </c>
      <c r="F236" s="60" t="s">
        <v>1443</v>
      </c>
      <c r="G236" s="61">
        <v>50.0</v>
      </c>
      <c r="H236" s="62">
        <f>50/4</f>
        <v>12.5</v>
      </c>
      <c r="I236" s="308" t="s">
        <v>1384</v>
      </c>
    </row>
    <row r="237" ht="114.75" customHeight="1">
      <c r="A237" s="52" t="s">
        <v>1436</v>
      </c>
      <c r="B237" s="199" t="s">
        <v>38</v>
      </c>
      <c r="C237" s="60" t="s">
        <v>1437</v>
      </c>
      <c r="D237" s="60" t="s">
        <v>1444</v>
      </c>
      <c r="E237" s="60" t="s">
        <v>1445</v>
      </c>
      <c r="F237" s="60" t="s">
        <v>1446</v>
      </c>
      <c r="G237" s="61">
        <v>50.0</v>
      </c>
      <c r="H237" s="62">
        <f t="shared" ref="H237:H240" si="8">G237/4</f>
        <v>12.5</v>
      </c>
      <c r="I237" s="308" t="s">
        <v>1384</v>
      </c>
    </row>
    <row r="238" ht="127.5" customHeight="1">
      <c r="A238" s="52" t="s">
        <v>1447</v>
      </c>
      <c r="B238" s="199" t="s">
        <v>38</v>
      </c>
      <c r="C238" s="60" t="s">
        <v>1448</v>
      </c>
      <c r="D238" s="60" t="s">
        <v>1449</v>
      </c>
      <c r="E238" s="60" t="s">
        <v>1450</v>
      </c>
      <c r="F238" s="60" t="s">
        <v>1451</v>
      </c>
      <c r="G238" s="61">
        <v>50.0</v>
      </c>
      <c r="H238" s="62">
        <f t="shared" si="8"/>
        <v>12.5</v>
      </c>
      <c r="I238" s="308" t="s">
        <v>1384</v>
      </c>
    </row>
    <row r="239" ht="153.0" customHeight="1">
      <c r="A239" s="52" t="s">
        <v>1452</v>
      </c>
      <c r="B239" s="199" t="s">
        <v>38</v>
      </c>
      <c r="C239" s="60" t="s">
        <v>1453</v>
      </c>
      <c r="D239" s="60" t="s">
        <v>1454</v>
      </c>
      <c r="E239" s="60" t="s">
        <v>199</v>
      </c>
      <c r="F239" s="60" t="s">
        <v>1455</v>
      </c>
      <c r="G239" s="61">
        <v>50.0</v>
      </c>
      <c r="H239" s="62">
        <f t="shared" si="8"/>
        <v>12.5</v>
      </c>
      <c r="I239" s="308" t="s">
        <v>1384</v>
      </c>
    </row>
    <row r="240" ht="127.5" customHeight="1">
      <c r="A240" s="52" t="s">
        <v>1456</v>
      </c>
      <c r="B240" s="199" t="s">
        <v>38</v>
      </c>
      <c r="C240" s="60" t="s">
        <v>1457</v>
      </c>
      <c r="D240" s="60" t="s">
        <v>1458</v>
      </c>
      <c r="E240" s="60" t="s">
        <v>1459</v>
      </c>
      <c r="F240" s="60" t="s">
        <v>1460</v>
      </c>
      <c r="G240" s="61">
        <v>15.0</v>
      </c>
      <c r="H240" s="62">
        <f t="shared" si="8"/>
        <v>3.75</v>
      </c>
      <c r="I240" s="308" t="s">
        <v>1384</v>
      </c>
    </row>
    <row r="241" ht="114.75" customHeight="1">
      <c r="A241" s="52" t="s">
        <v>1461</v>
      </c>
      <c r="B241" s="199" t="s">
        <v>38</v>
      </c>
      <c r="C241" s="60" t="s">
        <v>1462</v>
      </c>
      <c r="D241" s="60" t="s">
        <v>1463</v>
      </c>
      <c r="E241" s="60" t="s">
        <v>1464</v>
      </c>
      <c r="F241" s="60" t="s">
        <v>1465</v>
      </c>
      <c r="G241" s="61">
        <v>50.0</v>
      </c>
      <c r="H241" s="62">
        <v>16.67</v>
      </c>
      <c r="I241" s="308" t="s">
        <v>1384</v>
      </c>
    </row>
    <row r="242" ht="178.5" customHeight="1">
      <c r="A242" s="52" t="s">
        <v>1461</v>
      </c>
      <c r="B242" s="199" t="s">
        <v>38</v>
      </c>
      <c r="C242" s="60" t="s">
        <v>1462</v>
      </c>
      <c r="D242" s="60" t="s">
        <v>1466</v>
      </c>
      <c r="E242" s="60" t="s">
        <v>1467</v>
      </c>
      <c r="F242" s="60" t="s">
        <v>1468</v>
      </c>
      <c r="G242" s="61">
        <v>50.0</v>
      </c>
      <c r="H242" s="62">
        <v>16.67</v>
      </c>
      <c r="I242" s="308" t="s">
        <v>1384</v>
      </c>
    </row>
    <row r="243" ht="127.5" customHeight="1">
      <c r="A243" s="52" t="s">
        <v>1469</v>
      </c>
      <c r="B243" s="199" t="s">
        <v>38</v>
      </c>
      <c r="C243" s="60" t="s">
        <v>1470</v>
      </c>
      <c r="D243" s="60" t="s">
        <v>1471</v>
      </c>
      <c r="E243" s="60" t="s">
        <v>1472</v>
      </c>
      <c r="F243" s="60" t="s">
        <v>1473</v>
      </c>
      <c r="G243" s="61">
        <v>50.0</v>
      </c>
      <c r="H243" s="62">
        <v>16.67</v>
      </c>
      <c r="I243" s="308" t="s">
        <v>1384</v>
      </c>
    </row>
    <row r="244" ht="114.75" customHeight="1">
      <c r="A244" s="52" t="s">
        <v>1474</v>
      </c>
      <c r="B244" s="199" t="s">
        <v>38</v>
      </c>
      <c r="C244" s="60" t="s">
        <v>1475</v>
      </c>
      <c r="D244" s="60" t="s">
        <v>1476</v>
      </c>
      <c r="E244" s="60" t="s">
        <v>1477</v>
      </c>
      <c r="F244" s="60" t="s">
        <v>1478</v>
      </c>
      <c r="G244" s="61">
        <v>50.0</v>
      </c>
      <c r="H244" s="62">
        <v>16.67</v>
      </c>
      <c r="I244" s="308" t="s">
        <v>1384</v>
      </c>
    </row>
    <row r="245" ht="153.0" customHeight="1">
      <c r="A245" s="52" t="s">
        <v>1479</v>
      </c>
      <c r="B245" s="199" t="s">
        <v>38</v>
      </c>
      <c r="C245" s="60" t="s">
        <v>1480</v>
      </c>
      <c r="D245" s="60" t="s">
        <v>1481</v>
      </c>
      <c r="E245" s="60" t="s">
        <v>1482</v>
      </c>
      <c r="F245" s="60" t="s">
        <v>1483</v>
      </c>
      <c r="G245" s="61">
        <v>50.0</v>
      </c>
      <c r="H245" s="62">
        <v>50.0</v>
      </c>
      <c r="I245" s="308" t="s">
        <v>1384</v>
      </c>
    </row>
    <row r="246" ht="191.25" customHeight="1">
      <c r="A246" s="52" t="s">
        <v>1479</v>
      </c>
      <c r="B246" s="199" t="s">
        <v>38</v>
      </c>
      <c r="C246" s="60" t="s">
        <v>1480</v>
      </c>
      <c r="D246" s="60" t="s">
        <v>1484</v>
      </c>
      <c r="E246" s="165" t="s">
        <v>1485</v>
      </c>
      <c r="F246" s="60" t="s">
        <v>1486</v>
      </c>
      <c r="G246" s="61">
        <v>50.0</v>
      </c>
      <c r="H246" s="62">
        <v>50.0</v>
      </c>
      <c r="I246" s="308" t="s">
        <v>1384</v>
      </c>
    </row>
    <row r="247" ht="280.5" customHeight="1">
      <c r="A247" s="352" t="s">
        <v>364</v>
      </c>
      <c r="B247" s="353" t="s">
        <v>38</v>
      </c>
      <c r="C247" s="354" t="s">
        <v>1487</v>
      </c>
      <c r="D247" s="355" t="s">
        <v>1488</v>
      </c>
      <c r="E247" s="356" t="s">
        <v>1489</v>
      </c>
      <c r="F247" s="356" t="s">
        <v>745</v>
      </c>
      <c r="G247" s="357">
        <v>50.0</v>
      </c>
      <c r="H247" s="358">
        <v>50.0</v>
      </c>
      <c r="I247" s="308" t="s">
        <v>364</v>
      </c>
    </row>
    <row r="248" ht="127.5" customHeight="1">
      <c r="A248" s="52" t="s">
        <v>364</v>
      </c>
      <c r="B248" s="199" t="s">
        <v>38</v>
      </c>
      <c r="C248" s="60" t="s">
        <v>1487</v>
      </c>
      <c r="D248" s="60" t="s">
        <v>1490</v>
      </c>
      <c r="E248" s="165" t="s">
        <v>1491</v>
      </c>
      <c r="F248" s="60" t="s">
        <v>1492</v>
      </c>
      <c r="G248" s="61">
        <v>15.0</v>
      </c>
      <c r="H248" s="62">
        <v>15.0</v>
      </c>
      <c r="I248" s="308" t="s">
        <v>364</v>
      </c>
    </row>
    <row r="249" ht="178.5" customHeight="1">
      <c r="A249" s="52" t="s">
        <v>364</v>
      </c>
      <c r="B249" s="199" t="s">
        <v>38</v>
      </c>
      <c r="C249" s="60" t="s">
        <v>1487</v>
      </c>
      <c r="D249" s="60" t="s">
        <v>1493</v>
      </c>
      <c r="E249" s="60" t="s">
        <v>1494</v>
      </c>
      <c r="F249" s="60" t="s">
        <v>745</v>
      </c>
      <c r="G249" s="61">
        <v>50.0</v>
      </c>
      <c r="H249" s="62">
        <v>50.0</v>
      </c>
      <c r="I249" s="308" t="s">
        <v>364</v>
      </c>
    </row>
    <row r="250" ht="179.25" customHeight="1">
      <c r="A250" s="181" t="s">
        <v>1276</v>
      </c>
      <c r="B250" s="199" t="s">
        <v>38</v>
      </c>
      <c r="C250" s="359" t="s">
        <v>1495</v>
      </c>
      <c r="D250" s="360" t="s">
        <v>1496</v>
      </c>
      <c r="E250" s="60" t="s">
        <v>1497</v>
      </c>
      <c r="F250" s="60" t="s">
        <v>745</v>
      </c>
      <c r="G250" s="61">
        <v>50.0</v>
      </c>
      <c r="H250" s="62">
        <v>7.14</v>
      </c>
      <c r="I250" s="308" t="s">
        <v>364</v>
      </c>
    </row>
    <row r="251" ht="89.25" customHeight="1">
      <c r="A251" s="181" t="s">
        <v>1276</v>
      </c>
      <c r="B251" s="199" t="s">
        <v>38</v>
      </c>
      <c r="C251" s="359" t="s">
        <v>1495</v>
      </c>
      <c r="D251" s="60" t="s">
        <v>1498</v>
      </c>
      <c r="E251" s="60" t="s">
        <v>1281</v>
      </c>
      <c r="F251" s="60" t="s">
        <v>784</v>
      </c>
      <c r="G251" s="61">
        <v>50.0</v>
      </c>
      <c r="H251" s="62">
        <v>7.14</v>
      </c>
      <c r="I251" s="308" t="s">
        <v>364</v>
      </c>
    </row>
    <row r="252" ht="153.0" customHeight="1">
      <c r="A252" s="171" t="s">
        <v>1499</v>
      </c>
      <c r="B252" s="37" t="s">
        <v>38</v>
      </c>
      <c r="C252" s="361" t="s">
        <v>1500</v>
      </c>
      <c r="D252" s="85" t="s">
        <v>1501</v>
      </c>
      <c r="E252" s="37" t="s">
        <v>1502</v>
      </c>
      <c r="F252" s="362" t="s">
        <v>745</v>
      </c>
      <c r="G252" s="363">
        <v>50.0</v>
      </c>
      <c r="H252" s="364">
        <v>50.0</v>
      </c>
      <c r="I252" s="308" t="s">
        <v>364</v>
      </c>
      <c r="J252" s="247"/>
      <c r="K252" s="247"/>
      <c r="L252" s="247"/>
      <c r="M252" s="247"/>
      <c r="N252" s="247"/>
      <c r="O252" s="247"/>
      <c r="P252" s="247"/>
      <c r="Q252" s="247"/>
      <c r="R252" s="247"/>
      <c r="S252" s="247"/>
      <c r="T252" s="247"/>
      <c r="U252" s="247"/>
      <c r="V252" s="247"/>
      <c r="W252" s="247"/>
      <c r="X252" s="247"/>
      <c r="Y252" s="247"/>
      <c r="Z252" s="247"/>
    </row>
    <row r="253" ht="156.75" customHeight="1">
      <c r="A253" s="171" t="s">
        <v>1503</v>
      </c>
      <c r="B253" s="37" t="s">
        <v>38</v>
      </c>
      <c r="C253" s="37" t="s">
        <v>1504</v>
      </c>
      <c r="D253" s="365" t="s">
        <v>1505</v>
      </c>
      <c r="E253" s="37" t="s">
        <v>1009</v>
      </c>
      <c r="F253" s="362" t="s">
        <v>745</v>
      </c>
      <c r="G253" s="362">
        <v>50.0</v>
      </c>
      <c r="H253" s="362">
        <v>16.66</v>
      </c>
      <c r="I253" s="308" t="s">
        <v>364</v>
      </c>
      <c r="J253" s="247"/>
      <c r="K253" s="247"/>
      <c r="L253" s="247"/>
      <c r="M253" s="247"/>
      <c r="N253" s="247"/>
      <c r="O253" s="247"/>
      <c r="P253" s="247"/>
      <c r="Q253" s="247"/>
      <c r="R253" s="247"/>
      <c r="S253" s="247"/>
      <c r="T253" s="247"/>
      <c r="U253" s="247"/>
      <c r="V253" s="247"/>
      <c r="W253" s="247"/>
      <c r="X253" s="247"/>
      <c r="Y253" s="247"/>
      <c r="Z253" s="247"/>
    </row>
    <row r="254" ht="315.0" customHeight="1">
      <c r="A254" s="366" t="s">
        <v>1506</v>
      </c>
      <c r="B254" s="366" t="s">
        <v>38</v>
      </c>
      <c r="C254" s="367" t="s">
        <v>1507</v>
      </c>
      <c r="D254" s="368" t="s">
        <v>1508</v>
      </c>
      <c r="E254" s="366" t="s">
        <v>1509</v>
      </c>
      <c r="F254" s="369" t="s">
        <v>784</v>
      </c>
      <c r="G254" s="369">
        <v>50.0</v>
      </c>
      <c r="H254" s="369">
        <v>12.5</v>
      </c>
      <c r="I254" s="308" t="s">
        <v>364</v>
      </c>
      <c r="J254" s="247"/>
      <c r="K254" s="247"/>
      <c r="L254" s="247"/>
      <c r="M254" s="247"/>
      <c r="N254" s="247"/>
      <c r="O254" s="247"/>
      <c r="P254" s="247"/>
      <c r="Q254" s="247"/>
      <c r="R254" s="247"/>
      <c r="S254" s="247"/>
      <c r="T254" s="247"/>
      <c r="U254" s="247"/>
      <c r="V254" s="247"/>
      <c r="W254" s="247"/>
      <c r="X254" s="247"/>
      <c r="Y254" s="247"/>
      <c r="Z254" s="247"/>
    </row>
    <row r="255" ht="180.75" customHeight="1">
      <c r="A255" s="171" t="s">
        <v>1510</v>
      </c>
      <c r="B255" s="37" t="s">
        <v>38</v>
      </c>
      <c r="C255" s="171" t="s">
        <v>1511</v>
      </c>
      <c r="D255" s="370" t="s">
        <v>1512</v>
      </c>
      <c r="E255" s="37" t="s">
        <v>1513</v>
      </c>
      <c r="F255" s="362" t="s">
        <v>1514</v>
      </c>
      <c r="G255" s="362">
        <v>50.0</v>
      </c>
      <c r="H255" s="362">
        <v>50.0</v>
      </c>
      <c r="I255" s="308" t="s">
        <v>364</v>
      </c>
      <c r="J255" s="247"/>
      <c r="K255" s="247"/>
      <c r="L255" s="247"/>
      <c r="M255" s="247"/>
      <c r="N255" s="247"/>
      <c r="O255" s="247"/>
      <c r="P255" s="247"/>
      <c r="Q255" s="247"/>
      <c r="R255" s="247"/>
      <c r="S255" s="247"/>
      <c r="T255" s="247"/>
      <c r="U255" s="247"/>
      <c r="V255" s="247"/>
      <c r="W255" s="247"/>
      <c r="X255" s="247"/>
      <c r="Y255" s="247"/>
      <c r="Z255" s="247"/>
    </row>
    <row r="256" ht="178.5" customHeight="1">
      <c r="A256" s="85" t="s">
        <v>1515</v>
      </c>
      <c r="B256" s="366" t="s">
        <v>38</v>
      </c>
      <c r="C256" s="371" t="s">
        <v>1516</v>
      </c>
      <c r="D256" s="181" t="s">
        <v>1517</v>
      </c>
      <c r="E256" s="181" t="s">
        <v>1518</v>
      </c>
      <c r="F256" s="369" t="s">
        <v>784</v>
      </c>
      <c r="G256" s="369">
        <v>50.0</v>
      </c>
      <c r="H256" s="369">
        <v>50.0</v>
      </c>
      <c r="I256" s="308" t="s">
        <v>364</v>
      </c>
      <c r="J256" s="247"/>
      <c r="K256" s="247"/>
      <c r="L256" s="247"/>
      <c r="M256" s="247"/>
      <c r="N256" s="247"/>
      <c r="O256" s="247"/>
      <c r="P256" s="247"/>
      <c r="Q256" s="247"/>
      <c r="R256" s="247"/>
      <c r="S256" s="247"/>
      <c r="T256" s="247"/>
      <c r="U256" s="247"/>
      <c r="V256" s="247"/>
      <c r="W256" s="247"/>
      <c r="X256" s="247"/>
      <c r="Y256" s="247"/>
      <c r="Z256" s="247"/>
    </row>
    <row r="257" ht="90.0" customHeight="1">
      <c r="A257" s="37" t="s">
        <v>1519</v>
      </c>
      <c r="B257" s="37" t="s">
        <v>38</v>
      </c>
      <c r="C257" s="181" t="s">
        <v>1520</v>
      </c>
      <c r="D257" s="36" t="s">
        <v>1521</v>
      </c>
      <c r="E257" s="1" t="s">
        <v>1522</v>
      </c>
      <c r="F257" s="1" t="s">
        <v>1523</v>
      </c>
      <c r="G257" s="1">
        <v>15.0</v>
      </c>
      <c r="H257" s="1">
        <v>15.0</v>
      </c>
      <c r="I257" s="372" t="s">
        <v>364</v>
      </c>
      <c r="J257" s="247"/>
      <c r="K257" s="247"/>
      <c r="L257" s="247"/>
      <c r="M257" s="247"/>
      <c r="N257" s="247"/>
      <c r="O257" s="247"/>
      <c r="P257" s="247"/>
      <c r="Q257" s="247"/>
      <c r="R257" s="247"/>
      <c r="S257" s="247"/>
      <c r="T257" s="247"/>
      <c r="U257" s="247"/>
      <c r="V257" s="247"/>
      <c r="W257" s="247"/>
      <c r="X257" s="247"/>
      <c r="Y257" s="247"/>
      <c r="Z257" s="247"/>
    </row>
    <row r="258" ht="90.0" customHeight="1">
      <c r="A258" s="37" t="s">
        <v>1519</v>
      </c>
      <c r="B258" s="37" t="s">
        <v>38</v>
      </c>
      <c r="C258" s="181" t="s">
        <v>1524</v>
      </c>
      <c r="D258" s="36" t="s">
        <v>1521</v>
      </c>
      <c r="E258" s="1" t="s">
        <v>1525</v>
      </c>
      <c r="F258" s="1" t="s">
        <v>1523</v>
      </c>
      <c r="G258" s="1">
        <v>15.0</v>
      </c>
      <c r="H258" s="1">
        <v>15.0</v>
      </c>
      <c r="I258" s="372" t="s">
        <v>364</v>
      </c>
      <c r="J258" s="247"/>
      <c r="K258" s="247"/>
      <c r="L258" s="247"/>
      <c r="M258" s="247"/>
      <c r="N258" s="247"/>
      <c r="O258" s="247"/>
      <c r="P258" s="247"/>
      <c r="Q258" s="247"/>
      <c r="R258" s="247"/>
      <c r="S258" s="247"/>
      <c r="T258" s="247"/>
      <c r="U258" s="247"/>
      <c r="V258" s="247"/>
      <c r="W258" s="247"/>
      <c r="X258" s="247"/>
      <c r="Y258" s="247"/>
      <c r="Z258" s="247"/>
    </row>
    <row r="259" ht="90.0" customHeight="1">
      <c r="A259" s="37" t="s">
        <v>1519</v>
      </c>
      <c r="B259" s="37" t="s">
        <v>38</v>
      </c>
      <c r="C259" s="181" t="s">
        <v>1487</v>
      </c>
      <c r="D259" s="36" t="s">
        <v>1521</v>
      </c>
      <c r="E259" s="1" t="s">
        <v>1526</v>
      </c>
      <c r="F259" s="1" t="s">
        <v>1523</v>
      </c>
      <c r="G259" s="1">
        <v>15.0</v>
      </c>
      <c r="H259" s="1">
        <v>15.0</v>
      </c>
      <c r="I259" s="372" t="s">
        <v>364</v>
      </c>
      <c r="J259" s="247"/>
      <c r="K259" s="247"/>
      <c r="L259" s="247"/>
      <c r="M259" s="247"/>
      <c r="N259" s="247"/>
      <c r="O259" s="247"/>
      <c r="P259" s="247"/>
      <c r="Q259" s="247"/>
      <c r="R259" s="247"/>
      <c r="S259" s="247"/>
      <c r="T259" s="247"/>
      <c r="U259" s="247"/>
      <c r="V259" s="247"/>
      <c r="W259" s="247"/>
      <c r="X259" s="247"/>
      <c r="Y259" s="247"/>
      <c r="Z259" s="247"/>
    </row>
    <row r="260" ht="90.0" customHeight="1">
      <c r="A260" s="366" t="s">
        <v>1527</v>
      </c>
      <c r="B260" s="37" t="s">
        <v>38</v>
      </c>
      <c r="C260" s="366" t="s">
        <v>1528</v>
      </c>
      <c r="D260" s="36" t="s">
        <v>1521</v>
      </c>
      <c r="E260" s="1" t="s">
        <v>1529</v>
      </c>
      <c r="F260" s="1" t="s">
        <v>1523</v>
      </c>
      <c r="G260" s="1">
        <v>15.0</v>
      </c>
      <c r="H260" s="1">
        <v>2.14</v>
      </c>
      <c r="I260" s="372" t="s">
        <v>364</v>
      </c>
      <c r="J260" s="247"/>
      <c r="K260" s="247"/>
      <c r="L260" s="247"/>
      <c r="M260" s="247"/>
      <c r="N260" s="247"/>
      <c r="O260" s="247"/>
      <c r="P260" s="247"/>
      <c r="Q260" s="247"/>
      <c r="R260" s="247"/>
      <c r="S260" s="247"/>
      <c r="T260" s="247"/>
      <c r="U260" s="247"/>
      <c r="V260" s="247"/>
      <c r="W260" s="247"/>
      <c r="X260" s="247"/>
      <c r="Y260" s="247"/>
      <c r="Z260" s="247"/>
    </row>
    <row r="261" ht="90.0" customHeight="1">
      <c r="A261" s="181" t="s">
        <v>1530</v>
      </c>
      <c r="B261" s="37" t="s">
        <v>38</v>
      </c>
      <c r="C261" s="37" t="s">
        <v>1531</v>
      </c>
      <c r="D261" s="36" t="s">
        <v>1521</v>
      </c>
      <c r="E261" s="1" t="s">
        <v>1529</v>
      </c>
      <c r="F261" s="1" t="s">
        <v>1523</v>
      </c>
      <c r="G261" s="1">
        <v>15.0</v>
      </c>
      <c r="H261" s="1">
        <v>3.75</v>
      </c>
      <c r="I261" s="372" t="s">
        <v>364</v>
      </c>
      <c r="J261" s="247"/>
      <c r="K261" s="247"/>
      <c r="L261" s="247"/>
      <c r="M261" s="247"/>
      <c r="N261" s="247"/>
      <c r="O261" s="247"/>
      <c r="P261" s="247"/>
      <c r="Q261" s="247"/>
      <c r="R261" s="247"/>
      <c r="S261" s="247"/>
      <c r="T261" s="247"/>
      <c r="U261" s="247"/>
      <c r="V261" s="247"/>
      <c r="W261" s="247"/>
      <c r="X261" s="247"/>
      <c r="Y261" s="247"/>
      <c r="Z261" s="247"/>
    </row>
    <row r="262" ht="90.0" customHeight="1">
      <c r="A262" s="373" t="s">
        <v>1532</v>
      </c>
      <c r="B262" s="37" t="s">
        <v>38</v>
      </c>
      <c r="C262" s="374" t="s">
        <v>1533</v>
      </c>
      <c r="D262" s="36" t="s">
        <v>1521</v>
      </c>
      <c r="E262" s="1" t="s">
        <v>1534</v>
      </c>
      <c r="F262" s="1" t="s">
        <v>1523</v>
      </c>
      <c r="G262" s="1">
        <v>15.0</v>
      </c>
      <c r="H262" s="1">
        <v>7.5</v>
      </c>
      <c r="I262" s="372" t="s">
        <v>364</v>
      </c>
      <c r="J262" s="247"/>
      <c r="K262" s="247"/>
      <c r="L262" s="247"/>
      <c r="M262" s="247"/>
      <c r="N262" s="247"/>
      <c r="O262" s="247"/>
      <c r="P262" s="247"/>
      <c r="Q262" s="247"/>
      <c r="R262" s="247"/>
      <c r="S262" s="247"/>
      <c r="T262" s="247"/>
      <c r="U262" s="247"/>
      <c r="V262" s="247"/>
      <c r="W262" s="247"/>
      <c r="X262" s="247"/>
      <c r="Y262" s="247"/>
      <c r="Z262" s="247"/>
    </row>
    <row r="263" ht="102.75" customHeight="1">
      <c r="A263" s="374" t="s">
        <v>1535</v>
      </c>
      <c r="B263" s="37" t="s">
        <v>38</v>
      </c>
      <c r="C263" s="374" t="s">
        <v>1536</v>
      </c>
      <c r="D263" s="36" t="s">
        <v>1521</v>
      </c>
      <c r="E263" s="1" t="s">
        <v>1537</v>
      </c>
      <c r="F263" s="1" t="s">
        <v>1523</v>
      </c>
      <c r="G263" s="1">
        <v>15.0</v>
      </c>
      <c r="H263" s="1">
        <v>2.5</v>
      </c>
      <c r="I263" s="372" t="s">
        <v>364</v>
      </c>
      <c r="J263" s="247"/>
      <c r="K263" s="247"/>
      <c r="L263" s="247"/>
      <c r="M263" s="247"/>
      <c r="N263" s="247"/>
      <c r="O263" s="247"/>
      <c r="P263" s="247"/>
      <c r="Q263" s="247"/>
      <c r="R263" s="247"/>
      <c r="S263" s="247"/>
      <c r="T263" s="247"/>
      <c r="U263" s="247"/>
      <c r="V263" s="247"/>
      <c r="W263" s="247"/>
      <c r="X263" s="247"/>
      <c r="Y263" s="247"/>
      <c r="Z263" s="247"/>
    </row>
    <row r="264" ht="90.0" customHeight="1">
      <c r="A264" s="374" t="s">
        <v>1538</v>
      </c>
      <c r="B264" s="37" t="s">
        <v>38</v>
      </c>
      <c r="C264" s="374" t="s">
        <v>1539</v>
      </c>
      <c r="D264" s="36" t="s">
        <v>1521</v>
      </c>
      <c r="E264" s="1" t="s">
        <v>1529</v>
      </c>
      <c r="F264" s="1" t="s">
        <v>1523</v>
      </c>
      <c r="G264" s="1">
        <v>15.0</v>
      </c>
      <c r="H264" s="375">
        <v>1.87</v>
      </c>
      <c r="I264" s="372" t="s">
        <v>364</v>
      </c>
      <c r="J264" s="247"/>
      <c r="K264" s="247"/>
      <c r="L264" s="247"/>
      <c r="M264" s="247"/>
      <c r="N264" s="247"/>
      <c r="O264" s="247"/>
      <c r="P264" s="247"/>
      <c r="Q264" s="247"/>
      <c r="R264" s="247"/>
      <c r="S264" s="247"/>
      <c r="T264" s="247"/>
      <c r="U264" s="247"/>
      <c r="V264" s="247"/>
      <c r="W264" s="247"/>
      <c r="X264" s="247"/>
      <c r="Y264" s="247"/>
      <c r="Z264" s="247"/>
    </row>
    <row r="265" ht="90.0" customHeight="1">
      <c r="A265" s="376" t="s">
        <v>1540</v>
      </c>
      <c r="B265" s="37" t="s">
        <v>38</v>
      </c>
      <c r="C265" s="376" t="s">
        <v>1541</v>
      </c>
      <c r="D265" s="36" t="s">
        <v>1521</v>
      </c>
      <c r="E265" s="1" t="s">
        <v>1542</v>
      </c>
      <c r="F265" s="1" t="s">
        <v>1523</v>
      </c>
      <c r="G265" s="1">
        <v>15.0</v>
      </c>
      <c r="H265" s="375">
        <v>1.87</v>
      </c>
      <c r="I265" s="372" t="s">
        <v>364</v>
      </c>
      <c r="J265" s="247"/>
      <c r="K265" s="247"/>
      <c r="L265" s="247"/>
      <c r="M265" s="247"/>
      <c r="N265" s="247"/>
      <c r="O265" s="247"/>
      <c r="P265" s="247"/>
      <c r="Q265" s="247"/>
      <c r="R265" s="247"/>
      <c r="S265" s="247"/>
      <c r="T265" s="247"/>
      <c r="U265" s="247"/>
      <c r="V265" s="247"/>
      <c r="W265" s="247"/>
      <c r="X265" s="247"/>
      <c r="Y265" s="247"/>
      <c r="Z265" s="247"/>
    </row>
    <row r="266" ht="90.0" customHeight="1">
      <c r="A266" s="377" t="s">
        <v>1543</v>
      </c>
      <c r="B266" s="37" t="s">
        <v>38</v>
      </c>
      <c r="C266" s="377" t="s">
        <v>1507</v>
      </c>
      <c r="D266" s="36" t="s">
        <v>1521</v>
      </c>
      <c r="E266" s="1" t="s">
        <v>1544</v>
      </c>
      <c r="F266" s="1" t="s">
        <v>1523</v>
      </c>
      <c r="G266" s="1">
        <v>15.0</v>
      </c>
      <c r="H266" s="375">
        <v>3.75</v>
      </c>
      <c r="I266" s="372" t="s">
        <v>364</v>
      </c>
      <c r="J266" s="247"/>
      <c r="K266" s="247"/>
      <c r="L266" s="247"/>
      <c r="M266" s="247"/>
      <c r="N266" s="247"/>
      <c r="O266" s="247"/>
      <c r="P266" s="247"/>
      <c r="Q266" s="247"/>
      <c r="R266" s="247"/>
      <c r="S266" s="247"/>
      <c r="T266" s="247"/>
      <c r="U266" s="247"/>
      <c r="V266" s="247"/>
      <c r="W266" s="247"/>
      <c r="X266" s="247"/>
      <c r="Y266" s="247"/>
      <c r="Z266" s="247"/>
    </row>
    <row r="267" ht="225.0" customHeight="1">
      <c r="A267" s="151" t="s">
        <v>1532</v>
      </c>
      <c r="B267" s="37" t="s">
        <v>38</v>
      </c>
      <c r="C267" s="95" t="s">
        <v>1545</v>
      </c>
      <c r="D267" s="378" t="s">
        <v>1546</v>
      </c>
      <c r="E267" s="37" t="s">
        <v>547</v>
      </c>
      <c r="F267" s="362" t="s">
        <v>540</v>
      </c>
      <c r="G267" s="362">
        <v>15.0</v>
      </c>
      <c r="H267" s="363">
        <v>7.5</v>
      </c>
      <c r="I267" s="372" t="s">
        <v>364</v>
      </c>
      <c r="J267" s="247"/>
      <c r="K267" s="247"/>
      <c r="L267" s="247"/>
      <c r="M267" s="247"/>
      <c r="N267" s="247"/>
      <c r="O267" s="247"/>
      <c r="P267" s="247"/>
      <c r="Q267" s="247"/>
      <c r="R267" s="247"/>
      <c r="S267" s="247"/>
      <c r="T267" s="247"/>
      <c r="U267" s="247"/>
      <c r="V267" s="247"/>
      <c r="W267" s="247"/>
      <c r="X267" s="247"/>
      <c r="Y267" s="247"/>
      <c r="Z267" s="247"/>
    </row>
    <row r="268" ht="84.0" customHeight="1">
      <c r="A268" s="36" t="s">
        <v>1547</v>
      </c>
      <c r="B268" s="37" t="s">
        <v>38</v>
      </c>
      <c r="C268" s="365" t="s">
        <v>1548</v>
      </c>
      <c r="D268" s="379" t="s">
        <v>1549</v>
      </c>
      <c r="E268" s="36" t="s">
        <v>1550</v>
      </c>
      <c r="F268" s="1" t="s">
        <v>540</v>
      </c>
      <c r="G268" s="1">
        <v>15.0</v>
      </c>
      <c r="H268" s="1">
        <v>15.0</v>
      </c>
      <c r="I268" s="372" t="s">
        <v>364</v>
      </c>
      <c r="J268" s="247"/>
      <c r="K268" s="247"/>
      <c r="L268" s="247"/>
      <c r="M268" s="247"/>
      <c r="N268" s="247"/>
      <c r="O268" s="247"/>
      <c r="P268" s="247"/>
      <c r="Q268" s="247"/>
      <c r="R268" s="247"/>
      <c r="S268" s="247"/>
      <c r="T268" s="247"/>
      <c r="U268" s="247"/>
      <c r="V268" s="247"/>
      <c r="W268" s="247"/>
      <c r="X268" s="247"/>
      <c r="Y268" s="247"/>
      <c r="Z268" s="247"/>
    </row>
    <row r="269" ht="114.75" customHeight="1">
      <c r="A269" s="380" t="s">
        <v>1551</v>
      </c>
      <c r="B269" s="199" t="s">
        <v>38</v>
      </c>
      <c r="C269" s="199" t="s">
        <v>1552</v>
      </c>
      <c r="D269" s="199" t="s">
        <v>1553</v>
      </c>
      <c r="E269" s="381" t="s">
        <v>1554</v>
      </c>
      <c r="F269" s="60" t="s">
        <v>288</v>
      </c>
      <c r="G269" s="61">
        <v>50.0</v>
      </c>
      <c r="H269" s="62">
        <f>G269/2</f>
        <v>25</v>
      </c>
      <c r="I269" s="372" t="s">
        <v>618</v>
      </c>
      <c r="J269" s="247"/>
      <c r="K269" s="247"/>
      <c r="L269" s="247"/>
      <c r="M269" s="247"/>
      <c r="N269" s="247"/>
      <c r="O269" s="247"/>
      <c r="P269" s="247"/>
      <c r="Q269" s="247"/>
      <c r="R269" s="247"/>
      <c r="S269" s="247"/>
      <c r="T269" s="247"/>
      <c r="U269" s="247"/>
      <c r="V269" s="247"/>
      <c r="W269" s="247"/>
      <c r="X269" s="247"/>
      <c r="Y269" s="247"/>
      <c r="Z269" s="247"/>
    </row>
    <row r="270" ht="102.0" customHeight="1">
      <c r="A270" s="380" t="s">
        <v>1555</v>
      </c>
      <c r="B270" s="199" t="s">
        <v>38</v>
      </c>
      <c r="C270" s="52" t="s">
        <v>1556</v>
      </c>
      <c r="D270" s="199" t="s">
        <v>1557</v>
      </c>
      <c r="E270" s="381" t="s">
        <v>1558</v>
      </c>
      <c r="F270" s="60" t="s">
        <v>288</v>
      </c>
      <c r="G270" s="61">
        <v>50.0</v>
      </c>
      <c r="H270" s="62">
        <v>16.67</v>
      </c>
      <c r="I270" s="372" t="s">
        <v>618</v>
      </c>
      <c r="J270" s="247"/>
      <c r="K270" s="247"/>
      <c r="L270" s="247"/>
      <c r="M270" s="247"/>
      <c r="N270" s="247"/>
      <c r="O270" s="247"/>
      <c r="P270" s="247"/>
      <c r="Q270" s="247"/>
      <c r="R270" s="247"/>
      <c r="S270" s="247"/>
      <c r="T270" s="247"/>
      <c r="U270" s="247"/>
      <c r="V270" s="247"/>
      <c r="W270" s="247"/>
      <c r="X270" s="247"/>
      <c r="Y270" s="247"/>
      <c r="Z270" s="247"/>
    </row>
    <row r="271" ht="89.25" customHeight="1">
      <c r="A271" s="380" t="s">
        <v>1559</v>
      </c>
      <c r="B271" s="199" t="s">
        <v>38</v>
      </c>
      <c r="C271" s="52" t="s">
        <v>1560</v>
      </c>
      <c r="D271" s="199" t="s">
        <v>1561</v>
      </c>
      <c r="E271" s="382" t="s">
        <v>1562</v>
      </c>
      <c r="F271" s="60" t="s">
        <v>799</v>
      </c>
      <c r="G271" s="61">
        <v>15.0</v>
      </c>
      <c r="H271" s="62">
        <v>5.0</v>
      </c>
      <c r="I271" s="372" t="s">
        <v>618</v>
      </c>
      <c r="J271" s="247"/>
      <c r="K271" s="247"/>
      <c r="L271" s="247"/>
      <c r="M271" s="247"/>
      <c r="N271" s="247"/>
      <c r="O271" s="247"/>
      <c r="P271" s="247"/>
      <c r="Q271" s="247"/>
      <c r="R271" s="247"/>
      <c r="S271" s="247"/>
      <c r="T271" s="247"/>
      <c r="U271" s="247"/>
      <c r="V271" s="247"/>
      <c r="W271" s="247"/>
      <c r="X271" s="247"/>
      <c r="Y271" s="247"/>
      <c r="Z271" s="247"/>
    </row>
    <row r="272" ht="76.5" customHeight="1">
      <c r="A272" s="134" t="s">
        <v>1563</v>
      </c>
      <c r="B272" s="199" t="s">
        <v>38</v>
      </c>
      <c r="C272" s="52" t="s">
        <v>1311</v>
      </c>
      <c r="D272" s="52" t="s">
        <v>1312</v>
      </c>
      <c r="E272" s="345" t="s">
        <v>1313</v>
      </c>
      <c r="F272" s="60" t="s">
        <v>799</v>
      </c>
      <c r="G272" s="61">
        <v>15.0</v>
      </c>
      <c r="H272" s="62">
        <v>2.5</v>
      </c>
      <c r="I272" s="372" t="s">
        <v>618</v>
      </c>
      <c r="J272" s="247"/>
      <c r="K272" s="247"/>
      <c r="L272" s="247"/>
      <c r="M272" s="247"/>
      <c r="N272" s="247"/>
      <c r="O272" s="247"/>
      <c r="P272" s="247"/>
      <c r="Q272" s="247"/>
      <c r="R272" s="247"/>
      <c r="S272" s="247"/>
      <c r="T272" s="247"/>
      <c r="U272" s="247"/>
      <c r="V272" s="247"/>
      <c r="W272" s="247"/>
      <c r="X272" s="247"/>
      <c r="Y272" s="247"/>
      <c r="Z272" s="247"/>
    </row>
    <row r="273" ht="195.0" customHeight="1">
      <c r="A273" s="383" t="s">
        <v>1564</v>
      </c>
      <c r="B273" s="199" t="s">
        <v>38</v>
      </c>
      <c r="C273" s="95" t="s">
        <v>1315</v>
      </c>
      <c r="D273" s="383" t="s">
        <v>1565</v>
      </c>
      <c r="E273" s="349" t="s">
        <v>1566</v>
      </c>
      <c r="F273" s="384" t="s">
        <v>726</v>
      </c>
      <c r="G273" s="260">
        <v>50.0</v>
      </c>
      <c r="H273" s="244">
        <v>8.33</v>
      </c>
      <c r="I273" s="372" t="s">
        <v>618</v>
      </c>
      <c r="J273" s="247"/>
      <c r="K273" s="247"/>
      <c r="L273" s="247"/>
      <c r="M273" s="247"/>
      <c r="N273" s="247"/>
      <c r="O273" s="247"/>
      <c r="P273" s="247"/>
      <c r="Q273" s="247"/>
      <c r="R273" s="247"/>
      <c r="S273" s="247"/>
      <c r="T273" s="247"/>
      <c r="U273" s="247"/>
      <c r="V273" s="247"/>
      <c r="W273" s="247"/>
      <c r="X273" s="247"/>
      <c r="Y273" s="247"/>
      <c r="Z273" s="247"/>
    </row>
    <row r="274" ht="165.75" customHeight="1">
      <c r="A274" s="97" t="s">
        <v>1567</v>
      </c>
      <c r="B274" s="199" t="s">
        <v>38</v>
      </c>
      <c r="C274" s="52" t="s">
        <v>1568</v>
      </c>
      <c r="D274" s="199" t="s">
        <v>1271</v>
      </c>
      <c r="E274" s="340" t="s">
        <v>1272</v>
      </c>
      <c r="F274" s="60" t="s">
        <v>726</v>
      </c>
      <c r="G274" s="61">
        <v>50.0</v>
      </c>
      <c r="H274" s="62">
        <v>25.0</v>
      </c>
      <c r="I274" s="372" t="s">
        <v>532</v>
      </c>
      <c r="J274" s="247"/>
      <c r="K274" s="247"/>
      <c r="L274" s="247"/>
      <c r="M274" s="247"/>
      <c r="N274" s="247"/>
      <c r="O274" s="247"/>
      <c r="P274" s="247"/>
      <c r="Q274" s="247"/>
      <c r="R274" s="247"/>
      <c r="S274" s="247"/>
      <c r="T274" s="247"/>
      <c r="U274" s="247"/>
      <c r="V274" s="247"/>
      <c r="W274" s="247"/>
      <c r="X274" s="247"/>
      <c r="Y274" s="247"/>
      <c r="Z274" s="247"/>
    </row>
    <row r="275" ht="191.25" customHeight="1">
      <c r="A275" s="97" t="s">
        <v>1569</v>
      </c>
      <c r="B275" s="199" t="s">
        <v>38</v>
      </c>
      <c r="C275" s="52" t="s">
        <v>1568</v>
      </c>
      <c r="D275" s="199" t="s">
        <v>1273</v>
      </c>
      <c r="E275" s="203" t="s">
        <v>1274</v>
      </c>
      <c r="F275" s="60" t="s">
        <v>1275</v>
      </c>
      <c r="G275" s="61">
        <v>50.0</v>
      </c>
      <c r="H275" s="62">
        <v>25.0</v>
      </c>
      <c r="I275" s="372" t="s">
        <v>532</v>
      </c>
      <c r="J275" s="247"/>
      <c r="K275" s="247"/>
      <c r="L275" s="247"/>
      <c r="M275" s="247"/>
      <c r="N275" s="247"/>
      <c r="O275" s="247"/>
      <c r="P275" s="247"/>
      <c r="Q275" s="247"/>
      <c r="R275" s="247"/>
      <c r="S275" s="247"/>
      <c r="T275" s="247"/>
      <c r="U275" s="247"/>
      <c r="V275" s="247"/>
      <c r="W275" s="247"/>
      <c r="X275" s="247"/>
      <c r="Y275" s="247"/>
      <c r="Z275" s="247"/>
    </row>
    <row r="276" ht="191.25" customHeight="1">
      <c r="A276" s="97" t="s">
        <v>1282</v>
      </c>
      <c r="B276" s="199" t="s">
        <v>38</v>
      </c>
      <c r="C276" s="52" t="s">
        <v>1283</v>
      </c>
      <c r="D276" s="52" t="s">
        <v>1284</v>
      </c>
      <c r="E276" s="203" t="s">
        <v>1274</v>
      </c>
      <c r="F276" s="60" t="s">
        <v>1275</v>
      </c>
      <c r="G276" s="61">
        <v>50.0</v>
      </c>
      <c r="H276" s="62">
        <v>16.66</v>
      </c>
      <c r="I276" s="372" t="s">
        <v>532</v>
      </c>
      <c r="J276" s="247"/>
      <c r="K276" s="247"/>
      <c r="L276" s="247"/>
      <c r="M276" s="247"/>
      <c r="N276" s="247"/>
      <c r="O276" s="247"/>
      <c r="P276" s="247"/>
      <c r="Q276" s="247"/>
      <c r="R276" s="247"/>
      <c r="S276" s="247"/>
      <c r="T276" s="247"/>
      <c r="U276" s="247"/>
      <c r="V276" s="247"/>
      <c r="W276" s="247"/>
      <c r="X276" s="247"/>
      <c r="Y276" s="247"/>
      <c r="Z276" s="247"/>
    </row>
    <row r="277" ht="153.0" customHeight="1">
      <c r="A277" s="97" t="s">
        <v>1570</v>
      </c>
      <c r="B277" s="199" t="s">
        <v>38</v>
      </c>
      <c r="C277" s="52" t="s">
        <v>1286</v>
      </c>
      <c r="D277" s="52" t="s">
        <v>1287</v>
      </c>
      <c r="E277" s="203" t="s">
        <v>1288</v>
      </c>
      <c r="F277" s="60" t="s">
        <v>1289</v>
      </c>
      <c r="G277" s="61">
        <v>50.0</v>
      </c>
      <c r="H277" s="62">
        <v>25.0</v>
      </c>
      <c r="I277" s="372" t="s">
        <v>532</v>
      </c>
      <c r="J277" s="247"/>
      <c r="K277" s="247"/>
      <c r="L277" s="247"/>
      <c r="M277" s="247"/>
      <c r="N277" s="247"/>
      <c r="O277" s="247"/>
      <c r="P277" s="247"/>
      <c r="Q277" s="247"/>
      <c r="R277" s="247"/>
      <c r="S277" s="247"/>
      <c r="T277" s="247"/>
      <c r="U277" s="247"/>
      <c r="V277" s="247"/>
      <c r="W277" s="247"/>
      <c r="X277" s="247"/>
      <c r="Y277" s="247"/>
      <c r="Z277" s="247"/>
    </row>
    <row r="278" ht="127.5" customHeight="1">
      <c r="A278" s="52" t="s">
        <v>1571</v>
      </c>
      <c r="B278" s="199" t="s">
        <v>38</v>
      </c>
      <c r="C278" s="52" t="s">
        <v>1286</v>
      </c>
      <c r="D278" s="52" t="s">
        <v>1290</v>
      </c>
      <c r="E278" s="331" t="s">
        <v>1291</v>
      </c>
      <c r="F278" s="60" t="s">
        <v>726</v>
      </c>
      <c r="G278" s="61">
        <v>50.0</v>
      </c>
      <c r="H278" s="62">
        <v>25.0</v>
      </c>
      <c r="I278" s="372" t="s">
        <v>532</v>
      </c>
      <c r="J278" s="247"/>
      <c r="K278" s="247"/>
      <c r="L278" s="247"/>
      <c r="M278" s="247"/>
      <c r="N278" s="247"/>
      <c r="O278" s="247"/>
      <c r="P278" s="247"/>
      <c r="Q278" s="247"/>
      <c r="R278" s="247"/>
      <c r="S278" s="247"/>
      <c r="T278" s="247"/>
      <c r="U278" s="247"/>
      <c r="V278" s="247"/>
      <c r="W278" s="247"/>
      <c r="X278" s="247"/>
      <c r="Y278" s="247"/>
      <c r="Z278" s="247"/>
    </row>
    <row r="279" ht="165.75" customHeight="1">
      <c r="A279" s="52" t="s">
        <v>1572</v>
      </c>
      <c r="B279" s="199" t="s">
        <v>38</v>
      </c>
      <c r="C279" s="52" t="s">
        <v>1286</v>
      </c>
      <c r="D279" s="52" t="s">
        <v>1292</v>
      </c>
      <c r="E279" s="58" t="s">
        <v>1293</v>
      </c>
      <c r="F279" s="60" t="s">
        <v>1275</v>
      </c>
      <c r="G279" s="61">
        <v>50.0</v>
      </c>
      <c r="H279" s="62">
        <v>25.0</v>
      </c>
      <c r="I279" s="372" t="s">
        <v>532</v>
      </c>
      <c r="J279" s="247"/>
      <c r="K279" s="247"/>
      <c r="L279" s="247"/>
      <c r="M279" s="247"/>
      <c r="N279" s="247"/>
      <c r="O279" s="247"/>
      <c r="P279" s="247"/>
      <c r="Q279" s="247"/>
      <c r="R279" s="247"/>
      <c r="S279" s="247"/>
      <c r="T279" s="247"/>
      <c r="U279" s="247"/>
      <c r="V279" s="247"/>
      <c r="W279" s="247"/>
      <c r="X279" s="247"/>
      <c r="Y279" s="247"/>
      <c r="Z279" s="247"/>
    </row>
    <row r="280" ht="153.0" customHeight="1">
      <c r="A280" s="97" t="s">
        <v>1573</v>
      </c>
      <c r="B280" s="199" t="s">
        <v>38</v>
      </c>
      <c r="C280" s="52" t="s">
        <v>1295</v>
      </c>
      <c r="D280" s="52" t="s">
        <v>1298</v>
      </c>
      <c r="E280" s="203" t="s">
        <v>1299</v>
      </c>
      <c r="F280" s="60" t="s">
        <v>1300</v>
      </c>
      <c r="G280" s="61">
        <v>15.0</v>
      </c>
      <c r="H280" s="62">
        <v>3.0</v>
      </c>
      <c r="I280" s="372" t="s">
        <v>532</v>
      </c>
      <c r="J280" s="247"/>
      <c r="K280" s="247"/>
      <c r="L280" s="247"/>
      <c r="M280" s="247"/>
      <c r="N280" s="247"/>
      <c r="O280" s="247"/>
      <c r="P280" s="247"/>
      <c r="Q280" s="247"/>
      <c r="R280" s="247"/>
      <c r="S280" s="247"/>
      <c r="T280" s="247"/>
      <c r="U280" s="247"/>
      <c r="V280" s="247"/>
      <c r="W280" s="247"/>
      <c r="X280" s="247"/>
      <c r="Y280" s="247"/>
      <c r="Z280" s="247"/>
    </row>
    <row r="281" ht="191.25" customHeight="1">
      <c r="A281" s="97" t="s">
        <v>1574</v>
      </c>
      <c r="B281" s="199" t="s">
        <v>38</v>
      </c>
      <c r="C281" s="52" t="s">
        <v>1302</v>
      </c>
      <c r="D281" s="52" t="s">
        <v>1284</v>
      </c>
      <c r="E281" s="203" t="s">
        <v>1274</v>
      </c>
      <c r="F281" s="60" t="s">
        <v>1275</v>
      </c>
      <c r="G281" s="61">
        <v>50.0</v>
      </c>
      <c r="H281" s="62">
        <v>25.0</v>
      </c>
      <c r="I281" s="372" t="s">
        <v>532</v>
      </c>
      <c r="J281" s="247"/>
      <c r="K281" s="247"/>
      <c r="L281" s="247"/>
      <c r="M281" s="247"/>
      <c r="N281" s="247"/>
      <c r="O281" s="247"/>
      <c r="P281" s="247"/>
      <c r="Q281" s="247"/>
      <c r="R281" s="247"/>
      <c r="S281" s="247"/>
      <c r="T281" s="247"/>
      <c r="U281" s="247"/>
      <c r="V281" s="247"/>
      <c r="W281" s="247"/>
      <c r="X281" s="247"/>
      <c r="Y281" s="247"/>
      <c r="Z281" s="247"/>
    </row>
    <row r="282" ht="165.75" customHeight="1">
      <c r="A282" s="52" t="s">
        <v>1575</v>
      </c>
      <c r="B282" s="199" t="s">
        <v>38</v>
      </c>
      <c r="C282" s="52" t="s">
        <v>1302</v>
      </c>
      <c r="D282" s="52" t="s">
        <v>1292</v>
      </c>
      <c r="E282" s="58" t="s">
        <v>1293</v>
      </c>
      <c r="F282" s="60" t="s">
        <v>1275</v>
      </c>
      <c r="G282" s="61">
        <v>50.0</v>
      </c>
      <c r="H282" s="62">
        <v>25.0</v>
      </c>
      <c r="I282" s="372" t="s">
        <v>532</v>
      </c>
      <c r="J282" s="247"/>
      <c r="K282" s="247"/>
      <c r="L282" s="247"/>
      <c r="M282" s="247"/>
      <c r="N282" s="247"/>
      <c r="O282" s="247"/>
      <c r="P282" s="247"/>
      <c r="Q282" s="247"/>
      <c r="R282" s="247"/>
      <c r="S282" s="247"/>
      <c r="T282" s="247"/>
      <c r="U282" s="247"/>
      <c r="V282" s="247"/>
      <c r="W282" s="247"/>
      <c r="X282" s="247"/>
      <c r="Y282" s="247"/>
      <c r="Z282" s="247"/>
    </row>
    <row r="283" ht="127.5" customHeight="1">
      <c r="A283" s="52" t="s">
        <v>1576</v>
      </c>
      <c r="B283" s="199" t="s">
        <v>38</v>
      </c>
      <c r="C283" s="52" t="s">
        <v>1302</v>
      </c>
      <c r="D283" s="52" t="s">
        <v>1290</v>
      </c>
      <c r="E283" s="331" t="s">
        <v>1291</v>
      </c>
      <c r="F283" s="60" t="s">
        <v>726</v>
      </c>
      <c r="G283" s="61">
        <v>50.0</v>
      </c>
      <c r="H283" s="62">
        <v>25.0</v>
      </c>
      <c r="I283" s="372" t="s">
        <v>532</v>
      </c>
      <c r="J283" s="247"/>
      <c r="K283" s="247"/>
      <c r="L283" s="247"/>
      <c r="M283" s="247"/>
      <c r="N283" s="247"/>
      <c r="O283" s="247"/>
      <c r="P283" s="247"/>
      <c r="Q283" s="247"/>
      <c r="R283" s="247"/>
      <c r="S283" s="247"/>
      <c r="T283" s="247"/>
      <c r="U283" s="247"/>
      <c r="V283" s="247"/>
      <c r="W283" s="247"/>
      <c r="X283" s="247"/>
      <c r="Y283" s="247"/>
      <c r="Z283" s="247"/>
    </row>
    <row r="284" ht="191.25" customHeight="1">
      <c r="A284" s="97" t="s">
        <v>1577</v>
      </c>
      <c r="B284" s="326" t="s">
        <v>38</v>
      </c>
      <c r="C284" s="97" t="s">
        <v>1302</v>
      </c>
      <c r="D284" s="97" t="s">
        <v>1284</v>
      </c>
      <c r="E284" s="341" t="s">
        <v>1274</v>
      </c>
      <c r="F284" s="98" t="s">
        <v>1275</v>
      </c>
      <c r="G284" s="343">
        <v>50.0</v>
      </c>
      <c r="H284" s="344">
        <v>25.0</v>
      </c>
      <c r="I284" s="372" t="s">
        <v>532</v>
      </c>
      <c r="J284" s="247"/>
      <c r="K284" s="247"/>
      <c r="L284" s="247"/>
      <c r="M284" s="247"/>
      <c r="N284" s="247"/>
      <c r="O284" s="247"/>
      <c r="P284" s="247"/>
      <c r="Q284" s="247"/>
      <c r="R284" s="247"/>
      <c r="S284" s="247"/>
      <c r="T284" s="247"/>
      <c r="U284" s="247"/>
      <c r="V284" s="247"/>
      <c r="W284" s="247"/>
      <c r="X284" s="247"/>
      <c r="Y284" s="247"/>
      <c r="Z284" s="247"/>
    </row>
    <row r="285" ht="191.25" customHeight="1">
      <c r="A285" s="97" t="s">
        <v>1578</v>
      </c>
      <c r="B285" s="326" t="s">
        <v>38</v>
      </c>
      <c r="C285" s="326" t="s">
        <v>1579</v>
      </c>
      <c r="D285" s="97" t="s">
        <v>1284</v>
      </c>
      <c r="E285" s="341" t="s">
        <v>1274</v>
      </c>
      <c r="F285" s="98" t="s">
        <v>1275</v>
      </c>
      <c r="G285" s="343">
        <v>50.0</v>
      </c>
      <c r="H285" s="344">
        <v>16.67</v>
      </c>
      <c r="I285" s="372" t="s">
        <v>532</v>
      </c>
      <c r="J285" s="247"/>
      <c r="K285" s="247"/>
      <c r="L285" s="247"/>
      <c r="M285" s="247"/>
      <c r="N285" s="247"/>
      <c r="O285" s="247"/>
      <c r="P285" s="247"/>
      <c r="Q285" s="247"/>
      <c r="R285" s="247"/>
      <c r="S285" s="247"/>
      <c r="T285" s="247"/>
      <c r="U285" s="247"/>
      <c r="V285" s="247"/>
      <c r="W285" s="247"/>
      <c r="X285" s="247"/>
      <c r="Y285" s="247"/>
      <c r="Z285" s="247"/>
    </row>
    <row r="286" ht="76.5" customHeight="1">
      <c r="A286" s="134" t="s">
        <v>1580</v>
      </c>
      <c r="B286" s="199" t="s">
        <v>38</v>
      </c>
      <c r="C286" s="52" t="s">
        <v>1311</v>
      </c>
      <c r="D286" s="52" t="s">
        <v>1312</v>
      </c>
      <c r="E286" s="345" t="s">
        <v>1313</v>
      </c>
      <c r="F286" s="60" t="s">
        <v>799</v>
      </c>
      <c r="G286" s="61">
        <v>15.0</v>
      </c>
      <c r="H286" s="62">
        <f>G286/6</f>
        <v>2.5</v>
      </c>
      <c r="I286" s="372" t="s">
        <v>532</v>
      </c>
      <c r="J286" s="247"/>
      <c r="K286" s="247"/>
      <c r="L286" s="247"/>
      <c r="M286" s="247"/>
      <c r="N286" s="247"/>
      <c r="O286" s="247"/>
      <c r="P286" s="247"/>
      <c r="Q286" s="247"/>
      <c r="R286" s="247"/>
      <c r="S286" s="247"/>
      <c r="T286" s="247"/>
      <c r="U286" s="247"/>
      <c r="V286" s="247"/>
      <c r="W286" s="247"/>
      <c r="X286" s="247"/>
      <c r="Y286" s="247"/>
      <c r="Z286" s="247"/>
    </row>
    <row r="287" ht="153.0" customHeight="1">
      <c r="A287" s="97" t="s">
        <v>1581</v>
      </c>
      <c r="B287" s="199" t="s">
        <v>38</v>
      </c>
      <c r="C287" s="97" t="s">
        <v>1325</v>
      </c>
      <c r="D287" s="52" t="s">
        <v>1330</v>
      </c>
      <c r="E287" s="345" t="s">
        <v>1331</v>
      </c>
      <c r="F287" s="60" t="s">
        <v>726</v>
      </c>
      <c r="G287" s="61">
        <v>50.0</v>
      </c>
      <c r="H287" s="62">
        <v>25.0</v>
      </c>
      <c r="I287" s="372" t="s">
        <v>532</v>
      </c>
      <c r="J287" s="247"/>
      <c r="K287" s="247"/>
      <c r="L287" s="247"/>
      <c r="M287" s="247"/>
      <c r="N287" s="247"/>
      <c r="O287" s="247"/>
      <c r="P287" s="247"/>
      <c r="Q287" s="247"/>
      <c r="R287" s="247"/>
      <c r="S287" s="247"/>
      <c r="T287" s="247"/>
      <c r="U287" s="247"/>
      <c r="V287" s="247"/>
      <c r="W287" s="247"/>
      <c r="X287" s="247"/>
      <c r="Y287" s="247"/>
      <c r="Z287" s="247"/>
    </row>
    <row r="288" ht="102.0" customHeight="1">
      <c r="A288" s="97" t="s">
        <v>1582</v>
      </c>
      <c r="B288" s="326" t="s">
        <v>38</v>
      </c>
      <c r="C288" s="97" t="s">
        <v>1325</v>
      </c>
      <c r="D288" s="326" t="s">
        <v>1326</v>
      </c>
      <c r="E288" s="342" t="s">
        <v>1327</v>
      </c>
      <c r="F288" s="98" t="s">
        <v>1328</v>
      </c>
      <c r="G288" s="343">
        <v>50.0</v>
      </c>
      <c r="H288" s="344">
        <f>G288/2</f>
        <v>25</v>
      </c>
      <c r="I288" s="372" t="s">
        <v>532</v>
      </c>
      <c r="J288" s="247"/>
      <c r="K288" s="247"/>
      <c r="L288" s="247"/>
      <c r="M288" s="247"/>
      <c r="N288" s="247"/>
      <c r="O288" s="247"/>
      <c r="P288" s="247"/>
      <c r="Q288" s="247"/>
      <c r="R288" s="247"/>
      <c r="S288" s="247"/>
      <c r="T288" s="247"/>
      <c r="U288" s="247"/>
      <c r="V288" s="247"/>
      <c r="W288" s="247"/>
      <c r="X288" s="247"/>
      <c r="Y288" s="247"/>
      <c r="Z288" s="247"/>
    </row>
    <row r="289" ht="102.0" customHeight="1">
      <c r="A289" s="380" t="s">
        <v>1583</v>
      </c>
      <c r="B289" s="199" t="s">
        <v>38</v>
      </c>
      <c r="C289" s="199" t="s">
        <v>1584</v>
      </c>
      <c r="D289" s="199" t="s">
        <v>1585</v>
      </c>
      <c r="E289" s="274" t="s">
        <v>1586</v>
      </c>
      <c r="F289" s="60" t="s">
        <v>1587</v>
      </c>
      <c r="G289" s="61">
        <v>50.0</v>
      </c>
      <c r="H289" s="62">
        <v>50.0</v>
      </c>
      <c r="I289" s="372" t="s">
        <v>532</v>
      </c>
      <c r="J289" s="247"/>
      <c r="K289" s="247"/>
      <c r="L289" s="247"/>
      <c r="M289" s="247"/>
      <c r="N289" s="247"/>
      <c r="O289" s="247"/>
      <c r="P289" s="247"/>
      <c r="Q289" s="247"/>
      <c r="R289" s="247"/>
      <c r="S289" s="247"/>
      <c r="T289" s="247"/>
      <c r="U289" s="247"/>
      <c r="V289" s="247"/>
      <c r="W289" s="247"/>
      <c r="X289" s="247"/>
      <c r="Y289" s="247"/>
      <c r="Z289" s="247"/>
    </row>
    <row r="290" ht="191.25" customHeight="1">
      <c r="A290" s="380" t="s">
        <v>1583</v>
      </c>
      <c r="B290" s="199" t="s">
        <v>38</v>
      </c>
      <c r="C290" s="199" t="s">
        <v>1584</v>
      </c>
      <c r="D290" s="199" t="s">
        <v>1588</v>
      </c>
      <c r="E290" s="274" t="s">
        <v>1589</v>
      </c>
      <c r="F290" s="60" t="s">
        <v>1225</v>
      </c>
      <c r="G290" s="61">
        <v>50.0</v>
      </c>
      <c r="H290" s="62">
        <v>50.0</v>
      </c>
      <c r="I290" s="372" t="s">
        <v>532</v>
      </c>
      <c r="J290" s="247"/>
      <c r="K290" s="247"/>
      <c r="L290" s="247"/>
      <c r="M290" s="247"/>
      <c r="N290" s="247"/>
      <c r="O290" s="247"/>
      <c r="P290" s="247"/>
      <c r="Q290" s="247"/>
      <c r="R290" s="247"/>
      <c r="S290" s="247"/>
      <c r="T290" s="247"/>
      <c r="U290" s="247"/>
      <c r="V290" s="247"/>
      <c r="W290" s="247"/>
      <c r="X290" s="247"/>
      <c r="Y290" s="247"/>
      <c r="Z290" s="247"/>
    </row>
    <row r="291" ht="114.75" customHeight="1">
      <c r="A291" s="380" t="s">
        <v>1590</v>
      </c>
      <c r="B291" s="199" t="s">
        <v>38</v>
      </c>
      <c r="C291" s="199" t="s">
        <v>1552</v>
      </c>
      <c r="D291" s="199" t="s">
        <v>1553</v>
      </c>
      <c r="E291" s="381" t="s">
        <v>1554</v>
      </c>
      <c r="F291" s="60" t="s">
        <v>288</v>
      </c>
      <c r="G291" s="61">
        <v>50.0</v>
      </c>
      <c r="H291" s="62">
        <f>G291/2</f>
        <v>25</v>
      </c>
      <c r="I291" s="372" t="s">
        <v>532</v>
      </c>
      <c r="J291" s="247"/>
      <c r="K291" s="247"/>
      <c r="L291" s="247"/>
      <c r="M291" s="247"/>
      <c r="N291" s="247"/>
      <c r="O291" s="247"/>
      <c r="P291" s="247"/>
      <c r="Q291" s="247"/>
      <c r="R291" s="247"/>
      <c r="S291" s="247"/>
      <c r="T291" s="247"/>
      <c r="U291" s="247"/>
      <c r="V291" s="247"/>
      <c r="W291" s="247"/>
      <c r="X291" s="247"/>
      <c r="Y291" s="247"/>
      <c r="Z291" s="247"/>
    </row>
    <row r="292" ht="127.5" customHeight="1">
      <c r="A292" s="380" t="s">
        <v>1591</v>
      </c>
      <c r="B292" s="199" t="s">
        <v>38</v>
      </c>
      <c r="C292" s="199" t="s">
        <v>1592</v>
      </c>
      <c r="D292" s="199" t="s">
        <v>1593</v>
      </c>
      <c r="E292" s="381" t="s">
        <v>1594</v>
      </c>
      <c r="F292" s="60" t="s">
        <v>726</v>
      </c>
      <c r="G292" s="61">
        <v>50.0</v>
      </c>
      <c r="H292" s="62">
        <v>16.67</v>
      </c>
      <c r="I292" s="372" t="s">
        <v>532</v>
      </c>
      <c r="J292" s="247"/>
      <c r="K292" s="247"/>
      <c r="L292" s="247"/>
      <c r="M292" s="247"/>
      <c r="N292" s="247"/>
      <c r="O292" s="247"/>
      <c r="P292" s="247"/>
      <c r="Q292" s="247"/>
      <c r="R292" s="247"/>
      <c r="S292" s="247"/>
      <c r="T292" s="247"/>
      <c r="U292" s="247"/>
      <c r="V292" s="247"/>
      <c r="W292" s="247"/>
      <c r="X292" s="247"/>
      <c r="Y292" s="247"/>
      <c r="Z292" s="247"/>
    </row>
    <row r="293" ht="102.0" customHeight="1">
      <c r="A293" s="380" t="s">
        <v>1595</v>
      </c>
      <c r="B293" s="199" t="s">
        <v>38</v>
      </c>
      <c r="C293" s="199" t="s">
        <v>1592</v>
      </c>
      <c r="D293" s="199" t="s">
        <v>1596</v>
      </c>
      <c r="E293" s="381" t="s">
        <v>1597</v>
      </c>
      <c r="F293" s="60" t="s">
        <v>726</v>
      </c>
      <c r="G293" s="61">
        <v>50.0</v>
      </c>
      <c r="H293" s="62">
        <v>16.67</v>
      </c>
      <c r="I293" s="372" t="s">
        <v>532</v>
      </c>
      <c r="J293" s="247"/>
      <c r="K293" s="247"/>
      <c r="L293" s="247"/>
      <c r="M293" s="247"/>
      <c r="N293" s="247"/>
      <c r="O293" s="247"/>
      <c r="P293" s="247"/>
      <c r="Q293" s="247"/>
      <c r="R293" s="247"/>
      <c r="S293" s="247"/>
      <c r="T293" s="247"/>
      <c r="U293" s="247"/>
      <c r="V293" s="247"/>
      <c r="W293" s="247"/>
      <c r="X293" s="247"/>
      <c r="Y293" s="247"/>
      <c r="Z293" s="247"/>
    </row>
    <row r="294" ht="140.25" customHeight="1">
      <c r="A294" s="380" t="s">
        <v>1598</v>
      </c>
      <c r="B294" s="199" t="s">
        <v>38</v>
      </c>
      <c r="C294" s="199" t="s">
        <v>1592</v>
      </c>
      <c r="D294" s="199" t="s">
        <v>1599</v>
      </c>
      <c r="E294" s="274" t="s">
        <v>1600</v>
      </c>
      <c r="F294" s="60" t="s">
        <v>288</v>
      </c>
      <c r="G294" s="61">
        <v>50.0</v>
      </c>
      <c r="H294" s="62">
        <v>16.67</v>
      </c>
      <c r="I294" s="372" t="s">
        <v>532</v>
      </c>
      <c r="J294" s="247"/>
      <c r="K294" s="247"/>
      <c r="L294" s="247"/>
      <c r="M294" s="247"/>
      <c r="N294" s="247"/>
      <c r="O294" s="247"/>
      <c r="P294" s="247"/>
      <c r="Q294" s="247"/>
      <c r="R294" s="247"/>
      <c r="S294" s="247"/>
      <c r="T294" s="247"/>
      <c r="U294" s="247"/>
      <c r="V294" s="247"/>
      <c r="W294" s="247"/>
      <c r="X294" s="247"/>
      <c r="Y294" s="247"/>
      <c r="Z294" s="247"/>
    </row>
    <row r="295" ht="114.75" customHeight="1">
      <c r="A295" s="380" t="s">
        <v>1601</v>
      </c>
      <c r="B295" s="199" t="s">
        <v>38</v>
      </c>
      <c r="C295" s="199" t="s">
        <v>1602</v>
      </c>
      <c r="D295" s="199" t="s">
        <v>1603</v>
      </c>
      <c r="E295" s="381" t="s">
        <v>1604</v>
      </c>
      <c r="F295" s="60" t="s">
        <v>726</v>
      </c>
      <c r="G295" s="61">
        <v>50.0</v>
      </c>
      <c r="H295" s="62">
        <v>16.67</v>
      </c>
      <c r="I295" s="372" t="s">
        <v>532</v>
      </c>
      <c r="J295" s="247"/>
      <c r="K295" s="247"/>
      <c r="L295" s="247"/>
      <c r="M295" s="247"/>
      <c r="N295" s="247"/>
      <c r="O295" s="247"/>
      <c r="P295" s="247"/>
      <c r="Q295" s="247"/>
      <c r="R295" s="247"/>
      <c r="S295" s="247"/>
      <c r="T295" s="247"/>
      <c r="U295" s="247"/>
      <c r="V295" s="247"/>
      <c r="W295" s="247"/>
      <c r="X295" s="247"/>
      <c r="Y295" s="247"/>
      <c r="Z295" s="247"/>
    </row>
    <row r="296" ht="102.0" customHeight="1">
      <c r="A296" s="380" t="s">
        <v>1605</v>
      </c>
      <c r="B296" s="199" t="s">
        <v>38</v>
      </c>
      <c r="C296" s="199" t="s">
        <v>1602</v>
      </c>
      <c r="D296" s="199" t="s">
        <v>1606</v>
      </c>
      <c r="E296" s="382" t="s">
        <v>1607</v>
      </c>
      <c r="F296" s="60" t="s">
        <v>1608</v>
      </c>
      <c r="G296" s="61">
        <v>15.0</v>
      </c>
      <c r="H296" s="62">
        <v>5.0</v>
      </c>
      <c r="I296" s="372" t="s">
        <v>532</v>
      </c>
      <c r="J296" s="247"/>
      <c r="K296" s="247"/>
      <c r="L296" s="247"/>
      <c r="M296" s="247"/>
      <c r="N296" s="247"/>
      <c r="O296" s="247"/>
      <c r="P296" s="247"/>
      <c r="Q296" s="247"/>
      <c r="R296" s="247"/>
      <c r="S296" s="247"/>
      <c r="T296" s="247"/>
      <c r="U296" s="247"/>
      <c r="V296" s="247"/>
      <c r="W296" s="247"/>
      <c r="X296" s="247"/>
      <c r="Y296" s="247"/>
      <c r="Z296" s="247"/>
    </row>
    <row r="297" ht="89.25" customHeight="1">
      <c r="A297" s="380" t="s">
        <v>1609</v>
      </c>
      <c r="B297" s="199" t="s">
        <v>38</v>
      </c>
      <c r="C297" s="199" t="s">
        <v>1602</v>
      </c>
      <c r="D297" s="199" t="s">
        <v>1610</v>
      </c>
      <c r="E297" s="381" t="s">
        <v>1611</v>
      </c>
      <c r="F297" s="60" t="s">
        <v>799</v>
      </c>
      <c r="G297" s="61">
        <v>15.0</v>
      </c>
      <c r="H297" s="62">
        <v>5.0</v>
      </c>
      <c r="I297" s="372" t="s">
        <v>532</v>
      </c>
      <c r="J297" s="247"/>
      <c r="K297" s="247"/>
      <c r="L297" s="247"/>
      <c r="M297" s="247"/>
      <c r="N297" s="247"/>
      <c r="O297" s="247"/>
      <c r="P297" s="247"/>
      <c r="Q297" s="247"/>
      <c r="R297" s="247"/>
      <c r="S297" s="247"/>
      <c r="T297" s="247"/>
      <c r="U297" s="247"/>
      <c r="V297" s="247"/>
      <c r="W297" s="247"/>
      <c r="X297" s="247"/>
      <c r="Y297" s="247"/>
      <c r="Z297" s="247"/>
    </row>
    <row r="298" ht="102.75" customHeight="1">
      <c r="A298" s="380" t="s">
        <v>1612</v>
      </c>
      <c r="B298" s="199" t="s">
        <v>38</v>
      </c>
      <c r="C298" s="52" t="s">
        <v>1556</v>
      </c>
      <c r="D298" s="385" t="s">
        <v>1557</v>
      </c>
      <c r="E298" s="381" t="s">
        <v>1558</v>
      </c>
      <c r="F298" s="60" t="s">
        <v>288</v>
      </c>
      <c r="G298" s="61">
        <v>50.0</v>
      </c>
      <c r="H298" s="62">
        <v>16.67</v>
      </c>
      <c r="I298" s="372" t="s">
        <v>532</v>
      </c>
      <c r="J298" s="247"/>
      <c r="K298" s="247"/>
      <c r="L298" s="247"/>
      <c r="M298" s="247"/>
      <c r="N298" s="247"/>
      <c r="O298" s="247"/>
      <c r="P298" s="247"/>
      <c r="Q298" s="247"/>
      <c r="R298" s="247"/>
      <c r="S298" s="247"/>
      <c r="T298" s="247"/>
      <c r="U298" s="247"/>
      <c r="V298" s="247"/>
      <c r="W298" s="247"/>
      <c r="X298" s="247"/>
      <c r="Y298" s="247"/>
      <c r="Z298" s="247"/>
    </row>
    <row r="299" ht="89.25" customHeight="1">
      <c r="A299" s="380" t="s">
        <v>1613</v>
      </c>
      <c r="B299" s="199" t="s">
        <v>38</v>
      </c>
      <c r="C299" s="52" t="s">
        <v>1560</v>
      </c>
      <c r="D299" s="199" t="s">
        <v>1561</v>
      </c>
      <c r="E299" s="382" t="s">
        <v>1562</v>
      </c>
      <c r="F299" s="60" t="s">
        <v>799</v>
      </c>
      <c r="G299" s="61">
        <v>15.0</v>
      </c>
      <c r="H299" s="62">
        <v>5.0</v>
      </c>
      <c r="I299" s="372" t="s">
        <v>532</v>
      </c>
      <c r="J299" s="247"/>
      <c r="K299" s="247"/>
      <c r="L299" s="247"/>
      <c r="M299" s="247"/>
      <c r="N299" s="247"/>
      <c r="O299" s="247"/>
      <c r="P299" s="247"/>
      <c r="Q299" s="247"/>
      <c r="R299" s="247"/>
      <c r="S299" s="247"/>
      <c r="T299" s="247"/>
      <c r="U299" s="247"/>
      <c r="V299" s="247"/>
      <c r="W299" s="247"/>
      <c r="X299" s="247"/>
      <c r="Y299" s="247"/>
      <c r="Z299" s="247"/>
    </row>
    <row r="300" ht="195.0" customHeight="1">
      <c r="A300" s="383" t="s">
        <v>1614</v>
      </c>
      <c r="B300" s="199" t="s">
        <v>38</v>
      </c>
      <c r="C300" s="95" t="s">
        <v>1315</v>
      </c>
      <c r="D300" s="383" t="s">
        <v>1565</v>
      </c>
      <c r="E300" s="349" t="s">
        <v>1566</v>
      </c>
      <c r="F300" s="384" t="s">
        <v>726</v>
      </c>
      <c r="G300" s="260">
        <v>50.0</v>
      </c>
      <c r="H300" s="244">
        <v>8.33</v>
      </c>
      <c r="I300" s="372" t="s">
        <v>532</v>
      </c>
      <c r="J300" s="247"/>
      <c r="K300" s="247"/>
      <c r="L300" s="247"/>
      <c r="M300" s="247"/>
      <c r="N300" s="247"/>
      <c r="O300" s="247"/>
      <c r="P300" s="247"/>
      <c r="Q300" s="247"/>
      <c r="R300" s="247"/>
      <c r="S300" s="247"/>
      <c r="T300" s="247"/>
      <c r="U300" s="247"/>
      <c r="V300" s="247"/>
      <c r="W300" s="247"/>
      <c r="X300" s="247"/>
      <c r="Y300" s="247"/>
      <c r="Z300" s="247"/>
    </row>
    <row r="301" ht="114.75" customHeight="1">
      <c r="A301" s="352" t="s">
        <v>366</v>
      </c>
      <c r="B301" s="386" t="s">
        <v>284</v>
      </c>
      <c r="C301" s="122" t="s">
        <v>1615</v>
      </c>
      <c r="D301" s="122" t="s">
        <v>1616</v>
      </c>
      <c r="E301" s="356" t="s">
        <v>1617</v>
      </c>
      <c r="F301" s="356" t="s">
        <v>1618</v>
      </c>
      <c r="G301" s="387">
        <v>50.0</v>
      </c>
      <c r="H301" s="388">
        <v>50.0</v>
      </c>
      <c r="I301" s="372" t="s">
        <v>366</v>
      </c>
      <c r="J301" s="247"/>
      <c r="K301" s="247"/>
      <c r="L301" s="247"/>
      <c r="M301" s="247"/>
      <c r="N301" s="247"/>
      <c r="O301" s="247"/>
      <c r="P301" s="247"/>
      <c r="Q301" s="247"/>
      <c r="R301" s="247"/>
      <c r="S301" s="247"/>
      <c r="T301" s="247"/>
      <c r="U301" s="247"/>
      <c r="V301" s="247"/>
      <c r="W301" s="247"/>
      <c r="X301" s="247"/>
      <c r="Y301" s="247"/>
      <c r="Z301" s="247"/>
    </row>
    <row r="302" ht="128.25" customHeight="1">
      <c r="A302" s="352" t="s">
        <v>366</v>
      </c>
      <c r="B302" s="386" t="s">
        <v>284</v>
      </c>
      <c r="C302" s="389" t="s">
        <v>1619</v>
      </c>
      <c r="D302" s="122" t="s">
        <v>1616</v>
      </c>
      <c r="E302" s="356" t="s">
        <v>1620</v>
      </c>
      <c r="F302" s="390" t="s">
        <v>1621</v>
      </c>
      <c r="G302" s="387">
        <v>50.0</v>
      </c>
      <c r="H302" s="388">
        <v>50.0</v>
      </c>
      <c r="I302" s="372" t="s">
        <v>366</v>
      </c>
      <c r="J302" s="247"/>
      <c r="K302" s="247"/>
      <c r="L302" s="247"/>
      <c r="M302" s="247"/>
      <c r="N302" s="247"/>
      <c r="O302" s="247"/>
      <c r="P302" s="247"/>
      <c r="Q302" s="247"/>
      <c r="R302" s="247"/>
      <c r="S302" s="247"/>
      <c r="T302" s="247"/>
      <c r="U302" s="247"/>
      <c r="V302" s="247"/>
      <c r="W302" s="247"/>
      <c r="X302" s="247"/>
      <c r="Y302" s="247"/>
      <c r="Z302" s="247"/>
    </row>
    <row r="303" ht="102.0" customHeight="1">
      <c r="A303" s="352" t="s">
        <v>366</v>
      </c>
      <c r="B303" s="386" t="s">
        <v>284</v>
      </c>
      <c r="C303" s="391" t="s">
        <v>1622</v>
      </c>
      <c r="D303" s="392" t="s">
        <v>1623</v>
      </c>
      <c r="E303" s="356" t="s">
        <v>1624</v>
      </c>
      <c r="F303" s="356" t="s">
        <v>784</v>
      </c>
      <c r="G303" s="357">
        <v>50.0</v>
      </c>
      <c r="H303" s="358">
        <v>50.0</v>
      </c>
      <c r="I303" s="372" t="s">
        <v>366</v>
      </c>
      <c r="J303" s="247"/>
      <c r="K303" s="247"/>
      <c r="L303" s="247"/>
      <c r="M303" s="247"/>
      <c r="N303" s="247"/>
      <c r="O303" s="247"/>
      <c r="P303" s="247"/>
      <c r="Q303" s="247"/>
      <c r="R303" s="247"/>
      <c r="S303" s="247"/>
      <c r="T303" s="247"/>
      <c r="U303" s="247"/>
      <c r="V303" s="247"/>
      <c r="W303" s="247"/>
      <c r="X303" s="247"/>
      <c r="Y303" s="247"/>
      <c r="Z303" s="247"/>
    </row>
    <row r="304" ht="90.0" customHeight="1">
      <c r="A304" s="352" t="s">
        <v>366</v>
      </c>
      <c r="B304" s="386" t="s">
        <v>284</v>
      </c>
      <c r="C304" s="13" t="s">
        <v>1622</v>
      </c>
      <c r="D304" s="393" t="s">
        <v>1625</v>
      </c>
      <c r="E304" s="356" t="s">
        <v>1626</v>
      </c>
      <c r="F304" s="356" t="s">
        <v>784</v>
      </c>
      <c r="G304" s="357">
        <v>50.0</v>
      </c>
      <c r="H304" s="62">
        <v>50.0</v>
      </c>
      <c r="I304" s="372" t="s">
        <v>366</v>
      </c>
      <c r="J304" s="247"/>
      <c r="K304" s="247"/>
      <c r="L304" s="247"/>
      <c r="M304" s="247"/>
      <c r="N304" s="247"/>
      <c r="O304" s="247"/>
      <c r="P304" s="247"/>
      <c r="Q304" s="247"/>
      <c r="R304" s="247"/>
      <c r="S304" s="247"/>
      <c r="T304" s="247"/>
      <c r="U304" s="247"/>
      <c r="V304" s="247"/>
      <c r="W304" s="247"/>
      <c r="X304" s="247"/>
      <c r="Y304" s="247"/>
      <c r="Z304" s="247"/>
    </row>
    <row r="305" ht="165.75" customHeight="1">
      <c r="A305" s="352" t="s">
        <v>366</v>
      </c>
      <c r="B305" s="386" t="s">
        <v>284</v>
      </c>
      <c r="C305" s="394" t="s">
        <v>384</v>
      </c>
      <c r="D305" s="386" t="s">
        <v>1627</v>
      </c>
      <c r="E305" s="60" t="s">
        <v>1628</v>
      </c>
      <c r="F305" s="356" t="s">
        <v>784</v>
      </c>
      <c r="G305" s="357">
        <v>50.0</v>
      </c>
      <c r="H305" s="62">
        <v>50.0</v>
      </c>
      <c r="I305" s="372" t="s">
        <v>366</v>
      </c>
      <c r="J305" s="247"/>
      <c r="K305" s="247"/>
      <c r="L305" s="247"/>
      <c r="M305" s="247"/>
      <c r="N305" s="247"/>
      <c r="O305" s="247"/>
      <c r="P305" s="247"/>
      <c r="Q305" s="247"/>
      <c r="R305" s="247"/>
      <c r="S305" s="247"/>
      <c r="T305" s="247"/>
      <c r="U305" s="247"/>
      <c r="V305" s="247"/>
      <c r="W305" s="247"/>
      <c r="X305" s="247"/>
      <c r="Y305" s="247"/>
      <c r="Z305" s="247"/>
    </row>
    <row r="306" ht="153.0" customHeight="1">
      <c r="A306" s="352" t="s">
        <v>1629</v>
      </c>
      <c r="B306" s="386" t="s">
        <v>284</v>
      </c>
      <c r="C306" s="122" t="s">
        <v>1630</v>
      </c>
      <c r="D306" s="122" t="s">
        <v>1616</v>
      </c>
      <c r="E306" s="356" t="s">
        <v>1631</v>
      </c>
      <c r="F306" s="356" t="s">
        <v>784</v>
      </c>
      <c r="G306" s="387">
        <v>50.0</v>
      </c>
      <c r="H306" s="395">
        <v>50.0</v>
      </c>
      <c r="I306" s="372" t="s">
        <v>376</v>
      </c>
      <c r="J306" s="247"/>
      <c r="K306" s="247"/>
      <c r="L306" s="247"/>
      <c r="M306" s="247"/>
      <c r="N306" s="247"/>
      <c r="O306" s="247"/>
      <c r="P306" s="247"/>
      <c r="Q306" s="247"/>
      <c r="R306" s="247"/>
      <c r="S306" s="247"/>
      <c r="T306" s="247"/>
      <c r="U306" s="247"/>
      <c r="V306" s="247"/>
      <c r="W306" s="247"/>
      <c r="X306" s="247"/>
      <c r="Y306" s="247"/>
      <c r="Z306" s="247"/>
    </row>
    <row r="307" ht="114.75" customHeight="1">
      <c r="A307" s="352" t="s">
        <v>1629</v>
      </c>
      <c r="B307" s="386" t="s">
        <v>284</v>
      </c>
      <c r="C307" s="122" t="s">
        <v>1632</v>
      </c>
      <c r="D307" s="122" t="s">
        <v>1616</v>
      </c>
      <c r="E307" s="356" t="s">
        <v>1631</v>
      </c>
      <c r="F307" s="356" t="s">
        <v>784</v>
      </c>
      <c r="G307" s="387">
        <v>50.0</v>
      </c>
      <c r="H307" s="395">
        <v>50.0</v>
      </c>
      <c r="I307" s="372" t="s">
        <v>376</v>
      </c>
      <c r="J307" s="247"/>
      <c r="K307" s="247"/>
      <c r="L307" s="247"/>
      <c r="M307" s="247"/>
      <c r="N307" s="247"/>
      <c r="O307" s="247"/>
      <c r="P307" s="247"/>
      <c r="Q307" s="247"/>
      <c r="R307" s="247"/>
      <c r="S307" s="247"/>
      <c r="T307" s="247"/>
      <c r="U307" s="247"/>
      <c r="V307" s="247"/>
      <c r="W307" s="247"/>
      <c r="X307" s="247"/>
      <c r="Y307" s="247"/>
      <c r="Z307" s="247"/>
    </row>
    <row r="308" ht="178.5" customHeight="1">
      <c r="A308" s="352" t="s">
        <v>1629</v>
      </c>
      <c r="B308" s="386" t="s">
        <v>284</v>
      </c>
      <c r="C308" s="391" t="s">
        <v>1633</v>
      </c>
      <c r="D308" s="386" t="s">
        <v>1634</v>
      </c>
      <c r="E308" s="356" t="s">
        <v>900</v>
      </c>
      <c r="F308" s="356" t="s">
        <v>784</v>
      </c>
      <c r="G308" s="357">
        <v>50.0</v>
      </c>
      <c r="H308" s="62">
        <v>50.0</v>
      </c>
      <c r="I308" s="372" t="s">
        <v>376</v>
      </c>
      <c r="J308" s="247"/>
      <c r="K308" s="247"/>
      <c r="L308" s="247"/>
      <c r="M308" s="247"/>
      <c r="N308" s="247"/>
      <c r="O308" s="247"/>
      <c r="P308" s="247"/>
      <c r="Q308" s="247"/>
      <c r="R308" s="247"/>
      <c r="S308" s="247"/>
      <c r="T308" s="247"/>
      <c r="U308" s="247"/>
      <c r="V308" s="247"/>
      <c r="W308" s="247"/>
      <c r="X308" s="247"/>
      <c r="Y308" s="247"/>
      <c r="Z308" s="247"/>
    </row>
    <row r="309" ht="178.5" customHeight="1">
      <c r="A309" s="352" t="s">
        <v>1629</v>
      </c>
      <c r="B309" s="386" t="s">
        <v>284</v>
      </c>
      <c r="C309" s="386" t="s">
        <v>1635</v>
      </c>
      <c r="D309" s="386" t="s">
        <v>1634</v>
      </c>
      <c r="E309" s="356" t="s">
        <v>900</v>
      </c>
      <c r="F309" s="356" t="s">
        <v>784</v>
      </c>
      <c r="G309" s="357">
        <v>50.0</v>
      </c>
      <c r="H309" s="62">
        <v>50.0</v>
      </c>
      <c r="I309" s="372" t="s">
        <v>376</v>
      </c>
      <c r="J309" s="247"/>
      <c r="K309" s="247"/>
      <c r="L309" s="247"/>
      <c r="M309" s="247"/>
      <c r="N309" s="247"/>
      <c r="O309" s="247"/>
      <c r="P309" s="247"/>
      <c r="Q309" s="247"/>
      <c r="R309" s="247"/>
      <c r="S309" s="247"/>
      <c r="T309" s="247"/>
      <c r="U309" s="247"/>
      <c r="V309" s="247"/>
      <c r="W309" s="247"/>
      <c r="X309" s="247"/>
      <c r="Y309" s="247"/>
      <c r="Z309" s="247"/>
    </row>
    <row r="310" ht="165.75" customHeight="1">
      <c r="A310" s="352" t="s">
        <v>1629</v>
      </c>
      <c r="B310" s="386" t="s">
        <v>284</v>
      </c>
      <c r="C310" s="155" t="s">
        <v>1636</v>
      </c>
      <c r="D310" s="155" t="s">
        <v>1637</v>
      </c>
      <c r="E310" s="396" t="s">
        <v>1638</v>
      </c>
      <c r="F310" s="60" t="s">
        <v>1639</v>
      </c>
      <c r="G310" s="61">
        <v>15.0</v>
      </c>
      <c r="H310" s="62">
        <v>15.0</v>
      </c>
      <c r="I310" s="372" t="s">
        <v>376</v>
      </c>
      <c r="J310" s="247"/>
      <c r="K310" s="247"/>
      <c r="L310" s="247"/>
      <c r="M310" s="247"/>
      <c r="N310" s="247"/>
      <c r="O310" s="247"/>
      <c r="P310" s="247"/>
      <c r="Q310" s="247"/>
      <c r="R310" s="247"/>
      <c r="S310" s="247"/>
      <c r="T310" s="247"/>
      <c r="U310" s="247"/>
      <c r="V310" s="247"/>
      <c r="W310" s="247"/>
      <c r="X310" s="247"/>
      <c r="Y310" s="247"/>
      <c r="Z310" s="247"/>
    </row>
    <row r="311" ht="102.0" customHeight="1">
      <c r="A311" s="142" t="s">
        <v>1640</v>
      </c>
      <c r="B311" s="237" t="s">
        <v>38</v>
      </c>
      <c r="C311" s="141" t="s">
        <v>1641</v>
      </c>
      <c r="D311" s="397" t="s">
        <v>1642</v>
      </c>
      <c r="E311" s="398" t="s">
        <v>1445</v>
      </c>
      <c r="F311" s="141" t="s">
        <v>1643</v>
      </c>
      <c r="G311" s="61">
        <v>50.0</v>
      </c>
      <c r="H311" s="62">
        <f t="shared" ref="H311:H313" si="9">G311/4</f>
        <v>12.5</v>
      </c>
      <c r="I311" s="372" t="s">
        <v>230</v>
      </c>
      <c r="J311" s="247"/>
      <c r="K311" s="247"/>
      <c r="L311" s="247"/>
      <c r="M311" s="247"/>
      <c r="N311" s="247"/>
      <c r="O311" s="247"/>
      <c r="P311" s="247"/>
      <c r="Q311" s="247"/>
      <c r="R311" s="247"/>
      <c r="S311" s="247"/>
      <c r="T311" s="247"/>
      <c r="U311" s="247"/>
      <c r="V311" s="247"/>
      <c r="W311" s="247"/>
      <c r="X311" s="247"/>
      <c r="Y311" s="247"/>
      <c r="Z311" s="247"/>
    </row>
    <row r="312" ht="165.75" customHeight="1">
      <c r="A312" s="142" t="s">
        <v>1640</v>
      </c>
      <c r="B312" s="237" t="s">
        <v>38</v>
      </c>
      <c r="C312" s="141" t="s">
        <v>1641</v>
      </c>
      <c r="D312" s="397" t="s">
        <v>1644</v>
      </c>
      <c r="E312" s="398" t="s">
        <v>1439</v>
      </c>
      <c r="F312" s="141" t="s">
        <v>1643</v>
      </c>
      <c r="G312" s="61">
        <v>50.0</v>
      </c>
      <c r="H312" s="62">
        <f t="shared" si="9"/>
        <v>12.5</v>
      </c>
      <c r="I312" s="372" t="s">
        <v>230</v>
      </c>
      <c r="J312" s="247"/>
      <c r="K312" s="247"/>
      <c r="L312" s="247"/>
      <c r="M312" s="247"/>
      <c r="N312" s="247"/>
      <c r="O312" s="247"/>
      <c r="P312" s="247"/>
      <c r="Q312" s="247"/>
      <c r="R312" s="247"/>
      <c r="S312" s="247"/>
      <c r="T312" s="247"/>
      <c r="U312" s="247"/>
      <c r="V312" s="247"/>
      <c r="W312" s="247"/>
      <c r="X312" s="247"/>
      <c r="Y312" s="247"/>
      <c r="Z312" s="247"/>
    </row>
    <row r="313" ht="229.5" customHeight="1">
      <c r="A313" s="142" t="s">
        <v>1640</v>
      </c>
      <c r="B313" s="237" t="s">
        <v>38</v>
      </c>
      <c r="C313" s="141" t="s">
        <v>1641</v>
      </c>
      <c r="D313" s="397" t="s">
        <v>1645</v>
      </c>
      <c r="E313" s="398" t="s">
        <v>1442</v>
      </c>
      <c r="F313" s="141" t="s">
        <v>1643</v>
      </c>
      <c r="G313" s="61">
        <v>50.0</v>
      </c>
      <c r="H313" s="62">
        <f t="shared" si="9"/>
        <v>12.5</v>
      </c>
      <c r="I313" s="372" t="s">
        <v>230</v>
      </c>
      <c r="J313" s="247"/>
      <c r="K313" s="247"/>
      <c r="L313" s="247"/>
      <c r="M313" s="247"/>
      <c r="N313" s="247"/>
      <c r="O313" s="247"/>
      <c r="P313" s="247"/>
      <c r="Q313" s="247"/>
      <c r="R313" s="247"/>
      <c r="S313" s="247"/>
      <c r="T313" s="247"/>
      <c r="U313" s="247"/>
      <c r="V313" s="247"/>
      <c r="W313" s="247"/>
      <c r="X313" s="247"/>
      <c r="Y313" s="247"/>
      <c r="Z313" s="247"/>
    </row>
    <row r="314" ht="293.25" customHeight="1">
      <c r="A314" s="237" t="s">
        <v>1646</v>
      </c>
      <c r="B314" s="237" t="s">
        <v>38</v>
      </c>
      <c r="C314" s="237" t="s">
        <v>1647</v>
      </c>
      <c r="D314" s="237" t="s">
        <v>1648</v>
      </c>
      <c r="E314" s="239" t="s">
        <v>1649</v>
      </c>
      <c r="F314" s="121" t="s">
        <v>1643</v>
      </c>
      <c r="G314" s="61">
        <v>50.0</v>
      </c>
      <c r="H314" s="62">
        <f t="shared" ref="H314:H317" si="10">G314/2</f>
        <v>25</v>
      </c>
      <c r="I314" s="372" t="s">
        <v>230</v>
      </c>
      <c r="J314" s="247"/>
      <c r="K314" s="247"/>
      <c r="L314" s="247"/>
      <c r="M314" s="247"/>
      <c r="N314" s="247"/>
      <c r="O314" s="247"/>
      <c r="P314" s="247"/>
      <c r="Q314" s="247"/>
      <c r="R314" s="247"/>
      <c r="S314" s="247"/>
      <c r="T314" s="247"/>
      <c r="U314" s="247"/>
      <c r="V314" s="247"/>
      <c r="W314" s="247"/>
      <c r="X314" s="247"/>
      <c r="Y314" s="247"/>
      <c r="Z314" s="247"/>
    </row>
    <row r="315" ht="165.75" customHeight="1">
      <c r="A315" s="237" t="s">
        <v>1646</v>
      </c>
      <c r="B315" s="237" t="s">
        <v>38</v>
      </c>
      <c r="C315" s="237" t="s">
        <v>1647</v>
      </c>
      <c r="D315" s="237" t="s">
        <v>1650</v>
      </c>
      <c r="E315" s="239" t="s">
        <v>1651</v>
      </c>
      <c r="F315" s="121" t="s">
        <v>540</v>
      </c>
      <c r="G315" s="61">
        <v>15.0</v>
      </c>
      <c r="H315" s="62">
        <f t="shared" si="10"/>
        <v>7.5</v>
      </c>
      <c r="I315" s="372" t="s">
        <v>230</v>
      </c>
      <c r="J315" s="247"/>
      <c r="K315" s="247"/>
      <c r="L315" s="247"/>
      <c r="M315" s="247"/>
      <c r="N315" s="247"/>
      <c r="O315" s="247"/>
      <c r="P315" s="247"/>
      <c r="Q315" s="247"/>
      <c r="R315" s="247"/>
      <c r="S315" s="247"/>
      <c r="T315" s="247"/>
      <c r="U315" s="247"/>
      <c r="V315" s="247"/>
      <c r="W315" s="247"/>
      <c r="X315" s="247"/>
      <c r="Y315" s="247"/>
      <c r="Z315" s="247"/>
    </row>
    <row r="316" ht="267.75" customHeight="1">
      <c r="A316" s="237" t="s">
        <v>1646</v>
      </c>
      <c r="B316" s="237" t="s">
        <v>38</v>
      </c>
      <c r="C316" s="237" t="s">
        <v>1647</v>
      </c>
      <c r="D316" s="237" t="s">
        <v>1652</v>
      </c>
      <c r="E316" s="239" t="s">
        <v>1653</v>
      </c>
      <c r="F316" s="121" t="s">
        <v>1643</v>
      </c>
      <c r="G316" s="61">
        <v>50.0</v>
      </c>
      <c r="H316" s="62">
        <f t="shared" si="10"/>
        <v>25</v>
      </c>
      <c r="I316" s="372" t="s">
        <v>230</v>
      </c>
      <c r="J316" s="247"/>
      <c r="K316" s="247"/>
      <c r="L316" s="247"/>
      <c r="M316" s="247"/>
      <c r="N316" s="247"/>
      <c r="O316" s="247"/>
      <c r="P316" s="247"/>
      <c r="Q316" s="247"/>
      <c r="R316" s="247"/>
      <c r="S316" s="247"/>
      <c r="T316" s="247"/>
      <c r="U316" s="247"/>
      <c r="V316" s="247"/>
      <c r="W316" s="247"/>
      <c r="X316" s="247"/>
      <c r="Y316" s="247"/>
      <c r="Z316" s="247"/>
    </row>
    <row r="317" ht="204.0" customHeight="1">
      <c r="A317" s="237" t="s">
        <v>1646</v>
      </c>
      <c r="B317" s="237" t="s">
        <v>38</v>
      </c>
      <c r="C317" s="237" t="s">
        <v>1647</v>
      </c>
      <c r="D317" s="237" t="s">
        <v>1654</v>
      </c>
      <c r="E317" s="239" t="s">
        <v>1655</v>
      </c>
      <c r="F317" s="121" t="s">
        <v>1643</v>
      </c>
      <c r="G317" s="61">
        <v>50.0</v>
      </c>
      <c r="H317" s="62">
        <f t="shared" si="10"/>
        <v>25</v>
      </c>
      <c r="I317" s="372" t="s">
        <v>230</v>
      </c>
      <c r="J317" s="247"/>
      <c r="K317" s="247"/>
      <c r="L317" s="247"/>
      <c r="M317" s="247"/>
      <c r="N317" s="247"/>
      <c r="O317" s="247"/>
      <c r="P317" s="247"/>
      <c r="Q317" s="247"/>
      <c r="R317" s="247"/>
      <c r="S317" s="247"/>
      <c r="T317" s="247"/>
      <c r="U317" s="247"/>
      <c r="V317" s="247"/>
      <c r="W317" s="247"/>
      <c r="X317" s="247"/>
      <c r="Y317" s="247"/>
      <c r="Z317" s="247"/>
    </row>
    <row r="318" ht="127.5" customHeight="1">
      <c r="A318" s="237" t="s">
        <v>1656</v>
      </c>
      <c r="B318" s="237" t="s">
        <v>38</v>
      </c>
      <c r="C318" s="237" t="s">
        <v>1657</v>
      </c>
      <c r="D318" s="237" t="s">
        <v>1658</v>
      </c>
      <c r="E318" s="239" t="s">
        <v>1659</v>
      </c>
      <c r="F318" s="121" t="s">
        <v>1643</v>
      </c>
      <c r="G318" s="61">
        <v>50.0</v>
      </c>
      <c r="H318" s="62">
        <f>G318/1</f>
        <v>50</v>
      </c>
      <c r="I318" s="372" t="s">
        <v>230</v>
      </c>
      <c r="J318" s="247"/>
      <c r="K318" s="247"/>
      <c r="L318" s="247"/>
      <c r="M318" s="247"/>
      <c r="N318" s="247"/>
      <c r="O318" s="247"/>
      <c r="P318" s="247"/>
      <c r="Q318" s="247"/>
      <c r="R318" s="247"/>
      <c r="S318" s="247"/>
      <c r="T318" s="247"/>
      <c r="U318" s="247"/>
      <c r="V318" s="247"/>
      <c r="W318" s="247"/>
      <c r="X318" s="247"/>
      <c r="Y318" s="247"/>
      <c r="Z318" s="247"/>
    </row>
    <row r="319" ht="153.75" customHeight="1">
      <c r="A319" s="237" t="s">
        <v>1660</v>
      </c>
      <c r="B319" s="237" t="s">
        <v>38</v>
      </c>
      <c r="C319" s="346" t="s">
        <v>1661</v>
      </c>
      <c r="D319" s="346" t="s">
        <v>1662</v>
      </c>
      <c r="E319" s="399" t="s">
        <v>1663</v>
      </c>
      <c r="F319" s="400" t="s">
        <v>1643</v>
      </c>
      <c r="G319" s="61">
        <v>50.0</v>
      </c>
      <c r="H319" s="62">
        <f t="shared" ref="H319:H321" si="11">G319/2</f>
        <v>25</v>
      </c>
      <c r="I319" s="372" t="s">
        <v>230</v>
      </c>
      <c r="J319" s="247"/>
      <c r="K319" s="247"/>
      <c r="L319" s="247"/>
      <c r="M319" s="247"/>
      <c r="N319" s="247"/>
      <c r="O319" s="247"/>
      <c r="P319" s="247"/>
      <c r="Q319" s="247"/>
      <c r="R319" s="247"/>
      <c r="S319" s="247"/>
      <c r="T319" s="247"/>
      <c r="U319" s="247"/>
      <c r="V319" s="247"/>
      <c r="W319" s="247"/>
      <c r="X319" s="247"/>
      <c r="Y319" s="247"/>
      <c r="Z319" s="247"/>
    </row>
    <row r="320" ht="153.75" customHeight="1">
      <c r="A320" s="237" t="s">
        <v>1660</v>
      </c>
      <c r="B320" s="237" t="s">
        <v>38</v>
      </c>
      <c r="C320" s="346" t="s">
        <v>1661</v>
      </c>
      <c r="D320" s="346" t="s">
        <v>1664</v>
      </c>
      <c r="E320" s="399" t="s">
        <v>1665</v>
      </c>
      <c r="F320" s="400" t="s">
        <v>1643</v>
      </c>
      <c r="G320" s="61">
        <v>50.0</v>
      </c>
      <c r="H320" s="62">
        <f t="shared" si="11"/>
        <v>25</v>
      </c>
      <c r="I320" s="372" t="s">
        <v>230</v>
      </c>
      <c r="J320" s="247"/>
      <c r="K320" s="247"/>
      <c r="L320" s="247"/>
      <c r="M320" s="247"/>
      <c r="N320" s="247"/>
      <c r="O320" s="247"/>
      <c r="P320" s="247"/>
      <c r="Q320" s="247"/>
      <c r="R320" s="247"/>
      <c r="S320" s="247"/>
      <c r="T320" s="247"/>
      <c r="U320" s="247"/>
      <c r="V320" s="247"/>
      <c r="W320" s="247"/>
      <c r="X320" s="247"/>
      <c r="Y320" s="247"/>
      <c r="Z320" s="247"/>
    </row>
    <row r="321" ht="141.0" customHeight="1">
      <c r="A321" s="237" t="s">
        <v>1660</v>
      </c>
      <c r="B321" s="237" t="s">
        <v>38</v>
      </c>
      <c r="C321" s="346" t="s">
        <v>1661</v>
      </c>
      <c r="D321" s="346" t="s">
        <v>1666</v>
      </c>
      <c r="E321" s="399" t="s">
        <v>1667</v>
      </c>
      <c r="F321" s="400" t="s">
        <v>1643</v>
      </c>
      <c r="G321" s="61">
        <v>50.0</v>
      </c>
      <c r="H321" s="62">
        <f t="shared" si="11"/>
        <v>25</v>
      </c>
      <c r="I321" s="372" t="s">
        <v>230</v>
      </c>
      <c r="J321" s="247"/>
      <c r="K321" s="247"/>
      <c r="L321" s="247"/>
      <c r="M321" s="247"/>
      <c r="N321" s="247"/>
      <c r="O321" s="247"/>
      <c r="P321" s="247"/>
      <c r="Q321" s="247"/>
      <c r="R321" s="247"/>
      <c r="S321" s="247"/>
      <c r="T321" s="247"/>
      <c r="U321" s="247"/>
      <c r="V321" s="247"/>
      <c r="W321" s="247"/>
      <c r="X321" s="247"/>
      <c r="Y321" s="247"/>
      <c r="Z321" s="247"/>
    </row>
    <row r="322" ht="140.25" customHeight="1">
      <c r="A322" s="237" t="s">
        <v>1668</v>
      </c>
      <c r="B322" s="237" t="s">
        <v>38</v>
      </c>
      <c r="C322" s="237" t="s">
        <v>1669</v>
      </c>
      <c r="D322" s="237" t="s">
        <v>1670</v>
      </c>
      <c r="E322" s="381" t="s">
        <v>1671</v>
      </c>
      <c r="F322" s="121" t="s">
        <v>1643</v>
      </c>
      <c r="G322" s="61">
        <v>50.0</v>
      </c>
      <c r="H322" s="62">
        <f>G322/1</f>
        <v>50</v>
      </c>
      <c r="I322" s="372" t="s">
        <v>230</v>
      </c>
      <c r="J322" s="247"/>
      <c r="K322" s="247"/>
      <c r="L322" s="247"/>
      <c r="M322" s="247"/>
      <c r="N322" s="247"/>
      <c r="O322" s="247"/>
      <c r="P322" s="247"/>
      <c r="Q322" s="247"/>
      <c r="R322" s="247"/>
      <c r="S322" s="247"/>
      <c r="T322" s="247"/>
      <c r="U322" s="247"/>
      <c r="V322" s="247"/>
      <c r="W322" s="247"/>
      <c r="X322" s="247"/>
      <c r="Y322" s="247"/>
      <c r="Z322" s="247"/>
    </row>
    <row r="323" ht="195.0" customHeight="1">
      <c r="A323" s="52" t="s">
        <v>1672</v>
      </c>
      <c r="B323" s="52" t="s">
        <v>38</v>
      </c>
      <c r="C323" s="52" t="s">
        <v>1673</v>
      </c>
      <c r="D323" s="401" t="s">
        <v>1674</v>
      </c>
      <c r="E323" s="70" t="s">
        <v>1675</v>
      </c>
      <c r="F323" s="402" t="s">
        <v>1643</v>
      </c>
      <c r="G323" s="61">
        <v>50.0</v>
      </c>
      <c r="H323" s="62">
        <f t="shared" ref="H323:H326" si="12">G323/2</f>
        <v>25</v>
      </c>
      <c r="I323" s="372" t="s">
        <v>230</v>
      </c>
      <c r="J323" s="247"/>
      <c r="K323" s="247"/>
      <c r="L323" s="247"/>
      <c r="M323" s="247"/>
      <c r="N323" s="247"/>
      <c r="O323" s="247"/>
      <c r="P323" s="247"/>
      <c r="Q323" s="247"/>
      <c r="R323" s="247"/>
      <c r="S323" s="247"/>
      <c r="T323" s="247"/>
      <c r="U323" s="247"/>
      <c r="V323" s="247"/>
      <c r="W323" s="247"/>
      <c r="X323" s="247"/>
      <c r="Y323" s="247"/>
      <c r="Z323" s="247"/>
    </row>
    <row r="324" ht="270.0" customHeight="1">
      <c r="A324" s="52" t="s">
        <v>1672</v>
      </c>
      <c r="B324" s="52" t="s">
        <v>38</v>
      </c>
      <c r="C324" s="52" t="s">
        <v>1673</v>
      </c>
      <c r="D324" s="401" t="s">
        <v>1676</v>
      </c>
      <c r="E324" s="70" t="s">
        <v>1677</v>
      </c>
      <c r="F324" s="402" t="s">
        <v>1514</v>
      </c>
      <c r="G324" s="61">
        <v>50.0</v>
      </c>
      <c r="H324" s="62">
        <f t="shared" si="12"/>
        <v>25</v>
      </c>
      <c r="I324" s="372" t="s">
        <v>230</v>
      </c>
      <c r="J324" s="247"/>
      <c r="K324" s="247"/>
      <c r="L324" s="247"/>
      <c r="M324" s="247"/>
      <c r="N324" s="247"/>
      <c r="O324" s="247"/>
      <c r="P324" s="247"/>
      <c r="Q324" s="247"/>
      <c r="R324" s="247"/>
      <c r="S324" s="247"/>
      <c r="T324" s="247"/>
      <c r="U324" s="247"/>
      <c r="V324" s="247"/>
      <c r="W324" s="247"/>
      <c r="X324" s="247"/>
      <c r="Y324" s="247"/>
      <c r="Z324" s="247"/>
    </row>
    <row r="325" ht="315.0" customHeight="1">
      <c r="A325" s="52" t="s">
        <v>1672</v>
      </c>
      <c r="B325" s="52" t="s">
        <v>38</v>
      </c>
      <c r="C325" s="52" t="s">
        <v>1673</v>
      </c>
      <c r="D325" s="401" t="s">
        <v>1678</v>
      </c>
      <c r="E325" s="70" t="s">
        <v>1031</v>
      </c>
      <c r="F325" s="402" t="s">
        <v>540</v>
      </c>
      <c r="G325" s="61">
        <v>15.0</v>
      </c>
      <c r="H325" s="62">
        <f t="shared" si="12"/>
        <v>7.5</v>
      </c>
      <c r="I325" s="372" t="s">
        <v>230</v>
      </c>
      <c r="J325" s="247"/>
      <c r="K325" s="247"/>
      <c r="L325" s="247"/>
      <c r="M325" s="247"/>
      <c r="N325" s="247"/>
      <c r="O325" s="247"/>
      <c r="P325" s="247"/>
      <c r="Q325" s="247"/>
      <c r="R325" s="247"/>
      <c r="S325" s="247"/>
      <c r="T325" s="247"/>
      <c r="U325" s="247"/>
      <c r="V325" s="247"/>
      <c r="W325" s="247"/>
      <c r="X325" s="247"/>
      <c r="Y325" s="247"/>
      <c r="Z325" s="247"/>
    </row>
    <row r="326" ht="285.0" customHeight="1">
      <c r="A326" s="52" t="s">
        <v>1672</v>
      </c>
      <c r="B326" s="52" t="s">
        <v>38</v>
      </c>
      <c r="C326" s="52" t="s">
        <v>1673</v>
      </c>
      <c r="D326" s="401" t="s">
        <v>1679</v>
      </c>
      <c r="E326" s="70" t="s">
        <v>1034</v>
      </c>
      <c r="F326" s="402" t="s">
        <v>1643</v>
      </c>
      <c r="G326" s="61">
        <v>50.0</v>
      </c>
      <c r="H326" s="62">
        <f t="shared" si="12"/>
        <v>25</v>
      </c>
      <c r="I326" s="372" t="s">
        <v>230</v>
      </c>
      <c r="J326" s="247"/>
      <c r="K326" s="247"/>
      <c r="L326" s="247"/>
      <c r="M326" s="247"/>
      <c r="N326" s="247"/>
      <c r="O326" s="247"/>
      <c r="P326" s="247"/>
      <c r="Q326" s="247"/>
      <c r="R326" s="247"/>
      <c r="S326" s="247"/>
      <c r="T326" s="247"/>
      <c r="U326" s="247"/>
      <c r="V326" s="247"/>
      <c r="W326" s="247"/>
      <c r="X326" s="247"/>
      <c r="Y326" s="247"/>
      <c r="Z326" s="247"/>
    </row>
    <row r="327" ht="330.0" customHeight="1">
      <c r="A327" s="52" t="s">
        <v>1680</v>
      </c>
      <c r="B327" s="52" t="s">
        <v>38</v>
      </c>
      <c r="C327" s="52" t="s">
        <v>1681</v>
      </c>
      <c r="D327" s="401" t="s">
        <v>1682</v>
      </c>
      <c r="E327" s="70" t="s">
        <v>1683</v>
      </c>
      <c r="F327" s="402" t="s">
        <v>1643</v>
      </c>
      <c r="G327" s="61">
        <v>50.0</v>
      </c>
      <c r="H327" s="62">
        <v>16.67</v>
      </c>
      <c r="I327" s="372" t="s">
        <v>230</v>
      </c>
      <c r="J327" s="247"/>
      <c r="K327" s="247"/>
      <c r="L327" s="247"/>
      <c r="M327" s="247"/>
      <c r="N327" s="247"/>
      <c r="O327" s="247"/>
      <c r="P327" s="247"/>
      <c r="Q327" s="247"/>
      <c r="R327" s="247"/>
      <c r="S327" s="247"/>
      <c r="T327" s="247"/>
      <c r="U327" s="247"/>
      <c r="V327" s="247"/>
      <c r="W327" s="247"/>
      <c r="X327" s="247"/>
      <c r="Y327" s="247"/>
      <c r="Z327" s="247"/>
    </row>
    <row r="328" ht="225.0" customHeight="1">
      <c r="A328" s="52" t="s">
        <v>1680</v>
      </c>
      <c r="B328" s="52" t="s">
        <v>38</v>
      </c>
      <c r="C328" s="52" t="s">
        <v>1681</v>
      </c>
      <c r="D328" s="401" t="s">
        <v>1684</v>
      </c>
      <c r="E328" s="70" t="s">
        <v>1685</v>
      </c>
      <c r="F328" s="402" t="s">
        <v>540</v>
      </c>
      <c r="G328" s="61">
        <v>15.0</v>
      </c>
      <c r="H328" s="62">
        <f>G328/3</f>
        <v>5</v>
      </c>
      <c r="I328" s="372" t="s">
        <v>230</v>
      </c>
      <c r="J328" s="247"/>
      <c r="K328" s="247"/>
      <c r="L328" s="247"/>
      <c r="M328" s="247"/>
      <c r="N328" s="247"/>
      <c r="O328" s="247"/>
      <c r="P328" s="247"/>
      <c r="Q328" s="247"/>
      <c r="R328" s="247"/>
      <c r="S328" s="247"/>
      <c r="T328" s="247"/>
      <c r="U328" s="247"/>
      <c r="V328" s="247"/>
      <c r="W328" s="247"/>
      <c r="X328" s="247"/>
      <c r="Y328" s="247"/>
      <c r="Z328" s="247"/>
    </row>
    <row r="329" ht="270.0" customHeight="1">
      <c r="A329" s="52" t="s">
        <v>1680</v>
      </c>
      <c r="B329" s="52" t="s">
        <v>38</v>
      </c>
      <c r="C329" s="52" t="s">
        <v>1681</v>
      </c>
      <c r="D329" s="401" t="s">
        <v>1686</v>
      </c>
      <c r="E329" s="70" t="s">
        <v>1687</v>
      </c>
      <c r="F329" s="402" t="s">
        <v>1643</v>
      </c>
      <c r="G329" s="61">
        <v>50.0</v>
      </c>
      <c r="H329" s="62">
        <v>16.67</v>
      </c>
      <c r="I329" s="372" t="s">
        <v>230</v>
      </c>
      <c r="J329" s="247"/>
      <c r="K329" s="247"/>
      <c r="L329" s="247"/>
      <c r="M329" s="247"/>
      <c r="N329" s="247"/>
      <c r="O329" s="247"/>
      <c r="P329" s="247"/>
      <c r="Q329" s="247"/>
      <c r="R329" s="247"/>
      <c r="S329" s="247"/>
      <c r="T329" s="247"/>
      <c r="U329" s="247"/>
      <c r="V329" s="247"/>
      <c r="W329" s="247"/>
      <c r="X329" s="247"/>
      <c r="Y329" s="247"/>
      <c r="Z329" s="247"/>
    </row>
    <row r="330" ht="270.0" customHeight="1">
      <c r="A330" s="52" t="s">
        <v>1680</v>
      </c>
      <c r="B330" s="52" t="s">
        <v>38</v>
      </c>
      <c r="C330" s="52" t="s">
        <v>1681</v>
      </c>
      <c r="D330" s="401" t="s">
        <v>1688</v>
      </c>
      <c r="E330" s="70" t="s">
        <v>1689</v>
      </c>
      <c r="F330" s="402" t="s">
        <v>1514</v>
      </c>
      <c r="G330" s="61">
        <v>50.0</v>
      </c>
      <c r="H330" s="62">
        <v>16.67</v>
      </c>
      <c r="I330" s="372" t="s">
        <v>230</v>
      </c>
      <c r="J330" s="247"/>
      <c r="K330" s="247"/>
      <c r="L330" s="247"/>
      <c r="M330" s="247"/>
      <c r="N330" s="247"/>
      <c r="O330" s="247"/>
      <c r="P330" s="247"/>
      <c r="Q330" s="247"/>
      <c r="R330" s="247"/>
      <c r="S330" s="247"/>
      <c r="T330" s="247"/>
      <c r="U330" s="247"/>
      <c r="V330" s="247"/>
      <c r="W330" s="247"/>
      <c r="X330" s="247"/>
      <c r="Y330" s="247"/>
      <c r="Z330" s="247"/>
    </row>
    <row r="331" ht="255.0" customHeight="1">
      <c r="A331" s="52" t="s">
        <v>1680</v>
      </c>
      <c r="B331" s="52" t="s">
        <v>38</v>
      </c>
      <c r="C331" s="52" t="s">
        <v>1681</v>
      </c>
      <c r="D331" s="403" t="s">
        <v>1690</v>
      </c>
      <c r="E331" s="404" t="s">
        <v>1691</v>
      </c>
      <c r="F331" s="405" t="s">
        <v>1643</v>
      </c>
      <c r="G331" s="61">
        <v>50.0</v>
      </c>
      <c r="H331" s="62">
        <v>16.67</v>
      </c>
      <c r="I331" s="372" t="s">
        <v>230</v>
      </c>
      <c r="J331" s="247"/>
      <c r="K331" s="247"/>
      <c r="L331" s="247"/>
      <c r="M331" s="247"/>
      <c r="N331" s="247"/>
      <c r="O331" s="247"/>
      <c r="P331" s="247"/>
      <c r="Q331" s="247"/>
      <c r="R331" s="247"/>
      <c r="S331" s="247"/>
      <c r="T331" s="247"/>
      <c r="U331" s="247"/>
      <c r="V331" s="247"/>
      <c r="W331" s="247"/>
      <c r="X331" s="247"/>
      <c r="Y331" s="247"/>
      <c r="Z331" s="247"/>
    </row>
    <row r="332" ht="140.25" customHeight="1">
      <c r="A332" s="52" t="s">
        <v>1680</v>
      </c>
      <c r="B332" s="52" t="s">
        <v>38</v>
      </c>
      <c r="C332" s="52" t="s">
        <v>1681</v>
      </c>
      <c r="D332" s="397" t="s">
        <v>1692</v>
      </c>
      <c r="E332" s="398" t="s">
        <v>1445</v>
      </c>
      <c r="F332" s="141" t="s">
        <v>1643</v>
      </c>
      <c r="G332" s="61">
        <v>50.0</v>
      </c>
      <c r="H332" s="62">
        <v>16.67</v>
      </c>
      <c r="I332" s="372" t="s">
        <v>230</v>
      </c>
      <c r="J332" s="247"/>
      <c r="K332" s="247"/>
      <c r="L332" s="247"/>
      <c r="M332" s="247"/>
      <c r="N332" s="247"/>
      <c r="O332" s="247"/>
      <c r="P332" s="247"/>
      <c r="Q332" s="247"/>
      <c r="R332" s="247"/>
      <c r="S332" s="247"/>
      <c r="T332" s="247"/>
      <c r="U332" s="247"/>
      <c r="V332" s="247"/>
      <c r="W332" s="247"/>
      <c r="X332" s="247"/>
      <c r="Y332" s="247"/>
      <c r="Z332" s="247"/>
    </row>
    <row r="333" ht="216.75" customHeight="1">
      <c r="A333" s="52" t="s">
        <v>1680</v>
      </c>
      <c r="B333" s="52" t="s">
        <v>38</v>
      </c>
      <c r="C333" s="52" t="s">
        <v>1681</v>
      </c>
      <c r="D333" s="397" t="s">
        <v>1693</v>
      </c>
      <c r="E333" s="398" t="s">
        <v>1694</v>
      </c>
      <c r="F333" s="141" t="s">
        <v>1643</v>
      </c>
      <c r="G333" s="61">
        <v>50.0</v>
      </c>
      <c r="H333" s="62">
        <v>16.67</v>
      </c>
      <c r="I333" s="372" t="s">
        <v>230</v>
      </c>
      <c r="J333" s="247"/>
      <c r="K333" s="247"/>
      <c r="L333" s="247"/>
      <c r="M333" s="247"/>
      <c r="N333" s="247"/>
      <c r="O333" s="247"/>
      <c r="P333" s="247"/>
      <c r="Q333" s="247"/>
      <c r="R333" s="247"/>
      <c r="S333" s="247"/>
      <c r="T333" s="247"/>
      <c r="U333" s="247"/>
      <c r="V333" s="247"/>
      <c r="W333" s="247"/>
      <c r="X333" s="247"/>
      <c r="Y333" s="247"/>
      <c r="Z333" s="247"/>
    </row>
    <row r="334" ht="102.0" customHeight="1">
      <c r="A334" s="52" t="s">
        <v>1680</v>
      </c>
      <c r="B334" s="52" t="s">
        <v>38</v>
      </c>
      <c r="C334" s="52" t="s">
        <v>1681</v>
      </c>
      <c r="D334" s="397" t="s">
        <v>1695</v>
      </c>
      <c r="E334" s="398" t="s">
        <v>1696</v>
      </c>
      <c r="F334" s="141" t="s">
        <v>1643</v>
      </c>
      <c r="G334" s="61">
        <v>50.0</v>
      </c>
      <c r="H334" s="62">
        <v>16.67</v>
      </c>
      <c r="I334" s="372" t="s">
        <v>230</v>
      </c>
      <c r="J334" s="247"/>
      <c r="K334" s="247"/>
      <c r="L334" s="247"/>
      <c r="M334" s="247"/>
      <c r="N334" s="247"/>
      <c r="O334" s="247"/>
      <c r="P334" s="247"/>
      <c r="Q334" s="247"/>
      <c r="R334" s="247"/>
      <c r="S334" s="247"/>
      <c r="T334" s="247"/>
      <c r="U334" s="247"/>
      <c r="V334" s="247"/>
      <c r="W334" s="247"/>
      <c r="X334" s="247"/>
      <c r="Y334" s="247"/>
      <c r="Z334" s="247"/>
    </row>
    <row r="335" ht="255.0" customHeight="1">
      <c r="A335" s="52" t="s">
        <v>1680</v>
      </c>
      <c r="B335" s="52" t="s">
        <v>38</v>
      </c>
      <c r="C335" s="52" t="s">
        <v>1681</v>
      </c>
      <c r="D335" s="397" t="s">
        <v>1697</v>
      </c>
      <c r="E335" s="398" t="s">
        <v>1698</v>
      </c>
      <c r="F335" s="141" t="s">
        <v>540</v>
      </c>
      <c r="G335" s="61">
        <v>50.0</v>
      </c>
      <c r="H335" s="62">
        <v>16.67</v>
      </c>
      <c r="I335" s="372" t="s">
        <v>230</v>
      </c>
      <c r="J335" s="247"/>
      <c r="K335" s="247"/>
      <c r="L335" s="247"/>
      <c r="M335" s="247"/>
      <c r="N335" s="247"/>
      <c r="O335" s="247"/>
      <c r="P335" s="247"/>
      <c r="Q335" s="247"/>
      <c r="R335" s="247"/>
      <c r="S335" s="247"/>
      <c r="T335" s="247"/>
      <c r="U335" s="247"/>
      <c r="V335" s="247"/>
      <c r="W335" s="247"/>
      <c r="X335" s="247"/>
      <c r="Y335" s="247"/>
      <c r="Z335" s="247"/>
    </row>
    <row r="336" ht="191.25" customHeight="1">
      <c r="A336" s="52" t="s">
        <v>1680</v>
      </c>
      <c r="B336" s="52" t="s">
        <v>38</v>
      </c>
      <c r="C336" s="52" t="s">
        <v>1681</v>
      </c>
      <c r="D336" s="397" t="s">
        <v>1699</v>
      </c>
      <c r="E336" s="398" t="s">
        <v>1700</v>
      </c>
      <c r="F336" s="141" t="s">
        <v>1643</v>
      </c>
      <c r="G336" s="61">
        <v>50.0</v>
      </c>
      <c r="H336" s="62">
        <v>16.67</v>
      </c>
      <c r="I336" s="372" t="s">
        <v>230</v>
      </c>
      <c r="J336" s="247"/>
      <c r="K336" s="247"/>
      <c r="L336" s="247"/>
      <c r="M336" s="247"/>
      <c r="N336" s="247"/>
      <c r="O336" s="247"/>
      <c r="P336" s="247"/>
      <c r="Q336" s="247"/>
      <c r="R336" s="247"/>
      <c r="S336" s="247"/>
      <c r="T336" s="247"/>
      <c r="U336" s="247"/>
      <c r="V336" s="247"/>
      <c r="W336" s="247"/>
      <c r="X336" s="247"/>
      <c r="Y336" s="247"/>
      <c r="Z336" s="247"/>
    </row>
    <row r="337" ht="153.0" customHeight="1">
      <c r="A337" s="52" t="s">
        <v>1680</v>
      </c>
      <c r="B337" s="52" t="s">
        <v>38</v>
      </c>
      <c r="C337" s="52" t="s">
        <v>1681</v>
      </c>
      <c r="D337" s="406" t="s">
        <v>1701</v>
      </c>
      <c r="E337" s="398" t="s">
        <v>1702</v>
      </c>
      <c r="F337" s="141" t="s">
        <v>1514</v>
      </c>
      <c r="G337" s="61">
        <v>50.0</v>
      </c>
      <c r="H337" s="62">
        <v>16.67</v>
      </c>
      <c r="I337" s="372" t="s">
        <v>230</v>
      </c>
      <c r="J337" s="247"/>
      <c r="K337" s="247"/>
      <c r="L337" s="247"/>
      <c r="M337" s="247"/>
      <c r="N337" s="247"/>
      <c r="O337" s="247"/>
      <c r="P337" s="247"/>
      <c r="Q337" s="247"/>
      <c r="R337" s="247"/>
      <c r="S337" s="247"/>
      <c r="T337" s="247"/>
      <c r="U337" s="247"/>
      <c r="V337" s="247"/>
      <c r="W337" s="247"/>
      <c r="X337" s="247"/>
      <c r="Y337" s="247"/>
      <c r="Z337" s="247"/>
    </row>
    <row r="338" ht="178.5" customHeight="1">
      <c r="A338" s="52" t="s">
        <v>1703</v>
      </c>
      <c r="B338" s="52" t="s">
        <v>38</v>
      </c>
      <c r="C338" s="52" t="s">
        <v>1704</v>
      </c>
      <c r="D338" s="406" t="s">
        <v>1705</v>
      </c>
      <c r="E338" s="398" t="s">
        <v>1706</v>
      </c>
      <c r="F338" s="141" t="s">
        <v>1643</v>
      </c>
      <c r="G338" s="61">
        <v>50.0</v>
      </c>
      <c r="H338" s="62">
        <f t="shared" ref="H338:H355" si="13">G338/2</f>
        <v>25</v>
      </c>
      <c r="I338" s="372" t="s">
        <v>230</v>
      </c>
      <c r="J338" s="247"/>
      <c r="K338" s="247"/>
      <c r="L338" s="247"/>
      <c r="M338" s="247"/>
      <c r="N338" s="247"/>
      <c r="O338" s="247"/>
      <c r="P338" s="247"/>
      <c r="Q338" s="247"/>
      <c r="R338" s="247"/>
      <c r="S338" s="247"/>
      <c r="T338" s="247"/>
      <c r="U338" s="247"/>
      <c r="V338" s="247"/>
      <c r="W338" s="247"/>
      <c r="X338" s="247"/>
      <c r="Y338" s="247"/>
      <c r="Z338" s="247"/>
    </row>
    <row r="339" ht="216.75" customHeight="1">
      <c r="A339" s="407" t="s">
        <v>1707</v>
      </c>
      <c r="B339" s="407" t="s">
        <v>38</v>
      </c>
      <c r="C339" s="407" t="s">
        <v>1708</v>
      </c>
      <c r="D339" s="406" t="s">
        <v>1709</v>
      </c>
      <c r="E339" s="398" t="s">
        <v>1407</v>
      </c>
      <c r="F339" s="141" t="s">
        <v>1514</v>
      </c>
      <c r="G339" s="61">
        <v>50.0</v>
      </c>
      <c r="H339" s="62">
        <f t="shared" si="13"/>
        <v>25</v>
      </c>
      <c r="I339" s="372" t="s">
        <v>230</v>
      </c>
      <c r="J339" s="247"/>
      <c r="K339" s="247"/>
      <c r="L339" s="247"/>
      <c r="M339" s="247"/>
      <c r="N339" s="247"/>
      <c r="O339" s="247"/>
      <c r="P339" s="247"/>
      <c r="Q339" s="247"/>
      <c r="R339" s="247"/>
      <c r="S339" s="247"/>
      <c r="T339" s="247"/>
      <c r="U339" s="247"/>
      <c r="V339" s="247"/>
      <c r="W339" s="247"/>
      <c r="X339" s="247"/>
      <c r="Y339" s="247"/>
      <c r="Z339" s="247"/>
    </row>
    <row r="340" ht="153.0" customHeight="1">
      <c r="A340" s="407" t="s">
        <v>1707</v>
      </c>
      <c r="B340" s="407" t="s">
        <v>38</v>
      </c>
      <c r="C340" s="407" t="s">
        <v>1708</v>
      </c>
      <c r="D340" s="407" t="s">
        <v>1710</v>
      </c>
      <c r="E340" s="302" t="s">
        <v>1711</v>
      </c>
      <c r="F340" s="136" t="s">
        <v>1643</v>
      </c>
      <c r="G340" s="61">
        <v>50.0</v>
      </c>
      <c r="H340" s="62">
        <f t="shared" si="13"/>
        <v>25</v>
      </c>
      <c r="I340" s="372" t="s">
        <v>230</v>
      </c>
      <c r="J340" s="247"/>
      <c r="K340" s="247"/>
      <c r="L340" s="247"/>
      <c r="M340" s="247"/>
      <c r="N340" s="247"/>
      <c r="O340" s="247"/>
      <c r="P340" s="247"/>
      <c r="Q340" s="247"/>
      <c r="R340" s="247"/>
      <c r="S340" s="247"/>
      <c r="T340" s="247"/>
      <c r="U340" s="247"/>
      <c r="V340" s="247"/>
      <c r="W340" s="247"/>
      <c r="X340" s="247"/>
      <c r="Y340" s="247"/>
      <c r="Z340" s="247"/>
    </row>
    <row r="341" ht="216.75" customHeight="1">
      <c r="A341" s="407" t="s">
        <v>1707</v>
      </c>
      <c r="B341" s="407" t="s">
        <v>38</v>
      </c>
      <c r="C341" s="407" t="s">
        <v>1708</v>
      </c>
      <c r="D341" s="407" t="s">
        <v>1712</v>
      </c>
      <c r="E341" s="302" t="s">
        <v>1713</v>
      </c>
      <c r="F341" s="136" t="s">
        <v>1643</v>
      </c>
      <c r="G341" s="61">
        <v>50.0</v>
      </c>
      <c r="H341" s="62">
        <f t="shared" si="13"/>
        <v>25</v>
      </c>
      <c r="I341" s="372" t="s">
        <v>230</v>
      </c>
      <c r="J341" s="247"/>
      <c r="K341" s="247"/>
      <c r="L341" s="247"/>
      <c r="M341" s="247"/>
      <c r="N341" s="247"/>
      <c r="O341" s="247"/>
      <c r="P341" s="247"/>
      <c r="Q341" s="247"/>
      <c r="R341" s="247"/>
      <c r="S341" s="247"/>
      <c r="T341" s="247"/>
      <c r="U341" s="247"/>
      <c r="V341" s="247"/>
      <c r="W341" s="247"/>
      <c r="X341" s="247"/>
      <c r="Y341" s="247"/>
      <c r="Z341" s="247"/>
    </row>
    <row r="342" ht="210.0" customHeight="1">
      <c r="A342" s="407" t="s">
        <v>1707</v>
      </c>
      <c r="B342" s="407" t="s">
        <v>38</v>
      </c>
      <c r="C342" s="407" t="s">
        <v>1708</v>
      </c>
      <c r="D342" s="401" t="s">
        <v>1714</v>
      </c>
      <c r="E342" s="70" t="s">
        <v>1425</v>
      </c>
      <c r="F342" s="408" t="s">
        <v>1643</v>
      </c>
      <c r="G342" s="61">
        <v>50.0</v>
      </c>
      <c r="H342" s="62">
        <f t="shared" si="13"/>
        <v>25</v>
      </c>
      <c r="I342" s="372" t="s">
        <v>230</v>
      </c>
      <c r="J342" s="247"/>
      <c r="K342" s="247"/>
      <c r="L342" s="247"/>
      <c r="M342" s="247"/>
      <c r="N342" s="247"/>
      <c r="O342" s="247"/>
      <c r="P342" s="247"/>
      <c r="Q342" s="247"/>
      <c r="R342" s="247"/>
      <c r="S342" s="247"/>
      <c r="T342" s="247"/>
      <c r="U342" s="247"/>
      <c r="V342" s="247"/>
      <c r="W342" s="247"/>
      <c r="X342" s="247"/>
      <c r="Y342" s="247"/>
      <c r="Z342" s="247"/>
    </row>
    <row r="343" ht="270.0" customHeight="1">
      <c r="A343" s="407" t="s">
        <v>1707</v>
      </c>
      <c r="B343" s="407" t="s">
        <v>38</v>
      </c>
      <c r="C343" s="407" t="s">
        <v>1708</v>
      </c>
      <c r="D343" s="401" t="s">
        <v>1715</v>
      </c>
      <c r="E343" s="70" t="s">
        <v>1392</v>
      </c>
      <c r="F343" s="408" t="s">
        <v>1643</v>
      </c>
      <c r="G343" s="61">
        <v>50.0</v>
      </c>
      <c r="H343" s="62">
        <f t="shared" si="13"/>
        <v>25</v>
      </c>
      <c r="I343" s="372" t="s">
        <v>230</v>
      </c>
      <c r="J343" s="247"/>
      <c r="K343" s="247"/>
      <c r="L343" s="247"/>
      <c r="M343" s="247"/>
      <c r="N343" s="247"/>
      <c r="O343" s="247"/>
      <c r="P343" s="247"/>
      <c r="Q343" s="247"/>
      <c r="R343" s="247"/>
      <c r="S343" s="247"/>
      <c r="T343" s="247"/>
      <c r="U343" s="247"/>
      <c r="V343" s="247"/>
      <c r="W343" s="247"/>
      <c r="X343" s="247"/>
      <c r="Y343" s="247"/>
      <c r="Z343" s="247"/>
    </row>
    <row r="344" ht="150.0" customHeight="1">
      <c r="A344" s="407" t="s">
        <v>1707</v>
      </c>
      <c r="B344" s="407" t="s">
        <v>38</v>
      </c>
      <c r="C344" s="407" t="s">
        <v>1708</v>
      </c>
      <c r="D344" s="401" t="s">
        <v>1716</v>
      </c>
      <c r="E344" s="70" t="s">
        <v>1386</v>
      </c>
      <c r="F344" s="408" t="s">
        <v>1643</v>
      </c>
      <c r="G344" s="61">
        <v>50.0</v>
      </c>
      <c r="H344" s="62">
        <f t="shared" si="13"/>
        <v>25</v>
      </c>
      <c r="I344" s="372" t="s">
        <v>230</v>
      </c>
      <c r="J344" s="247"/>
      <c r="K344" s="247"/>
      <c r="L344" s="247"/>
      <c r="M344" s="247"/>
      <c r="N344" s="247"/>
      <c r="O344" s="247"/>
      <c r="P344" s="247"/>
      <c r="Q344" s="247"/>
      <c r="R344" s="247"/>
      <c r="S344" s="247"/>
      <c r="T344" s="247"/>
      <c r="U344" s="247"/>
      <c r="V344" s="247"/>
      <c r="W344" s="247"/>
      <c r="X344" s="247"/>
      <c r="Y344" s="247"/>
      <c r="Z344" s="247"/>
    </row>
    <row r="345" ht="315.0" customHeight="1">
      <c r="A345" s="407" t="s">
        <v>1707</v>
      </c>
      <c r="B345" s="407" t="s">
        <v>38</v>
      </c>
      <c r="C345" s="407" t="s">
        <v>1708</v>
      </c>
      <c r="D345" s="401" t="s">
        <v>1717</v>
      </c>
      <c r="E345" s="70" t="s">
        <v>1718</v>
      </c>
      <c r="F345" s="408" t="s">
        <v>1643</v>
      </c>
      <c r="G345" s="61">
        <v>50.0</v>
      </c>
      <c r="H345" s="62">
        <f t="shared" si="13"/>
        <v>25</v>
      </c>
      <c r="I345" s="372" t="s">
        <v>230</v>
      </c>
      <c r="J345" s="247"/>
      <c r="K345" s="247"/>
      <c r="L345" s="247"/>
      <c r="M345" s="247"/>
      <c r="N345" s="247"/>
      <c r="O345" s="247"/>
      <c r="P345" s="247"/>
      <c r="Q345" s="247"/>
      <c r="R345" s="247"/>
      <c r="S345" s="247"/>
      <c r="T345" s="247"/>
      <c r="U345" s="247"/>
      <c r="V345" s="247"/>
      <c r="W345" s="247"/>
      <c r="X345" s="247"/>
      <c r="Y345" s="247"/>
      <c r="Z345" s="247"/>
    </row>
    <row r="346" ht="225.0" customHeight="1">
      <c r="A346" s="407" t="s">
        <v>1707</v>
      </c>
      <c r="B346" s="407" t="s">
        <v>38</v>
      </c>
      <c r="C346" s="407" t="s">
        <v>1708</v>
      </c>
      <c r="D346" s="401" t="s">
        <v>1719</v>
      </c>
      <c r="E346" s="70" t="s">
        <v>1720</v>
      </c>
      <c r="F346" s="408" t="s">
        <v>1643</v>
      </c>
      <c r="G346" s="61">
        <v>50.0</v>
      </c>
      <c r="H346" s="62">
        <f t="shared" si="13"/>
        <v>25</v>
      </c>
      <c r="I346" s="372" t="s">
        <v>230</v>
      </c>
      <c r="J346" s="247"/>
      <c r="K346" s="247"/>
      <c r="L346" s="247"/>
      <c r="M346" s="247"/>
      <c r="N346" s="247"/>
      <c r="O346" s="247"/>
      <c r="P346" s="247"/>
      <c r="Q346" s="247"/>
      <c r="R346" s="247"/>
      <c r="S346" s="247"/>
      <c r="T346" s="247"/>
      <c r="U346" s="247"/>
      <c r="V346" s="247"/>
      <c r="W346" s="247"/>
      <c r="X346" s="247"/>
      <c r="Y346" s="247"/>
      <c r="Z346" s="247"/>
    </row>
    <row r="347" ht="255.0" customHeight="1">
      <c r="A347" s="407" t="s">
        <v>1707</v>
      </c>
      <c r="B347" s="407" t="s">
        <v>38</v>
      </c>
      <c r="C347" s="407" t="s">
        <v>1708</v>
      </c>
      <c r="D347" s="401" t="s">
        <v>1721</v>
      </c>
      <c r="E347" s="70" t="s">
        <v>1382</v>
      </c>
      <c r="F347" s="408" t="s">
        <v>1643</v>
      </c>
      <c r="G347" s="61">
        <v>50.0</v>
      </c>
      <c r="H347" s="62">
        <f t="shared" si="13"/>
        <v>25</v>
      </c>
      <c r="I347" s="372" t="s">
        <v>230</v>
      </c>
      <c r="J347" s="247"/>
      <c r="K347" s="247"/>
      <c r="L347" s="247"/>
      <c r="M347" s="247"/>
      <c r="N347" s="247"/>
      <c r="O347" s="247"/>
      <c r="P347" s="247"/>
      <c r="Q347" s="247"/>
      <c r="R347" s="247"/>
      <c r="S347" s="247"/>
      <c r="T347" s="247"/>
      <c r="U347" s="247"/>
      <c r="V347" s="247"/>
      <c r="W347" s="247"/>
      <c r="X347" s="247"/>
      <c r="Y347" s="247"/>
      <c r="Z347" s="247"/>
    </row>
    <row r="348" ht="225.0" customHeight="1">
      <c r="A348" s="407" t="s">
        <v>1707</v>
      </c>
      <c r="B348" s="407" t="s">
        <v>38</v>
      </c>
      <c r="C348" s="407" t="s">
        <v>1708</v>
      </c>
      <c r="D348" s="401" t="s">
        <v>1722</v>
      </c>
      <c r="E348" s="70" t="s">
        <v>1395</v>
      </c>
      <c r="F348" s="408" t="s">
        <v>1643</v>
      </c>
      <c r="G348" s="61">
        <v>50.0</v>
      </c>
      <c r="H348" s="62">
        <f t="shared" si="13"/>
        <v>25</v>
      </c>
      <c r="I348" s="372" t="s">
        <v>230</v>
      </c>
      <c r="J348" s="247"/>
      <c r="K348" s="247"/>
      <c r="L348" s="247"/>
      <c r="M348" s="247"/>
      <c r="N348" s="247"/>
      <c r="O348" s="247"/>
      <c r="P348" s="247"/>
      <c r="Q348" s="247"/>
      <c r="R348" s="247"/>
      <c r="S348" s="247"/>
      <c r="T348" s="247"/>
      <c r="U348" s="247"/>
      <c r="V348" s="247"/>
      <c r="W348" s="247"/>
      <c r="X348" s="247"/>
      <c r="Y348" s="247"/>
      <c r="Z348" s="247"/>
    </row>
    <row r="349" ht="285.0" customHeight="1">
      <c r="A349" s="407" t="s">
        <v>1707</v>
      </c>
      <c r="B349" s="407" t="s">
        <v>38</v>
      </c>
      <c r="C349" s="407" t="s">
        <v>1708</v>
      </c>
      <c r="D349" s="401" t="s">
        <v>1723</v>
      </c>
      <c r="E349" s="70" t="s">
        <v>1410</v>
      </c>
      <c r="F349" s="408" t="s">
        <v>1643</v>
      </c>
      <c r="G349" s="61">
        <v>50.0</v>
      </c>
      <c r="H349" s="62">
        <f t="shared" si="13"/>
        <v>25</v>
      </c>
      <c r="I349" s="372" t="s">
        <v>230</v>
      </c>
      <c r="J349" s="247"/>
      <c r="K349" s="247"/>
      <c r="L349" s="247"/>
      <c r="M349" s="247"/>
      <c r="N349" s="247"/>
      <c r="O349" s="247"/>
      <c r="P349" s="247"/>
      <c r="Q349" s="247"/>
      <c r="R349" s="247"/>
      <c r="S349" s="247"/>
      <c r="T349" s="247"/>
      <c r="U349" s="247"/>
      <c r="V349" s="247"/>
      <c r="W349" s="247"/>
      <c r="X349" s="247"/>
      <c r="Y349" s="247"/>
      <c r="Z349" s="247"/>
    </row>
    <row r="350" ht="195.0" customHeight="1">
      <c r="A350" s="407" t="s">
        <v>1707</v>
      </c>
      <c r="B350" s="407" t="s">
        <v>38</v>
      </c>
      <c r="C350" s="407" t="s">
        <v>1708</v>
      </c>
      <c r="D350" s="401" t="s">
        <v>1724</v>
      </c>
      <c r="E350" s="70" t="s">
        <v>1725</v>
      </c>
      <c r="F350" s="408" t="s">
        <v>1514</v>
      </c>
      <c r="G350" s="61">
        <v>50.0</v>
      </c>
      <c r="H350" s="62">
        <f t="shared" si="13"/>
        <v>25</v>
      </c>
      <c r="I350" s="372" t="s">
        <v>230</v>
      </c>
      <c r="J350" s="247"/>
      <c r="K350" s="247"/>
      <c r="L350" s="247"/>
      <c r="M350" s="247"/>
      <c r="N350" s="247"/>
      <c r="O350" s="247"/>
      <c r="P350" s="247"/>
      <c r="Q350" s="247"/>
      <c r="R350" s="247"/>
      <c r="S350" s="247"/>
      <c r="T350" s="247"/>
      <c r="U350" s="247"/>
      <c r="V350" s="247"/>
      <c r="W350" s="247"/>
      <c r="X350" s="247"/>
      <c r="Y350" s="247"/>
      <c r="Z350" s="247"/>
    </row>
    <row r="351" ht="225.0" customHeight="1">
      <c r="A351" s="409" t="s">
        <v>1726</v>
      </c>
      <c r="B351" s="409" t="s">
        <v>38</v>
      </c>
      <c r="C351" s="409" t="s">
        <v>1727</v>
      </c>
      <c r="D351" s="401" t="s">
        <v>1728</v>
      </c>
      <c r="E351" s="70" t="s">
        <v>1729</v>
      </c>
      <c r="F351" s="408" t="s">
        <v>1643</v>
      </c>
      <c r="G351" s="61">
        <v>50.0</v>
      </c>
      <c r="H351" s="62">
        <f t="shared" si="13"/>
        <v>25</v>
      </c>
      <c r="I351" s="372" t="s">
        <v>230</v>
      </c>
      <c r="J351" s="247"/>
      <c r="K351" s="247"/>
      <c r="L351" s="247"/>
      <c r="M351" s="247"/>
      <c r="N351" s="247"/>
      <c r="O351" s="247"/>
      <c r="P351" s="247"/>
      <c r="Q351" s="247"/>
      <c r="R351" s="247"/>
      <c r="S351" s="247"/>
      <c r="T351" s="247"/>
      <c r="U351" s="247"/>
      <c r="V351" s="247"/>
      <c r="W351" s="247"/>
      <c r="X351" s="247"/>
      <c r="Y351" s="247"/>
      <c r="Z351" s="247"/>
    </row>
    <row r="352" ht="315.0" customHeight="1">
      <c r="A352" s="409" t="s">
        <v>1726</v>
      </c>
      <c r="B352" s="409" t="s">
        <v>38</v>
      </c>
      <c r="C352" s="409" t="s">
        <v>1727</v>
      </c>
      <c r="D352" s="401" t="s">
        <v>1730</v>
      </c>
      <c r="E352" s="70" t="s">
        <v>1731</v>
      </c>
      <c r="F352" s="408" t="s">
        <v>1643</v>
      </c>
      <c r="G352" s="61">
        <v>50.0</v>
      </c>
      <c r="H352" s="62">
        <f t="shared" si="13"/>
        <v>25</v>
      </c>
      <c r="I352" s="372" t="s">
        <v>230</v>
      </c>
      <c r="J352" s="247"/>
      <c r="K352" s="247"/>
      <c r="L352" s="247"/>
      <c r="M352" s="247"/>
      <c r="N352" s="247"/>
      <c r="O352" s="247"/>
      <c r="P352" s="247"/>
      <c r="Q352" s="247"/>
      <c r="R352" s="247"/>
      <c r="S352" s="247"/>
      <c r="T352" s="247"/>
      <c r="U352" s="247"/>
      <c r="V352" s="247"/>
      <c r="W352" s="247"/>
      <c r="X352" s="247"/>
      <c r="Y352" s="247"/>
      <c r="Z352" s="247"/>
    </row>
    <row r="353" ht="195.0" customHeight="1">
      <c r="A353" s="401" t="s">
        <v>1732</v>
      </c>
      <c r="B353" s="409" t="s">
        <v>38</v>
      </c>
      <c r="C353" s="401" t="s">
        <v>1733</v>
      </c>
      <c r="D353" s="401" t="s">
        <v>1734</v>
      </c>
      <c r="E353" s="70" t="s">
        <v>1735</v>
      </c>
      <c r="F353" s="408" t="s">
        <v>1643</v>
      </c>
      <c r="G353" s="61">
        <v>50.0</v>
      </c>
      <c r="H353" s="62">
        <f t="shared" si="13"/>
        <v>25</v>
      </c>
      <c r="I353" s="372" t="s">
        <v>230</v>
      </c>
      <c r="J353" s="247"/>
      <c r="K353" s="247"/>
      <c r="L353" s="247"/>
      <c r="M353" s="247"/>
      <c r="N353" s="247"/>
      <c r="O353" s="247"/>
      <c r="P353" s="247"/>
      <c r="Q353" s="247"/>
      <c r="R353" s="247"/>
      <c r="S353" s="247"/>
      <c r="T353" s="247"/>
      <c r="U353" s="247"/>
      <c r="V353" s="247"/>
      <c r="W353" s="247"/>
      <c r="X353" s="247"/>
      <c r="Y353" s="247"/>
      <c r="Z353" s="247"/>
    </row>
    <row r="354" ht="180.0" customHeight="1">
      <c r="A354" s="401" t="s">
        <v>1732</v>
      </c>
      <c r="B354" s="409" t="s">
        <v>38</v>
      </c>
      <c r="C354" s="401" t="s">
        <v>1733</v>
      </c>
      <c r="D354" s="401" t="s">
        <v>1736</v>
      </c>
      <c r="E354" s="70" t="s">
        <v>1737</v>
      </c>
      <c r="F354" s="408" t="s">
        <v>540</v>
      </c>
      <c r="G354" s="61">
        <v>15.0</v>
      </c>
      <c r="H354" s="62">
        <f t="shared" si="13"/>
        <v>7.5</v>
      </c>
      <c r="I354" s="372" t="s">
        <v>230</v>
      </c>
      <c r="J354" s="247"/>
      <c r="K354" s="247"/>
      <c r="L354" s="247"/>
      <c r="M354" s="247"/>
      <c r="N354" s="247"/>
      <c r="O354" s="247"/>
      <c r="P354" s="247"/>
      <c r="Q354" s="247"/>
      <c r="R354" s="247"/>
      <c r="S354" s="247"/>
      <c r="T354" s="247"/>
      <c r="U354" s="247"/>
      <c r="V354" s="247"/>
      <c r="W354" s="247"/>
      <c r="X354" s="247"/>
      <c r="Y354" s="247"/>
      <c r="Z354" s="247"/>
    </row>
    <row r="355" ht="390.0" customHeight="1">
      <c r="A355" s="401" t="s">
        <v>1732</v>
      </c>
      <c r="B355" s="409" t="s">
        <v>38</v>
      </c>
      <c r="C355" s="401" t="s">
        <v>1733</v>
      </c>
      <c r="D355" s="401" t="s">
        <v>1738</v>
      </c>
      <c r="E355" s="70" t="s">
        <v>1739</v>
      </c>
      <c r="F355" s="408" t="s">
        <v>1643</v>
      </c>
      <c r="G355" s="61">
        <v>50.0</v>
      </c>
      <c r="H355" s="62">
        <f t="shared" si="13"/>
        <v>25</v>
      </c>
      <c r="I355" s="372" t="s">
        <v>230</v>
      </c>
      <c r="J355" s="247"/>
      <c r="K355" s="247"/>
      <c r="L355" s="247"/>
      <c r="M355" s="247"/>
      <c r="N355" s="247"/>
      <c r="O355" s="247"/>
      <c r="P355" s="247"/>
      <c r="Q355" s="247"/>
      <c r="R355" s="247"/>
      <c r="S355" s="247"/>
      <c r="T355" s="247"/>
      <c r="U355" s="247"/>
      <c r="V355" s="247"/>
      <c r="W355" s="247"/>
      <c r="X355" s="247"/>
      <c r="Y355" s="247"/>
      <c r="Z355" s="247"/>
    </row>
    <row r="356" ht="255.0" customHeight="1">
      <c r="A356" s="401" t="s">
        <v>1740</v>
      </c>
      <c r="B356" s="409" t="s">
        <v>38</v>
      </c>
      <c r="C356" s="401" t="s">
        <v>1741</v>
      </c>
      <c r="D356" s="401" t="s">
        <v>1742</v>
      </c>
      <c r="E356" s="70" t="s">
        <v>1743</v>
      </c>
      <c r="F356" s="408" t="s">
        <v>1643</v>
      </c>
      <c r="G356" s="61">
        <v>50.0</v>
      </c>
      <c r="H356" s="62">
        <f t="shared" ref="H356:H358" si="14">G356/1</f>
        <v>50</v>
      </c>
      <c r="I356" s="372" t="s">
        <v>230</v>
      </c>
      <c r="J356" s="247"/>
      <c r="K356" s="247"/>
      <c r="L356" s="247"/>
      <c r="M356" s="247"/>
      <c r="N356" s="247"/>
      <c r="O356" s="247"/>
      <c r="P356" s="247"/>
      <c r="Q356" s="247"/>
      <c r="R356" s="247"/>
      <c r="S356" s="247"/>
      <c r="T356" s="247"/>
      <c r="U356" s="247"/>
      <c r="V356" s="247"/>
      <c r="W356" s="247"/>
      <c r="X356" s="247"/>
      <c r="Y356" s="247"/>
      <c r="Z356" s="247"/>
    </row>
    <row r="357" ht="255.0" customHeight="1">
      <c r="A357" s="401" t="s">
        <v>1740</v>
      </c>
      <c r="B357" s="409" t="s">
        <v>38</v>
      </c>
      <c r="C357" s="401" t="s">
        <v>1741</v>
      </c>
      <c r="D357" s="401" t="s">
        <v>1744</v>
      </c>
      <c r="E357" s="70" t="s">
        <v>1745</v>
      </c>
      <c r="F357" s="408" t="s">
        <v>1643</v>
      </c>
      <c r="G357" s="61">
        <v>50.0</v>
      </c>
      <c r="H357" s="62">
        <f t="shared" si="14"/>
        <v>50</v>
      </c>
      <c r="I357" s="372" t="s">
        <v>230</v>
      </c>
      <c r="J357" s="247"/>
      <c r="K357" s="247"/>
      <c r="L357" s="247"/>
      <c r="M357" s="247"/>
      <c r="N357" s="247"/>
      <c r="O357" s="247"/>
      <c r="P357" s="247"/>
      <c r="Q357" s="247"/>
      <c r="R357" s="247"/>
      <c r="S357" s="247"/>
      <c r="T357" s="247"/>
      <c r="U357" s="247"/>
      <c r="V357" s="247"/>
      <c r="W357" s="247"/>
      <c r="X357" s="247"/>
      <c r="Y357" s="247"/>
      <c r="Z357" s="247"/>
    </row>
    <row r="358" ht="375.0" customHeight="1">
      <c r="A358" s="401" t="s">
        <v>1740</v>
      </c>
      <c r="B358" s="409" t="s">
        <v>38</v>
      </c>
      <c r="C358" s="401" t="s">
        <v>1741</v>
      </c>
      <c r="D358" s="401" t="s">
        <v>1746</v>
      </c>
      <c r="E358" s="70" t="s">
        <v>1747</v>
      </c>
      <c r="F358" s="408" t="s">
        <v>1643</v>
      </c>
      <c r="G358" s="61">
        <v>50.0</v>
      </c>
      <c r="H358" s="62">
        <f t="shared" si="14"/>
        <v>50</v>
      </c>
      <c r="I358" s="372" t="s">
        <v>230</v>
      </c>
      <c r="J358" s="247"/>
      <c r="K358" s="247"/>
      <c r="L358" s="247"/>
      <c r="M358" s="247"/>
      <c r="N358" s="247"/>
      <c r="O358" s="247"/>
      <c r="P358" s="247"/>
      <c r="Q358" s="247"/>
      <c r="R358" s="247"/>
      <c r="S358" s="247"/>
      <c r="T358" s="247"/>
      <c r="U358" s="247"/>
      <c r="V358" s="247"/>
      <c r="W358" s="247"/>
      <c r="X358" s="247"/>
      <c r="Y358" s="247"/>
      <c r="Z358" s="247"/>
    </row>
    <row r="359" ht="195.0" customHeight="1">
      <c r="A359" s="407" t="s">
        <v>1748</v>
      </c>
      <c r="B359" s="407" t="s">
        <v>38</v>
      </c>
      <c r="C359" s="407" t="s">
        <v>1749</v>
      </c>
      <c r="D359" s="401" t="s">
        <v>1750</v>
      </c>
      <c r="E359" s="70" t="s">
        <v>1751</v>
      </c>
      <c r="F359" s="408" t="s">
        <v>1643</v>
      </c>
      <c r="G359" s="61">
        <v>50.0</v>
      </c>
      <c r="H359" s="62">
        <f>G359/5</f>
        <v>10</v>
      </c>
      <c r="I359" s="372" t="s">
        <v>230</v>
      </c>
      <c r="J359" s="247"/>
      <c r="K359" s="247"/>
      <c r="L359" s="247"/>
      <c r="M359" s="247"/>
      <c r="N359" s="247"/>
      <c r="O359" s="247"/>
      <c r="P359" s="247"/>
      <c r="Q359" s="247"/>
      <c r="R359" s="247"/>
      <c r="S359" s="247"/>
      <c r="T359" s="247"/>
      <c r="U359" s="247"/>
      <c r="V359" s="247"/>
      <c r="W359" s="247"/>
      <c r="X359" s="247"/>
      <c r="Y359" s="247"/>
      <c r="Z359" s="247"/>
    </row>
    <row r="360" ht="114.75" customHeight="1">
      <c r="A360" s="52" t="s">
        <v>1752</v>
      </c>
      <c r="B360" s="407" t="s">
        <v>38</v>
      </c>
      <c r="C360" s="52" t="s">
        <v>1753</v>
      </c>
      <c r="D360" s="52" t="s">
        <v>1754</v>
      </c>
      <c r="E360" s="70" t="s">
        <v>1755</v>
      </c>
      <c r="F360" s="60" t="s">
        <v>540</v>
      </c>
      <c r="G360" s="61">
        <v>15.0</v>
      </c>
      <c r="H360" s="62">
        <f>G360/2</f>
        <v>7.5</v>
      </c>
      <c r="I360" s="372" t="s">
        <v>230</v>
      </c>
      <c r="J360" s="247"/>
      <c r="K360" s="247"/>
      <c r="L360" s="247"/>
      <c r="M360" s="247"/>
      <c r="N360" s="247"/>
      <c r="O360" s="247"/>
      <c r="P360" s="247"/>
      <c r="Q360" s="247"/>
      <c r="R360" s="247"/>
      <c r="S360" s="247"/>
      <c r="T360" s="247"/>
      <c r="U360" s="247"/>
      <c r="V360" s="247"/>
      <c r="W360" s="247"/>
      <c r="X360" s="247"/>
      <c r="Y360" s="247"/>
      <c r="Z360" s="247"/>
    </row>
    <row r="361" ht="191.25" customHeight="1">
      <c r="A361" s="52" t="s">
        <v>1756</v>
      </c>
      <c r="B361" s="407" t="s">
        <v>38</v>
      </c>
      <c r="C361" s="52" t="s">
        <v>1757</v>
      </c>
      <c r="D361" s="52" t="s">
        <v>1758</v>
      </c>
      <c r="E361" s="70" t="s">
        <v>1028</v>
      </c>
      <c r="F361" s="60" t="s">
        <v>1643</v>
      </c>
      <c r="G361" s="61">
        <v>50.0</v>
      </c>
      <c r="H361" s="62">
        <v>16.67</v>
      </c>
      <c r="I361" s="372" t="s">
        <v>230</v>
      </c>
      <c r="J361" s="247"/>
      <c r="K361" s="247"/>
      <c r="L361" s="247"/>
      <c r="M361" s="247"/>
      <c r="N361" s="247"/>
      <c r="O361" s="247"/>
      <c r="P361" s="247"/>
      <c r="Q361" s="247"/>
      <c r="R361" s="247"/>
      <c r="S361" s="247"/>
      <c r="T361" s="247"/>
      <c r="U361" s="247"/>
      <c r="V361" s="247"/>
      <c r="W361" s="247"/>
      <c r="X361" s="247"/>
      <c r="Y361" s="247"/>
      <c r="Z361" s="247"/>
    </row>
    <row r="362" ht="153.0" customHeight="1">
      <c r="A362" s="52" t="s">
        <v>1759</v>
      </c>
      <c r="B362" s="52" t="s">
        <v>38</v>
      </c>
      <c r="C362" s="52" t="s">
        <v>1760</v>
      </c>
      <c r="D362" s="52" t="s">
        <v>1761</v>
      </c>
      <c r="E362" s="70" t="s">
        <v>1762</v>
      </c>
      <c r="F362" s="60" t="s">
        <v>540</v>
      </c>
      <c r="G362" s="61">
        <v>15.0</v>
      </c>
      <c r="H362" s="62">
        <f>G362/3</f>
        <v>5</v>
      </c>
      <c r="I362" s="372" t="s">
        <v>230</v>
      </c>
      <c r="J362" s="247"/>
      <c r="K362" s="247"/>
      <c r="L362" s="247"/>
      <c r="M362" s="247"/>
      <c r="N362" s="247"/>
      <c r="O362" s="247"/>
      <c r="P362" s="247"/>
      <c r="Q362" s="247"/>
      <c r="R362" s="247"/>
      <c r="S362" s="247"/>
      <c r="T362" s="247"/>
      <c r="U362" s="247"/>
      <c r="V362" s="247"/>
      <c r="W362" s="247"/>
      <c r="X362" s="247"/>
      <c r="Y362" s="247"/>
      <c r="Z362" s="247"/>
    </row>
    <row r="363" ht="165.0" customHeight="1">
      <c r="A363" s="52" t="s">
        <v>1763</v>
      </c>
      <c r="B363" s="52" t="s">
        <v>38</v>
      </c>
      <c r="C363" s="52" t="s">
        <v>1764</v>
      </c>
      <c r="D363" s="52" t="s">
        <v>1765</v>
      </c>
      <c r="E363" s="70" t="s">
        <v>1766</v>
      </c>
      <c r="F363" s="60" t="s">
        <v>1643</v>
      </c>
      <c r="G363" s="61">
        <v>50.0</v>
      </c>
      <c r="H363" s="62">
        <f t="shared" ref="H363:H368" si="15">G363/2</f>
        <v>25</v>
      </c>
      <c r="I363" s="372" t="s">
        <v>230</v>
      </c>
      <c r="J363" s="247"/>
      <c r="K363" s="247"/>
      <c r="L363" s="247"/>
      <c r="M363" s="247"/>
      <c r="N363" s="247"/>
      <c r="O363" s="247"/>
      <c r="P363" s="247"/>
      <c r="Q363" s="247"/>
      <c r="R363" s="247"/>
      <c r="S363" s="247"/>
      <c r="T363" s="247"/>
      <c r="U363" s="247"/>
      <c r="V363" s="247"/>
      <c r="W363" s="247"/>
      <c r="X363" s="247"/>
      <c r="Y363" s="247"/>
      <c r="Z363" s="247"/>
    </row>
    <row r="364" ht="140.25" customHeight="1">
      <c r="A364" s="52" t="s">
        <v>1763</v>
      </c>
      <c r="B364" s="52" t="s">
        <v>38</v>
      </c>
      <c r="C364" s="52" t="s">
        <v>1764</v>
      </c>
      <c r="D364" s="52" t="s">
        <v>1767</v>
      </c>
      <c r="E364" s="70" t="s">
        <v>1768</v>
      </c>
      <c r="F364" s="60" t="s">
        <v>1643</v>
      </c>
      <c r="G364" s="61">
        <v>50.0</v>
      </c>
      <c r="H364" s="62">
        <f t="shared" si="15"/>
        <v>25</v>
      </c>
      <c r="I364" s="372" t="s">
        <v>230</v>
      </c>
      <c r="J364" s="247"/>
      <c r="K364" s="247"/>
      <c r="L364" s="247"/>
      <c r="M364" s="247"/>
      <c r="N364" s="247"/>
      <c r="O364" s="247"/>
      <c r="P364" s="247"/>
      <c r="Q364" s="247"/>
      <c r="R364" s="247"/>
      <c r="S364" s="247"/>
      <c r="T364" s="247"/>
      <c r="U364" s="247"/>
      <c r="V364" s="247"/>
      <c r="W364" s="247"/>
      <c r="X364" s="247"/>
      <c r="Y364" s="247"/>
      <c r="Z364" s="247"/>
    </row>
    <row r="365" ht="114.75" customHeight="1">
      <c r="A365" s="52" t="s">
        <v>1763</v>
      </c>
      <c r="B365" s="52" t="s">
        <v>38</v>
      </c>
      <c r="C365" s="52" t="s">
        <v>1764</v>
      </c>
      <c r="D365" s="52" t="s">
        <v>1769</v>
      </c>
      <c r="E365" s="70" t="s">
        <v>1770</v>
      </c>
      <c r="F365" s="60" t="s">
        <v>1643</v>
      </c>
      <c r="G365" s="61">
        <v>50.0</v>
      </c>
      <c r="H365" s="62">
        <f t="shared" si="15"/>
        <v>25</v>
      </c>
      <c r="I365" s="372" t="s">
        <v>230</v>
      </c>
      <c r="J365" s="247"/>
      <c r="K365" s="247"/>
      <c r="L365" s="247"/>
      <c r="M365" s="247"/>
      <c r="N365" s="247"/>
      <c r="O365" s="247"/>
      <c r="P365" s="247"/>
      <c r="Q365" s="247"/>
      <c r="R365" s="247"/>
      <c r="S365" s="247"/>
      <c r="T365" s="247"/>
      <c r="U365" s="247"/>
      <c r="V365" s="247"/>
      <c r="W365" s="247"/>
      <c r="X365" s="247"/>
      <c r="Y365" s="247"/>
      <c r="Z365" s="247"/>
    </row>
    <row r="366" ht="153.0" customHeight="1">
      <c r="A366" s="52" t="s">
        <v>1763</v>
      </c>
      <c r="B366" s="52" t="s">
        <v>38</v>
      </c>
      <c r="C366" s="52" t="s">
        <v>1764</v>
      </c>
      <c r="D366" s="52" t="s">
        <v>1771</v>
      </c>
      <c r="E366" s="70" t="s">
        <v>1772</v>
      </c>
      <c r="F366" s="60" t="s">
        <v>540</v>
      </c>
      <c r="G366" s="61">
        <v>15.0</v>
      </c>
      <c r="H366" s="62">
        <f t="shared" si="15"/>
        <v>7.5</v>
      </c>
      <c r="I366" s="372" t="s">
        <v>230</v>
      </c>
      <c r="J366" s="247"/>
      <c r="K366" s="247"/>
      <c r="L366" s="247"/>
      <c r="M366" s="247"/>
      <c r="N366" s="247"/>
      <c r="O366" s="247"/>
      <c r="P366" s="247"/>
      <c r="Q366" s="247"/>
      <c r="R366" s="247"/>
      <c r="S366" s="247"/>
      <c r="T366" s="247"/>
      <c r="U366" s="247"/>
      <c r="V366" s="247"/>
      <c r="W366" s="247"/>
      <c r="X366" s="247"/>
      <c r="Y366" s="247"/>
      <c r="Z366" s="247"/>
    </row>
    <row r="367" ht="127.5" customHeight="1">
      <c r="A367" s="52" t="s">
        <v>1773</v>
      </c>
      <c r="B367" s="52" t="s">
        <v>38</v>
      </c>
      <c r="C367" s="52" t="s">
        <v>1774</v>
      </c>
      <c r="D367" s="52" t="s">
        <v>1775</v>
      </c>
      <c r="E367" s="70" t="s">
        <v>1776</v>
      </c>
      <c r="F367" s="60" t="s">
        <v>1643</v>
      </c>
      <c r="G367" s="61">
        <v>50.0</v>
      </c>
      <c r="H367" s="62">
        <f t="shared" si="15"/>
        <v>25</v>
      </c>
      <c r="I367" s="372" t="s">
        <v>230</v>
      </c>
      <c r="J367" s="247"/>
      <c r="K367" s="247"/>
      <c r="L367" s="247"/>
      <c r="M367" s="247"/>
      <c r="N367" s="247"/>
      <c r="O367" s="247"/>
      <c r="P367" s="247"/>
      <c r="Q367" s="247"/>
      <c r="R367" s="247"/>
      <c r="S367" s="247"/>
      <c r="T367" s="247"/>
      <c r="U367" s="247"/>
      <c r="V367" s="247"/>
      <c r="W367" s="247"/>
      <c r="X367" s="247"/>
      <c r="Y367" s="247"/>
      <c r="Z367" s="247"/>
    </row>
    <row r="368" ht="153.0" customHeight="1">
      <c r="A368" s="52" t="s">
        <v>1777</v>
      </c>
      <c r="B368" s="52" t="s">
        <v>38</v>
      </c>
      <c r="C368" s="52" t="s">
        <v>1778</v>
      </c>
      <c r="D368" s="52" t="s">
        <v>1779</v>
      </c>
      <c r="E368" s="70" t="s">
        <v>1780</v>
      </c>
      <c r="F368" s="60" t="s">
        <v>1643</v>
      </c>
      <c r="G368" s="61">
        <v>50.0</v>
      </c>
      <c r="H368" s="62">
        <f t="shared" si="15"/>
        <v>25</v>
      </c>
      <c r="I368" s="372" t="s">
        <v>230</v>
      </c>
      <c r="J368" s="247"/>
      <c r="K368" s="247"/>
      <c r="L368" s="247"/>
      <c r="M368" s="247"/>
      <c r="N368" s="247"/>
      <c r="O368" s="247"/>
      <c r="P368" s="247"/>
      <c r="Q368" s="247"/>
      <c r="R368" s="247"/>
      <c r="S368" s="247"/>
      <c r="T368" s="247"/>
      <c r="U368" s="247"/>
      <c r="V368" s="247"/>
      <c r="W368" s="247"/>
      <c r="X368" s="247"/>
      <c r="Y368" s="247"/>
      <c r="Z368" s="247"/>
    </row>
    <row r="369" ht="153.0" customHeight="1">
      <c r="A369" s="407" t="s">
        <v>1781</v>
      </c>
      <c r="B369" s="407" t="s">
        <v>38</v>
      </c>
      <c r="C369" s="407" t="s">
        <v>1782</v>
      </c>
      <c r="D369" s="52" t="s">
        <v>1783</v>
      </c>
      <c r="E369" s="70" t="s">
        <v>1784</v>
      </c>
      <c r="F369" s="60" t="s">
        <v>540</v>
      </c>
      <c r="G369" s="61">
        <v>15.0</v>
      </c>
      <c r="H369" s="62">
        <f>G369/1</f>
        <v>15</v>
      </c>
      <c r="I369" s="372" t="s">
        <v>230</v>
      </c>
      <c r="J369" s="247"/>
      <c r="K369" s="247"/>
      <c r="L369" s="247"/>
      <c r="M369" s="247"/>
      <c r="N369" s="247"/>
      <c r="O369" s="247"/>
      <c r="P369" s="247"/>
      <c r="Q369" s="247"/>
      <c r="R369" s="247"/>
      <c r="S369" s="247"/>
      <c r="T369" s="247"/>
      <c r="U369" s="247"/>
      <c r="V369" s="247"/>
      <c r="W369" s="247"/>
      <c r="X369" s="247"/>
      <c r="Y369" s="247"/>
      <c r="Z369" s="247"/>
    </row>
    <row r="370" ht="114.75" customHeight="1">
      <c r="A370" s="52" t="s">
        <v>1461</v>
      </c>
      <c r="B370" s="407" t="s">
        <v>38</v>
      </c>
      <c r="C370" s="52" t="s">
        <v>1785</v>
      </c>
      <c r="D370" s="52" t="s">
        <v>1786</v>
      </c>
      <c r="E370" s="70" t="s">
        <v>1464</v>
      </c>
      <c r="F370" s="60" t="s">
        <v>1643</v>
      </c>
      <c r="G370" s="61">
        <v>50.0</v>
      </c>
      <c r="H370" s="62">
        <v>16.67</v>
      </c>
      <c r="I370" s="372" t="s">
        <v>230</v>
      </c>
      <c r="J370" s="247"/>
      <c r="K370" s="247"/>
      <c r="L370" s="247"/>
      <c r="M370" s="247"/>
      <c r="N370" s="247"/>
      <c r="O370" s="247"/>
      <c r="P370" s="247"/>
      <c r="Q370" s="247"/>
      <c r="R370" s="247"/>
      <c r="S370" s="247"/>
      <c r="T370" s="247"/>
      <c r="U370" s="247"/>
      <c r="V370" s="247"/>
      <c r="W370" s="247"/>
      <c r="X370" s="247"/>
      <c r="Y370" s="247"/>
      <c r="Z370" s="247"/>
    </row>
    <row r="371" ht="140.25" customHeight="1">
      <c r="A371" s="52" t="s">
        <v>1787</v>
      </c>
      <c r="B371" s="407" t="s">
        <v>38</v>
      </c>
      <c r="C371" s="52" t="s">
        <v>1788</v>
      </c>
      <c r="D371" s="52" t="s">
        <v>1789</v>
      </c>
      <c r="E371" s="70" t="s">
        <v>1790</v>
      </c>
      <c r="F371" s="60" t="s">
        <v>1643</v>
      </c>
      <c r="G371" s="61">
        <v>50.0</v>
      </c>
      <c r="H371" s="62">
        <f t="shared" ref="H371:H372" si="16">G371/1</f>
        <v>50</v>
      </c>
      <c r="I371" s="372" t="s">
        <v>230</v>
      </c>
      <c r="J371" s="247"/>
      <c r="K371" s="247"/>
      <c r="L371" s="247"/>
      <c r="M371" s="247"/>
      <c r="N371" s="247"/>
      <c r="O371" s="247"/>
      <c r="P371" s="247"/>
      <c r="Q371" s="247"/>
      <c r="R371" s="247"/>
      <c r="S371" s="247"/>
      <c r="T371" s="247"/>
      <c r="U371" s="247"/>
      <c r="V371" s="247"/>
      <c r="W371" s="247"/>
      <c r="X371" s="247"/>
      <c r="Y371" s="247"/>
      <c r="Z371" s="247"/>
    </row>
    <row r="372" ht="127.5" customHeight="1">
      <c r="A372" s="52" t="s">
        <v>1791</v>
      </c>
      <c r="B372" s="407" t="s">
        <v>38</v>
      </c>
      <c r="C372" s="52" t="s">
        <v>1792</v>
      </c>
      <c r="D372" s="52" t="s">
        <v>1793</v>
      </c>
      <c r="E372" s="70" t="s">
        <v>1794</v>
      </c>
      <c r="F372" s="60" t="s">
        <v>1795</v>
      </c>
      <c r="G372" s="61">
        <v>15.0</v>
      </c>
      <c r="H372" s="62">
        <f t="shared" si="16"/>
        <v>15</v>
      </c>
      <c r="I372" s="372" t="s">
        <v>230</v>
      </c>
      <c r="J372" s="247"/>
      <c r="K372" s="247"/>
      <c r="L372" s="247"/>
      <c r="M372" s="247"/>
      <c r="N372" s="247"/>
      <c r="O372" s="247"/>
      <c r="P372" s="247"/>
      <c r="Q372" s="247"/>
      <c r="R372" s="247"/>
      <c r="S372" s="247"/>
      <c r="T372" s="247"/>
      <c r="U372" s="247"/>
      <c r="V372" s="247"/>
      <c r="W372" s="247"/>
      <c r="X372" s="247"/>
      <c r="Y372" s="247"/>
      <c r="Z372" s="247"/>
    </row>
    <row r="373" ht="114.75" customHeight="1">
      <c r="A373" s="52" t="s">
        <v>1796</v>
      </c>
      <c r="B373" s="407" t="s">
        <v>38</v>
      </c>
      <c r="C373" s="52" t="s">
        <v>1797</v>
      </c>
      <c r="D373" s="52" t="s">
        <v>1798</v>
      </c>
      <c r="E373" s="70" t="s">
        <v>1799</v>
      </c>
      <c r="F373" s="60" t="s">
        <v>1643</v>
      </c>
      <c r="G373" s="61">
        <v>50.0</v>
      </c>
      <c r="H373" s="62">
        <v>16.67</v>
      </c>
      <c r="I373" s="372" t="s">
        <v>230</v>
      </c>
      <c r="J373" s="247"/>
      <c r="K373" s="247"/>
      <c r="L373" s="247"/>
      <c r="M373" s="247"/>
      <c r="N373" s="247"/>
      <c r="O373" s="247"/>
      <c r="P373" s="247"/>
      <c r="Q373" s="247"/>
      <c r="R373" s="247"/>
      <c r="S373" s="247"/>
      <c r="T373" s="247"/>
      <c r="U373" s="247"/>
      <c r="V373" s="247"/>
      <c r="W373" s="247"/>
      <c r="X373" s="247"/>
      <c r="Y373" s="247"/>
      <c r="Z373" s="247"/>
    </row>
    <row r="374" ht="127.5" customHeight="1">
      <c r="A374" s="52" t="s">
        <v>1800</v>
      </c>
      <c r="B374" s="407" t="s">
        <v>38</v>
      </c>
      <c r="C374" s="52" t="s">
        <v>1801</v>
      </c>
      <c r="D374" s="52" t="s">
        <v>1802</v>
      </c>
      <c r="E374" s="70" t="s">
        <v>1803</v>
      </c>
      <c r="F374" s="60" t="s">
        <v>1643</v>
      </c>
      <c r="G374" s="61">
        <v>50.0</v>
      </c>
      <c r="H374" s="62">
        <v>7.14</v>
      </c>
      <c r="I374" s="372" t="s">
        <v>230</v>
      </c>
      <c r="J374" s="247"/>
      <c r="K374" s="247"/>
      <c r="L374" s="247"/>
      <c r="M374" s="247"/>
      <c r="N374" s="247"/>
      <c r="O374" s="247"/>
      <c r="P374" s="247"/>
      <c r="Q374" s="247"/>
      <c r="R374" s="247"/>
      <c r="S374" s="247"/>
      <c r="T374" s="247"/>
      <c r="U374" s="247"/>
      <c r="V374" s="247"/>
      <c r="W374" s="247"/>
      <c r="X374" s="247"/>
      <c r="Y374" s="247"/>
      <c r="Z374" s="247"/>
    </row>
    <row r="375" ht="127.5" customHeight="1">
      <c r="A375" s="52" t="s">
        <v>1804</v>
      </c>
      <c r="B375" s="407" t="s">
        <v>38</v>
      </c>
      <c r="C375" s="52" t="s">
        <v>1805</v>
      </c>
      <c r="D375" s="52" t="s">
        <v>1806</v>
      </c>
      <c r="E375" s="70" t="s">
        <v>1807</v>
      </c>
      <c r="F375" s="60" t="s">
        <v>1514</v>
      </c>
      <c r="G375" s="61">
        <v>50.0</v>
      </c>
      <c r="H375" s="62">
        <f>G375/2</f>
        <v>25</v>
      </c>
      <c r="I375" s="372" t="s">
        <v>230</v>
      </c>
      <c r="J375" s="247"/>
      <c r="K375" s="247"/>
      <c r="L375" s="247"/>
      <c r="M375" s="247"/>
      <c r="N375" s="247"/>
      <c r="O375" s="247"/>
      <c r="P375" s="247"/>
      <c r="Q375" s="247"/>
      <c r="R375" s="247"/>
      <c r="S375" s="247"/>
      <c r="T375" s="247"/>
      <c r="U375" s="247"/>
      <c r="V375" s="247"/>
      <c r="W375" s="247"/>
      <c r="X375" s="247"/>
      <c r="Y375" s="247"/>
      <c r="Z375" s="247"/>
    </row>
    <row r="376" ht="127.5" customHeight="1">
      <c r="A376" s="52" t="s">
        <v>1808</v>
      </c>
      <c r="B376" s="407" t="s">
        <v>38</v>
      </c>
      <c r="C376" s="52" t="s">
        <v>1809</v>
      </c>
      <c r="D376" s="52" t="s">
        <v>1810</v>
      </c>
      <c r="E376" s="70" t="s">
        <v>1811</v>
      </c>
      <c r="F376" s="121" t="s">
        <v>1643</v>
      </c>
      <c r="G376" s="61">
        <v>50.0</v>
      </c>
      <c r="H376" s="62">
        <v>4.55</v>
      </c>
      <c r="I376" s="372" t="s">
        <v>230</v>
      </c>
      <c r="J376" s="247"/>
      <c r="K376" s="247"/>
      <c r="L376" s="247"/>
      <c r="M376" s="247"/>
      <c r="N376" s="247"/>
      <c r="O376" s="247"/>
      <c r="P376" s="247"/>
      <c r="Q376" s="247"/>
      <c r="R376" s="247"/>
      <c r="S376" s="247"/>
      <c r="T376" s="247"/>
      <c r="U376" s="247"/>
      <c r="V376" s="247"/>
      <c r="W376" s="247"/>
      <c r="X376" s="247"/>
      <c r="Y376" s="247"/>
      <c r="Z376" s="247"/>
    </row>
    <row r="377" ht="178.5" customHeight="1">
      <c r="A377" s="52" t="s">
        <v>1812</v>
      </c>
      <c r="B377" s="407" t="s">
        <v>38</v>
      </c>
      <c r="C377" s="52" t="s">
        <v>1813</v>
      </c>
      <c r="D377" s="52" t="s">
        <v>1814</v>
      </c>
      <c r="E377" s="70" t="s">
        <v>1815</v>
      </c>
      <c r="F377" s="60" t="s">
        <v>540</v>
      </c>
      <c r="G377" s="61">
        <v>15.0</v>
      </c>
      <c r="H377" s="62">
        <f>G377/2</f>
        <v>7.5</v>
      </c>
      <c r="I377" s="372" t="s">
        <v>230</v>
      </c>
      <c r="J377" s="247"/>
      <c r="K377" s="247"/>
      <c r="L377" s="247"/>
      <c r="M377" s="247"/>
      <c r="N377" s="247"/>
      <c r="O377" s="247"/>
      <c r="P377" s="247"/>
      <c r="Q377" s="247"/>
      <c r="R377" s="247"/>
      <c r="S377" s="247"/>
      <c r="T377" s="247"/>
      <c r="U377" s="247"/>
      <c r="V377" s="247"/>
      <c r="W377" s="247"/>
      <c r="X377" s="247"/>
      <c r="Y377" s="247"/>
      <c r="Z377" s="247"/>
    </row>
    <row r="378" ht="127.5" customHeight="1">
      <c r="A378" s="52" t="s">
        <v>1816</v>
      </c>
      <c r="B378" s="407" t="s">
        <v>38</v>
      </c>
      <c r="C378" s="52" t="s">
        <v>1817</v>
      </c>
      <c r="D378" s="52" t="s">
        <v>1818</v>
      </c>
      <c r="E378" s="70" t="s">
        <v>1819</v>
      </c>
      <c r="F378" s="60" t="s">
        <v>1643</v>
      </c>
      <c r="G378" s="61">
        <v>50.0</v>
      </c>
      <c r="H378" s="62">
        <f>G378/1</f>
        <v>50</v>
      </c>
      <c r="I378" s="372" t="s">
        <v>230</v>
      </c>
    </row>
    <row r="379" ht="140.25" customHeight="1">
      <c r="A379" s="52" t="s">
        <v>1820</v>
      </c>
      <c r="B379" s="407" t="s">
        <v>38</v>
      </c>
      <c r="C379" s="52" t="s">
        <v>1821</v>
      </c>
      <c r="D379" s="52" t="s">
        <v>1822</v>
      </c>
      <c r="E379" s="70" t="s">
        <v>1823</v>
      </c>
      <c r="F379" s="60" t="s">
        <v>1514</v>
      </c>
      <c r="G379" s="61">
        <v>50.0</v>
      </c>
      <c r="H379" s="62">
        <f>G379/2</f>
        <v>25</v>
      </c>
      <c r="I379" s="372" t="s">
        <v>230</v>
      </c>
    </row>
    <row r="380" ht="165.75" customHeight="1">
      <c r="A380" s="52" t="s">
        <v>1824</v>
      </c>
      <c r="B380" s="407" t="s">
        <v>38</v>
      </c>
      <c r="C380" s="52" t="s">
        <v>1825</v>
      </c>
      <c r="D380" s="52" t="s">
        <v>1826</v>
      </c>
      <c r="E380" s="70" t="s">
        <v>1467</v>
      </c>
      <c r="F380" s="60" t="s">
        <v>1795</v>
      </c>
      <c r="G380" s="61">
        <v>15.0</v>
      </c>
      <c r="H380" s="62">
        <f>G380/3</f>
        <v>5</v>
      </c>
      <c r="I380" s="372" t="s">
        <v>230</v>
      </c>
      <c r="J380" s="247"/>
      <c r="K380" s="247"/>
      <c r="L380" s="247"/>
      <c r="M380" s="247"/>
      <c r="N380" s="247"/>
      <c r="O380" s="247"/>
      <c r="P380" s="247"/>
      <c r="Q380" s="247"/>
      <c r="R380" s="247"/>
      <c r="S380" s="247"/>
      <c r="T380" s="247"/>
      <c r="U380" s="247"/>
      <c r="V380" s="247"/>
      <c r="W380" s="247"/>
      <c r="X380" s="247"/>
      <c r="Y380" s="247"/>
      <c r="Z380" s="247"/>
    </row>
    <row r="381" ht="165.75" customHeight="1">
      <c r="A381" s="52" t="s">
        <v>1827</v>
      </c>
      <c r="B381" s="407" t="s">
        <v>38</v>
      </c>
      <c r="C381" s="52" t="s">
        <v>1828</v>
      </c>
      <c r="D381" s="52" t="s">
        <v>1826</v>
      </c>
      <c r="E381" s="70" t="s">
        <v>1467</v>
      </c>
      <c r="F381" s="60" t="s">
        <v>1795</v>
      </c>
      <c r="G381" s="61">
        <v>15.0</v>
      </c>
      <c r="H381" s="62">
        <f>G381/2</f>
        <v>7.5</v>
      </c>
      <c r="I381" s="372" t="s">
        <v>230</v>
      </c>
      <c r="J381" s="247"/>
      <c r="K381" s="247"/>
      <c r="L381" s="247"/>
      <c r="M381" s="247"/>
      <c r="N381" s="247"/>
      <c r="O381" s="247"/>
      <c r="P381" s="247"/>
      <c r="Q381" s="247"/>
      <c r="R381" s="247"/>
      <c r="S381" s="247"/>
      <c r="T381" s="247"/>
      <c r="U381" s="247"/>
      <c r="V381" s="247"/>
      <c r="W381" s="247"/>
      <c r="X381" s="247"/>
      <c r="Y381" s="247"/>
      <c r="Z381" s="247"/>
    </row>
    <row r="382" ht="242.25" customHeight="1">
      <c r="A382" s="52" t="s">
        <v>1829</v>
      </c>
      <c r="B382" s="407" t="s">
        <v>38</v>
      </c>
      <c r="C382" s="52" t="s">
        <v>1830</v>
      </c>
      <c r="D382" s="52" t="s">
        <v>1831</v>
      </c>
      <c r="E382" s="70" t="s">
        <v>1832</v>
      </c>
      <c r="F382" s="60" t="s">
        <v>1643</v>
      </c>
      <c r="G382" s="61">
        <v>50.0</v>
      </c>
      <c r="H382" s="62">
        <f>G382/1</f>
        <v>50</v>
      </c>
      <c r="I382" s="372" t="s">
        <v>230</v>
      </c>
      <c r="J382" s="247"/>
      <c r="K382" s="247"/>
      <c r="L382" s="247"/>
      <c r="M382" s="247"/>
      <c r="N382" s="247"/>
      <c r="O382" s="247"/>
      <c r="P382" s="247"/>
      <c r="Q382" s="247"/>
      <c r="R382" s="247"/>
      <c r="S382" s="247"/>
      <c r="T382" s="247"/>
      <c r="U382" s="247"/>
      <c r="V382" s="247"/>
      <c r="W382" s="247"/>
      <c r="X382" s="247"/>
      <c r="Y382" s="247"/>
      <c r="Z382" s="247"/>
    </row>
    <row r="383" ht="178.5" customHeight="1">
      <c r="A383" s="73" t="s">
        <v>1833</v>
      </c>
      <c r="B383" s="407" t="s">
        <v>38</v>
      </c>
      <c r="C383" s="52" t="s">
        <v>1834</v>
      </c>
      <c r="D383" s="52" t="s">
        <v>1835</v>
      </c>
      <c r="E383" s="70" t="s">
        <v>1836</v>
      </c>
      <c r="F383" s="60" t="s">
        <v>1643</v>
      </c>
      <c r="G383" s="61">
        <v>50.0</v>
      </c>
      <c r="H383" s="62">
        <v>16.67</v>
      </c>
      <c r="I383" s="372" t="s">
        <v>230</v>
      </c>
      <c r="J383" s="247"/>
      <c r="K383" s="247"/>
      <c r="L383" s="247"/>
      <c r="M383" s="247"/>
      <c r="N383" s="247"/>
      <c r="O383" s="247"/>
      <c r="P383" s="247"/>
      <c r="Q383" s="247"/>
      <c r="R383" s="247"/>
      <c r="S383" s="247"/>
      <c r="T383" s="247"/>
      <c r="U383" s="247"/>
      <c r="V383" s="247"/>
      <c r="W383" s="247"/>
      <c r="X383" s="247"/>
      <c r="Y383" s="247"/>
      <c r="Z383" s="247"/>
    </row>
    <row r="384" ht="153.0" customHeight="1">
      <c r="A384" s="52" t="s">
        <v>1837</v>
      </c>
      <c r="B384" s="407" t="s">
        <v>38</v>
      </c>
      <c r="C384" s="52" t="s">
        <v>1838</v>
      </c>
      <c r="D384" s="52" t="s">
        <v>1839</v>
      </c>
      <c r="E384" s="70" t="s">
        <v>1772</v>
      </c>
      <c r="F384" s="60" t="s">
        <v>540</v>
      </c>
      <c r="G384" s="61">
        <v>15.0</v>
      </c>
      <c r="H384" s="62">
        <f t="shared" ref="H384:H395" si="17">G384/2</f>
        <v>7.5</v>
      </c>
      <c r="I384" s="372" t="s">
        <v>230</v>
      </c>
      <c r="J384" s="247"/>
      <c r="K384" s="247"/>
      <c r="L384" s="247"/>
      <c r="M384" s="247"/>
      <c r="N384" s="247"/>
      <c r="O384" s="247"/>
      <c r="P384" s="247"/>
      <c r="Q384" s="247"/>
      <c r="R384" s="247"/>
      <c r="S384" s="247"/>
      <c r="T384" s="247"/>
      <c r="U384" s="247"/>
      <c r="V384" s="247"/>
      <c r="W384" s="247"/>
      <c r="X384" s="247"/>
      <c r="Y384" s="247"/>
      <c r="Z384" s="247"/>
    </row>
    <row r="385" ht="150.0" customHeight="1">
      <c r="A385" s="52" t="s">
        <v>1840</v>
      </c>
      <c r="B385" s="199" t="s">
        <v>38</v>
      </c>
      <c r="C385" s="60" t="s">
        <v>1841</v>
      </c>
      <c r="D385" s="60" t="s">
        <v>1842</v>
      </c>
      <c r="E385" s="165" t="s">
        <v>1843</v>
      </c>
      <c r="F385" s="60" t="s">
        <v>726</v>
      </c>
      <c r="G385" s="61">
        <v>50.0</v>
      </c>
      <c r="H385" s="62">
        <f t="shared" si="17"/>
        <v>25</v>
      </c>
      <c r="I385" s="372" t="s">
        <v>1844</v>
      </c>
      <c r="J385" s="247"/>
      <c r="K385" s="247"/>
      <c r="L385" s="247"/>
      <c r="M385" s="247"/>
      <c r="N385" s="247"/>
      <c r="O385" s="247"/>
      <c r="P385" s="247"/>
      <c r="Q385" s="247"/>
      <c r="R385" s="247"/>
      <c r="S385" s="247"/>
      <c r="T385" s="247"/>
      <c r="U385" s="247"/>
      <c r="V385" s="247"/>
      <c r="W385" s="247"/>
      <c r="X385" s="247"/>
      <c r="Y385" s="247"/>
      <c r="Z385" s="247"/>
    </row>
    <row r="386" ht="140.25" customHeight="1">
      <c r="A386" s="52" t="s">
        <v>1845</v>
      </c>
      <c r="B386" s="199" t="s">
        <v>38</v>
      </c>
      <c r="C386" s="60" t="s">
        <v>1846</v>
      </c>
      <c r="D386" s="60" t="s">
        <v>1847</v>
      </c>
      <c r="E386" s="60" t="s">
        <v>1848</v>
      </c>
      <c r="F386" s="60" t="s">
        <v>726</v>
      </c>
      <c r="G386" s="61">
        <v>50.0</v>
      </c>
      <c r="H386" s="62">
        <f t="shared" si="17"/>
        <v>25</v>
      </c>
      <c r="I386" s="372" t="s">
        <v>1844</v>
      </c>
      <c r="J386" s="247"/>
      <c r="K386" s="247"/>
      <c r="L386" s="247"/>
      <c r="M386" s="247"/>
      <c r="N386" s="247"/>
      <c r="O386" s="247"/>
      <c r="P386" s="247"/>
      <c r="Q386" s="247"/>
      <c r="R386" s="247"/>
      <c r="S386" s="247"/>
      <c r="T386" s="247"/>
      <c r="U386" s="247"/>
      <c r="V386" s="247"/>
      <c r="W386" s="247"/>
      <c r="X386" s="247"/>
      <c r="Y386" s="247"/>
      <c r="Z386" s="247"/>
    </row>
    <row r="387" ht="216.75" customHeight="1">
      <c r="A387" s="52" t="s">
        <v>1845</v>
      </c>
      <c r="B387" s="199" t="s">
        <v>38</v>
      </c>
      <c r="C387" s="60" t="s">
        <v>1846</v>
      </c>
      <c r="D387" s="60" t="s">
        <v>1849</v>
      </c>
      <c r="E387" s="60" t="s">
        <v>1850</v>
      </c>
      <c r="F387" s="60" t="s">
        <v>1523</v>
      </c>
      <c r="G387" s="61">
        <v>15.0</v>
      </c>
      <c r="H387" s="62">
        <f t="shared" si="17"/>
        <v>7.5</v>
      </c>
      <c r="I387" s="372" t="s">
        <v>1844</v>
      </c>
      <c r="J387" s="247"/>
      <c r="K387" s="247"/>
      <c r="L387" s="247"/>
      <c r="M387" s="247"/>
      <c r="N387" s="247"/>
      <c r="O387" s="247"/>
      <c r="P387" s="247"/>
      <c r="Q387" s="247"/>
      <c r="R387" s="247"/>
      <c r="S387" s="247"/>
      <c r="T387" s="247"/>
      <c r="U387" s="247"/>
      <c r="V387" s="247"/>
      <c r="W387" s="247"/>
      <c r="X387" s="247"/>
      <c r="Y387" s="247"/>
      <c r="Z387" s="247"/>
    </row>
    <row r="388" ht="140.25" customHeight="1">
      <c r="A388" s="52" t="s">
        <v>1845</v>
      </c>
      <c r="B388" s="199" t="s">
        <v>38</v>
      </c>
      <c r="C388" s="60" t="s">
        <v>1846</v>
      </c>
      <c r="D388" s="60" t="s">
        <v>1851</v>
      </c>
      <c r="E388" s="60" t="s">
        <v>1852</v>
      </c>
      <c r="F388" s="60" t="s">
        <v>1523</v>
      </c>
      <c r="G388" s="61">
        <v>15.0</v>
      </c>
      <c r="H388" s="62">
        <f t="shared" si="17"/>
        <v>7.5</v>
      </c>
      <c r="I388" s="372" t="s">
        <v>1844</v>
      </c>
      <c r="J388" s="247"/>
      <c r="K388" s="247"/>
      <c r="L388" s="247"/>
      <c r="M388" s="247"/>
      <c r="N388" s="247"/>
      <c r="O388" s="247"/>
      <c r="P388" s="247"/>
      <c r="Q388" s="247"/>
      <c r="R388" s="247"/>
      <c r="S388" s="247"/>
      <c r="T388" s="247"/>
      <c r="U388" s="247"/>
      <c r="V388" s="247"/>
      <c r="W388" s="247"/>
      <c r="X388" s="247"/>
      <c r="Y388" s="247"/>
      <c r="Z388" s="247"/>
    </row>
    <row r="389" ht="345.0" customHeight="1">
      <c r="A389" s="52" t="s">
        <v>1845</v>
      </c>
      <c r="B389" s="199" t="s">
        <v>38</v>
      </c>
      <c r="C389" s="60" t="s">
        <v>1846</v>
      </c>
      <c r="D389" s="36" t="s">
        <v>1853</v>
      </c>
      <c r="E389" s="165" t="s">
        <v>1854</v>
      </c>
      <c r="F389" s="60" t="s">
        <v>726</v>
      </c>
      <c r="G389" s="61">
        <v>50.0</v>
      </c>
      <c r="H389" s="62">
        <f t="shared" si="17"/>
        <v>25</v>
      </c>
      <c r="I389" s="372" t="s">
        <v>1844</v>
      </c>
      <c r="J389" s="247"/>
      <c r="K389" s="247"/>
      <c r="L389" s="247"/>
      <c r="M389" s="247"/>
      <c r="N389" s="247"/>
      <c r="O389" s="247"/>
      <c r="P389" s="247"/>
      <c r="Q389" s="247"/>
      <c r="R389" s="247"/>
      <c r="S389" s="247"/>
      <c r="T389" s="247"/>
      <c r="U389" s="247"/>
      <c r="V389" s="247"/>
      <c r="W389" s="247"/>
      <c r="X389" s="247"/>
      <c r="Y389" s="247"/>
      <c r="Z389" s="247"/>
    </row>
    <row r="390" ht="204.75" customHeight="1">
      <c r="A390" s="52" t="s">
        <v>1845</v>
      </c>
      <c r="B390" s="199" t="s">
        <v>38</v>
      </c>
      <c r="C390" s="60" t="s">
        <v>1846</v>
      </c>
      <c r="D390" s="36" t="s">
        <v>1855</v>
      </c>
      <c r="E390" s="165" t="s">
        <v>1856</v>
      </c>
      <c r="F390" s="60" t="s">
        <v>726</v>
      </c>
      <c r="G390" s="61">
        <v>50.0</v>
      </c>
      <c r="H390" s="62">
        <f t="shared" si="17"/>
        <v>25</v>
      </c>
      <c r="I390" s="372" t="s">
        <v>1844</v>
      </c>
      <c r="J390" s="247"/>
      <c r="K390" s="247"/>
      <c r="L390" s="247"/>
      <c r="M390" s="247"/>
      <c r="N390" s="247"/>
      <c r="O390" s="247"/>
      <c r="P390" s="247"/>
      <c r="Q390" s="247"/>
      <c r="R390" s="247"/>
      <c r="S390" s="247"/>
      <c r="T390" s="247"/>
      <c r="U390" s="247"/>
      <c r="V390" s="247"/>
      <c r="W390" s="247"/>
      <c r="X390" s="247"/>
      <c r="Y390" s="247"/>
      <c r="Z390" s="247"/>
    </row>
    <row r="391" ht="409.5" customHeight="1">
      <c r="A391" s="52" t="s">
        <v>1845</v>
      </c>
      <c r="B391" s="199" t="s">
        <v>38</v>
      </c>
      <c r="C391" s="60" t="s">
        <v>1846</v>
      </c>
      <c r="D391" s="36" t="s">
        <v>1857</v>
      </c>
      <c r="E391" s="165" t="s">
        <v>1858</v>
      </c>
      <c r="F391" s="60" t="s">
        <v>1859</v>
      </c>
      <c r="G391" s="61">
        <v>15.0</v>
      </c>
      <c r="H391" s="62">
        <f t="shared" si="17"/>
        <v>7.5</v>
      </c>
      <c r="I391" s="372" t="s">
        <v>1844</v>
      </c>
      <c r="J391" s="247"/>
      <c r="K391" s="247"/>
      <c r="L391" s="247"/>
      <c r="M391" s="247"/>
      <c r="N391" s="247"/>
      <c r="O391" s="247"/>
      <c r="P391" s="247"/>
      <c r="Q391" s="247"/>
      <c r="R391" s="247"/>
      <c r="S391" s="247"/>
      <c r="T391" s="247"/>
      <c r="U391" s="247"/>
      <c r="V391" s="247"/>
      <c r="W391" s="247"/>
      <c r="X391" s="247"/>
      <c r="Y391" s="247"/>
      <c r="Z391" s="247"/>
    </row>
    <row r="392" ht="128.25" customHeight="1">
      <c r="A392" s="52" t="s">
        <v>1845</v>
      </c>
      <c r="B392" s="199" t="s">
        <v>38</v>
      </c>
      <c r="C392" s="60" t="s">
        <v>1846</v>
      </c>
      <c r="D392" s="36" t="s">
        <v>1860</v>
      </c>
      <c r="E392" s="165" t="s">
        <v>1861</v>
      </c>
      <c r="F392" s="60" t="s">
        <v>1523</v>
      </c>
      <c r="G392" s="61">
        <v>15.0</v>
      </c>
      <c r="H392" s="62">
        <f t="shared" si="17"/>
        <v>7.5</v>
      </c>
      <c r="I392" s="372" t="s">
        <v>1844</v>
      </c>
      <c r="J392" s="247"/>
      <c r="K392" s="247"/>
      <c r="L392" s="247"/>
      <c r="M392" s="247"/>
      <c r="N392" s="247"/>
      <c r="O392" s="247"/>
      <c r="P392" s="247"/>
      <c r="Q392" s="247"/>
      <c r="R392" s="247"/>
      <c r="S392" s="247"/>
      <c r="T392" s="247"/>
      <c r="U392" s="247"/>
      <c r="V392" s="247"/>
      <c r="W392" s="247"/>
      <c r="X392" s="247"/>
      <c r="Y392" s="247"/>
      <c r="Z392" s="247"/>
    </row>
    <row r="393" ht="90.0" customHeight="1">
      <c r="A393" s="52" t="s">
        <v>1845</v>
      </c>
      <c r="B393" s="199" t="s">
        <v>38</v>
      </c>
      <c r="C393" s="60" t="s">
        <v>1846</v>
      </c>
      <c r="D393" s="36" t="s">
        <v>1862</v>
      </c>
      <c r="E393" s="165" t="s">
        <v>1863</v>
      </c>
      <c r="F393" s="60" t="s">
        <v>1864</v>
      </c>
      <c r="G393" s="61">
        <v>15.0</v>
      </c>
      <c r="H393" s="62">
        <f t="shared" si="17"/>
        <v>7.5</v>
      </c>
      <c r="I393" s="372" t="s">
        <v>1844</v>
      </c>
      <c r="J393" s="247"/>
      <c r="K393" s="247"/>
      <c r="L393" s="247"/>
      <c r="M393" s="247"/>
      <c r="N393" s="247"/>
      <c r="O393" s="247"/>
      <c r="P393" s="247"/>
      <c r="Q393" s="247"/>
      <c r="R393" s="247"/>
      <c r="S393" s="247"/>
      <c r="T393" s="247"/>
      <c r="U393" s="247"/>
      <c r="V393" s="247"/>
      <c r="W393" s="247"/>
      <c r="X393" s="247"/>
      <c r="Y393" s="247"/>
      <c r="Z393" s="247"/>
    </row>
    <row r="394" ht="90.0" customHeight="1">
      <c r="A394" s="52" t="s">
        <v>1845</v>
      </c>
      <c r="B394" s="199" t="s">
        <v>38</v>
      </c>
      <c r="C394" s="60" t="s">
        <v>1846</v>
      </c>
      <c r="D394" s="36" t="s">
        <v>1865</v>
      </c>
      <c r="E394" s="165" t="s">
        <v>1866</v>
      </c>
      <c r="F394" s="60" t="s">
        <v>1864</v>
      </c>
      <c r="G394" s="61">
        <v>15.0</v>
      </c>
      <c r="H394" s="62">
        <f t="shared" si="17"/>
        <v>7.5</v>
      </c>
      <c r="I394" s="372" t="s">
        <v>1844</v>
      </c>
      <c r="J394" s="247"/>
      <c r="K394" s="247"/>
      <c r="L394" s="247"/>
      <c r="M394" s="247"/>
      <c r="N394" s="247"/>
      <c r="O394" s="247"/>
      <c r="P394" s="247"/>
      <c r="Q394" s="247"/>
      <c r="R394" s="247"/>
      <c r="S394" s="247"/>
      <c r="T394" s="247"/>
      <c r="U394" s="247"/>
      <c r="V394" s="247"/>
      <c r="W394" s="247"/>
      <c r="X394" s="247"/>
      <c r="Y394" s="247"/>
      <c r="Z394" s="247"/>
    </row>
    <row r="395" ht="120.0" customHeight="1">
      <c r="A395" s="52" t="s">
        <v>1845</v>
      </c>
      <c r="B395" s="199" t="s">
        <v>38</v>
      </c>
      <c r="C395" s="60" t="s">
        <v>1846</v>
      </c>
      <c r="D395" s="36" t="s">
        <v>1867</v>
      </c>
      <c r="E395" s="165" t="s">
        <v>1868</v>
      </c>
      <c r="F395" s="60" t="s">
        <v>1523</v>
      </c>
      <c r="G395" s="61">
        <v>15.0</v>
      </c>
      <c r="H395" s="62">
        <f t="shared" si="17"/>
        <v>7.5</v>
      </c>
      <c r="I395" s="372" t="s">
        <v>1844</v>
      </c>
      <c r="J395" s="247"/>
      <c r="K395" s="247"/>
      <c r="L395" s="247"/>
      <c r="M395" s="247"/>
      <c r="N395" s="247"/>
      <c r="O395" s="247"/>
      <c r="P395" s="247"/>
      <c r="Q395" s="247"/>
      <c r="R395" s="247"/>
      <c r="S395" s="247"/>
      <c r="T395" s="247"/>
      <c r="U395" s="247"/>
      <c r="V395" s="247"/>
      <c r="W395" s="247"/>
      <c r="X395" s="247"/>
      <c r="Y395" s="247"/>
      <c r="Z395" s="247"/>
    </row>
    <row r="396" ht="370.5" customHeight="1">
      <c r="A396" s="52" t="s">
        <v>1869</v>
      </c>
      <c r="B396" s="199"/>
      <c r="C396" s="60" t="s">
        <v>1870</v>
      </c>
      <c r="D396" s="410" t="s">
        <v>1871</v>
      </c>
      <c r="E396" s="165" t="s">
        <v>1872</v>
      </c>
      <c r="F396" s="60" t="s">
        <v>726</v>
      </c>
      <c r="G396" s="61">
        <v>50.0</v>
      </c>
      <c r="H396" s="62">
        <v>16.67</v>
      </c>
      <c r="I396" s="372" t="s">
        <v>1844</v>
      </c>
      <c r="J396" s="247"/>
      <c r="K396" s="247"/>
      <c r="L396" s="247"/>
      <c r="M396" s="247"/>
      <c r="N396" s="247"/>
      <c r="O396" s="247"/>
      <c r="P396" s="247"/>
      <c r="Q396" s="247"/>
      <c r="R396" s="247"/>
      <c r="S396" s="247"/>
      <c r="T396" s="247"/>
      <c r="U396" s="247"/>
      <c r="V396" s="247"/>
      <c r="W396" s="247"/>
      <c r="X396" s="247"/>
      <c r="Y396" s="247"/>
      <c r="Z396" s="247"/>
    </row>
    <row r="397" ht="77.25" customHeight="1">
      <c r="A397" s="52" t="s">
        <v>1873</v>
      </c>
      <c r="B397" s="199"/>
      <c r="C397" s="60" t="s">
        <v>1874</v>
      </c>
      <c r="D397" s="410" t="s">
        <v>1875</v>
      </c>
      <c r="E397" s="165" t="s">
        <v>1876</v>
      </c>
      <c r="F397" s="60" t="s">
        <v>540</v>
      </c>
      <c r="G397" s="61">
        <v>15.0</v>
      </c>
      <c r="H397" s="62">
        <f t="shared" ref="H397:H408" si="18">G397/2</f>
        <v>7.5</v>
      </c>
      <c r="I397" s="372" t="s">
        <v>1844</v>
      </c>
      <c r="J397" s="247"/>
      <c r="K397" s="247"/>
      <c r="L397" s="247"/>
      <c r="M397" s="247"/>
      <c r="N397" s="247"/>
      <c r="O397" s="247"/>
      <c r="P397" s="247"/>
      <c r="Q397" s="247"/>
      <c r="R397" s="247"/>
      <c r="S397" s="247"/>
      <c r="T397" s="247"/>
      <c r="U397" s="247"/>
      <c r="V397" s="247"/>
      <c r="W397" s="247"/>
      <c r="X397" s="247"/>
      <c r="Y397" s="247"/>
      <c r="Z397" s="247"/>
    </row>
    <row r="398" ht="150.0" customHeight="1">
      <c r="A398" s="52" t="s">
        <v>1840</v>
      </c>
      <c r="B398" s="199" t="s">
        <v>38</v>
      </c>
      <c r="C398" s="60" t="s">
        <v>1841</v>
      </c>
      <c r="D398" s="60" t="s">
        <v>1842</v>
      </c>
      <c r="E398" s="165" t="s">
        <v>1843</v>
      </c>
      <c r="F398" s="60" t="s">
        <v>726</v>
      </c>
      <c r="G398" s="61">
        <v>50.0</v>
      </c>
      <c r="H398" s="62">
        <f t="shared" si="18"/>
        <v>25</v>
      </c>
      <c r="I398" s="372" t="s">
        <v>1877</v>
      </c>
      <c r="J398" s="247"/>
      <c r="K398" s="247"/>
      <c r="L398" s="247"/>
      <c r="M398" s="247"/>
      <c r="N398" s="247"/>
      <c r="O398" s="247"/>
      <c r="P398" s="247"/>
      <c r="Q398" s="247"/>
      <c r="R398" s="247"/>
      <c r="S398" s="247"/>
      <c r="T398" s="247"/>
      <c r="U398" s="247"/>
      <c r="V398" s="247"/>
      <c r="W398" s="247"/>
      <c r="X398" s="247"/>
      <c r="Y398" s="247"/>
      <c r="Z398" s="247"/>
    </row>
    <row r="399" ht="140.25" customHeight="1">
      <c r="A399" s="52" t="s">
        <v>1845</v>
      </c>
      <c r="B399" s="199" t="s">
        <v>38</v>
      </c>
      <c r="C399" s="60" t="s">
        <v>1846</v>
      </c>
      <c r="D399" s="60" t="s">
        <v>1847</v>
      </c>
      <c r="E399" s="60" t="s">
        <v>1848</v>
      </c>
      <c r="F399" s="60" t="s">
        <v>726</v>
      </c>
      <c r="G399" s="61">
        <v>50.0</v>
      </c>
      <c r="H399" s="62">
        <f t="shared" si="18"/>
        <v>25</v>
      </c>
      <c r="I399" s="372" t="s">
        <v>1877</v>
      </c>
      <c r="J399" s="247"/>
      <c r="K399" s="247"/>
      <c r="L399" s="247"/>
      <c r="M399" s="247"/>
      <c r="N399" s="247"/>
      <c r="O399" s="247"/>
      <c r="P399" s="247"/>
      <c r="Q399" s="247"/>
      <c r="R399" s="247"/>
      <c r="S399" s="247"/>
      <c r="T399" s="247"/>
      <c r="U399" s="247"/>
      <c r="V399" s="247"/>
      <c r="W399" s="247"/>
      <c r="X399" s="247"/>
      <c r="Y399" s="247"/>
      <c r="Z399" s="247"/>
    </row>
    <row r="400" ht="216.75" customHeight="1">
      <c r="A400" s="52" t="s">
        <v>1845</v>
      </c>
      <c r="B400" s="199" t="s">
        <v>38</v>
      </c>
      <c r="C400" s="60" t="s">
        <v>1846</v>
      </c>
      <c r="D400" s="60" t="s">
        <v>1849</v>
      </c>
      <c r="E400" s="60" t="s">
        <v>1850</v>
      </c>
      <c r="F400" s="60" t="s">
        <v>1523</v>
      </c>
      <c r="G400" s="61">
        <v>15.0</v>
      </c>
      <c r="H400" s="62">
        <f t="shared" si="18"/>
        <v>7.5</v>
      </c>
      <c r="I400" s="372" t="s">
        <v>1877</v>
      </c>
      <c r="J400" s="247"/>
      <c r="K400" s="247"/>
      <c r="L400" s="247"/>
      <c r="M400" s="247"/>
      <c r="N400" s="247"/>
      <c r="O400" s="247"/>
      <c r="P400" s="247"/>
      <c r="Q400" s="247"/>
      <c r="R400" s="247"/>
      <c r="S400" s="247"/>
      <c r="T400" s="247"/>
      <c r="U400" s="247"/>
      <c r="V400" s="247"/>
      <c r="W400" s="247"/>
      <c r="X400" s="247"/>
      <c r="Y400" s="247"/>
      <c r="Z400" s="247"/>
    </row>
    <row r="401" ht="140.25" customHeight="1">
      <c r="A401" s="52" t="s">
        <v>1845</v>
      </c>
      <c r="B401" s="199" t="s">
        <v>38</v>
      </c>
      <c r="C401" s="60" t="s">
        <v>1846</v>
      </c>
      <c r="D401" s="60" t="s">
        <v>1851</v>
      </c>
      <c r="E401" s="60" t="s">
        <v>1852</v>
      </c>
      <c r="F401" s="60" t="s">
        <v>1523</v>
      </c>
      <c r="G401" s="61">
        <v>15.0</v>
      </c>
      <c r="H401" s="62">
        <f t="shared" si="18"/>
        <v>7.5</v>
      </c>
      <c r="I401" s="372" t="s">
        <v>1877</v>
      </c>
      <c r="J401" s="247"/>
      <c r="K401" s="247"/>
      <c r="L401" s="247"/>
      <c r="M401" s="247"/>
      <c r="N401" s="247"/>
      <c r="O401" s="247"/>
      <c r="P401" s="247"/>
      <c r="Q401" s="247"/>
      <c r="R401" s="247"/>
      <c r="S401" s="247"/>
      <c r="T401" s="247"/>
      <c r="U401" s="247"/>
      <c r="V401" s="247"/>
      <c r="W401" s="247"/>
      <c r="X401" s="247"/>
      <c r="Y401" s="247"/>
      <c r="Z401" s="247"/>
    </row>
    <row r="402" ht="345.0" customHeight="1">
      <c r="A402" s="52" t="s">
        <v>1845</v>
      </c>
      <c r="B402" s="199" t="s">
        <v>38</v>
      </c>
      <c r="C402" s="60" t="s">
        <v>1846</v>
      </c>
      <c r="D402" s="36" t="s">
        <v>1853</v>
      </c>
      <c r="E402" s="165" t="s">
        <v>1854</v>
      </c>
      <c r="F402" s="60" t="s">
        <v>726</v>
      </c>
      <c r="G402" s="61">
        <v>50.0</v>
      </c>
      <c r="H402" s="62">
        <f t="shared" si="18"/>
        <v>25</v>
      </c>
      <c r="I402" s="372" t="s">
        <v>1877</v>
      </c>
      <c r="J402" s="247"/>
      <c r="K402" s="247"/>
      <c r="L402" s="247"/>
      <c r="M402" s="247"/>
      <c r="N402" s="247"/>
      <c r="O402" s="247"/>
      <c r="P402" s="247"/>
      <c r="Q402" s="247"/>
      <c r="R402" s="247"/>
      <c r="S402" s="247"/>
      <c r="T402" s="247"/>
      <c r="U402" s="247"/>
      <c r="V402" s="247"/>
      <c r="W402" s="247"/>
      <c r="X402" s="247"/>
      <c r="Y402" s="247"/>
      <c r="Z402" s="247"/>
    </row>
    <row r="403" ht="204.75" customHeight="1">
      <c r="A403" s="52" t="s">
        <v>1845</v>
      </c>
      <c r="B403" s="199" t="s">
        <v>38</v>
      </c>
      <c r="C403" s="60" t="s">
        <v>1846</v>
      </c>
      <c r="D403" s="36" t="s">
        <v>1855</v>
      </c>
      <c r="E403" s="165" t="s">
        <v>1856</v>
      </c>
      <c r="F403" s="60" t="s">
        <v>726</v>
      </c>
      <c r="G403" s="61">
        <v>50.0</v>
      </c>
      <c r="H403" s="62">
        <f t="shared" si="18"/>
        <v>25</v>
      </c>
      <c r="I403" s="372" t="s">
        <v>1877</v>
      </c>
      <c r="J403" s="247"/>
      <c r="K403" s="247"/>
      <c r="L403" s="247"/>
      <c r="M403" s="247"/>
      <c r="N403" s="247"/>
      <c r="O403" s="247"/>
      <c r="P403" s="247"/>
      <c r="Q403" s="247"/>
      <c r="R403" s="247"/>
      <c r="S403" s="247"/>
      <c r="T403" s="247"/>
      <c r="U403" s="247"/>
      <c r="V403" s="247"/>
      <c r="W403" s="247"/>
      <c r="X403" s="247"/>
      <c r="Y403" s="247"/>
      <c r="Z403" s="247"/>
    </row>
    <row r="404" ht="409.5" customHeight="1">
      <c r="A404" s="52" t="s">
        <v>1845</v>
      </c>
      <c r="B404" s="199" t="s">
        <v>38</v>
      </c>
      <c r="C404" s="60" t="s">
        <v>1846</v>
      </c>
      <c r="D404" s="36" t="s">
        <v>1857</v>
      </c>
      <c r="E404" s="165" t="s">
        <v>1858</v>
      </c>
      <c r="F404" s="60" t="s">
        <v>1859</v>
      </c>
      <c r="G404" s="61">
        <v>15.0</v>
      </c>
      <c r="H404" s="62">
        <f t="shared" si="18"/>
        <v>7.5</v>
      </c>
      <c r="I404" s="372" t="s">
        <v>1877</v>
      </c>
      <c r="J404" s="247"/>
      <c r="K404" s="247"/>
      <c r="L404" s="247"/>
      <c r="M404" s="247"/>
      <c r="N404" s="247"/>
      <c r="O404" s="247"/>
      <c r="P404" s="247"/>
      <c r="Q404" s="247"/>
      <c r="R404" s="247"/>
      <c r="S404" s="247"/>
      <c r="T404" s="247"/>
      <c r="U404" s="247"/>
      <c r="V404" s="247"/>
      <c r="W404" s="247"/>
      <c r="X404" s="247"/>
      <c r="Y404" s="247"/>
      <c r="Z404" s="247"/>
    </row>
    <row r="405" ht="128.25" customHeight="1">
      <c r="A405" s="52" t="s">
        <v>1845</v>
      </c>
      <c r="B405" s="199" t="s">
        <v>38</v>
      </c>
      <c r="C405" s="60" t="s">
        <v>1846</v>
      </c>
      <c r="D405" s="36" t="s">
        <v>1860</v>
      </c>
      <c r="E405" s="165" t="s">
        <v>1861</v>
      </c>
      <c r="F405" s="60" t="s">
        <v>1523</v>
      </c>
      <c r="G405" s="61">
        <v>15.0</v>
      </c>
      <c r="H405" s="62">
        <f t="shared" si="18"/>
        <v>7.5</v>
      </c>
      <c r="I405" s="372" t="s">
        <v>1877</v>
      </c>
      <c r="J405" s="247"/>
      <c r="K405" s="247"/>
      <c r="L405" s="247"/>
      <c r="M405" s="247"/>
      <c r="N405" s="247"/>
      <c r="O405" s="247"/>
      <c r="P405" s="247"/>
      <c r="Q405" s="247"/>
      <c r="R405" s="247"/>
      <c r="S405" s="247"/>
      <c r="T405" s="247"/>
      <c r="U405" s="247"/>
      <c r="V405" s="247"/>
      <c r="W405" s="247"/>
      <c r="X405" s="247"/>
      <c r="Y405" s="247"/>
      <c r="Z405" s="247"/>
    </row>
    <row r="406" ht="90.0" customHeight="1">
      <c r="A406" s="52" t="s">
        <v>1845</v>
      </c>
      <c r="B406" s="199" t="s">
        <v>38</v>
      </c>
      <c r="C406" s="60" t="s">
        <v>1846</v>
      </c>
      <c r="D406" s="36" t="s">
        <v>1862</v>
      </c>
      <c r="E406" s="165" t="s">
        <v>1863</v>
      </c>
      <c r="F406" s="60" t="s">
        <v>1864</v>
      </c>
      <c r="G406" s="61">
        <v>15.0</v>
      </c>
      <c r="H406" s="62">
        <f t="shared" si="18"/>
        <v>7.5</v>
      </c>
      <c r="I406" s="372" t="s">
        <v>1877</v>
      </c>
      <c r="J406" s="247"/>
      <c r="K406" s="247"/>
      <c r="L406" s="247"/>
      <c r="M406" s="247"/>
      <c r="N406" s="247"/>
      <c r="O406" s="247"/>
      <c r="P406" s="247"/>
      <c r="Q406" s="247"/>
      <c r="R406" s="247"/>
      <c r="S406" s="247"/>
      <c r="T406" s="247"/>
      <c r="U406" s="247"/>
      <c r="V406" s="247"/>
      <c r="W406" s="247"/>
      <c r="X406" s="247"/>
      <c r="Y406" s="247"/>
      <c r="Z406" s="247"/>
    </row>
    <row r="407" ht="90.0" customHeight="1">
      <c r="A407" s="52" t="s">
        <v>1845</v>
      </c>
      <c r="B407" s="199" t="s">
        <v>38</v>
      </c>
      <c r="C407" s="60" t="s">
        <v>1846</v>
      </c>
      <c r="D407" s="36" t="s">
        <v>1865</v>
      </c>
      <c r="E407" s="165" t="s">
        <v>1866</v>
      </c>
      <c r="F407" s="60" t="s">
        <v>1864</v>
      </c>
      <c r="G407" s="61">
        <v>15.0</v>
      </c>
      <c r="H407" s="62">
        <f t="shared" si="18"/>
        <v>7.5</v>
      </c>
      <c r="I407" s="372" t="s">
        <v>1877</v>
      </c>
      <c r="J407" s="247"/>
      <c r="K407" s="247"/>
      <c r="L407" s="247"/>
      <c r="M407" s="247"/>
      <c r="N407" s="247"/>
      <c r="O407" s="247"/>
      <c r="P407" s="247"/>
      <c r="Q407" s="247"/>
      <c r="R407" s="247"/>
      <c r="S407" s="247"/>
      <c r="T407" s="247"/>
      <c r="U407" s="247"/>
      <c r="V407" s="247"/>
      <c r="W407" s="247"/>
      <c r="X407" s="247"/>
      <c r="Y407" s="247"/>
      <c r="Z407" s="247"/>
    </row>
    <row r="408" ht="120.0" customHeight="1">
      <c r="A408" s="52" t="s">
        <v>1845</v>
      </c>
      <c r="B408" s="199" t="s">
        <v>38</v>
      </c>
      <c r="C408" s="60" t="s">
        <v>1846</v>
      </c>
      <c r="D408" s="36" t="s">
        <v>1867</v>
      </c>
      <c r="E408" s="165" t="s">
        <v>1868</v>
      </c>
      <c r="F408" s="60" t="s">
        <v>1523</v>
      </c>
      <c r="G408" s="61">
        <v>15.0</v>
      </c>
      <c r="H408" s="62">
        <f t="shared" si="18"/>
        <v>7.5</v>
      </c>
      <c r="I408" s="372" t="s">
        <v>1877</v>
      </c>
      <c r="J408" s="247"/>
      <c r="K408" s="247"/>
      <c r="L408" s="247"/>
      <c r="M408" s="247"/>
      <c r="N408" s="247"/>
      <c r="O408" s="247"/>
      <c r="P408" s="247"/>
      <c r="Q408" s="247"/>
      <c r="R408" s="247"/>
      <c r="S408" s="247"/>
      <c r="T408" s="247"/>
      <c r="U408" s="247"/>
      <c r="V408" s="247"/>
      <c r="W408" s="247"/>
      <c r="X408" s="247"/>
      <c r="Y408" s="247"/>
      <c r="Z408" s="247"/>
    </row>
    <row r="409" ht="370.5" customHeight="1">
      <c r="A409" s="52" t="s">
        <v>1869</v>
      </c>
      <c r="B409" s="199"/>
      <c r="C409" s="60" t="s">
        <v>1870</v>
      </c>
      <c r="D409" s="410" t="s">
        <v>1871</v>
      </c>
      <c r="E409" s="165" t="s">
        <v>1872</v>
      </c>
      <c r="F409" s="60" t="s">
        <v>726</v>
      </c>
      <c r="G409" s="61">
        <v>50.0</v>
      </c>
      <c r="H409" s="62">
        <v>16.67</v>
      </c>
      <c r="I409" s="372" t="s">
        <v>1877</v>
      </c>
      <c r="J409" s="247"/>
      <c r="K409" s="247"/>
      <c r="L409" s="247"/>
      <c r="M409" s="247"/>
      <c r="N409" s="247"/>
      <c r="O409" s="247"/>
      <c r="P409" s="247"/>
      <c r="Q409" s="247"/>
      <c r="R409" s="247"/>
      <c r="S409" s="247"/>
      <c r="T409" s="247"/>
      <c r="U409" s="247"/>
      <c r="V409" s="247"/>
      <c r="W409" s="247"/>
      <c r="X409" s="247"/>
      <c r="Y409" s="247"/>
      <c r="Z409" s="247"/>
    </row>
    <row r="410" ht="77.25" customHeight="1">
      <c r="A410" s="52" t="s">
        <v>1873</v>
      </c>
      <c r="B410" s="199"/>
      <c r="C410" s="60" t="s">
        <v>1874</v>
      </c>
      <c r="D410" s="410" t="s">
        <v>1875</v>
      </c>
      <c r="E410" s="165" t="s">
        <v>1876</v>
      </c>
      <c r="F410" s="60" t="s">
        <v>540</v>
      </c>
      <c r="G410" s="61">
        <v>15.0</v>
      </c>
      <c r="H410" s="62">
        <f>G410/2</f>
        <v>7.5</v>
      </c>
      <c r="I410" s="372" t="s">
        <v>1877</v>
      </c>
      <c r="J410" s="247"/>
      <c r="K410" s="247"/>
      <c r="L410" s="247"/>
      <c r="M410" s="247"/>
      <c r="N410" s="247"/>
      <c r="O410" s="247"/>
      <c r="P410" s="247"/>
      <c r="Q410" s="247"/>
      <c r="R410" s="247"/>
      <c r="S410" s="247"/>
      <c r="T410" s="247"/>
      <c r="U410" s="247"/>
      <c r="V410" s="247"/>
      <c r="W410" s="247"/>
      <c r="X410" s="247"/>
      <c r="Y410" s="247"/>
      <c r="Z410" s="247"/>
    </row>
    <row r="411" ht="191.25" customHeight="1">
      <c r="A411" s="52" t="s">
        <v>1878</v>
      </c>
      <c r="B411" s="199" t="s">
        <v>38</v>
      </c>
      <c r="C411" s="60" t="s">
        <v>1879</v>
      </c>
      <c r="D411" s="60" t="s">
        <v>1880</v>
      </c>
      <c r="E411" s="165" t="s">
        <v>1881</v>
      </c>
      <c r="F411" s="165" t="s">
        <v>1882</v>
      </c>
      <c r="G411" s="66" t="s">
        <v>1883</v>
      </c>
      <c r="H411" s="118">
        <v>10.0</v>
      </c>
      <c r="I411" s="372" t="s">
        <v>668</v>
      </c>
      <c r="J411" s="247"/>
      <c r="K411" s="247"/>
      <c r="L411" s="247"/>
      <c r="M411" s="247"/>
      <c r="N411" s="247"/>
      <c r="O411" s="247"/>
      <c r="P411" s="247"/>
      <c r="Q411" s="247"/>
      <c r="R411" s="247"/>
      <c r="S411" s="247"/>
      <c r="T411" s="247"/>
      <c r="U411" s="247"/>
      <c r="V411" s="247"/>
      <c r="W411" s="247"/>
      <c r="X411" s="247"/>
      <c r="Y411" s="247"/>
      <c r="Z411" s="247"/>
    </row>
    <row r="412" ht="165.75" customHeight="1">
      <c r="A412" s="52" t="s">
        <v>1884</v>
      </c>
      <c r="B412" s="199" t="s">
        <v>1885</v>
      </c>
      <c r="C412" s="60" t="s">
        <v>1041</v>
      </c>
      <c r="D412" s="60" t="s">
        <v>1886</v>
      </c>
      <c r="E412" s="165" t="s">
        <v>1799</v>
      </c>
      <c r="F412" s="165" t="s">
        <v>1887</v>
      </c>
      <c r="G412" s="66" t="s">
        <v>1888</v>
      </c>
      <c r="H412" s="118">
        <v>16.66</v>
      </c>
      <c r="I412" s="372" t="s">
        <v>668</v>
      </c>
      <c r="J412" s="247"/>
      <c r="K412" s="247"/>
      <c r="L412" s="247"/>
      <c r="M412" s="247"/>
      <c r="N412" s="247"/>
      <c r="O412" s="247"/>
      <c r="P412" s="247"/>
      <c r="Q412" s="247"/>
      <c r="R412" s="247"/>
      <c r="S412" s="247"/>
      <c r="T412" s="247"/>
      <c r="U412" s="247"/>
      <c r="V412" s="247"/>
      <c r="W412" s="247"/>
      <c r="X412" s="247"/>
      <c r="Y412" s="247"/>
      <c r="Z412" s="247"/>
    </row>
    <row r="413" ht="178.5" customHeight="1">
      <c r="A413" s="52" t="s">
        <v>1889</v>
      </c>
      <c r="B413" s="199" t="s">
        <v>38</v>
      </c>
      <c r="C413" s="199" t="s">
        <v>1890</v>
      </c>
      <c r="D413" s="60" t="s">
        <v>1891</v>
      </c>
      <c r="E413" s="165" t="s">
        <v>1892</v>
      </c>
      <c r="F413" s="165" t="s">
        <v>1893</v>
      </c>
      <c r="G413" s="199" t="s">
        <v>1894</v>
      </c>
      <c r="H413" s="411">
        <v>12.5</v>
      </c>
      <c r="I413" s="372" t="s">
        <v>668</v>
      </c>
      <c r="J413" s="247"/>
      <c r="K413" s="247"/>
      <c r="L413" s="247"/>
      <c r="M413" s="247"/>
      <c r="N413" s="247"/>
      <c r="O413" s="247"/>
      <c r="P413" s="247"/>
      <c r="Q413" s="247"/>
      <c r="R413" s="247"/>
      <c r="S413" s="247"/>
      <c r="T413" s="247"/>
      <c r="U413" s="247"/>
      <c r="V413" s="247"/>
      <c r="W413" s="247"/>
      <c r="X413" s="247"/>
      <c r="Y413" s="247"/>
      <c r="Z413" s="247"/>
    </row>
    <row r="414" ht="191.25" customHeight="1">
      <c r="A414" s="52" t="s">
        <v>1895</v>
      </c>
      <c r="B414" s="199" t="s">
        <v>1885</v>
      </c>
      <c r="C414" s="199" t="s">
        <v>1890</v>
      </c>
      <c r="D414" s="60" t="s">
        <v>1896</v>
      </c>
      <c r="E414" s="165" t="s">
        <v>1897</v>
      </c>
      <c r="F414" s="165" t="s">
        <v>1898</v>
      </c>
      <c r="G414" s="199" t="s">
        <v>1894</v>
      </c>
      <c r="H414" s="411">
        <v>12.5</v>
      </c>
      <c r="I414" s="372" t="s">
        <v>668</v>
      </c>
      <c r="J414" s="247"/>
      <c r="K414" s="247"/>
      <c r="L414" s="247"/>
      <c r="M414" s="247"/>
      <c r="N414" s="247"/>
      <c r="O414" s="247"/>
      <c r="P414" s="247"/>
      <c r="Q414" s="247"/>
      <c r="R414" s="247"/>
      <c r="S414" s="247"/>
      <c r="T414" s="247"/>
      <c r="U414" s="247"/>
      <c r="V414" s="247"/>
      <c r="W414" s="247"/>
      <c r="X414" s="247"/>
      <c r="Y414" s="247"/>
      <c r="Z414" s="247"/>
    </row>
    <row r="415" ht="165.75" customHeight="1">
      <c r="A415" s="199" t="s">
        <v>834</v>
      </c>
      <c r="B415" s="199" t="s">
        <v>38</v>
      </c>
      <c r="C415" s="199" t="s">
        <v>835</v>
      </c>
      <c r="D415" s="199" t="s">
        <v>836</v>
      </c>
      <c r="E415" s="199" t="s">
        <v>813</v>
      </c>
      <c r="F415" s="60" t="s">
        <v>837</v>
      </c>
      <c r="G415" s="61">
        <v>50.0</v>
      </c>
      <c r="H415" s="62">
        <f>G415/4</f>
        <v>12.5</v>
      </c>
      <c r="I415" s="372" t="s">
        <v>1899</v>
      </c>
      <c r="J415" s="247"/>
      <c r="K415" s="247"/>
      <c r="L415" s="247"/>
      <c r="M415" s="247"/>
      <c r="N415" s="247"/>
      <c r="O415" s="247"/>
      <c r="P415" s="247"/>
      <c r="Q415" s="247"/>
      <c r="R415" s="247"/>
      <c r="S415" s="247"/>
      <c r="T415" s="247"/>
      <c r="U415" s="247"/>
      <c r="V415" s="247"/>
      <c r="W415" s="247"/>
      <c r="X415" s="247"/>
      <c r="Y415" s="247"/>
      <c r="Z415" s="247"/>
    </row>
    <row r="416" ht="127.5" customHeight="1">
      <c r="A416" s="199" t="s">
        <v>857</v>
      </c>
      <c r="B416" s="199" t="s">
        <v>38</v>
      </c>
      <c r="C416" s="199" t="s">
        <v>858</v>
      </c>
      <c r="D416" s="199" t="s">
        <v>859</v>
      </c>
      <c r="E416" s="199" t="s">
        <v>860</v>
      </c>
      <c r="F416" s="60" t="s">
        <v>799</v>
      </c>
      <c r="G416" s="300">
        <v>15.0</v>
      </c>
      <c r="H416" s="301">
        <v>1.67</v>
      </c>
      <c r="I416" s="372" t="s">
        <v>1899</v>
      </c>
      <c r="J416" s="247"/>
      <c r="K416" s="247"/>
      <c r="L416" s="247"/>
      <c r="M416" s="247"/>
      <c r="N416" s="247"/>
      <c r="O416" s="247"/>
      <c r="P416" s="247"/>
      <c r="Q416" s="247"/>
      <c r="R416" s="247"/>
      <c r="S416" s="247"/>
      <c r="T416" s="247"/>
      <c r="U416" s="247"/>
      <c r="V416" s="247"/>
      <c r="W416" s="247"/>
      <c r="X416" s="247"/>
      <c r="Y416" s="247"/>
      <c r="Z416" s="247"/>
    </row>
    <row r="417" ht="153.0" customHeight="1">
      <c r="A417" s="199" t="s">
        <v>861</v>
      </c>
      <c r="B417" s="199" t="s">
        <v>38</v>
      </c>
      <c r="C417" s="199" t="s">
        <v>862</v>
      </c>
      <c r="D417" s="199" t="s">
        <v>863</v>
      </c>
      <c r="E417" s="309" t="s">
        <v>864</v>
      </c>
      <c r="F417" s="60" t="s">
        <v>799</v>
      </c>
      <c r="G417" s="61">
        <v>15.0</v>
      </c>
      <c r="H417" s="62">
        <v>2.1</v>
      </c>
      <c r="I417" s="372" t="s">
        <v>1899</v>
      </c>
      <c r="J417" s="247"/>
      <c r="K417" s="247"/>
      <c r="L417" s="247"/>
      <c r="M417" s="247"/>
      <c r="N417" s="247"/>
      <c r="O417" s="247"/>
      <c r="P417" s="247"/>
      <c r="Q417" s="247"/>
      <c r="R417" s="247"/>
      <c r="S417" s="247"/>
      <c r="T417" s="247"/>
      <c r="U417" s="247"/>
      <c r="V417" s="247"/>
      <c r="W417" s="247"/>
      <c r="X417" s="247"/>
      <c r="Y417" s="247"/>
      <c r="Z417" s="247"/>
    </row>
    <row r="418" ht="127.5" customHeight="1">
      <c r="A418" s="199" t="s">
        <v>861</v>
      </c>
      <c r="B418" s="199" t="s">
        <v>38</v>
      </c>
      <c r="C418" s="199" t="s">
        <v>862</v>
      </c>
      <c r="D418" s="199" t="s">
        <v>865</v>
      </c>
      <c r="E418" s="309" t="s">
        <v>866</v>
      </c>
      <c r="F418" s="60" t="s">
        <v>799</v>
      </c>
      <c r="G418" s="61">
        <v>15.0</v>
      </c>
      <c r="H418" s="62">
        <v>2.1</v>
      </c>
      <c r="I418" s="372" t="s">
        <v>1899</v>
      </c>
      <c r="J418" s="247"/>
      <c r="K418" s="247"/>
      <c r="L418" s="247"/>
      <c r="M418" s="247"/>
      <c r="N418" s="247"/>
      <c r="O418" s="247"/>
      <c r="P418" s="247"/>
      <c r="Q418" s="247"/>
      <c r="R418" s="247"/>
      <c r="S418" s="247"/>
      <c r="T418" s="247"/>
      <c r="U418" s="247"/>
      <c r="V418" s="247"/>
      <c r="W418" s="247"/>
      <c r="X418" s="247"/>
      <c r="Y418" s="247"/>
      <c r="Z418" s="247"/>
    </row>
    <row r="419" ht="114.75" customHeight="1">
      <c r="A419" s="52" t="s">
        <v>718</v>
      </c>
      <c r="B419" s="199" t="s">
        <v>38</v>
      </c>
      <c r="C419" s="60" t="s">
        <v>719</v>
      </c>
      <c r="D419" s="60" t="s">
        <v>720</v>
      </c>
      <c r="E419" s="60" t="s">
        <v>721</v>
      </c>
      <c r="F419" s="60" t="s">
        <v>717</v>
      </c>
      <c r="G419" s="61">
        <v>15.0</v>
      </c>
      <c r="H419" s="62">
        <f>G419/5</f>
        <v>3</v>
      </c>
      <c r="I419" s="372" t="s">
        <v>1899</v>
      </c>
      <c r="J419" s="247"/>
      <c r="K419" s="247"/>
      <c r="L419" s="247"/>
      <c r="M419" s="247"/>
      <c r="N419" s="247"/>
      <c r="O419" s="247"/>
      <c r="P419" s="247"/>
      <c r="Q419" s="247"/>
      <c r="R419" s="247"/>
      <c r="S419" s="247"/>
      <c r="T419" s="247"/>
      <c r="U419" s="247"/>
      <c r="V419" s="247"/>
      <c r="W419" s="247"/>
      <c r="X419" s="247"/>
      <c r="Y419" s="247"/>
      <c r="Z419" s="247"/>
    </row>
    <row r="420" ht="173.25" customHeight="1">
      <c r="A420" s="52" t="s">
        <v>1900</v>
      </c>
      <c r="B420" s="199" t="s">
        <v>38</v>
      </c>
      <c r="C420" s="412" t="s">
        <v>1901</v>
      </c>
      <c r="D420" s="413" t="s">
        <v>1902</v>
      </c>
      <c r="E420" s="414" t="s">
        <v>1903</v>
      </c>
      <c r="F420" s="183" t="s">
        <v>1904</v>
      </c>
      <c r="G420" s="61">
        <v>15.0</v>
      </c>
      <c r="H420" s="271">
        <v>3.75</v>
      </c>
      <c r="I420" s="372" t="s">
        <v>542</v>
      </c>
      <c r="J420" s="247"/>
      <c r="K420" s="247"/>
      <c r="L420" s="247"/>
      <c r="M420" s="247"/>
      <c r="N420" s="247"/>
      <c r="O420" s="247"/>
      <c r="P420" s="247"/>
      <c r="Q420" s="247"/>
      <c r="R420" s="247"/>
      <c r="S420" s="247"/>
      <c r="T420" s="247"/>
      <c r="U420" s="247"/>
      <c r="V420" s="247"/>
      <c r="W420" s="247"/>
      <c r="X420" s="247"/>
      <c r="Y420" s="247"/>
      <c r="Z420" s="247"/>
    </row>
    <row r="421" ht="255.0" customHeight="1">
      <c r="A421" s="52" t="s">
        <v>1905</v>
      </c>
      <c r="B421" s="199" t="s">
        <v>38</v>
      </c>
      <c r="C421" s="413" t="s">
        <v>1906</v>
      </c>
      <c r="D421" s="415" t="s">
        <v>1907</v>
      </c>
      <c r="E421" s="296" t="s">
        <v>1908</v>
      </c>
      <c r="F421" s="183" t="s">
        <v>726</v>
      </c>
      <c r="G421" s="61">
        <v>50.0</v>
      </c>
      <c r="H421" s="62">
        <v>10.0</v>
      </c>
      <c r="I421" s="372" t="s">
        <v>542</v>
      </c>
      <c r="J421" s="247"/>
      <c r="K421" s="247"/>
      <c r="L421" s="247"/>
      <c r="M421" s="247"/>
      <c r="N421" s="247"/>
      <c r="O421" s="247"/>
      <c r="P421" s="247"/>
      <c r="Q421" s="247"/>
      <c r="R421" s="247"/>
      <c r="S421" s="247"/>
      <c r="T421" s="247"/>
      <c r="U421" s="247"/>
      <c r="V421" s="247"/>
      <c r="W421" s="247"/>
      <c r="X421" s="247"/>
      <c r="Y421" s="247"/>
      <c r="Z421" s="247"/>
    </row>
    <row r="422" ht="53.25" customHeight="1">
      <c r="A422" s="416" t="s">
        <v>1909</v>
      </c>
      <c r="B422" s="384" t="s">
        <v>38</v>
      </c>
      <c r="C422" s="417" t="s">
        <v>1910</v>
      </c>
      <c r="D422" s="418" t="s">
        <v>1911</v>
      </c>
      <c r="E422" s="419" t="s">
        <v>1542</v>
      </c>
      <c r="F422" s="420" t="s">
        <v>1912</v>
      </c>
      <c r="G422" s="260">
        <v>15.0</v>
      </c>
      <c r="H422" s="244">
        <v>15.0</v>
      </c>
      <c r="I422" s="421" t="s">
        <v>542</v>
      </c>
      <c r="J422" s="247"/>
      <c r="K422" s="247"/>
      <c r="L422" s="247"/>
      <c r="M422" s="247"/>
      <c r="N422" s="247"/>
      <c r="O422" s="247"/>
      <c r="P422" s="247"/>
      <c r="Q422" s="247"/>
      <c r="R422" s="247"/>
      <c r="S422" s="247"/>
      <c r="T422" s="247"/>
      <c r="U422" s="247"/>
      <c r="V422" s="247"/>
      <c r="W422" s="247"/>
      <c r="X422" s="247"/>
      <c r="Y422" s="247"/>
      <c r="Z422" s="247"/>
    </row>
    <row r="423" ht="114.75" customHeight="1">
      <c r="A423" s="52" t="s">
        <v>718</v>
      </c>
      <c r="B423" s="199" t="s">
        <v>38</v>
      </c>
      <c r="C423" s="60" t="s">
        <v>719</v>
      </c>
      <c r="D423" s="60" t="s">
        <v>720</v>
      </c>
      <c r="E423" s="60" t="s">
        <v>721</v>
      </c>
      <c r="F423" s="60" t="s">
        <v>717</v>
      </c>
      <c r="G423" s="61">
        <v>15.0</v>
      </c>
      <c r="H423" s="62">
        <f>G423/5</f>
        <v>3</v>
      </c>
      <c r="I423" s="372" t="s">
        <v>425</v>
      </c>
      <c r="J423" s="247"/>
      <c r="K423" s="247"/>
      <c r="L423" s="247"/>
      <c r="M423" s="247"/>
      <c r="N423" s="247"/>
      <c r="O423" s="247"/>
      <c r="P423" s="247"/>
      <c r="Q423" s="247"/>
      <c r="R423" s="247"/>
      <c r="S423" s="247"/>
      <c r="T423" s="247"/>
      <c r="U423" s="247"/>
      <c r="V423" s="247"/>
      <c r="W423" s="247"/>
      <c r="X423" s="247"/>
      <c r="Y423" s="247"/>
      <c r="Z423" s="247"/>
    </row>
    <row r="424" ht="127.5" customHeight="1">
      <c r="A424" s="52" t="s">
        <v>722</v>
      </c>
      <c r="B424" s="199" t="s">
        <v>38</v>
      </c>
      <c r="C424" s="60" t="s">
        <v>723</v>
      </c>
      <c r="D424" s="60" t="s">
        <v>724</v>
      </c>
      <c r="E424" s="60" t="s">
        <v>725</v>
      </c>
      <c r="F424" s="60" t="s">
        <v>726</v>
      </c>
      <c r="G424" s="61">
        <v>50.0</v>
      </c>
      <c r="H424" s="62">
        <f>G424/4</f>
        <v>12.5</v>
      </c>
      <c r="I424" s="372" t="s">
        <v>425</v>
      </c>
      <c r="J424" s="247"/>
      <c r="K424" s="247"/>
      <c r="L424" s="247"/>
      <c r="M424" s="247"/>
      <c r="N424" s="247"/>
      <c r="O424" s="247"/>
      <c r="P424" s="247"/>
      <c r="Q424" s="247"/>
      <c r="R424" s="247"/>
      <c r="S424" s="247"/>
      <c r="T424" s="247"/>
      <c r="U424" s="247"/>
      <c r="V424" s="247"/>
      <c r="W424" s="247"/>
      <c r="X424" s="247"/>
      <c r="Y424" s="247"/>
      <c r="Z424" s="247"/>
    </row>
    <row r="425" ht="127.5" customHeight="1">
      <c r="A425" s="52" t="s">
        <v>727</v>
      </c>
      <c r="B425" s="199" t="s">
        <v>38</v>
      </c>
      <c r="C425" s="60" t="s">
        <v>728</v>
      </c>
      <c r="D425" s="60" t="s">
        <v>729</v>
      </c>
      <c r="E425" s="60" t="s">
        <v>730</v>
      </c>
      <c r="F425" s="60" t="s">
        <v>726</v>
      </c>
      <c r="G425" s="61">
        <v>50.0</v>
      </c>
      <c r="H425" s="62">
        <v>16.67</v>
      </c>
      <c r="I425" s="372" t="s">
        <v>425</v>
      </c>
      <c r="J425" s="247"/>
      <c r="K425" s="247"/>
      <c r="L425" s="247"/>
      <c r="M425" s="247"/>
      <c r="N425" s="247"/>
      <c r="O425" s="247"/>
      <c r="P425" s="247"/>
      <c r="Q425" s="247"/>
      <c r="R425" s="247"/>
      <c r="S425" s="247"/>
      <c r="T425" s="247"/>
      <c r="U425" s="247"/>
      <c r="V425" s="247"/>
      <c r="W425" s="247"/>
      <c r="X425" s="247"/>
      <c r="Y425" s="247"/>
      <c r="Z425" s="247"/>
    </row>
    <row r="426" ht="153.0" customHeight="1">
      <c r="A426" s="52" t="s">
        <v>727</v>
      </c>
      <c r="B426" s="199" t="s">
        <v>38</v>
      </c>
      <c r="C426" s="60" t="s">
        <v>728</v>
      </c>
      <c r="D426" s="60" t="s">
        <v>731</v>
      </c>
      <c r="E426" s="60" t="s">
        <v>732</v>
      </c>
      <c r="F426" s="60" t="s">
        <v>733</v>
      </c>
      <c r="G426" s="61">
        <v>15.0</v>
      </c>
      <c r="H426" s="62">
        <f t="shared" ref="H426:H427" si="19">G426/3</f>
        <v>5</v>
      </c>
      <c r="I426" s="372" t="s">
        <v>425</v>
      </c>
      <c r="J426" s="247"/>
      <c r="K426" s="247"/>
      <c r="L426" s="247"/>
      <c r="M426" s="247"/>
      <c r="N426" s="247"/>
      <c r="O426" s="247"/>
      <c r="P426" s="247"/>
      <c r="Q426" s="247"/>
      <c r="R426" s="247"/>
      <c r="S426" s="247"/>
      <c r="T426" s="247"/>
      <c r="U426" s="247"/>
      <c r="V426" s="247"/>
      <c r="W426" s="247"/>
      <c r="X426" s="247"/>
      <c r="Y426" s="247"/>
      <c r="Z426" s="247"/>
    </row>
    <row r="427" ht="114.75" customHeight="1">
      <c r="A427" s="52" t="s">
        <v>727</v>
      </c>
      <c r="B427" s="199" t="s">
        <v>38</v>
      </c>
      <c r="C427" s="60" t="s">
        <v>728</v>
      </c>
      <c r="D427" s="60" t="s">
        <v>734</v>
      </c>
      <c r="E427" s="60" t="s">
        <v>735</v>
      </c>
      <c r="F427" s="60" t="s">
        <v>733</v>
      </c>
      <c r="G427" s="61">
        <v>15.0</v>
      </c>
      <c r="H427" s="62">
        <f t="shared" si="19"/>
        <v>5</v>
      </c>
      <c r="I427" s="372" t="s">
        <v>425</v>
      </c>
      <c r="J427" s="247"/>
      <c r="K427" s="247"/>
      <c r="L427" s="247"/>
      <c r="M427" s="247"/>
      <c r="N427" s="247"/>
      <c r="O427" s="247"/>
      <c r="P427" s="247"/>
      <c r="Q427" s="247"/>
      <c r="R427" s="247"/>
      <c r="S427" s="247"/>
      <c r="T427" s="247"/>
      <c r="U427" s="247"/>
      <c r="V427" s="247"/>
      <c r="W427" s="247"/>
      <c r="X427" s="247"/>
      <c r="Y427" s="247"/>
      <c r="Z427" s="247"/>
    </row>
    <row r="428" ht="153.0" customHeight="1">
      <c r="A428" s="52" t="s">
        <v>727</v>
      </c>
      <c r="B428" s="199" t="s">
        <v>38</v>
      </c>
      <c r="C428" s="60" t="s">
        <v>728</v>
      </c>
      <c r="D428" s="60" t="s">
        <v>736</v>
      </c>
      <c r="E428" s="60" t="s">
        <v>737</v>
      </c>
      <c r="F428" s="60" t="s">
        <v>738</v>
      </c>
      <c r="G428" s="61">
        <v>50.0</v>
      </c>
      <c r="H428" s="62">
        <v>16.67</v>
      </c>
      <c r="I428" s="372" t="s">
        <v>425</v>
      </c>
      <c r="J428" s="247"/>
      <c r="K428" s="247"/>
      <c r="L428" s="247"/>
      <c r="M428" s="247"/>
      <c r="N428" s="247"/>
      <c r="O428" s="247"/>
      <c r="P428" s="247"/>
      <c r="Q428" s="247"/>
      <c r="R428" s="247"/>
      <c r="S428" s="247"/>
      <c r="T428" s="247"/>
      <c r="U428" s="247"/>
      <c r="V428" s="247"/>
      <c r="W428" s="247"/>
      <c r="X428" s="247"/>
      <c r="Y428" s="247"/>
      <c r="Z428" s="247"/>
    </row>
    <row r="429" ht="165.75" customHeight="1">
      <c r="A429" s="52" t="s">
        <v>739</v>
      </c>
      <c r="B429" s="199" t="s">
        <v>38</v>
      </c>
      <c r="C429" s="60" t="s">
        <v>740</v>
      </c>
      <c r="D429" s="60" t="s">
        <v>741</v>
      </c>
      <c r="E429" s="60" t="s">
        <v>305</v>
      </c>
      <c r="F429" s="60" t="s">
        <v>738</v>
      </c>
      <c r="G429" s="61">
        <v>50.0</v>
      </c>
      <c r="H429" s="62">
        <f t="shared" ref="H429:H430" si="20">G429/2</f>
        <v>25</v>
      </c>
      <c r="I429" s="372" t="s">
        <v>425</v>
      </c>
      <c r="J429" s="247"/>
      <c r="K429" s="247"/>
      <c r="L429" s="247"/>
      <c r="M429" s="247"/>
      <c r="N429" s="247"/>
      <c r="O429" s="247"/>
      <c r="P429" s="247"/>
      <c r="Q429" s="247"/>
      <c r="R429" s="247"/>
      <c r="S429" s="247"/>
      <c r="T429" s="247"/>
      <c r="U429" s="247"/>
      <c r="V429" s="247"/>
      <c r="W429" s="247"/>
      <c r="X429" s="247"/>
      <c r="Y429" s="247"/>
      <c r="Z429" s="247"/>
    </row>
    <row r="430" ht="165.75" customHeight="1">
      <c r="A430" s="52" t="s">
        <v>739</v>
      </c>
      <c r="B430" s="199" t="s">
        <v>38</v>
      </c>
      <c r="C430" s="60" t="s">
        <v>742</v>
      </c>
      <c r="D430" s="60" t="s">
        <v>741</v>
      </c>
      <c r="E430" s="60" t="s">
        <v>305</v>
      </c>
      <c r="F430" s="60" t="s">
        <v>738</v>
      </c>
      <c r="G430" s="61">
        <v>50.0</v>
      </c>
      <c r="H430" s="62">
        <f t="shared" si="20"/>
        <v>25</v>
      </c>
      <c r="I430" s="372" t="s">
        <v>425</v>
      </c>
      <c r="J430" s="247"/>
      <c r="K430" s="247"/>
      <c r="L430" s="247"/>
      <c r="M430" s="247"/>
      <c r="N430" s="247"/>
      <c r="O430" s="247"/>
      <c r="P430" s="247"/>
      <c r="Q430" s="247"/>
      <c r="R430" s="247"/>
      <c r="S430" s="247"/>
      <c r="T430" s="247"/>
      <c r="U430" s="247"/>
      <c r="V430" s="247"/>
      <c r="W430" s="247"/>
      <c r="X430" s="247"/>
      <c r="Y430" s="247"/>
      <c r="Z430" s="247"/>
    </row>
    <row r="431" ht="114.75" customHeight="1">
      <c r="A431" s="52" t="s">
        <v>1913</v>
      </c>
      <c r="B431" s="199" t="s">
        <v>38</v>
      </c>
      <c r="C431" s="60" t="s">
        <v>752</v>
      </c>
      <c r="D431" s="60" t="s">
        <v>753</v>
      </c>
      <c r="E431" s="60" t="s">
        <v>754</v>
      </c>
      <c r="F431" s="60" t="s">
        <v>733</v>
      </c>
      <c r="G431" s="61">
        <v>15.0</v>
      </c>
      <c r="H431" s="62">
        <v>1.88</v>
      </c>
      <c r="I431" s="372" t="s">
        <v>425</v>
      </c>
      <c r="J431" s="247"/>
      <c r="K431" s="247"/>
      <c r="L431" s="247"/>
      <c r="M431" s="247"/>
      <c r="N431" s="247"/>
      <c r="O431" s="247"/>
      <c r="P431" s="247"/>
      <c r="Q431" s="247"/>
      <c r="R431" s="247"/>
      <c r="S431" s="247"/>
      <c r="T431" s="247"/>
      <c r="U431" s="247"/>
      <c r="V431" s="247"/>
      <c r="W431" s="247"/>
      <c r="X431" s="247"/>
      <c r="Y431" s="247"/>
      <c r="Z431" s="247"/>
    </row>
    <row r="432" ht="114.75" customHeight="1">
      <c r="A432" s="57" t="s">
        <v>1914</v>
      </c>
      <c r="B432" s="304" t="s">
        <v>38</v>
      </c>
      <c r="C432" s="64" t="s">
        <v>1915</v>
      </c>
      <c r="D432" s="64" t="s">
        <v>1916</v>
      </c>
      <c r="E432" s="64" t="s">
        <v>1917</v>
      </c>
      <c r="F432" s="60" t="s">
        <v>733</v>
      </c>
      <c r="G432" s="422">
        <v>15.0</v>
      </c>
      <c r="H432" s="372">
        <f t="shared" ref="H432:H433" si="21">G432/6</f>
        <v>2.5</v>
      </c>
      <c r="I432" s="372" t="s">
        <v>425</v>
      </c>
      <c r="J432" s="247"/>
      <c r="K432" s="247"/>
      <c r="L432" s="247"/>
      <c r="M432" s="247"/>
      <c r="N432" s="247"/>
      <c r="O432" s="247"/>
      <c r="P432" s="247"/>
      <c r="Q432" s="247"/>
      <c r="R432" s="247"/>
      <c r="S432" s="247"/>
      <c r="T432" s="247"/>
      <c r="U432" s="247"/>
      <c r="V432" s="247"/>
      <c r="W432" s="247"/>
      <c r="X432" s="247"/>
      <c r="Y432" s="247"/>
      <c r="Z432" s="247"/>
    </row>
    <row r="433" ht="89.25" customHeight="1">
      <c r="A433" s="57" t="s">
        <v>1914</v>
      </c>
      <c r="B433" s="304" t="s">
        <v>38</v>
      </c>
      <c r="C433" s="64" t="s">
        <v>1915</v>
      </c>
      <c r="D433" s="64" t="s">
        <v>1918</v>
      </c>
      <c r="E433" s="64" t="s">
        <v>1919</v>
      </c>
      <c r="F433" s="60" t="s">
        <v>733</v>
      </c>
      <c r="G433" s="422">
        <v>15.0</v>
      </c>
      <c r="H433" s="372">
        <f t="shared" si="21"/>
        <v>2.5</v>
      </c>
      <c r="I433" s="372" t="s">
        <v>425</v>
      </c>
      <c r="J433" s="247"/>
      <c r="K433" s="247"/>
      <c r="L433" s="247"/>
      <c r="M433" s="247"/>
      <c r="N433" s="247"/>
      <c r="O433" s="247"/>
      <c r="P433" s="247"/>
      <c r="Q433" s="247"/>
      <c r="R433" s="247"/>
      <c r="S433" s="247"/>
      <c r="T433" s="247"/>
      <c r="U433" s="247"/>
      <c r="V433" s="247"/>
      <c r="W433" s="247"/>
      <c r="X433" s="247"/>
      <c r="Y433" s="247"/>
      <c r="Z433" s="247"/>
    </row>
    <row r="434" ht="153.0" customHeight="1">
      <c r="A434" s="57" t="s">
        <v>1914</v>
      </c>
      <c r="B434" s="304" t="s">
        <v>38</v>
      </c>
      <c r="C434" s="64" t="s">
        <v>1915</v>
      </c>
      <c r="D434" s="64" t="s">
        <v>1920</v>
      </c>
      <c r="E434" s="64" t="s">
        <v>1921</v>
      </c>
      <c r="F434" s="64" t="s">
        <v>726</v>
      </c>
      <c r="G434" s="422">
        <v>50.0</v>
      </c>
      <c r="H434" s="372">
        <v>8.33</v>
      </c>
      <c r="I434" s="372" t="s">
        <v>425</v>
      </c>
      <c r="J434" s="247"/>
      <c r="K434" s="247"/>
      <c r="L434" s="247"/>
      <c r="M434" s="247"/>
      <c r="N434" s="247"/>
      <c r="O434" s="247"/>
      <c r="P434" s="247"/>
      <c r="Q434" s="247"/>
      <c r="R434" s="247"/>
      <c r="S434" s="247"/>
      <c r="T434" s="247"/>
      <c r="U434" s="247"/>
      <c r="V434" s="247"/>
      <c r="W434" s="247"/>
      <c r="X434" s="247"/>
      <c r="Y434" s="247"/>
      <c r="Z434" s="247"/>
    </row>
    <row r="435" ht="191.25" customHeight="1">
      <c r="A435" s="57" t="s">
        <v>1922</v>
      </c>
      <c r="B435" s="304" t="s">
        <v>38</v>
      </c>
      <c r="C435" s="64" t="s">
        <v>1923</v>
      </c>
      <c r="D435" s="64" t="s">
        <v>1924</v>
      </c>
      <c r="E435" s="64" t="s">
        <v>1925</v>
      </c>
      <c r="F435" s="64" t="s">
        <v>726</v>
      </c>
      <c r="G435" s="422">
        <v>50.0</v>
      </c>
      <c r="H435" s="372">
        <v>7.14</v>
      </c>
      <c r="I435" s="372" t="s">
        <v>425</v>
      </c>
      <c r="J435" s="247"/>
      <c r="K435" s="247"/>
      <c r="L435" s="247"/>
      <c r="M435" s="247"/>
      <c r="N435" s="247"/>
      <c r="O435" s="247"/>
      <c r="P435" s="247"/>
      <c r="Q435" s="247"/>
      <c r="R435" s="247"/>
      <c r="S435" s="247"/>
      <c r="T435" s="247"/>
      <c r="U435" s="247"/>
      <c r="V435" s="247"/>
      <c r="W435" s="247"/>
      <c r="X435" s="247"/>
      <c r="Y435" s="247"/>
      <c r="Z435" s="247"/>
    </row>
    <row r="436" ht="153.0" customHeight="1">
      <c r="A436" s="57" t="s">
        <v>1926</v>
      </c>
      <c r="B436" s="304" t="s">
        <v>38</v>
      </c>
      <c r="C436" s="64" t="s">
        <v>1927</v>
      </c>
      <c r="D436" s="64" t="s">
        <v>1928</v>
      </c>
      <c r="E436" s="64" t="s">
        <v>1929</v>
      </c>
      <c r="F436" s="64" t="s">
        <v>733</v>
      </c>
      <c r="G436" s="422">
        <v>15.0</v>
      </c>
      <c r="H436" s="372">
        <v>2.14</v>
      </c>
      <c r="I436" s="372" t="s">
        <v>425</v>
      </c>
      <c r="J436" s="247"/>
      <c r="K436" s="247"/>
      <c r="L436" s="247"/>
      <c r="M436" s="247"/>
      <c r="N436" s="247"/>
      <c r="O436" s="247"/>
      <c r="P436" s="247"/>
      <c r="Q436" s="247"/>
      <c r="R436" s="247"/>
      <c r="S436" s="247"/>
      <c r="T436" s="247"/>
      <c r="U436" s="247"/>
      <c r="V436" s="247"/>
      <c r="W436" s="247"/>
      <c r="X436" s="247"/>
      <c r="Y436" s="247"/>
      <c r="Z436" s="247"/>
    </row>
    <row r="437" ht="127.5" customHeight="1">
      <c r="A437" s="57" t="s">
        <v>1926</v>
      </c>
      <c r="B437" s="304" t="s">
        <v>38</v>
      </c>
      <c r="C437" s="64" t="s">
        <v>1927</v>
      </c>
      <c r="D437" s="64" t="s">
        <v>1930</v>
      </c>
      <c r="E437" s="64" t="s">
        <v>1931</v>
      </c>
      <c r="F437" s="64" t="s">
        <v>733</v>
      </c>
      <c r="G437" s="422">
        <v>15.0</v>
      </c>
      <c r="H437" s="372">
        <v>2.14</v>
      </c>
      <c r="I437" s="372" t="s">
        <v>425</v>
      </c>
      <c r="J437" s="247"/>
      <c r="K437" s="247"/>
      <c r="L437" s="247"/>
      <c r="M437" s="247"/>
      <c r="N437" s="247"/>
      <c r="O437" s="247"/>
      <c r="P437" s="247"/>
      <c r="Q437" s="247"/>
      <c r="R437" s="247"/>
      <c r="S437" s="247"/>
      <c r="T437" s="247"/>
      <c r="U437" s="247"/>
      <c r="V437" s="247"/>
      <c r="W437" s="247"/>
      <c r="X437" s="247"/>
      <c r="Y437" s="247"/>
      <c r="Z437" s="247"/>
    </row>
    <row r="438" ht="89.25" customHeight="1">
      <c r="A438" s="57" t="s">
        <v>1932</v>
      </c>
      <c r="B438" s="304"/>
      <c r="C438" s="64" t="s">
        <v>1933</v>
      </c>
      <c r="D438" s="64" t="s">
        <v>1934</v>
      </c>
      <c r="E438" s="64" t="s">
        <v>1935</v>
      </c>
      <c r="F438" s="64" t="s">
        <v>733</v>
      </c>
      <c r="G438" s="422">
        <v>15.0</v>
      </c>
      <c r="H438" s="372">
        <f>G438/3</f>
        <v>5</v>
      </c>
      <c r="I438" s="372" t="s">
        <v>425</v>
      </c>
      <c r="J438" s="247"/>
      <c r="K438" s="247"/>
      <c r="L438" s="247"/>
      <c r="M438" s="247"/>
      <c r="N438" s="247"/>
      <c r="O438" s="247"/>
      <c r="P438" s="247"/>
      <c r="Q438" s="247"/>
      <c r="R438" s="247"/>
      <c r="S438" s="247"/>
      <c r="T438" s="247"/>
      <c r="U438" s="247"/>
      <c r="V438" s="247"/>
      <c r="W438" s="247"/>
      <c r="X438" s="247"/>
      <c r="Y438" s="247"/>
      <c r="Z438" s="247"/>
    </row>
    <row r="439" ht="195.0" customHeight="1">
      <c r="A439" s="423" t="s">
        <v>427</v>
      </c>
      <c r="B439" s="424" t="s">
        <v>38</v>
      </c>
      <c r="C439" s="98" t="s">
        <v>1936</v>
      </c>
      <c r="D439" s="98" t="s">
        <v>1937</v>
      </c>
      <c r="E439" s="165" t="s">
        <v>1938</v>
      </c>
      <c r="F439" s="121" t="s">
        <v>726</v>
      </c>
      <c r="G439" s="234">
        <v>50.0</v>
      </c>
      <c r="H439" s="235">
        <v>50.0</v>
      </c>
      <c r="I439" s="372" t="s">
        <v>427</v>
      </c>
      <c r="J439" s="247"/>
      <c r="K439" s="247"/>
      <c r="L439" s="247"/>
      <c r="M439" s="247"/>
      <c r="N439" s="247"/>
      <c r="O439" s="247"/>
      <c r="P439" s="247"/>
      <c r="Q439" s="247"/>
      <c r="R439" s="247"/>
      <c r="S439" s="247"/>
      <c r="T439" s="247"/>
      <c r="U439" s="247"/>
      <c r="V439" s="247"/>
      <c r="W439" s="247"/>
      <c r="X439" s="247"/>
      <c r="Y439" s="247"/>
      <c r="Z439" s="247"/>
    </row>
    <row r="440" ht="204.0" customHeight="1">
      <c r="A440" s="423" t="s">
        <v>427</v>
      </c>
      <c r="B440" s="424" t="s">
        <v>38</v>
      </c>
      <c r="C440" s="98" t="s">
        <v>1939</v>
      </c>
      <c r="D440" s="98" t="s">
        <v>1940</v>
      </c>
      <c r="E440" s="165" t="s">
        <v>305</v>
      </c>
      <c r="F440" s="121" t="s">
        <v>726</v>
      </c>
      <c r="G440" s="234">
        <v>50.0</v>
      </c>
      <c r="H440" s="235">
        <v>50.0</v>
      </c>
      <c r="I440" s="372" t="s">
        <v>427</v>
      </c>
      <c r="J440" s="247"/>
      <c r="K440" s="247"/>
      <c r="L440" s="247"/>
      <c r="M440" s="247"/>
      <c r="N440" s="247"/>
      <c r="O440" s="247"/>
      <c r="P440" s="247"/>
      <c r="Q440" s="247"/>
      <c r="R440" s="247"/>
      <c r="S440" s="247"/>
      <c r="T440" s="247"/>
      <c r="U440" s="247"/>
      <c r="V440" s="247"/>
      <c r="W440" s="247"/>
      <c r="X440" s="247"/>
      <c r="Y440" s="247"/>
      <c r="Z440" s="247"/>
    </row>
    <row r="441" ht="127.5" customHeight="1">
      <c r="A441" s="423" t="s">
        <v>427</v>
      </c>
      <c r="B441" s="424" t="s">
        <v>38</v>
      </c>
      <c r="C441" s="98" t="s">
        <v>1941</v>
      </c>
      <c r="D441" s="98" t="s">
        <v>1942</v>
      </c>
      <c r="E441" s="165" t="s">
        <v>1943</v>
      </c>
      <c r="F441" s="121" t="s">
        <v>1944</v>
      </c>
      <c r="G441" s="234">
        <v>15.0</v>
      </c>
      <c r="H441" s="235">
        <v>15.0</v>
      </c>
      <c r="I441" s="372" t="s">
        <v>427</v>
      </c>
      <c r="J441" s="247"/>
      <c r="K441" s="247"/>
      <c r="L441" s="247"/>
      <c r="M441" s="247"/>
      <c r="N441" s="247"/>
      <c r="O441" s="247"/>
      <c r="P441" s="247"/>
      <c r="Q441" s="247"/>
      <c r="R441" s="247"/>
      <c r="S441" s="247"/>
      <c r="T441" s="247"/>
      <c r="U441" s="247"/>
      <c r="V441" s="247"/>
      <c r="W441" s="247"/>
      <c r="X441" s="247"/>
      <c r="Y441" s="247"/>
      <c r="Z441" s="247"/>
    </row>
    <row r="442" ht="153.0" customHeight="1">
      <c r="A442" s="423" t="s">
        <v>427</v>
      </c>
      <c r="B442" s="424"/>
      <c r="C442" s="98" t="s">
        <v>1945</v>
      </c>
      <c r="D442" s="98" t="s">
        <v>1946</v>
      </c>
      <c r="E442" s="165" t="s">
        <v>1947</v>
      </c>
      <c r="F442" s="121" t="s">
        <v>1948</v>
      </c>
      <c r="G442" s="234">
        <v>15.0</v>
      </c>
      <c r="H442" s="235">
        <v>15.0</v>
      </c>
      <c r="I442" s="372" t="s">
        <v>427</v>
      </c>
      <c r="J442" s="247"/>
      <c r="K442" s="247"/>
      <c r="L442" s="247"/>
      <c r="M442" s="247"/>
      <c r="N442" s="247"/>
      <c r="O442" s="247"/>
      <c r="P442" s="247"/>
      <c r="Q442" s="247"/>
      <c r="R442" s="247"/>
      <c r="S442" s="247"/>
      <c r="T442" s="247"/>
      <c r="U442" s="247"/>
      <c r="V442" s="247"/>
      <c r="W442" s="247"/>
      <c r="X442" s="247"/>
      <c r="Y442" s="247"/>
      <c r="Z442" s="247"/>
    </row>
    <row r="443" ht="178.5" customHeight="1">
      <c r="A443" s="52" t="s">
        <v>671</v>
      </c>
      <c r="B443" s="199" t="s">
        <v>38</v>
      </c>
      <c r="C443" s="60" t="s">
        <v>1949</v>
      </c>
      <c r="D443" s="60" t="s">
        <v>1950</v>
      </c>
      <c r="E443" s="165" t="s">
        <v>1951</v>
      </c>
      <c r="F443" s="60" t="s">
        <v>726</v>
      </c>
      <c r="G443" s="61">
        <v>50.0</v>
      </c>
      <c r="H443" s="62">
        <v>50.0</v>
      </c>
      <c r="I443" s="372" t="s">
        <v>146</v>
      </c>
      <c r="J443" s="247"/>
      <c r="K443" s="247"/>
      <c r="L443" s="247"/>
      <c r="M443" s="247"/>
      <c r="N443" s="247"/>
      <c r="O443" s="247"/>
      <c r="P443" s="247"/>
      <c r="Q443" s="247"/>
      <c r="R443" s="247"/>
      <c r="S443" s="247"/>
      <c r="T443" s="247"/>
      <c r="U443" s="247"/>
      <c r="V443" s="247"/>
      <c r="W443" s="247"/>
      <c r="X443" s="247"/>
      <c r="Y443" s="247"/>
      <c r="Z443" s="247"/>
    </row>
    <row r="444" ht="255.0" customHeight="1">
      <c r="A444" s="52" t="s">
        <v>671</v>
      </c>
      <c r="B444" s="199" t="s">
        <v>38</v>
      </c>
      <c r="C444" s="60" t="s">
        <v>1952</v>
      </c>
      <c r="D444" s="60" t="s">
        <v>1953</v>
      </c>
      <c r="E444" s="165" t="s">
        <v>1954</v>
      </c>
      <c r="F444" s="60" t="s">
        <v>726</v>
      </c>
      <c r="G444" s="61">
        <v>50.0</v>
      </c>
      <c r="H444" s="62">
        <v>50.0</v>
      </c>
      <c r="I444" s="372" t="s">
        <v>146</v>
      </c>
      <c r="J444" s="247"/>
      <c r="K444" s="247"/>
      <c r="L444" s="247"/>
      <c r="M444" s="247"/>
      <c r="N444" s="247"/>
      <c r="O444" s="247"/>
      <c r="P444" s="247"/>
      <c r="Q444" s="247"/>
      <c r="R444" s="247"/>
      <c r="S444" s="247"/>
      <c r="T444" s="247"/>
      <c r="U444" s="247"/>
      <c r="V444" s="247"/>
      <c r="W444" s="247"/>
      <c r="X444" s="247"/>
      <c r="Y444" s="247"/>
      <c r="Z444" s="247"/>
    </row>
    <row r="445" ht="76.5" customHeight="1">
      <c r="A445" s="410" t="s">
        <v>1955</v>
      </c>
      <c r="B445" s="199" t="s">
        <v>38</v>
      </c>
      <c r="C445" s="199" t="s">
        <v>1956</v>
      </c>
      <c r="D445" s="425" t="s">
        <v>1957</v>
      </c>
      <c r="E445" s="274" t="s">
        <v>1958</v>
      </c>
      <c r="F445" s="60"/>
      <c r="G445" s="61">
        <v>15.0</v>
      </c>
      <c r="H445" s="62">
        <v>7.5</v>
      </c>
      <c r="I445" s="372" t="s">
        <v>485</v>
      </c>
      <c r="J445" s="247"/>
      <c r="K445" s="247"/>
      <c r="L445" s="247"/>
      <c r="M445" s="247"/>
      <c r="N445" s="247"/>
      <c r="O445" s="247"/>
      <c r="P445" s="247"/>
      <c r="Q445" s="247"/>
      <c r="R445" s="247"/>
      <c r="S445" s="247"/>
      <c r="T445" s="247"/>
      <c r="U445" s="247"/>
      <c r="V445" s="247"/>
      <c r="W445" s="247"/>
      <c r="X445" s="247"/>
      <c r="Y445" s="247"/>
      <c r="Z445" s="247"/>
    </row>
    <row r="446" ht="140.25" customHeight="1">
      <c r="A446" s="410" t="s">
        <v>1959</v>
      </c>
      <c r="B446" s="199" t="s">
        <v>38</v>
      </c>
      <c r="C446" s="199" t="s">
        <v>1960</v>
      </c>
      <c r="D446" s="199" t="s">
        <v>1961</v>
      </c>
      <c r="E446" s="274" t="s">
        <v>1962</v>
      </c>
      <c r="F446" s="60" t="s">
        <v>726</v>
      </c>
      <c r="G446" s="61">
        <v>50.0</v>
      </c>
      <c r="H446" s="62">
        <v>25.0</v>
      </c>
      <c r="I446" s="372" t="s">
        <v>485</v>
      </c>
      <c r="J446" s="247"/>
      <c r="K446" s="247"/>
      <c r="L446" s="247"/>
      <c r="M446" s="247"/>
      <c r="N446" s="247"/>
      <c r="O446" s="247"/>
      <c r="P446" s="247"/>
      <c r="Q446" s="247"/>
      <c r="R446" s="247"/>
      <c r="S446" s="247"/>
      <c r="T446" s="247"/>
      <c r="U446" s="247"/>
      <c r="V446" s="247"/>
      <c r="W446" s="247"/>
      <c r="X446" s="247"/>
      <c r="Y446" s="247"/>
      <c r="Z446" s="247"/>
    </row>
    <row r="447" ht="114.75" customHeight="1">
      <c r="A447" s="410" t="s">
        <v>1959</v>
      </c>
      <c r="B447" s="199" t="s">
        <v>38</v>
      </c>
      <c r="C447" s="199" t="s">
        <v>1960</v>
      </c>
      <c r="D447" s="199" t="s">
        <v>1963</v>
      </c>
      <c r="E447" s="274" t="s">
        <v>1964</v>
      </c>
      <c r="F447" s="345" t="s">
        <v>1965</v>
      </c>
      <c r="G447" s="61">
        <v>15.0</v>
      </c>
      <c r="H447" s="62">
        <v>5.0</v>
      </c>
      <c r="I447" s="372" t="s">
        <v>485</v>
      </c>
      <c r="J447" s="247"/>
      <c r="K447" s="247"/>
      <c r="L447" s="247"/>
      <c r="M447" s="247"/>
      <c r="N447" s="247"/>
      <c r="O447" s="247"/>
      <c r="P447" s="247"/>
      <c r="Q447" s="247"/>
      <c r="R447" s="247"/>
      <c r="S447" s="247"/>
      <c r="T447" s="247"/>
      <c r="U447" s="247"/>
      <c r="V447" s="247"/>
      <c r="W447" s="247"/>
      <c r="X447" s="247"/>
      <c r="Y447" s="247"/>
      <c r="Z447" s="247"/>
    </row>
    <row r="448" ht="114.75" customHeight="1">
      <c r="A448" s="410" t="s">
        <v>1966</v>
      </c>
      <c r="B448" s="199" t="s">
        <v>38</v>
      </c>
      <c r="C448" s="199" t="s">
        <v>1960</v>
      </c>
      <c r="D448" s="199" t="s">
        <v>1967</v>
      </c>
      <c r="E448" s="274" t="s">
        <v>1968</v>
      </c>
      <c r="F448" s="60" t="s">
        <v>1969</v>
      </c>
      <c r="G448" s="61">
        <v>15.0</v>
      </c>
      <c r="H448" s="62">
        <v>5.0</v>
      </c>
      <c r="I448" s="372" t="s">
        <v>485</v>
      </c>
      <c r="J448" s="247"/>
      <c r="K448" s="247"/>
      <c r="L448" s="247"/>
      <c r="M448" s="247"/>
      <c r="N448" s="247"/>
      <c r="O448" s="247"/>
      <c r="P448" s="247"/>
      <c r="Q448" s="247"/>
      <c r="R448" s="247"/>
      <c r="S448" s="247"/>
      <c r="T448" s="247"/>
      <c r="U448" s="247"/>
      <c r="V448" s="247"/>
      <c r="W448" s="247"/>
      <c r="X448" s="247"/>
      <c r="Y448" s="247"/>
      <c r="Z448" s="247"/>
    </row>
    <row r="449" ht="89.25" customHeight="1">
      <c r="A449" s="410" t="s">
        <v>1959</v>
      </c>
      <c r="B449" s="199" t="s">
        <v>38</v>
      </c>
      <c r="C449" s="199" t="s">
        <v>1960</v>
      </c>
      <c r="D449" s="199" t="s">
        <v>1970</v>
      </c>
      <c r="E449" s="345"/>
      <c r="F449" s="60" t="s">
        <v>1971</v>
      </c>
      <c r="G449" s="61">
        <v>15.0</v>
      </c>
      <c r="H449" s="62">
        <v>5.0</v>
      </c>
      <c r="I449" s="372" t="s">
        <v>485</v>
      </c>
      <c r="J449" s="247"/>
      <c r="K449" s="247"/>
      <c r="L449" s="247"/>
      <c r="M449" s="247"/>
      <c r="N449" s="247"/>
      <c r="O449" s="247"/>
      <c r="P449" s="247"/>
      <c r="Q449" s="247"/>
      <c r="R449" s="247"/>
      <c r="S449" s="247"/>
      <c r="T449" s="247"/>
      <c r="U449" s="247"/>
      <c r="V449" s="247"/>
      <c r="W449" s="247"/>
      <c r="X449" s="247"/>
      <c r="Y449" s="247"/>
      <c r="Z449" s="247"/>
    </row>
    <row r="450" ht="140.25" customHeight="1">
      <c r="A450" s="410" t="s">
        <v>1959</v>
      </c>
      <c r="B450" s="199" t="s">
        <v>38</v>
      </c>
      <c r="C450" s="199" t="s">
        <v>1960</v>
      </c>
      <c r="D450" s="199" t="s">
        <v>1972</v>
      </c>
      <c r="E450" s="274" t="s">
        <v>1973</v>
      </c>
      <c r="F450" s="60" t="s">
        <v>1974</v>
      </c>
      <c r="G450" s="61">
        <v>15.0</v>
      </c>
      <c r="H450" s="62">
        <v>5.0</v>
      </c>
      <c r="I450" s="372" t="s">
        <v>485</v>
      </c>
      <c r="J450" s="247"/>
      <c r="K450" s="247"/>
      <c r="L450" s="247"/>
      <c r="M450" s="247"/>
      <c r="N450" s="247"/>
      <c r="O450" s="247"/>
      <c r="P450" s="247"/>
      <c r="Q450" s="247"/>
      <c r="R450" s="247"/>
      <c r="S450" s="247"/>
      <c r="T450" s="247"/>
      <c r="U450" s="247"/>
      <c r="V450" s="247"/>
      <c r="W450" s="247"/>
      <c r="X450" s="247"/>
      <c r="Y450" s="247"/>
      <c r="Z450" s="247"/>
    </row>
    <row r="451" ht="76.5" customHeight="1">
      <c r="A451" s="410" t="s">
        <v>1975</v>
      </c>
      <c r="B451" s="426" t="s">
        <v>38</v>
      </c>
      <c r="C451" s="425" t="s">
        <v>1976</v>
      </c>
      <c r="D451" s="199" t="s">
        <v>1977</v>
      </c>
      <c r="E451" s="274" t="s">
        <v>1978</v>
      </c>
      <c r="F451" s="60"/>
      <c r="G451" s="61">
        <v>15.0</v>
      </c>
      <c r="H451" s="62">
        <v>7.5</v>
      </c>
      <c r="I451" s="372" t="s">
        <v>485</v>
      </c>
      <c r="J451" s="247"/>
      <c r="K451" s="247"/>
      <c r="L451" s="247"/>
      <c r="M451" s="247"/>
      <c r="N451" s="247"/>
      <c r="O451" s="247"/>
      <c r="P451" s="247"/>
      <c r="Q451" s="247"/>
      <c r="R451" s="247"/>
      <c r="S451" s="247"/>
      <c r="T451" s="247"/>
      <c r="U451" s="247"/>
      <c r="V451" s="247"/>
      <c r="W451" s="247"/>
      <c r="X451" s="247"/>
      <c r="Y451" s="247"/>
      <c r="Z451" s="247"/>
    </row>
    <row r="452" ht="76.5" customHeight="1">
      <c r="A452" s="427" t="s">
        <v>1975</v>
      </c>
      <c r="B452" s="199" t="s">
        <v>38</v>
      </c>
      <c r="C452" s="237" t="s">
        <v>1976</v>
      </c>
      <c r="D452" s="426" t="s">
        <v>1979</v>
      </c>
      <c r="E452" s="345" t="s">
        <v>1980</v>
      </c>
      <c r="F452" s="60"/>
      <c r="G452" s="61">
        <v>15.0</v>
      </c>
      <c r="H452" s="62">
        <v>7.5</v>
      </c>
      <c r="I452" s="372" t="s">
        <v>485</v>
      </c>
      <c r="J452" s="247"/>
      <c r="K452" s="247"/>
      <c r="L452" s="247"/>
      <c r="M452" s="247"/>
      <c r="N452" s="247"/>
      <c r="O452" s="247"/>
      <c r="P452" s="247"/>
      <c r="Q452" s="247"/>
      <c r="R452" s="247"/>
      <c r="S452" s="247"/>
      <c r="T452" s="247"/>
      <c r="U452" s="247"/>
      <c r="V452" s="247"/>
      <c r="W452" s="247"/>
      <c r="X452" s="247"/>
      <c r="Y452" s="247"/>
      <c r="Z452" s="247"/>
    </row>
    <row r="453" ht="89.25" customHeight="1">
      <c r="A453" s="427" t="s">
        <v>1981</v>
      </c>
      <c r="B453" s="199" t="s">
        <v>38</v>
      </c>
      <c r="C453" s="237" t="s">
        <v>1982</v>
      </c>
      <c r="D453" s="199" t="s">
        <v>1983</v>
      </c>
      <c r="E453" s="345" t="s">
        <v>1984</v>
      </c>
      <c r="F453" s="60" t="s">
        <v>726</v>
      </c>
      <c r="G453" s="61">
        <v>50.0</v>
      </c>
      <c r="H453" s="62">
        <v>25.0</v>
      </c>
      <c r="I453" s="372" t="s">
        <v>485</v>
      </c>
      <c r="J453" s="247"/>
      <c r="K453" s="247"/>
      <c r="L453" s="247"/>
      <c r="M453" s="247"/>
      <c r="N453" s="247"/>
      <c r="O453" s="247"/>
      <c r="P453" s="247"/>
      <c r="Q453" s="247"/>
      <c r="R453" s="247"/>
      <c r="S453" s="247"/>
      <c r="T453" s="247"/>
      <c r="U453" s="247"/>
      <c r="V453" s="247"/>
      <c r="W453" s="247"/>
      <c r="X453" s="247"/>
      <c r="Y453" s="247"/>
      <c r="Z453" s="247"/>
    </row>
    <row r="454" ht="76.5" customHeight="1">
      <c r="A454" s="410" t="s">
        <v>1985</v>
      </c>
      <c r="B454" s="199" t="s">
        <v>1986</v>
      </c>
      <c r="C454" s="60" t="s">
        <v>1987</v>
      </c>
      <c r="D454" s="60" t="s">
        <v>1988</v>
      </c>
      <c r="E454" s="345" t="s">
        <v>1989</v>
      </c>
      <c r="F454" s="60" t="s">
        <v>1990</v>
      </c>
      <c r="G454" s="61">
        <v>15.0</v>
      </c>
      <c r="H454" s="62">
        <v>5.0</v>
      </c>
      <c r="I454" s="372" t="s">
        <v>485</v>
      </c>
      <c r="J454" s="247"/>
      <c r="K454" s="247"/>
      <c r="L454" s="247"/>
      <c r="M454" s="247"/>
      <c r="N454" s="247"/>
      <c r="O454" s="247"/>
      <c r="P454" s="247"/>
      <c r="Q454" s="247"/>
      <c r="R454" s="247"/>
      <c r="S454" s="247"/>
      <c r="T454" s="247"/>
      <c r="U454" s="247"/>
      <c r="V454" s="247"/>
      <c r="W454" s="247"/>
      <c r="X454" s="247"/>
      <c r="Y454" s="247"/>
      <c r="Z454" s="247"/>
    </row>
    <row r="455" ht="153.0" customHeight="1">
      <c r="A455" s="427" t="s">
        <v>1975</v>
      </c>
      <c r="B455" s="199" t="s">
        <v>38</v>
      </c>
      <c r="C455" s="237" t="s">
        <v>1991</v>
      </c>
      <c r="D455" s="199" t="s">
        <v>1992</v>
      </c>
      <c r="E455" s="345" t="s">
        <v>1993</v>
      </c>
      <c r="F455" s="60"/>
      <c r="G455" s="61">
        <v>15.0</v>
      </c>
      <c r="H455" s="62">
        <v>7.5</v>
      </c>
      <c r="I455" s="372" t="s">
        <v>485</v>
      </c>
      <c r="J455" s="247"/>
      <c r="K455" s="247"/>
      <c r="L455" s="247"/>
      <c r="M455" s="247"/>
      <c r="N455" s="247"/>
      <c r="O455" s="247"/>
      <c r="P455" s="247"/>
      <c r="Q455" s="247"/>
      <c r="R455" s="247"/>
      <c r="S455" s="247"/>
      <c r="T455" s="247"/>
      <c r="U455" s="247"/>
      <c r="V455" s="247"/>
      <c r="W455" s="247"/>
      <c r="X455" s="247"/>
      <c r="Y455" s="247"/>
      <c r="Z455" s="247"/>
    </row>
    <row r="456" ht="76.5" customHeight="1">
      <c r="A456" s="410" t="s">
        <v>1994</v>
      </c>
      <c r="B456" s="199" t="s">
        <v>1986</v>
      </c>
      <c r="C456" s="60" t="s">
        <v>1995</v>
      </c>
      <c r="D456" s="60" t="s">
        <v>1996</v>
      </c>
      <c r="E456" s="345" t="s">
        <v>1997</v>
      </c>
      <c r="F456" s="60"/>
      <c r="G456" s="61">
        <v>15.0</v>
      </c>
      <c r="H456" s="62" t="s">
        <v>1998</v>
      </c>
      <c r="I456" s="372" t="s">
        <v>485</v>
      </c>
      <c r="J456" s="247"/>
      <c r="K456" s="247"/>
      <c r="L456" s="247"/>
      <c r="M456" s="247"/>
      <c r="N456" s="247"/>
      <c r="O456" s="247"/>
      <c r="P456" s="247"/>
      <c r="Q456" s="247"/>
      <c r="R456" s="247"/>
      <c r="S456" s="247"/>
      <c r="T456" s="247"/>
      <c r="U456" s="247"/>
      <c r="V456" s="247"/>
      <c r="W456" s="247"/>
      <c r="X456" s="247"/>
      <c r="Y456" s="247"/>
      <c r="Z456" s="247"/>
    </row>
    <row r="457" ht="76.5" customHeight="1">
      <c r="A457" s="36" t="s">
        <v>1994</v>
      </c>
      <c r="B457" s="199" t="s">
        <v>38</v>
      </c>
      <c r="C457" s="60" t="s">
        <v>1999</v>
      </c>
      <c r="D457" s="60" t="s">
        <v>2000</v>
      </c>
      <c r="E457" s="345" t="s">
        <v>1984</v>
      </c>
      <c r="F457" s="60" t="s">
        <v>726</v>
      </c>
      <c r="G457" s="61">
        <v>50.0</v>
      </c>
      <c r="H457" s="62">
        <v>25.0</v>
      </c>
      <c r="I457" s="372" t="s">
        <v>485</v>
      </c>
      <c r="J457" s="247"/>
      <c r="K457" s="247"/>
      <c r="L457" s="247"/>
      <c r="M457" s="247"/>
      <c r="N457" s="247"/>
      <c r="O457" s="247"/>
      <c r="P457" s="247"/>
      <c r="Q457" s="247"/>
      <c r="R457" s="247"/>
      <c r="S457" s="247"/>
      <c r="T457" s="247"/>
      <c r="U457" s="247"/>
      <c r="V457" s="247"/>
      <c r="W457" s="247"/>
      <c r="X457" s="247"/>
      <c r="Y457" s="247"/>
      <c r="Z457" s="247"/>
    </row>
    <row r="458" ht="63.75" customHeight="1">
      <c r="A458" s="52" t="s">
        <v>2001</v>
      </c>
      <c r="B458" s="199" t="s">
        <v>38</v>
      </c>
      <c r="C458" s="52" t="s">
        <v>2002</v>
      </c>
      <c r="D458" s="60" t="s">
        <v>2003</v>
      </c>
      <c r="E458" s="345" t="s">
        <v>2004</v>
      </c>
      <c r="F458" s="345" t="s">
        <v>2004</v>
      </c>
      <c r="G458" s="61">
        <v>15.0</v>
      </c>
      <c r="H458" s="62">
        <v>5.0</v>
      </c>
      <c r="I458" s="372" t="s">
        <v>485</v>
      </c>
      <c r="J458" s="247"/>
      <c r="K458" s="247"/>
      <c r="L458" s="247"/>
      <c r="M458" s="247"/>
      <c r="N458" s="247"/>
      <c r="O458" s="247"/>
      <c r="P458" s="247"/>
      <c r="Q458" s="247"/>
      <c r="R458" s="247"/>
      <c r="S458" s="247"/>
      <c r="T458" s="247"/>
      <c r="U458" s="247"/>
      <c r="V458" s="247"/>
      <c r="W458" s="247"/>
      <c r="X458" s="247"/>
      <c r="Y458" s="247"/>
      <c r="Z458" s="247"/>
    </row>
    <row r="459" ht="51.0" customHeight="1">
      <c r="A459" s="36" t="s">
        <v>1955</v>
      </c>
      <c r="B459" s="199" t="s">
        <v>38</v>
      </c>
      <c r="C459" s="60" t="s">
        <v>2005</v>
      </c>
      <c r="D459" s="60" t="s">
        <v>2006</v>
      </c>
      <c r="E459" s="60" t="s">
        <v>2007</v>
      </c>
      <c r="F459" s="60"/>
      <c r="G459" s="61">
        <v>15.0</v>
      </c>
      <c r="H459" s="62">
        <v>7.5</v>
      </c>
      <c r="I459" s="372" t="s">
        <v>485</v>
      </c>
      <c r="J459" s="247"/>
      <c r="K459" s="247"/>
      <c r="L459" s="247"/>
      <c r="M459" s="247"/>
      <c r="N459" s="247"/>
      <c r="O459" s="247"/>
      <c r="P459" s="247"/>
      <c r="Q459" s="247"/>
      <c r="R459" s="247"/>
      <c r="S459" s="247"/>
      <c r="T459" s="247"/>
      <c r="U459" s="247"/>
      <c r="V459" s="247"/>
      <c r="W459" s="247"/>
      <c r="X459" s="247"/>
      <c r="Y459" s="247"/>
      <c r="Z459" s="247"/>
    </row>
    <row r="460" ht="146.25" customHeight="1">
      <c r="A460" s="428" t="s">
        <v>2008</v>
      </c>
      <c r="B460" s="429" t="s">
        <v>38</v>
      </c>
      <c r="C460" s="428" t="s">
        <v>2009</v>
      </c>
      <c r="D460" s="430" t="s">
        <v>2010</v>
      </c>
      <c r="E460" s="239" t="s">
        <v>2011</v>
      </c>
      <c r="F460" s="430" t="s">
        <v>2012</v>
      </c>
      <c r="G460" s="431">
        <v>15.0</v>
      </c>
      <c r="H460" s="432">
        <v>5.0</v>
      </c>
      <c r="I460" s="372" t="s">
        <v>167</v>
      </c>
      <c r="J460" s="247"/>
      <c r="K460" s="247"/>
      <c r="L460" s="247"/>
      <c r="M460" s="247"/>
      <c r="N460" s="247"/>
      <c r="O460" s="247"/>
      <c r="P460" s="247"/>
      <c r="Q460" s="247"/>
      <c r="R460" s="247"/>
      <c r="S460" s="247"/>
      <c r="T460" s="247"/>
      <c r="U460" s="247"/>
      <c r="V460" s="247"/>
      <c r="W460" s="247"/>
      <c r="X460" s="247"/>
      <c r="Y460" s="247"/>
      <c r="Z460" s="247"/>
    </row>
    <row r="461" ht="112.5" customHeight="1">
      <c r="A461" s="430" t="s">
        <v>2013</v>
      </c>
      <c r="B461" s="429" t="s">
        <v>38</v>
      </c>
      <c r="C461" s="430" t="s">
        <v>2014</v>
      </c>
      <c r="D461" s="430" t="s">
        <v>2015</v>
      </c>
      <c r="E461" s="70" t="s">
        <v>2016</v>
      </c>
      <c r="F461" s="433" t="s">
        <v>1587</v>
      </c>
      <c r="G461" s="431">
        <v>15.0</v>
      </c>
      <c r="H461" s="432">
        <v>3.75</v>
      </c>
      <c r="I461" s="372" t="s">
        <v>167</v>
      </c>
      <c r="J461" s="247"/>
      <c r="K461" s="247"/>
      <c r="L461" s="247"/>
      <c r="M461" s="247"/>
      <c r="N461" s="247"/>
      <c r="O461" s="247"/>
      <c r="P461" s="247"/>
      <c r="Q461" s="247"/>
      <c r="R461" s="247"/>
      <c r="S461" s="247"/>
      <c r="T461" s="247"/>
      <c r="U461" s="247"/>
      <c r="V461" s="247"/>
      <c r="W461" s="247"/>
      <c r="X461" s="247"/>
      <c r="Y461" s="247"/>
      <c r="Z461" s="247"/>
    </row>
    <row r="462" ht="370.5" customHeight="1">
      <c r="A462" s="52" t="s">
        <v>2017</v>
      </c>
      <c r="B462" s="429" t="s">
        <v>38</v>
      </c>
      <c r="C462" s="171" t="s">
        <v>2018</v>
      </c>
      <c r="D462" s="434" t="s">
        <v>2019</v>
      </c>
      <c r="E462" s="70" t="s">
        <v>2020</v>
      </c>
      <c r="F462" s="433" t="s">
        <v>2021</v>
      </c>
      <c r="G462" s="431">
        <v>50.0</v>
      </c>
      <c r="H462" s="432">
        <v>12.5</v>
      </c>
      <c r="I462" s="372" t="s">
        <v>167</v>
      </c>
      <c r="J462" s="247"/>
      <c r="K462" s="247"/>
      <c r="L462" s="247"/>
      <c r="M462" s="247"/>
      <c r="N462" s="247"/>
      <c r="O462" s="247"/>
      <c r="P462" s="247"/>
      <c r="Q462" s="247"/>
      <c r="R462" s="247"/>
      <c r="S462" s="247"/>
      <c r="T462" s="247"/>
      <c r="U462" s="247"/>
      <c r="V462" s="247"/>
      <c r="W462" s="247"/>
      <c r="X462" s="247"/>
      <c r="Y462" s="247"/>
      <c r="Z462" s="247"/>
    </row>
    <row r="463" ht="255.0" customHeight="1">
      <c r="A463" s="184" t="s">
        <v>2017</v>
      </c>
      <c r="B463" s="182" t="s">
        <v>38</v>
      </c>
      <c r="C463" s="361" t="s">
        <v>2022</v>
      </c>
      <c r="D463" s="435" t="s">
        <v>2023</v>
      </c>
      <c r="E463" s="165" t="s">
        <v>2024</v>
      </c>
      <c r="F463" s="436" t="s">
        <v>2025</v>
      </c>
      <c r="G463" s="437">
        <v>50.0</v>
      </c>
      <c r="H463" s="395">
        <v>12.5</v>
      </c>
      <c r="I463" s="372" t="s">
        <v>167</v>
      </c>
      <c r="J463" s="247"/>
      <c r="K463" s="247"/>
      <c r="L463" s="247"/>
      <c r="M463" s="247"/>
      <c r="N463" s="247"/>
      <c r="O463" s="247"/>
      <c r="P463" s="247"/>
      <c r="Q463" s="247"/>
      <c r="R463" s="247"/>
      <c r="S463" s="247"/>
      <c r="T463" s="247"/>
      <c r="U463" s="247"/>
      <c r="V463" s="247"/>
      <c r="W463" s="247"/>
      <c r="X463" s="247"/>
      <c r="Y463" s="247"/>
      <c r="Z463" s="247"/>
    </row>
    <row r="464" ht="225.0" customHeight="1">
      <c r="A464" s="52" t="s">
        <v>2017</v>
      </c>
      <c r="B464" s="199" t="s">
        <v>38</v>
      </c>
      <c r="C464" s="60" t="s">
        <v>2022</v>
      </c>
      <c r="D464" s="438" t="s">
        <v>2026</v>
      </c>
      <c r="E464" s="165" t="s">
        <v>2027</v>
      </c>
      <c r="F464" s="60" t="s">
        <v>2028</v>
      </c>
      <c r="G464" s="66">
        <v>50.0</v>
      </c>
      <c r="H464" s="118">
        <v>12.5</v>
      </c>
      <c r="I464" s="372" t="s">
        <v>167</v>
      </c>
      <c r="J464" s="247"/>
      <c r="K464" s="247"/>
      <c r="L464" s="247"/>
      <c r="M464" s="247"/>
      <c r="N464" s="247"/>
      <c r="O464" s="247"/>
      <c r="P464" s="247"/>
      <c r="Q464" s="247"/>
      <c r="R464" s="247"/>
      <c r="S464" s="247"/>
      <c r="T464" s="247"/>
      <c r="U464" s="247"/>
      <c r="V464" s="247"/>
      <c r="W464" s="247"/>
      <c r="X464" s="247"/>
      <c r="Y464" s="247"/>
      <c r="Z464" s="247"/>
    </row>
    <row r="465" ht="330.75" customHeight="1">
      <c r="A465" s="52" t="s">
        <v>2017</v>
      </c>
      <c r="B465" s="199" t="s">
        <v>38</v>
      </c>
      <c r="C465" s="60" t="s">
        <v>2022</v>
      </c>
      <c r="D465" s="439" t="s">
        <v>2029</v>
      </c>
      <c r="E465" s="165" t="s">
        <v>2030</v>
      </c>
      <c r="F465" s="60" t="s">
        <v>2021</v>
      </c>
      <c r="G465" s="66">
        <v>50.0</v>
      </c>
      <c r="H465" s="118">
        <v>12.5</v>
      </c>
      <c r="I465" s="372" t="s">
        <v>167</v>
      </c>
      <c r="J465" s="247"/>
      <c r="K465" s="247"/>
      <c r="L465" s="247"/>
      <c r="M465" s="247"/>
      <c r="N465" s="247"/>
      <c r="O465" s="247"/>
      <c r="P465" s="247"/>
      <c r="Q465" s="247"/>
      <c r="R465" s="247"/>
      <c r="S465" s="247"/>
      <c r="T465" s="247"/>
      <c r="U465" s="247"/>
      <c r="V465" s="247"/>
      <c r="W465" s="247"/>
      <c r="X465" s="247"/>
      <c r="Y465" s="247"/>
      <c r="Z465" s="247"/>
    </row>
    <row r="466" ht="242.25" customHeight="1">
      <c r="A466" s="52" t="s">
        <v>2031</v>
      </c>
      <c r="B466" s="199" t="s">
        <v>38</v>
      </c>
      <c r="C466" s="60" t="s">
        <v>2032</v>
      </c>
      <c r="D466" s="171" t="s">
        <v>2033</v>
      </c>
      <c r="E466" s="153" t="s">
        <v>2034</v>
      </c>
      <c r="F466" s="60" t="s">
        <v>2021</v>
      </c>
      <c r="G466" s="66">
        <v>50.0</v>
      </c>
      <c r="H466" s="118">
        <v>10.0</v>
      </c>
      <c r="I466" s="372" t="s">
        <v>167</v>
      </c>
      <c r="J466" s="247"/>
      <c r="K466" s="247"/>
      <c r="L466" s="247"/>
      <c r="M466" s="247"/>
      <c r="N466" s="247"/>
      <c r="O466" s="247"/>
      <c r="P466" s="247"/>
      <c r="Q466" s="247"/>
      <c r="R466" s="247"/>
      <c r="S466" s="247"/>
      <c r="T466" s="247"/>
      <c r="U466" s="247"/>
      <c r="V466" s="247"/>
      <c r="W466" s="247"/>
      <c r="X466" s="247"/>
      <c r="Y466" s="247"/>
      <c r="Z466" s="247"/>
    </row>
    <row r="467" ht="329.25" customHeight="1">
      <c r="A467" s="171" t="s">
        <v>2035</v>
      </c>
      <c r="B467" s="199" t="s">
        <v>38</v>
      </c>
      <c r="C467" s="171" t="s">
        <v>2036</v>
      </c>
      <c r="D467" s="171" t="s">
        <v>2037</v>
      </c>
      <c r="E467" s="94" t="s">
        <v>2038</v>
      </c>
      <c r="F467" s="60" t="s">
        <v>2021</v>
      </c>
      <c r="G467" s="66">
        <v>50.0</v>
      </c>
      <c r="H467" s="118">
        <v>12.5</v>
      </c>
      <c r="I467" s="372" t="s">
        <v>167</v>
      </c>
      <c r="J467" s="247"/>
      <c r="K467" s="247"/>
      <c r="L467" s="247"/>
      <c r="M467" s="247"/>
      <c r="N467" s="247"/>
      <c r="O467" s="247"/>
      <c r="P467" s="247"/>
      <c r="Q467" s="247"/>
      <c r="R467" s="247"/>
      <c r="S467" s="247"/>
      <c r="T467" s="247"/>
      <c r="U467" s="247"/>
      <c r="V467" s="247"/>
      <c r="W467" s="247"/>
      <c r="X467" s="247"/>
      <c r="Y467" s="247"/>
      <c r="Z467" s="247"/>
    </row>
    <row r="468" ht="409.5" customHeight="1">
      <c r="A468" s="95" t="s">
        <v>2039</v>
      </c>
      <c r="B468" s="199" t="s">
        <v>38</v>
      </c>
      <c r="C468" s="440" t="s">
        <v>2040</v>
      </c>
      <c r="D468" s="441" t="s">
        <v>2041</v>
      </c>
      <c r="E468" s="442" t="s">
        <v>2042</v>
      </c>
      <c r="F468" s="384" t="s">
        <v>2043</v>
      </c>
      <c r="G468" s="66">
        <v>15.0</v>
      </c>
      <c r="H468" s="118">
        <v>5.0</v>
      </c>
      <c r="I468" s="372" t="s">
        <v>167</v>
      </c>
      <c r="J468" s="247"/>
      <c r="K468" s="247"/>
      <c r="L468" s="247"/>
      <c r="M468" s="247"/>
      <c r="N468" s="247"/>
      <c r="O468" s="247"/>
      <c r="P468" s="247"/>
      <c r="Q468" s="247"/>
      <c r="R468" s="247"/>
      <c r="S468" s="247"/>
      <c r="T468" s="247"/>
      <c r="U468" s="247"/>
      <c r="V468" s="247"/>
      <c r="W468" s="247"/>
      <c r="X468" s="247"/>
      <c r="Y468" s="247"/>
      <c r="Z468" s="247"/>
    </row>
    <row r="469" ht="279.0" customHeight="1">
      <c r="A469" s="443" t="s">
        <v>2044</v>
      </c>
      <c r="B469" s="444" t="s">
        <v>38</v>
      </c>
      <c r="C469" s="445" t="s">
        <v>2045</v>
      </c>
      <c r="D469" s="446" t="s">
        <v>2046</v>
      </c>
      <c r="E469" s="178" t="s">
        <v>2034</v>
      </c>
      <c r="F469" s="60" t="s">
        <v>2021</v>
      </c>
      <c r="G469" s="447">
        <v>50.0</v>
      </c>
      <c r="H469" s="118">
        <v>10.0</v>
      </c>
      <c r="I469" s="372" t="s">
        <v>167</v>
      </c>
      <c r="J469" s="247"/>
      <c r="K469" s="247"/>
      <c r="L469" s="247"/>
      <c r="M469" s="247"/>
      <c r="N469" s="247"/>
      <c r="O469" s="247"/>
      <c r="P469" s="247"/>
      <c r="Q469" s="247"/>
      <c r="R469" s="247"/>
      <c r="S469" s="247"/>
      <c r="T469" s="247"/>
      <c r="U469" s="247"/>
      <c r="V469" s="247"/>
      <c r="W469" s="247"/>
      <c r="X469" s="247"/>
      <c r="Y469" s="247"/>
      <c r="Z469" s="247"/>
    </row>
    <row r="470" ht="409.5" customHeight="1">
      <c r="A470" s="448" t="s">
        <v>2047</v>
      </c>
      <c r="B470" s="199" t="s">
        <v>38</v>
      </c>
      <c r="C470" s="448" t="s">
        <v>2048</v>
      </c>
      <c r="D470" s="448" t="s">
        <v>2049</v>
      </c>
      <c r="E470" s="153" t="s">
        <v>2050</v>
      </c>
      <c r="F470" s="449" t="s">
        <v>2051</v>
      </c>
      <c r="G470" s="66">
        <v>15.0</v>
      </c>
      <c r="H470" s="118">
        <v>2.5</v>
      </c>
      <c r="I470" s="372" t="s">
        <v>167</v>
      </c>
      <c r="J470" s="247"/>
      <c r="K470" s="247"/>
      <c r="L470" s="247"/>
      <c r="M470" s="247"/>
      <c r="N470" s="247"/>
      <c r="O470" s="247"/>
      <c r="P470" s="247"/>
      <c r="Q470" s="247"/>
      <c r="R470" s="247"/>
      <c r="S470" s="247"/>
      <c r="T470" s="247"/>
      <c r="U470" s="247"/>
      <c r="V470" s="247"/>
      <c r="W470" s="247"/>
      <c r="X470" s="247"/>
      <c r="Y470" s="247"/>
      <c r="Z470" s="247"/>
    </row>
    <row r="471" ht="331.5" customHeight="1">
      <c r="A471" s="78" t="s">
        <v>2052</v>
      </c>
      <c r="B471" s="53" t="s">
        <v>38</v>
      </c>
      <c r="C471" s="450" t="s">
        <v>2053</v>
      </c>
      <c r="D471" s="451" t="s">
        <v>2054</v>
      </c>
      <c r="E471" s="259" t="s">
        <v>2055</v>
      </c>
      <c r="F471" s="452" t="s">
        <v>2056</v>
      </c>
      <c r="G471" s="61">
        <v>50.0</v>
      </c>
      <c r="H471" s="62">
        <v>7.14</v>
      </c>
      <c r="I471" s="372" t="s">
        <v>173</v>
      </c>
      <c r="J471" s="247"/>
      <c r="K471" s="247"/>
      <c r="L471" s="247"/>
      <c r="M471" s="247"/>
      <c r="N471" s="247"/>
      <c r="O471" s="247"/>
      <c r="P471" s="247"/>
      <c r="Q471" s="247"/>
      <c r="R471" s="247"/>
      <c r="S471" s="247"/>
      <c r="T471" s="247"/>
      <c r="U471" s="247"/>
      <c r="V471" s="247"/>
      <c r="W471" s="247"/>
      <c r="X471" s="247"/>
      <c r="Y471" s="247"/>
      <c r="Z471" s="247"/>
    </row>
    <row r="472" ht="216.75" customHeight="1">
      <c r="A472" s="184" t="s">
        <v>2057</v>
      </c>
      <c r="B472" s="53" t="s">
        <v>38</v>
      </c>
      <c r="C472" s="453" t="s">
        <v>2058</v>
      </c>
      <c r="D472" s="366" t="s">
        <v>2059</v>
      </c>
      <c r="E472" s="259" t="s">
        <v>2060</v>
      </c>
      <c r="F472" s="165" t="s">
        <v>2061</v>
      </c>
      <c r="G472" s="61">
        <v>50.0</v>
      </c>
      <c r="H472" s="62">
        <v>7.14</v>
      </c>
      <c r="I472" s="372" t="s">
        <v>173</v>
      </c>
      <c r="J472" s="247"/>
      <c r="K472" s="247"/>
      <c r="L472" s="247"/>
      <c r="M472" s="247"/>
      <c r="N472" s="247"/>
      <c r="O472" s="247"/>
      <c r="P472" s="247"/>
      <c r="Q472" s="247"/>
      <c r="R472" s="247"/>
      <c r="S472" s="247"/>
      <c r="T472" s="247"/>
      <c r="U472" s="247"/>
      <c r="V472" s="247"/>
      <c r="W472" s="247"/>
      <c r="X472" s="247"/>
      <c r="Y472" s="247"/>
      <c r="Z472" s="247"/>
    </row>
    <row r="473" ht="114.75" customHeight="1">
      <c r="A473" s="184" t="s">
        <v>2062</v>
      </c>
      <c r="B473" s="53" t="s">
        <v>38</v>
      </c>
      <c r="C473" s="453" t="s">
        <v>2058</v>
      </c>
      <c r="D473" s="184" t="s">
        <v>2063</v>
      </c>
      <c r="E473" s="454" t="s">
        <v>2064</v>
      </c>
      <c r="F473" s="455" t="s">
        <v>2065</v>
      </c>
      <c r="G473" s="61">
        <v>50.0</v>
      </c>
      <c r="H473" s="62">
        <v>7.14</v>
      </c>
      <c r="I473" s="372" t="s">
        <v>173</v>
      </c>
      <c r="J473" s="247"/>
      <c r="K473" s="247"/>
      <c r="L473" s="247"/>
      <c r="M473" s="247"/>
      <c r="N473" s="247"/>
      <c r="O473" s="247"/>
      <c r="P473" s="247"/>
      <c r="Q473" s="247"/>
      <c r="R473" s="247"/>
      <c r="S473" s="247"/>
      <c r="T473" s="247"/>
      <c r="U473" s="247"/>
      <c r="V473" s="247"/>
      <c r="W473" s="247"/>
      <c r="X473" s="247"/>
      <c r="Y473" s="247"/>
      <c r="Z473" s="247"/>
    </row>
    <row r="474" ht="140.25" customHeight="1">
      <c r="A474" s="258" t="s">
        <v>2066</v>
      </c>
      <c r="B474" s="53" t="s">
        <v>38</v>
      </c>
      <c r="C474" s="456" t="s">
        <v>2067</v>
      </c>
      <c r="D474" s="181" t="s">
        <v>2068</v>
      </c>
      <c r="E474" s="457" t="s">
        <v>2069</v>
      </c>
      <c r="F474" s="60" t="s">
        <v>2070</v>
      </c>
      <c r="G474" s="61">
        <v>15.0</v>
      </c>
      <c r="H474" s="62">
        <v>5.0</v>
      </c>
      <c r="I474" s="372" t="s">
        <v>173</v>
      </c>
      <c r="J474" s="247"/>
      <c r="K474" s="247"/>
      <c r="L474" s="247"/>
      <c r="M474" s="247"/>
      <c r="N474" s="247"/>
      <c r="O474" s="247"/>
      <c r="P474" s="247"/>
      <c r="Q474" s="247"/>
      <c r="R474" s="247"/>
      <c r="S474" s="247"/>
      <c r="T474" s="247"/>
      <c r="U474" s="247"/>
      <c r="V474" s="247"/>
      <c r="W474" s="247"/>
      <c r="X474" s="247"/>
      <c r="Y474" s="247"/>
      <c r="Z474" s="247"/>
    </row>
    <row r="475" ht="165.75" customHeight="1">
      <c r="A475" s="184" t="s">
        <v>2071</v>
      </c>
      <c r="B475" s="53" t="s">
        <v>38</v>
      </c>
      <c r="C475" s="340" t="s">
        <v>2072</v>
      </c>
      <c r="D475" s="458" t="s">
        <v>2073</v>
      </c>
      <c r="E475" s="274" t="s">
        <v>2074</v>
      </c>
      <c r="F475" s="459" t="s">
        <v>2021</v>
      </c>
      <c r="G475" s="61">
        <v>50.0</v>
      </c>
      <c r="H475" s="62">
        <v>7.14</v>
      </c>
      <c r="I475" s="372" t="s">
        <v>173</v>
      </c>
      <c r="J475" s="247"/>
      <c r="K475" s="247"/>
      <c r="L475" s="247"/>
      <c r="M475" s="247"/>
      <c r="N475" s="247"/>
      <c r="O475" s="247"/>
      <c r="P475" s="247"/>
      <c r="Q475" s="247"/>
      <c r="R475" s="247"/>
      <c r="S475" s="247"/>
      <c r="T475" s="247"/>
      <c r="U475" s="247"/>
      <c r="V475" s="247"/>
      <c r="W475" s="247"/>
      <c r="X475" s="247"/>
      <c r="Y475" s="247"/>
      <c r="Z475" s="247"/>
    </row>
    <row r="476" ht="114.75" customHeight="1">
      <c r="A476" s="184" t="s">
        <v>2071</v>
      </c>
      <c r="B476" s="53" t="s">
        <v>38</v>
      </c>
      <c r="C476" s="340" t="s">
        <v>2072</v>
      </c>
      <c r="D476" s="460" t="s">
        <v>2075</v>
      </c>
      <c r="E476" s="457" t="s">
        <v>2076</v>
      </c>
      <c r="F476" s="60" t="s">
        <v>2076</v>
      </c>
      <c r="G476" s="61">
        <v>15.0</v>
      </c>
      <c r="H476" s="62">
        <v>2.14</v>
      </c>
      <c r="I476" s="372" t="s">
        <v>173</v>
      </c>
      <c r="J476" s="247"/>
      <c r="K476" s="247"/>
      <c r="L476" s="247"/>
      <c r="M476" s="247"/>
      <c r="N476" s="247"/>
      <c r="O476" s="247"/>
      <c r="P476" s="247"/>
      <c r="Q476" s="247"/>
      <c r="R476" s="247"/>
      <c r="S476" s="247"/>
      <c r="T476" s="247"/>
      <c r="U476" s="247"/>
      <c r="V476" s="247"/>
      <c r="W476" s="247"/>
      <c r="X476" s="247"/>
      <c r="Y476" s="247"/>
      <c r="Z476" s="247"/>
    </row>
    <row r="477" ht="102.0" customHeight="1">
      <c r="A477" s="184" t="s">
        <v>2071</v>
      </c>
      <c r="B477" s="53" t="s">
        <v>38</v>
      </c>
      <c r="C477" s="340" t="s">
        <v>2072</v>
      </c>
      <c r="D477" s="184" t="s">
        <v>2077</v>
      </c>
      <c r="E477" s="457" t="s">
        <v>2076</v>
      </c>
      <c r="F477" s="60" t="s">
        <v>2076</v>
      </c>
      <c r="G477" s="61">
        <v>15.0</v>
      </c>
      <c r="H477" s="62">
        <v>2.14</v>
      </c>
      <c r="I477" s="372" t="s">
        <v>173</v>
      </c>
      <c r="J477" s="247"/>
      <c r="K477" s="247"/>
      <c r="L477" s="247"/>
      <c r="M477" s="247"/>
      <c r="N477" s="247"/>
      <c r="O477" s="247"/>
      <c r="P477" s="247"/>
      <c r="Q477" s="247"/>
      <c r="R477" s="247"/>
      <c r="S477" s="247"/>
      <c r="T477" s="247"/>
      <c r="U477" s="247"/>
      <c r="V477" s="247"/>
      <c r="W477" s="247"/>
      <c r="X477" s="247"/>
      <c r="Y477" s="247"/>
      <c r="Z477" s="247"/>
    </row>
    <row r="478" ht="102.0" customHeight="1">
      <c r="A478" s="184" t="s">
        <v>2078</v>
      </c>
      <c r="B478" s="53" t="s">
        <v>38</v>
      </c>
      <c r="C478" s="52" t="s">
        <v>2079</v>
      </c>
      <c r="D478" s="181" t="s">
        <v>2080</v>
      </c>
      <c r="E478" s="58" t="s">
        <v>2081</v>
      </c>
      <c r="F478" s="461" t="s">
        <v>2082</v>
      </c>
      <c r="G478" s="61">
        <v>50.0</v>
      </c>
      <c r="H478" s="62">
        <v>10.0</v>
      </c>
      <c r="I478" s="372" t="s">
        <v>173</v>
      </c>
      <c r="J478" s="247"/>
      <c r="K478" s="247"/>
      <c r="L478" s="247"/>
      <c r="M478" s="247"/>
      <c r="N478" s="247"/>
      <c r="O478" s="247"/>
      <c r="P478" s="247"/>
      <c r="Q478" s="247"/>
      <c r="R478" s="247"/>
      <c r="S478" s="247"/>
      <c r="T478" s="247"/>
      <c r="U478" s="247"/>
      <c r="V478" s="247"/>
      <c r="W478" s="247"/>
      <c r="X478" s="247"/>
      <c r="Y478" s="247"/>
      <c r="Z478" s="247"/>
    </row>
    <row r="479" ht="114.75" customHeight="1">
      <c r="A479" s="184" t="s">
        <v>2078</v>
      </c>
      <c r="B479" s="53" t="s">
        <v>38</v>
      </c>
      <c r="C479" s="52" t="s">
        <v>2079</v>
      </c>
      <c r="D479" s="52" t="s">
        <v>2083</v>
      </c>
      <c r="E479" s="457" t="s">
        <v>2084</v>
      </c>
      <c r="F479" s="60" t="s">
        <v>2085</v>
      </c>
      <c r="G479" s="61">
        <v>50.0</v>
      </c>
      <c r="H479" s="62">
        <v>10.0</v>
      </c>
      <c r="I479" s="372" t="s">
        <v>173</v>
      </c>
      <c r="J479" s="247"/>
      <c r="K479" s="247"/>
      <c r="L479" s="247"/>
      <c r="M479" s="247"/>
      <c r="N479" s="247"/>
      <c r="O479" s="247"/>
      <c r="P479" s="247"/>
      <c r="Q479" s="247"/>
      <c r="R479" s="247"/>
      <c r="S479" s="247"/>
      <c r="T479" s="247"/>
      <c r="U479" s="247"/>
      <c r="V479" s="247"/>
      <c r="W479" s="247"/>
      <c r="X479" s="247"/>
      <c r="Y479" s="247"/>
      <c r="Z479" s="247"/>
    </row>
    <row r="480" ht="96.0" customHeight="1">
      <c r="A480" s="184" t="s">
        <v>2078</v>
      </c>
      <c r="B480" s="53" t="s">
        <v>38</v>
      </c>
      <c r="C480" s="52" t="s">
        <v>2079</v>
      </c>
      <c r="D480" s="52" t="s">
        <v>2086</v>
      </c>
      <c r="E480" s="457" t="s">
        <v>2087</v>
      </c>
      <c r="F480" s="60" t="s">
        <v>2088</v>
      </c>
      <c r="G480" s="61">
        <v>50.0</v>
      </c>
      <c r="H480" s="62">
        <v>10.0</v>
      </c>
      <c r="I480" s="372" t="s">
        <v>173</v>
      </c>
      <c r="J480" s="247"/>
      <c r="K480" s="247"/>
      <c r="L480" s="247"/>
      <c r="M480" s="247"/>
      <c r="N480" s="247"/>
      <c r="O480" s="247"/>
      <c r="P480" s="247"/>
      <c r="Q480" s="247"/>
      <c r="R480" s="247"/>
      <c r="S480" s="247"/>
      <c r="T480" s="247"/>
      <c r="U480" s="247"/>
      <c r="V480" s="247"/>
      <c r="W480" s="247"/>
      <c r="X480" s="247"/>
      <c r="Y480" s="247"/>
      <c r="Z480" s="247"/>
    </row>
    <row r="481" ht="127.5" customHeight="1">
      <c r="A481" s="184" t="s">
        <v>2078</v>
      </c>
      <c r="B481" s="53" t="s">
        <v>38</v>
      </c>
      <c r="C481" s="52" t="s">
        <v>2079</v>
      </c>
      <c r="D481" s="460" t="s">
        <v>2089</v>
      </c>
      <c r="E481" s="462" t="s">
        <v>2090</v>
      </c>
      <c r="F481" s="462" t="s">
        <v>2090</v>
      </c>
      <c r="G481" s="61">
        <v>15.0</v>
      </c>
      <c r="H481" s="62">
        <v>3.0</v>
      </c>
      <c r="I481" s="372" t="s">
        <v>173</v>
      </c>
      <c r="J481" s="247"/>
      <c r="K481" s="247"/>
      <c r="L481" s="247"/>
      <c r="M481" s="247"/>
      <c r="N481" s="247"/>
      <c r="O481" s="247"/>
      <c r="P481" s="247"/>
      <c r="Q481" s="247"/>
      <c r="R481" s="247"/>
      <c r="S481" s="247"/>
      <c r="T481" s="247"/>
      <c r="U481" s="247"/>
      <c r="V481" s="247"/>
      <c r="W481" s="247"/>
      <c r="X481" s="247"/>
      <c r="Y481" s="247"/>
      <c r="Z481" s="247"/>
    </row>
    <row r="482" ht="102.0" customHeight="1">
      <c r="A482" s="57" t="s">
        <v>1905</v>
      </c>
      <c r="B482" s="53" t="s">
        <v>38</v>
      </c>
      <c r="C482" s="52" t="s">
        <v>2091</v>
      </c>
      <c r="D482" s="52" t="s">
        <v>2077</v>
      </c>
      <c r="E482" s="457" t="s">
        <v>2092</v>
      </c>
      <c r="F482" s="60" t="s">
        <v>2092</v>
      </c>
      <c r="G482" s="61">
        <v>15.0</v>
      </c>
      <c r="H482" s="62">
        <v>3.0</v>
      </c>
      <c r="I482" s="372" t="s">
        <v>173</v>
      </c>
      <c r="J482" s="247"/>
      <c r="K482" s="247"/>
      <c r="L482" s="247"/>
      <c r="M482" s="247"/>
      <c r="N482" s="247"/>
      <c r="O482" s="247"/>
      <c r="P482" s="247"/>
      <c r="Q482" s="247"/>
      <c r="R482" s="247"/>
      <c r="S482" s="247"/>
      <c r="T482" s="247"/>
      <c r="U482" s="247"/>
      <c r="V482" s="247"/>
      <c r="W482" s="247"/>
      <c r="X482" s="247"/>
      <c r="Y482" s="247"/>
      <c r="Z482" s="247"/>
    </row>
    <row r="483" ht="102.0" customHeight="1">
      <c r="A483" s="201" t="s">
        <v>2093</v>
      </c>
      <c r="B483" s="53" t="s">
        <v>38</v>
      </c>
      <c r="C483" s="460" t="s">
        <v>2094</v>
      </c>
      <c r="D483" s="411" t="s">
        <v>2095</v>
      </c>
      <c r="E483" s="463" t="s">
        <v>2096</v>
      </c>
      <c r="F483" s="58" t="s">
        <v>2097</v>
      </c>
      <c r="G483" s="61">
        <v>15.0</v>
      </c>
      <c r="H483" s="62">
        <v>7.5</v>
      </c>
      <c r="I483" s="372" t="s">
        <v>173</v>
      </c>
      <c r="J483" s="247"/>
      <c r="K483" s="247"/>
      <c r="L483" s="247"/>
      <c r="M483" s="247"/>
      <c r="N483" s="247"/>
      <c r="O483" s="247"/>
      <c r="P483" s="247"/>
      <c r="Q483" s="247"/>
      <c r="R483" s="247"/>
      <c r="S483" s="247"/>
      <c r="T483" s="247"/>
      <c r="U483" s="247"/>
      <c r="V483" s="247"/>
      <c r="W483" s="247"/>
      <c r="X483" s="247"/>
      <c r="Y483" s="247"/>
      <c r="Z483" s="247"/>
    </row>
    <row r="484" ht="178.5" customHeight="1">
      <c r="A484" s="181" t="s">
        <v>2098</v>
      </c>
      <c r="B484" s="53" t="s">
        <v>38</v>
      </c>
      <c r="C484" s="464" t="s">
        <v>2099</v>
      </c>
      <c r="D484" s="181" t="s">
        <v>2100</v>
      </c>
      <c r="E484" s="457" t="s">
        <v>2101</v>
      </c>
      <c r="F484" s="465" t="s">
        <v>2102</v>
      </c>
      <c r="G484" s="61">
        <v>15.0</v>
      </c>
      <c r="H484" s="62">
        <v>3.75</v>
      </c>
      <c r="I484" s="372" t="s">
        <v>173</v>
      </c>
      <c r="J484" s="247"/>
      <c r="K484" s="247"/>
      <c r="L484" s="247"/>
      <c r="M484" s="247"/>
      <c r="N484" s="247"/>
      <c r="O484" s="247"/>
      <c r="P484" s="247"/>
      <c r="Q484" s="247"/>
      <c r="R484" s="247"/>
      <c r="S484" s="247"/>
      <c r="T484" s="247"/>
      <c r="U484" s="247"/>
      <c r="V484" s="247"/>
      <c r="W484" s="247"/>
      <c r="X484" s="247"/>
      <c r="Y484" s="247"/>
      <c r="Z484" s="247"/>
    </row>
    <row r="485" ht="76.5" customHeight="1">
      <c r="A485" s="52" t="s">
        <v>2103</v>
      </c>
      <c r="B485" s="53" t="s">
        <v>38</v>
      </c>
      <c r="C485" s="460" t="s">
        <v>2104</v>
      </c>
      <c r="D485" s="466" t="s">
        <v>2105</v>
      </c>
      <c r="E485" s="457" t="s">
        <v>2106</v>
      </c>
      <c r="F485" s="60" t="s">
        <v>2106</v>
      </c>
      <c r="G485" s="61">
        <v>15.0</v>
      </c>
      <c r="H485" s="62">
        <v>2.14</v>
      </c>
      <c r="I485" s="372" t="s">
        <v>173</v>
      </c>
      <c r="J485" s="247"/>
      <c r="K485" s="247"/>
      <c r="L485" s="247"/>
      <c r="M485" s="247"/>
      <c r="N485" s="247"/>
      <c r="O485" s="247"/>
      <c r="P485" s="247"/>
      <c r="Q485" s="247"/>
      <c r="R485" s="247"/>
      <c r="S485" s="247"/>
      <c r="T485" s="247"/>
      <c r="U485" s="247"/>
      <c r="V485" s="247"/>
      <c r="W485" s="247"/>
      <c r="X485" s="247"/>
      <c r="Y485" s="247"/>
      <c r="Z485" s="247"/>
    </row>
    <row r="486" ht="153.0" customHeight="1">
      <c r="A486" s="52" t="s">
        <v>2107</v>
      </c>
      <c r="B486" s="53" t="s">
        <v>38</v>
      </c>
      <c r="C486" s="340" t="s">
        <v>2108</v>
      </c>
      <c r="D486" s="181" t="s">
        <v>2109</v>
      </c>
      <c r="E486" s="274" t="s">
        <v>2110</v>
      </c>
      <c r="F486" s="165" t="s">
        <v>2111</v>
      </c>
      <c r="G486" s="61">
        <v>50.0</v>
      </c>
      <c r="H486" s="62">
        <v>12.5</v>
      </c>
      <c r="I486" s="372" t="s">
        <v>173</v>
      </c>
      <c r="J486" s="247"/>
      <c r="K486" s="247"/>
      <c r="L486" s="247"/>
      <c r="M486" s="247"/>
      <c r="N486" s="247"/>
      <c r="O486" s="247"/>
      <c r="P486" s="247"/>
      <c r="Q486" s="247"/>
      <c r="R486" s="247"/>
      <c r="S486" s="247"/>
      <c r="T486" s="247"/>
      <c r="U486" s="247"/>
      <c r="V486" s="247"/>
      <c r="W486" s="247"/>
      <c r="X486" s="247"/>
      <c r="Y486" s="247"/>
      <c r="Z486" s="247"/>
    </row>
    <row r="487" ht="204.0" customHeight="1">
      <c r="A487" s="52" t="s">
        <v>2107</v>
      </c>
      <c r="B487" s="53" t="s">
        <v>38</v>
      </c>
      <c r="C487" s="467" t="s">
        <v>2108</v>
      </c>
      <c r="D487" s="184" t="s">
        <v>2112</v>
      </c>
      <c r="E487" s="457" t="s">
        <v>2113</v>
      </c>
      <c r="F487" s="94" t="s">
        <v>737</v>
      </c>
      <c r="G487" s="61">
        <v>50.0</v>
      </c>
      <c r="H487" s="62">
        <v>12.5</v>
      </c>
      <c r="I487" s="372" t="s">
        <v>173</v>
      </c>
      <c r="J487" s="247"/>
      <c r="K487" s="247"/>
      <c r="L487" s="247"/>
      <c r="M487" s="247"/>
      <c r="N487" s="247"/>
      <c r="O487" s="247"/>
      <c r="P487" s="247"/>
      <c r="Q487" s="247"/>
      <c r="R487" s="247"/>
      <c r="S487" s="247"/>
      <c r="T487" s="247"/>
      <c r="U487" s="247"/>
      <c r="V487" s="247"/>
      <c r="W487" s="247"/>
      <c r="X487" s="247"/>
      <c r="Y487" s="247"/>
      <c r="Z487" s="247"/>
    </row>
    <row r="488" ht="153.0" customHeight="1">
      <c r="A488" s="52" t="s">
        <v>2107</v>
      </c>
      <c r="B488" s="53" t="s">
        <v>38</v>
      </c>
      <c r="C488" s="340" t="s">
        <v>2108</v>
      </c>
      <c r="D488" s="184" t="s">
        <v>2114</v>
      </c>
      <c r="E488" s="58" t="s">
        <v>2115</v>
      </c>
      <c r="F488" s="165" t="s">
        <v>732</v>
      </c>
      <c r="G488" s="61">
        <v>15.0</v>
      </c>
      <c r="H488" s="62">
        <v>3.75</v>
      </c>
      <c r="I488" s="372" t="s">
        <v>173</v>
      </c>
      <c r="J488" s="247"/>
      <c r="K488" s="247"/>
      <c r="L488" s="247"/>
      <c r="M488" s="247"/>
      <c r="N488" s="247"/>
      <c r="O488" s="247"/>
      <c r="P488" s="247"/>
      <c r="Q488" s="247"/>
      <c r="R488" s="247"/>
      <c r="S488" s="247"/>
      <c r="T488" s="247"/>
      <c r="U488" s="247"/>
      <c r="V488" s="247"/>
      <c r="W488" s="247"/>
      <c r="X488" s="247"/>
      <c r="Y488" s="247"/>
      <c r="Z488" s="247"/>
    </row>
    <row r="489" ht="191.25" customHeight="1">
      <c r="A489" s="52" t="s">
        <v>2107</v>
      </c>
      <c r="B489" s="53" t="s">
        <v>38</v>
      </c>
      <c r="C489" s="340" t="s">
        <v>2108</v>
      </c>
      <c r="D489" s="184" t="s">
        <v>2116</v>
      </c>
      <c r="E489" s="457" t="s">
        <v>2117</v>
      </c>
      <c r="F489" s="345" t="s">
        <v>735</v>
      </c>
      <c r="G489" s="61">
        <v>15.0</v>
      </c>
      <c r="H489" s="62">
        <v>3.75</v>
      </c>
      <c r="I489" s="372" t="s">
        <v>173</v>
      </c>
      <c r="J489" s="247"/>
      <c r="K489" s="247"/>
      <c r="L489" s="247"/>
      <c r="M489" s="247"/>
      <c r="N489" s="247"/>
      <c r="O489" s="247"/>
      <c r="P489" s="247"/>
      <c r="Q489" s="247"/>
      <c r="R489" s="247"/>
      <c r="S489" s="247"/>
      <c r="T489" s="247"/>
      <c r="U489" s="247"/>
      <c r="V489" s="247"/>
      <c r="W489" s="247"/>
      <c r="X489" s="247"/>
      <c r="Y489" s="247"/>
      <c r="Z489" s="247"/>
    </row>
    <row r="490" ht="204.0" customHeight="1">
      <c r="A490" s="184" t="s">
        <v>2118</v>
      </c>
      <c r="B490" s="53" t="s">
        <v>38</v>
      </c>
      <c r="C490" s="460" t="s">
        <v>2119</v>
      </c>
      <c r="D490" s="184" t="s">
        <v>2120</v>
      </c>
      <c r="E490" s="58" t="s">
        <v>2121</v>
      </c>
      <c r="F490" s="452" t="s">
        <v>2122</v>
      </c>
      <c r="G490" s="61">
        <v>15.0</v>
      </c>
      <c r="H490" s="62">
        <v>2.5</v>
      </c>
      <c r="I490" s="372" t="s">
        <v>173</v>
      </c>
      <c r="J490" s="247"/>
      <c r="K490" s="247"/>
      <c r="L490" s="247"/>
      <c r="M490" s="247"/>
      <c r="N490" s="247"/>
      <c r="O490" s="247"/>
      <c r="P490" s="247"/>
      <c r="Q490" s="247"/>
      <c r="R490" s="247"/>
      <c r="S490" s="247"/>
      <c r="T490" s="247"/>
      <c r="U490" s="247"/>
      <c r="V490" s="247"/>
      <c r="W490" s="247"/>
      <c r="X490" s="247"/>
      <c r="Y490" s="247"/>
      <c r="Z490" s="247"/>
    </row>
    <row r="491" ht="127.5" customHeight="1">
      <c r="A491" s="184" t="s">
        <v>2123</v>
      </c>
      <c r="B491" s="53" t="s">
        <v>38</v>
      </c>
      <c r="C491" s="464" t="s">
        <v>1592</v>
      </c>
      <c r="D491" s="184" t="s">
        <v>2124</v>
      </c>
      <c r="E491" s="457" t="s">
        <v>2125</v>
      </c>
      <c r="F491" s="452" t="s">
        <v>2126</v>
      </c>
      <c r="G491" s="61">
        <v>50.0</v>
      </c>
      <c r="H491" s="62">
        <v>16.66</v>
      </c>
      <c r="I491" s="372" t="s">
        <v>173</v>
      </c>
      <c r="J491" s="247"/>
      <c r="K491" s="247"/>
      <c r="L491" s="247"/>
      <c r="M491" s="247"/>
      <c r="N491" s="247"/>
      <c r="O491" s="247"/>
      <c r="P491" s="247"/>
      <c r="Q491" s="247"/>
      <c r="R491" s="247"/>
      <c r="S491" s="247"/>
      <c r="T491" s="247"/>
      <c r="U491" s="247"/>
      <c r="V491" s="247"/>
      <c r="W491" s="247"/>
      <c r="X491" s="247"/>
      <c r="Y491" s="247"/>
      <c r="Z491" s="247"/>
    </row>
    <row r="492" ht="127.5" customHeight="1">
      <c r="A492" s="184" t="s">
        <v>2123</v>
      </c>
      <c r="B492" s="53" t="s">
        <v>38</v>
      </c>
      <c r="C492" s="464" t="s">
        <v>1592</v>
      </c>
      <c r="D492" s="184" t="s">
        <v>2127</v>
      </c>
      <c r="E492" s="457" t="s">
        <v>2128</v>
      </c>
      <c r="F492" s="60" t="s">
        <v>2129</v>
      </c>
      <c r="G492" s="61">
        <v>50.0</v>
      </c>
      <c r="H492" s="62">
        <v>16.66</v>
      </c>
      <c r="I492" s="372" t="s">
        <v>173</v>
      </c>
      <c r="J492" s="247"/>
      <c r="K492" s="247"/>
      <c r="L492" s="247"/>
      <c r="M492" s="247"/>
      <c r="N492" s="247"/>
      <c r="O492" s="247"/>
      <c r="P492" s="247"/>
      <c r="Q492" s="247"/>
      <c r="R492" s="247"/>
      <c r="S492" s="247"/>
      <c r="T492" s="247"/>
      <c r="U492" s="247"/>
      <c r="V492" s="247"/>
      <c r="W492" s="247"/>
      <c r="X492" s="247"/>
      <c r="Y492" s="247"/>
      <c r="Z492" s="247"/>
    </row>
    <row r="493" ht="229.5" customHeight="1">
      <c r="A493" s="184" t="s">
        <v>2123</v>
      </c>
      <c r="B493" s="53" t="s">
        <v>38</v>
      </c>
      <c r="C493" s="464" t="s">
        <v>1592</v>
      </c>
      <c r="D493" s="184" t="s">
        <v>2130</v>
      </c>
      <c r="E493" s="70" t="s">
        <v>2131</v>
      </c>
      <c r="F493" s="60" t="s">
        <v>2132</v>
      </c>
      <c r="G493" s="61">
        <v>50.0</v>
      </c>
      <c r="H493" s="62">
        <v>16.66</v>
      </c>
      <c r="I493" s="372" t="s">
        <v>173</v>
      </c>
      <c r="J493" s="247"/>
      <c r="K493" s="247"/>
      <c r="L493" s="247"/>
      <c r="M493" s="247"/>
      <c r="N493" s="247"/>
      <c r="O493" s="247"/>
      <c r="P493" s="247"/>
      <c r="Q493" s="247"/>
      <c r="R493" s="247"/>
      <c r="S493" s="247"/>
      <c r="T493" s="247"/>
      <c r="U493" s="247"/>
      <c r="V493" s="247"/>
      <c r="W493" s="247"/>
      <c r="X493" s="247"/>
      <c r="Y493" s="247"/>
      <c r="Z493" s="247"/>
    </row>
    <row r="494" ht="229.5" customHeight="1">
      <c r="A494" s="181" t="s">
        <v>2133</v>
      </c>
      <c r="B494" s="53" t="s">
        <v>38</v>
      </c>
      <c r="C494" s="464" t="s">
        <v>2134</v>
      </c>
      <c r="D494" s="184" t="s">
        <v>2135</v>
      </c>
      <c r="E494" s="457" t="s">
        <v>2136</v>
      </c>
      <c r="F494" s="60" t="s">
        <v>2137</v>
      </c>
      <c r="G494" s="61">
        <v>50.0</v>
      </c>
      <c r="H494" s="62">
        <v>16.66</v>
      </c>
      <c r="I494" s="372" t="s">
        <v>173</v>
      </c>
      <c r="J494" s="247"/>
      <c r="K494" s="247"/>
      <c r="L494" s="247"/>
      <c r="M494" s="247"/>
      <c r="N494" s="247"/>
      <c r="O494" s="247"/>
      <c r="P494" s="247"/>
      <c r="Q494" s="247"/>
      <c r="R494" s="247"/>
      <c r="S494" s="247"/>
      <c r="T494" s="247"/>
      <c r="U494" s="247"/>
      <c r="V494" s="247"/>
      <c r="W494" s="247"/>
      <c r="X494" s="247"/>
      <c r="Y494" s="247"/>
      <c r="Z494" s="247"/>
    </row>
    <row r="495" ht="114.75" customHeight="1">
      <c r="A495" s="258" t="s">
        <v>2138</v>
      </c>
      <c r="B495" s="53" t="s">
        <v>38</v>
      </c>
      <c r="C495" s="456" t="s">
        <v>2139</v>
      </c>
      <c r="D495" s="184" t="s">
        <v>2140</v>
      </c>
      <c r="E495" s="457" t="s">
        <v>2141</v>
      </c>
      <c r="F495" s="452" t="s">
        <v>2142</v>
      </c>
      <c r="G495" s="61">
        <v>15.0</v>
      </c>
      <c r="H495" s="62">
        <v>7.5</v>
      </c>
      <c r="I495" s="372" t="s">
        <v>173</v>
      </c>
      <c r="J495" s="247"/>
      <c r="K495" s="247"/>
      <c r="L495" s="247"/>
      <c r="M495" s="247"/>
      <c r="N495" s="247"/>
      <c r="O495" s="247"/>
      <c r="P495" s="247"/>
      <c r="Q495" s="247"/>
      <c r="R495" s="247"/>
      <c r="S495" s="247"/>
      <c r="T495" s="247"/>
      <c r="U495" s="247"/>
      <c r="V495" s="247"/>
      <c r="W495" s="247"/>
      <c r="X495" s="247"/>
      <c r="Y495" s="247"/>
      <c r="Z495" s="247"/>
    </row>
    <row r="496" ht="191.25" customHeight="1">
      <c r="A496" s="258" t="s">
        <v>2138</v>
      </c>
      <c r="B496" s="53" t="s">
        <v>38</v>
      </c>
      <c r="C496" s="456" t="s">
        <v>2139</v>
      </c>
      <c r="D496" s="184" t="s">
        <v>2143</v>
      </c>
      <c r="E496" s="457" t="s">
        <v>2144</v>
      </c>
      <c r="F496" s="183" t="s">
        <v>2145</v>
      </c>
      <c r="G496" s="61">
        <v>50.0</v>
      </c>
      <c r="H496" s="62">
        <v>25.0</v>
      </c>
      <c r="I496" s="372" t="s">
        <v>173</v>
      </c>
      <c r="J496" s="247"/>
      <c r="K496" s="247"/>
      <c r="L496" s="247"/>
      <c r="M496" s="247"/>
      <c r="N496" s="247"/>
      <c r="O496" s="247"/>
      <c r="P496" s="247"/>
      <c r="Q496" s="247"/>
      <c r="R496" s="247"/>
      <c r="S496" s="247"/>
      <c r="T496" s="247"/>
      <c r="U496" s="247"/>
      <c r="V496" s="247"/>
      <c r="W496" s="247"/>
      <c r="X496" s="247"/>
      <c r="Y496" s="247"/>
      <c r="Z496" s="247"/>
    </row>
    <row r="497" ht="127.5" customHeight="1">
      <c r="A497" s="258" t="s">
        <v>2138</v>
      </c>
      <c r="B497" s="53" t="s">
        <v>38</v>
      </c>
      <c r="C497" s="456" t="s">
        <v>2139</v>
      </c>
      <c r="D497" s="181" t="s">
        <v>2146</v>
      </c>
      <c r="E497" s="457" t="s">
        <v>2147</v>
      </c>
      <c r="F497" s="452" t="s">
        <v>2148</v>
      </c>
      <c r="G497" s="61">
        <v>50.0</v>
      </c>
      <c r="H497" s="62">
        <v>25.0</v>
      </c>
      <c r="I497" s="372" t="s">
        <v>173</v>
      </c>
      <c r="J497" s="247"/>
      <c r="K497" s="247"/>
      <c r="L497" s="247"/>
      <c r="M497" s="247"/>
      <c r="N497" s="247"/>
      <c r="O497" s="247"/>
      <c r="P497" s="247"/>
      <c r="Q497" s="247"/>
      <c r="R497" s="247"/>
      <c r="S497" s="247"/>
      <c r="T497" s="247"/>
      <c r="U497" s="247"/>
      <c r="V497" s="247"/>
      <c r="W497" s="247"/>
      <c r="X497" s="247"/>
      <c r="Y497" s="247"/>
      <c r="Z497" s="247"/>
    </row>
    <row r="498" ht="76.5" customHeight="1">
      <c r="A498" s="258" t="s">
        <v>2138</v>
      </c>
      <c r="B498" s="53" t="s">
        <v>38</v>
      </c>
      <c r="C498" s="456" t="s">
        <v>2139</v>
      </c>
      <c r="D498" s="184" t="s">
        <v>2149</v>
      </c>
      <c r="E498" s="468" t="s">
        <v>2150</v>
      </c>
      <c r="F498" s="345" t="s">
        <v>2151</v>
      </c>
      <c r="G498" s="61">
        <v>50.0</v>
      </c>
      <c r="H498" s="62">
        <v>25.0</v>
      </c>
      <c r="I498" s="372" t="s">
        <v>173</v>
      </c>
      <c r="J498" s="247"/>
      <c r="K498" s="247"/>
      <c r="L498" s="247"/>
      <c r="M498" s="247"/>
      <c r="N498" s="247"/>
      <c r="O498" s="247"/>
      <c r="P498" s="247"/>
      <c r="Q498" s="247"/>
      <c r="R498" s="247"/>
      <c r="S498" s="247"/>
      <c r="T498" s="247"/>
      <c r="U498" s="247"/>
      <c r="V498" s="247"/>
      <c r="W498" s="247"/>
      <c r="X498" s="247"/>
      <c r="Y498" s="247"/>
      <c r="Z498" s="247"/>
    </row>
    <row r="499" ht="76.5" customHeight="1">
      <c r="A499" s="184" t="s">
        <v>2152</v>
      </c>
      <c r="B499" s="53" t="s">
        <v>38</v>
      </c>
      <c r="C499" s="197" t="s">
        <v>2153</v>
      </c>
      <c r="D499" s="184" t="s">
        <v>2154</v>
      </c>
      <c r="E499" s="457" t="s">
        <v>2155</v>
      </c>
      <c r="F499" s="452" t="s">
        <v>2155</v>
      </c>
      <c r="G499" s="61">
        <v>15.0</v>
      </c>
      <c r="H499" s="62">
        <v>3.0</v>
      </c>
      <c r="I499" s="372" t="s">
        <v>173</v>
      </c>
      <c r="J499" s="247"/>
      <c r="K499" s="247"/>
      <c r="L499" s="247"/>
      <c r="M499" s="247"/>
      <c r="N499" s="247"/>
      <c r="O499" s="247"/>
      <c r="P499" s="247"/>
      <c r="Q499" s="247"/>
      <c r="R499" s="247"/>
      <c r="S499" s="247"/>
      <c r="T499" s="247"/>
      <c r="U499" s="247"/>
      <c r="V499" s="247"/>
      <c r="W499" s="247"/>
      <c r="X499" s="247"/>
      <c r="Y499" s="247"/>
      <c r="Z499" s="247"/>
    </row>
    <row r="500" ht="102.0" customHeight="1">
      <c r="A500" s="184" t="s">
        <v>2156</v>
      </c>
      <c r="B500" s="53" t="s">
        <v>38</v>
      </c>
      <c r="C500" s="197" t="s">
        <v>2022</v>
      </c>
      <c r="D500" s="184" t="s">
        <v>2157</v>
      </c>
      <c r="E500" s="457" t="s">
        <v>2158</v>
      </c>
      <c r="F500" s="452" t="s">
        <v>2159</v>
      </c>
      <c r="G500" s="61">
        <v>50.0</v>
      </c>
      <c r="H500" s="62">
        <v>12.5</v>
      </c>
      <c r="I500" s="372" t="s">
        <v>173</v>
      </c>
      <c r="J500" s="247"/>
      <c r="K500" s="247"/>
      <c r="L500" s="247"/>
      <c r="M500" s="247"/>
      <c r="N500" s="247"/>
      <c r="O500" s="247"/>
      <c r="P500" s="247"/>
      <c r="Q500" s="247"/>
      <c r="R500" s="247"/>
      <c r="S500" s="247"/>
      <c r="T500" s="247"/>
      <c r="U500" s="247"/>
      <c r="V500" s="247"/>
      <c r="W500" s="247"/>
      <c r="X500" s="247"/>
      <c r="Y500" s="247"/>
      <c r="Z500" s="247"/>
    </row>
    <row r="501" ht="344.25" customHeight="1">
      <c r="A501" s="184" t="s">
        <v>2156</v>
      </c>
      <c r="B501" s="53" t="s">
        <v>38</v>
      </c>
      <c r="C501" s="197" t="s">
        <v>2022</v>
      </c>
      <c r="D501" s="184" t="s">
        <v>2160</v>
      </c>
      <c r="E501" s="457" t="s">
        <v>2161</v>
      </c>
      <c r="F501" s="60" t="s">
        <v>2162</v>
      </c>
      <c r="G501" s="61">
        <v>50.0</v>
      </c>
      <c r="H501" s="62">
        <v>12.5</v>
      </c>
      <c r="I501" s="372" t="s">
        <v>173</v>
      </c>
      <c r="J501" s="247"/>
      <c r="K501" s="247"/>
      <c r="L501" s="247"/>
      <c r="M501" s="247"/>
      <c r="N501" s="247"/>
      <c r="O501" s="247"/>
      <c r="P501" s="247"/>
      <c r="Q501" s="247"/>
      <c r="R501" s="247"/>
      <c r="S501" s="247"/>
      <c r="T501" s="247"/>
      <c r="U501" s="247"/>
      <c r="V501" s="247"/>
      <c r="W501" s="247"/>
      <c r="X501" s="247"/>
      <c r="Y501" s="247"/>
      <c r="Z501" s="247"/>
    </row>
    <row r="502" ht="140.25" customHeight="1">
      <c r="A502" s="184" t="s">
        <v>2156</v>
      </c>
      <c r="B502" s="53" t="s">
        <v>38</v>
      </c>
      <c r="C502" s="464" t="s">
        <v>2022</v>
      </c>
      <c r="D502" s="184" t="s">
        <v>2163</v>
      </c>
      <c r="E502" s="70" t="s">
        <v>2164</v>
      </c>
      <c r="F502" s="452" t="s">
        <v>2165</v>
      </c>
      <c r="G502" s="61">
        <v>50.0</v>
      </c>
      <c r="H502" s="62">
        <v>12.5</v>
      </c>
      <c r="I502" s="372" t="s">
        <v>173</v>
      </c>
      <c r="J502" s="247"/>
      <c r="K502" s="247"/>
      <c r="L502" s="247"/>
      <c r="M502" s="247"/>
      <c r="N502" s="247"/>
      <c r="O502" s="247"/>
      <c r="P502" s="247"/>
      <c r="Q502" s="247"/>
      <c r="R502" s="247"/>
      <c r="S502" s="247"/>
      <c r="T502" s="247"/>
      <c r="U502" s="247"/>
      <c r="V502" s="247"/>
      <c r="W502" s="247"/>
      <c r="X502" s="247"/>
      <c r="Y502" s="247"/>
      <c r="Z502" s="247"/>
    </row>
    <row r="503" ht="102.0" customHeight="1">
      <c r="A503" s="184" t="s">
        <v>2156</v>
      </c>
      <c r="B503" s="53" t="s">
        <v>38</v>
      </c>
      <c r="C503" s="197" t="s">
        <v>2018</v>
      </c>
      <c r="D503" s="184" t="s">
        <v>2166</v>
      </c>
      <c r="E503" s="70" t="s">
        <v>2167</v>
      </c>
      <c r="F503" s="165" t="s">
        <v>2168</v>
      </c>
      <c r="G503" s="61">
        <v>50.0</v>
      </c>
      <c r="H503" s="62">
        <v>12.5</v>
      </c>
      <c r="I503" s="372" t="s">
        <v>173</v>
      </c>
      <c r="J503" s="247"/>
      <c r="K503" s="247"/>
      <c r="L503" s="247"/>
      <c r="M503" s="247"/>
      <c r="N503" s="247"/>
      <c r="O503" s="247"/>
      <c r="P503" s="247"/>
      <c r="Q503" s="247"/>
      <c r="R503" s="247"/>
      <c r="S503" s="247"/>
      <c r="T503" s="247"/>
      <c r="U503" s="247"/>
      <c r="V503" s="247"/>
      <c r="W503" s="247"/>
      <c r="X503" s="247"/>
      <c r="Y503" s="247"/>
      <c r="Z503" s="247"/>
    </row>
    <row r="504" ht="89.25" customHeight="1">
      <c r="A504" s="184" t="s">
        <v>2169</v>
      </c>
      <c r="B504" s="53" t="s">
        <v>38</v>
      </c>
      <c r="C504" s="197" t="s">
        <v>2170</v>
      </c>
      <c r="D504" s="184" t="s">
        <v>2171</v>
      </c>
      <c r="E504" s="457" t="s">
        <v>2172</v>
      </c>
      <c r="F504" s="165" t="s">
        <v>2172</v>
      </c>
      <c r="G504" s="61">
        <v>15.0</v>
      </c>
      <c r="H504" s="62">
        <v>5.0</v>
      </c>
      <c r="I504" s="372" t="s">
        <v>173</v>
      </c>
      <c r="J504" s="247"/>
      <c r="K504" s="247"/>
      <c r="L504" s="247"/>
      <c r="M504" s="247"/>
      <c r="N504" s="247"/>
      <c r="O504" s="247"/>
      <c r="P504" s="247"/>
      <c r="Q504" s="247"/>
      <c r="R504" s="247"/>
      <c r="S504" s="247"/>
      <c r="T504" s="247"/>
      <c r="U504" s="247"/>
      <c r="V504" s="247"/>
      <c r="W504" s="247"/>
      <c r="X504" s="247"/>
      <c r="Y504" s="247"/>
      <c r="Z504" s="247"/>
    </row>
    <row r="505" ht="216.75" customHeight="1">
      <c r="A505" s="134" t="s">
        <v>2173</v>
      </c>
      <c r="B505" s="53" t="s">
        <v>38</v>
      </c>
      <c r="C505" s="460" t="s">
        <v>2174</v>
      </c>
      <c r="D505" s="184" t="s">
        <v>2175</v>
      </c>
      <c r="E505" s="457" t="s">
        <v>2176</v>
      </c>
      <c r="F505" s="165" t="s">
        <v>2177</v>
      </c>
      <c r="G505" s="61">
        <v>15.0</v>
      </c>
      <c r="H505" s="62">
        <v>7.5</v>
      </c>
      <c r="I505" s="372" t="s">
        <v>173</v>
      </c>
      <c r="J505" s="247"/>
      <c r="K505" s="247"/>
      <c r="L505" s="247"/>
      <c r="M505" s="247"/>
      <c r="N505" s="247"/>
      <c r="O505" s="247"/>
      <c r="P505" s="247"/>
      <c r="Q505" s="247"/>
      <c r="R505" s="247"/>
      <c r="S505" s="247"/>
      <c r="T505" s="247"/>
      <c r="U505" s="247"/>
      <c r="V505" s="247"/>
      <c r="W505" s="247"/>
      <c r="X505" s="247"/>
      <c r="Y505" s="247"/>
      <c r="Z505" s="247"/>
    </row>
    <row r="506" ht="229.5" customHeight="1">
      <c r="A506" s="134" t="s">
        <v>2173</v>
      </c>
      <c r="B506" s="53" t="s">
        <v>38</v>
      </c>
      <c r="C506" s="340" t="s">
        <v>2174</v>
      </c>
      <c r="D506" s="184" t="s">
        <v>2178</v>
      </c>
      <c r="E506" s="70" t="s">
        <v>2179</v>
      </c>
      <c r="F506" s="165" t="s">
        <v>2180</v>
      </c>
      <c r="G506" s="66">
        <v>15.0</v>
      </c>
      <c r="H506" s="62">
        <v>7.5</v>
      </c>
      <c r="I506" s="372" t="s">
        <v>173</v>
      </c>
      <c r="J506" s="247"/>
      <c r="K506" s="247"/>
      <c r="L506" s="247"/>
      <c r="M506" s="247"/>
      <c r="N506" s="247"/>
      <c r="O506" s="247"/>
      <c r="P506" s="247"/>
      <c r="Q506" s="247"/>
      <c r="R506" s="247"/>
      <c r="S506" s="247"/>
      <c r="T506" s="247"/>
      <c r="U506" s="247"/>
      <c r="V506" s="247"/>
      <c r="W506" s="247"/>
      <c r="X506" s="247"/>
      <c r="Y506" s="247"/>
      <c r="Z506" s="247"/>
    </row>
    <row r="507" ht="15.75" customHeight="1">
      <c r="A507" s="184"/>
      <c r="B507" s="53"/>
      <c r="C507" s="197"/>
      <c r="D507" s="184"/>
      <c r="E507" s="457"/>
      <c r="F507" s="165"/>
      <c r="G507" s="61"/>
      <c r="H507" s="62"/>
      <c r="I507" s="372"/>
      <c r="J507" s="247"/>
      <c r="K507" s="247"/>
      <c r="L507" s="247"/>
      <c r="M507" s="247"/>
      <c r="N507" s="247"/>
      <c r="O507" s="247"/>
      <c r="P507" s="247"/>
      <c r="Q507" s="247"/>
      <c r="R507" s="247"/>
      <c r="S507" s="247"/>
      <c r="T507" s="247"/>
      <c r="U507" s="247"/>
      <c r="V507" s="247"/>
      <c r="W507" s="247"/>
      <c r="X507" s="247"/>
      <c r="Y507" s="247"/>
      <c r="Z507" s="247"/>
    </row>
    <row r="508" ht="15.75" customHeight="1">
      <c r="A508" s="134"/>
      <c r="B508" s="53"/>
      <c r="C508" s="57"/>
      <c r="D508" s="184"/>
      <c r="E508" s="457"/>
      <c r="F508" s="165"/>
      <c r="G508" s="61"/>
      <c r="H508" s="62"/>
      <c r="I508" s="372"/>
      <c r="J508" s="247"/>
      <c r="K508" s="247"/>
      <c r="L508" s="247"/>
      <c r="M508" s="247"/>
      <c r="N508" s="247"/>
      <c r="O508" s="247"/>
      <c r="P508" s="247"/>
      <c r="Q508" s="247"/>
      <c r="R508" s="247"/>
      <c r="S508" s="247"/>
      <c r="T508" s="247"/>
      <c r="U508" s="247"/>
      <c r="V508" s="247"/>
      <c r="W508" s="247"/>
      <c r="X508" s="247"/>
      <c r="Y508" s="247"/>
      <c r="Z508" s="247"/>
    </row>
    <row r="509" ht="15.75" customHeight="1">
      <c r="A509" s="134"/>
      <c r="B509" s="53"/>
      <c r="C509" s="52"/>
      <c r="D509" s="184"/>
      <c r="E509" s="70"/>
      <c r="F509" s="165"/>
      <c r="G509" s="66"/>
      <c r="H509" s="62"/>
      <c r="I509" s="372"/>
      <c r="J509" s="247"/>
      <c r="K509" s="247"/>
      <c r="L509" s="247"/>
      <c r="M509" s="247"/>
      <c r="N509" s="247"/>
      <c r="O509" s="247"/>
      <c r="P509" s="247"/>
      <c r="Q509" s="247"/>
      <c r="R509" s="247"/>
      <c r="S509" s="247"/>
      <c r="T509" s="247"/>
      <c r="U509" s="247"/>
      <c r="V509" s="247"/>
      <c r="W509" s="247"/>
      <c r="X509" s="247"/>
      <c r="Y509" s="247"/>
      <c r="Z509" s="247"/>
    </row>
    <row r="510" ht="15.75" customHeight="1">
      <c r="A510" s="134"/>
      <c r="B510" s="53"/>
      <c r="C510" s="52"/>
      <c r="D510" s="182"/>
      <c r="E510" s="70"/>
      <c r="F510" s="165"/>
      <c r="G510" s="61"/>
      <c r="H510" s="62"/>
      <c r="I510" s="372"/>
      <c r="J510" s="247"/>
      <c r="K510" s="247"/>
      <c r="L510" s="247"/>
      <c r="M510" s="247"/>
      <c r="N510" s="247"/>
      <c r="O510" s="247"/>
      <c r="P510" s="247"/>
      <c r="Q510" s="247"/>
      <c r="R510" s="247"/>
      <c r="S510" s="247"/>
      <c r="T510" s="247"/>
      <c r="U510" s="247"/>
      <c r="V510" s="247"/>
      <c r="W510" s="247"/>
      <c r="X510" s="247"/>
      <c r="Y510" s="247"/>
      <c r="Z510" s="247"/>
    </row>
    <row r="511" ht="178.5" customHeight="1">
      <c r="A511" s="52" t="s">
        <v>2181</v>
      </c>
      <c r="B511" s="199" t="s">
        <v>38</v>
      </c>
      <c r="C511" s="60" t="s">
        <v>786</v>
      </c>
      <c r="D511" s="60" t="s">
        <v>2182</v>
      </c>
      <c r="E511" s="60" t="s">
        <v>788</v>
      </c>
      <c r="F511" s="60" t="s">
        <v>789</v>
      </c>
      <c r="G511" s="61">
        <v>50.0</v>
      </c>
      <c r="H511" s="62">
        <v>16.67</v>
      </c>
      <c r="I511" s="372" t="s">
        <v>2183</v>
      </c>
      <c r="J511" s="247"/>
      <c r="K511" s="247"/>
      <c r="L511" s="247"/>
      <c r="M511" s="247"/>
      <c r="N511" s="247"/>
      <c r="O511" s="247"/>
      <c r="P511" s="247"/>
      <c r="Q511" s="247"/>
      <c r="R511" s="247"/>
      <c r="S511" s="247"/>
      <c r="T511" s="247"/>
      <c r="U511" s="247"/>
      <c r="V511" s="247"/>
      <c r="W511" s="247"/>
      <c r="X511" s="247"/>
      <c r="Y511" s="247"/>
      <c r="Z511" s="247"/>
    </row>
    <row r="512" ht="331.5" customHeight="1">
      <c r="A512" s="52" t="s">
        <v>2184</v>
      </c>
      <c r="B512" s="199" t="s">
        <v>38</v>
      </c>
      <c r="C512" s="60" t="s">
        <v>786</v>
      </c>
      <c r="D512" s="57" t="s">
        <v>2185</v>
      </c>
      <c r="E512" s="60" t="s">
        <v>792</v>
      </c>
      <c r="F512" s="60" t="s">
        <v>793</v>
      </c>
      <c r="G512" s="61">
        <v>50.0</v>
      </c>
      <c r="H512" s="62">
        <v>16.67</v>
      </c>
      <c r="I512" s="372" t="s">
        <v>2183</v>
      </c>
      <c r="J512" s="247"/>
      <c r="K512" s="247"/>
      <c r="L512" s="247"/>
      <c r="M512" s="247"/>
      <c r="N512" s="247"/>
      <c r="O512" s="247"/>
      <c r="P512" s="247"/>
      <c r="Q512" s="247"/>
      <c r="R512" s="247"/>
      <c r="S512" s="247"/>
      <c r="T512" s="247"/>
      <c r="U512" s="247"/>
      <c r="V512" s="247"/>
      <c r="W512" s="247"/>
      <c r="X512" s="247"/>
      <c r="Y512" s="247"/>
      <c r="Z512" s="247"/>
    </row>
    <row r="513" ht="229.5" customHeight="1">
      <c r="A513" s="52" t="s">
        <v>2186</v>
      </c>
      <c r="B513" s="199" t="s">
        <v>38</v>
      </c>
      <c r="C513" s="60" t="s">
        <v>786</v>
      </c>
      <c r="D513" s="60" t="s">
        <v>2187</v>
      </c>
      <c r="E513" s="60" t="s">
        <v>2188</v>
      </c>
      <c r="F513" s="60" t="s">
        <v>796</v>
      </c>
      <c r="G513" s="61">
        <v>50.0</v>
      </c>
      <c r="H513" s="62">
        <v>16.67</v>
      </c>
      <c r="I513" s="372" t="s">
        <v>2183</v>
      </c>
      <c r="J513" s="247"/>
      <c r="K513" s="247"/>
      <c r="L513" s="247"/>
      <c r="M513" s="247"/>
      <c r="N513" s="247"/>
      <c r="O513" s="247"/>
      <c r="P513" s="247"/>
      <c r="Q513" s="247"/>
      <c r="R513" s="247"/>
      <c r="S513" s="247"/>
      <c r="T513" s="247"/>
      <c r="U513" s="247"/>
      <c r="V513" s="247"/>
      <c r="W513" s="247"/>
      <c r="X513" s="247"/>
      <c r="Y513" s="247"/>
      <c r="Z513" s="247"/>
    </row>
    <row r="514" ht="191.25" customHeight="1">
      <c r="A514" s="52" t="s">
        <v>2189</v>
      </c>
      <c r="B514" s="199" t="s">
        <v>38</v>
      </c>
      <c r="C514" s="60" t="s">
        <v>786</v>
      </c>
      <c r="D514" s="60" t="s">
        <v>2190</v>
      </c>
      <c r="E514" s="469" t="s">
        <v>2191</v>
      </c>
      <c r="F514" s="60" t="s">
        <v>2192</v>
      </c>
      <c r="G514" s="61">
        <v>15.0</v>
      </c>
      <c r="H514" s="62">
        <f>G514/3</f>
        <v>5</v>
      </c>
      <c r="I514" s="372" t="s">
        <v>2183</v>
      </c>
      <c r="J514" s="247"/>
      <c r="K514" s="247"/>
      <c r="L514" s="247"/>
      <c r="M514" s="247"/>
      <c r="N514" s="247"/>
      <c r="O514" s="247"/>
      <c r="P514" s="247"/>
      <c r="Q514" s="247"/>
      <c r="R514" s="247"/>
      <c r="S514" s="247"/>
      <c r="T514" s="247"/>
      <c r="U514" s="247"/>
      <c r="V514" s="247"/>
      <c r="W514" s="247"/>
      <c r="X514" s="247"/>
      <c r="Y514" s="247"/>
      <c r="Z514" s="247"/>
    </row>
    <row r="515" ht="114.75" customHeight="1">
      <c r="A515" s="52" t="s">
        <v>2193</v>
      </c>
      <c r="B515" s="199" t="s">
        <v>38</v>
      </c>
      <c r="C515" s="60" t="s">
        <v>786</v>
      </c>
      <c r="D515" s="60" t="s">
        <v>800</v>
      </c>
      <c r="E515" s="60" t="s">
        <v>801</v>
      </c>
      <c r="F515" s="60" t="s">
        <v>802</v>
      </c>
      <c r="G515" s="61">
        <v>50.0</v>
      </c>
      <c r="H515" s="62">
        <v>16.67</v>
      </c>
      <c r="I515" s="372" t="s">
        <v>2183</v>
      </c>
      <c r="J515" s="247"/>
      <c r="K515" s="247"/>
      <c r="L515" s="247"/>
      <c r="M515" s="247"/>
      <c r="N515" s="247"/>
      <c r="O515" s="247"/>
      <c r="P515" s="247"/>
      <c r="Q515" s="247"/>
      <c r="R515" s="247"/>
      <c r="S515" s="247"/>
      <c r="T515" s="247"/>
      <c r="U515" s="247"/>
      <c r="V515" s="247"/>
      <c r="W515" s="247"/>
      <c r="X515" s="247"/>
      <c r="Y515" s="247"/>
      <c r="Z515" s="247"/>
    </row>
    <row r="516" ht="204.0" customHeight="1">
      <c r="A516" s="52" t="s">
        <v>2194</v>
      </c>
      <c r="B516" s="199" t="s">
        <v>38</v>
      </c>
      <c r="C516" s="60" t="s">
        <v>786</v>
      </c>
      <c r="D516" s="60" t="s">
        <v>2195</v>
      </c>
      <c r="E516" s="60" t="s">
        <v>807</v>
      </c>
      <c r="F516" s="60" t="s">
        <v>808</v>
      </c>
      <c r="G516" s="61">
        <v>50.0</v>
      </c>
      <c r="H516" s="62">
        <v>16.67</v>
      </c>
      <c r="I516" s="372" t="s">
        <v>2183</v>
      </c>
      <c r="J516" s="247"/>
      <c r="K516" s="247"/>
      <c r="L516" s="247"/>
      <c r="M516" s="247"/>
      <c r="N516" s="247"/>
      <c r="O516" s="247"/>
      <c r="P516" s="247"/>
      <c r="Q516" s="247"/>
      <c r="R516" s="247"/>
      <c r="S516" s="247"/>
      <c r="T516" s="247"/>
      <c r="U516" s="247"/>
      <c r="V516" s="247"/>
      <c r="W516" s="247"/>
      <c r="X516" s="247"/>
      <c r="Y516" s="247"/>
      <c r="Z516" s="247"/>
    </row>
    <row r="517" ht="191.25" customHeight="1">
      <c r="A517" s="52" t="s">
        <v>2196</v>
      </c>
      <c r="B517" s="199" t="s">
        <v>38</v>
      </c>
      <c r="C517" s="60" t="s">
        <v>786</v>
      </c>
      <c r="D517" s="60" t="s">
        <v>2197</v>
      </c>
      <c r="E517" s="60" t="s">
        <v>2198</v>
      </c>
      <c r="F517" s="60" t="s">
        <v>2199</v>
      </c>
      <c r="G517" s="61">
        <v>50.0</v>
      </c>
      <c r="H517" s="62">
        <v>16.67</v>
      </c>
      <c r="I517" s="372" t="s">
        <v>2183</v>
      </c>
      <c r="J517" s="247"/>
      <c r="K517" s="247"/>
      <c r="L517" s="247"/>
      <c r="M517" s="247"/>
      <c r="N517" s="247"/>
      <c r="O517" s="247"/>
      <c r="P517" s="247"/>
      <c r="Q517" s="247"/>
      <c r="R517" s="247"/>
      <c r="S517" s="247"/>
      <c r="T517" s="247"/>
      <c r="U517" s="247"/>
      <c r="V517" s="247"/>
      <c r="W517" s="247"/>
      <c r="X517" s="247"/>
      <c r="Y517" s="247"/>
      <c r="Z517" s="247"/>
    </row>
    <row r="518" ht="204.0" customHeight="1">
      <c r="A518" s="52" t="s">
        <v>2200</v>
      </c>
      <c r="B518" s="199" t="s">
        <v>38</v>
      </c>
      <c r="C518" s="60" t="s">
        <v>786</v>
      </c>
      <c r="D518" s="60" t="s">
        <v>2201</v>
      </c>
      <c r="E518" s="60" t="s">
        <v>2202</v>
      </c>
      <c r="F518" s="60" t="s">
        <v>837</v>
      </c>
      <c r="G518" s="61">
        <v>50.0</v>
      </c>
      <c r="H518" s="62">
        <v>16.67</v>
      </c>
      <c r="I518" s="372" t="s">
        <v>2183</v>
      </c>
      <c r="J518" s="247"/>
      <c r="K518" s="247"/>
      <c r="L518" s="247"/>
      <c r="M518" s="247"/>
      <c r="N518" s="247"/>
      <c r="O518" s="247"/>
      <c r="P518" s="247"/>
      <c r="Q518" s="247"/>
      <c r="R518" s="247"/>
      <c r="S518" s="247"/>
      <c r="T518" s="247"/>
      <c r="U518" s="247"/>
      <c r="V518" s="247"/>
      <c r="W518" s="247"/>
      <c r="X518" s="247"/>
      <c r="Y518" s="247"/>
      <c r="Z518" s="247"/>
    </row>
    <row r="519" ht="204.0" customHeight="1">
      <c r="A519" s="52" t="s">
        <v>2203</v>
      </c>
      <c r="B519" s="199" t="s">
        <v>38</v>
      </c>
      <c r="C519" s="60" t="s">
        <v>786</v>
      </c>
      <c r="D519" s="60" t="s">
        <v>2204</v>
      </c>
      <c r="E519" s="60" t="s">
        <v>816</v>
      </c>
      <c r="F519" s="60" t="s">
        <v>817</v>
      </c>
      <c r="G519" s="61">
        <v>50.0</v>
      </c>
      <c r="H519" s="62">
        <v>16.67</v>
      </c>
      <c r="I519" s="372" t="s">
        <v>2183</v>
      </c>
      <c r="J519" s="247"/>
      <c r="K519" s="247"/>
      <c r="L519" s="247"/>
      <c r="M519" s="247"/>
      <c r="N519" s="247"/>
      <c r="O519" s="247"/>
      <c r="P519" s="247"/>
      <c r="Q519" s="247"/>
      <c r="R519" s="247"/>
      <c r="S519" s="247"/>
      <c r="T519" s="247"/>
      <c r="U519" s="247"/>
      <c r="V519" s="247"/>
      <c r="W519" s="247"/>
      <c r="X519" s="247"/>
      <c r="Y519" s="247"/>
      <c r="Z519" s="247"/>
    </row>
    <row r="520" ht="369.75" customHeight="1">
      <c r="A520" s="52" t="s">
        <v>2205</v>
      </c>
      <c r="B520" s="199" t="s">
        <v>38</v>
      </c>
      <c r="C520" s="60" t="s">
        <v>2206</v>
      </c>
      <c r="D520" s="60" t="s">
        <v>2207</v>
      </c>
      <c r="E520" s="60" t="s">
        <v>2208</v>
      </c>
      <c r="F520" s="60" t="s">
        <v>2209</v>
      </c>
      <c r="G520" s="61">
        <v>50.0</v>
      </c>
      <c r="H520" s="62">
        <f t="shared" ref="H520:H532" si="22">G520</f>
        <v>50</v>
      </c>
      <c r="I520" s="372" t="s">
        <v>2183</v>
      </c>
      <c r="J520" s="247"/>
      <c r="K520" s="247"/>
      <c r="L520" s="247"/>
      <c r="M520" s="247"/>
      <c r="N520" s="247"/>
      <c r="O520" s="247"/>
      <c r="P520" s="247"/>
      <c r="Q520" s="247"/>
      <c r="R520" s="247"/>
      <c r="S520" s="247"/>
      <c r="T520" s="247"/>
      <c r="U520" s="247"/>
      <c r="V520" s="247"/>
      <c r="W520" s="247"/>
      <c r="X520" s="247"/>
      <c r="Y520" s="247"/>
      <c r="Z520" s="247"/>
    </row>
    <row r="521" ht="331.5" customHeight="1">
      <c r="A521" s="52" t="s">
        <v>2210</v>
      </c>
      <c r="B521" s="199" t="s">
        <v>38</v>
      </c>
      <c r="C521" s="60" t="s">
        <v>2206</v>
      </c>
      <c r="D521" s="60" t="s">
        <v>2211</v>
      </c>
      <c r="E521" s="60" t="s">
        <v>2212</v>
      </c>
      <c r="F521" s="60" t="s">
        <v>2213</v>
      </c>
      <c r="G521" s="61">
        <v>50.0</v>
      </c>
      <c r="H521" s="62">
        <f t="shared" si="22"/>
        <v>50</v>
      </c>
      <c r="I521" s="372" t="s">
        <v>2183</v>
      </c>
      <c r="J521" s="247"/>
      <c r="K521" s="247"/>
      <c r="L521" s="247"/>
      <c r="M521" s="247"/>
      <c r="N521" s="247"/>
      <c r="O521" s="247"/>
      <c r="P521" s="247"/>
      <c r="Q521" s="247"/>
      <c r="R521" s="247"/>
      <c r="S521" s="247"/>
      <c r="T521" s="247"/>
      <c r="U521" s="247"/>
      <c r="V521" s="247"/>
      <c r="W521" s="247"/>
      <c r="X521" s="247"/>
      <c r="Y521" s="247"/>
      <c r="Z521" s="247"/>
    </row>
    <row r="522" ht="229.5" customHeight="1">
      <c r="A522" s="52" t="s">
        <v>2214</v>
      </c>
      <c r="B522" s="199" t="s">
        <v>38</v>
      </c>
      <c r="C522" s="60" t="s">
        <v>2206</v>
      </c>
      <c r="D522" s="60" t="s">
        <v>2215</v>
      </c>
      <c r="E522" s="60" t="s">
        <v>2216</v>
      </c>
      <c r="F522" s="60" t="s">
        <v>2217</v>
      </c>
      <c r="G522" s="61">
        <v>50.0</v>
      </c>
      <c r="H522" s="62">
        <f t="shared" si="22"/>
        <v>50</v>
      </c>
      <c r="I522" s="372" t="s">
        <v>2183</v>
      </c>
      <c r="J522" s="247"/>
      <c r="K522" s="247"/>
      <c r="L522" s="247"/>
      <c r="M522" s="247"/>
      <c r="N522" s="247"/>
      <c r="O522" s="247"/>
      <c r="P522" s="247"/>
      <c r="Q522" s="247"/>
      <c r="R522" s="247"/>
      <c r="S522" s="247"/>
      <c r="T522" s="247"/>
      <c r="U522" s="247"/>
      <c r="V522" s="247"/>
      <c r="W522" s="247"/>
      <c r="X522" s="247"/>
      <c r="Y522" s="247"/>
      <c r="Z522" s="247"/>
    </row>
    <row r="523" ht="178.5" customHeight="1">
      <c r="A523" s="52" t="s">
        <v>2218</v>
      </c>
      <c r="B523" s="199" t="s">
        <v>38</v>
      </c>
      <c r="C523" s="60" t="s">
        <v>2206</v>
      </c>
      <c r="D523" s="60" t="s">
        <v>2219</v>
      </c>
      <c r="E523" s="60" t="s">
        <v>2220</v>
      </c>
      <c r="F523" s="60" t="s">
        <v>2221</v>
      </c>
      <c r="G523" s="61">
        <v>50.0</v>
      </c>
      <c r="H523" s="62">
        <f t="shared" si="22"/>
        <v>50</v>
      </c>
      <c r="I523" s="372" t="s">
        <v>2183</v>
      </c>
      <c r="J523" s="247"/>
      <c r="K523" s="247"/>
      <c r="L523" s="247"/>
      <c r="M523" s="247"/>
      <c r="N523" s="247"/>
      <c r="O523" s="247"/>
      <c r="P523" s="247"/>
      <c r="Q523" s="247"/>
      <c r="R523" s="247"/>
      <c r="S523" s="247"/>
      <c r="T523" s="247"/>
      <c r="U523" s="247"/>
      <c r="V523" s="247"/>
      <c r="W523" s="247"/>
      <c r="X523" s="247"/>
      <c r="Y523" s="247"/>
      <c r="Z523" s="247"/>
    </row>
    <row r="524" ht="140.25" customHeight="1">
      <c r="A524" s="52" t="s">
        <v>2222</v>
      </c>
      <c r="B524" s="199" t="s">
        <v>38</v>
      </c>
      <c r="C524" s="60" t="s">
        <v>2206</v>
      </c>
      <c r="D524" s="60" t="s">
        <v>2223</v>
      </c>
      <c r="E524" s="60" t="s">
        <v>2224</v>
      </c>
      <c r="F524" s="60" t="s">
        <v>2225</v>
      </c>
      <c r="G524" s="61">
        <v>50.0</v>
      </c>
      <c r="H524" s="62">
        <f t="shared" si="22"/>
        <v>50</v>
      </c>
      <c r="I524" s="372" t="s">
        <v>2183</v>
      </c>
      <c r="J524" s="247"/>
      <c r="K524" s="247"/>
      <c r="L524" s="247"/>
      <c r="M524" s="247"/>
      <c r="N524" s="247"/>
      <c r="O524" s="247"/>
      <c r="P524" s="247"/>
      <c r="Q524" s="247"/>
      <c r="R524" s="247"/>
      <c r="S524" s="247"/>
      <c r="T524" s="247"/>
      <c r="U524" s="247"/>
      <c r="V524" s="247"/>
      <c r="W524" s="247"/>
      <c r="X524" s="247"/>
      <c r="Y524" s="247"/>
      <c r="Z524" s="247"/>
    </row>
    <row r="525" ht="344.25" customHeight="1">
      <c r="A525" s="52" t="s">
        <v>2226</v>
      </c>
      <c r="B525" s="199" t="s">
        <v>38</v>
      </c>
      <c r="C525" s="60" t="s">
        <v>2206</v>
      </c>
      <c r="D525" s="60" t="s">
        <v>2227</v>
      </c>
      <c r="E525" s="60" t="s">
        <v>2228</v>
      </c>
      <c r="F525" s="60" t="s">
        <v>2217</v>
      </c>
      <c r="G525" s="61">
        <v>50.0</v>
      </c>
      <c r="H525" s="62">
        <f t="shared" si="22"/>
        <v>50</v>
      </c>
      <c r="I525" s="372" t="s">
        <v>2183</v>
      </c>
      <c r="J525" s="247"/>
      <c r="K525" s="247"/>
      <c r="L525" s="247"/>
      <c r="M525" s="247"/>
      <c r="N525" s="247"/>
      <c r="O525" s="247"/>
      <c r="P525" s="247"/>
      <c r="Q525" s="247"/>
      <c r="R525" s="247"/>
      <c r="S525" s="247"/>
      <c r="T525" s="247"/>
      <c r="U525" s="247"/>
      <c r="V525" s="247"/>
      <c r="W525" s="247"/>
      <c r="X525" s="247"/>
      <c r="Y525" s="247"/>
      <c r="Z525" s="247"/>
    </row>
    <row r="526" ht="216.75" customHeight="1">
      <c r="A526" s="52" t="s">
        <v>2229</v>
      </c>
      <c r="B526" s="199" t="s">
        <v>38</v>
      </c>
      <c r="C526" s="60" t="s">
        <v>2206</v>
      </c>
      <c r="D526" s="60" t="s">
        <v>2230</v>
      </c>
      <c r="E526" s="469" t="s">
        <v>2231</v>
      </c>
      <c r="F526" s="60" t="s">
        <v>2192</v>
      </c>
      <c r="G526" s="61">
        <v>15.0</v>
      </c>
      <c r="H526" s="62">
        <f t="shared" si="22"/>
        <v>15</v>
      </c>
      <c r="I526" s="372" t="s">
        <v>2183</v>
      </c>
      <c r="J526" s="247"/>
      <c r="K526" s="247"/>
      <c r="L526" s="247"/>
      <c r="M526" s="247"/>
      <c r="N526" s="247"/>
      <c r="O526" s="247"/>
      <c r="P526" s="247"/>
      <c r="Q526" s="247"/>
      <c r="R526" s="247"/>
      <c r="S526" s="247"/>
      <c r="T526" s="247"/>
      <c r="U526" s="247"/>
      <c r="V526" s="247"/>
      <c r="W526" s="247"/>
      <c r="X526" s="247"/>
      <c r="Y526" s="247"/>
      <c r="Z526" s="247"/>
    </row>
    <row r="527" ht="178.5" customHeight="1">
      <c r="A527" s="52" t="s">
        <v>2232</v>
      </c>
      <c r="B527" s="199" t="s">
        <v>38</v>
      </c>
      <c r="C527" s="60" t="s">
        <v>2206</v>
      </c>
      <c r="D527" s="60" t="s">
        <v>2233</v>
      </c>
      <c r="E527" s="60" t="s">
        <v>2234</v>
      </c>
      <c r="F527" s="60" t="s">
        <v>2235</v>
      </c>
      <c r="G527" s="61">
        <v>50.0</v>
      </c>
      <c r="H527" s="62">
        <f t="shared" si="22"/>
        <v>50</v>
      </c>
      <c r="I527" s="372" t="s">
        <v>2183</v>
      </c>
      <c r="J527" s="247"/>
      <c r="K527" s="247"/>
      <c r="L527" s="247"/>
      <c r="M527" s="247"/>
      <c r="N527" s="247"/>
      <c r="O527" s="247"/>
      <c r="P527" s="247"/>
      <c r="Q527" s="247"/>
      <c r="R527" s="247"/>
      <c r="S527" s="247"/>
      <c r="T527" s="247"/>
      <c r="U527" s="247"/>
      <c r="V527" s="247"/>
      <c r="W527" s="247"/>
      <c r="X527" s="247"/>
      <c r="Y527" s="247"/>
      <c r="Z527" s="247"/>
    </row>
    <row r="528" ht="153.0" customHeight="1">
      <c r="A528" s="52" t="s">
        <v>2236</v>
      </c>
      <c r="B528" s="199" t="s">
        <v>38</v>
      </c>
      <c r="C528" s="60" t="s">
        <v>2206</v>
      </c>
      <c r="D528" s="60" t="s">
        <v>2237</v>
      </c>
      <c r="E528" s="60" t="s">
        <v>2238</v>
      </c>
      <c r="F528" s="60" t="s">
        <v>2239</v>
      </c>
      <c r="G528" s="61">
        <v>50.0</v>
      </c>
      <c r="H528" s="62">
        <f t="shared" si="22"/>
        <v>50</v>
      </c>
      <c r="I528" s="372" t="s">
        <v>2183</v>
      </c>
      <c r="J528" s="247"/>
      <c r="K528" s="247"/>
      <c r="L528" s="247"/>
      <c r="M528" s="247"/>
      <c r="N528" s="247"/>
      <c r="O528" s="247"/>
      <c r="P528" s="247"/>
      <c r="Q528" s="247"/>
      <c r="R528" s="247"/>
      <c r="S528" s="247"/>
      <c r="T528" s="247"/>
      <c r="U528" s="247"/>
      <c r="V528" s="247"/>
      <c r="W528" s="247"/>
      <c r="X528" s="247"/>
      <c r="Y528" s="247"/>
      <c r="Z528" s="247"/>
    </row>
    <row r="529" ht="178.5" customHeight="1">
      <c r="A529" s="52" t="s">
        <v>2240</v>
      </c>
      <c r="B529" s="199" t="s">
        <v>38</v>
      </c>
      <c r="C529" s="60" t="s">
        <v>2206</v>
      </c>
      <c r="D529" s="60" t="s">
        <v>2241</v>
      </c>
      <c r="E529" s="60" t="s">
        <v>2242</v>
      </c>
      <c r="F529" s="60" t="s">
        <v>2243</v>
      </c>
      <c r="G529" s="61">
        <v>50.0</v>
      </c>
      <c r="H529" s="62">
        <f t="shared" si="22"/>
        <v>50</v>
      </c>
      <c r="I529" s="372" t="s">
        <v>2183</v>
      </c>
      <c r="J529" s="247"/>
      <c r="K529" s="247"/>
      <c r="L529" s="247"/>
      <c r="M529" s="247"/>
      <c r="N529" s="247"/>
      <c r="O529" s="247"/>
      <c r="P529" s="247"/>
      <c r="Q529" s="247"/>
      <c r="R529" s="247"/>
      <c r="S529" s="247"/>
      <c r="T529" s="247"/>
      <c r="U529" s="247"/>
      <c r="V529" s="247"/>
      <c r="W529" s="247"/>
      <c r="X529" s="247"/>
      <c r="Y529" s="247"/>
      <c r="Z529" s="247"/>
    </row>
    <row r="530" ht="140.25" customHeight="1">
      <c r="A530" s="52" t="s">
        <v>2244</v>
      </c>
      <c r="B530" s="199" t="s">
        <v>38</v>
      </c>
      <c r="C530" s="60" t="s">
        <v>2206</v>
      </c>
      <c r="D530" s="60" t="s">
        <v>2245</v>
      </c>
      <c r="E530" s="469" t="s">
        <v>2246</v>
      </c>
      <c r="F530" s="60" t="s">
        <v>2192</v>
      </c>
      <c r="G530" s="61">
        <v>15.0</v>
      </c>
      <c r="H530" s="62">
        <f t="shared" si="22"/>
        <v>15</v>
      </c>
      <c r="I530" s="372" t="s">
        <v>2183</v>
      </c>
      <c r="J530" s="247"/>
      <c r="K530" s="247"/>
      <c r="L530" s="247"/>
      <c r="M530" s="247"/>
      <c r="N530" s="247"/>
      <c r="O530" s="247"/>
      <c r="P530" s="247"/>
      <c r="Q530" s="247"/>
      <c r="R530" s="247"/>
      <c r="S530" s="247"/>
      <c r="T530" s="247"/>
      <c r="U530" s="247"/>
      <c r="V530" s="247"/>
      <c r="W530" s="247"/>
      <c r="X530" s="247"/>
      <c r="Y530" s="247"/>
      <c r="Z530" s="247"/>
    </row>
    <row r="531" ht="306.0" customHeight="1">
      <c r="A531" s="52" t="s">
        <v>2247</v>
      </c>
      <c r="B531" s="199" t="s">
        <v>38</v>
      </c>
      <c r="C531" s="60" t="s">
        <v>2206</v>
      </c>
      <c r="D531" s="60" t="s">
        <v>2248</v>
      </c>
      <c r="E531" s="60" t="s">
        <v>2249</v>
      </c>
      <c r="F531" s="60" t="s">
        <v>2250</v>
      </c>
      <c r="G531" s="61">
        <v>50.0</v>
      </c>
      <c r="H531" s="62">
        <f t="shared" si="22"/>
        <v>50</v>
      </c>
      <c r="I531" s="372" t="s">
        <v>2183</v>
      </c>
      <c r="J531" s="247"/>
      <c r="K531" s="247"/>
      <c r="L531" s="247"/>
      <c r="M531" s="247"/>
      <c r="N531" s="247"/>
      <c r="O531" s="247"/>
      <c r="P531" s="247"/>
      <c r="Q531" s="247"/>
      <c r="R531" s="247"/>
      <c r="S531" s="247"/>
      <c r="T531" s="247"/>
      <c r="U531" s="247"/>
      <c r="V531" s="247"/>
      <c r="W531" s="247"/>
      <c r="X531" s="247"/>
      <c r="Y531" s="247"/>
      <c r="Z531" s="247"/>
    </row>
    <row r="532" ht="204.0" customHeight="1">
      <c r="A532" s="52" t="s">
        <v>2251</v>
      </c>
      <c r="B532" s="199" t="s">
        <v>38</v>
      </c>
      <c r="C532" s="60" t="s">
        <v>2206</v>
      </c>
      <c r="D532" s="60" t="s">
        <v>2252</v>
      </c>
      <c r="E532" s="60" t="s">
        <v>2253</v>
      </c>
      <c r="F532" s="60" t="s">
        <v>1514</v>
      </c>
      <c r="G532" s="61">
        <v>50.0</v>
      </c>
      <c r="H532" s="62">
        <f t="shared" si="22"/>
        <v>50</v>
      </c>
      <c r="I532" s="372" t="s">
        <v>2183</v>
      </c>
      <c r="J532" s="247"/>
      <c r="K532" s="247"/>
      <c r="L532" s="247"/>
      <c r="M532" s="247"/>
      <c r="N532" s="247"/>
      <c r="O532" s="247"/>
      <c r="P532" s="247"/>
      <c r="Q532" s="247"/>
      <c r="R532" s="247"/>
      <c r="S532" s="247"/>
      <c r="T532" s="247"/>
      <c r="U532" s="247"/>
      <c r="V532" s="247"/>
      <c r="W532" s="247"/>
      <c r="X532" s="247"/>
      <c r="Y532" s="247"/>
      <c r="Z532" s="247"/>
    </row>
    <row r="533" ht="408.0" customHeight="1">
      <c r="A533" s="52" t="s">
        <v>2254</v>
      </c>
      <c r="B533" s="199" t="s">
        <v>38</v>
      </c>
      <c r="C533" s="60" t="s">
        <v>819</v>
      </c>
      <c r="D533" s="60" t="s">
        <v>2255</v>
      </c>
      <c r="E533" s="470" t="s">
        <v>2256</v>
      </c>
      <c r="F533" s="60" t="s">
        <v>822</v>
      </c>
      <c r="G533" s="61">
        <v>50.0</v>
      </c>
      <c r="H533" s="62">
        <v>16.67</v>
      </c>
      <c r="I533" s="372" t="s">
        <v>2183</v>
      </c>
      <c r="J533" s="247"/>
      <c r="K533" s="247"/>
      <c r="L533" s="247"/>
      <c r="M533" s="247"/>
      <c r="N533" s="247"/>
      <c r="O533" s="247"/>
      <c r="P533" s="247"/>
      <c r="Q533" s="247"/>
      <c r="R533" s="247"/>
      <c r="S533" s="247"/>
      <c r="T533" s="247"/>
      <c r="U533" s="247"/>
      <c r="V533" s="247"/>
      <c r="W533" s="247"/>
      <c r="X533" s="247"/>
      <c r="Y533" s="247"/>
      <c r="Z533" s="247"/>
    </row>
    <row r="534" ht="102.0" customHeight="1">
      <c r="A534" s="52" t="s">
        <v>2257</v>
      </c>
      <c r="B534" s="199" t="s">
        <v>38</v>
      </c>
      <c r="C534" s="60" t="s">
        <v>2258</v>
      </c>
      <c r="D534" s="60" t="s">
        <v>2259</v>
      </c>
      <c r="E534" s="60" t="s">
        <v>2260</v>
      </c>
      <c r="F534" s="60" t="s">
        <v>2192</v>
      </c>
      <c r="G534" s="61">
        <v>15.0</v>
      </c>
      <c r="H534" s="62">
        <f>G534/2</f>
        <v>7.5</v>
      </c>
      <c r="I534" s="372" t="s">
        <v>2183</v>
      </c>
      <c r="J534" s="247"/>
      <c r="K534" s="247"/>
      <c r="L534" s="247"/>
      <c r="M534" s="247"/>
      <c r="N534" s="247"/>
      <c r="O534" s="247"/>
      <c r="P534" s="247"/>
      <c r="Q534" s="247"/>
      <c r="R534" s="247"/>
      <c r="S534" s="247"/>
      <c r="T534" s="247"/>
      <c r="U534" s="247"/>
      <c r="V534" s="247"/>
      <c r="W534" s="247"/>
      <c r="X534" s="247"/>
      <c r="Y534" s="247"/>
      <c r="Z534" s="247"/>
    </row>
    <row r="535" ht="127.5" customHeight="1">
      <c r="A535" s="52" t="s">
        <v>2261</v>
      </c>
      <c r="B535" s="199" t="s">
        <v>38</v>
      </c>
      <c r="C535" s="60" t="s">
        <v>858</v>
      </c>
      <c r="D535" s="60" t="s">
        <v>859</v>
      </c>
      <c r="E535" s="60" t="s">
        <v>860</v>
      </c>
      <c r="F535" s="60" t="s">
        <v>2192</v>
      </c>
      <c r="G535" s="61">
        <v>15.0</v>
      </c>
      <c r="H535" s="62">
        <v>1.67</v>
      </c>
      <c r="I535" s="372" t="s">
        <v>2183</v>
      </c>
      <c r="J535" s="247"/>
      <c r="K535" s="247"/>
      <c r="L535" s="247"/>
      <c r="M535" s="247"/>
      <c r="N535" s="247"/>
      <c r="O535" s="247"/>
      <c r="P535" s="247"/>
      <c r="Q535" s="247"/>
      <c r="R535" s="247"/>
      <c r="S535" s="247"/>
      <c r="T535" s="247"/>
      <c r="U535" s="247"/>
      <c r="V535" s="247"/>
      <c r="W535" s="247"/>
      <c r="X535" s="247"/>
      <c r="Y535" s="247"/>
      <c r="Z535" s="247"/>
    </row>
    <row r="536" ht="204.0" customHeight="1">
      <c r="A536" s="52" t="s">
        <v>2262</v>
      </c>
      <c r="B536" s="199" t="s">
        <v>38</v>
      </c>
      <c r="C536" s="60" t="s">
        <v>828</v>
      </c>
      <c r="D536" s="60" t="s">
        <v>2263</v>
      </c>
      <c r="E536" s="60" t="s">
        <v>830</v>
      </c>
      <c r="F536" s="60" t="s">
        <v>831</v>
      </c>
      <c r="G536" s="61">
        <v>50.0</v>
      </c>
      <c r="H536" s="62">
        <f>G536/5</f>
        <v>10</v>
      </c>
      <c r="I536" s="372" t="s">
        <v>2183</v>
      </c>
      <c r="J536" s="247"/>
      <c r="K536" s="247"/>
      <c r="L536" s="247"/>
      <c r="M536" s="247"/>
      <c r="N536" s="247"/>
      <c r="O536" s="247"/>
      <c r="P536" s="247"/>
      <c r="Q536" s="247"/>
      <c r="R536" s="247"/>
      <c r="S536" s="247"/>
      <c r="T536" s="247"/>
      <c r="U536" s="247"/>
      <c r="V536" s="247"/>
      <c r="W536" s="247"/>
      <c r="X536" s="247"/>
      <c r="Y536" s="247"/>
      <c r="Z536" s="247"/>
    </row>
    <row r="537" ht="204.0" customHeight="1">
      <c r="A537" s="52" t="s">
        <v>2264</v>
      </c>
      <c r="B537" s="199" t="s">
        <v>38</v>
      </c>
      <c r="C537" s="60" t="s">
        <v>833</v>
      </c>
      <c r="D537" s="60" t="s">
        <v>2263</v>
      </c>
      <c r="E537" s="469" t="s">
        <v>830</v>
      </c>
      <c r="F537" s="60" t="s">
        <v>831</v>
      </c>
      <c r="G537" s="61">
        <v>50.0</v>
      </c>
      <c r="H537" s="62">
        <f t="shared" ref="H537:H539" si="23">G537/4</f>
        <v>12.5</v>
      </c>
      <c r="I537" s="372" t="s">
        <v>2183</v>
      </c>
      <c r="J537" s="247"/>
      <c r="K537" s="247"/>
      <c r="L537" s="247"/>
      <c r="M537" s="247"/>
      <c r="N537" s="247"/>
      <c r="O537" s="247"/>
      <c r="P537" s="247"/>
      <c r="Q537" s="247"/>
      <c r="R537" s="247"/>
      <c r="S537" s="247"/>
      <c r="T537" s="247"/>
      <c r="U537" s="247"/>
      <c r="V537" s="247"/>
      <c r="W537" s="247"/>
      <c r="X537" s="247"/>
      <c r="Y537" s="247"/>
      <c r="Z537" s="247"/>
    </row>
    <row r="538" ht="331.5" customHeight="1">
      <c r="A538" s="52" t="s">
        <v>2265</v>
      </c>
      <c r="B538" s="199" t="s">
        <v>38</v>
      </c>
      <c r="C538" s="60" t="s">
        <v>835</v>
      </c>
      <c r="D538" s="60" t="s">
        <v>2266</v>
      </c>
      <c r="E538" s="60" t="s">
        <v>2202</v>
      </c>
      <c r="F538" s="60" t="s">
        <v>837</v>
      </c>
      <c r="G538" s="61">
        <v>50.0</v>
      </c>
      <c r="H538" s="62">
        <f t="shared" si="23"/>
        <v>12.5</v>
      </c>
      <c r="I538" s="372" t="s">
        <v>2183</v>
      </c>
      <c r="J538" s="247"/>
      <c r="K538" s="247"/>
      <c r="L538" s="247"/>
      <c r="M538" s="247"/>
      <c r="N538" s="247"/>
      <c r="O538" s="247"/>
      <c r="P538" s="247"/>
      <c r="Q538" s="247"/>
      <c r="R538" s="247"/>
      <c r="S538" s="247"/>
      <c r="T538" s="247"/>
      <c r="U538" s="247"/>
      <c r="V538" s="247"/>
      <c r="W538" s="247"/>
      <c r="X538" s="247"/>
      <c r="Y538" s="247"/>
      <c r="Z538" s="247"/>
    </row>
    <row r="539" ht="153.0" customHeight="1">
      <c r="A539" s="52" t="s">
        <v>2267</v>
      </c>
      <c r="B539" s="199" t="s">
        <v>38</v>
      </c>
      <c r="C539" s="60" t="s">
        <v>2268</v>
      </c>
      <c r="D539" s="60" t="s">
        <v>2269</v>
      </c>
      <c r="E539" s="60" t="s">
        <v>2270</v>
      </c>
      <c r="F539" s="60" t="s">
        <v>1514</v>
      </c>
      <c r="G539" s="61">
        <v>50.0</v>
      </c>
      <c r="H539" s="62">
        <f t="shared" si="23"/>
        <v>12.5</v>
      </c>
      <c r="I539" s="372" t="s">
        <v>2183</v>
      </c>
      <c r="J539" s="247"/>
      <c r="K539" s="247"/>
      <c r="L539" s="247"/>
      <c r="M539" s="247"/>
      <c r="N539" s="247"/>
      <c r="O539" s="247"/>
      <c r="P539" s="247"/>
      <c r="Q539" s="247"/>
      <c r="R539" s="247"/>
      <c r="S539" s="247"/>
      <c r="T539" s="247"/>
      <c r="U539" s="247"/>
      <c r="V539" s="247"/>
      <c r="W539" s="247"/>
      <c r="X539" s="247"/>
      <c r="Y539" s="247"/>
      <c r="Z539" s="247"/>
    </row>
    <row r="540" ht="204.0" customHeight="1">
      <c r="A540" s="52" t="s">
        <v>1025</v>
      </c>
      <c r="B540" s="199" t="s">
        <v>38</v>
      </c>
      <c r="C540" s="60" t="s">
        <v>1026</v>
      </c>
      <c r="D540" s="60" t="s">
        <v>2271</v>
      </c>
      <c r="E540" s="165" t="s">
        <v>2272</v>
      </c>
      <c r="F540" s="247"/>
      <c r="G540" s="61">
        <v>50.0</v>
      </c>
      <c r="H540" s="62">
        <v>16.66</v>
      </c>
      <c r="I540" s="372" t="s">
        <v>203</v>
      </c>
      <c r="J540" s="247"/>
      <c r="K540" s="247"/>
      <c r="L540" s="247"/>
      <c r="M540" s="247"/>
      <c r="N540" s="247"/>
      <c r="O540" s="247"/>
      <c r="P540" s="247"/>
      <c r="Q540" s="247"/>
      <c r="R540" s="247"/>
      <c r="S540" s="247"/>
      <c r="T540" s="247"/>
      <c r="U540" s="247"/>
      <c r="V540" s="247"/>
      <c r="W540" s="247"/>
      <c r="X540" s="247"/>
      <c r="Y540" s="247"/>
      <c r="Z540" s="247"/>
    </row>
    <row r="541" ht="300.0" customHeight="1">
      <c r="A541" s="332" t="s">
        <v>2273</v>
      </c>
      <c r="B541" s="333" t="s">
        <v>38</v>
      </c>
      <c r="C541" s="334" t="s">
        <v>1021</v>
      </c>
      <c r="D541" s="245" t="s">
        <v>2274</v>
      </c>
      <c r="E541" s="165" t="s">
        <v>2275</v>
      </c>
      <c r="F541" s="64"/>
      <c r="G541" s="61">
        <v>15.0</v>
      </c>
      <c r="H541" s="62">
        <f>G541/2</f>
        <v>7.5</v>
      </c>
      <c r="I541" s="372" t="s">
        <v>203</v>
      </c>
      <c r="J541" s="247"/>
      <c r="K541" s="247"/>
      <c r="L541" s="247"/>
      <c r="M541" s="247"/>
      <c r="N541" s="247"/>
      <c r="O541" s="247"/>
      <c r="P541" s="247"/>
      <c r="Q541" s="247"/>
      <c r="R541" s="247"/>
      <c r="S541" s="247"/>
      <c r="T541" s="247"/>
      <c r="U541" s="247"/>
      <c r="V541" s="247"/>
      <c r="W541" s="247"/>
      <c r="X541" s="247"/>
      <c r="Y541" s="247"/>
      <c r="Z541" s="247"/>
    </row>
    <row r="542" ht="15.75" customHeight="1">
      <c r="A542" s="63"/>
      <c r="B542" s="471"/>
      <c r="C542" s="57"/>
      <c r="D542" s="257"/>
      <c r="E542" s="94"/>
      <c r="F542" s="278"/>
      <c r="G542" s="422"/>
      <c r="H542" s="372"/>
      <c r="I542" s="372"/>
      <c r="J542" s="247"/>
      <c r="K542" s="247"/>
      <c r="L542" s="247"/>
      <c r="M542" s="247"/>
      <c r="N542" s="247"/>
      <c r="O542" s="247"/>
      <c r="P542" s="247"/>
      <c r="Q542" s="247"/>
      <c r="R542" s="247"/>
      <c r="S542" s="247"/>
      <c r="T542" s="247"/>
      <c r="U542" s="247"/>
      <c r="V542" s="247"/>
      <c r="W542" s="247"/>
      <c r="X542" s="247"/>
      <c r="Y542" s="247"/>
      <c r="Z542" s="247"/>
    </row>
    <row r="543" ht="15.75" customHeight="1">
      <c r="A543" s="63"/>
      <c r="B543" s="471"/>
      <c r="C543" s="57"/>
      <c r="D543" s="257"/>
      <c r="E543" s="94"/>
      <c r="F543" s="278"/>
      <c r="G543" s="422"/>
      <c r="H543" s="372"/>
      <c r="I543" s="372"/>
      <c r="J543" s="247"/>
      <c r="K543" s="247"/>
      <c r="L543" s="247"/>
      <c r="M543" s="247"/>
      <c r="N543" s="247"/>
      <c r="O543" s="247"/>
      <c r="P543" s="247"/>
      <c r="Q543" s="247"/>
      <c r="R543" s="247"/>
      <c r="S543" s="247"/>
      <c r="T543" s="247"/>
      <c r="U543" s="247"/>
      <c r="V543" s="247"/>
      <c r="W543" s="247"/>
      <c r="X543" s="247"/>
      <c r="Y543" s="247"/>
      <c r="Z543" s="247"/>
    </row>
    <row r="544" ht="15.75" customHeight="1">
      <c r="A544" s="63"/>
      <c r="B544" s="471"/>
      <c r="C544" s="57"/>
      <c r="D544" s="257"/>
      <c r="E544" s="94"/>
      <c r="F544" s="278"/>
      <c r="G544" s="422"/>
      <c r="H544" s="372"/>
      <c r="I544" s="372"/>
      <c r="J544" s="247"/>
      <c r="K544" s="247"/>
      <c r="L544" s="247"/>
      <c r="M544" s="247"/>
      <c r="N544" s="247"/>
      <c r="O544" s="247"/>
      <c r="P544" s="247"/>
      <c r="Q544" s="247"/>
      <c r="R544" s="247"/>
      <c r="S544" s="247"/>
      <c r="T544" s="247"/>
      <c r="U544" s="247"/>
      <c r="V544" s="247"/>
      <c r="W544" s="247"/>
      <c r="X544" s="247"/>
      <c r="Y544" s="247"/>
      <c r="Z544" s="247"/>
    </row>
    <row r="545" ht="15.75" customHeight="1">
      <c r="A545" s="63"/>
      <c r="B545" s="471"/>
      <c r="C545" s="57"/>
      <c r="D545" s="257"/>
      <c r="E545" s="94"/>
      <c r="F545" s="278"/>
      <c r="G545" s="422"/>
      <c r="H545" s="372"/>
      <c r="I545" s="372"/>
      <c r="J545" s="247"/>
      <c r="K545" s="247"/>
      <c r="L545" s="247"/>
      <c r="M545" s="247"/>
      <c r="N545" s="247"/>
      <c r="O545" s="247"/>
      <c r="P545" s="247"/>
      <c r="Q545" s="247"/>
      <c r="R545" s="247"/>
      <c r="S545" s="247"/>
      <c r="T545" s="247"/>
      <c r="U545" s="247"/>
      <c r="V545" s="247"/>
      <c r="W545" s="247"/>
      <c r="X545" s="247"/>
      <c r="Y545" s="247"/>
      <c r="Z545" s="247"/>
    </row>
    <row r="546" ht="15.75" customHeight="1">
      <c r="A546" s="63"/>
      <c r="B546" s="471"/>
      <c r="C546" s="57"/>
      <c r="D546" s="257"/>
      <c r="E546" s="94"/>
      <c r="F546" s="278"/>
      <c r="G546" s="422"/>
      <c r="H546" s="372"/>
      <c r="I546" s="372"/>
      <c r="J546" s="247"/>
      <c r="K546" s="247"/>
      <c r="L546" s="247"/>
      <c r="M546" s="247"/>
      <c r="N546" s="247"/>
      <c r="O546" s="247"/>
      <c r="P546" s="247"/>
      <c r="Q546" s="247"/>
      <c r="R546" s="247"/>
      <c r="S546" s="247"/>
      <c r="T546" s="247"/>
      <c r="U546" s="247"/>
      <c r="V546" s="247"/>
      <c r="W546" s="247"/>
      <c r="X546" s="247"/>
      <c r="Y546" s="247"/>
      <c r="Z546" s="247"/>
    </row>
    <row r="547" ht="15.75" customHeight="1">
      <c r="A547" s="63"/>
      <c r="B547" s="471"/>
      <c r="C547" s="57"/>
      <c r="D547" s="257"/>
      <c r="E547" s="94"/>
      <c r="F547" s="278"/>
      <c r="G547" s="422"/>
      <c r="H547" s="372"/>
      <c r="I547" s="372"/>
      <c r="J547" s="247"/>
      <c r="K547" s="247"/>
      <c r="L547" s="247"/>
      <c r="M547" s="247"/>
      <c r="N547" s="247"/>
      <c r="O547" s="247"/>
      <c r="P547" s="247"/>
      <c r="Q547" s="247"/>
      <c r="R547" s="247"/>
      <c r="S547" s="247"/>
      <c r="T547" s="247"/>
      <c r="U547" s="247"/>
      <c r="V547" s="247"/>
      <c r="W547" s="247"/>
      <c r="X547" s="247"/>
      <c r="Y547" s="247"/>
      <c r="Z547" s="247"/>
    </row>
    <row r="548" ht="15.75" customHeight="1">
      <c r="A548" s="63"/>
      <c r="B548" s="471"/>
      <c r="C548" s="57"/>
      <c r="D548" s="257"/>
      <c r="E548" s="94"/>
      <c r="F548" s="278"/>
      <c r="G548" s="422"/>
      <c r="H548" s="372"/>
      <c r="I548" s="372"/>
      <c r="J548" s="247"/>
      <c r="K548" s="247"/>
      <c r="L548" s="247"/>
      <c r="M548" s="247"/>
      <c r="N548" s="247"/>
      <c r="O548" s="247"/>
      <c r="P548" s="247"/>
      <c r="Q548" s="247"/>
      <c r="R548" s="247"/>
      <c r="S548" s="247"/>
      <c r="T548" s="247"/>
      <c r="U548" s="247"/>
      <c r="V548" s="247"/>
      <c r="W548" s="247"/>
      <c r="X548" s="247"/>
      <c r="Y548" s="247"/>
      <c r="Z548" s="247"/>
    </row>
    <row r="549" ht="15.75" customHeight="1">
      <c r="A549" s="63"/>
      <c r="B549" s="471"/>
      <c r="C549" s="57"/>
      <c r="D549" s="257"/>
      <c r="E549" s="94"/>
      <c r="F549" s="278"/>
      <c r="G549" s="422"/>
      <c r="H549" s="372"/>
      <c r="I549" s="372"/>
      <c r="J549" s="247"/>
      <c r="K549" s="247"/>
      <c r="L549" s="247"/>
      <c r="M549" s="247"/>
      <c r="N549" s="247"/>
      <c r="O549" s="247"/>
      <c r="P549" s="247"/>
      <c r="Q549" s="247"/>
      <c r="R549" s="247"/>
      <c r="S549" s="247"/>
      <c r="T549" s="247"/>
      <c r="U549" s="247"/>
      <c r="V549" s="247"/>
      <c r="W549" s="247"/>
      <c r="X549" s="247"/>
      <c r="Y549" s="247"/>
      <c r="Z549" s="247"/>
    </row>
    <row r="550" ht="15.75" customHeight="1">
      <c r="A550" s="36"/>
      <c r="B550" s="37"/>
      <c r="C550" s="37"/>
      <c r="D550" s="1"/>
      <c r="E550" s="1"/>
      <c r="F550" s="1"/>
      <c r="G550" s="1"/>
      <c r="H550" s="1"/>
      <c r="I550" s="247"/>
      <c r="J550" s="247"/>
      <c r="K550" s="247"/>
      <c r="L550" s="247"/>
      <c r="M550" s="247"/>
      <c r="N550" s="247"/>
      <c r="O550" s="247"/>
      <c r="P550" s="247"/>
      <c r="Q550" s="247"/>
      <c r="R550" s="247"/>
      <c r="S550" s="247"/>
      <c r="T550" s="247"/>
      <c r="U550" s="247"/>
      <c r="V550" s="247"/>
      <c r="W550" s="247"/>
      <c r="X550" s="247"/>
      <c r="Y550" s="247"/>
      <c r="Z550" s="247"/>
    </row>
    <row r="551" ht="15.75" customHeight="1">
      <c r="A551" s="36"/>
      <c r="B551" s="37"/>
      <c r="C551" s="37"/>
      <c r="D551" s="1"/>
      <c r="E551" s="1"/>
      <c r="F551" s="1"/>
      <c r="G551" s="1"/>
      <c r="H551" s="1"/>
      <c r="I551" s="247"/>
      <c r="J551" s="247"/>
      <c r="K551" s="247"/>
      <c r="L551" s="247"/>
      <c r="M551" s="247"/>
      <c r="N551" s="247"/>
      <c r="O551" s="247"/>
      <c r="P551" s="247"/>
      <c r="Q551" s="247"/>
      <c r="R551" s="247"/>
      <c r="S551" s="247"/>
      <c r="T551" s="247"/>
      <c r="U551" s="247"/>
      <c r="V551" s="247"/>
      <c r="W551" s="247"/>
      <c r="X551" s="247"/>
      <c r="Y551" s="247"/>
      <c r="Z551" s="247"/>
    </row>
    <row r="552" ht="15.75" customHeight="1">
      <c r="A552" s="36"/>
      <c r="B552" s="37"/>
      <c r="C552" s="37"/>
      <c r="D552" s="1"/>
      <c r="E552" s="1"/>
      <c r="F552" s="1"/>
      <c r="G552" s="1"/>
      <c r="H552" s="1"/>
      <c r="I552" s="247"/>
      <c r="J552" s="247"/>
      <c r="K552" s="247"/>
      <c r="L552" s="247"/>
      <c r="M552" s="247"/>
      <c r="N552" s="247"/>
      <c r="O552" s="247"/>
      <c r="P552" s="247"/>
      <c r="Q552" s="247"/>
      <c r="R552" s="247"/>
      <c r="S552" s="247"/>
      <c r="T552" s="247"/>
      <c r="U552" s="247"/>
      <c r="V552" s="247"/>
      <c r="W552" s="247"/>
      <c r="X552" s="247"/>
      <c r="Y552" s="247"/>
      <c r="Z552" s="247"/>
    </row>
    <row r="553" ht="15.75" customHeight="1">
      <c r="A553" s="36"/>
      <c r="B553" s="37"/>
      <c r="C553" s="37"/>
      <c r="D553" s="1"/>
      <c r="E553" s="1"/>
      <c r="F553" s="1"/>
      <c r="G553" s="1"/>
      <c r="H553" s="1"/>
      <c r="I553" s="247"/>
      <c r="J553" s="247"/>
      <c r="K553" s="247"/>
      <c r="L553" s="247"/>
      <c r="M553" s="247"/>
      <c r="N553" s="247"/>
      <c r="O553" s="247"/>
      <c r="P553" s="247"/>
      <c r="Q553" s="247"/>
      <c r="R553" s="247"/>
      <c r="S553" s="247"/>
      <c r="T553" s="247"/>
      <c r="U553" s="247"/>
      <c r="V553" s="247"/>
      <c r="W553" s="247"/>
      <c r="X553" s="247"/>
      <c r="Y553" s="247"/>
      <c r="Z553" s="247"/>
    </row>
    <row r="554" ht="15.75" customHeight="1">
      <c r="A554" s="36"/>
      <c r="B554" s="37"/>
      <c r="C554" s="37"/>
      <c r="D554" s="1"/>
      <c r="E554" s="1"/>
      <c r="F554" s="1"/>
      <c r="G554" s="1"/>
      <c r="H554" s="1"/>
      <c r="I554" s="247"/>
      <c r="J554" s="247"/>
      <c r="K554" s="247"/>
      <c r="L554" s="247"/>
      <c r="M554" s="247"/>
      <c r="N554" s="247"/>
      <c r="O554" s="247"/>
      <c r="P554" s="247"/>
      <c r="Q554" s="247"/>
      <c r="R554" s="247"/>
      <c r="S554" s="247"/>
      <c r="T554" s="247"/>
      <c r="U554" s="247"/>
      <c r="V554" s="247"/>
      <c r="W554" s="247"/>
      <c r="X554" s="247"/>
      <c r="Y554" s="247"/>
      <c r="Z554" s="247"/>
    </row>
    <row r="555" ht="15.75" customHeight="1">
      <c r="A555" s="36"/>
      <c r="B555" s="37"/>
      <c r="C555" s="37"/>
      <c r="D555" s="1"/>
      <c r="E555" s="1"/>
      <c r="F555" s="1"/>
      <c r="G555" s="1"/>
      <c r="H555" s="1"/>
      <c r="I555" s="247"/>
      <c r="J555" s="247"/>
      <c r="K555" s="247"/>
      <c r="L555" s="247"/>
      <c r="M555" s="247"/>
      <c r="N555" s="247"/>
      <c r="O555" s="247"/>
      <c r="P555" s="247"/>
      <c r="Q555" s="247"/>
      <c r="R555" s="247"/>
      <c r="S555" s="247"/>
      <c r="T555" s="247"/>
      <c r="U555" s="247"/>
      <c r="V555" s="247"/>
      <c r="W555" s="247"/>
      <c r="X555" s="247"/>
      <c r="Y555" s="247"/>
      <c r="Z555" s="247"/>
    </row>
    <row r="556" ht="15.75" customHeight="1">
      <c r="A556" s="36"/>
      <c r="B556" s="37"/>
      <c r="C556" s="37"/>
      <c r="D556" s="1"/>
      <c r="E556" s="1"/>
      <c r="F556" s="1"/>
      <c r="G556" s="1"/>
      <c r="H556" s="1"/>
      <c r="I556" s="247"/>
      <c r="J556" s="247"/>
      <c r="K556" s="247"/>
      <c r="L556" s="247"/>
      <c r="M556" s="247"/>
      <c r="N556" s="247"/>
      <c r="O556" s="247"/>
      <c r="P556" s="247"/>
      <c r="Q556" s="247"/>
      <c r="R556" s="247"/>
      <c r="S556" s="247"/>
      <c r="T556" s="247"/>
      <c r="U556" s="247"/>
      <c r="V556" s="247"/>
      <c r="W556" s="247"/>
      <c r="X556" s="247"/>
      <c r="Y556" s="247"/>
      <c r="Z556" s="247"/>
    </row>
    <row r="557" ht="15.75" customHeight="1">
      <c r="A557" s="36"/>
      <c r="B557" s="37"/>
      <c r="C557" s="37"/>
      <c r="D557" s="1"/>
      <c r="E557" s="1"/>
      <c r="F557" s="1"/>
      <c r="G557" s="1"/>
      <c r="H557" s="1"/>
      <c r="I557" s="247"/>
      <c r="J557" s="247"/>
      <c r="K557" s="247"/>
      <c r="L557" s="247"/>
      <c r="M557" s="247"/>
      <c r="N557" s="247"/>
      <c r="O557" s="247"/>
      <c r="P557" s="247"/>
      <c r="Q557" s="247"/>
      <c r="R557" s="247"/>
      <c r="S557" s="247"/>
      <c r="T557" s="247"/>
      <c r="U557" s="247"/>
      <c r="V557" s="247"/>
      <c r="W557" s="247"/>
      <c r="X557" s="247"/>
      <c r="Y557" s="247"/>
      <c r="Z557" s="247"/>
    </row>
    <row r="558" ht="15.75" customHeight="1">
      <c r="A558" s="36"/>
      <c r="B558" s="37"/>
      <c r="C558" s="37"/>
      <c r="D558" s="1"/>
      <c r="E558" s="1"/>
      <c r="F558" s="1"/>
      <c r="G558" s="1"/>
      <c r="H558" s="1"/>
      <c r="I558" s="247"/>
      <c r="J558" s="247"/>
      <c r="K558" s="247"/>
      <c r="L558" s="247"/>
      <c r="M558" s="247"/>
      <c r="N558" s="247"/>
      <c r="O558" s="247"/>
      <c r="P558" s="247"/>
      <c r="Q558" s="247"/>
      <c r="R558" s="247"/>
      <c r="S558" s="247"/>
      <c r="T558" s="247"/>
      <c r="U558" s="247"/>
      <c r="V558" s="247"/>
      <c r="W558" s="247"/>
      <c r="X558" s="247"/>
      <c r="Y558" s="247"/>
      <c r="Z558" s="247"/>
    </row>
    <row r="559" ht="15.75" customHeight="1">
      <c r="A559" s="36"/>
      <c r="B559" s="37"/>
      <c r="C559" s="37"/>
      <c r="D559" s="1"/>
      <c r="E559" s="1"/>
      <c r="F559" s="1"/>
      <c r="G559" s="1"/>
      <c r="H559" s="1"/>
    </row>
    <row r="560" ht="15.75" customHeight="1">
      <c r="A560" s="88" t="s">
        <v>88</v>
      </c>
      <c r="B560" s="88"/>
      <c r="C560" s="37"/>
      <c r="D560" s="1"/>
      <c r="E560" s="1"/>
      <c r="F560" s="1"/>
      <c r="G560" s="1"/>
      <c r="H560" s="89">
        <f>SUM(H9:H559)</f>
        <v>8802.6</v>
      </c>
      <c r="I560" s="89"/>
      <c r="J560" s="247"/>
      <c r="K560" s="247"/>
      <c r="L560" s="247"/>
      <c r="M560" s="247"/>
      <c r="N560" s="247"/>
      <c r="O560" s="247"/>
      <c r="P560" s="247"/>
      <c r="Q560" s="247"/>
      <c r="R560" s="247"/>
      <c r="S560" s="247"/>
      <c r="T560" s="247"/>
      <c r="U560" s="247"/>
      <c r="V560" s="247"/>
      <c r="W560" s="247"/>
      <c r="X560" s="247"/>
      <c r="Y560" s="247"/>
      <c r="Z560" s="247"/>
    </row>
    <row r="561" ht="15.75" customHeight="1">
      <c r="A561" s="36"/>
      <c r="B561" s="36"/>
      <c r="C561" s="37"/>
      <c r="D561" s="1"/>
      <c r="E561" s="1"/>
      <c r="F561" s="1"/>
      <c r="G561" s="1"/>
      <c r="H561" s="1"/>
      <c r="I561" s="1"/>
      <c r="J561" s="247"/>
      <c r="K561" s="247"/>
      <c r="L561" s="247"/>
      <c r="M561" s="247"/>
      <c r="N561" s="247"/>
      <c r="O561" s="247"/>
      <c r="P561" s="247"/>
      <c r="Q561" s="247"/>
      <c r="R561" s="247"/>
      <c r="S561" s="247"/>
      <c r="T561" s="247"/>
      <c r="U561" s="247"/>
      <c r="V561" s="247"/>
      <c r="W561" s="247"/>
      <c r="X561" s="247"/>
      <c r="Y561" s="247"/>
      <c r="Z561" s="247"/>
    </row>
    <row r="562" ht="15.75" customHeight="1">
      <c r="A562" s="90" t="s">
        <v>178</v>
      </c>
      <c r="B562" s="91"/>
      <c r="C562" s="91"/>
      <c r="D562" s="91"/>
      <c r="E562" s="91"/>
      <c r="F562" s="91"/>
      <c r="G562" s="91"/>
      <c r="H562" s="91"/>
      <c r="I562" s="92"/>
      <c r="J562" s="247"/>
      <c r="K562" s="247"/>
      <c r="L562" s="247"/>
      <c r="M562" s="247"/>
      <c r="N562" s="247"/>
      <c r="O562" s="247"/>
      <c r="P562" s="247"/>
      <c r="Q562" s="247"/>
      <c r="R562" s="247"/>
      <c r="S562" s="247"/>
      <c r="T562" s="247"/>
      <c r="U562" s="247"/>
      <c r="V562" s="247"/>
      <c r="W562" s="247"/>
      <c r="X562" s="247"/>
      <c r="Y562" s="247"/>
      <c r="Z562" s="247"/>
    </row>
    <row r="563" ht="15.75" customHeight="1">
      <c r="A563" s="36"/>
      <c r="B563" s="37"/>
      <c r="C563" s="37"/>
      <c r="D563" s="1"/>
      <c r="E563" s="1"/>
      <c r="F563" s="1"/>
      <c r="G563" s="1"/>
      <c r="H563" s="1"/>
    </row>
    <row r="564" ht="15.75" customHeight="1">
      <c r="A564" s="36"/>
      <c r="B564" s="37"/>
      <c r="C564" s="37"/>
      <c r="D564" s="1"/>
      <c r="E564" s="1"/>
      <c r="F564" s="1"/>
      <c r="G564" s="1"/>
      <c r="H564" s="1"/>
    </row>
    <row r="565" ht="15.75" customHeight="1">
      <c r="A565" s="36"/>
      <c r="B565" s="37"/>
      <c r="C565" s="37"/>
      <c r="D565" s="1"/>
      <c r="E565" s="1"/>
      <c r="F565" s="1"/>
      <c r="G565" s="1"/>
      <c r="H565" s="1"/>
    </row>
    <row r="566" ht="15.75" customHeight="1">
      <c r="A566" s="36"/>
      <c r="B566" s="37"/>
      <c r="C566" s="37"/>
      <c r="D566" s="1"/>
      <c r="E566" s="1"/>
      <c r="F566" s="1"/>
      <c r="G566" s="1"/>
      <c r="H566" s="1"/>
    </row>
    <row r="567" ht="15.75" customHeight="1">
      <c r="A567" s="36"/>
      <c r="B567" s="37"/>
      <c r="C567" s="37"/>
      <c r="D567" s="1"/>
      <c r="E567" s="1"/>
      <c r="F567" s="1"/>
      <c r="G567" s="1"/>
      <c r="H567" s="1"/>
    </row>
    <row r="568" ht="15.75" customHeight="1">
      <c r="A568" s="36"/>
      <c r="B568" s="37"/>
      <c r="C568" s="37"/>
      <c r="D568" s="1"/>
      <c r="E568" s="1"/>
      <c r="F568" s="1"/>
      <c r="G568" s="1"/>
      <c r="H568" s="1"/>
    </row>
    <row r="569" ht="15.75" customHeight="1">
      <c r="A569" s="36"/>
      <c r="B569" s="37"/>
      <c r="C569" s="37"/>
      <c r="D569" s="1"/>
      <c r="E569" s="1"/>
      <c r="F569" s="1"/>
      <c r="G569" s="1"/>
      <c r="H569" s="1"/>
    </row>
    <row r="570" ht="15.75" customHeight="1">
      <c r="A570" s="36"/>
      <c r="B570" s="37"/>
      <c r="C570" s="37"/>
      <c r="D570" s="1"/>
      <c r="E570" s="1"/>
      <c r="F570" s="1"/>
      <c r="G570" s="1"/>
      <c r="H570" s="1"/>
    </row>
    <row r="571" ht="15.75" customHeight="1">
      <c r="A571" s="36"/>
      <c r="B571" s="37"/>
      <c r="C571" s="37"/>
      <c r="D571" s="1"/>
      <c r="E571" s="1"/>
      <c r="F571" s="1"/>
      <c r="G571" s="1"/>
      <c r="H571" s="1"/>
    </row>
    <row r="572" ht="15.75" customHeight="1">
      <c r="A572" s="36"/>
      <c r="B572" s="37"/>
      <c r="C572" s="37"/>
      <c r="D572" s="1"/>
      <c r="E572" s="1"/>
      <c r="F572" s="1"/>
      <c r="G572" s="1"/>
      <c r="H572" s="1"/>
    </row>
    <row r="573" ht="15.75" customHeight="1">
      <c r="A573" s="36"/>
      <c r="B573" s="37"/>
      <c r="C573" s="37"/>
      <c r="D573" s="1"/>
      <c r="E573" s="1"/>
      <c r="F573" s="1"/>
      <c r="G573" s="1"/>
      <c r="H573" s="1"/>
    </row>
    <row r="574" ht="15.75" customHeight="1">
      <c r="A574" s="36"/>
      <c r="B574" s="37"/>
      <c r="C574" s="37"/>
      <c r="D574" s="1"/>
      <c r="E574" s="1"/>
      <c r="F574" s="1"/>
      <c r="G574" s="1"/>
      <c r="H574" s="1"/>
    </row>
    <row r="575" ht="15.75" customHeight="1">
      <c r="A575" s="36"/>
      <c r="B575" s="37"/>
      <c r="C575" s="37"/>
      <c r="D575" s="1"/>
      <c r="E575" s="1"/>
      <c r="F575" s="1"/>
      <c r="G575" s="1"/>
      <c r="H575" s="1"/>
    </row>
    <row r="576" ht="15.75" customHeight="1">
      <c r="A576" s="36"/>
      <c r="B576" s="37"/>
      <c r="C576" s="37"/>
      <c r="D576" s="1"/>
      <c r="E576" s="1"/>
      <c r="F576" s="1"/>
      <c r="G576" s="1"/>
      <c r="H576" s="1"/>
    </row>
    <row r="577" ht="15.75" customHeight="1">
      <c r="A577" s="36"/>
      <c r="B577" s="37"/>
      <c r="C577" s="37"/>
      <c r="D577" s="1"/>
      <c r="E577" s="1"/>
      <c r="F577" s="1"/>
      <c r="G577" s="1"/>
      <c r="H577" s="1"/>
    </row>
    <row r="578" ht="15.75" customHeight="1">
      <c r="A578" s="36"/>
      <c r="B578" s="37"/>
      <c r="C578" s="37"/>
      <c r="D578" s="1"/>
      <c r="E578" s="1"/>
      <c r="F578" s="1"/>
      <c r="G578" s="1"/>
      <c r="H578" s="1"/>
    </row>
    <row r="579" ht="15.75" customHeight="1">
      <c r="A579" s="36"/>
      <c r="B579" s="37"/>
      <c r="C579" s="37"/>
      <c r="D579" s="1"/>
      <c r="E579" s="1"/>
      <c r="F579" s="1"/>
      <c r="G579" s="1"/>
      <c r="H579" s="1"/>
    </row>
    <row r="580" ht="15.75" customHeight="1">
      <c r="A580" s="36"/>
      <c r="B580" s="37"/>
      <c r="C580" s="37"/>
      <c r="D580" s="1"/>
      <c r="E580" s="1"/>
      <c r="F580" s="1"/>
      <c r="G580" s="1"/>
      <c r="H580" s="1"/>
    </row>
    <row r="581" ht="15.75" customHeight="1">
      <c r="A581" s="36"/>
      <c r="B581" s="37"/>
      <c r="C581" s="37"/>
      <c r="D581" s="1"/>
      <c r="E581" s="1"/>
      <c r="F581" s="1"/>
      <c r="G581" s="1"/>
      <c r="H581" s="1"/>
    </row>
    <row r="582" ht="15.75" customHeight="1">
      <c r="A582" s="36"/>
      <c r="B582" s="37"/>
      <c r="C582" s="37"/>
      <c r="D582" s="1"/>
      <c r="E582" s="1"/>
      <c r="F582" s="1"/>
      <c r="G582" s="1"/>
      <c r="H582" s="1"/>
    </row>
    <row r="583" ht="15.75" customHeight="1">
      <c r="A583" s="36"/>
      <c r="B583" s="37"/>
      <c r="C583" s="37"/>
      <c r="D583" s="1"/>
      <c r="E583" s="1"/>
      <c r="F583" s="1"/>
      <c r="G583" s="1"/>
      <c r="H583" s="1"/>
    </row>
    <row r="584" ht="15.75" customHeight="1">
      <c r="A584" s="36"/>
      <c r="B584" s="37"/>
      <c r="C584" s="37"/>
      <c r="D584" s="1"/>
      <c r="E584" s="1"/>
      <c r="F584" s="1"/>
      <c r="G584" s="1"/>
      <c r="H584" s="1"/>
    </row>
    <row r="585" ht="15.75" customHeight="1">
      <c r="A585" s="36"/>
      <c r="B585" s="37"/>
      <c r="C585" s="37"/>
      <c r="D585" s="1"/>
      <c r="E585" s="1"/>
      <c r="F585" s="1"/>
      <c r="G585" s="1"/>
      <c r="H585" s="1"/>
    </row>
    <row r="586" ht="15.75" customHeight="1">
      <c r="A586" s="36"/>
      <c r="B586" s="37"/>
      <c r="C586" s="37"/>
      <c r="D586" s="1"/>
      <c r="E586" s="1"/>
      <c r="F586" s="1"/>
      <c r="G586" s="1"/>
      <c r="H586" s="1"/>
    </row>
    <row r="587" ht="15.75" customHeight="1">
      <c r="A587" s="36"/>
      <c r="B587" s="37"/>
      <c r="C587" s="37"/>
      <c r="D587" s="1"/>
      <c r="E587" s="1"/>
      <c r="F587" s="1"/>
      <c r="G587" s="1"/>
      <c r="H587" s="1"/>
    </row>
    <row r="588" ht="15.75" customHeight="1">
      <c r="A588" s="36"/>
      <c r="B588" s="37"/>
      <c r="C588" s="37"/>
      <c r="D588" s="1"/>
      <c r="E588" s="1"/>
      <c r="F588" s="1"/>
      <c r="G588" s="1"/>
      <c r="H588" s="1"/>
    </row>
    <row r="589" ht="15.75" customHeight="1">
      <c r="A589" s="36"/>
      <c r="B589" s="37"/>
      <c r="C589" s="37"/>
      <c r="D589" s="1"/>
      <c r="E589" s="1"/>
      <c r="F589" s="1"/>
      <c r="G589" s="1"/>
      <c r="H589" s="1"/>
    </row>
    <row r="590" ht="15.75" customHeight="1">
      <c r="A590" s="36"/>
      <c r="B590" s="37"/>
      <c r="C590" s="37"/>
      <c r="D590" s="1"/>
      <c r="E590" s="1"/>
      <c r="F590" s="1"/>
      <c r="G590" s="1"/>
      <c r="H590" s="1"/>
    </row>
    <row r="591" ht="15.75" customHeight="1">
      <c r="A591" s="36"/>
      <c r="B591" s="37"/>
      <c r="C591" s="37"/>
      <c r="D591" s="1"/>
      <c r="E591" s="1"/>
      <c r="F591" s="1"/>
      <c r="G591" s="1"/>
      <c r="H591" s="1"/>
    </row>
    <row r="592" ht="15.75" customHeight="1">
      <c r="A592" s="36"/>
      <c r="B592" s="37"/>
      <c r="C592" s="37"/>
      <c r="D592" s="1"/>
      <c r="E592" s="1"/>
      <c r="F592" s="1"/>
      <c r="G592" s="1"/>
      <c r="H592" s="1"/>
    </row>
    <row r="593" ht="15.75" customHeight="1">
      <c r="A593" s="36"/>
      <c r="B593" s="37"/>
      <c r="C593" s="37"/>
      <c r="D593" s="1"/>
      <c r="E593" s="1"/>
      <c r="F593" s="1"/>
      <c r="G593" s="1"/>
      <c r="H593" s="1"/>
    </row>
    <row r="594" ht="15.75" customHeight="1">
      <c r="A594" s="36"/>
      <c r="B594" s="37"/>
      <c r="C594" s="37"/>
      <c r="D594" s="1"/>
      <c r="E594" s="1"/>
      <c r="F594" s="1"/>
      <c r="G594" s="1"/>
      <c r="H594" s="1"/>
    </row>
    <row r="595" ht="15.75" customHeight="1">
      <c r="A595" s="36"/>
      <c r="B595" s="37"/>
      <c r="C595" s="37"/>
      <c r="D595" s="1"/>
      <c r="E595" s="1"/>
      <c r="F595" s="1"/>
      <c r="G595" s="1"/>
      <c r="H595" s="1"/>
    </row>
    <row r="596" ht="15.75" customHeight="1">
      <c r="A596" s="36"/>
      <c r="B596" s="37"/>
      <c r="C596" s="37"/>
      <c r="D596" s="1"/>
      <c r="E596" s="1"/>
      <c r="F596" s="1"/>
      <c r="G596" s="1"/>
      <c r="H596" s="1"/>
    </row>
    <row r="597" ht="15.75" customHeight="1">
      <c r="A597" s="36"/>
      <c r="B597" s="37"/>
      <c r="C597" s="37"/>
      <c r="D597" s="1"/>
      <c r="E597" s="1"/>
      <c r="F597" s="1"/>
      <c r="G597" s="1"/>
      <c r="H597" s="1"/>
    </row>
    <row r="598" ht="15.75" customHeight="1">
      <c r="A598" s="36"/>
      <c r="B598" s="37"/>
      <c r="C598" s="37"/>
      <c r="D598" s="1"/>
      <c r="E598" s="1"/>
      <c r="F598" s="1"/>
      <c r="G598" s="1"/>
      <c r="H598" s="1"/>
    </row>
    <row r="599" ht="15.75" customHeight="1">
      <c r="A599" s="36"/>
      <c r="B599" s="37"/>
      <c r="C599" s="37"/>
      <c r="D599" s="1"/>
      <c r="E599" s="1"/>
      <c r="F599" s="1"/>
      <c r="G599" s="1"/>
      <c r="H599" s="1"/>
    </row>
    <row r="600" ht="15.75" customHeight="1">
      <c r="A600" s="36"/>
      <c r="B600" s="37"/>
      <c r="C600" s="37"/>
      <c r="D600" s="1"/>
      <c r="E600" s="1"/>
      <c r="F600" s="1"/>
      <c r="G600" s="1"/>
      <c r="H600" s="1"/>
    </row>
    <row r="601" ht="15.75" customHeight="1">
      <c r="A601" s="36"/>
      <c r="B601" s="37"/>
      <c r="C601" s="37"/>
      <c r="D601" s="1"/>
      <c r="E601" s="1"/>
      <c r="F601" s="1"/>
      <c r="G601" s="1"/>
      <c r="H601" s="1"/>
    </row>
    <row r="602" ht="15.75" customHeight="1">
      <c r="A602" s="36"/>
      <c r="B602" s="37"/>
      <c r="C602" s="37"/>
      <c r="D602" s="1"/>
      <c r="E602" s="1"/>
      <c r="F602" s="1"/>
      <c r="G602" s="1"/>
      <c r="H602" s="1"/>
    </row>
    <row r="603" ht="15.75" customHeight="1">
      <c r="A603" s="36"/>
      <c r="B603" s="37"/>
      <c r="C603" s="37"/>
      <c r="D603" s="1"/>
      <c r="E603" s="1"/>
      <c r="F603" s="1"/>
      <c r="G603" s="1"/>
      <c r="H603" s="1"/>
    </row>
    <row r="604" ht="15.75" customHeight="1">
      <c r="A604" s="36"/>
      <c r="B604" s="37"/>
      <c r="C604" s="37"/>
      <c r="D604" s="1"/>
      <c r="E604" s="1"/>
      <c r="F604" s="1"/>
      <c r="G604" s="1"/>
      <c r="H604" s="1"/>
    </row>
    <row r="605" ht="15.75" customHeight="1">
      <c r="A605" s="36"/>
      <c r="B605" s="37"/>
      <c r="C605" s="37"/>
      <c r="D605" s="1"/>
      <c r="E605" s="1"/>
      <c r="F605" s="1"/>
      <c r="G605" s="1"/>
      <c r="H605" s="1"/>
    </row>
    <row r="606" ht="15.75" customHeight="1">
      <c r="A606" s="36"/>
      <c r="B606" s="37"/>
      <c r="C606" s="37"/>
      <c r="D606" s="1"/>
      <c r="E606" s="1"/>
      <c r="F606" s="1"/>
      <c r="G606" s="1"/>
      <c r="H606" s="1"/>
    </row>
    <row r="607" ht="15.75" customHeight="1">
      <c r="A607" s="36"/>
      <c r="B607" s="37"/>
      <c r="C607" s="37"/>
      <c r="D607" s="1"/>
      <c r="E607" s="1"/>
      <c r="F607" s="1"/>
      <c r="G607" s="1"/>
      <c r="H607" s="1"/>
    </row>
    <row r="608" ht="15.75" customHeight="1">
      <c r="A608" s="36"/>
      <c r="B608" s="37"/>
      <c r="C608" s="37"/>
      <c r="D608" s="1"/>
      <c r="E608" s="1"/>
      <c r="F608" s="1"/>
      <c r="G608" s="1"/>
      <c r="H608" s="1"/>
    </row>
    <row r="609" ht="15.75" customHeight="1">
      <c r="A609" s="36"/>
      <c r="B609" s="37"/>
      <c r="C609" s="37"/>
      <c r="D609" s="1"/>
      <c r="E609" s="1"/>
      <c r="F609" s="1"/>
      <c r="G609" s="1"/>
      <c r="H609" s="1"/>
    </row>
    <row r="610" ht="15.75" customHeight="1">
      <c r="A610" s="36"/>
      <c r="B610" s="37"/>
      <c r="C610" s="37"/>
      <c r="D610" s="1"/>
      <c r="E610" s="1"/>
      <c r="F610" s="1"/>
      <c r="G610" s="1"/>
      <c r="H610" s="1"/>
    </row>
    <row r="611" ht="15.75" customHeight="1">
      <c r="A611" s="36"/>
      <c r="B611" s="37"/>
      <c r="C611" s="37"/>
      <c r="D611" s="1"/>
      <c r="E611" s="1"/>
      <c r="F611" s="1"/>
      <c r="G611" s="1"/>
      <c r="H611" s="1"/>
    </row>
    <row r="612" ht="15.75" customHeight="1">
      <c r="A612" s="36"/>
      <c r="B612" s="37"/>
      <c r="C612" s="37"/>
      <c r="D612" s="1"/>
      <c r="E612" s="1"/>
      <c r="F612" s="1"/>
      <c r="G612" s="1"/>
      <c r="H612" s="1"/>
    </row>
    <row r="613" ht="15.75" customHeight="1">
      <c r="A613" s="36"/>
      <c r="B613" s="37"/>
      <c r="C613" s="37"/>
      <c r="D613" s="1"/>
      <c r="E613" s="1"/>
      <c r="F613" s="1"/>
      <c r="G613" s="1"/>
      <c r="H613" s="1"/>
    </row>
    <row r="614" ht="15.75" customHeight="1">
      <c r="A614" s="36"/>
      <c r="B614" s="37"/>
      <c r="C614" s="37"/>
      <c r="D614" s="1"/>
      <c r="E614" s="1"/>
      <c r="F614" s="1"/>
      <c r="G614" s="1"/>
      <c r="H614" s="1"/>
    </row>
    <row r="615" ht="15.75" customHeight="1">
      <c r="A615" s="36"/>
      <c r="B615" s="37"/>
      <c r="C615" s="37"/>
      <c r="D615" s="1"/>
      <c r="E615" s="1"/>
      <c r="F615" s="1"/>
      <c r="G615" s="1"/>
      <c r="H615" s="1"/>
    </row>
    <row r="616" ht="15.75" customHeight="1">
      <c r="A616" s="36"/>
      <c r="B616" s="37"/>
      <c r="C616" s="37"/>
      <c r="D616" s="1"/>
      <c r="E616" s="1"/>
      <c r="F616" s="1"/>
      <c r="G616" s="1"/>
      <c r="H616" s="1"/>
    </row>
    <row r="617" ht="15.75" customHeight="1">
      <c r="A617" s="36"/>
      <c r="B617" s="37"/>
      <c r="C617" s="37"/>
      <c r="D617" s="1"/>
      <c r="E617" s="1"/>
      <c r="F617" s="1"/>
      <c r="G617" s="1"/>
      <c r="H617" s="1"/>
    </row>
    <row r="618" ht="15.75" customHeight="1">
      <c r="A618" s="36"/>
      <c r="B618" s="37"/>
      <c r="C618" s="37"/>
      <c r="D618" s="1"/>
      <c r="E618" s="1"/>
      <c r="F618" s="1"/>
      <c r="G618" s="1"/>
      <c r="H618" s="1"/>
    </row>
    <row r="619" ht="15.75" customHeight="1">
      <c r="A619" s="36"/>
      <c r="B619" s="37"/>
      <c r="C619" s="37"/>
      <c r="D619" s="1"/>
      <c r="E619" s="1"/>
      <c r="F619" s="1"/>
      <c r="G619" s="1"/>
      <c r="H619" s="1"/>
    </row>
    <row r="620" ht="15.75" customHeight="1">
      <c r="A620" s="36"/>
      <c r="B620" s="37"/>
      <c r="C620" s="37"/>
      <c r="D620" s="1"/>
      <c r="E620" s="1"/>
      <c r="F620" s="1"/>
      <c r="G620" s="1"/>
      <c r="H620" s="1"/>
    </row>
    <row r="621" ht="15.75" customHeight="1">
      <c r="A621" s="36"/>
      <c r="B621" s="37"/>
      <c r="C621" s="37"/>
      <c r="D621" s="1"/>
      <c r="E621" s="1"/>
      <c r="F621" s="1"/>
      <c r="G621" s="1"/>
      <c r="H621" s="1"/>
    </row>
    <row r="622" ht="15.75" customHeight="1">
      <c r="A622" s="36"/>
      <c r="B622" s="37"/>
      <c r="C622" s="37"/>
      <c r="D622" s="1"/>
      <c r="E622" s="1"/>
      <c r="F622" s="1"/>
      <c r="G622" s="1"/>
      <c r="H622" s="1"/>
    </row>
    <row r="623" ht="15.75" customHeight="1">
      <c r="A623" s="36"/>
      <c r="B623" s="37"/>
      <c r="C623" s="37"/>
      <c r="D623" s="1"/>
      <c r="E623" s="1"/>
      <c r="F623" s="1"/>
      <c r="G623" s="1"/>
      <c r="H623" s="1"/>
    </row>
    <row r="624" ht="15.75" customHeight="1">
      <c r="A624" s="36"/>
      <c r="B624" s="37"/>
      <c r="C624" s="37"/>
      <c r="D624" s="1"/>
      <c r="E624" s="1"/>
      <c r="F624" s="1"/>
      <c r="G624" s="1"/>
      <c r="H624" s="1"/>
    </row>
    <row r="625" ht="15.75" customHeight="1">
      <c r="A625" s="36"/>
      <c r="B625" s="37"/>
      <c r="C625" s="37"/>
      <c r="D625" s="1"/>
      <c r="E625" s="1"/>
      <c r="F625" s="1"/>
      <c r="G625" s="1"/>
      <c r="H625" s="1"/>
    </row>
    <row r="626" ht="15.75" customHeight="1">
      <c r="A626" s="36"/>
      <c r="B626" s="37"/>
      <c r="C626" s="37"/>
      <c r="D626" s="1"/>
      <c r="E626" s="1"/>
      <c r="F626" s="1"/>
      <c r="G626" s="1"/>
      <c r="H626" s="1"/>
    </row>
    <row r="627" ht="15.75" customHeight="1">
      <c r="A627" s="36"/>
      <c r="B627" s="37"/>
      <c r="C627" s="37"/>
      <c r="D627" s="1"/>
      <c r="E627" s="1"/>
      <c r="F627" s="1"/>
      <c r="G627" s="1"/>
      <c r="H627" s="1"/>
    </row>
    <row r="628" ht="15.75" customHeight="1">
      <c r="A628" s="36"/>
      <c r="B628" s="37"/>
      <c r="C628" s="37"/>
      <c r="D628" s="1"/>
      <c r="E628" s="1"/>
      <c r="F628" s="1"/>
      <c r="G628" s="1"/>
      <c r="H628" s="1"/>
    </row>
    <row r="629" ht="15.75" customHeight="1">
      <c r="A629" s="36"/>
      <c r="B629" s="37"/>
      <c r="C629" s="37"/>
      <c r="D629" s="1"/>
      <c r="E629" s="1"/>
      <c r="F629" s="1"/>
      <c r="G629" s="1"/>
      <c r="H629" s="1"/>
    </row>
    <row r="630" ht="15.75" customHeight="1">
      <c r="A630" s="36"/>
      <c r="B630" s="37"/>
      <c r="C630" s="37"/>
      <c r="D630" s="1"/>
      <c r="E630" s="1"/>
      <c r="F630" s="1"/>
      <c r="G630" s="1"/>
      <c r="H630" s="1"/>
    </row>
    <row r="631" ht="15.75" customHeight="1">
      <c r="A631" s="36"/>
      <c r="B631" s="37"/>
      <c r="C631" s="37"/>
      <c r="D631" s="1"/>
      <c r="E631" s="1"/>
      <c r="F631" s="1"/>
      <c r="G631" s="1"/>
      <c r="H631" s="1"/>
    </row>
    <row r="632" ht="15.75" customHeight="1">
      <c r="A632" s="36"/>
      <c r="B632" s="37"/>
      <c r="C632" s="37"/>
      <c r="D632" s="1"/>
      <c r="E632" s="1"/>
      <c r="F632" s="1"/>
      <c r="G632" s="1"/>
      <c r="H632" s="1"/>
    </row>
    <row r="633" ht="15.75" customHeight="1">
      <c r="A633" s="36"/>
      <c r="B633" s="37"/>
      <c r="C633" s="37"/>
      <c r="D633" s="1"/>
      <c r="E633" s="1"/>
      <c r="F633" s="1"/>
      <c r="G633" s="1"/>
      <c r="H633" s="1"/>
    </row>
    <row r="634" ht="15.75" customHeight="1">
      <c r="A634" s="36"/>
      <c r="B634" s="37"/>
      <c r="C634" s="37"/>
      <c r="D634" s="1"/>
      <c r="E634" s="1"/>
      <c r="F634" s="1"/>
      <c r="G634" s="1"/>
      <c r="H634" s="1"/>
    </row>
    <row r="635" ht="15.75" customHeight="1">
      <c r="A635" s="36"/>
      <c r="B635" s="37"/>
      <c r="C635" s="37"/>
      <c r="D635" s="1"/>
      <c r="E635" s="1"/>
      <c r="F635" s="1"/>
      <c r="G635" s="1"/>
      <c r="H635" s="1"/>
    </row>
    <row r="636" ht="15.75" customHeight="1">
      <c r="A636" s="36"/>
      <c r="B636" s="37"/>
      <c r="C636" s="37"/>
      <c r="D636" s="1"/>
      <c r="E636" s="1"/>
      <c r="F636" s="1"/>
      <c r="G636" s="1"/>
      <c r="H636" s="1"/>
    </row>
    <row r="637" ht="15.75" customHeight="1">
      <c r="A637" s="36"/>
      <c r="B637" s="37"/>
      <c r="C637" s="37"/>
      <c r="D637" s="1"/>
      <c r="E637" s="1"/>
      <c r="F637" s="1"/>
      <c r="G637" s="1"/>
      <c r="H637" s="1"/>
    </row>
    <row r="638" ht="15.75" customHeight="1">
      <c r="A638" s="36"/>
      <c r="B638" s="37"/>
      <c r="C638" s="37"/>
      <c r="D638" s="1"/>
      <c r="E638" s="1"/>
      <c r="F638" s="1"/>
      <c r="G638" s="1"/>
      <c r="H638" s="1"/>
    </row>
    <row r="639" ht="15.75" customHeight="1">
      <c r="A639" s="36"/>
      <c r="B639" s="37"/>
      <c r="C639" s="37"/>
      <c r="D639" s="1"/>
      <c r="E639" s="1"/>
      <c r="F639" s="1"/>
      <c r="G639" s="1"/>
      <c r="H639" s="1"/>
    </row>
    <row r="640" ht="15.75" customHeight="1">
      <c r="A640" s="36"/>
      <c r="B640" s="37"/>
      <c r="C640" s="37"/>
      <c r="D640" s="1"/>
      <c r="E640" s="1"/>
      <c r="F640" s="1"/>
      <c r="G640" s="1"/>
      <c r="H640" s="1"/>
    </row>
    <row r="641" ht="15.75" customHeight="1">
      <c r="A641" s="36"/>
      <c r="B641" s="37"/>
      <c r="C641" s="37"/>
      <c r="D641" s="1"/>
      <c r="E641" s="1"/>
      <c r="F641" s="1"/>
      <c r="G641" s="1"/>
      <c r="H641" s="1"/>
    </row>
    <row r="642" ht="15.75" customHeight="1">
      <c r="A642" s="36"/>
      <c r="B642" s="37"/>
      <c r="C642" s="37"/>
      <c r="D642" s="1"/>
      <c r="E642" s="1"/>
      <c r="F642" s="1"/>
      <c r="G642" s="1"/>
      <c r="H642" s="1"/>
    </row>
    <row r="643" ht="15.75" customHeight="1">
      <c r="A643" s="36"/>
      <c r="B643" s="37"/>
      <c r="C643" s="37"/>
      <c r="D643" s="1"/>
      <c r="E643" s="1"/>
      <c r="F643" s="1"/>
      <c r="G643" s="1"/>
      <c r="H643" s="1"/>
    </row>
    <row r="644" ht="15.75" customHeight="1">
      <c r="A644" s="36"/>
      <c r="B644" s="37"/>
      <c r="C644" s="37"/>
      <c r="D644" s="1"/>
      <c r="E644" s="1"/>
      <c r="F644" s="1"/>
      <c r="G644" s="1"/>
      <c r="H644" s="1"/>
    </row>
    <row r="645" ht="15.75" customHeight="1">
      <c r="A645" s="36"/>
      <c r="B645" s="37"/>
      <c r="C645" s="37"/>
      <c r="D645" s="1"/>
      <c r="E645" s="1"/>
      <c r="F645" s="1"/>
      <c r="G645" s="1"/>
      <c r="H645" s="1"/>
    </row>
    <row r="646" ht="15.75" customHeight="1">
      <c r="A646" s="36"/>
      <c r="B646" s="37"/>
      <c r="C646" s="37"/>
      <c r="D646" s="1"/>
      <c r="E646" s="1"/>
      <c r="F646" s="1"/>
      <c r="G646" s="1"/>
      <c r="H646" s="1"/>
    </row>
    <row r="647" ht="15.75" customHeight="1">
      <c r="A647" s="36"/>
      <c r="B647" s="37"/>
      <c r="C647" s="37"/>
      <c r="D647" s="1"/>
      <c r="E647" s="1"/>
      <c r="F647" s="1"/>
      <c r="G647" s="1"/>
      <c r="H647" s="1"/>
    </row>
    <row r="648" ht="15.75" customHeight="1">
      <c r="A648" s="36"/>
      <c r="B648" s="37"/>
      <c r="C648" s="37"/>
      <c r="D648" s="1"/>
      <c r="E648" s="1"/>
      <c r="F648" s="1"/>
      <c r="G648" s="1"/>
      <c r="H648" s="1"/>
    </row>
    <row r="649" ht="15.75" customHeight="1">
      <c r="A649" s="36"/>
      <c r="B649" s="37"/>
      <c r="C649" s="37"/>
      <c r="D649" s="1"/>
      <c r="E649" s="1"/>
      <c r="F649" s="1"/>
      <c r="G649" s="1"/>
      <c r="H649" s="1"/>
    </row>
    <row r="650" ht="15.75" customHeight="1">
      <c r="A650" s="36"/>
      <c r="B650" s="37"/>
      <c r="C650" s="37"/>
      <c r="D650" s="1"/>
      <c r="E650" s="1"/>
      <c r="F650" s="1"/>
      <c r="G650" s="1"/>
      <c r="H650" s="1"/>
    </row>
    <row r="651" ht="15.75" customHeight="1">
      <c r="A651" s="36"/>
      <c r="B651" s="37"/>
      <c r="C651" s="37"/>
      <c r="D651" s="1"/>
      <c r="E651" s="1"/>
      <c r="F651" s="1"/>
      <c r="G651" s="1"/>
      <c r="H651" s="1"/>
    </row>
    <row r="652" ht="15.75" customHeight="1">
      <c r="A652" s="36"/>
      <c r="B652" s="37"/>
      <c r="C652" s="37"/>
      <c r="D652" s="1"/>
      <c r="E652" s="1"/>
      <c r="F652" s="1"/>
      <c r="G652" s="1"/>
      <c r="H652" s="1"/>
    </row>
    <row r="653" ht="15.75" customHeight="1">
      <c r="A653" s="36"/>
      <c r="B653" s="37"/>
      <c r="C653" s="37"/>
      <c r="D653" s="1"/>
      <c r="E653" s="1"/>
      <c r="F653" s="1"/>
      <c r="G653" s="1"/>
      <c r="H653" s="1"/>
    </row>
    <row r="654" ht="15.75" customHeight="1">
      <c r="A654" s="36"/>
      <c r="B654" s="37"/>
      <c r="C654" s="37"/>
      <c r="D654" s="1"/>
      <c r="E654" s="1"/>
      <c r="F654" s="1"/>
      <c r="G654" s="1"/>
      <c r="H654" s="1"/>
    </row>
    <row r="655" ht="15.75" customHeight="1">
      <c r="A655" s="36"/>
      <c r="B655" s="37"/>
      <c r="C655" s="37"/>
      <c r="D655" s="1"/>
      <c r="E655" s="1"/>
      <c r="F655" s="1"/>
      <c r="G655" s="1"/>
      <c r="H655" s="1"/>
    </row>
    <row r="656" ht="15.75" customHeight="1">
      <c r="A656" s="36"/>
      <c r="B656" s="37"/>
      <c r="C656" s="37"/>
      <c r="D656" s="1"/>
      <c r="E656" s="1"/>
      <c r="F656" s="1"/>
      <c r="G656" s="1"/>
      <c r="H656" s="1"/>
    </row>
    <row r="657" ht="15.75" customHeight="1">
      <c r="A657" s="36"/>
      <c r="B657" s="37"/>
      <c r="C657" s="37"/>
      <c r="D657" s="1"/>
      <c r="E657" s="1"/>
      <c r="F657" s="1"/>
      <c r="G657" s="1"/>
      <c r="H657" s="1"/>
    </row>
    <row r="658" ht="15.75" customHeight="1">
      <c r="A658" s="36"/>
      <c r="B658" s="37"/>
      <c r="C658" s="37"/>
      <c r="D658" s="1"/>
      <c r="E658" s="1"/>
      <c r="F658" s="1"/>
      <c r="G658" s="1"/>
      <c r="H658" s="1"/>
    </row>
    <row r="659" ht="15.75" customHeight="1">
      <c r="A659" s="36"/>
      <c r="B659" s="37"/>
      <c r="C659" s="37"/>
      <c r="D659" s="1"/>
      <c r="E659" s="1"/>
      <c r="F659" s="1"/>
      <c r="G659" s="1"/>
      <c r="H659" s="1"/>
    </row>
    <row r="660" ht="15.75" customHeight="1">
      <c r="A660" s="36"/>
      <c r="B660" s="37"/>
      <c r="C660" s="37"/>
      <c r="D660" s="1"/>
      <c r="E660" s="1"/>
      <c r="F660" s="1"/>
      <c r="G660" s="1"/>
      <c r="H660" s="1"/>
    </row>
    <row r="661" ht="15.75" customHeight="1">
      <c r="A661" s="36"/>
      <c r="B661" s="37"/>
      <c r="C661" s="37"/>
      <c r="D661" s="1"/>
      <c r="E661" s="1"/>
      <c r="F661" s="1"/>
      <c r="G661" s="1"/>
      <c r="H661" s="1"/>
    </row>
    <row r="662" ht="15.75" customHeight="1">
      <c r="A662" s="36"/>
      <c r="B662" s="37"/>
      <c r="C662" s="37"/>
      <c r="D662" s="1"/>
      <c r="E662" s="1"/>
      <c r="F662" s="1"/>
      <c r="G662" s="1"/>
      <c r="H662" s="1"/>
    </row>
    <row r="663" ht="15.75" customHeight="1">
      <c r="A663" s="36"/>
      <c r="B663" s="37"/>
      <c r="C663" s="37"/>
      <c r="D663" s="1"/>
      <c r="E663" s="1"/>
      <c r="F663" s="1"/>
      <c r="G663" s="1"/>
      <c r="H663" s="1"/>
    </row>
    <row r="664" ht="15.75" customHeight="1">
      <c r="A664" s="36"/>
      <c r="B664" s="37"/>
      <c r="C664" s="37"/>
      <c r="D664" s="1"/>
      <c r="E664" s="1"/>
      <c r="F664" s="1"/>
      <c r="G664" s="1"/>
      <c r="H664" s="1"/>
    </row>
    <row r="665" ht="15.75" customHeight="1">
      <c r="A665" s="36"/>
      <c r="B665" s="37"/>
      <c r="C665" s="37"/>
      <c r="D665" s="1"/>
      <c r="E665" s="1"/>
      <c r="F665" s="1"/>
      <c r="G665" s="1"/>
      <c r="H665" s="1"/>
    </row>
    <row r="666" ht="15.75" customHeight="1">
      <c r="A666" s="36"/>
      <c r="B666" s="37"/>
      <c r="C666" s="37"/>
      <c r="D666" s="1"/>
      <c r="E666" s="1"/>
      <c r="F666" s="1"/>
      <c r="G666" s="1"/>
      <c r="H666" s="1"/>
    </row>
    <row r="667" ht="15.75" customHeight="1">
      <c r="A667" s="36"/>
      <c r="B667" s="37"/>
      <c r="C667" s="37"/>
      <c r="D667" s="1"/>
      <c r="E667" s="1"/>
      <c r="F667" s="1"/>
      <c r="G667" s="1"/>
      <c r="H667" s="1"/>
    </row>
    <row r="668" ht="15.75" customHeight="1">
      <c r="A668" s="36"/>
      <c r="B668" s="37"/>
      <c r="C668" s="37"/>
      <c r="D668" s="1"/>
      <c r="E668" s="1"/>
      <c r="F668" s="1"/>
      <c r="G668" s="1"/>
      <c r="H668" s="1"/>
    </row>
    <row r="669" ht="15.75" customHeight="1">
      <c r="A669" s="36"/>
      <c r="B669" s="37"/>
      <c r="C669" s="37"/>
      <c r="D669" s="1"/>
      <c r="E669" s="1"/>
      <c r="F669" s="1"/>
      <c r="G669" s="1"/>
      <c r="H669" s="1"/>
    </row>
    <row r="670" ht="15.75" customHeight="1">
      <c r="A670" s="36"/>
      <c r="B670" s="37"/>
      <c r="C670" s="37"/>
      <c r="D670" s="1"/>
      <c r="E670" s="1"/>
      <c r="F670" s="1"/>
      <c r="G670" s="1"/>
      <c r="H670" s="1"/>
    </row>
    <row r="671" ht="15.75" customHeight="1">
      <c r="A671" s="36"/>
      <c r="B671" s="37"/>
      <c r="C671" s="37"/>
      <c r="D671" s="1"/>
      <c r="E671" s="1"/>
      <c r="F671" s="1"/>
      <c r="G671" s="1"/>
      <c r="H671" s="1"/>
    </row>
    <row r="672" ht="15.75" customHeight="1">
      <c r="A672" s="36"/>
      <c r="B672" s="37"/>
      <c r="C672" s="37"/>
      <c r="D672" s="1"/>
      <c r="E672" s="1"/>
      <c r="F672" s="1"/>
      <c r="G672" s="1"/>
      <c r="H672" s="1"/>
    </row>
    <row r="673" ht="15.75" customHeight="1">
      <c r="A673" s="36"/>
      <c r="B673" s="37"/>
      <c r="C673" s="37"/>
      <c r="D673" s="1"/>
      <c r="E673" s="1"/>
      <c r="F673" s="1"/>
      <c r="G673" s="1"/>
      <c r="H673" s="1"/>
    </row>
    <row r="674" ht="15.75" customHeight="1">
      <c r="A674" s="36"/>
      <c r="B674" s="37"/>
      <c r="C674" s="37"/>
      <c r="D674" s="1"/>
      <c r="E674" s="1"/>
      <c r="F674" s="1"/>
      <c r="G674" s="1"/>
      <c r="H674" s="1"/>
    </row>
    <row r="675" ht="15.75" customHeight="1">
      <c r="A675" s="36"/>
      <c r="B675" s="37"/>
      <c r="C675" s="37"/>
      <c r="D675" s="1"/>
      <c r="E675" s="1"/>
      <c r="F675" s="1"/>
      <c r="G675" s="1"/>
      <c r="H675" s="1"/>
    </row>
    <row r="676" ht="15.75" customHeight="1">
      <c r="A676" s="36"/>
      <c r="B676" s="37"/>
      <c r="C676" s="37"/>
      <c r="D676" s="1"/>
      <c r="E676" s="1"/>
      <c r="F676" s="1"/>
      <c r="G676" s="1"/>
      <c r="H676" s="1"/>
    </row>
    <row r="677" ht="15.75" customHeight="1">
      <c r="A677" s="36"/>
      <c r="B677" s="37"/>
      <c r="C677" s="37"/>
      <c r="D677" s="1"/>
      <c r="E677" s="1"/>
      <c r="F677" s="1"/>
      <c r="G677" s="1"/>
      <c r="H677" s="1"/>
    </row>
    <row r="678" ht="15.75" customHeight="1">
      <c r="A678" s="36"/>
      <c r="B678" s="37"/>
      <c r="C678" s="37"/>
      <c r="D678" s="1"/>
      <c r="E678" s="1"/>
      <c r="F678" s="1"/>
      <c r="G678" s="1"/>
      <c r="H678" s="1"/>
    </row>
    <row r="679" ht="15.75" customHeight="1">
      <c r="A679" s="36"/>
      <c r="B679" s="37"/>
      <c r="C679" s="37"/>
      <c r="D679" s="1"/>
      <c r="E679" s="1"/>
      <c r="F679" s="1"/>
      <c r="G679" s="1"/>
      <c r="H679" s="1"/>
    </row>
    <row r="680" ht="15.75" customHeight="1">
      <c r="A680" s="36"/>
      <c r="B680" s="37"/>
      <c r="C680" s="37"/>
      <c r="D680" s="1"/>
      <c r="E680" s="1"/>
      <c r="F680" s="1"/>
      <c r="G680" s="1"/>
      <c r="H680" s="1"/>
    </row>
    <row r="681" ht="15.75" customHeight="1">
      <c r="A681" s="36"/>
      <c r="B681" s="37"/>
      <c r="C681" s="37"/>
      <c r="D681" s="1"/>
      <c r="E681" s="1"/>
      <c r="F681" s="1"/>
      <c r="G681" s="1"/>
      <c r="H681" s="1"/>
    </row>
    <row r="682" ht="15.75" customHeight="1">
      <c r="A682" s="36"/>
      <c r="B682" s="37"/>
      <c r="C682" s="37"/>
      <c r="D682" s="1"/>
      <c r="E682" s="1"/>
      <c r="F682" s="1"/>
      <c r="G682" s="1"/>
      <c r="H682" s="1"/>
    </row>
    <row r="683" ht="15.75" customHeight="1">
      <c r="A683" s="36"/>
      <c r="B683" s="37"/>
      <c r="C683" s="37"/>
      <c r="D683" s="1"/>
      <c r="E683" s="1"/>
      <c r="F683" s="1"/>
      <c r="G683" s="1"/>
      <c r="H683" s="1"/>
    </row>
    <row r="684" ht="15.75" customHeight="1">
      <c r="A684" s="36"/>
      <c r="B684" s="37"/>
      <c r="C684" s="37"/>
      <c r="D684" s="1"/>
      <c r="E684" s="1"/>
      <c r="F684" s="1"/>
      <c r="G684" s="1"/>
      <c r="H684" s="1"/>
    </row>
    <row r="685" ht="15.75" customHeight="1">
      <c r="A685" s="36"/>
      <c r="B685" s="37"/>
      <c r="C685" s="37"/>
      <c r="D685" s="1"/>
      <c r="E685" s="1"/>
      <c r="F685" s="1"/>
      <c r="G685" s="1"/>
      <c r="H685" s="1"/>
    </row>
    <row r="686" ht="15.75" customHeight="1">
      <c r="A686" s="36"/>
      <c r="B686" s="37"/>
      <c r="C686" s="37"/>
      <c r="D686" s="1"/>
      <c r="E686" s="1"/>
      <c r="F686" s="1"/>
      <c r="G686" s="1"/>
      <c r="H686" s="1"/>
    </row>
    <row r="687" ht="15.75" customHeight="1">
      <c r="A687" s="36"/>
      <c r="B687" s="37"/>
      <c r="C687" s="37"/>
      <c r="D687" s="1"/>
      <c r="E687" s="1"/>
      <c r="F687" s="1"/>
      <c r="G687" s="1"/>
      <c r="H687" s="1"/>
    </row>
    <row r="688" ht="15.75" customHeight="1">
      <c r="A688" s="36"/>
      <c r="B688" s="37"/>
      <c r="C688" s="37"/>
      <c r="D688" s="1"/>
      <c r="E688" s="1"/>
      <c r="F688" s="1"/>
      <c r="G688" s="1"/>
      <c r="H688" s="1"/>
    </row>
    <row r="689" ht="15.75" customHeight="1">
      <c r="A689" s="36"/>
      <c r="B689" s="37"/>
      <c r="C689" s="37"/>
      <c r="D689" s="1"/>
      <c r="E689" s="1"/>
      <c r="F689" s="1"/>
      <c r="G689" s="1"/>
      <c r="H689" s="1"/>
    </row>
    <row r="690" ht="15.75" customHeight="1">
      <c r="A690" s="36"/>
      <c r="B690" s="37"/>
      <c r="C690" s="37"/>
      <c r="D690" s="1"/>
      <c r="E690" s="1"/>
      <c r="F690" s="1"/>
      <c r="G690" s="1"/>
      <c r="H690" s="1"/>
    </row>
    <row r="691" ht="15.75" customHeight="1">
      <c r="A691" s="36"/>
      <c r="B691" s="37"/>
      <c r="C691" s="37"/>
      <c r="D691" s="1"/>
      <c r="E691" s="1"/>
      <c r="F691" s="1"/>
      <c r="G691" s="1"/>
      <c r="H691" s="1"/>
    </row>
    <row r="692" ht="15.75" customHeight="1">
      <c r="A692" s="36"/>
      <c r="B692" s="37"/>
      <c r="C692" s="37"/>
      <c r="D692" s="1"/>
      <c r="E692" s="1"/>
      <c r="F692" s="1"/>
      <c r="G692" s="1"/>
      <c r="H692" s="1"/>
    </row>
    <row r="693" ht="15.75" customHeight="1">
      <c r="A693" s="36"/>
      <c r="B693" s="37"/>
      <c r="C693" s="37"/>
      <c r="D693" s="1"/>
      <c r="E693" s="1"/>
      <c r="F693" s="1"/>
      <c r="G693" s="1"/>
      <c r="H693" s="1"/>
    </row>
    <row r="694" ht="15.75" customHeight="1">
      <c r="A694" s="36"/>
      <c r="B694" s="37"/>
      <c r="C694" s="37"/>
      <c r="D694" s="1"/>
      <c r="E694" s="1"/>
      <c r="F694" s="1"/>
      <c r="G694" s="1"/>
      <c r="H694" s="1"/>
    </row>
    <row r="695" ht="15.75" customHeight="1">
      <c r="A695" s="36"/>
      <c r="B695" s="37"/>
      <c r="C695" s="37"/>
      <c r="D695" s="1"/>
      <c r="E695" s="1"/>
      <c r="F695" s="1"/>
      <c r="G695" s="1"/>
      <c r="H695" s="1"/>
    </row>
    <row r="696" ht="15.75" customHeight="1">
      <c r="A696" s="36"/>
      <c r="B696" s="37"/>
      <c r="C696" s="37"/>
      <c r="D696" s="1"/>
      <c r="E696" s="1"/>
      <c r="F696" s="1"/>
      <c r="G696" s="1"/>
      <c r="H696" s="1"/>
    </row>
    <row r="697" ht="15.75" customHeight="1">
      <c r="A697" s="36"/>
      <c r="B697" s="37"/>
      <c r="C697" s="37"/>
      <c r="D697" s="1"/>
      <c r="E697" s="1"/>
      <c r="F697" s="1"/>
      <c r="G697" s="1"/>
      <c r="H697" s="1"/>
    </row>
    <row r="698" ht="15.75" customHeight="1">
      <c r="A698" s="36"/>
      <c r="B698" s="37"/>
      <c r="C698" s="37"/>
      <c r="D698" s="1"/>
      <c r="E698" s="1"/>
      <c r="F698" s="1"/>
      <c r="G698" s="1"/>
      <c r="H698" s="1"/>
    </row>
    <row r="699" ht="15.75" customHeight="1">
      <c r="A699" s="36"/>
      <c r="B699" s="37"/>
      <c r="C699" s="37"/>
      <c r="D699" s="1"/>
      <c r="E699" s="1"/>
      <c r="F699" s="1"/>
      <c r="G699" s="1"/>
      <c r="H699" s="1"/>
    </row>
    <row r="700" ht="15.75" customHeight="1">
      <c r="A700" s="36"/>
      <c r="B700" s="37"/>
      <c r="C700" s="37"/>
      <c r="D700" s="1"/>
      <c r="E700" s="1"/>
      <c r="F700" s="1"/>
      <c r="G700" s="1"/>
      <c r="H700" s="1"/>
    </row>
    <row r="701" ht="15.75" customHeight="1">
      <c r="A701" s="36"/>
      <c r="B701" s="37"/>
      <c r="C701" s="37"/>
      <c r="D701" s="1"/>
      <c r="E701" s="1"/>
      <c r="F701" s="1"/>
      <c r="G701" s="1"/>
      <c r="H701" s="1"/>
    </row>
    <row r="702" ht="15.75" customHeight="1">
      <c r="A702" s="36"/>
      <c r="B702" s="37"/>
      <c r="C702" s="37"/>
      <c r="D702" s="1"/>
      <c r="E702" s="1"/>
      <c r="F702" s="1"/>
      <c r="G702" s="1"/>
      <c r="H702" s="1"/>
    </row>
    <row r="703" ht="15.75" customHeight="1">
      <c r="A703" s="36"/>
      <c r="B703" s="37"/>
      <c r="C703" s="37"/>
      <c r="D703" s="1"/>
      <c r="E703" s="1"/>
      <c r="F703" s="1"/>
      <c r="G703" s="1"/>
      <c r="H703" s="1"/>
    </row>
    <row r="704" ht="15.75" customHeight="1">
      <c r="A704" s="36"/>
      <c r="B704" s="37"/>
      <c r="C704" s="37"/>
      <c r="D704" s="1"/>
      <c r="E704" s="1"/>
      <c r="F704" s="1"/>
      <c r="G704" s="1"/>
      <c r="H704" s="1"/>
    </row>
    <row r="705" ht="15.75" customHeight="1">
      <c r="A705" s="36"/>
      <c r="B705" s="37"/>
      <c r="C705" s="37"/>
      <c r="D705" s="1"/>
      <c r="E705" s="1"/>
      <c r="F705" s="1"/>
      <c r="G705" s="1"/>
      <c r="H705" s="1"/>
    </row>
    <row r="706" ht="15.75" customHeight="1">
      <c r="A706" s="36"/>
      <c r="B706" s="37"/>
      <c r="C706" s="37"/>
      <c r="D706" s="1"/>
      <c r="E706" s="1"/>
      <c r="F706" s="1"/>
      <c r="G706" s="1"/>
      <c r="H706" s="1"/>
    </row>
    <row r="707" ht="15.75" customHeight="1">
      <c r="A707" s="36"/>
      <c r="B707" s="37"/>
      <c r="C707" s="37"/>
      <c r="D707" s="1"/>
      <c r="E707" s="1"/>
      <c r="F707" s="1"/>
      <c r="G707" s="1"/>
      <c r="H707" s="1"/>
    </row>
    <row r="708" ht="15.75" customHeight="1">
      <c r="A708" s="36"/>
      <c r="B708" s="37"/>
      <c r="C708" s="37"/>
      <c r="D708" s="1"/>
      <c r="E708" s="1"/>
      <c r="F708" s="1"/>
      <c r="G708" s="1"/>
      <c r="H708" s="1"/>
    </row>
    <row r="709" ht="15.75" customHeight="1">
      <c r="A709" s="36"/>
      <c r="B709" s="37"/>
      <c r="C709" s="37"/>
      <c r="D709" s="1"/>
      <c r="E709" s="1"/>
      <c r="F709" s="1"/>
      <c r="G709" s="1"/>
      <c r="H709" s="1"/>
    </row>
    <row r="710" ht="15.75" customHeight="1">
      <c r="A710" s="36"/>
      <c r="B710" s="37"/>
      <c r="C710" s="37"/>
      <c r="D710" s="1"/>
      <c r="E710" s="1"/>
      <c r="F710" s="1"/>
      <c r="G710" s="1"/>
      <c r="H710" s="1"/>
    </row>
    <row r="711" ht="15.75" customHeight="1">
      <c r="A711" s="36"/>
      <c r="B711" s="37"/>
      <c r="C711" s="37"/>
      <c r="D711" s="1"/>
      <c r="E711" s="1"/>
      <c r="F711" s="1"/>
      <c r="G711" s="1"/>
      <c r="H711" s="1"/>
    </row>
    <row r="712" ht="15.75" customHeight="1">
      <c r="A712" s="36"/>
      <c r="B712" s="37"/>
      <c r="C712" s="37"/>
      <c r="D712" s="1"/>
      <c r="E712" s="1"/>
      <c r="F712" s="1"/>
      <c r="G712" s="1"/>
      <c r="H712" s="1"/>
    </row>
    <row r="713" ht="15.75" customHeight="1">
      <c r="A713" s="36"/>
      <c r="B713" s="37"/>
      <c r="C713" s="37"/>
      <c r="D713" s="1"/>
      <c r="E713" s="1"/>
      <c r="F713" s="1"/>
      <c r="G713" s="1"/>
      <c r="H713" s="1"/>
    </row>
    <row r="714" ht="15.75" customHeight="1">
      <c r="A714" s="36"/>
      <c r="B714" s="37"/>
      <c r="C714" s="37"/>
      <c r="D714" s="1"/>
      <c r="E714" s="1"/>
      <c r="F714" s="1"/>
      <c r="G714" s="1"/>
      <c r="H714" s="1"/>
    </row>
    <row r="715" ht="15.75" customHeight="1">
      <c r="A715" s="36"/>
      <c r="B715" s="37"/>
      <c r="C715" s="37"/>
      <c r="D715" s="1"/>
      <c r="E715" s="1"/>
      <c r="F715" s="1"/>
      <c r="G715" s="1"/>
      <c r="H715" s="1"/>
    </row>
    <row r="716" ht="15.75" customHeight="1">
      <c r="A716" s="36"/>
      <c r="B716" s="37"/>
      <c r="C716" s="37"/>
      <c r="D716" s="1"/>
      <c r="E716" s="1"/>
      <c r="F716" s="1"/>
      <c r="G716" s="1"/>
      <c r="H716" s="1"/>
    </row>
    <row r="717" ht="15.75" customHeight="1">
      <c r="A717" s="36"/>
      <c r="B717" s="37"/>
      <c r="C717" s="37"/>
      <c r="D717" s="1"/>
      <c r="E717" s="1"/>
      <c r="F717" s="1"/>
      <c r="G717" s="1"/>
      <c r="H717" s="1"/>
    </row>
    <row r="718" ht="15.75" customHeight="1">
      <c r="A718" s="36"/>
      <c r="B718" s="37"/>
      <c r="C718" s="37"/>
      <c r="D718" s="1"/>
      <c r="E718" s="1"/>
      <c r="F718" s="1"/>
      <c r="G718" s="1"/>
      <c r="H718" s="1"/>
    </row>
    <row r="719" ht="15.75" customHeight="1">
      <c r="A719" s="36"/>
      <c r="B719" s="37"/>
      <c r="C719" s="37"/>
      <c r="D719" s="1"/>
      <c r="E719" s="1"/>
      <c r="F719" s="1"/>
      <c r="G719" s="1"/>
      <c r="H719" s="1"/>
    </row>
    <row r="720" ht="15.75" customHeight="1">
      <c r="A720" s="36"/>
      <c r="B720" s="37"/>
      <c r="C720" s="37"/>
      <c r="D720" s="1"/>
      <c r="E720" s="1"/>
      <c r="F720" s="1"/>
      <c r="G720" s="1"/>
      <c r="H720" s="1"/>
    </row>
    <row r="721" ht="15.75" customHeight="1">
      <c r="A721" s="36"/>
      <c r="B721" s="37"/>
      <c r="C721" s="37"/>
      <c r="D721" s="1"/>
      <c r="E721" s="1"/>
      <c r="F721" s="1"/>
      <c r="G721" s="1"/>
      <c r="H721" s="1"/>
    </row>
    <row r="722" ht="15.75" customHeight="1">
      <c r="A722" s="36"/>
      <c r="B722" s="37"/>
      <c r="C722" s="37"/>
      <c r="D722" s="1"/>
      <c r="E722" s="1"/>
      <c r="F722" s="1"/>
      <c r="G722" s="1"/>
      <c r="H722" s="1"/>
    </row>
    <row r="723" ht="15.75" customHeight="1">
      <c r="A723" s="36"/>
      <c r="B723" s="37"/>
      <c r="C723" s="37"/>
      <c r="D723" s="1"/>
      <c r="E723" s="1"/>
      <c r="F723" s="1"/>
      <c r="G723" s="1"/>
      <c r="H723" s="1"/>
    </row>
    <row r="724" ht="15.75" customHeight="1">
      <c r="A724" s="36"/>
      <c r="B724" s="37"/>
      <c r="C724" s="37"/>
      <c r="D724" s="1"/>
      <c r="E724" s="1"/>
      <c r="F724" s="1"/>
      <c r="G724" s="1"/>
      <c r="H724" s="1"/>
    </row>
    <row r="725" ht="15.75" customHeight="1">
      <c r="A725" s="36"/>
      <c r="B725" s="37"/>
      <c r="C725" s="37"/>
      <c r="D725" s="1"/>
      <c r="E725" s="1"/>
      <c r="F725" s="1"/>
      <c r="G725" s="1"/>
      <c r="H725" s="1"/>
    </row>
    <row r="726" ht="15.75" customHeight="1">
      <c r="A726" s="36"/>
      <c r="B726" s="37"/>
      <c r="C726" s="37"/>
      <c r="D726" s="1"/>
      <c r="E726" s="1"/>
      <c r="F726" s="1"/>
      <c r="G726" s="1"/>
      <c r="H726" s="1"/>
    </row>
    <row r="727" ht="15.75" customHeight="1">
      <c r="A727" s="36"/>
      <c r="B727" s="37"/>
      <c r="C727" s="37"/>
      <c r="D727" s="1"/>
      <c r="E727" s="1"/>
      <c r="F727" s="1"/>
      <c r="G727" s="1"/>
      <c r="H727" s="1"/>
    </row>
    <row r="728" ht="15.75" customHeight="1">
      <c r="A728" s="36"/>
      <c r="B728" s="37"/>
      <c r="C728" s="37"/>
      <c r="D728" s="1"/>
      <c r="E728" s="1"/>
      <c r="F728" s="1"/>
      <c r="G728" s="1"/>
      <c r="H728" s="1"/>
    </row>
    <row r="729" ht="15.75" customHeight="1">
      <c r="A729" s="36"/>
      <c r="B729" s="37"/>
      <c r="C729" s="37"/>
      <c r="D729" s="1"/>
      <c r="E729" s="1"/>
      <c r="F729" s="1"/>
      <c r="G729" s="1"/>
      <c r="H729" s="1"/>
    </row>
    <row r="730" ht="15.75" customHeight="1">
      <c r="A730" s="36"/>
      <c r="B730" s="37"/>
      <c r="C730" s="37"/>
      <c r="D730" s="1"/>
      <c r="E730" s="1"/>
      <c r="F730" s="1"/>
      <c r="G730" s="1"/>
      <c r="H730" s="1"/>
    </row>
    <row r="731" ht="15.75" customHeight="1">
      <c r="A731" s="36"/>
      <c r="B731" s="37"/>
      <c r="C731" s="37"/>
      <c r="D731" s="1"/>
      <c r="E731" s="1"/>
      <c r="F731" s="1"/>
      <c r="G731" s="1"/>
      <c r="H731" s="1"/>
    </row>
    <row r="732" ht="15.75" customHeight="1">
      <c r="A732" s="36"/>
      <c r="B732" s="37"/>
      <c r="C732" s="37"/>
      <c r="D732" s="1"/>
      <c r="E732" s="1"/>
      <c r="F732" s="1"/>
      <c r="G732" s="1"/>
      <c r="H732" s="1"/>
    </row>
    <row r="733" ht="15.75" customHeight="1">
      <c r="A733" s="36"/>
      <c r="B733" s="37"/>
      <c r="C733" s="37"/>
      <c r="D733" s="1"/>
      <c r="E733" s="1"/>
      <c r="F733" s="1"/>
      <c r="G733" s="1"/>
      <c r="H733" s="1"/>
    </row>
    <row r="734" ht="15.75" customHeight="1">
      <c r="A734" s="36"/>
      <c r="B734" s="37"/>
      <c r="C734" s="37"/>
      <c r="D734" s="1"/>
      <c r="E734" s="1"/>
      <c r="F734" s="1"/>
      <c r="G734" s="1"/>
      <c r="H734" s="1"/>
    </row>
    <row r="735" ht="15.75" customHeight="1">
      <c r="A735" s="36"/>
      <c r="B735" s="37"/>
      <c r="C735" s="37"/>
      <c r="D735" s="1"/>
      <c r="E735" s="1"/>
      <c r="F735" s="1"/>
      <c r="G735" s="1"/>
      <c r="H735" s="1"/>
    </row>
    <row r="736" ht="15.75" customHeight="1">
      <c r="A736" s="36"/>
      <c r="B736" s="37"/>
      <c r="C736" s="37"/>
      <c r="D736" s="1"/>
      <c r="E736" s="1"/>
      <c r="F736" s="1"/>
      <c r="G736" s="1"/>
      <c r="H736" s="1"/>
    </row>
    <row r="737" ht="15.75" customHeight="1">
      <c r="A737" s="36"/>
      <c r="B737" s="37"/>
      <c r="C737" s="37"/>
      <c r="D737" s="1"/>
      <c r="E737" s="1"/>
      <c r="F737" s="1"/>
      <c r="G737" s="1"/>
      <c r="H737" s="1"/>
    </row>
    <row r="738" ht="15.75" customHeight="1">
      <c r="A738" s="36"/>
      <c r="B738" s="37"/>
      <c r="C738" s="37"/>
      <c r="D738" s="1"/>
      <c r="E738" s="1"/>
      <c r="F738" s="1"/>
      <c r="G738" s="1"/>
      <c r="H738" s="1"/>
    </row>
    <row r="739" ht="15.75" customHeight="1">
      <c r="A739" s="36"/>
      <c r="B739" s="37"/>
      <c r="C739" s="37"/>
      <c r="D739" s="1"/>
      <c r="E739" s="1"/>
      <c r="F739" s="1"/>
      <c r="G739" s="1"/>
      <c r="H739" s="1"/>
    </row>
    <row r="740" ht="15.75" customHeight="1">
      <c r="A740" s="36"/>
      <c r="B740" s="37"/>
      <c r="C740" s="37"/>
      <c r="D740" s="1"/>
      <c r="E740" s="1"/>
      <c r="F740" s="1"/>
      <c r="G740" s="1"/>
      <c r="H740" s="1"/>
    </row>
    <row r="741" ht="15.75" customHeight="1">
      <c r="A741" s="36"/>
      <c r="B741" s="37"/>
      <c r="C741" s="37"/>
      <c r="D741" s="1"/>
      <c r="E741" s="1"/>
      <c r="F741" s="1"/>
      <c r="G741" s="1"/>
      <c r="H741" s="1"/>
    </row>
    <row r="742" ht="15.75" customHeight="1">
      <c r="A742" s="36"/>
      <c r="B742" s="37"/>
      <c r="C742" s="37"/>
      <c r="D742" s="1"/>
      <c r="E742" s="1"/>
      <c r="F742" s="1"/>
      <c r="G742" s="1"/>
      <c r="H742" s="1"/>
    </row>
    <row r="743" ht="15.75" customHeight="1">
      <c r="A743" s="36"/>
      <c r="B743" s="37"/>
      <c r="C743" s="37"/>
      <c r="D743" s="1"/>
      <c r="E743" s="1"/>
      <c r="F743" s="1"/>
      <c r="G743" s="1"/>
      <c r="H743" s="1"/>
    </row>
    <row r="744" ht="15.75" customHeight="1">
      <c r="A744" s="36"/>
      <c r="B744" s="37"/>
      <c r="C744" s="37"/>
      <c r="D744" s="1"/>
      <c r="E744" s="1"/>
      <c r="F744" s="1"/>
      <c r="G744" s="1"/>
      <c r="H744" s="1"/>
    </row>
    <row r="745" ht="15.75" customHeight="1">
      <c r="A745" s="36"/>
      <c r="B745" s="37"/>
      <c r="C745" s="37"/>
      <c r="D745" s="1"/>
      <c r="E745" s="1"/>
      <c r="F745" s="1"/>
      <c r="G745" s="1"/>
      <c r="H745" s="1"/>
    </row>
    <row r="746" ht="15.75" customHeight="1">
      <c r="A746" s="36"/>
      <c r="B746" s="37"/>
      <c r="C746" s="37"/>
      <c r="D746" s="1"/>
      <c r="E746" s="1"/>
      <c r="F746" s="1"/>
      <c r="G746" s="1"/>
      <c r="H746" s="1"/>
    </row>
    <row r="747" ht="15.75" customHeight="1">
      <c r="A747" s="36"/>
      <c r="B747" s="37"/>
      <c r="C747" s="37"/>
      <c r="D747" s="1"/>
      <c r="E747" s="1"/>
      <c r="F747" s="1"/>
      <c r="G747" s="1"/>
      <c r="H747" s="1"/>
    </row>
    <row r="748" ht="15.75" customHeight="1">
      <c r="A748" s="36"/>
      <c r="B748" s="37"/>
      <c r="C748" s="37"/>
      <c r="D748" s="1"/>
      <c r="E748" s="1"/>
      <c r="F748" s="1"/>
      <c r="G748" s="1"/>
      <c r="H748" s="1"/>
    </row>
    <row r="749" ht="15.75" customHeight="1">
      <c r="A749" s="36"/>
      <c r="B749" s="37"/>
      <c r="C749" s="37"/>
      <c r="D749" s="1"/>
      <c r="E749" s="1"/>
      <c r="F749" s="1"/>
      <c r="G749" s="1"/>
      <c r="H749" s="1"/>
    </row>
    <row r="750" ht="15.75" customHeight="1">
      <c r="A750" s="36"/>
      <c r="B750" s="37"/>
      <c r="C750" s="37"/>
      <c r="D750" s="1"/>
      <c r="E750" s="1"/>
      <c r="F750" s="1"/>
      <c r="G750" s="1"/>
      <c r="H750" s="1"/>
    </row>
    <row r="751" ht="15.75" customHeight="1">
      <c r="A751" s="36"/>
      <c r="B751" s="37"/>
      <c r="C751" s="37"/>
      <c r="D751" s="1"/>
      <c r="E751" s="1"/>
      <c r="F751" s="1"/>
      <c r="G751" s="1"/>
      <c r="H751" s="1"/>
    </row>
    <row r="752" ht="15.75" customHeight="1">
      <c r="A752" s="36"/>
      <c r="B752" s="37"/>
      <c r="C752" s="37"/>
      <c r="D752" s="1"/>
      <c r="E752" s="1"/>
      <c r="F752" s="1"/>
      <c r="G752" s="1"/>
      <c r="H752" s="1"/>
    </row>
    <row r="753" ht="15.75" customHeight="1">
      <c r="A753" s="36"/>
      <c r="B753" s="37"/>
      <c r="C753" s="37"/>
      <c r="D753" s="1"/>
      <c r="E753" s="1"/>
      <c r="F753" s="1"/>
      <c r="G753" s="1"/>
      <c r="H753" s="1"/>
    </row>
    <row r="754" ht="15.75" customHeight="1">
      <c r="A754" s="36"/>
      <c r="B754" s="37"/>
      <c r="C754" s="37"/>
      <c r="D754" s="1"/>
      <c r="E754" s="1"/>
      <c r="F754" s="1"/>
      <c r="G754" s="1"/>
      <c r="H754" s="1"/>
    </row>
    <row r="755" ht="15.75" customHeight="1">
      <c r="A755" s="36"/>
      <c r="B755" s="37"/>
      <c r="C755" s="37"/>
      <c r="D755" s="1"/>
      <c r="E755" s="1"/>
      <c r="F755" s="1"/>
      <c r="G755" s="1"/>
      <c r="H755" s="1"/>
    </row>
    <row r="756" ht="15.75" customHeight="1">
      <c r="A756" s="36"/>
      <c r="B756" s="37"/>
      <c r="C756" s="37"/>
      <c r="D756" s="1"/>
      <c r="E756" s="1"/>
      <c r="F756" s="1"/>
      <c r="G756" s="1"/>
      <c r="H756" s="1"/>
    </row>
    <row r="757" ht="15.75" customHeight="1">
      <c r="A757" s="36"/>
      <c r="B757" s="37"/>
      <c r="C757" s="37"/>
      <c r="D757" s="1"/>
      <c r="E757" s="1"/>
      <c r="F757" s="1"/>
      <c r="G757" s="1"/>
      <c r="H757" s="1"/>
    </row>
    <row r="758" ht="15.75" customHeight="1">
      <c r="A758" s="36"/>
      <c r="B758" s="37"/>
      <c r="C758" s="37"/>
      <c r="D758" s="1"/>
      <c r="E758" s="1"/>
      <c r="F758" s="1"/>
      <c r="G758" s="1"/>
      <c r="H758" s="1"/>
    </row>
    <row r="759" ht="15.75" customHeight="1">
      <c r="A759" s="36"/>
      <c r="B759" s="37"/>
      <c r="C759" s="37"/>
      <c r="D759" s="1"/>
      <c r="E759" s="1"/>
      <c r="F759" s="1"/>
      <c r="G759" s="1"/>
      <c r="H759" s="1"/>
    </row>
    <row r="760" ht="15.75" customHeight="1">
      <c r="A760" s="36"/>
      <c r="B760" s="37"/>
      <c r="C760" s="37"/>
      <c r="D760" s="1"/>
      <c r="E760" s="1"/>
      <c r="F760" s="1"/>
      <c r="G760" s="1"/>
      <c r="H760" s="1"/>
    </row>
    <row r="761" ht="15.75" customHeight="1">
      <c r="A761" s="36"/>
      <c r="B761" s="37"/>
      <c r="C761" s="37"/>
      <c r="D761" s="1"/>
      <c r="E761" s="1"/>
      <c r="F761" s="1"/>
      <c r="G761" s="1"/>
      <c r="H761" s="1"/>
    </row>
    <row r="762" ht="15.75" customHeight="1">
      <c r="A762" s="36"/>
      <c r="B762" s="37"/>
      <c r="C762" s="37"/>
      <c r="D762" s="1"/>
      <c r="E762" s="1"/>
      <c r="F762" s="1"/>
      <c r="G762" s="1"/>
      <c r="H762" s="1"/>
    </row>
    <row r="763" ht="15.75" customHeight="1">
      <c r="A763" s="36"/>
      <c r="B763" s="37"/>
      <c r="C763" s="37"/>
      <c r="D763" s="1"/>
      <c r="E763" s="1"/>
      <c r="F763" s="1"/>
      <c r="G763" s="1"/>
      <c r="H763" s="1"/>
    </row>
    <row r="764" ht="15.75" customHeight="1">
      <c r="A764" s="36"/>
      <c r="B764" s="37"/>
      <c r="C764" s="37"/>
      <c r="D764" s="1"/>
      <c r="E764" s="1"/>
      <c r="F764" s="1"/>
      <c r="G764" s="1"/>
      <c r="H764" s="1"/>
    </row>
    <row r="765" ht="15.75" customHeight="1">
      <c r="A765" s="36"/>
      <c r="B765" s="37"/>
      <c r="C765" s="37"/>
      <c r="D765" s="1"/>
      <c r="E765" s="1"/>
      <c r="F765" s="1"/>
      <c r="G765" s="1"/>
      <c r="H765" s="1"/>
    </row>
    <row r="766" ht="15.75" customHeight="1">
      <c r="A766" s="36"/>
      <c r="B766" s="37"/>
      <c r="C766" s="37"/>
      <c r="D766" s="1"/>
      <c r="E766" s="1"/>
      <c r="F766" s="1"/>
      <c r="G766" s="1"/>
      <c r="H766" s="1"/>
    </row>
    <row r="767" ht="15.75" customHeight="1">
      <c r="A767" s="36"/>
      <c r="B767" s="37"/>
      <c r="C767" s="37"/>
      <c r="D767" s="1"/>
      <c r="E767" s="1"/>
      <c r="F767" s="1"/>
      <c r="G767" s="1"/>
      <c r="H767" s="1"/>
    </row>
    <row r="768" ht="15.75" customHeight="1">
      <c r="A768" s="36"/>
      <c r="B768" s="37"/>
      <c r="C768" s="37"/>
      <c r="D768" s="1"/>
      <c r="E768" s="1"/>
      <c r="F768" s="1"/>
      <c r="G768" s="1"/>
      <c r="H768" s="1"/>
    </row>
    <row r="769" ht="15.75" customHeight="1">
      <c r="A769" s="36"/>
      <c r="B769" s="37"/>
      <c r="C769" s="37"/>
      <c r="D769" s="1"/>
      <c r="E769" s="1"/>
      <c r="F769" s="1"/>
      <c r="G769" s="1"/>
      <c r="H769" s="1"/>
    </row>
    <row r="770" ht="15.75" customHeight="1">
      <c r="A770" s="36"/>
      <c r="B770" s="37"/>
      <c r="C770" s="37"/>
      <c r="D770" s="1"/>
      <c r="E770" s="1"/>
      <c r="F770" s="1"/>
      <c r="G770" s="1"/>
      <c r="H770" s="1"/>
    </row>
    <row r="771" ht="15.75" customHeight="1">
      <c r="A771" s="36"/>
      <c r="B771" s="37"/>
      <c r="C771" s="37"/>
      <c r="D771" s="1"/>
      <c r="E771" s="1"/>
      <c r="F771" s="1"/>
      <c r="G771" s="1"/>
      <c r="H771" s="1"/>
    </row>
    <row r="772" ht="15.75" customHeight="1">
      <c r="A772" s="36"/>
      <c r="B772" s="37"/>
      <c r="C772" s="37"/>
      <c r="D772" s="1"/>
      <c r="E772" s="1"/>
      <c r="F772" s="1"/>
      <c r="G772" s="1"/>
      <c r="H772" s="1"/>
    </row>
    <row r="773" ht="15.75" customHeight="1">
      <c r="A773" s="36"/>
      <c r="B773" s="37"/>
      <c r="C773" s="37"/>
      <c r="D773" s="1"/>
      <c r="E773" s="1"/>
      <c r="F773" s="1"/>
      <c r="G773" s="1"/>
      <c r="H773" s="1"/>
    </row>
    <row r="774" ht="15.75" customHeight="1">
      <c r="A774" s="36"/>
      <c r="B774" s="37"/>
      <c r="C774" s="37"/>
      <c r="D774" s="1"/>
      <c r="E774" s="1"/>
      <c r="F774" s="1"/>
      <c r="G774" s="1"/>
      <c r="H774" s="1"/>
    </row>
    <row r="775" ht="15.75" customHeight="1">
      <c r="A775" s="36"/>
      <c r="B775" s="37"/>
      <c r="C775" s="37"/>
      <c r="D775" s="1"/>
      <c r="E775" s="1"/>
      <c r="F775" s="1"/>
      <c r="G775" s="1"/>
      <c r="H775" s="1"/>
    </row>
    <row r="776" ht="15.75" customHeight="1">
      <c r="A776" s="36"/>
      <c r="B776" s="37"/>
      <c r="C776" s="37"/>
      <c r="D776" s="1"/>
      <c r="E776" s="1"/>
      <c r="F776" s="1"/>
      <c r="G776" s="1"/>
      <c r="H776" s="1"/>
    </row>
    <row r="777" ht="15.75" customHeight="1">
      <c r="A777" s="36"/>
      <c r="B777" s="37"/>
      <c r="C777" s="37"/>
      <c r="D777" s="1"/>
      <c r="E777" s="1"/>
      <c r="F777" s="1"/>
      <c r="G777" s="1"/>
      <c r="H777" s="1"/>
    </row>
    <row r="778" ht="15.75" customHeight="1">
      <c r="A778" s="36"/>
      <c r="B778" s="37"/>
      <c r="C778" s="37"/>
      <c r="D778" s="1"/>
      <c r="E778" s="1"/>
      <c r="F778" s="1"/>
      <c r="G778" s="1"/>
      <c r="H778" s="1"/>
    </row>
    <row r="779" ht="15.75" customHeight="1">
      <c r="A779" s="36"/>
      <c r="B779" s="37"/>
      <c r="C779" s="37"/>
      <c r="D779" s="1"/>
      <c r="E779" s="1"/>
      <c r="F779" s="1"/>
      <c r="G779" s="1"/>
      <c r="H779" s="1"/>
    </row>
    <row r="780" ht="15.75" customHeight="1">
      <c r="A780" s="36"/>
      <c r="B780" s="37"/>
      <c r="C780" s="37"/>
      <c r="D780" s="1"/>
      <c r="E780" s="1"/>
      <c r="F780" s="1"/>
      <c r="G780" s="1"/>
      <c r="H780" s="1"/>
    </row>
    <row r="781" ht="15.75" customHeight="1">
      <c r="A781" s="36"/>
      <c r="B781" s="37"/>
      <c r="C781" s="37"/>
      <c r="D781" s="1"/>
      <c r="E781" s="1"/>
      <c r="F781" s="1"/>
      <c r="G781" s="1"/>
      <c r="H781" s="1"/>
    </row>
    <row r="782" ht="15.75" customHeight="1">
      <c r="A782" s="36"/>
      <c r="B782" s="37"/>
      <c r="C782" s="37"/>
      <c r="D782" s="1"/>
      <c r="E782" s="1"/>
      <c r="F782" s="1"/>
      <c r="G782" s="1"/>
      <c r="H782" s="1"/>
    </row>
    <row r="783" ht="15.75" customHeight="1">
      <c r="A783" s="36"/>
      <c r="B783" s="37"/>
      <c r="C783" s="37"/>
      <c r="D783" s="1"/>
      <c r="E783" s="1"/>
      <c r="F783" s="1"/>
      <c r="G783" s="1"/>
      <c r="H783" s="1"/>
    </row>
    <row r="784" ht="15.75" customHeight="1">
      <c r="A784" s="36"/>
      <c r="B784" s="37"/>
      <c r="C784" s="37"/>
      <c r="D784" s="1"/>
      <c r="E784" s="1"/>
      <c r="F784" s="1"/>
      <c r="G784" s="1"/>
      <c r="H784" s="1"/>
    </row>
    <row r="785" ht="15.75" customHeight="1">
      <c r="A785" s="36"/>
      <c r="B785" s="37"/>
      <c r="C785" s="37"/>
      <c r="D785" s="1"/>
      <c r="E785" s="1"/>
      <c r="F785" s="1"/>
      <c r="G785" s="1"/>
      <c r="H785" s="1"/>
    </row>
    <row r="786" ht="15.75" customHeight="1">
      <c r="A786" s="36"/>
      <c r="B786" s="37"/>
      <c r="C786" s="37"/>
      <c r="D786" s="1"/>
      <c r="E786" s="1"/>
      <c r="F786" s="1"/>
      <c r="G786" s="1"/>
      <c r="H786" s="1"/>
    </row>
    <row r="787" ht="15.75" customHeight="1">
      <c r="A787" s="36"/>
      <c r="B787" s="37"/>
      <c r="C787" s="37"/>
      <c r="D787" s="1"/>
      <c r="E787" s="1"/>
      <c r="F787" s="1"/>
      <c r="G787" s="1"/>
      <c r="H787" s="1"/>
    </row>
    <row r="788" ht="15.75" customHeight="1">
      <c r="A788" s="36"/>
      <c r="B788" s="37"/>
      <c r="C788" s="37"/>
      <c r="D788" s="1"/>
      <c r="E788" s="1"/>
      <c r="F788" s="1"/>
      <c r="G788" s="1"/>
      <c r="H788" s="1"/>
    </row>
    <row r="789" ht="15.75" customHeight="1">
      <c r="A789" s="36"/>
      <c r="B789" s="37"/>
      <c r="C789" s="37"/>
      <c r="D789" s="1"/>
      <c r="E789" s="1"/>
      <c r="F789" s="1"/>
      <c r="G789" s="1"/>
      <c r="H789" s="1"/>
    </row>
    <row r="790" ht="15.75" customHeight="1">
      <c r="A790" s="36"/>
      <c r="B790" s="37"/>
      <c r="C790" s="37"/>
      <c r="D790" s="1"/>
      <c r="E790" s="1"/>
      <c r="F790" s="1"/>
      <c r="G790" s="1"/>
      <c r="H790" s="1"/>
    </row>
    <row r="791" ht="15.75" customHeight="1">
      <c r="A791" s="36"/>
      <c r="B791" s="37"/>
      <c r="C791" s="37"/>
      <c r="D791" s="1"/>
      <c r="E791" s="1"/>
      <c r="F791" s="1"/>
      <c r="G791" s="1"/>
      <c r="H791" s="1"/>
    </row>
    <row r="792" ht="15.75" customHeight="1">
      <c r="A792" s="36"/>
      <c r="B792" s="37"/>
      <c r="C792" s="37"/>
      <c r="D792" s="1"/>
      <c r="E792" s="1"/>
      <c r="F792" s="1"/>
      <c r="G792" s="1"/>
      <c r="H792" s="1"/>
    </row>
    <row r="793" ht="15.75" customHeight="1">
      <c r="A793" s="36"/>
      <c r="B793" s="37"/>
      <c r="C793" s="37"/>
      <c r="D793" s="1"/>
      <c r="E793" s="1"/>
      <c r="F793" s="1"/>
      <c r="G793" s="1"/>
      <c r="H793" s="1"/>
    </row>
    <row r="794" ht="15.75" customHeight="1">
      <c r="A794" s="36"/>
      <c r="B794" s="37"/>
      <c r="C794" s="37"/>
      <c r="D794" s="1"/>
      <c r="E794" s="1"/>
      <c r="F794" s="1"/>
      <c r="G794" s="1"/>
      <c r="H794" s="1"/>
    </row>
    <row r="795" ht="15.75" customHeight="1">
      <c r="A795" s="36"/>
      <c r="B795" s="37"/>
      <c r="C795" s="37"/>
      <c r="D795" s="1"/>
      <c r="E795" s="1"/>
      <c r="F795" s="1"/>
      <c r="G795" s="1"/>
      <c r="H795" s="1"/>
    </row>
    <row r="796" ht="15.75" customHeight="1">
      <c r="A796" s="36"/>
      <c r="B796" s="37"/>
      <c r="C796" s="37"/>
      <c r="D796" s="1"/>
      <c r="E796" s="1"/>
      <c r="F796" s="1"/>
      <c r="G796" s="1"/>
      <c r="H796" s="1"/>
    </row>
    <row r="797" ht="15.75" customHeight="1">
      <c r="A797" s="36"/>
      <c r="B797" s="37"/>
      <c r="C797" s="37"/>
      <c r="D797" s="1"/>
      <c r="E797" s="1"/>
      <c r="F797" s="1"/>
      <c r="G797" s="1"/>
      <c r="H797" s="1"/>
    </row>
    <row r="798" ht="15.75" customHeight="1">
      <c r="A798" s="36"/>
      <c r="B798" s="37"/>
      <c r="C798" s="37"/>
      <c r="D798" s="1"/>
      <c r="E798" s="1"/>
      <c r="F798" s="1"/>
      <c r="G798" s="1"/>
      <c r="H798" s="1"/>
    </row>
    <row r="799" ht="15.75" customHeight="1">
      <c r="A799" s="36"/>
      <c r="B799" s="37"/>
      <c r="C799" s="37"/>
      <c r="D799" s="1"/>
      <c r="E799" s="1"/>
      <c r="F799" s="1"/>
      <c r="G799" s="1"/>
      <c r="H799" s="1"/>
    </row>
    <row r="800" ht="15.75" customHeight="1">
      <c r="A800" s="36"/>
      <c r="B800" s="37"/>
      <c r="C800" s="37"/>
      <c r="D800" s="1"/>
      <c r="E800" s="1"/>
      <c r="F800" s="1"/>
      <c r="G800" s="1"/>
      <c r="H800" s="1"/>
    </row>
    <row r="801" ht="15.75" customHeight="1">
      <c r="A801" s="36"/>
      <c r="B801" s="37"/>
      <c r="C801" s="37"/>
      <c r="D801" s="1"/>
      <c r="E801" s="1"/>
      <c r="F801" s="1"/>
      <c r="G801" s="1"/>
      <c r="H801" s="1"/>
    </row>
    <row r="802" ht="15.75" customHeight="1">
      <c r="A802" s="36"/>
      <c r="B802" s="37"/>
      <c r="C802" s="37"/>
      <c r="D802" s="1"/>
      <c r="E802" s="1"/>
      <c r="F802" s="1"/>
      <c r="G802" s="1"/>
      <c r="H802" s="1"/>
    </row>
    <row r="803" ht="15.75" customHeight="1">
      <c r="A803" s="36"/>
      <c r="B803" s="37"/>
      <c r="C803" s="37"/>
      <c r="D803" s="1"/>
      <c r="E803" s="1"/>
      <c r="F803" s="1"/>
      <c r="G803" s="1"/>
      <c r="H803" s="1"/>
    </row>
    <row r="804" ht="15.75" customHeight="1">
      <c r="A804" s="36"/>
      <c r="B804" s="37"/>
      <c r="C804" s="37"/>
      <c r="D804" s="1"/>
      <c r="E804" s="1"/>
      <c r="F804" s="1"/>
      <c r="G804" s="1"/>
      <c r="H804" s="1"/>
    </row>
    <row r="805" ht="15.75" customHeight="1">
      <c r="A805" s="36"/>
      <c r="B805" s="37"/>
      <c r="C805" s="37"/>
      <c r="D805" s="1"/>
      <c r="E805" s="1"/>
      <c r="F805" s="1"/>
      <c r="G805" s="1"/>
      <c r="H805" s="1"/>
    </row>
    <row r="806" ht="15.75" customHeight="1">
      <c r="A806" s="36"/>
      <c r="B806" s="37"/>
      <c r="C806" s="37"/>
      <c r="D806" s="1"/>
      <c r="E806" s="1"/>
      <c r="F806" s="1"/>
      <c r="G806" s="1"/>
      <c r="H806" s="1"/>
    </row>
    <row r="807" ht="15.75" customHeight="1">
      <c r="A807" s="36"/>
      <c r="B807" s="37"/>
      <c r="C807" s="37"/>
      <c r="D807" s="1"/>
      <c r="E807" s="1"/>
      <c r="F807" s="1"/>
      <c r="G807" s="1"/>
      <c r="H807" s="1"/>
    </row>
    <row r="808" ht="15.75" customHeight="1">
      <c r="A808" s="36"/>
      <c r="B808" s="37"/>
      <c r="C808" s="37"/>
      <c r="D808" s="1"/>
      <c r="E808" s="1"/>
      <c r="F808" s="1"/>
      <c r="G808" s="1"/>
      <c r="H808" s="1"/>
    </row>
    <row r="809" ht="15.75" customHeight="1">
      <c r="A809" s="36"/>
      <c r="B809" s="37"/>
      <c r="C809" s="37"/>
      <c r="D809" s="1"/>
      <c r="E809" s="1"/>
      <c r="F809" s="1"/>
      <c r="G809" s="1"/>
      <c r="H809" s="1"/>
    </row>
    <row r="810" ht="15.75" customHeight="1">
      <c r="A810" s="36"/>
      <c r="B810" s="37"/>
      <c r="C810" s="37"/>
      <c r="D810" s="1"/>
      <c r="E810" s="1"/>
      <c r="F810" s="1"/>
      <c r="G810" s="1"/>
      <c r="H810" s="1"/>
    </row>
    <row r="811" ht="15.75" customHeight="1">
      <c r="A811" s="36"/>
      <c r="B811" s="37"/>
      <c r="C811" s="37"/>
      <c r="D811" s="1"/>
      <c r="E811" s="1"/>
      <c r="F811" s="1"/>
      <c r="G811" s="1"/>
      <c r="H811" s="1"/>
    </row>
    <row r="812" ht="15.75" customHeight="1">
      <c r="A812" s="36"/>
      <c r="B812" s="37"/>
      <c r="C812" s="37"/>
      <c r="D812" s="1"/>
      <c r="E812" s="1"/>
      <c r="F812" s="1"/>
      <c r="G812" s="1"/>
      <c r="H812" s="1"/>
    </row>
    <row r="813" ht="15.75" customHeight="1">
      <c r="A813" s="36"/>
      <c r="B813" s="37"/>
      <c r="C813" s="37"/>
      <c r="D813" s="1"/>
      <c r="E813" s="1"/>
      <c r="F813" s="1"/>
      <c r="G813" s="1"/>
      <c r="H813" s="1"/>
    </row>
    <row r="814" ht="15.75" customHeight="1">
      <c r="A814" s="36"/>
      <c r="B814" s="37"/>
      <c r="C814" s="37"/>
      <c r="D814" s="1"/>
      <c r="E814" s="1"/>
      <c r="F814" s="1"/>
      <c r="G814" s="1"/>
      <c r="H814" s="1"/>
    </row>
    <row r="815" ht="15.75" customHeight="1">
      <c r="A815" s="36"/>
      <c r="B815" s="37"/>
      <c r="C815" s="37"/>
      <c r="D815" s="1"/>
      <c r="E815" s="1"/>
      <c r="F815" s="1"/>
      <c r="G815" s="1"/>
      <c r="H815" s="1"/>
    </row>
    <row r="816" ht="15.75" customHeight="1">
      <c r="A816" s="36"/>
      <c r="B816" s="37"/>
      <c r="C816" s="37"/>
      <c r="D816" s="1"/>
      <c r="E816" s="1"/>
      <c r="F816" s="1"/>
      <c r="G816" s="1"/>
      <c r="H816" s="1"/>
    </row>
    <row r="817" ht="15.75" customHeight="1">
      <c r="A817" s="36"/>
      <c r="B817" s="37"/>
      <c r="C817" s="37"/>
      <c r="D817" s="1"/>
      <c r="E817" s="1"/>
      <c r="F817" s="1"/>
      <c r="G817" s="1"/>
      <c r="H817" s="1"/>
    </row>
    <row r="818" ht="15.75" customHeight="1">
      <c r="A818" s="36"/>
      <c r="B818" s="37"/>
      <c r="C818" s="37"/>
      <c r="D818" s="1"/>
      <c r="E818" s="1"/>
      <c r="F818" s="1"/>
      <c r="G818" s="1"/>
      <c r="H818" s="1"/>
    </row>
    <row r="819" ht="15.75" customHeight="1">
      <c r="A819" s="36"/>
      <c r="B819" s="37"/>
      <c r="C819" s="37"/>
      <c r="D819" s="1"/>
      <c r="E819" s="1"/>
      <c r="F819" s="1"/>
      <c r="G819" s="1"/>
      <c r="H819" s="1"/>
    </row>
    <row r="820" ht="15.75" customHeight="1">
      <c r="A820" s="36"/>
      <c r="B820" s="37"/>
      <c r="C820" s="37"/>
      <c r="D820" s="1"/>
      <c r="E820" s="1"/>
      <c r="F820" s="1"/>
      <c r="G820" s="1"/>
      <c r="H820" s="1"/>
    </row>
    <row r="821" ht="15.75" customHeight="1">
      <c r="A821" s="36"/>
      <c r="B821" s="37"/>
      <c r="C821" s="37"/>
      <c r="D821" s="1"/>
      <c r="E821" s="1"/>
      <c r="F821" s="1"/>
      <c r="G821" s="1"/>
      <c r="H821" s="1"/>
    </row>
    <row r="822" ht="15.75" customHeight="1">
      <c r="A822" s="36"/>
      <c r="B822" s="37"/>
      <c r="C822" s="37"/>
      <c r="D822" s="1"/>
      <c r="E822" s="1"/>
      <c r="F822" s="1"/>
      <c r="G822" s="1"/>
      <c r="H822" s="1"/>
    </row>
    <row r="823" ht="15.75" customHeight="1">
      <c r="A823" s="36"/>
      <c r="B823" s="37"/>
      <c r="C823" s="37"/>
      <c r="D823" s="1"/>
      <c r="E823" s="1"/>
      <c r="F823" s="1"/>
      <c r="G823" s="1"/>
      <c r="H823" s="1"/>
    </row>
    <row r="824" ht="15.75" customHeight="1">
      <c r="A824" s="36"/>
      <c r="B824" s="37"/>
      <c r="C824" s="37"/>
      <c r="D824" s="1"/>
      <c r="E824" s="1"/>
      <c r="F824" s="1"/>
      <c r="G824" s="1"/>
      <c r="H824" s="1"/>
    </row>
    <row r="825" ht="15.75" customHeight="1">
      <c r="A825" s="36"/>
      <c r="B825" s="37"/>
      <c r="C825" s="37"/>
      <c r="D825" s="1"/>
      <c r="E825" s="1"/>
      <c r="F825" s="1"/>
      <c r="G825" s="1"/>
      <c r="H825" s="1"/>
    </row>
    <row r="826" ht="15.75" customHeight="1">
      <c r="A826" s="36"/>
      <c r="B826" s="37"/>
      <c r="C826" s="37"/>
      <c r="D826" s="1"/>
      <c r="E826" s="1"/>
      <c r="F826" s="1"/>
      <c r="G826" s="1"/>
      <c r="H826" s="1"/>
    </row>
    <row r="827" ht="15.75" customHeight="1">
      <c r="A827" s="36"/>
      <c r="B827" s="37"/>
      <c r="C827" s="37"/>
      <c r="D827" s="1"/>
      <c r="E827" s="1"/>
      <c r="F827" s="1"/>
      <c r="G827" s="1"/>
      <c r="H827" s="1"/>
    </row>
    <row r="828" ht="15.75" customHeight="1">
      <c r="A828" s="36"/>
      <c r="B828" s="37"/>
      <c r="C828" s="37"/>
      <c r="D828" s="1"/>
      <c r="E828" s="1"/>
      <c r="F828" s="1"/>
      <c r="G828" s="1"/>
      <c r="H828" s="1"/>
    </row>
    <row r="829" ht="15.75" customHeight="1">
      <c r="A829" s="36"/>
      <c r="B829" s="37"/>
      <c r="C829" s="37"/>
      <c r="D829" s="1"/>
      <c r="E829" s="1"/>
      <c r="F829" s="1"/>
      <c r="G829" s="1"/>
      <c r="H829" s="1"/>
    </row>
    <row r="830" ht="15.75" customHeight="1">
      <c r="A830" s="36"/>
      <c r="B830" s="37"/>
      <c r="C830" s="37"/>
      <c r="D830" s="1"/>
      <c r="E830" s="1"/>
      <c r="F830" s="1"/>
      <c r="G830" s="1"/>
      <c r="H830" s="1"/>
    </row>
    <row r="831" ht="15.75" customHeight="1">
      <c r="A831" s="36"/>
      <c r="B831" s="37"/>
      <c r="C831" s="37"/>
      <c r="D831" s="1"/>
      <c r="E831" s="1"/>
      <c r="F831" s="1"/>
      <c r="G831" s="1"/>
      <c r="H831" s="1"/>
    </row>
    <row r="832" ht="15.75" customHeight="1">
      <c r="A832" s="36"/>
      <c r="B832" s="37"/>
      <c r="C832" s="37"/>
      <c r="D832" s="1"/>
      <c r="E832" s="1"/>
      <c r="F832" s="1"/>
      <c r="G832" s="1"/>
      <c r="H832" s="1"/>
    </row>
    <row r="833" ht="15.75" customHeight="1">
      <c r="A833" s="36"/>
      <c r="B833" s="37"/>
      <c r="C833" s="37"/>
      <c r="D833" s="1"/>
      <c r="E833" s="1"/>
      <c r="F833" s="1"/>
      <c r="G833" s="1"/>
      <c r="H833" s="1"/>
    </row>
    <row r="834" ht="15.75" customHeight="1">
      <c r="A834" s="36"/>
      <c r="B834" s="37"/>
      <c r="C834" s="37"/>
      <c r="D834" s="1"/>
      <c r="E834" s="1"/>
      <c r="F834" s="1"/>
      <c r="G834" s="1"/>
      <c r="H834" s="1"/>
    </row>
    <row r="835" ht="15.75" customHeight="1">
      <c r="A835" s="36"/>
      <c r="B835" s="37"/>
      <c r="C835" s="37"/>
      <c r="D835" s="1"/>
      <c r="E835" s="1"/>
      <c r="F835" s="1"/>
      <c r="G835" s="1"/>
      <c r="H835" s="1"/>
    </row>
    <row r="836" ht="15.75" customHeight="1">
      <c r="A836" s="36"/>
      <c r="B836" s="37"/>
      <c r="C836" s="37"/>
      <c r="D836" s="1"/>
      <c r="E836" s="1"/>
      <c r="F836" s="1"/>
      <c r="G836" s="1"/>
      <c r="H836" s="1"/>
    </row>
    <row r="837" ht="15.75" customHeight="1">
      <c r="A837" s="36"/>
      <c r="B837" s="37"/>
      <c r="C837" s="37"/>
      <c r="D837" s="1"/>
      <c r="E837" s="1"/>
      <c r="F837" s="1"/>
      <c r="G837" s="1"/>
      <c r="H837" s="1"/>
    </row>
    <row r="838" ht="15.75" customHeight="1">
      <c r="A838" s="36"/>
      <c r="B838" s="37"/>
      <c r="C838" s="37"/>
      <c r="D838" s="1"/>
      <c r="E838" s="1"/>
      <c r="F838" s="1"/>
      <c r="G838" s="1"/>
      <c r="H838" s="1"/>
    </row>
    <row r="839" ht="15.75" customHeight="1">
      <c r="A839" s="36"/>
      <c r="B839" s="37"/>
      <c r="C839" s="37"/>
      <c r="D839" s="1"/>
      <c r="E839" s="1"/>
      <c r="F839" s="1"/>
      <c r="G839" s="1"/>
      <c r="H839" s="1"/>
    </row>
    <row r="840" ht="15.75" customHeight="1">
      <c r="A840" s="36"/>
      <c r="B840" s="37"/>
      <c r="C840" s="37"/>
      <c r="D840" s="1"/>
      <c r="E840" s="1"/>
      <c r="F840" s="1"/>
      <c r="G840" s="1"/>
      <c r="H840" s="1"/>
    </row>
    <row r="841" ht="15.75" customHeight="1">
      <c r="A841" s="36"/>
      <c r="B841" s="37"/>
      <c r="C841" s="37"/>
      <c r="D841" s="1"/>
      <c r="E841" s="1"/>
      <c r="F841" s="1"/>
      <c r="G841" s="1"/>
      <c r="H841" s="1"/>
    </row>
    <row r="842" ht="15.75" customHeight="1">
      <c r="A842" s="36"/>
      <c r="B842" s="37"/>
      <c r="C842" s="37"/>
      <c r="D842" s="1"/>
      <c r="E842" s="1"/>
      <c r="F842" s="1"/>
      <c r="G842" s="1"/>
      <c r="H842" s="1"/>
    </row>
    <row r="843" ht="15.75" customHeight="1">
      <c r="A843" s="36"/>
      <c r="B843" s="37"/>
      <c r="C843" s="37"/>
      <c r="D843" s="1"/>
      <c r="E843" s="1"/>
      <c r="F843" s="1"/>
      <c r="G843" s="1"/>
      <c r="H843" s="1"/>
    </row>
    <row r="844" ht="15.75" customHeight="1">
      <c r="A844" s="36"/>
      <c r="B844" s="37"/>
      <c r="C844" s="37"/>
      <c r="D844" s="1"/>
      <c r="E844" s="1"/>
      <c r="F844" s="1"/>
      <c r="G844" s="1"/>
      <c r="H844" s="1"/>
    </row>
    <row r="845" ht="15.75" customHeight="1">
      <c r="A845" s="36"/>
      <c r="B845" s="37"/>
      <c r="C845" s="37"/>
      <c r="D845" s="1"/>
      <c r="E845" s="1"/>
      <c r="F845" s="1"/>
      <c r="G845" s="1"/>
      <c r="H845" s="1"/>
    </row>
    <row r="846" ht="15.75" customHeight="1">
      <c r="A846" s="36"/>
      <c r="B846" s="37"/>
      <c r="C846" s="37"/>
      <c r="D846" s="1"/>
      <c r="E846" s="1"/>
      <c r="F846" s="1"/>
      <c r="G846" s="1"/>
      <c r="H846" s="1"/>
    </row>
    <row r="847" ht="15.75" customHeight="1">
      <c r="A847" s="36"/>
      <c r="B847" s="37"/>
      <c r="C847" s="37"/>
      <c r="D847" s="1"/>
      <c r="E847" s="1"/>
      <c r="F847" s="1"/>
      <c r="G847" s="1"/>
      <c r="H847" s="1"/>
    </row>
    <row r="848" ht="15.75" customHeight="1">
      <c r="A848" s="36"/>
      <c r="B848" s="37"/>
      <c r="C848" s="37"/>
      <c r="D848" s="1"/>
      <c r="E848" s="1"/>
      <c r="F848" s="1"/>
      <c r="G848" s="1"/>
      <c r="H848" s="1"/>
    </row>
    <row r="849" ht="15.75" customHeight="1">
      <c r="A849" s="36"/>
      <c r="B849" s="37"/>
      <c r="C849" s="37"/>
      <c r="D849" s="1"/>
      <c r="E849" s="1"/>
      <c r="F849" s="1"/>
      <c r="G849" s="1"/>
      <c r="H849" s="1"/>
    </row>
    <row r="850" ht="15.75" customHeight="1">
      <c r="A850" s="36"/>
      <c r="B850" s="37"/>
      <c r="C850" s="37"/>
      <c r="D850" s="1"/>
      <c r="E850" s="1"/>
      <c r="F850" s="1"/>
      <c r="G850" s="1"/>
      <c r="H850" s="1"/>
    </row>
    <row r="851" ht="15.75" customHeight="1">
      <c r="A851" s="36"/>
      <c r="B851" s="37"/>
      <c r="C851" s="37"/>
      <c r="D851" s="1"/>
      <c r="E851" s="1"/>
      <c r="F851" s="1"/>
      <c r="G851" s="1"/>
      <c r="H851" s="1"/>
    </row>
    <row r="852" ht="15.75" customHeight="1">
      <c r="A852" s="36"/>
      <c r="B852" s="37"/>
      <c r="C852" s="37"/>
      <c r="D852" s="1"/>
      <c r="E852" s="1"/>
      <c r="F852" s="1"/>
      <c r="G852" s="1"/>
      <c r="H852" s="1"/>
    </row>
    <row r="853" ht="15.75" customHeight="1">
      <c r="A853" s="36"/>
      <c r="B853" s="37"/>
      <c r="C853" s="37"/>
      <c r="D853" s="1"/>
      <c r="E853" s="1"/>
      <c r="F853" s="1"/>
      <c r="G853" s="1"/>
      <c r="H853" s="1"/>
    </row>
    <row r="854" ht="15.75" customHeight="1">
      <c r="A854" s="36"/>
      <c r="B854" s="37"/>
      <c r="C854" s="37"/>
      <c r="D854" s="1"/>
      <c r="E854" s="1"/>
      <c r="F854" s="1"/>
      <c r="G854" s="1"/>
      <c r="H854" s="1"/>
    </row>
    <row r="855" ht="15.75" customHeight="1">
      <c r="A855" s="36"/>
      <c r="B855" s="37"/>
      <c r="C855" s="37"/>
      <c r="D855" s="1"/>
      <c r="E855" s="1"/>
      <c r="F855" s="1"/>
      <c r="G855" s="1"/>
      <c r="H855" s="1"/>
    </row>
    <row r="856" ht="15.75" customHeight="1">
      <c r="A856" s="36"/>
      <c r="B856" s="37"/>
      <c r="C856" s="37"/>
      <c r="D856" s="1"/>
      <c r="E856" s="1"/>
      <c r="F856" s="1"/>
      <c r="G856" s="1"/>
      <c r="H856" s="1"/>
    </row>
    <row r="857" ht="15.75" customHeight="1">
      <c r="A857" s="36"/>
      <c r="B857" s="37"/>
      <c r="C857" s="37"/>
      <c r="D857" s="1"/>
      <c r="E857" s="1"/>
      <c r="F857" s="1"/>
      <c r="G857" s="1"/>
      <c r="H857" s="1"/>
    </row>
    <row r="858" ht="15.75" customHeight="1">
      <c r="A858" s="36"/>
      <c r="B858" s="37"/>
      <c r="C858" s="37"/>
      <c r="D858" s="1"/>
      <c r="E858" s="1"/>
      <c r="F858" s="1"/>
      <c r="G858" s="1"/>
      <c r="H858" s="1"/>
    </row>
    <row r="859" ht="15.75" customHeight="1">
      <c r="A859" s="36"/>
      <c r="B859" s="37"/>
      <c r="C859" s="37"/>
      <c r="D859" s="1"/>
      <c r="E859" s="1"/>
      <c r="F859" s="1"/>
      <c r="G859" s="1"/>
      <c r="H859" s="1"/>
    </row>
    <row r="860" ht="15.75" customHeight="1">
      <c r="A860" s="36"/>
      <c r="B860" s="37"/>
      <c r="C860" s="37"/>
      <c r="D860" s="1"/>
      <c r="E860" s="1"/>
      <c r="F860" s="1"/>
      <c r="G860" s="1"/>
      <c r="H860" s="1"/>
    </row>
    <row r="861" ht="15.75" customHeight="1">
      <c r="A861" s="36"/>
      <c r="B861" s="37"/>
      <c r="C861" s="37"/>
      <c r="D861" s="1"/>
      <c r="E861" s="1"/>
      <c r="F861" s="1"/>
      <c r="G861" s="1"/>
      <c r="H861" s="1"/>
    </row>
    <row r="862" ht="15.75" customHeight="1">
      <c r="A862" s="36"/>
      <c r="B862" s="37"/>
      <c r="C862" s="37"/>
      <c r="D862" s="1"/>
      <c r="E862" s="1"/>
      <c r="F862" s="1"/>
      <c r="G862" s="1"/>
      <c r="H862" s="1"/>
    </row>
    <row r="863" ht="15.75" customHeight="1">
      <c r="A863" s="36"/>
      <c r="B863" s="37"/>
      <c r="C863" s="37"/>
      <c r="D863" s="1"/>
      <c r="E863" s="1"/>
      <c r="F863" s="1"/>
      <c r="G863" s="1"/>
      <c r="H863" s="1"/>
    </row>
    <row r="864" ht="15.75" customHeight="1">
      <c r="A864" s="36"/>
      <c r="B864" s="37"/>
      <c r="C864" s="37"/>
      <c r="D864" s="1"/>
      <c r="E864" s="1"/>
      <c r="F864" s="1"/>
      <c r="G864" s="1"/>
      <c r="H864" s="1"/>
    </row>
    <row r="865" ht="15.75" customHeight="1">
      <c r="A865" s="36"/>
      <c r="B865" s="37"/>
      <c r="C865" s="37"/>
      <c r="D865" s="1"/>
      <c r="E865" s="1"/>
      <c r="F865" s="1"/>
      <c r="G865" s="1"/>
      <c r="H865" s="1"/>
    </row>
    <row r="866" ht="15.75" customHeight="1">
      <c r="A866" s="36"/>
      <c r="B866" s="37"/>
      <c r="C866" s="37"/>
      <c r="D866" s="1"/>
      <c r="E866" s="1"/>
      <c r="F866" s="1"/>
      <c r="G866" s="1"/>
      <c r="H866" s="1"/>
    </row>
    <row r="867" ht="15.75" customHeight="1">
      <c r="A867" s="36"/>
      <c r="B867" s="37"/>
      <c r="C867" s="37"/>
      <c r="D867" s="1"/>
      <c r="E867" s="1"/>
      <c r="F867" s="1"/>
      <c r="G867" s="1"/>
      <c r="H867" s="1"/>
    </row>
    <row r="868" ht="15.75" customHeight="1">
      <c r="A868" s="36"/>
      <c r="B868" s="37"/>
      <c r="C868" s="37"/>
      <c r="D868" s="1"/>
      <c r="E868" s="1"/>
      <c r="F868" s="1"/>
      <c r="G868" s="1"/>
      <c r="H868" s="1"/>
    </row>
    <row r="869" ht="15.75" customHeight="1">
      <c r="A869" s="36"/>
      <c r="B869" s="37"/>
      <c r="C869" s="37"/>
      <c r="D869" s="1"/>
      <c r="E869" s="1"/>
      <c r="F869" s="1"/>
      <c r="G869" s="1"/>
      <c r="H869" s="1"/>
    </row>
    <row r="870" ht="15.75" customHeight="1">
      <c r="A870" s="36"/>
      <c r="B870" s="37"/>
      <c r="C870" s="37"/>
      <c r="D870" s="1"/>
      <c r="E870" s="1"/>
      <c r="F870" s="1"/>
      <c r="G870" s="1"/>
      <c r="H870" s="1"/>
    </row>
    <row r="871" ht="15.75" customHeight="1">
      <c r="A871" s="36"/>
      <c r="B871" s="37"/>
      <c r="C871" s="37"/>
      <c r="D871" s="1"/>
      <c r="E871" s="1"/>
      <c r="F871" s="1"/>
      <c r="G871" s="1"/>
      <c r="H871" s="1"/>
    </row>
    <row r="872" ht="15.75" customHeight="1">
      <c r="A872" s="36"/>
      <c r="B872" s="37"/>
      <c r="C872" s="37"/>
      <c r="D872" s="1"/>
      <c r="E872" s="1"/>
      <c r="F872" s="1"/>
      <c r="G872" s="1"/>
      <c r="H872" s="1"/>
    </row>
    <row r="873" ht="15.75" customHeight="1">
      <c r="A873" s="36"/>
      <c r="B873" s="37"/>
      <c r="C873" s="37"/>
      <c r="D873" s="1"/>
      <c r="E873" s="1"/>
      <c r="F873" s="1"/>
      <c r="G873" s="1"/>
      <c r="H873" s="1"/>
    </row>
    <row r="874" ht="15.75" customHeight="1">
      <c r="A874" s="36"/>
      <c r="B874" s="37"/>
      <c r="C874" s="37"/>
      <c r="D874" s="1"/>
      <c r="E874" s="1"/>
      <c r="F874" s="1"/>
      <c r="G874" s="1"/>
      <c r="H874" s="1"/>
    </row>
    <row r="875" ht="15.75" customHeight="1">
      <c r="A875" s="36"/>
      <c r="B875" s="37"/>
      <c r="C875" s="37"/>
      <c r="D875" s="1"/>
      <c r="E875" s="1"/>
      <c r="F875" s="1"/>
      <c r="G875" s="1"/>
      <c r="H875" s="1"/>
    </row>
    <row r="876" ht="15.75" customHeight="1">
      <c r="A876" s="36"/>
      <c r="B876" s="37"/>
      <c r="C876" s="37"/>
      <c r="D876" s="1"/>
      <c r="E876" s="1"/>
      <c r="F876" s="1"/>
      <c r="G876" s="1"/>
      <c r="H876" s="1"/>
    </row>
    <row r="877" ht="15.75" customHeight="1">
      <c r="A877" s="36"/>
      <c r="B877" s="37"/>
      <c r="C877" s="37"/>
      <c r="D877" s="1"/>
      <c r="E877" s="1"/>
      <c r="F877" s="1"/>
      <c r="G877" s="1"/>
      <c r="H877" s="1"/>
    </row>
    <row r="878" ht="15.75" customHeight="1">
      <c r="A878" s="36"/>
      <c r="B878" s="37"/>
      <c r="C878" s="37"/>
      <c r="D878" s="1"/>
      <c r="E878" s="1"/>
      <c r="F878" s="1"/>
      <c r="G878" s="1"/>
      <c r="H878" s="1"/>
    </row>
    <row r="879" ht="15.75" customHeight="1">
      <c r="A879" s="36"/>
      <c r="B879" s="37"/>
      <c r="C879" s="37"/>
      <c r="D879" s="1"/>
      <c r="E879" s="1"/>
      <c r="F879" s="1"/>
      <c r="G879" s="1"/>
      <c r="H879" s="1"/>
    </row>
    <row r="880" ht="15.75" customHeight="1">
      <c r="A880" s="36"/>
      <c r="B880" s="37"/>
      <c r="C880" s="37"/>
      <c r="D880" s="1"/>
      <c r="E880" s="1"/>
      <c r="F880" s="1"/>
      <c r="G880" s="1"/>
      <c r="H880" s="1"/>
    </row>
    <row r="881" ht="15.75" customHeight="1">
      <c r="A881" s="36"/>
      <c r="B881" s="37"/>
      <c r="C881" s="37"/>
      <c r="D881" s="1"/>
      <c r="E881" s="1"/>
      <c r="F881" s="1"/>
      <c r="G881" s="1"/>
      <c r="H881" s="1"/>
    </row>
    <row r="882" ht="15.75" customHeight="1">
      <c r="A882" s="36"/>
      <c r="B882" s="37"/>
      <c r="C882" s="37"/>
      <c r="D882" s="1"/>
      <c r="E882" s="1"/>
      <c r="F882" s="1"/>
      <c r="G882" s="1"/>
      <c r="H882" s="1"/>
    </row>
    <row r="883" ht="15.75" customHeight="1">
      <c r="A883" s="36"/>
      <c r="B883" s="37"/>
      <c r="C883" s="37"/>
      <c r="D883" s="1"/>
      <c r="E883" s="1"/>
      <c r="F883" s="1"/>
      <c r="G883" s="1"/>
      <c r="H883" s="1"/>
    </row>
    <row r="884" ht="15.75" customHeight="1">
      <c r="A884" s="36"/>
      <c r="B884" s="37"/>
      <c r="C884" s="37"/>
      <c r="D884" s="1"/>
      <c r="E884" s="1"/>
      <c r="F884" s="1"/>
      <c r="G884" s="1"/>
      <c r="H884" s="1"/>
    </row>
    <row r="885" ht="15.75" customHeight="1">
      <c r="A885" s="36"/>
      <c r="B885" s="37"/>
      <c r="C885" s="37"/>
      <c r="D885" s="1"/>
      <c r="E885" s="1"/>
      <c r="F885" s="1"/>
      <c r="G885" s="1"/>
      <c r="H885" s="1"/>
    </row>
    <row r="886" ht="15.75" customHeight="1">
      <c r="A886" s="36"/>
      <c r="B886" s="37"/>
      <c r="C886" s="37"/>
      <c r="D886" s="1"/>
      <c r="E886" s="1"/>
      <c r="F886" s="1"/>
      <c r="G886" s="1"/>
      <c r="H886" s="1"/>
    </row>
    <row r="887" ht="15.75" customHeight="1">
      <c r="A887" s="36"/>
      <c r="B887" s="37"/>
      <c r="C887" s="37"/>
      <c r="D887" s="1"/>
      <c r="E887" s="1"/>
      <c r="F887" s="1"/>
      <c r="G887" s="1"/>
      <c r="H887" s="1"/>
    </row>
    <row r="888" ht="15.75" customHeight="1">
      <c r="A888" s="36"/>
      <c r="B888" s="37"/>
      <c r="C888" s="37"/>
      <c r="D888" s="1"/>
      <c r="E888" s="1"/>
      <c r="F888" s="1"/>
      <c r="G888" s="1"/>
      <c r="H888" s="1"/>
    </row>
    <row r="889" ht="15.75" customHeight="1">
      <c r="A889" s="36"/>
      <c r="B889" s="37"/>
      <c r="C889" s="37"/>
      <c r="D889" s="1"/>
      <c r="E889" s="1"/>
      <c r="F889" s="1"/>
      <c r="G889" s="1"/>
      <c r="H889" s="1"/>
    </row>
    <row r="890" ht="15.75" customHeight="1">
      <c r="A890" s="36"/>
      <c r="B890" s="37"/>
      <c r="C890" s="37"/>
      <c r="D890" s="1"/>
      <c r="E890" s="1"/>
      <c r="F890" s="1"/>
      <c r="G890" s="1"/>
      <c r="H890" s="1"/>
    </row>
    <row r="891" ht="15.75" customHeight="1">
      <c r="A891" s="36"/>
      <c r="B891" s="37"/>
      <c r="C891" s="37"/>
      <c r="D891" s="1"/>
      <c r="E891" s="1"/>
      <c r="F891" s="1"/>
      <c r="G891" s="1"/>
      <c r="H891" s="1"/>
    </row>
    <row r="892" ht="15.75" customHeight="1">
      <c r="A892" s="36"/>
      <c r="B892" s="37"/>
      <c r="C892" s="37"/>
      <c r="D892" s="1"/>
      <c r="E892" s="1"/>
      <c r="F892" s="1"/>
      <c r="G892" s="1"/>
      <c r="H892" s="1"/>
    </row>
    <row r="893" ht="15.75" customHeight="1">
      <c r="A893" s="36"/>
      <c r="B893" s="37"/>
      <c r="C893" s="37"/>
      <c r="D893" s="1"/>
      <c r="E893" s="1"/>
      <c r="F893" s="1"/>
      <c r="G893" s="1"/>
      <c r="H893" s="1"/>
    </row>
    <row r="894" ht="15.75" customHeight="1">
      <c r="A894" s="36"/>
      <c r="B894" s="37"/>
      <c r="C894" s="37"/>
      <c r="D894" s="1"/>
      <c r="E894" s="1"/>
      <c r="F894" s="1"/>
      <c r="G894" s="1"/>
      <c r="H894" s="1"/>
    </row>
    <row r="895" ht="15.75" customHeight="1">
      <c r="A895" s="36"/>
      <c r="B895" s="37"/>
      <c r="C895" s="37"/>
      <c r="D895" s="1"/>
      <c r="E895" s="1"/>
      <c r="F895" s="1"/>
      <c r="G895" s="1"/>
      <c r="H895" s="1"/>
    </row>
    <row r="896" ht="15.75" customHeight="1">
      <c r="A896" s="36"/>
      <c r="B896" s="37"/>
      <c r="C896" s="37"/>
      <c r="D896" s="1"/>
      <c r="E896" s="1"/>
      <c r="F896" s="1"/>
      <c r="G896" s="1"/>
      <c r="H896" s="1"/>
    </row>
    <row r="897" ht="15.75" customHeight="1">
      <c r="A897" s="36"/>
      <c r="B897" s="37"/>
      <c r="C897" s="37"/>
      <c r="D897" s="1"/>
      <c r="E897" s="1"/>
      <c r="F897" s="1"/>
      <c r="G897" s="1"/>
      <c r="H897" s="1"/>
    </row>
    <row r="898" ht="15.75" customHeight="1">
      <c r="A898" s="36"/>
      <c r="B898" s="37"/>
      <c r="C898" s="37"/>
      <c r="D898" s="1"/>
      <c r="E898" s="1"/>
      <c r="F898" s="1"/>
      <c r="G898" s="1"/>
      <c r="H898" s="1"/>
    </row>
    <row r="899" ht="15.75" customHeight="1">
      <c r="A899" s="36"/>
      <c r="B899" s="37"/>
      <c r="C899" s="37"/>
      <c r="D899" s="1"/>
      <c r="E899" s="1"/>
      <c r="F899" s="1"/>
      <c r="G899" s="1"/>
      <c r="H899" s="1"/>
    </row>
    <row r="900" ht="15.75" customHeight="1">
      <c r="A900" s="36"/>
      <c r="B900" s="37"/>
      <c r="C900" s="37"/>
      <c r="D900" s="1"/>
      <c r="E900" s="1"/>
      <c r="F900" s="1"/>
      <c r="G900" s="1"/>
      <c r="H900" s="1"/>
    </row>
    <row r="901" ht="15.75" customHeight="1">
      <c r="A901" s="36"/>
      <c r="B901" s="37"/>
      <c r="C901" s="37"/>
      <c r="D901" s="1"/>
      <c r="E901" s="1"/>
      <c r="F901" s="1"/>
      <c r="G901" s="1"/>
      <c r="H901" s="1"/>
    </row>
    <row r="902" ht="15.75" customHeight="1">
      <c r="A902" s="36"/>
      <c r="B902" s="37"/>
      <c r="C902" s="37"/>
      <c r="D902" s="1"/>
      <c r="E902" s="1"/>
      <c r="F902" s="1"/>
      <c r="G902" s="1"/>
      <c r="H902" s="1"/>
    </row>
    <row r="903" ht="15.75" customHeight="1">
      <c r="A903" s="36"/>
      <c r="B903" s="37"/>
      <c r="C903" s="37"/>
      <c r="D903" s="1"/>
      <c r="E903" s="1"/>
      <c r="F903" s="1"/>
      <c r="G903" s="1"/>
      <c r="H903" s="1"/>
    </row>
    <row r="904" ht="15.75" customHeight="1">
      <c r="A904" s="36"/>
      <c r="B904" s="37"/>
      <c r="C904" s="37"/>
      <c r="D904" s="1"/>
      <c r="E904" s="1"/>
      <c r="F904" s="1"/>
      <c r="G904" s="1"/>
      <c r="H904" s="1"/>
    </row>
    <row r="905" ht="15.75" customHeight="1">
      <c r="A905" s="36"/>
      <c r="B905" s="37"/>
      <c r="C905" s="37"/>
      <c r="D905" s="1"/>
      <c r="E905" s="1"/>
      <c r="F905" s="1"/>
      <c r="G905" s="1"/>
      <c r="H905" s="1"/>
    </row>
    <row r="906" ht="15.75" customHeight="1">
      <c r="A906" s="36"/>
      <c r="B906" s="37"/>
      <c r="C906" s="37"/>
      <c r="D906" s="1"/>
      <c r="E906" s="1"/>
      <c r="F906" s="1"/>
      <c r="G906" s="1"/>
      <c r="H906" s="1"/>
    </row>
    <row r="907" ht="15.75" customHeight="1">
      <c r="A907" s="36"/>
      <c r="B907" s="37"/>
      <c r="C907" s="37"/>
      <c r="D907" s="1"/>
      <c r="E907" s="1"/>
      <c r="F907" s="1"/>
      <c r="G907" s="1"/>
      <c r="H907" s="1"/>
    </row>
    <row r="908" ht="15.75" customHeight="1">
      <c r="A908" s="36"/>
      <c r="B908" s="37"/>
      <c r="C908" s="37"/>
      <c r="D908" s="1"/>
      <c r="E908" s="1"/>
      <c r="F908" s="1"/>
      <c r="G908" s="1"/>
      <c r="H908" s="1"/>
    </row>
    <row r="909" ht="15.75" customHeight="1">
      <c r="A909" s="36"/>
      <c r="B909" s="37"/>
      <c r="C909" s="37"/>
      <c r="D909" s="1"/>
      <c r="E909" s="1"/>
      <c r="F909" s="1"/>
      <c r="G909" s="1"/>
      <c r="H909" s="1"/>
    </row>
    <row r="910" ht="15.75" customHeight="1">
      <c r="A910" s="36"/>
      <c r="B910" s="37"/>
      <c r="C910" s="37"/>
      <c r="D910" s="1"/>
      <c r="E910" s="1"/>
      <c r="F910" s="1"/>
      <c r="G910" s="1"/>
      <c r="H910" s="1"/>
    </row>
    <row r="911" ht="15.75" customHeight="1">
      <c r="A911" s="36"/>
      <c r="B911" s="37"/>
      <c r="C911" s="37"/>
      <c r="D911" s="1"/>
      <c r="E911" s="1"/>
      <c r="F911" s="1"/>
      <c r="G911" s="1"/>
      <c r="H911" s="1"/>
    </row>
    <row r="912" ht="15.75" customHeight="1">
      <c r="A912" s="36"/>
      <c r="B912" s="37"/>
      <c r="C912" s="37"/>
      <c r="D912" s="1"/>
      <c r="E912" s="1"/>
      <c r="F912" s="1"/>
      <c r="G912" s="1"/>
      <c r="H912" s="1"/>
    </row>
    <row r="913" ht="15.75" customHeight="1">
      <c r="A913" s="36"/>
      <c r="B913" s="37"/>
      <c r="C913" s="37"/>
      <c r="D913" s="1"/>
      <c r="E913" s="1"/>
      <c r="F913" s="1"/>
      <c r="G913" s="1"/>
      <c r="H913" s="1"/>
    </row>
    <row r="914" ht="15.75" customHeight="1">
      <c r="A914" s="36"/>
      <c r="B914" s="37"/>
      <c r="C914" s="37"/>
      <c r="D914" s="1"/>
      <c r="E914" s="1"/>
      <c r="F914" s="1"/>
      <c r="G914" s="1"/>
      <c r="H914" s="1"/>
    </row>
    <row r="915" ht="15.75" customHeight="1">
      <c r="A915" s="36"/>
      <c r="B915" s="37"/>
      <c r="C915" s="37"/>
      <c r="D915" s="1"/>
      <c r="E915" s="1"/>
      <c r="F915" s="1"/>
      <c r="G915" s="1"/>
      <c r="H915" s="1"/>
    </row>
    <row r="916" ht="15.75" customHeight="1">
      <c r="A916" s="36"/>
      <c r="B916" s="37"/>
      <c r="C916" s="37"/>
      <c r="D916" s="1"/>
      <c r="E916" s="1"/>
      <c r="F916" s="1"/>
      <c r="G916" s="1"/>
      <c r="H916" s="1"/>
    </row>
    <row r="917" ht="15.75" customHeight="1">
      <c r="A917" s="36"/>
      <c r="B917" s="37"/>
      <c r="C917" s="37"/>
      <c r="D917" s="1"/>
      <c r="E917" s="1"/>
      <c r="F917" s="1"/>
      <c r="G917" s="1"/>
      <c r="H917" s="1"/>
    </row>
    <row r="918" ht="15.75" customHeight="1">
      <c r="A918" s="36"/>
      <c r="B918" s="37"/>
      <c r="C918" s="37"/>
      <c r="D918" s="1"/>
      <c r="E918" s="1"/>
      <c r="F918" s="1"/>
      <c r="G918" s="1"/>
      <c r="H918" s="1"/>
    </row>
    <row r="919" ht="15.75" customHeight="1">
      <c r="A919" s="36"/>
      <c r="B919" s="37"/>
      <c r="C919" s="37"/>
      <c r="D919" s="1"/>
      <c r="E919" s="1"/>
      <c r="F919" s="1"/>
      <c r="G919" s="1"/>
      <c r="H919" s="1"/>
    </row>
    <row r="920" ht="15.75" customHeight="1">
      <c r="A920" s="36"/>
      <c r="B920" s="37"/>
      <c r="C920" s="37"/>
      <c r="D920" s="1"/>
      <c r="E920" s="1"/>
      <c r="F920" s="1"/>
      <c r="G920" s="1"/>
      <c r="H920" s="1"/>
    </row>
    <row r="921" ht="15.75" customHeight="1">
      <c r="A921" s="36"/>
      <c r="B921" s="37"/>
      <c r="C921" s="37"/>
      <c r="D921" s="1"/>
      <c r="E921" s="1"/>
      <c r="F921" s="1"/>
      <c r="G921" s="1"/>
      <c r="H921" s="1"/>
    </row>
    <row r="922" ht="15.75" customHeight="1">
      <c r="A922" s="36"/>
      <c r="B922" s="37"/>
      <c r="C922" s="37"/>
      <c r="D922" s="1"/>
      <c r="E922" s="1"/>
      <c r="F922" s="1"/>
      <c r="G922" s="1"/>
      <c r="H922" s="1"/>
    </row>
    <row r="923" ht="15.75" customHeight="1">
      <c r="A923" s="36"/>
      <c r="B923" s="37"/>
      <c r="C923" s="37"/>
      <c r="D923" s="1"/>
      <c r="E923" s="1"/>
      <c r="F923" s="1"/>
      <c r="G923" s="1"/>
      <c r="H923" s="1"/>
    </row>
    <row r="924" ht="15.75" customHeight="1">
      <c r="A924" s="36"/>
      <c r="B924" s="37"/>
      <c r="C924" s="37"/>
      <c r="D924" s="1"/>
      <c r="E924" s="1"/>
      <c r="F924" s="1"/>
      <c r="G924" s="1"/>
      <c r="H924" s="1"/>
    </row>
    <row r="925" ht="15.75" customHeight="1">
      <c r="A925" s="36"/>
      <c r="B925" s="37"/>
      <c r="C925" s="37"/>
      <c r="D925" s="1"/>
      <c r="E925" s="1"/>
      <c r="F925" s="1"/>
      <c r="G925" s="1"/>
      <c r="H925" s="1"/>
    </row>
    <row r="926" ht="15.75" customHeight="1">
      <c r="A926" s="36"/>
      <c r="B926" s="37"/>
      <c r="C926" s="37"/>
      <c r="D926" s="1"/>
      <c r="E926" s="1"/>
      <c r="F926" s="1"/>
      <c r="G926" s="1"/>
      <c r="H926" s="1"/>
    </row>
    <row r="927" ht="15.75" customHeight="1">
      <c r="A927" s="36"/>
      <c r="B927" s="37"/>
      <c r="C927" s="37"/>
      <c r="D927" s="1"/>
      <c r="E927" s="1"/>
      <c r="F927" s="1"/>
      <c r="G927" s="1"/>
      <c r="H927" s="1"/>
    </row>
    <row r="928" ht="15.75" customHeight="1">
      <c r="A928" s="36"/>
      <c r="B928" s="37"/>
      <c r="C928" s="37"/>
      <c r="D928" s="1"/>
      <c r="E928" s="1"/>
      <c r="F928" s="1"/>
      <c r="G928" s="1"/>
      <c r="H928" s="1"/>
    </row>
    <row r="929" ht="15.75" customHeight="1">
      <c r="A929" s="36"/>
      <c r="B929" s="37"/>
      <c r="C929" s="37"/>
      <c r="D929" s="1"/>
      <c r="E929" s="1"/>
      <c r="F929" s="1"/>
      <c r="G929" s="1"/>
      <c r="H929" s="1"/>
    </row>
    <row r="930" ht="15.75" customHeight="1">
      <c r="A930" s="36"/>
      <c r="B930" s="37"/>
      <c r="C930" s="37"/>
      <c r="D930" s="1"/>
      <c r="E930" s="1"/>
      <c r="F930" s="1"/>
      <c r="G930" s="1"/>
      <c r="H930" s="1"/>
    </row>
    <row r="931" ht="15.75" customHeight="1">
      <c r="A931" s="36"/>
      <c r="B931" s="37"/>
      <c r="C931" s="37"/>
      <c r="D931" s="1"/>
      <c r="E931" s="1"/>
      <c r="F931" s="1"/>
      <c r="G931" s="1"/>
      <c r="H931" s="1"/>
    </row>
    <row r="932" ht="15.75" customHeight="1">
      <c r="A932" s="36"/>
      <c r="B932" s="37"/>
      <c r="C932" s="37"/>
      <c r="D932" s="1"/>
      <c r="E932" s="1"/>
      <c r="F932" s="1"/>
      <c r="G932" s="1"/>
      <c r="H932" s="1"/>
    </row>
    <row r="933" ht="15.75" customHeight="1">
      <c r="A933" s="36"/>
      <c r="B933" s="37"/>
      <c r="C933" s="37"/>
      <c r="D933" s="1"/>
      <c r="E933" s="1"/>
      <c r="F933" s="1"/>
      <c r="G933" s="1"/>
      <c r="H933" s="1"/>
    </row>
    <row r="934" ht="15.75" customHeight="1">
      <c r="A934" s="36"/>
      <c r="B934" s="37"/>
      <c r="C934" s="37"/>
      <c r="D934" s="1"/>
      <c r="E934" s="1"/>
      <c r="F934" s="1"/>
      <c r="G934" s="1"/>
      <c r="H934" s="1"/>
    </row>
    <row r="935" ht="15.75" customHeight="1">
      <c r="A935" s="36"/>
      <c r="B935" s="37"/>
      <c r="C935" s="37"/>
      <c r="D935" s="1"/>
      <c r="E935" s="1"/>
      <c r="F935" s="1"/>
      <c r="G935" s="1"/>
      <c r="H935" s="1"/>
    </row>
    <row r="936" ht="15.75" customHeight="1">
      <c r="A936" s="36"/>
      <c r="B936" s="37"/>
      <c r="C936" s="37"/>
      <c r="D936" s="1"/>
      <c r="E936" s="1"/>
      <c r="F936" s="1"/>
      <c r="G936" s="1"/>
      <c r="H936" s="1"/>
    </row>
    <row r="937" ht="15.75" customHeight="1">
      <c r="A937" s="36"/>
      <c r="B937" s="37"/>
      <c r="C937" s="37"/>
      <c r="D937" s="1"/>
      <c r="E937" s="1"/>
      <c r="F937" s="1"/>
      <c r="G937" s="1"/>
      <c r="H937" s="1"/>
    </row>
    <row r="938" ht="15.75" customHeight="1">
      <c r="A938" s="36"/>
      <c r="B938" s="37"/>
      <c r="C938" s="37"/>
      <c r="D938" s="1"/>
      <c r="E938" s="1"/>
      <c r="F938" s="1"/>
      <c r="G938" s="1"/>
      <c r="H938" s="1"/>
    </row>
    <row r="939" ht="15.75" customHeight="1">
      <c r="A939" s="36"/>
      <c r="B939" s="37"/>
      <c r="C939" s="37"/>
      <c r="D939" s="1"/>
      <c r="E939" s="1"/>
      <c r="F939" s="1"/>
      <c r="G939" s="1"/>
      <c r="H939" s="1"/>
    </row>
    <row r="940" ht="15.75" customHeight="1">
      <c r="A940" s="36"/>
      <c r="B940" s="37"/>
      <c r="C940" s="37"/>
      <c r="D940" s="1"/>
      <c r="E940" s="1"/>
      <c r="F940" s="1"/>
      <c r="G940" s="1"/>
      <c r="H940" s="1"/>
    </row>
    <row r="941" ht="15.75" customHeight="1">
      <c r="A941" s="36"/>
      <c r="B941" s="37"/>
      <c r="C941" s="37"/>
      <c r="D941" s="1"/>
      <c r="E941" s="1"/>
      <c r="F941" s="1"/>
      <c r="G941" s="1"/>
      <c r="H941" s="1"/>
    </row>
    <row r="942" ht="15.75" customHeight="1">
      <c r="A942" s="36"/>
      <c r="B942" s="37"/>
      <c r="C942" s="37"/>
      <c r="D942" s="1"/>
      <c r="E942" s="1"/>
      <c r="F942" s="1"/>
      <c r="G942" s="1"/>
      <c r="H942" s="1"/>
    </row>
    <row r="943" ht="15.75" customHeight="1">
      <c r="A943" s="36"/>
      <c r="B943" s="37"/>
      <c r="C943" s="37"/>
      <c r="D943" s="1"/>
      <c r="E943" s="1"/>
      <c r="F943" s="1"/>
      <c r="G943" s="1"/>
      <c r="H943" s="1"/>
    </row>
    <row r="944" ht="15.75" customHeight="1">
      <c r="A944" s="36"/>
      <c r="B944" s="37"/>
      <c r="C944" s="37"/>
      <c r="D944" s="1"/>
      <c r="E944" s="1"/>
      <c r="F944" s="1"/>
      <c r="G944" s="1"/>
      <c r="H944" s="1"/>
    </row>
    <row r="945" ht="15.75" customHeight="1">
      <c r="A945" s="36"/>
      <c r="B945" s="37"/>
      <c r="C945" s="37"/>
      <c r="D945" s="1"/>
      <c r="E945" s="1"/>
      <c r="F945" s="1"/>
      <c r="G945" s="1"/>
      <c r="H945" s="1"/>
    </row>
    <row r="946" ht="15.75" customHeight="1">
      <c r="A946" s="36"/>
      <c r="B946" s="37"/>
      <c r="C946" s="37"/>
      <c r="D946" s="1"/>
      <c r="E946" s="1"/>
      <c r="F946" s="1"/>
      <c r="G946" s="1"/>
      <c r="H946" s="1"/>
    </row>
    <row r="947" ht="15.75" customHeight="1">
      <c r="A947" s="36"/>
      <c r="B947" s="37"/>
      <c r="C947" s="37"/>
      <c r="D947" s="1"/>
      <c r="E947" s="1"/>
      <c r="F947" s="1"/>
      <c r="G947" s="1"/>
      <c r="H947" s="1"/>
    </row>
    <row r="948" ht="15.75" customHeight="1">
      <c r="A948" s="36"/>
      <c r="B948" s="37"/>
      <c r="C948" s="37"/>
      <c r="D948" s="1"/>
      <c r="E948" s="1"/>
      <c r="F948" s="1"/>
      <c r="G948" s="1"/>
      <c r="H948" s="1"/>
    </row>
    <row r="949" ht="15.75" customHeight="1">
      <c r="A949" s="36"/>
      <c r="B949" s="37"/>
      <c r="C949" s="37"/>
      <c r="D949" s="1"/>
      <c r="E949" s="1"/>
      <c r="F949" s="1"/>
      <c r="G949" s="1"/>
      <c r="H949" s="1"/>
    </row>
    <row r="950" ht="15.75" customHeight="1">
      <c r="A950" s="36"/>
      <c r="B950" s="37"/>
      <c r="C950" s="37"/>
      <c r="D950" s="1"/>
      <c r="E950" s="1"/>
      <c r="F950" s="1"/>
      <c r="G950" s="1"/>
      <c r="H950" s="1"/>
    </row>
    <row r="951" ht="15.75" customHeight="1">
      <c r="A951" s="36"/>
      <c r="B951" s="37"/>
      <c r="C951" s="37"/>
      <c r="D951" s="1"/>
      <c r="E951" s="1"/>
      <c r="F951" s="1"/>
      <c r="G951" s="1"/>
      <c r="H951" s="1"/>
    </row>
    <row r="952" ht="15.75" customHeight="1">
      <c r="A952" s="36"/>
      <c r="B952" s="37"/>
      <c r="C952" s="37"/>
      <c r="D952" s="1"/>
      <c r="E952" s="1"/>
      <c r="F952" s="1"/>
      <c r="G952" s="1"/>
      <c r="H952" s="1"/>
    </row>
    <row r="953" ht="15.75" customHeight="1">
      <c r="A953" s="36"/>
      <c r="B953" s="37"/>
      <c r="C953" s="37"/>
      <c r="D953" s="1"/>
      <c r="E953" s="1"/>
      <c r="F953" s="1"/>
      <c r="G953" s="1"/>
      <c r="H953" s="1"/>
    </row>
    <row r="954" ht="15.75" customHeight="1">
      <c r="A954" s="36"/>
      <c r="B954" s="37"/>
      <c r="C954" s="37"/>
      <c r="D954" s="1"/>
      <c r="E954" s="1"/>
      <c r="F954" s="1"/>
      <c r="G954" s="1"/>
      <c r="H954" s="1"/>
    </row>
    <row r="955" ht="15.75" customHeight="1">
      <c r="A955" s="36"/>
      <c r="B955" s="37"/>
      <c r="C955" s="37"/>
      <c r="D955" s="1"/>
      <c r="E955" s="1"/>
      <c r="F955" s="1"/>
      <c r="G955" s="1"/>
      <c r="H955" s="1"/>
    </row>
    <row r="956" ht="15.75" customHeight="1">
      <c r="A956" s="36"/>
      <c r="B956" s="37"/>
      <c r="C956" s="37"/>
      <c r="D956" s="1"/>
      <c r="E956" s="1"/>
      <c r="F956" s="1"/>
      <c r="G956" s="1"/>
      <c r="H956" s="1"/>
    </row>
    <row r="957" ht="15.75" customHeight="1">
      <c r="A957" s="36"/>
      <c r="B957" s="37"/>
      <c r="C957" s="37"/>
      <c r="D957" s="1"/>
      <c r="E957" s="1"/>
      <c r="F957" s="1"/>
      <c r="G957" s="1"/>
      <c r="H957" s="1"/>
    </row>
    <row r="958" ht="15.75" customHeight="1">
      <c r="A958" s="36"/>
      <c r="B958" s="37"/>
      <c r="C958" s="37"/>
      <c r="D958" s="1"/>
      <c r="E958" s="1"/>
      <c r="F958" s="1"/>
      <c r="G958" s="1"/>
      <c r="H958" s="1"/>
    </row>
    <row r="959" ht="15.75" customHeight="1">
      <c r="A959" s="36"/>
      <c r="B959" s="37"/>
      <c r="C959" s="37"/>
      <c r="D959" s="1"/>
      <c r="E959" s="1"/>
      <c r="F959" s="1"/>
      <c r="G959" s="1"/>
      <c r="H959" s="1"/>
    </row>
    <row r="960" ht="15.75" customHeight="1">
      <c r="A960" s="36"/>
      <c r="B960" s="37"/>
      <c r="C960" s="37"/>
      <c r="D960" s="1"/>
      <c r="E960" s="1"/>
      <c r="F960" s="1"/>
      <c r="G960" s="1"/>
      <c r="H960" s="1"/>
    </row>
    <row r="961" ht="15.75" customHeight="1">
      <c r="A961" s="36"/>
      <c r="B961" s="37"/>
      <c r="C961" s="37"/>
      <c r="D961" s="1"/>
      <c r="E961" s="1"/>
      <c r="F961" s="1"/>
      <c r="G961" s="1"/>
      <c r="H961" s="1"/>
    </row>
    <row r="962" ht="15.75" customHeight="1">
      <c r="A962" s="36"/>
      <c r="B962" s="37"/>
      <c r="C962" s="37"/>
      <c r="D962" s="1"/>
      <c r="E962" s="1"/>
      <c r="F962" s="1"/>
      <c r="G962" s="1"/>
      <c r="H962" s="1"/>
    </row>
    <row r="963" ht="15.75" customHeight="1">
      <c r="A963" s="36"/>
      <c r="B963" s="37"/>
      <c r="C963" s="37"/>
      <c r="D963" s="1"/>
      <c r="E963" s="1"/>
      <c r="F963" s="1"/>
      <c r="G963" s="1"/>
      <c r="H963" s="1"/>
    </row>
    <row r="964" ht="15.75" customHeight="1">
      <c r="A964" s="36"/>
      <c r="B964" s="37"/>
      <c r="C964" s="37"/>
      <c r="D964" s="1"/>
      <c r="E964" s="1"/>
      <c r="F964" s="1"/>
      <c r="G964" s="1"/>
      <c r="H964" s="1"/>
    </row>
    <row r="965" ht="15.75" customHeight="1">
      <c r="A965" s="36"/>
      <c r="B965" s="37"/>
      <c r="C965" s="37"/>
      <c r="D965" s="1"/>
      <c r="E965" s="1"/>
      <c r="F965" s="1"/>
      <c r="G965" s="1"/>
      <c r="H965" s="1"/>
    </row>
    <row r="966" ht="15.75" customHeight="1">
      <c r="A966" s="36"/>
      <c r="B966" s="37"/>
      <c r="C966" s="37"/>
      <c r="D966" s="1"/>
      <c r="E966" s="1"/>
      <c r="F966" s="1"/>
      <c r="G966" s="1"/>
      <c r="H966" s="1"/>
    </row>
    <row r="967" ht="15.75" customHeight="1">
      <c r="A967" s="36"/>
      <c r="B967" s="37"/>
      <c r="C967" s="37"/>
      <c r="D967" s="1"/>
      <c r="E967" s="1"/>
      <c r="F967" s="1"/>
      <c r="G967" s="1"/>
      <c r="H967" s="1"/>
    </row>
    <row r="968" ht="15.75" customHeight="1">
      <c r="A968" s="36"/>
      <c r="B968" s="37"/>
      <c r="C968" s="37"/>
      <c r="D968" s="1"/>
      <c r="E968" s="1"/>
      <c r="F968" s="1"/>
      <c r="G968" s="1"/>
      <c r="H968" s="1"/>
    </row>
    <row r="969" ht="15.75" customHeight="1">
      <c r="A969" s="36"/>
      <c r="B969" s="37"/>
      <c r="C969" s="37"/>
      <c r="D969" s="1"/>
      <c r="E969" s="1"/>
      <c r="F969" s="1"/>
      <c r="G969" s="1"/>
      <c r="H969" s="1"/>
    </row>
    <row r="970" ht="15.75" customHeight="1">
      <c r="A970" s="36"/>
      <c r="B970" s="37"/>
      <c r="C970" s="37"/>
      <c r="D970" s="1"/>
      <c r="E970" s="1"/>
      <c r="F970" s="1"/>
      <c r="G970" s="1"/>
      <c r="H970" s="1"/>
    </row>
    <row r="971" ht="15.75" customHeight="1">
      <c r="A971" s="36"/>
      <c r="B971" s="37"/>
      <c r="C971" s="37"/>
      <c r="D971" s="1"/>
      <c r="E971" s="1"/>
      <c r="F971" s="1"/>
      <c r="G971" s="1"/>
      <c r="H971" s="1"/>
    </row>
    <row r="972" ht="15.75" customHeight="1">
      <c r="A972" s="36"/>
      <c r="B972" s="37"/>
      <c r="C972" s="37"/>
      <c r="D972" s="1"/>
      <c r="E972" s="1"/>
      <c r="F972" s="1"/>
      <c r="G972" s="1"/>
      <c r="H972" s="1"/>
    </row>
    <row r="973" ht="15.75" customHeight="1">
      <c r="A973" s="36"/>
      <c r="B973" s="37"/>
      <c r="C973" s="37"/>
      <c r="D973" s="1"/>
      <c r="E973" s="1"/>
      <c r="F973" s="1"/>
      <c r="G973" s="1"/>
      <c r="H973" s="1"/>
    </row>
    <row r="974" ht="15.75" customHeight="1">
      <c r="A974" s="36"/>
      <c r="B974" s="37"/>
      <c r="C974" s="37"/>
      <c r="D974" s="1"/>
      <c r="E974" s="1"/>
      <c r="F974" s="1"/>
      <c r="G974" s="1"/>
      <c r="H974" s="1"/>
    </row>
    <row r="975" ht="15.75" customHeight="1">
      <c r="A975" s="36"/>
      <c r="B975" s="37"/>
      <c r="C975" s="37"/>
      <c r="D975" s="1"/>
      <c r="E975" s="1"/>
      <c r="F975" s="1"/>
      <c r="G975" s="1"/>
      <c r="H975" s="1"/>
    </row>
    <row r="976" ht="15.75" customHeight="1">
      <c r="A976" s="36"/>
      <c r="B976" s="37"/>
      <c r="C976" s="37"/>
      <c r="D976" s="1"/>
      <c r="E976" s="1"/>
      <c r="F976" s="1"/>
      <c r="G976" s="1"/>
      <c r="H976" s="1"/>
    </row>
    <row r="977" ht="15.75" customHeight="1">
      <c r="A977" s="36"/>
      <c r="B977" s="37"/>
      <c r="C977" s="37"/>
      <c r="D977" s="1"/>
      <c r="E977" s="1"/>
      <c r="F977" s="1"/>
      <c r="G977" s="1"/>
      <c r="H977" s="1"/>
    </row>
    <row r="978" ht="15.75" customHeight="1">
      <c r="A978" s="36"/>
      <c r="B978" s="37"/>
      <c r="C978" s="37"/>
      <c r="D978" s="1"/>
      <c r="E978" s="1"/>
      <c r="F978" s="1"/>
      <c r="G978" s="1"/>
      <c r="H978" s="1"/>
    </row>
    <row r="979" ht="15.75" customHeight="1">
      <c r="A979" s="36"/>
      <c r="B979" s="37"/>
      <c r="C979" s="37"/>
      <c r="D979" s="1"/>
      <c r="E979" s="1"/>
      <c r="F979" s="1"/>
      <c r="G979" s="1"/>
      <c r="H979" s="1"/>
    </row>
    <row r="980" ht="15.75" customHeight="1">
      <c r="A980" s="36"/>
      <c r="B980" s="37"/>
      <c r="C980" s="37"/>
      <c r="D980" s="1"/>
      <c r="E980" s="1"/>
      <c r="F980" s="1"/>
      <c r="G980" s="1"/>
      <c r="H980" s="1"/>
    </row>
    <row r="981" ht="15.75" customHeight="1">
      <c r="A981" s="36"/>
      <c r="B981" s="37"/>
      <c r="C981" s="37"/>
      <c r="D981" s="1"/>
      <c r="E981" s="1"/>
      <c r="F981" s="1"/>
      <c r="G981" s="1"/>
      <c r="H981" s="1"/>
    </row>
    <row r="982" ht="15.75" customHeight="1">
      <c r="A982" s="36"/>
      <c r="B982" s="37"/>
      <c r="C982" s="37"/>
      <c r="D982" s="1"/>
      <c r="E982" s="1"/>
      <c r="F982" s="1"/>
      <c r="G982" s="1"/>
      <c r="H982" s="1"/>
    </row>
    <row r="983" ht="15.75" customHeight="1">
      <c r="A983" s="36"/>
      <c r="B983" s="37"/>
      <c r="C983" s="37"/>
      <c r="D983" s="1"/>
      <c r="E983" s="1"/>
      <c r="F983" s="1"/>
      <c r="G983" s="1"/>
      <c r="H983" s="1"/>
    </row>
    <row r="984" ht="15.75" customHeight="1">
      <c r="A984" s="36"/>
      <c r="B984" s="37"/>
      <c r="C984" s="37"/>
      <c r="D984" s="1"/>
      <c r="E984" s="1"/>
      <c r="F984" s="1"/>
      <c r="G984" s="1"/>
      <c r="H984" s="1"/>
    </row>
    <row r="985" ht="15.75" customHeight="1">
      <c r="A985" s="36"/>
      <c r="B985" s="37"/>
      <c r="C985" s="37"/>
      <c r="D985" s="1"/>
      <c r="E985" s="1"/>
      <c r="F985" s="1"/>
      <c r="G985" s="1"/>
      <c r="H985" s="1"/>
    </row>
    <row r="986" ht="15.75" customHeight="1">
      <c r="A986" s="36"/>
      <c r="B986" s="37"/>
      <c r="C986" s="37"/>
      <c r="D986" s="1"/>
      <c r="E986" s="1"/>
      <c r="F986" s="1"/>
      <c r="G986" s="1"/>
      <c r="H986" s="1"/>
    </row>
    <row r="987" ht="15.75" customHeight="1">
      <c r="A987" s="36"/>
      <c r="B987" s="37"/>
      <c r="C987" s="37"/>
      <c r="D987" s="1"/>
      <c r="E987" s="1"/>
      <c r="F987" s="1"/>
      <c r="G987" s="1"/>
      <c r="H987" s="1"/>
    </row>
    <row r="988" ht="15.75" customHeight="1">
      <c r="A988" s="36"/>
      <c r="B988" s="37"/>
      <c r="C988" s="37"/>
      <c r="D988" s="1"/>
      <c r="E988" s="1"/>
      <c r="F988" s="1"/>
      <c r="G988" s="1"/>
      <c r="H988" s="1"/>
    </row>
    <row r="989" ht="15.75" customHeight="1">
      <c r="A989" s="36"/>
      <c r="B989" s="37"/>
      <c r="C989" s="37"/>
      <c r="D989" s="1"/>
      <c r="E989" s="1"/>
      <c r="F989" s="1"/>
      <c r="G989" s="1"/>
      <c r="H989" s="1"/>
    </row>
    <row r="990" ht="15.75" customHeight="1">
      <c r="A990" s="36"/>
      <c r="B990" s="37"/>
      <c r="C990" s="37"/>
      <c r="D990" s="1"/>
      <c r="E990" s="1"/>
      <c r="F990" s="1"/>
      <c r="G990" s="1"/>
      <c r="H990" s="1"/>
    </row>
    <row r="991" ht="15.75" customHeight="1">
      <c r="A991" s="36"/>
      <c r="B991" s="37"/>
      <c r="C991" s="37"/>
      <c r="D991" s="1"/>
      <c r="E991" s="1"/>
      <c r="F991" s="1"/>
      <c r="G991" s="1"/>
      <c r="H991" s="1"/>
    </row>
    <row r="992" ht="15.75" customHeight="1">
      <c r="A992" s="36"/>
      <c r="B992" s="37"/>
      <c r="C992" s="37"/>
      <c r="D992" s="1"/>
      <c r="E992" s="1"/>
      <c r="F992" s="1"/>
      <c r="G992" s="1"/>
      <c r="H992" s="1"/>
    </row>
    <row r="993" ht="15.75" customHeight="1">
      <c r="A993" s="36"/>
      <c r="B993" s="37"/>
      <c r="C993" s="37"/>
      <c r="D993" s="1"/>
      <c r="E993" s="1"/>
      <c r="F993" s="1"/>
      <c r="G993" s="1"/>
      <c r="H993" s="1"/>
    </row>
    <row r="994" ht="15.75" customHeight="1">
      <c r="A994" s="36"/>
      <c r="B994" s="37"/>
      <c r="C994" s="37"/>
      <c r="D994" s="1"/>
      <c r="E994" s="1"/>
      <c r="F994" s="1"/>
      <c r="G994" s="1"/>
      <c r="H994" s="1"/>
    </row>
    <row r="995" ht="15.75" customHeight="1">
      <c r="A995" s="36"/>
      <c r="B995" s="37"/>
      <c r="C995" s="37"/>
      <c r="D995" s="1"/>
      <c r="E995" s="1"/>
      <c r="F995" s="1"/>
      <c r="G995" s="1"/>
      <c r="H995" s="1"/>
    </row>
    <row r="996" ht="15.75" customHeight="1">
      <c r="A996" s="36"/>
      <c r="B996" s="37"/>
      <c r="C996" s="37"/>
      <c r="D996" s="1"/>
      <c r="E996" s="1"/>
      <c r="F996" s="1"/>
      <c r="G996" s="1"/>
      <c r="H996" s="1"/>
    </row>
    <row r="997" ht="15.75" customHeight="1">
      <c r="A997" s="36"/>
      <c r="B997" s="37"/>
      <c r="C997" s="37"/>
      <c r="D997" s="1"/>
      <c r="E997" s="1"/>
      <c r="F997" s="1"/>
      <c r="G997" s="1"/>
      <c r="H997" s="1"/>
    </row>
    <row r="998" ht="15.75" customHeight="1">
      <c r="A998" s="36"/>
      <c r="B998" s="37"/>
      <c r="C998" s="37"/>
      <c r="D998" s="1"/>
      <c r="E998" s="1"/>
      <c r="F998" s="1"/>
      <c r="G998" s="1"/>
      <c r="H998" s="1"/>
    </row>
    <row r="999" ht="15.75" customHeight="1">
      <c r="A999" s="36"/>
      <c r="B999" s="37"/>
      <c r="C999" s="37"/>
      <c r="D999" s="1"/>
      <c r="E999" s="1"/>
      <c r="F999" s="1"/>
      <c r="G999" s="1"/>
      <c r="H999" s="1"/>
    </row>
    <row r="1000" ht="15.75" customHeight="1">
      <c r="A1000" s="36"/>
      <c r="B1000" s="37"/>
      <c r="C1000" s="37"/>
      <c r="D1000" s="1"/>
      <c r="E1000" s="1"/>
      <c r="F1000" s="1"/>
      <c r="G1000" s="1"/>
      <c r="H1000" s="1"/>
    </row>
  </sheetData>
  <mergeCells count="5">
    <mergeCell ref="A2:H2"/>
    <mergeCell ref="A4:H4"/>
    <mergeCell ref="A5:H5"/>
    <mergeCell ref="A6:H6"/>
    <mergeCell ref="A562:I562"/>
  </mergeCells>
  <hyperlinks>
    <hyperlink r:id="rId1" ref="E19"/>
    <hyperlink r:id="rId2" ref="E20"/>
    <hyperlink r:id="rId3" ref="E23"/>
    <hyperlink r:id="rId4" ref="E24"/>
    <hyperlink r:id="rId5" ref="F24"/>
    <hyperlink r:id="rId6" ref="F25"/>
    <hyperlink r:id="rId7" ref="F27"/>
    <hyperlink r:id="rId8" ref="E28"/>
    <hyperlink r:id="rId9" ref="E31"/>
    <hyperlink r:id="rId10" ref="E34"/>
    <hyperlink r:id="rId11" ref="E39"/>
    <hyperlink r:id="rId12" ref="E42"/>
    <hyperlink r:id="rId13" ref="E46"/>
    <hyperlink r:id="rId14" ref="D47"/>
    <hyperlink r:id="rId15" ref="D48"/>
    <hyperlink r:id="rId16" ref="E56"/>
    <hyperlink r:id="rId17" ref="E57"/>
    <hyperlink r:id="rId18" ref="E59"/>
    <hyperlink r:id="rId19" ref="E60"/>
    <hyperlink r:id="rId20" ref="E62"/>
    <hyperlink r:id="rId21" ref="E63"/>
    <hyperlink r:id="rId22" ref="E64"/>
    <hyperlink r:id="rId23" ref="E65"/>
    <hyperlink r:id="rId24" ref="E66"/>
    <hyperlink r:id="rId25" ref="E68"/>
    <hyperlink r:id="rId26" ref="E69"/>
    <hyperlink r:id="rId27" ref="E72"/>
    <hyperlink r:id="rId28" ref="E73"/>
    <hyperlink r:id="rId29" ref="E74"/>
    <hyperlink r:id="rId30" ref="E75"/>
    <hyperlink r:id="rId31" ref="E76"/>
    <hyperlink r:id="rId32" ref="E77"/>
    <hyperlink r:id="rId33" ref="E78"/>
    <hyperlink r:id="rId34" ref="E79"/>
    <hyperlink r:id="rId35" ref="E80"/>
    <hyperlink r:id="rId36" ref="E81"/>
    <hyperlink r:id="rId37" ref="E82"/>
    <hyperlink r:id="rId38" ref="E83"/>
    <hyperlink r:id="rId39" ref="E84"/>
    <hyperlink r:id="rId40" ref="E85"/>
    <hyperlink r:id="rId41" ref="E86"/>
    <hyperlink r:id="rId42" ref="E87"/>
    <hyperlink r:id="rId43" ref="E90"/>
    <hyperlink r:id="rId44" ref="E91"/>
    <hyperlink r:id="rId45" ref="E92"/>
    <hyperlink r:id="rId46" ref="E94"/>
    <hyperlink r:id="rId47" ref="F94"/>
    <hyperlink r:id="rId48" ref="E95"/>
    <hyperlink r:id="rId49" ref="F95"/>
    <hyperlink r:id="rId50" ref="E96"/>
    <hyperlink r:id="rId51" ref="F96"/>
    <hyperlink r:id="rId52" ref="E97"/>
    <hyperlink r:id="rId53" ref="E98"/>
    <hyperlink r:id="rId54" ref="E99"/>
    <hyperlink r:id="rId55" ref="E100"/>
    <hyperlink r:id="rId56" ref="E101"/>
    <hyperlink r:id="rId57" ref="E102"/>
    <hyperlink r:id="rId58" ref="E103"/>
    <hyperlink r:id="rId59" ref="E104"/>
    <hyperlink r:id="rId60" ref="E105"/>
    <hyperlink r:id="rId61" ref="E106"/>
    <hyperlink r:id="rId62" ref="E107"/>
    <hyperlink r:id="rId63" ref="E120"/>
    <hyperlink r:id="rId64" ref="E121"/>
    <hyperlink r:id="rId65" ref="E128"/>
    <hyperlink r:id="rId66" ref="E133"/>
    <hyperlink r:id="rId67" ref="E143"/>
    <hyperlink r:id="rId68" ref="E144"/>
    <hyperlink r:id="rId69" ref="E145"/>
    <hyperlink r:id="rId70" ref="E146"/>
    <hyperlink r:id="rId71" ref="E147"/>
    <hyperlink r:id="rId72" ref="E151"/>
    <hyperlink r:id="rId73" ref="E152"/>
    <hyperlink r:id="rId74" ref="E157"/>
    <hyperlink r:id="rId75" ref="E161"/>
    <hyperlink r:id="rId76" ref="E162"/>
    <hyperlink r:id="rId77" ref="E163"/>
    <hyperlink r:id="rId78" ref="E164"/>
    <hyperlink r:id="rId79" ref="E166"/>
    <hyperlink r:id="rId80" ref="E167"/>
    <hyperlink r:id="rId81" ref="E168"/>
    <hyperlink r:id="rId82" ref="E169"/>
    <hyperlink r:id="rId83" ref="E170"/>
    <hyperlink r:id="rId84" ref="E171"/>
    <hyperlink r:id="rId85" ref="E173"/>
    <hyperlink r:id="rId86" ref="E174"/>
    <hyperlink r:id="rId87" ref="E175"/>
    <hyperlink r:id="rId88" ref="E177"/>
    <hyperlink r:id="rId89" ref="E178"/>
    <hyperlink r:id="rId90" ref="E179"/>
    <hyperlink r:id="rId91" ref="E181"/>
    <hyperlink r:id="rId92" ref="E183"/>
    <hyperlink r:id="rId93" ref="E184"/>
    <hyperlink r:id="rId94" ref="E188"/>
    <hyperlink r:id="rId95" ref="E189"/>
    <hyperlink r:id="rId96" ref="E192"/>
    <hyperlink r:id="rId97" ref="E195"/>
    <hyperlink r:id="rId98" ref="E196"/>
    <hyperlink r:id="rId99" ref="E198"/>
    <hyperlink r:id="rId100" ref="E199"/>
    <hyperlink r:id="rId101" ref="E200"/>
    <hyperlink r:id="rId102" ref="E201"/>
    <hyperlink r:id="rId103" ref="E202"/>
    <hyperlink r:id="rId104" ref="F202"/>
    <hyperlink r:id="rId105" ref="E203"/>
    <hyperlink r:id="rId106" ref="E205"/>
    <hyperlink r:id="rId107" ref="E206"/>
    <hyperlink r:id="rId108" ref="F206"/>
    <hyperlink r:id="rId109" ref="E208"/>
    <hyperlink r:id="rId110" ref="E209"/>
    <hyperlink r:id="rId111" ref="F209"/>
    <hyperlink r:id="rId112" ref="E210"/>
    <hyperlink r:id="rId113" ref="F210"/>
    <hyperlink r:id="rId114" ref="E211"/>
    <hyperlink r:id="rId115" ref="F211"/>
    <hyperlink r:id="rId116" ref="F212"/>
    <hyperlink r:id="rId117" ref="E213"/>
    <hyperlink r:id="rId118" ref="F213"/>
    <hyperlink r:id="rId119" ref="E214"/>
    <hyperlink r:id="rId120" ref="F214"/>
    <hyperlink r:id="rId121" ref="E215"/>
    <hyperlink r:id="rId122" ref="E216"/>
    <hyperlink r:id="rId123" ref="F216"/>
    <hyperlink r:id="rId124" ref="E221"/>
    <hyperlink r:id="rId125" ref="E233"/>
    <hyperlink r:id="rId126" ref="E234"/>
    <hyperlink r:id="rId127" ref="E246"/>
    <hyperlink r:id="rId128" ref="C247"/>
    <hyperlink r:id="rId129" ref="E248"/>
    <hyperlink r:id="rId130" ref="C250"/>
    <hyperlink r:id="rId131" ref="C251"/>
    <hyperlink r:id="rId132" ref="C252"/>
    <hyperlink r:id="rId133" ref="D268"/>
    <hyperlink r:id="rId134" ref="E269"/>
    <hyperlink r:id="rId135" ref="E270"/>
    <hyperlink r:id="rId136" ref="E271"/>
    <hyperlink r:id="rId137" ref="E272"/>
    <hyperlink r:id="rId138" ref="E273"/>
    <hyperlink r:id="rId139" ref="E274"/>
    <hyperlink r:id="rId140" ref="E279"/>
    <hyperlink r:id="rId141" ref="E282"/>
    <hyperlink r:id="rId142" ref="E286"/>
    <hyperlink r:id="rId143" ref="E287"/>
    <hyperlink r:id="rId144" ref="E288"/>
    <hyperlink r:id="rId145" ref="E289"/>
    <hyperlink r:id="rId146" ref="E291"/>
    <hyperlink r:id="rId147" ref="E292"/>
    <hyperlink r:id="rId148" ref="E293"/>
    <hyperlink r:id="rId149" ref="E294"/>
    <hyperlink r:id="rId150" ref="E295"/>
    <hyperlink r:id="rId151" ref="E296"/>
    <hyperlink r:id="rId152" ref="E297"/>
    <hyperlink r:id="rId153" ref="E298"/>
    <hyperlink r:id="rId154" ref="E299"/>
    <hyperlink r:id="rId155" ref="E300"/>
    <hyperlink r:id="rId156" ref="C302"/>
    <hyperlink r:id="rId157" ref="C303"/>
    <hyperlink r:id="rId158" ref="C308"/>
    <hyperlink r:id="rId159" ref="E311"/>
    <hyperlink r:id="rId160" ref="E312"/>
    <hyperlink r:id="rId161" ref="E313"/>
    <hyperlink r:id="rId162" ref="E314"/>
    <hyperlink r:id="rId163" ref="E315"/>
    <hyperlink r:id="rId164" ref="E316"/>
    <hyperlink r:id="rId165" ref="E317"/>
    <hyperlink r:id="rId166" ref="E318"/>
    <hyperlink r:id="rId167" ref="E319"/>
    <hyperlink r:id="rId168" ref="E320"/>
    <hyperlink r:id="rId169" ref="E321"/>
    <hyperlink r:id="rId170" ref="E322"/>
    <hyperlink r:id="rId171" ref="E323"/>
    <hyperlink r:id="rId172" ref="E324"/>
    <hyperlink r:id="rId173" ref="E325"/>
    <hyperlink r:id="rId174" ref="E326"/>
    <hyperlink r:id="rId175" ref="E327"/>
    <hyperlink r:id="rId176" ref="E328"/>
    <hyperlink r:id="rId177" ref="E329"/>
    <hyperlink r:id="rId178" ref="E330"/>
    <hyperlink r:id="rId179" ref="E331"/>
    <hyperlink r:id="rId180" ref="E332"/>
    <hyperlink r:id="rId181" ref="E333"/>
    <hyperlink r:id="rId182" ref="E334"/>
    <hyperlink r:id="rId183" ref="E335"/>
    <hyperlink r:id="rId184" ref="E336"/>
    <hyperlink r:id="rId185" ref="E337"/>
    <hyperlink r:id="rId186" ref="E338"/>
    <hyperlink r:id="rId187" ref="E339"/>
    <hyperlink r:id="rId188" ref="E340"/>
    <hyperlink r:id="rId189" ref="E341"/>
    <hyperlink r:id="rId190" ref="E342"/>
    <hyperlink r:id="rId191" ref="E343"/>
    <hyperlink r:id="rId192" ref="E344"/>
    <hyperlink r:id="rId193" ref="E345"/>
    <hyperlink r:id="rId194" ref="E346"/>
    <hyperlink r:id="rId195" ref="E347"/>
    <hyperlink r:id="rId196" ref="E348"/>
    <hyperlink r:id="rId197" ref="E349"/>
    <hyperlink r:id="rId198" ref="E350"/>
    <hyperlink r:id="rId199" ref="E351"/>
    <hyperlink r:id="rId200" ref="E352"/>
    <hyperlink r:id="rId201" ref="E353"/>
    <hyperlink r:id="rId202" ref="E354"/>
    <hyperlink r:id="rId203" ref="E355"/>
    <hyperlink r:id="rId204" ref="E356"/>
    <hyperlink r:id="rId205" ref="E357"/>
    <hyperlink r:id="rId206" ref="E358"/>
    <hyperlink r:id="rId207" ref="E359"/>
    <hyperlink r:id="rId208" ref="E360"/>
    <hyperlink r:id="rId209" ref="E361"/>
    <hyperlink r:id="rId210" ref="E362"/>
    <hyperlink r:id="rId211" ref="E363"/>
    <hyperlink r:id="rId212" ref="E364"/>
    <hyperlink r:id="rId213" ref="E365"/>
    <hyperlink r:id="rId214" ref="E366"/>
    <hyperlink r:id="rId215" ref="E367"/>
    <hyperlink r:id="rId216" ref="E368"/>
    <hyperlink r:id="rId217" ref="E369"/>
    <hyperlink r:id="rId218" ref="E370"/>
    <hyperlink r:id="rId219" ref="E371"/>
    <hyperlink r:id="rId220" ref="E372"/>
    <hyperlink r:id="rId221" ref="E373"/>
    <hyperlink r:id="rId222" ref="E374"/>
    <hyperlink r:id="rId223" ref="E375"/>
    <hyperlink r:id="rId224" ref="E376"/>
    <hyperlink r:id="rId225" ref="E377"/>
    <hyperlink r:id="rId226" ref="E378"/>
    <hyperlink r:id="rId227" ref="E379"/>
    <hyperlink r:id="rId228" ref="E380"/>
    <hyperlink r:id="rId229" ref="E382"/>
    <hyperlink r:id="rId230" ref="E383"/>
    <hyperlink r:id="rId231" ref="E384"/>
    <hyperlink r:id="rId232" ref="E385"/>
    <hyperlink r:id="rId233" ref="E389"/>
    <hyperlink r:id="rId234" ref="E391"/>
    <hyperlink r:id="rId235" ref="E392"/>
    <hyperlink r:id="rId236" ref="E393"/>
    <hyperlink r:id="rId237" ref="E395"/>
    <hyperlink r:id="rId238" ref="E397"/>
    <hyperlink r:id="rId239" ref="E398"/>
    <hyperlink r:id="rId240" ref="E402"/>
    <hyperlink r:id="rId241" ref="E404"/>
    <hyperlink r:id="rId242" ref="E405"/>
    <hyperlink r:id="rId243" ref="E406"/>
    <hyperlink r:id="rId244" ref="E408"/>
    <hyperlink r:id="rId245" ref="E410"/>
    <hyperlink r:id="rId246" ref="E411"/>
    <hyperlink r:id="rId247" ref="F411"/>
    <hyperlink r:id="rId248" ref="E412"/>
    <hyperlink r:id="rId249" ref="F412"/>
    <hyperlink r:id="rId250" ref="E413"/>
    <hyperlink r:id="rId251" ref="E414"/>
    <hyperlink r:id="rId252" ref="E440"/>
    <hyperlink r:id="rId253" ref="E441"/>
    <hyperlink r:id="rId254" ref="E442"/>
    <hyperlink r:id="rId255" ref="E443"/>
    <hyperlink r:id="rId256" ref="E444"/>
    <hyperlink r:id="rId257" ref="E445"/>
    <hyperlink r:id="rId258" ref="E446"/>
    <hyperlink r:id="rId259" ref="F447"/>
    <hyperlink r:id="rId260" ref="E452"/>
    <hyperlink r:id="rId261" ref="E453"/>
    <hyperlink r:id="rId262" ref="E454"/>
    <hyperlink r:id="rId263" ref="E456"/>
    <hyperlink r:id="rId264" ref="E457"/>
    <hyperlink r:id="rId265" ref="E458"/>
    <hyperlink r:id="rId266" ref="F458"/>
    <hyperlink r:id="rId267" ref="E460"/>
    <hyperlink r:id="rId268" ref="E461"/>
    <hyperlink r:id="rId269" ref="E462"/>
    <hyperlink r:id="rId270" ref="C463"/>
    <hyperlink r:id="rId271" ref="E463"/>
    <hyperlink r:id="rId272" ref="D464"/>
    <hyperlink r:id="rId273" ref="E465"/>
    <hyperlink r:id="rId274" ref="E466"/>
    <hyperlink r:id="rId275" ref="E467"/>
    <hyperlink r:id="rId276" ref="C468"/>
    <hyperlink r:id="rId277" ref="D468"/>
    <hyperlink r:id="rId278" ref="E468"/>
    <hyperlink r:id="rId279" ref="E469"/>
    <hyperlink r:id="rId280" ref="E470"/>
    <hyperlink r:id="rId281" ref="E471"/>
    <hyperlink r:id="rId282" ref="F471"/>
    <hyperlink r:id="rId283" ref="C472"/>
    <hyperlink r:id="rId284" ref="E472"/>
    <hyperlink r:id="rId285" ref="F472"/>
    <hyperlink r:id="rId286" ref="C473"/>
    <hyperlink r:id="rId287" ref="E473"/>
    <hyperlink r:id="rId288" ref="C474"/>
    <hyperlink r:id="rId289" ref="E474"/>
    <hyperlink r:id="rId290" ref="C475"/>
    <hyperlink r:id="rId291" ref="E475"/>
    <hyperlink r:id="rId292" ref="C476"/>
    <hyperlink r:id="rId293" ref="D476"/>
    <hyperlink r:id="rId294" ref="C477"/>
    <hyperlink r:id="rId295" ref="E478"/>
    <hyperlink r:id="rId296" ref="E479"/>
    <hyperlink r:id="rId297" ref="D481"/>
    <hyperlink r:id="rId298" ref="E481"/>
    <hyperlink r:id="rId299" ref="F481"/>
    <hyperlink r:id="rId300" ref="C483"/>
    <hyperlink r:id="rId301" ref="E483"/>
    <hyperlink r:id="rId302" ref="F483"/>
    <hyperlink r:id="rId303" ref="E484"/>
    <hyperlink r:id="rId304" ref="C485"/>
    <hyperlink r:id="rId305" ref="C486"/>
    <hyperlink r:id="rId306" ref="E486"/>
    <hyperlink r:id="rId307" ref="F486"/>
    <hyperlink r:id="rId308" ref="C487"/>
    <hyperlink r:id="rId309" ref="F487"/>
    <hyperlink r:id="rId310" ref="C488"/>
    <hyperlink r:id="rId311" ref="E488"/>
    <hyperlink r:id="rId312" ref="F488"/>
    <hyperlink r:id="rId313" ref="C489"/>
    <hyperlink r:id="rId314" ref="F489"/>
    <hyperlink r:id="rId315" ref="C490"/>
    <hyperlink r:id="rId316" ref="E490"/>
    <hyperlink r:id="rId317" ref="F490"/>
    <hyperlink r:id="rId318" ref="E491"/>
    <hyperlink r:id="rId319" ref="F491"/>
    <hyperlink r:id="rId320" ref="E492"/>
    <hyperlink r:id="rId321" ref="E493"/>
    <hyperlink r:id="rId322" ref="E494"/>
    <hyperlink r:id="rId323" ref="C495"/>
    <hyperlink r:id="rId324" ref="E495"/>
    <hyperlink r:id="rId325" ref="F495"/>
    <hyperlink r:id="rId326" ref="C496"/>
    <hyperlink r:id="rId327" ref="E496"/>
    <hyperlink r:id="rId328" ref="F496"/>
    <hyperlink r:id="rId329" ref="C497"/>
    <hyperlink r:id="rId330" ref="E497"/>
    <hyperlink r:id="rId331" ref="F497"/>
    <hyperlink r:id="rId332" ref="C498"/>
    <hyperlink r:id="rId333" ref="E498"/>
    <hyperlink r:id="rId334" ref="F498"/>
    <hyperlink r:id="rId335" ref="E499"/>
    <hyperlink r:id="rId336" ref="F499"/>
    <hyperlink r:id="rId337" ref="E500"/>
    <hyperlink r:id="rId338" ref="F500"/>
    <hyperlink r:id="rId339" ref="E501"/>
    <hyperlink r:id="rId340" ref="E502"/>
    <hyperlink r:id="rId341" ref="F502"/>
    <hyperlink r:id="rId342" ref="E503"/>
    <hyperlink r:id="rId343" ref="F503"/>
    <hyperlink r:id="rId344" ref="E504"/>
    <hyperlink r:id="rId345" ref="F504"/>
    <hyperlink r:id="rId346" ref="C505"/>
    <hyperlink r:id="rId347" ref="E505"/>
    <hyperlink r:id="rId348" ref="F505"/>
    <hyperlink r:id="rId349" ref="C506"/>
    <hyperlink r:id="rId350" ref="E506"/>
    <hyperlink r:id="rId351" ref="F506"/>
    <hyperlink r:id="rId352" ref="E514"/>
    <hyperlink r:id="rId353" ref="E526"/>
    <hyperlink r:id="rId354" ref="E530"/>
    <hyperlink r:id="rId355" ref="E537"/>
    <hyperlink r:id="rId356" ref="E541"/>
  </hyperlinks>
  <printOptions/>
  <pageMargins bottom="0.75" footer="0.0" header="0.0" left="0.7" right="0.7" top="0.75"/>
  <pageSetup orientation="landscape"/>
  <drawing r:id="rId35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33.14"/>
    <col customWidth="1" min="3" max="3" width="12.0"/>
    <col customWidth="1" min="4" max="4" width="20.71"/>
    <col customWidth="1" min="5" max="5" width="13.14"/>
    <col customWidth="1" min="6" max="6" width="15.43"/>
    <col customWidth="1" min="7" max="7" width="21.0"/>
    <col customWidth="1" min="8" max="8" width="8.71"/>
    <col customWidth="1" min="9" max="26" width="8.0"/>
  </cols>
  <sheetData>
    <row r="1">
      <c r="A1" s="36"/>
      <c r="B1" s="37"/>
      <c r="C1" s="37"/>
      <c r="D1" s="1"/>
      <c r="E1" s="1"/>
      <c r="F1" s="1"/>
    </row>
    <row r="2">
      <c r="A2" s="38" t="s">
        <v>2276</v>
      </c>
      <c r="B2" s="39"/>
      <c r="C2" s="39"/>
      <c r="D2" s="39"/>
      <c r="E2" s="39"/>
      <c r="F2" s="189"/>
      <c r="G2" s="41"/>
      <c r="H2" s="41"/>
      <c r="I2" s="42"/>
      <c r="J2" s="42"/>
      <c r="K2" s="42"/>
      <c r="L2" s="42"/>
      <c r="M2" s="42"/>
      <c r="N2" s="42"/>
      <c r="O2" s="42"/>
      <c r="P2" s="42"/>
      <c r="Q2" s="42"/>
      <c r="R2" s="42"/>
      <c r="S2" s="42"/>
      <c r="T2" s="42"/>
      <c r="U2" s="42"/>
      <c r="V2" s="42"/>
      <c r="W2" s="42"/>
      <c r="X2" s="42"/>
      <c r="Y2" s="42"/>
      <c r="Z2" s="42"/>
    </row>
    <row r="3">
      <c r="A3" s="186"/>
      <c r="B3" s="186"/>
      <c r="C3" s="186"/>
      <c r="D3" s="186"/>
      <c r="E3" s="186"/>
      <c r="F3" s="186"/>
      <c r="G3" s="41"/>
      <c r="H3" s="41"/>
      <c r="I3" s="42"/>
      <c r="J3" s="42"/>
      <c r="K3" s="42"/>
      <c r="L3" s="42"/>
      <c r="M3" s="42"/>
      <c r="N3" s="42"/>
      <c r="O3" s="42"/>
      <c r="P3" s="42"/>
      <c r="Q3" s="42"/>
      <c r="R3" s="42"/>
      <c r="S3" s="42"/>
      <c r="T3" s="42"/>
      <c r="U3" s="42"/>
      <c r="V3" s="42"/>
      <c r="W3" s="42"/>
      <c r="X3" s="42"/>
      <c r="Y3" s="42"/>
      <c r="Z3" s="42"/>
    </row>
    <row r="4" ht="21.0" customHeight="1">
      <c r="A4" s="292" t="s">
        <v>2277</v>
      </c>
      <c r="B4" s="39"/>
      <c r="C4" s="39"/>
      <c r="D4" s="39"/>
      <c r="E4" s="39"/>
      <c r="F4" s="40"/>
      <c r="G4" s="41"/>
      <c r="H4" s="41"/>
      <c r="I4" s="42"/>
      <c r="J4" s="42"/>
      <c r="K4" s="42"/>
      <c r="L4" s="42"/>
      <c r="M4" s="42"/>
      <c r="N4" s="42"/>
      <c r="O4" s="42"/>
      <c r="P4" s="42"/>
      <c r="Q4" s="42"/>
      <c r="R4" s="42"/>
      <c r="S4" s="42"/>
      <c r="T4" s="42"/>
      <c r="U4" s="42"/>
      <c r="V4" s="42"/>
      <c r="W4" s="42"/>
      <c r="X4" s="42"/>
      <c r="Y4" s="42"/>
      <c r="Z4" s="42"/>
    </row>
    <row r="5" ht="98.25" customHeight="1">
      <c r="A5" s="44" t="s">
        <v>2278</v>
      </c>
      <c r="B5" s="39"/>
      <c r="C5" s="39"/>
      <c r="D5" s="39"/>
      <c r="E5" s="39"/>
      <c r="F5" s="40"/>
      <c r="G5" s="41"/>
      <c r="H5" s="41"/>
      <c r="I5" s="42"/>
      <c r="J5" s="42"/>
      <c r="K5" s="42"/>
      <c r="L5" s="42"/>
      <c r="M5" s="42"/>
      <c r="N5" s="42"/>
      <c r="O5" s="42"/>
      <c r="P5" s="42"/>
      <c r="Q5" s="42"/>
      <c r="R5" s="42"/>
      <c r="S5" s="42"/>
      <c r="T5" s="42"/>
      <c r="U5" s="42"/>
      <c r="V5" s="42"/>
      <c r="W5" s="42"/>
      <c r="X5" s="42"/>
      <c r="Y5" s="42"/>
      <c r="Z5" s="42"/>
    </row>
    <row r="6">
      <c r="A6" s="45"/>
      <c r="B6" s="46"/>
      <c r="C6" s="46"/>
      <c r="D6" s="45"/>
      <c r="E6" s="45"/>
      <c r="F6" s="45"/>
      <c r="G6" s="1"/>
      <c r="H6" s="1"/>
    </row>
    <row r="7">
      <c r="A7" s="36"/>
      <c r="B7" s="37"/>
      <c r="C7" s="37"/>
      <c r="D7" s="1"/>
      <c r="E7" s="1"/>
      <c r="F7" s="1"/>
    </row>
    <row r="8" ht="41.25" customHeight="1">
      <c r="A8" s="228" t="s">
        <v>2279</v>
      </c>
      <c r="B8" s="269" t="s">
        <v>2280</v>
      </c>
      <c r="C8" s="269" t="s">
        <v>9</v>
      </c>
      <c r="D8" s="269" t="s">
        <v>2281</v>
      </c>
      <c r="E8" s="228" t="s">
        <v>116</v>
      </c>
      <c r="F8" s="228" t="s">
        <v>117</v>
      </c>
      <c r="G8" s="49" t="s">
        <v>118</v>
      </c>
    </row>
    <row r="9" ht="63.75" customHeight="1">
      <c r="A9" s="52" t="s">
        <v>2282</v>
      </c>
      <c r="B9" s="52" t="s">
        <v>2283</v>
      </c>
      <c r="C9" s="60" t="s">
        <v>38</v>
      </c>
      <c r="D9" s="74" t="s">
        <v>2284</v>
      </c>
      <c r="E9" s="210">
        <v>100.0</v>
      </c>
      <c r="F9" s="209">
        <v>33.33</v>
      </c>
      <c r="G9" s="62" t="s">
        <v>203</v>
      </c>
    </row>
    <row r="10" ht="63.75" customHeight="1">
      <c r="A10" s="52" t="s">
        <v>2285</v>
      </c>
      <c r="B10" s="52" t="s">
        <v>2283</v>
      </c>
      <c r="C10" s="60" t="s">
        <v>38</v>
      </c>
      <c r="D10" s="74" t="s">
        <v>2284</v>
      </c>
      <c r="E10" s="210">
        <v>100.0</v>
      </c>
      <c r="F10" s="209">
        <v>33.33</v>
      </c>
      <c r="G10" s="62" t="s">
        <v>230</v>
      </c>
    </row>
    <row r="11">
      <c r="A11" s="52"/>
      <c r="B11" s="52"/>
      <c r="C11" s="60"/>
      <c r="D11" s="74"/>
      <c r="E11" s="210"/>
      <c r="F11" s="209"/>
      <c r="G11" s="62"/>
    </row>
    <row r="12">
      <c r="A12" s="52"/>
      <c r="B12" s="52"/>
      <c r="C12" s="60"/>
      <c r="D12" s="74"/>
      <c r="E12" s="210"/>
      <c r="F12" s="209"/>
      <c r="G12" s="62"/>
    </row>
    <row r="13">
      <c r="A13" s="52"/>
      <c r="B13" s="52"/>
      <c r="C13" s="60"/>
      <c r="D13" s="74"/>
      <c r="E13" s="210"/>
      <c r="F13" s="209"/>
      <c r="G13" s="62"/>
    </row>
    <row r="14">
      <c r="A14" s="52"/>
      <c r="B14" s="52"/>
      <c r="C14" s="60"/>
      <c r="D14" s="74"/>
      <c r="E14" s="210"/>
      <c r="F14" s="209"/>
      <c r="G14" s="62"/>
    </row>
    <row r="15">
      <c r="A15" s="52"/>
      <c r="B15" s="52"/>
      <c r="C15" s="60"/>
      <c r="D15" s="74"/>
      <c r="E15" s="210"/>
      <c r="F15" s="209"/>
      <c r="G15" s="62"/>
    </row>
    <row r="16">
      <c r="A16" s="52"/>
      <c r="B16" s="52"/>
      <c r="C16" s="60"/>
      <c r="D16" s="74"/>
      <c r="E16" s="210"/>
      <c r="F16" s="209"/>
      <c r="G16" s="62"/>
    </row>
    <row r="17">
      <c r="A17" s="52"/>
      <c r="B17" s="52"/>
      <c r="C17" s="60"/>
      <c r="D17" s="74"/>
      <c r="E17" s="210"/>
      <c r="F17" s="209"/>
      <c r="G17" s="62"/>
    </row>
    <row r="18">
      <c r="A18" s="52"/>
      <c r="B18" s="52"/>
      <c r="C18" s="60"/>
      <c r="D18" s="74"/>
      <c r="E18" s="210"/>
      <c r="F18" s="209"/>
      <c r="G18" s="62"/>
    </row>
    <row r="19">
      <c r="A19" s="52"/>
      <c r="B19" s="52"/>
      <c r="C19" s="60"/>
      <c r="D19" s="74"/>
      <c r="E19" s="210"/>
      <c r="F19" s="209"/>
      <c r="G19" s="62"/>
    </row>
    <row r="20">
      <c r="A20" s="52"/>
      <c r="B20" s="52"/>
      <c r="C20" s="60"/>
      <c r="D20" s="74"/>
      <c r="E20" s="210"/>
      <c r="F20" s="209"/>
      <c r="G20" s="62"/>
    </row>
    <row r="21" ht="15.75" customHeight="1">
      <c r="A21" s="52"/>
      <c r="B21" s="52"/>
      <c r="C21" s="60"/>
      <c r="D21" s="74"/>
      <c r="E21" s="210"/>
      <c r="F21" s="209"/>
      <c r="G21" s="62"/>
    </row>
    <row r="22" ht="15.75" customHeight="1">
      <c r="A22" s="52"/>
      <c r="B22" s="52"/>
      <c r="C22" s="60"/>
      <c r="D22" s="74"/>
      <c r="E22" s="210"/>
      <c r="F22" s="209"/>
      <c r="G22" s="62"/>
    </row>
    <row r="23" ht="15.75" customHeight="1">
      <c r="A23" s="52"/>
      <c r="B23" s="52"/>
      <c r="C23" s="60"/>
      <c r="D23" s="74"/>
      <c r="E23" s="210"/>
      <c r="F23" s="209"/>
      <c r="G23" s="62"/>
    </row>
    <row r="24" ht="15.75" customHeight="1">
      <c r="A24" s="52"/>
      <c r="B24" s="52"/>
      <c r="C24" s="60"/>
      <c r="D24" s="74"/>
      <c r="E24" s="295"/>
      <c r="F24" s="209"/>
      <c r="G24" s="62"/>
    </row>
    <row r="25" ht="15.75" customHeight="1">
      <c r="A25" s="52"/>
      <c r="B25" s="52"/>
      <c r="C25" s="60"/>
      <c r="D25" s="74"/>
      <c r="E25" s="295"/>
      <c r="F25" s="209"/>
      <c r="G25" s="62"/>
    </row>
    <row r="26" ht="15.75" customHeight="1">
      <c r="A26" s="52"/>
      <c r="B26" s="52"/>
      <c r="C26" s="60"/>
      <c r="D26" s="74"/>
      <c r="E26" s="295"/>
      <c r="F26" s="209"/>
      <c r="G26" s="62"/>
    </row>
    <row r="27" ht="15.75" customHeight="1">
      <c r="A27" s="52"/>
      <c r="B27" s="52"/>
      <c r="C27" s="60"/>
      <c r="D27" s="74"/>
      <c r="E27" s="295"/>
      <c r="F27" s="209"/>
      <c r="G27" s="62"/>
    </row>
    <row r="28" ht="15.75" customHeight="1">
      <c r="A28" s="52"/>
      <c r="B28" s="52"/>
      <c r="C28" s="60"/>
      <c r="D28" s="74"/>
      <c r="E28" s="295"/>
      <c r="F28" s="209"/>
      <c r="G28" s="62"/>
    </row>
    <row r="29" ht="15.75" customHeight="1">
      <c r="A29" s="88" t="s">
        <v>88</v>
      </c>
      <c r="B29" s="37"/>
      <c r="C29" s="37"/>
      <c r="D29" s="37"/>
      <c r="E29" s="41"/>
      <c r="F29" s="472">
        <f>SUM(F9:F28)</f>
        <v>66.66</v>
      </c>
    </row>
    <row r="30" ht="15.75" customHeight="1">
      <c r="A30" s="36"/>
      <c r="B30" s="37"/>
      <c r="C30" s="37"/>
      <c r="D30" s="37"/>
      <c r="E30" s="37"/>
      <c r="F30" s="37"/>
    </row>
    <row r="31" ht="15.75" customHeight="1">
      <c r="A31" s="473" t="s">
        <v>178</v>
      </c>
      <c r="B31" s="91"/>
      <c r="C31" s="91"/>
      <c r="D31" s="91"/>
      <c r="E31" s="91"/>
      <c r="F31" s="92"/>
    </row>
    <row r="32" ht="15.75" customHeight="1">
      <c r="A32" s="36"/>
      <c r="B32" s="37"/>
      <c r="C32" s="37"/>
      <c r="D32" s="1"/>
      <c r="E32" s="1"/>
      <c r="F32" s="1"/>
    </row>
    <row r="33" ht="15.75" customHeight="1">
      <c r="A33" s="36"/>
      <c r="B33" s="37"/>
      <c r="C33" s="37"/>
      <c r="D33" s="1"/>
      <c r="E33" s="1"/>
      <c r="F33" s="1"/>
    </row>
    <row r="34" ht="15.75" customHeight="1">
      <c r="A34" s="36"/>
      <c r="B34" s="37"/>
      <c r="C34" s="37"/>
      <c r="D34" s="1"/>
      <c r="E34" s="1"/>
      <c r="F34" s="1"/>
    </row>
    <row r="35" ht="15.75" customHeight="1">
      <c r="A35" s="36"/>
      <c r="B35" s="37"/>
      <c r="C35" s="37"/>
      <c r="D35" s="1"/>
      <c r="E35" s="1"/>
      <c r="F35" s="1"/>
    </row>
    <row r="36" ht="15.75" customHeight="1">
      <c r="A36" s="36"/>
      <c r="B36" s="37"/>
      <c r="C36" s="37"/>
      <c r="D36" s="1"/>
      <c r="E36" s="1"/>
      <c r="F36" s="1"/>
    </row>
    <row r="37" ht="15.75" customHeight="1">
      <c r="A37" s="36"/>
      <c r="B37" s="37"/>
      <c r="C37" s="37"/>
      <c r="D37" s="1"/>
      <c r="E37" s="1"/>
      <c r="F37" s="1"/>
    </row>
    <row r="38" ht="15.75" customHeight="1">
      <c r="A38" s="36"/>
      <c r="B38" s="37"/>
      <c r="C38" s="37"/>
      <c r="D38" s="1"/>
      <c r="E38" s="1"/>
      <c r="F38" s="1"/>
    </row>
    <row r="39" ht="15.75" customHeight="1">
      <c r="A39" s="36"/>
      <c r="B39" s="37"/>
      <c r="C39" s="37"/>
      <c r="D39" s="1"/>
      <c r="E39" s="1"/>
      <c r="F39" s="1"/>
    </row>
    <row r="40" ht="15.75" customHeight="1">
      <c r="A40" s="36"/>
      <c r="B40" s="37"/>
      <c r="C40" s="37"/>
      <c r="D40" s="1"/>
      <c r="E40" s="1"/>
      <c r="F40" s="1"/>
    </row>
    <row r="41" ht="15.75" customHeight="1">
      <c r="A41" s="36"/>
      <c r="B41" s="37"/>
      <c r="C41" s="37"/>
      <c r="D41" s="1"/>
      <c r="E41" s="1"/>
      <c r="F41" s="1"/>
    </row>
    <row r="42" ht="15.75" customHeight="1">
      <c r="A42" s="36"/>
      <c r="B42" s="37"/>
      <c r="C42" s="37"/>
      <c r="D42" s="1"/>
      <c r="E42" s="1"/>
      <c r="F42" s="1"/>
    </row>
    <row r="43" ht="15.75" customHeight="1">
      <c r="A43" s="36"/>
      <c r="B43" s="37"/>
      <c r="C43" s="37"/>
      <c r="D43" s="1"/>
      <c r="E43" s="1"/>
      <c r="F43" s="1"/>
    </row>
    <row r="44" ht="15.75" customHeight="1">
      <c r="A44" s="36"/>
      <c r="B44" s="37"/>
      <c r="C44" s="37"/>
      <c r="D44" s="1"/>
      <c r="E44" s="1"/>
      <c r="F44" s="1"/>
    </row>
    <row r="45" ht="15.75" customHeight="1">
      <c r="A45" s="36"/>
      <c r="B45" s="37"/>
      <c r="C45" s="37"/>
      <c r="D45" s="1"/>
      <c r="E45" s="1"/>
      <c r="F45" s="1"/>
    </row>
    <row r="46" ht="15.75" customHeight="1">
      <c r="A46" s="36"/>
      <c r="B46" s="37"/>
      <c r="C46" s="37"/>
      <c r="D46" s="1"/>
      <c r="E46" s="1"/>
      <c r="F46" s="1"/>
    </row>
    <row r="47" ht="15.75" customHeight="1">
      <c r="A47" s="36"/>
      <c r="B47" s="37"/>
      <c r="C47" s="37"/>
      <c r="D47" s="1"/>
      <c r="E47" s="1"/>
      <c r="F47" s="1"/>
    </row>
    <row r="48" ht="15.75" customHeight="1">
      <c r="A48" s="36"/>
      <c r="B48" s="37"/>
      <c r="C48" s="37"/>
      <c r="D48" s="1"/>
      <c r="E48" s="1"/>
      <c r="F48" s="1"/>
    </row>
    <row r="49" ht="15.75" customHeight="1">
      <c r="A49" s="36"/>
      <c r="B49" s="37"/>
      <c r="C49" s="37"/>
      <c r="D49" s="1"/>
      <c r="E49" s="1"/>
      <c r="F49" s="1"/>
    </row>
    <row r="50" ht="15.75" customHeight="1">
      <c r="A50" s="36"/>
      <c r="B50" s="37"/>
      <c r="C50" s="37"/>
      <c r="D50" s="1"/>
      <c r="E50" s="1"/>
      <c r="F50" s="1"/>
    </row>
    <row r="51" ht="15.75" customHeight="1">
      <c r="A51" s="36"/>
      <c r="B51" s="37"/>
      <c r="C51" s="37"/>
      <c r="D51" s="1"/>
      <c r="E51" s="1"/>
      <c r="F51" s="1"/>
    </row>
    <row r="52" ht="15.75" customHeight="1">
      <c r="A52" s="36"/>
      <c r="B52" s="37"/>
      <c r="C52" s="37"/>
      <c r="D52" s="1"/>
      <c r="E52" s="1"/>
      <c r="F52" s="1"/>
    </row>
    <row r="53" ht="15.75" customHeight="1">
      <c r="A53" s="36"/>
      <c r="B53" s="37"/>
      <c r="C53" s="37"/>
      <c r="D53" s="1"/>
      <c r="E53" s="1"/>
      <c r="F53" s="1"/>
    </row>
    <row r="54" ht="15.75" customHeight="1">
      <c r="A54" s="36"/>
      <c r="B54" s="37"/>
      <c r="C54" s="37"/>
      <c r="D54" s="1"/>
      <c r="E54" s="1"/>
      <c r="F54" s="1"/>
    </row>
    <row r="55" ht="15.75" customHeight="1">
      <c r="A55" s="36"/>
      <c r="B55" s="37"/>
      <c r="C55" s="37"/>
      <c r="D55" s="1"/>
      <c r="E55" s="1"/>
      <c r="F55" s="1"/>
    </row>
    <row r="56" ht="15.75" customHeight="1">
      <c r="A56" s="36"/>
      <c r="B56" s="37"/>
      <c r="C56" s="37"/>
      <c r="D56" s="1"/>
      <c r="E56" s="1"/>
      <c r="F56" s="1"/>
    </row>
    <row r="57" ht="15.75" customHeight="1">
      <c r="A57" s="36"/>
      <c r="B57" s="37"/>
      <c r="C57" s="37"/>
      <c r="D57" s="1"/>
      <c r="E57" s="1"/>
      <c r="F57" s="1"/>
    </row>
    <row r="58" ht="15.75" customHeight="1">
      <c r="A58" s="36"/>
      <c r="B58" s="37"/>
      <c r="C58" s="37"/>
      <c r="D58" s="1"/>
      <c r="E58" s="1"/>
      <c r="F58" s="1"/>
    </row>
    <row r="59" ht="15.75" customHeight="1">
      <c r="A59" s="36"/>
      <c r="B59" s="37"/>
      <c r="C59" s="37"/>
      <c r="D59" s="1"/>
      <c r="E59" s="1"/>
      <c r="F59" s="1"/>
    </row>
    <row r="60" ht="15.75" customHeight="1">
      <c r="A60" s="36"/>
      <c r="B60" s="37"/>
      <c r="C60" s="37"/>
      <c r="D60" s="1"/>
      <c r="E60" s="1"/>
      <c r="F60" s="1"/>
    </row>
    <row r="61" ht="15.75" customHeight="1">
      <c r="A61" s="36"/>
      <c r="B61" s="37"/>
      <c r="C61" s="37"/>
      <c r="D61" s="1"/>
      <c r="E61" s="1"/>
      <c r="F61" s="1"/>
    </row>
    <row r="62" ht="15.75" customHeight="1">
      <c r="A62" s="36"/>
      <c r="B62" s="37"/>
      <c r="C62" s="37"/>
      <c r="D62" s="1"/>
      <c r="E62" s="1"/>
      <c r="F62" s="1"/>
    </row>
    <row r="63" ht="15.75" customHeight="1">
      <c r="A63" s="36"/>
      <c r="B63" s="37"/>
      <c r="C63" s="37"/>
      <c r="D63" s="1"/>
      <c r="E63" s="1"/>
      <c r="F63" s="1"/>
    </row>
    <row r="64" ht="15.75" customHeight="1">
      <c r="A64" s="36"/>
      <c r="B64" s="37"/>
      <c r="C64" s="37"/>
      <c r="D64" s="1"/>
      <c r="E64" s="1"/>
      <c r="F64" s="1"/>
    </row>
    <row r="65" ht="15.75" customHeight="1">
      <c r="A65" s="36"/>
      <c r="B65" s="37"/>
      <c r="C65" s="37"/>
      <c r="D65" s="1"/>
      <c r="E65" s="1"/>
      <c r="F65" s="1"/>
    </row>
    <row r="66" ht="15.75" customHeight="1">
      <c r="A66" s="36"/>
      <c r="B66" s="37"/>
      <c r="C66" s="37"/>
      <c r="D66" s="1"/>
      <c r="E66" s="1"/>
      <c r="F66" s="1"/>
    </row>
    <row r="67" ht="15.75" customHeight="1">
      <c r="A67" s="36"/>
      <c r="B67" s="37"/>
      <c r="C67" s="37"/>
      <c r="D67" s="1"/>
      <c r="E67" s="1"/>
      <c r="F67" s="1"/>
    </row>
    <row r="68" ht="15.75" customHeight="1">
      <c r="A68" s="36"/>
      <c r="B68" s="37"/>
      <c r="C68" s="37"/>
      <c r="D68" s="1"/>
      <c r="E68" s="1"/>
      <c r="F68" s="1"/>
    </row>
    <row r="69" ht="15.75" customHeight="1">
      <c r="A69" s="36"/>
      <c r="B69" s="37"/>
      <c r="C69" s="37"/>
      <c r="D69" s="1"/>
      <c r="E69" s="1"/>
      <c r="F69" s="1"/>
    </row>
    <row r="70" ht="15.75" customHeight="1">
      <c r="A70" s="36"/>
      <c r="B70" s="37"/>
      <c r="C70" s="37"/>
      <c r="D70" s="1"/>
      <c r="E70" s="1"/>
      <c r="F70" s="1"/>
    </row>
    <row r="71" ht="15.75" customHeight="1">
      <c r="A71" s="36"/>
      <c r="B71" s="37"/>
      <c r="C71" s="37"/>
      <c r="D71" s="1"/>
      <c r="E71" s="1"/>
      <c r="F71" s="1"/>
    </row>
    <row r="72" ht="15.75" customHeight="1">
      <c r="A72" s="36"/>
      <c r="B72" s="37"/>
      <c r="C72" s="37"/>
      <c r="D72" s="1"/>
      <c r="E72" s="1"/>
      <c r="F72" s="1"/>
    </row>
    <row r="73" ht="15.75" customHeight="1">
      <c r="A73" s="36"/>
      <c r="B73" s="37"/>
      <c r="C73" s="37"/>
      <c r="D73" s="1"/>
      <c r="E73" s="1"/>
      <c r="F73" s="1"/>
    </row>
    <row r="74" ht="15.75" customHeight="1">
      <c r="A74" s="36"/>
      <c r="B74" s="37"/>
      <c r="C74" s="37"/>
      <c r="D74" s="1"/>
      <c r="E74" s="1"/>
      <c r="F74" s="1"/>
    </row>
    <row r="75" ht="15.75" customHeight="1">
      <c r="A75" s="36"/>
      <c r="B75" s="37"/>
      <c r="C75" s="37"/>
      <c r="D75" s="1"/>
      <c r="E75" s="1"/>
      <c r="F75" s="1"/>
    </row>
    <row r="76" ht="15.75" customHeight="1">
      <c r="A76" s="36"/>
      <c r="B76" s="37"/>
      <c r="C76" s="37"/>
      <c r="D76" s="1"/>
      <c r="E76" s="1"/>
      <c r="F76" s="1"/>
    </row>
    <row r="77" ht="15.75" customHeight="1">
      <c r="A77" s="36"/>
      <c r="B77" s="37"/>
      <c r="C77" s="37"/>
      <c r="D77" s="1"/>
      <c r="E77" s="1"/>
      <c r="F77" s="1"/>
    </row>
    <row r="78" ht="15.75" customHeight="1">
      <c r="A78" s="36"/>
      <c r="B78" s="37"/>
      <c r="C78" s="37"/>
      <c r="D78" s="1"/>
      <c r="E78" s="1"/>
      <c r="F78" s="1"/>
    </row>
    <row r="79" ht="15.75" customHeight="1">
      <c r="A79" s="36"/>
      <c r="B79" s="37"/>
      <c r="C79" s="37"/>
      <c r="D79" s="1"/>
      <c r="E79" s="1"/>
      <c r="F79" s="1"/>
    </row>
    <row r="80" ht="15.75" customHeight="1">
      <c r="A80" s="36"/>
      <c r="B80" s="37"/>
      <c r="C80" s="37"/>
      <c r="D80" s="1"/>
      <c r="E80" s="1"/>
      <c r="F80" s="1"/>
    </row>
    <row r="81" ht="15.75" customHeight="1">
      <c r="A81" s="36"/>
      <c r="B81" s="37"/>
      <c r="C81" s="37"/>
      <c r="D81" s="1"/>
      <c r="E81" s="1"/>
      <c r="F81" s="1"/>
    </row>
    <row r="82" ht="15.75" customHeight="1">
      <c r="A82" s="36"/>
      <c r="B82" s="37"/>
      <c r="C82" s="37"/>
      <c r="D82" s="1"/>
      <c r="E82" s="1"/>
      <c r="F82" s="1"/>
    </row>
    <row r="83" ht="15.75" customHeight="1">
      <c r="A83" s="36"/>
      <c r="B83" s="37"/>
      <c r="C83" s="37"/>
      <c r="D83" s="1"/>
      <c r="E83" s="1"/>
      <c r="F83" s="1"/>
    </row>
    <row r="84" ht="15.75" customHeight="1">
      <c r="A84" s="36"/>
      <c r="B84" s="37"/>
      <c r="C84" s="37"/>
      <c r="D84" s="1"/>
      <c r="E84" s="1"/>
      <c r="F84" s="1"/>
    </row>
    <row r="85" ht="15.75" customHeight="1">
      <c r="A85" s="36"/>
      <c r="B85" s="37"/>
      <c r="C85" s="37"/>
      <c r="D85" s="1"/>
      <c r="E85" s="1"/>
      <c r="F85" s="1"/>
    </row>
    <row r="86" ht="15.75" customHeight="1">
      <c r="A86" s="36"/>
      <c r="B86" s="37"/>
      <c r="C86" s="37"/>
      <c r="D86" s="1"/>
      <c r="E86" s="1"/>
      <c r="F86" s="1"/>
    </row>
    <row r="87" ht="15.75" customHeight="1">
      <c r="A87" s="36"/>
      <c r="B87" s="37"/>
      <c r="C87" s="37"/>
      <c r="D87" s="1"/>
      <c r="E87" s="1"/>
      <c r="F87" s="1"/>
    </row>
    <row r="88" ht="15.75" customHeight="1">
      <c r="A88" s="36"/>
      <c r="B88" s="37"/>
      <c r="C88" s="37"/>
      <c r="D88" s="1"/>
      <c r="E88" s="1"/>
      <c r="F88" s="1"/>
    </row>
    <row r="89" ht="15.75" customHeight="1">
      <c r="A89" s="36"/>
      <c r="B89" s="37"/>
      <c r="C89" s="37"/>
      <c r="D89" s="1"/>
      <c r="E89" s="1"/>
      <c r="F89" s="1"/>
    </row>
    <row r="90" ht="15.75" customHeight="1">
      <c r="A90" s="36"/>
      <c r="B90" s="37"/>
      <c r="C90" s="37"/>
      <c r="D90" s="1"/>
      <c r="E90" s="1"/>
      <c r="F90" s="1"/>
    </row>
    <row r="91" ht="15.75" customHeight="1">
      <c r="A91" s="36"/>
      <c r="B91" s="37"/>
      <c r="C91" s="37"/>
      <c r="D91" s="1"/>
      <c r="E91" s="1"/>
      <c r="F91" s="1"/>
    </row>
    <row r="92" ht="15.75" customHeight="1">
      <c r="A92" s="36"/>
      <c r="B92" s="37"/>
      <c r="C92" s="37"/>
      <c r="D92" s="1"/>
      <c r="E92" s="1"/>
      <c r="F92" s="1"/>
    </row>
    <row r="93" ht="15.75" customHeight="1">
      <c r="A93" s="36"/>
      <c r="B93" s="37"/>
      <c r="C93" s="37"/>
      <c r="D93" s="1"/>
      <c r="E93" s="1"/>
      <c r="F93" s="1"/>
    </row>
    <row r="94" ht="15.75" customHeight="1">
      <c r="A94" s="36"/>
      <c r="B94" s="37"/>
      <c r="C94" s="37"/>
      <c r="D94" s="1"/>
      <c r="E94" s="1"/>
      <c r="F94" s="1"/>
    </row>
    <row r="95" ht="15.75" customHeight="1">
      <c r="A95" s="36"/>
      <c r="B95" s="37"/>
      <c r="C95" s="37"/>
      <c r="D95" s="1"/>
      <c r="E95" s="1"/>
      <c r="F95" s="1"/>
    </row>
    <row r="96" ht="15.75" customHeight="1">
      <c r="A96" s="36"/>
      <c r="B96" s="37"/>
      <c r="C96" s="37"/>
      <c r="D96" s="1"/>
      <c r="E96" s="1"/>
      <c r="F96" s="1"/>
    </row>
    <row r="97" ht="15.75" customHeight="1">
      <c r="A97" s="36"/>
      <c r="B97" s="37"/>
      <c r="C97" s="37"/>
      <c r="D97" s="1"/>
      <c r="E97" s="1"/>
      <c r="F97" s="1"/>
    </row>
    <row r="98" ht="15.75" customHeight="1">
      <c r="A98" s="36"/>
      <c r="B98" s="37"/>
      <c r="C98" s="37"/>
      <c r="D98" s="1"/>
      <c r="E98" s="1"/>
      <c r="F98" s="1"/>
    </row>
    <row r="99" ht="15.75" customHeight="1">
      <c r="A99" s="36"/>
      <c r="B99" s="37"/>
      <c r="C99" s="37"/>
      <c r="D99" s="1"/>
      <c r="E99" s="1"/>
      <c r="F99" s="1"/>
    </row>
    <row r="100" ht="15.75" customHeight="1">
      <c r="A100" s="36"/>
      <c r="B100" s="37"/>
      <c r="C100" s="37"/>
      <c r="D100" s="1"/>
      <c r="E100" s="1"/>
      <c r="F100" s="1"/>
    </row>
    <row r="101" ht="15.75" customHeight="1">
      <c r="A101" s="36"/>
      <c r="B101" s="37"/>
      <c r="C101" s="37"/>
      <c r="D101" s="1"/>
      <c r="E101" s="1"/>
      <c r="F101" s="1"/>
    </row>
    <row r="102" ht="15.75" customHeight="1">
      <c r="A102" s="36"/>
      <c r="B102" s="37"/>
      <c r="C102" s="37"/>
      <c r="D102" s="1"/>
      <c r="E102" s="1"/>
      <c r="F102" s="1"/>
    </row>
    <row r="103" ht="15.75" customHeight="1">
      <c r="A103" s="36"/>
      <c r="B103" s="37"/>
      <c r="C103" s="37"/>
      <c r="D103" s="1"/>
      <c r="E103" s="1"/>
      <c r="F103" s="1"/>
    </row>
    <row r="104" ht="15.75" customHeight="1">
      <c r="A104" s="36"/>
      <c r="B104" s="37"/>
      <c r="C104" s="37"/>
      <c r="D104" s="1"/>
      <c r="E104" s="1"/>
      <c r="F104" s="1"/>
    </row>
    <row r="105" ht="15.75" customHeight="1">
      <c r="A105" s="36"/>
      <c r="B105" s="37"/>
      <c r="C105" s="37"/>
      <c r="D105" s="1"/>
      <c r="E105" s="1"/>
      <c r="F105" s="1"/>
    </row>
    <row r="106" ht="15.75" customHeight="1">
      <c r="A106" s="36"/>
      <c r="B106" s="37"/>
      <c r="C106" s="37"/>
      <c r="D106" s="1"/>
      <c r="E106" s="1"/>
      <c r="F106" s="1"/>
    </row>
    <row r="107" ht="15.75" customHeight="1">
      <c r="A107" s="36"/>
      <c r="B107" s="37"/>
      <c r="C107" s="37"/>
      <c r="D107" s="1"/>
      <c r="E107" s="1"/>
      <c r="F107" s="1"/>
    </row>
    <row r="108" ht="15.75" customHeight="1">
      <c r="A108" s="36"/>
      <c r="B108" s="37"/>
      <c r="C108" s="37"/>
      <c r="D108" s="1"/>
      <c r="E108" s="1"/>
      <c r="F108" s="1"/>
    </row>
    <row r="109" ht="15.75" customHeight="1">
      <c r="A109" s="36"/>
      <c r="B109" s="37"/>
      <c r="C109" s="37"/>
      <c r="D109" s="1"/>
      <c r="E109" s="1"/>
      <c r="F109" s="1"/>
    </row>
    <row r="110" ht="15.75" customHeight="1">
      <c r="A110" s="36"/>
      <c r="B110" s="37"/>
      <c r="C110" s="37"/>
      <c r="D110" s="1"/>
      <c r="E110" s="1"/>
      <c r="F110" s="1"/>
    </row>
    <row r="111" ht="15.75" customHeight="1">
      <c r="A111" s="36"/>
      <c r="B111" s="37"/>
      <c r="C111" s="37"/>
      <c r="D111" s="1"/>
      <c r="E111" s="1"/>
      <c r="F111" s="1"/>
    </row>
    <row r="112" ht="15.75" customHeight="1">
      <c r="A112" s="36"/>
      <c r="B112" s="37"/>
      <c r="C112" s="37"/>
      <c r="D112" s="1"/>
      <c r="E112" s="1"/>
      <c r="F112" s="1"/>
    </row>
    <row r="113" ht="15.75" customHeight="1">
      <c r="A113" s="36"/>
      <c r="B113" s="37"/>
      <c r="C113" s="37"/>
      <c r="D113" s="1"/>
      <c r="E113" s="1"/>
      <c r="F113" s="1"/>
    </row>
    <row r="114" ht="15.75" customHeight="1">
      <c r="A114" s="36"/>
      <c r="B114" s="37"/>
      <c r="C114" s="37"/>
      <c r="D114" s="1"/>
      <c r="E114" s="1"/>
      <c r="F114" s="1"/>
    </row>
    <row r="115" ht="15.75" customHeight="1">
      <c r="A115" s="36"/>
      <c r="B115" s="37"/>
      <c r="C115" s="37"/>
      <c r="D115" s="1"/>
      <c r="E115" s="1"/>
      <c r="F115" s="1"/>
    </row>
    <row r="116" ht="15.75" customHeight="1">
      <c r="A116" s="36"/>
      <c r="B116" s="37"/>
      <c r="C116" s="37"/>
      <c r="D116" s="1"/>
      <c r="E116" s="1"/>
      <c r="F116" s="1"/>
    </row>
    <row r="117" ht="15.75" customHeight="1">
      <c r="A117" s="36"/>
      <c r="B117" s="37"/>
      <c r="C117" s="37"/>
      <c r="D117" s="1"/>
      <c r="E117" s="1"/>
      <c r="F117" s="1"/>
    </row>
    <row r="118" ht="15.75" customHeight="1">
      <c r="A118" s="36"/>
      <c r="B118" s="37"/>
      <c r="C118" s="37"/>
      <c r="D118" s="1"/>
      <c r="E118" s="1"/>
      <c r="F118" s="1"/>
    </row>
    <row r="119" ht="15.75" customHeight="1">
      <c r="A119" s="36"/>
      <c r="B119" s="37"/>
      <c r="C119" s="37"/>
      <c r="D119" s="1"/>
      <c r="E119" s="1"/>
      <c r="F119" s="1"/>
    </row>
    <row r="120" ht="15.75" customHeight="1">
      <c r="A120" s="36"/>
      <c r="B120" s="37"/>
      <c r="C120" s="37"/>
      <c r="D120" s="1"/>
      <c r="E120" s="1"/>
      <c r="F120" s="1"/>
    </row>
    <row r="121" ht="15.75" customHeight="1">
      <c r="A121" s="36"/>
      <c r="B121" s="37"/>
      <c r="C121" s="37"/>
      <c r="D121" s="1"/>
      <c r="E121" s="1"/>
      <c r="F121" s="1"/>
    </row>
    <row r="122" ht="15.75" customHeight="1">
      <c r="A122" s="36"/>
      <c r="B122" s="37"/>
      <c r="C122" s="37"/>
      <c r="D122" s="1"/>
      <c r="E122" s="1"/>
      <c r="F122" s="1"/>
    </row>
    <row r="123" ht="15.75" customHeight="1">
      <c r="A123" s="36"/>
      <c r="B123" s="37"/>
      <c r="C123" s="37"/>
      <c r="D123" s="1"/>
      <c r="E123" s="1"/>
      <c r="F123" s="1"/>
    </row>
    <row r="124" ht="15.75" customHeight="1">
      <c r="A124" s="36"/>
      <c r="B124" s="37"/>
      <c r="C124" s="37"/>
      <c r="D124" s="1"/>
      <c r="E124" s="1"/>
      <c r="F124" s="1"/>
    </row>
    <row r="125" ht="15.75" customHeight="1">
      <c r="A125" s="36"/>
      <c r="B125" s="37"/>
      <c r="C125" s="37"/>
      <c r="D125" s="1"/>
      <c r="E125" s="1"/>
      <c r="F125" s="1"/>
    </row>
    <row r="126" ht="15.75" customHeight="1">
      <c r="A126" s="36"/>
      <c r="B126" s="37"/>
      <c r="C126" s="37"/>
      <c r="D126" s="1"/>
      <c r="E126" s="1"/>
      <c r="F126" s="1"/>
    </row>
    <row r="127" ht="15.75" customHeight="1">
      <c r="A127" s="36"/>
      <c r="B127" s="37"/>
      <c r="C127" s="37"/>
      <c r="D127" s="1"/>
      <c r="E127" s="1"/>
      <c r="F127" s="1"/>
    </row>
    <row r="128" ht="15.75" customHeight="1">
      <c r="A128" s="36"/>
      <c r="B128" s="37"/>
      <c r="C128" s="37"/>
      <c r="D128" s="1"/>
      <c r="E128" s="1"/>
      <c r="F128" s="1"/>
    </row>
    <row r="129" ht="15.75" customHeight="1">
      <c r="A129" s="36"/>
      <c r="B129" s="37"/>
      <c r="C129" s="37"/>
      <c r="D129" s="1"/>
      <c r="E129" s="1"/>
      <c r="F129" s="1"/>
    </row>
    <row r="130" ht="15.75" customHeight="1">
      <c r="A130" s="36"/>
      <c r="B130" s="37"/>
      <c r="C130" s="37"/>
      <c r="D130" s="1"/>
      <c r="E130" s="1"/>
      <c r="F130" s="1"/>
    </row>
    <row r="131" ht="15.75" customHeight="1">
      <c r="A131" s="36"/>
      <c r="B131" s="37"/>
      <c r="C131" s="37"/>
      <c r="D131" s="1"/>
      <c r="E131" s="1"/>
      <c r="F131" s="1"/>
    </row>
    <row r="132" ht="15.75" customHeight="1">
      <c r="A132" s="36"/>
      <c r="B132" s="37"/>
      <c r="C132" s="37"/>
      <c r="D132" s="1"/>
      <c r="E132" s="1"/>
      <c r="F132" s="1"/>
    </row>
    <row r="133" ht="15.75" customHeight="1">
      <c r="A133" s="36"/>
      <c r="B133" s="37"/>
      <c r="C133" s="37"/>
      <c r="D133" s="1"/>
      <c r="E133" s="1"/>
      <c r="F133" s="1"/>
    </row>
    <row r="134" ht="15.75" customHeight="1">
      <c r="A134" s="36"/>
      <c r="B134" s="37"/>
      <c r="C134" s="37"/>
      <c r="D134" s="1"/>
      <c r="E134" s="1"/>
      <c r="F134" s="1"/>
    </row>
    <row r="135" ht="15.75" customHeight="1">
      <c r="A135" s="36"/>
      <c r="B135" s="37"/>
      <c r="C135" s="37"/>
      <c r="D135" s="1"/>
      <c r="E135" s="1"/>
      <c r="F135" s="1"/>
    </row>
    <row r="136" ht="15.75" customHeight="1">
      <c r="A136" s="36"/>
      <c r="B136" s="37"/>
      <c r="C136" s="37"/>
      <c r="D136" s="1"/>
      <c r="E136" s="1"/>
      <c r="F136" s="1"/>
    </row>
    <row r="137" ht="15.75" customHeight="1">
      <c r="A137" s="36"/>
      <c r="B137" s="37"/>
      <c r="C137" s="37"/>
      <c r="D137" s="1"/>
      <c r="E137" s="1"/>
      <c r="F137" s="1"/>
    </row>
    <row r="138" ht="15.75" customHeight="1">
      <c r="A138" s="36"/>
      <c r="B138" s="37"/>
      <c r="C138" s="37"/>
      <c r="D138" s="1"/>
      <c r="E138" s="1"/>
      <c r="F138" s="1"/>
    </row>
    <row r="139" ht="15.75" customHeight="1">
      <c r="A139" s="36"/>
      <c r="B139" s="37"/>
      <c r="C139" s="37"/>
      <c r="D139" s="1"/>
      <c r="E139" s="1"/>
      <c r="F139" s="1"/>
    </row>
    <row r="140" ht="15.75" customHeight="1">
      <c r="A140" s="36"/>
      <c r="B140" s="37"/>
      <c r="C140" s="37"/>
      <c r="D140" s="1"/>
      <c r="E140" s="1"/>
      <c r="F140" s="1"/>
    </row>
    <row r="141" ht="15.75" customHeight="1">
      <c r="A141" s="36"/>
      <c r="B141" s="37"/>
      <c r="C141" s="37"/>
      <c r="D141" s="1"/>
      <c r="E141" s="1"/>
      <c r="F141" s="1"/>
    </row>
    <row r="142" ht="15.75" customHeight="1">
      <c r="A142" s="36"/>
      <c r="B142" s="37"/>
      <c r="C142" s="37"/>
      <c r="D142" s="1"/>
      <c r="E142" s="1"/>
      <c r="F142" s="1"/>
    </row>
    <row r="143" ht="15.75" customHeight="1">
      <c r="A143" s="36"/>
      <c r="B143" s="37"/>
      <c r="C143" s="37"/>
      <c r="D143" s="1"/>
      <c r="E143" s="1"/>
      <c r="F143" s="1"/>
    </row>
    <row r="144" ht="15.75" customHeight="1">
      <c r="A144" s="36"/>
      <c r="B144" s="37"/>
      <c r="C144" s="37"/>
      <c r="D144" s="1"/>
      <c r="E144" s="1"/>
      <c r="F144" s="1"/>
    </row>
    <row r="145" ht="15.75" customHeight="1">
      <c r="A145" s="36"/>
      <c r="B145" s="37"/>
      <c r="C145" s="37"/>
      <c r="D145" s="1"/>
      <c r="E145" s="1"/>
      <c r="F145" s="1"/>
    </row>
    <row r="146" ht="15.75" customHeight="1">
      <c r="A146" s="36"/>
      <c r="B146" s="37"/>
      <c r="C146" s="37"/>
      <c r="D146" s="1"/>
      <c r="E146" s="1"/>
      <c r="F146" s="1"/>
    </row>
    <row r="147" ht="15.75" customHeight="1">
      <c r="A147" s="36"/>
      <c r="B147" s="37"/>
      <c r="C147" s="37"/>
      <c r="D147" s="1"/>
      <c r="E147" s="1"/>
      <c r="F147" s="1"/>
    </row>
    <row r="148" ht="15.75" customHeight="1">
      <c r="A148" s="36"/>
      <c r="B148" s="37"/>
      <c r="C148" s="37"/>
      <c r="D148" s="1"/>
      <c r="E148" s="1"/>
      <c r="F148" s="1"/>
    </row>
    <row r="149" ht="15.75" customHeight="1">
      <c r="A149" s="36"/>
      <c r="B149" s="37"/>
      <c r="C149" s="37"/>
      <c r="D149" s="1"/>
      <c r="E149" s="1"/>
      <c r="F149" s="1"/>
    </row>
    <row r="150" ht="15.75" customHeight="1">
      <c r="A150" s="36"/>
      <c r="B150" s="37"/>
      <c r="C150" s="37"/>
      <c r="D150" s="1"/>
      <c r="E150" s="1"/>
      <c r="F150" s="1"/>
    </row>
    <row r="151" ht="15.75" customHeight="1">
      <c r="A151" s="36"/>
      <c r="B151" s="37"/>
      <c r="C151" s="37"/>
      <c r="D151" s="1"/>
      <c r="E151" s="1"/>
      <c r="F151" s="1"/>
    </row>
    <row r="152" ht="15.75" customHeight="1">
      <c r="A152" s="36"/>
      <c r="B152" s="37"/>
      <c r="C152" s="37"/>
      <c r="D152" s="1"/>
      <c r="E152" s="1"/>
      <c r="F152" s="1"/>
    </row>
    <row r="153" ht="15.75" customHeight="1">
      <c r="A153" s="36"/>
      <c r="B153" s="37"/>
      <c r="C153" s="37"/>
      <c r="D153" s="1"/>
      <c r="E153" s="1"/>
      <c r="F153" s="1"/>
    </row>
    <row r="154" ht="15.75" customHeight="1">
      <c r="A154" s="36"/>
      <c r="B154" s="37"/>
      <c r="C154" s="37"/>
      <c r="D154" s="1"/>
      <c r="E154" s="1"/>
      <c r="F154" s="1"/>
    </row>
    <row r="155" ht="15.75" customHeight="1">
      <c r="A155" s="36"/>
      <c r="B155" s="37"/>
      <c r="C155" s="37"/>
      <c r="D155" s="1"/>
      <c r="E155" s="1"/>
      <c r="F155" s="1"/>
    </row>
    <row r="156" ht="15.75" customHeight="1">
      <c r="A156" s="36"/>
      <c r="B156" s="37"/>
      <c r="C156" s="37"/>
      <c r="D156" s="1"/>
      <c r="E156" s="1"/>
      <c r="F156" s="1"/>
    </row>
    <row r="157" ht="15.75" customHeight="1">
      <c r="A157" s="36"/>
      <c r="B157" s="37"/>
      <c r="C157" s="37"/>
      <c r="D157" s="1"/>
      <c r="E157" s="1"/>
      <c r="F157" s="1"/>
    </row>
    <row r="158" ht="15.75" customHeight="1">
      <c r="A158" s="36"/>
      <c r="B158" s="37"/>
      <c r="C158" s="37"/>
      <c r="D158" s="1"/>
      <c r="E158" s="1"/>
      <c r="F158" s="1"/>
    </row>
    <row r="159" ht="15.75" customHeight="1">
      <c r="A159" s="36"/>
      <c r="B159" s="37"/>
      <c r="C159" s="37"/>
      <c r="D159" s="1"/>
      <c r="E159" s="1"/>
      <c r="F159" s="1"/>
    </row>
    <row r="160" ht="15.75" customHeight="1">
      <c r="A160" s="36"/>
      <c r="B160" s="37"/>
      <c r="C160" s="37"/>
      <c r="D160" s="1"/>
      <c r="E160" s="1"/>
      <c r="F160" s="1"/>
    </row>
    <row r="161" ht="15.75" customHeight="1">
      <c r="A161" s="36"/>
      <c r="B161" s="37"/>
      <c r="C161" s="37"/>
      <c r="D161" s="1"/>
      <c r="E161" s="1"/>
      <c r="F161" s="1"/>
    </row>
    <row r="162" ht="15.75" customHeight="1">
      <c r="A162" s="36"/>
      <c r="B162" s="37"/>
      <c r="C162" s="37"/>
      <c r="D162" s="1"/>
      <c r="E162" s="1"/>
      <c r="F162" s="1"/>
    </row>
    <row r="163" ht="15.75" customHeight="1">
      <c r="A163" s="36"/>
      <c r="B163" s="37"/>
      <c r="C163" s="37"/>
      <c r="D163" s="1"/>
      <c r="E163" s="1"/>
      <c r="F163" s="1"/>
    </row>
    <row r="164" ht="15.75" customHeight="1">
      <c r="A164" s="36"/>
      <c r="B164" s="37"/>
      <c r="C164" s="37"/>
      <c r="D164" s="1"/>
      <c r="E164" s="1"/>
      <c r="F164" s="1"/>
    </row>
    <row r="165" ht="15.75" customHeight="1">
      <c r="A165" s="36"/>
      <c r="B165" s="37"/>
      <c r="C165" s="37"/>
      <c r="D165" s="1"/>
      <c r="E165" s="1"/>
      <c r="F165" s="1"/>
    </row>
    <row r="166" ht="15.75" customHeight="1">
      <c r="A166" s="36"/>
      <c r="B166" s="37"/>
      <c r="C166" s="37"/>
      <c r="D166" s="1"/>
      <c r="E166" s="1"/>
      <c r="F166" s="1"/>
    </row>
    <row r="167" ht="15.75" customHeight="1">
      <c r="A167" s="36"/>
      <c r="B167" s="37"/>
      <c r="C167" s="37"/>
      <c r="D167" s="1"/>
      <c r="E167" s="1"/>
      <c r="F167" s="1"/>
    </row>
    <row r="168" ht="15.75" customHeight="1">
      <c r="A168" s="36"/>
      <c r="B168" s="37"/>
      <c r="C168" s="37"/>
      <c r="D168" s="1"/>
      <c r="E168" s="1"/>
      <c r="F168" s="1"/>
    </row>
    <row r="169" ht="15.75" customHeight="1">
      <c r="A169" s="36"/>
      <c r="B169" s="37"/>
      <c r="C169" s="37"/>
      <c r="D169" s="1"/>
      <c r="E169" s="1"/>
      <c r="F169" s="1"/>
    </row>
    <row r="170" ht="15.75" customHeight="1">
      <c r="A170" s="36"/>
      <c r="B170" s="37"/>
      <c r="C170" s="37"/>
      <c r="D170" s="1"/>
      <c r="E170" s="1"/>
      <c r="F170" s="1"/>
    </row>
    <row r="171" ht="15.75" customHeight="1">
      <c r="A171" s="36"/>
      <c r="B171" s="37"/>
      <c r="C171" s="37"/>
      <c r="D171" s="1"/>
      <c r="E171" s="1"/>
      <c r="F171" s="1"/>
    </row>
    <row r="172" ht="15.75" customHeight="1">
      <c r="A172" s="36"/>
      <c r="B172" s="37"/>
      <c r="C172" s="37"/>
      <c r="D172" s="1"/>
      <c r="E172" s="1"/>
      <c r="F172" s="1"/>
    </row>
    <row r="173" ht="15.75" customHeight="1">
      <c r="A173" s="36"/>
      <c r="B173" s="37"/>
      <c r="C173" s="37"/>
      <c r="D173" s="1"/>
      <c r="E173" s="1"/>
      <c r="F173" s="1"/>
    </row>
    <row r="174" ht="15.75" customHeight="1">
      <c r="A174" s="36"/>
      <c r="B174" s="37"/>
      <c r="C174" s="37"/>
      <c r="D174" s="1"/>
      <c r="E174" s="1"/>
      <c r="F174" s="1"/>
    </row>
    <row r="175" ht="15.75" customHeight="1">
      <c r="A175" s="36"/>
      <c r="B175" s="37"/>
      <c r="C175" s="37"/>
      <c r="D175" s="1"/>
      <c r="E175" s="1"/>
      <c r="F175" s="1"/>
    </row>
    <row r="176" ht="15.75" customHeight="1">
      <c r="A176" s="36"/>
      <c r="B176" s="37"/>
      <c r="C176" s="37"/>
      <c r="D176" s="1"/>
      <c r="E176" s="1"/>
      <c r="F176" s="1"/>
    </row>
    <row r="177" ht="15.75" customHeight="1">
      <c r="A177" s="36"/>
      <c r="B177" s="37"/>
      <c r="C177" s="37"/>
      <c r="D177" s="1"/>
      <c r="E177" s="1"/>
      <c r="F177" s="1"/>
    </row>
    <row r="178" ht="15.75" customHeight="1">
      <c r="A178" s="36"/>
      <c r="B178" s="37"/>
      <c r="C178" s="37"/>
      <c r="D178" s="1"/>
      <c r="E178" s="1"/>
      <c r="F178" s="1"/>
    </row>
    <row r="179" ht="15.75" customHeight="1">
      <c r="A179" s="36"/>
      <c r="B179" s="37"/>
      <c r="C179" s="37"/>
      <c r="D179" s="1"/>
      <c r="E179" s="1"/>
      <c r="F179" s="1"/>
    </row>
    <row r="180" ht="15.75" customHeight="1">
      <c r="A180" s="36"/>
      <c r="B180" s="37"/>
      <c r="C180" s="37"/>
      <c r="D180" s="1"/>
      <c r="E180" s="1"/>
      <c r="F180" s="1"/>
    </row>
    <row r="181" ht="15.75" customHeight="1">
      <c r="A181" s="36"/>
      <c r="B181" s="37"/>
      <c r="C181" s="37"/>
      <c r="D181" s="1"/>
      <c r="E181" s="1"/>
      <c r="F181" s="1"/>
    </row>
    <row r="182" ht="15.75" customHeight="1">
      <c r="A182" s="36"/>
      <c r="B182" s="37"/>
      <c r="C182" s="37"/>
      <c r="D182" s="1"/>
      <c r="E182" s="1"/>
      <c r="F182" s="1"/>
    </row>
    <row r="183" ht="15.75" customHeight="1">
      <c r="A183" s="36"/>
      <c r="B183" s="37"/>
      <c r="C183" s="37"/>
      <c r="D183" s="1"/>
      <c r="E183" s="1"/>
      <c r="F183" s="1"/>
    </row>
    <row r="184" ht="15.75" customHeight="1">
      <c r="A184" s="36"/>
      <c r="B184" s="37"/>
      <c r="C184" s="37"/>
      <c r="D184" s="1"/>
      <c r="E184" s="1"/>
      <c r="F184" s="1"/>
    </row>
    <row r="185" ht="15.75" customHeight="1">
      <c r="A185" s="36"/>
      <c r="B185" s="37"/>
      <c r="C185" s="37"/>
      <c r="D185" s="1"/>
      <c r="E185" s="1"/>
      <c r="F185" s="1"/>
    </row>
    <row r="186" ht="15.75" customHeight="1">
      <c r="A186" s="36"/>
      <c r="B186" s="37"/>
      <c r="C186" s="37"/>
      <c r="D186" s="1"/>
      <c r="E186" s="1"/>
      <c r="F186" s="1"/>
    </row>
    <row r="187" ht="15.75" customHeight="1">
      <c r="A187" s="36"/>
      <c r="B187" s="37"/>
      <c r="C187" s="37"/>
      <c r="D187" s="1"/>
      <c r="E187" s="1"/>
      <c r="F187" s="1"/>
    </row>
    <row r="188" ht="15.75" customHeight="1">
      <c r="A188" s="36"/>
      <c r="B188" s="37"/>
      <c r="C188" s="37"/>
      <c r="D188" s="1"/>
      <c r="E188" s="1"/>
      <c r="F188" s="1"/>
    </row>
    <row r="189" ht="15.75" customHeight="1">
      <c r="A189" s="36"/>
      <c r="B189" s="37"/>
      <c r="C189" s="37"/>
      <c r="D189" s="1"/>
      <c r="E189" s="1"/>
      <c r="F189" s="1"/>
    </row>
    <row r="190" ht="15.75" customHeight="1">
      <c r="A190" s="36"/>
      <c r="B190" s="37"/>
      <c r="C190" s="37"/>
      <c r="D190" s="1"/>
      <c r="E190" s="1"/>
      <c r="F190" s="1"/>
    </row>
    <row r="191" ht="15.75" customHeight="1">
      <c r="A191" s="36"/>
      <c r="B191" s="37"/>
      <c r="C191" s="37"/>
      <c r="D191" s="1"/>
      <c r="E191" s="1"/>
      <c r="F191" s="1"/>
    </row>
    <row r="192" ht="15.75" customHeight="1">
      <c r="A192" s="36"/>
      <c r="B192" s="37"/>
      <c r="C192" s="37"/>
      <c r="D192" s="1"/>
      <c r="E192" s="1"/>
      <c r="F192" s="1"/>
    </row>
    <row r="193" ht="15.75" customHeight="1">
      <c r="A193" s="36"/>
      <c r="B193" s="37"/>
      <c r="C193" s="37"/>
      <c r="D193" s="1"/>
      <c r="E193" s="1"/>
      <c r="F193" s="1"/>
    </row>
    <row r="194" ht="15.75" customHeight="1">
      <c r="A194" s="36"/>
      <c r="B194" s="37"/>
      <c r="C194" s="37"/>
      <c r="D194" s="1"/>
      <c r="E194" s="1"/>
      <c r="F194" s="1"/>
    </row>
    <row r="195" ht="15.75" customHeight="1">
      <c r="A195" s="36"/>
      <c r="B195" s="37"/>
      <c r="C195" s="37"/>
      <c r="D195" s="1"/>
      <c r="E195" s="1"/>
      <c r="F195" s="1"/>
    </row>
    <row r="196" ht="15.75" customHeight="1">
      <c r="A196" s="36"/>
      <c r="B196" s="37"/>
      <c r="C196" s="37"/>
      <c r="D196" s="1"/>
      <c r="E196" s="1"/>
      <c r="F196" s="1"/>
    </row>
    <row r="197" ht="15.75" customHeight="1">
      <c r="A197" s="36"/>
      <c r="B197" s="37"/>
      <c r="C197" s="37"/>
      <c r="D197" s="1"/>
      <c r="E197" s="1"/>
      <c r="F197" s="1"/>
    </row>
    <row r="198" ht="15.75" customHeight="1">
      <c r="A198" s="36"/>
      <c r="B198" s="37"/>
      <c r="C198" s="37"/>
      <c r="D198" s="1"/>
      <c r="E198" s="1"/>
      <c r="F198" s="1"/>
    </row>
    <row r="199" ht="15.75" customHeight="1">
      <c r="A199" s="36"/>
      <c r="B199" s="37"/>
      <c r="C199" s="37"/>
      <c r="D199" s="1"/>
      <c r="E199" s="1"/>
      <c r="F199" s="1"/>
    </row>
    <row r="200" ht="15.75" customHeight="1">
      <c r="A200" s="36"/>
      <c r="B200" s="37"/>
      <c r="C200" s="37"/>
      <c r="D200" s="1"/>
      <c r="E200" s="1"/>
      <c r="F200" s="1"/>
    </row>
    <row r="201" ht="15.75" customHeight="1">
      <c r="A201" s="36"/>
      <c r="B201" s="37"/>
      <c r="C201" s="37"/>
      <c r="D201" s="1"/>
      <c r="E201" s="1"/>
      <c r="F201" s="1"/>
    </row>
    <row r="202" ht="15.75" customHeight="1">
      <c r="A202" s="36"/>
      <c r="B202" s="37"/>
      <c r="C202" s="37"/>
      <c r="D202" s="1"/>
      <c r="E202" s="1"/>
      <c r="F202" s="1"/>
    </row>
    <row r="203" ht="15.75" customHeight="1">
      <c r="A203" s="36"/>
      <c r="B203" s="37"/>
      <c r="C203" s="37"/>
      <c r="D203" s="1"/>
      <c r="E203" s="1"/>
      <c r="F203" s="1"/>
    </row>
    <row r="204" ht="15.75" customHeight="1">
      <c r="A204" s="36"/>
      <c r="B204" s="37"/>
      <c r="C204" s="37"/>
      <c r="D204" s="1"/>
      <c r="E204" s="1"/>
      <c r="F204" s="1"/>
    </row>
    <row r="205" ht="15.75" customHeight="1">
      <c r="A205" s="36"/>
      <c r="B205" s="37"/>
      <c r="C205" s="37"/>
      <c r="D205" s="1"/>
      <c r="E205" s="1"/>
      <c r="F205" s="1"/>
    </row>
    <row r="206" ht="15.75" customHeight="1">
      <c r="A206" s="36"/>
      <c r="B206" s="37"/>
      <c r="C206" s="37"/>
      <c r="D206" s="1"/>
      <c r="E206" s="1"/>
      <c r="F206" s="1"/>
    </row>
    <row r="207" ht="15.75" customHeight="1">
      <c r="A207" s="36"/>
      <c r="B207" s="37"/>
      <c r="C207" s="37"/>
      <c r="D207" s="1"/>
      <c r="E207" s="1"/>
      <c r="F207" s="1"/>
    </row>
    <row r="208" ht="15.75" customHeight="1">
      <c r="A208" s="36"/>
      <c r="B208" s="37"/>
      <c r="C208" s="37"/>
      <c r="D208" s="1"/>
      <c r="E208" s="1"/>
      <c r="F208" s="1"/>
    </row>
    <row r="209" ht="15.75" customHeight="1">
      <c r="A209" s="36"/>
      <c r="B209" s="37"/>
      <c r="C209" s="37"/>
      <c r="D209" s="1"/>
      <c r="E209" s="1"/>
      <c r="F209" s="1"/>
    </row>
    <row r="210" ht="15.75" customHeight="1">
      <c r="A210" s="36"/>
      <c r="B210" s="37"/>
      <c r="C210" s="37"/>
      <c r="D210" s="1"/>
      <c r="E210" s="1"/>
      <c r="F210" s="1"/>
    </row>
    <row r="211" ht="15.75" customHeight="1">
      <c r="A211" s="36"/>
      <c r="B211" s="37"/>
      <c r="C211" s="37"/>
      <c r="D211" s="1"/>
      <c r="E211" s="1"/>
      <c r="F211" s="1"/>
    </row>
    <row r="212" ht="15.75" customHeight="1">
      <c r="A212" s="36"/>
      <c r="B212" s="37"/>
      <c r="C212" s="37"/>
      <c r="D212" s="1"/>
      <c r="E212" s="1"/>
      <c r="F212" s="1"/>
    </row>
    <row r="213" ht="15.75" customHeight="1">
      <c r="A213" s="36"/>
      <c r="B213" s="37"/>
      <c r="C213" s="37"/>
      <c r="D213" s="1"/>
      <c r="E213" s="1"/>
      <c r="F213" s="1"/>
    </row>
    <row r="214" ht="15.75" customHeight="1">
      <c r="A214" s="36"/>
      <c r="B214" s="37"/>
      <c r="C214" s="37"/>
      <c r="D214" s="1"/>
      <c r="E214" s="1"/>
      <c r="F214" s="1"/>
    </row>
    <row r="215" ht="15.75" customHeight="1">
      <c r="A215" s="36"/>
      <c r="B215" s="37"/>
      <c r="C215" s="37"/>
      <c r="D215" s="1"/>
      <c r="E215" s="1"/>
      <c r="F215" s="1"/>
    </row>
    <row r="216" ht="15.75" customHeight="1">
      <c r="A216" s="36"/>
      <c r="B216" s="37"/>
      <c r="C216" s="37"/>
      <c r="D216" s="1"/>
      <c r="E216" s="1"/>
      <c r="F216" s="1"/>
    </row>
    <row r="217" ht="15.75" customHeight="1">
      <c r="A217" s="36"/>
      <c r="B217" s="37"/>
      <c r="C217" s="37"/>
      <c r="D217" s="1"/>
      <c r="E217" s="1"/>
      <c r="F217" s="1"/>
    </row>
    <row r="218" ht="15.75" customHeight="1">
      <c r="A218" s="36"/>
      <c r="B218" s="37"/>
      <c r="C218" s="37"/>
      <c r="D218" s="1"/>
      <c r="E218" s="1"/>
      <c r="F218" s="1"/>
    </row>
    <row r="219" ht="15.75" customHeight="1">
      <c r="A219" s="36"/>
      <c r="B219" s="37"/>
      <c r="C219" s="37"/>
      <c r="D219" s="1"/>
      <c r="E219" s="1"/>
      <c r="F219" s="1"/>
    </row>
    <row r="220" ht="15.75" customHeight="1">
      <c r="A220" s="36"/>
      <c r="B220" s="37"/>
      <c r="C220" s="37"/>
      <c r="D220" s="1"/>
      <c r="E220" s="1"/>
      <c r="F220" s="1"/>
    </row>
    <row r="221" ht="15.75" customHeight="1">
      <c r="A221" s="36"/>
      <c r="B221" s="37"/>
      <c r="C221" s="37"/>
      <c r="D221" s="1"/>
      <c r="E221" s="1"/>
      <c r="F221" s="1"/>
    </row>
    <row r="222" ht="15.75" customHeight="1">
      <c r="A222" s="36"/>
      <c r="B222" s="37"/>
      <c r="C222" s="37"/>
      <c r="D222" s="1"/>
      <c r="E222" s="1"/>
      <c r="F222" s="1"/>
    </row>
    <row r="223" ht="15.75" customHeight="1">
      <c r="A223" s="36"/>
      <c r="B223" s="37"/>
      <c r="C223" s="37"/>
      <c r="D223" s="1"/>
      <c r="E223" s="1"/>
      <c r="F223" s="1"/>
    </row>
    <row r="224" ht="15.75" customHeight="1">
      <c r="A224" s="36"/>
      <c r="B224" s="37"/>
      <c r="C224" s="37"/>
      <c r="D224" s="1"/>
      <c r="E224" s="1"/>
      <c r="F224" s="1"/>
    </row>
    <row r="225" ht="15.75" customHeight="1">
      <c r="A225" s="36"/>
      <c r="B225" s="37"/>
      <c r="C225" s="37"/>
      <c r="D225" s="1"/>
      <c r="E225" s="1"/>
      <c r="F225" s="1"/>
    </row>
    <row r="226" ht="15.75" customHeight="1">
      <c r="A226" s="36"/>
      <c r="B226" s="37"/>
      <c r="C226" s="37"/>
      <c r="D226" s="1"/>
      <c r="E226" s="1"/>
      <c r="F226" s="1"/>
    </row>
    <row r="227" ht="15.75" customHeight="1">
      <c r="A227" s="36"/>
      <c r="B227" s="37"/>
      <c r="C227" s="37"/>
      <c r="D227" s="1"/>
      <c r="E227" s="1"/>
      <c r="F227" s="1"/>
    </row>
    <row r="228" ht="15.75" customHeight="1">
      <c r="A228" s="36"/>
      <c r="B228" s="37"/>
      <c r="C228" s="37"/>
      <c r="D228" s="1"/>
      <c r="E228" s="1"/>
      <c r="F228" s="1"/>
    </row>
    <row r="229" ht="15.75" customHeight="1">
      <c r="A229" s="36"/>
      <c r="B229" s="37"/>
      <c r="C229" s="37"/>
      <c r="D229" s="1"/>
      <c r="E229" s="1"/>
      <c r="F229" s="1"/>
    </row>
    <row r="230" ht="15.75" customHeight="1">
      <c r="A230" s="36"/>
      <c r="B230" s="37"/>
      <c r="C230" s="37"/>
      <c r="D230" s="1"/>
      <c r="E230" s="1"/>
      <c r="F230" s="1"/>
    </row>
    <row r="231" ht="15.75" customHeight="1">
      <c r="A231" s="36"/>
      <c r="B231" s="37"/>
      <c r="C231" s="37"/>
      <c r="D231" s="1"/>
      <c r="E231" s="1"/>
      <c r="F231" s="1"/>
    </row>
    <row r="232" ht="15.75" customHeight="1">
      <c r="A232" s="36"/>
      <c r="B232" s="37"/>
      <c r="C232" s="37"/>
      <c r="D232" s="1"/>
      <c r="E232" s="1"/>
      <c r="F232" s="1"/>
    </row>
    <row r="233" ht="15.75" customHeight="1">
      <c r="A233" s="36"/>
      <c r="B233" s="37"/>
      <c r="C233" s="37"/>
      <c r="D233" s="1"/>
      <c r="E233" s="1"/>
      <c r="F233" s="1"/>
    </row>
    <row r="234" ht="15.75" customHeight="1">
      <c r="A234" s="36"/>
      <c r="B234" s="37"/>
      <c r="C234" s="37"/>
      <c r="D234" s="1"/>
      <c r="E234" s="1"/>
      <c r="F234" s="1"/>
    </row>
    <row r="235" ht="15.75" customHeight="1">
      <c r="A235" s="36"/>
      <c r="B235" s="37"/>
      <c r="C235" s="37"/>
      <c r="D235" s="1"/>
      <c r="E235" s="1"/>
      <c r="F235" s="1"/>
    </row>
    <row r="236" ht="15.75" customHeight="1">
      <c r="A236" s="36"/>
      <c r="B236" s="37"/>
      <c r="C236" s="37"/>
      <c r="D236" s="1"/>
      <c r="E236" s="1"/>
      <c r="F236" s="1"/>
    </row>
    <row r="237" ht="15.75" customHeight="1">
      <c r="A237" s="36"/>
      <c r="B237" s="37"/>
      <c r="C237" s="37"/>
      <c r="D237" s="1"/>
      <c r="E237" s="1"/>
      <c r="F237" s="1"/>
    </row>
    <row r="238" ht="15.75" customHeight="1">
      <c r="A238" s="36"/>
      <c r="B238" s="37"/>
      <c r="C238" s="37"/>
      <c r="D238" s="1"/>
      <c r="E238" s="1"/>
      <c r="F238" s="1"/>
    </row>
    <row r="239" ht="15.75" customHeight="1">
      <c r="A239" s="36"/>
      <c r="B239" s="37"/>
      <c r="C239" s="37"/>
      <c r="D239" s="1"/>
      <c r="E239" s="1"/>
      <c r="F239" s="1"/>
    </row>
    <row r="240" ht="15.75" customHeight="1">
      <c r="A240" s="36"/>
      <c r="B240" s="37"/>
      <c r="C240" s="37"/>
      <c r="D240" s="1"/>
      <c r="E240" s="1"/>
      <c r="F240" s="1"/>
    </row>
    <row r="241" ht="15.75" customHeight="1">
      <c r="A241" s="36"/>
      <c r="B241" s="37"/>
      <c r="C241" s="37"/>
      <c r="D241" s="1"/>
      <c r="E241" s="1"/>
      <c r="F241" s="1"/>
    </row>
    <row r="242" ht="15.75" customHeight="1">
      <c r="A242" s="36"/>
      <c r="B242" s="37"/>
      <c r="C242" s="37"/>
      <c r="D242" s="1"/>
      <c r="E242" s="1"/>
      <c r="F242" s="1"/>
    </row>
    <row r="243" ht="15.75" customHeight="1">
      <c r="A243" s="36"/>
      <c r="B243" s="37"/>
      <c r="C243" s="37"/>
      <c r="D243" s="1"/>
      <c r="E243" s="1"/>
      <c r="F243" s="1"/>
    </row>
    <row r="244" ht="15.75" customHeight="1">
      <c r="A244" s="36"/>
      <c r="B244" s="37"/>
      <c r="C244" s="37"/>
      <c r="D244" s="1"/>
      <c r="E244" s="1"/>
      <c r="F244" s="1"/>
    </row>
    <row r="245" ht="15.75" customHeight="1">
      <c r="A245" s="36"/>
      <c r="B245" s="37"/>
      <c r="C245" s="37"/>
      <c r="D245" s="1"/>
      <c r="E245" s="1"/>
      <c r="F245" s="1"/>
    </row>
    <row r="246" ht="15.75" customHeight="1">
      <c r="A246" s="36"/>
      <c r="B246" s="37"/>
      <c r="C246" s="37"/>
      <c r="D246" s="1"/>
      <c r="E246" s="1"/>
      <c r="F246" s="1"/>
    </row>
    <row r="247" ht="15.75" customHeight="1">
      <c r="A247" s="36"/>
      <c r="B247" s="37"/>
      <c r="C247" s="37"/>
      <c r="D247" s="1"/>
      <c r="E247" s="1"/>
      <c r="F247" s="1"/>
    </row>
    <row r="248" ht="15.75" customHeight="1">
      <c r="A248" s="36"/>
      <c r="B248" s="37"/>
      <c r="C248" s="37"/>
      <c r="D248" s="1"/>
      <c r="E248" s="1"/>
      <c r="F248" s="1"/>
    </row>
    <row r="249" ht="15.75" customHeight="1">
      <c r="A249" s="36"/>
      <c r="B249" s="37"/>
      <c r="C249" s="37"/>
      <c r="D249" s="1"/>
      <c r="E249" s="1"/>
      <c r="F249" s="1"/>
    </row>
    <row r="250" ht="15.75" customHeight="1">
      <c r="A250" s="36"/>
      <c r="B250" s="37"/>
      <c r="C250" s="37"/>
      <c r="D250" s="1"/>
      <c r="E250" s="1"/>
      <c r="F250" s="1"/>
    </row>
    <row r="251" ht="15.75" customHeight="1">
      <c r="A251" s="36"/>
      <c r="B251" s="37"/>
      <c r="C251" s="37"/>
      <c r="D251" s="1"/>
      <c r="E251" s="1"/>
      <c r="F251" s="1"/>
    </row>
    <row r="252" ht="15.75" customHeight="1">
      <c r="A252" s="36"/>
      <c r="B252" s="37"/>
      <c r="C252" s="37"/>
      <c r="D252" s="1"/>
      <c r="E252" s="1"/>
      <c r="F252" s="1"/>
    </row>
    <row r="253" ht="15.75" customHeight="1">
      <c r="A253" s="36"/>
      <c r="B253" s="37"/>
      <c r="C253" s="37"/>
      <c r="D253" s="1"/>
      <c r="E253" s="1"/>
      <c r="F253" s="1"/>
    </row>
    <row r="254" ht="15.75" customHeight="1">
      <c r="A254" s="36"/>
      <c r="B254" s="37"/>
      <c r="C254" s="37"/>
      <c r="D254" s="1"/>
      <c r="E254" s="1"/>
      <c r="F254" s="1"/>
    </row>
    <row r="255" ht="15.75" customHeight="1">
      <c r="A255" s="36"/>
      <c r="B255" s="37"/>
      <c r="C255" s="37"/>
      <c r="D255" s="1"/>
      <c r="E255" s="1"/>
      <c r="F255" s="1"/>
    </row>
    <row r="256" ht="15.75" customHeight="1">
      <c r="A256" s="36"/>
      <c r="B256" s="37"/>
      <c r="C256" s="37"/>
      <c r="D256" s="1"/>
      <c r="E256" s="1"/>
      <c r="F256" s="1"/>
    </row>
    <row r="257" ht="15.75" customHeight="1">
      <c r="A257" s="36"/>
      <c r="B257" s="37"/>
      <c r="C257" s="37"/>
      <c r="D257" s="1"/>
      <c r="E257" s="1"/>
      <c r="F257" s="1"/>
    </row>
    <row r="258" ht="15.75" customHeight="1">
      <c r="A258" s="36"/>
      <c r="B258" s="37"/>
      <c r="C258" s="37"/>
      <c r="D258" s="1"/>
      <c r="E258" s="1"/>
      <c r="F258" s="1"/>
    </row>
    <row r="259" ht="15.75" customHeight="1">
      <c r="A259" s="36"/>
      <c r="B259" s="37"/>
      <c r="C259" s="37"/>
      <c r="D259" s="1"/>
      <c r="E259" s="1"/>
      <c r="F259" s="1"/>
    </row>
    <row r="260" ht="15.75" customHeight="1">
      <c r="A260" s="36"/>
      <c r="B260" s="37"/>
      <c r="C260" s="37"/>
      <c r="D260" s="1"/>
      <c r="E260" s="1"/>
      <c r="F260" s="1"/>
    </row>
    <row r="261" ht="15.75" customHeight="1">
      <c r="A261" s="36"/>
      <c r="B261" s="37"/>
      <c r="C261" s="37"/>
      <c r="D261" s="1"/>
      <c r="E261" s="1"/>
      <c r="F261" s="1"/>
    </row>
    <row r="262" ht="15.75" customHeight="1">
      <c r="A262" s="36"/>
      <c r="B262" s="37"/>
      <c r="C262" s="37"/>
      <c r="D262" s="1"/>
      <c r="E262" s="1"/>
      <c r="F262" s="1"/>
    </row>
    <row r="263" ht="15.75" customHeight="1">
      <c r="A263" s="36"/>
      <c r="B263" s="37"/>
      <c r="C263" s="37"/>
      <c r="D263" s="1"/>
      <c r="E263" s="1"/>
      <c r="F263" s="1"/>
    </row>
    <row r="264" ht="15.75" customHeight="1">
      <c r="A264" s="36"/>
      <c r="B264" s="37"/>
      <c r="C264" s="37"/>
      <c r="D264" s="1"/>
      <c r="E264" s="1"/>
      <c r="F264" s="1"/>
    </row>
    <row r="265" ht="15.75" customHeight="1">
      <c r="A265" s="36"/>
      <c r="B265" s="37"/>
      <c r="C265" s="37"/>
      <c r="D265" s="1"/>
      <c r="E265" s="1"/>
      <c r="F265" s="1"/>
    </row>
    <row r="266" ht="15.75" customHeight="1">
      <c r="A266" s="36"/>
      <c r="B266" s="37"/>
      <c r="C266" s="37"/>
      <c r="D266" s="1"/>
      <c r="E266" s="1"/>
      <c r="F266" s="1"/>
    </row>
    <row r="267" ht="15.75" customHeight="1">
      <c r="A267" s="36"/>
      <c r="B267" s="37"/>
      <c r="C267" s="37"/>
      <c r="D267" s="1"/>
      <c r="E267" s="1"/>
      <c r="F267" s="1"/>
    </row>
    <row r="268" ht="15.75" customHeight="1">
      <c r="A268" s="36"/>
      <c r="B268" s="37"/>
      <c r="C268" s="37"/>
      <c r="D268" s="1"/>
      <c r="E268" s="1"/>
      <c r="F268" s="1"/>
    </row>
    <row r="269" ht="15.75" customHeight="1">
      <c r="A269" s="36"/>
      <c r="B269" s="37"/>
      <c r="C269" s="37"/>
      <c r="D269" s="1"/>
      <c r="E269" s="1"/>
      <c r="F269" s="1"/>
    </row>
    <row r="270" ht="15.75" customHeight="1">
      <c r="A270" s="36"/>
      <c r="B270" s="37"/>
      <c r="C270" s="37"/>
      <c r="D270" s="1"/>
      <c r="E270" s="1"/>
      <c r="F270" s="1"/>
    </row>
    <row r="271" ht="15.75" customHeight="1">
      <c r="A271" s="36"/>
      <c r="B271" s="37"/>
      <c r="C271" s="37"/>
      <c r="D271" s="1"/>
      <c r="E271" s="1"/>
      <c r="F271" s="1"/>
    </row>
    <row r="272" ht="15.75" customHeight="1">
      <c r="A272" s="36"/>
      <c r="B272" s="37"/>
      <c r="C272" s="37"/>
      <c r="D272" s="1"/>
      <c r="E272" s="1"/>
      <c r="F272" s="1"/>
    </row>
    <row r="273" ht="15.75" customHeight="1">
      <c r="A273" s="36"/>
      <c r="B273" s="37"/>
      <c r="C273" s="37"/>
      <c r="D273" s="1"/>
      <c r="E273" s="1"/>
      <c r="F273" s="1"/>
    </row>
    <row r="274" ht="15.75" customHeight="1">
      <c r="A274" s="36"/>
      <c r="B274" s="37"/>
      <c r="C274" s="37"/>
      <c r="D274" s="1"/>
      <c r="E274" s="1"/>
      <c r="F274" s="1"/>
    </row>
    <row r="275" ht="15.75" customHeight="1">
      <c r="A275" s="36"/>
      <c r="B275" s="37"/>
      <c r="C275" s="37"/>
      <c r="D275" s="1"/>
      <c r="E275" s="1"/>
      <c r="F275" s="1"/>
    </row>
    <row r="276" ht="15.75" customHeight="1">
      <c r="A276" s="36"/>
      <c r="B276" s="37"/>
      <c r="C276" s="37"/>
      <c r="D276" s="1"/>
      <c r="E276" s="1"/>
      <c r="F276" s="1"/>
    </row>
    <row r="277" ht="15.75" customHeight="1">
      <c r="A277" s="36"/>
      <c r="B277" s="37"/>
      <c r="C277" s="37"/>
      <c r="D277" s="1"/>
      <c r="E277" s="1"/>
      <c r="F277" s="1"/>
    </row>
    <row r="278" ht="15.75" customHeight="1">
      <c r="A278" s="36"/>
      <c r="B278" s="37"/>
      <c r="C278" s="37"/>
      <c r="D278" s="1"/>
      <c r="E278" s="1"/>
      <c r="F278" s="1"/>
    </row>
    <row r="279" ht="15.75" customHeight="1">
      <c r="A279" s="36"/>
      <c r="B279" s="37"/>
      <c r="C279" s="37"/>
      <c r="D279" s="1"/>
      <c r="E279" s="1"/>
      <c r="F279" s="1"/>
    </row>
    <row r="280" ht="15.75" customHeight="1">
      <c r="A280" s="36"/>
      <c r="B280" s="37"/>
      <c r="C280" s="37"/>
      <c r="D280" s="1"/>
      <c r="E280" s="1"/>
      <c r="F280" s="1"/>
    </row>
    <row r="281" ht="15.75" customHeight="1">
      <c r="A281" s="36"/>
      <c r="B281" s="37"/>
      <c r="C281" s="37"/>
      <c r="D281" s="1"/>
      <c r="E281" s="1"/>
      <c r="F281" s="1"/>
    </row>
    <row r="282" ht="15.75" customHeight="1">
      <c r="A282" s="36"/>
      <c r="B282" s="37"/>
      <c r="C282" s="37"/>
      <c r="D282" s="1"/>
      <c r="E282" s="1"/>
      <c r="F282" s="1"/>
    </row>
    <row r="283" ht="15.75" customHeight="1">
      <c r="A283" s="36"/>
      <c r="B283" s="37"/>
      <c r="C283" s="37"/>
      <c r="D283" s="1"/>
      <c r="E283" s="1"/>
      <c r="F283" s="1"/>
    </row>
    <row r="284" ht="15.75" customHeight="1">
      <c r="A284" s="36"/>
      <c r="B284" s="37"/>
      <c r="C284" s="37"/>
      <c r="D284" s="1"/>
      <c r="E284" s="1"/>
      <c r="F284" s="1"/>
    </row>
    <row r="285" ht="15.75" customHeight="1">
      <c r="A285" s="36"/>
      <c r="B285" s="37"/>
      <c r="C285" s="37"/>
      <c r="D285" s="1"/>
      <c r="E285" s="1"/>
      <c r="F285" s="1"/>
    </row>
    <row r="286" ht="15.75" customHeight="1">
      <c r="A286" s="36"/>
      <c r="B286" s="37"/>
      <c r="C286" s="37"/>
      <c r="D286" s="1"/>
      <c r="E286" s="1"/>
      <c r="F286" s="1"/>
    </row>
    <row r="287" ht="15.75" customHeight="1">
      <c r="A287" s="36"/>
      <c r="B287" s="37"/>
      <c r="C287" s="37"/>
      <c r="D287" s="1"/>
      <c r="E287" s="1"/>
      <c r="F287" s="1"/>
    </row>
    <row r="288" ht="15.75" customHeight="1">
      <c r="A288" s="36"/>
      <c r="B288" s="37"/>
      <c r="C288" s="37"/>
      <c r="D288" s="1"/>
      <c r="E288" s="1"/>
      <c r="F288" s="1"/>
    </row>
    <row r="289" ht="15.75" customHeight="1">
      <c r="A289" s="36"/>
      <c r="B289" s="37"/>
      <c r="C289" s="37"/>
      <c r="D289" s="1"/>
      <c r="E289" s="1"/>
      <c r="F289" s="1"/>
    </row>
    <row r="290" ht="15.75" customHeight="1">
      <c r="A290" s="36"/>
      <c r="B290" s="37"/>
      <c r="C290" s="37"/>
      <c r="D290" s="1"/>
      <c r="E290" s="1"/>
      <c r="F290" s="1"/>
    </row>
    <row r="291" ht="15.75" customHeight="1">
      <c r="A291" s="36"/>
      <c r="B291" s="37"/>
      <c r="C291" s="37"/>
      <c r="D291" s="1"/>
      <c r="E291" s="1"/>
      <c r="F291" s="1"/>
    </row>
    <row r="292" ht="15.75" customHeight="1">
      <c r="A292" s="36"/>
      <c r="B292" s="37"/>
      <c r="C292" s="37"/>
      <c r="D292" s="1"/>
      <c r="E292" s="1"/>
      <c r="F292" s="1"/>
    </row>
    <row r="293" ht="15.75" customHeight="1">
      <c r="A293" s="36"/>
      <c r="B293" s="37"/>
      <c r="C293" s="37"/>
      <c r="D293" s="1"/>
      <c r="E293" s="1"/>
      <c r="F293" s="1"/>
    </row>
    <row r="294" ht="15.75" customHeight="1">
      <c r="A294" s="36"/>
      <c r="B294" s="37"/>
      <c r="C294" s="37"/>
      <c r="D294" s="1"/>
      <c r="E294" s="1"/>
      <c r="F294" s="1"/>
    </row>
    <row r="295" ht="15.75" customHeight="1">
      <c r="A295" s="36"/>
      <c r="B295" s="37"/>
      <c r="C295" s="37"/>
      <c r="D295" s="1"/>
      <c r="E295" s="1"/>
      <c r="F295" s="1"/>
    </row>
    <row r="296" ht="15.75" customHeight="1">
      <c r="A296" s="36"/>
      <c r="B296" s="37"/>
      <c r="C296" s="37"/>
      <c r="D296" s="1"/>
      <c r="E296" s="1"/>
      <c r="F296" s="1"/>
    </row>
    <row r="297" ht="15.75" customHeight="1">
      <c r="A297" s="36"/>
      <c r="B297" s="37"/>
      <c r="C297" s="37"/>
      <c r="D297" s="1"/>
      <c r="E297" s="1"/>
      <c r="F297" s="1"/>
    </row>
    <row r="298" ht="15.75" customHeight="1">
      <c r="A298" s="36"/>
      <c r="B298" s="37"/>
      <c r="C298" s="37"/>
      <c r="D298" s="1"/>
      <c r="E298" s="1"/>
      <c r="F298" s="1"/>
    </row>
    <row r="299" ht="15.75" customHeight="1">
      <c r="A299" s="36"/>
      <c r="B299" s="37"/>
      <c r="C299" s="37"/>
      <c r="D299" s="1"/>
      <c r="E299" s="1"/>
      <c r="F299" s="1"/>
    </row>
    <row r="300" ht="15.75" customHeight="1">
      <c r="A300" s="36"/>
      <c r="B300" s="37"/>
      <c r="C300" s="37"/>
      <c r="D300" s="1"/>
      <c r="E300" s="1"/>
      <c r="F300" s="1"/>
    </row>
    <row r="301" ht="15.75" customHeight="1">
      <c r="A301" s="36"/>
      <c r="B301" s="37"/>
      <c r="C301" s="37"/>
      <c r="D301" s="1"/>
      <c r="E301" s="1"/>
      <c r="F301" s="1"/>
    </row>
    <row r="302" ht="15.75" customHeight="1">
      <c r="A302" s="36"/>
      <c r="B302" s="37"/>
      <c r="C302" s="37"/>
      <c r="D302" s="1"/>
      <c r="E302" s="1"/>
      <c r="F302" s="1"/>
    </row>
    <row r="303" ht="15.75" customHeight="1">
      <c r="A303" s="36"/>
      <c r="B303" s="37"/>
      <c r="C303" s="37"/>
      <c r="D303" s="1"/>
      <c r="E303" s="1"/>
      <c r="F303" s="1"/>
    </row>
    <row r="304" ht="15.75" customHeight="1">
      <c r="A304" s="36"/>
      <c r="B304" s="37"/>
      <c r="C304" s="37"/>
      <c r="D304" s="1"/>
      <c r="E304" s="1"/>
      <c r="F304" s="1"/>
    </row>
    <row r="305" ht="15.75" customHeight="1">
      <c r="A305" s="36"/>
      <c r="B305" s="37"/>
      <c r="C305" s="37"/>
      <c r="D305" s="1"/>
      <c r="E305" s="1"/>
      <c r="F305" s="1"/>
    </row>
    <row r="306" ht="15.75" customHeight="1">
      <c r="A306" s="36"/>
      <c r="B306" s="37"/>
      <c r="C306" s="37"/>
      <c r="D306" s="1"/>
      <c r="E306" s="1"/>
      <c r="F306" s="1"/>
    </row>
    <row r="307" ht="15.75" customHeight="1">
      <c r="A307" s="36"/>
      <c r="B307" s="37"/>
      <c r="C307" s="37"/>
      <c r="D307" s="1"/>
      <c r="E307" s="1"/>
      <c r="F307" s="1"/>
    </row>
    <row r="308" ht="15.75" customHeight="1">
      <c r="A308" s="36"/>
      <c r="B308" s="37"/>
      <c r="C308" s="37"/>
      <c r="D308" s="1"/>
      <c r="E308" s="1"/>
      <c r="F308" s="1"/>
    </row>
    <row r="309" ht="15.75" customHeight="1">
      <c r="A309" s="36"/>
      <c r="B309" s="37"/>
      <c r="C309" s="37"/>
      <c r="D309" s="1"/>
      <c r="E309" s="1"/>
      <c r="F309" s="1"/>
    </row>
    <row r="310" ht="15.75" customHeight="1">
      <c r="A310" s="36"/>
      <c r="B310" s="37"/>
      <c r="C310" s="37"/>
      <c r="D310" s="1"/>
      <c r="E310" s="1"/>
      <c r="F310" s="1"/>
    </row>
    <row r="311" ht="15.75" customHeight="1">
      <c r="A311" s="36"/>
      <c r="B311" s="37"/>
      <c r="C311" s="37"/>
      <c r="D311" s="1"/>
      <c r="E311" s="1"/>
      <c r="F311" s="1"/>
    </row>
    <row r="312" ht="15.75" customHeight="1">
      <c r="A312" s="36"/>
      <c r="B312" s="37"/>
      <c r="C312" s="37"/>
      <c r="D312" s="1"/>
      <c r="E312" s="1"/>
      <c r="F312" s="1"/>
    </row>
    <row r="313" ht="15.75" customHeight="1">
      <c r="A313" s="36"/>
      <c r="B313" s="37"/>
      <c r="C313" s="37"/>
      <c r="D313" s="1"/>
      <c r="E313" s="1"/>
      <c r="F313" s="1"/>
    </row>
    <row r="314" ht="15.75" customHeight="1">
      <c r="A314" s="36"/>
      <c r="B314" s="37"/>
      <c r="C314" s="37"/>
      <c r="D314" s="1"/>
      <c r="E314" s="1"/>
      <c r="F314" s="1"/>
    </row>
    <row r="315" ht="15.75" customHeight="1">
      <c r="A315" s="36"/>
      <c r="B315" s="37"/>
      <c r="C315" s="37"/>
      <c r="D315" s="1"/>
      <c r="E315" s="1"/>
      <c r="F315" s="1"/>
    </row>
    <row r="316" ht="15.75" customHeight="1">
      <c r="A316" s="36"/>
      <c r="B316" s="37"/>
      <c r="C316" s="37"/>
      <c r="D316" s="1"/>
      <c r="E316" s="1"/>
      <c r="F316" s="1"/>
    </row>
    <row r="317" ht="15.75" customHeight="1">
      <c r="A317" s="36"/>
      <c r="B317" s="37"/>
      <c r="C317" s="37"/>
      <c r="D317" s="1"/>
      <c r="E317" s="1"/>
      <c r="F317" s="1"/>
    </row>
    <row r="318" ht="15.75" customHeight="1">
      <c r="A318" s="36"/>
      <c r="B318" s="37"/>
      <c r="C318" s="37"/>
      <c r="D318" s="1"/>
      <c r="E318" s="1"/>
      <c r="F318" s="1"/>
    </row>
    <row r="319" ht="15.75" customHeight="1">
      <c r="A319" s="36"/>
      <c r="B319" s="37"/>
      <c r="C319" s="37"/>
      <c r="D319" s="1"/>
      <c r="E319" s="1"/>
      <c r="F319" s="1"/>
    </row>
    <row r="320" ht="15.75" customHeight="1">
      <c r="A320" s="36"/>
      <c r="B320" s="37"/>
      <c r="C320" s="37"/>
      <c r="D320" s="1"/>
      <c r="E320" s="1"/>
      <c r="F320" s="1"/>
    </row>
    <row r="321" ht="15.75" customHeight="1">
      <c r="A321" s="36"/>
      <c r="B321" s="37"/>
      <c r="C321" s="37"/>
      <c r="D321" s="1"/>
      <c r="E321" s="1"/>
      <c r="F321" s="1"/>
    </row>
    <row r="322" ht="15.75" customHeight="1">
      <c r="A322" s="36"/>
      <c r="B322" s="37"/>
      <c r="C322" s="37"/>
      <c r="D322" s="1"/>
      <c r="E322" s="1"/>
      <c r="F322" s="1"/>
    </row>
    <row r="323" ht="15.75" customHeight="1">
      <c r="A323" s="36"/>
      <c r="B323" s="37"/>
      <c r="C323" s="37"/>
      <c r="D323" s="1"/>
      <c r="E323" s="1"/>
      <c r="F323" s="1"/>
    </row>
    <row r="324" ht="15.75" customHeight="1">
      <c r="A324" s="36"/>
      <c r="B324" s="37"/>
      <c r="C324" s="37"/>
      <c r="D324" s="1"/>
      <c r="E324" s="1"/>
      <c r="F324" s="1"/>
    </row>
    <row r="325" ht="15.75" customHeight="1">
      <c r="A325" s="36"/>
      <c r="B325" s="37"/>
      <c r="C325" s="37"/>
      <c r="D325" s="1"/>
      <c r="E325" s="1"/>
      <c r="F325" s="1"/>
    </row>
    <row r="326" ht="15.75" customHeight="1">
      <c r="A326" s="36"/>
      <c r="B326" s="37"/>
      <c r="C326" s="37"/>
      <c r="D326" s="1"/>
      <c r="E326" s="1"/>
      <c r="F326" s="1"/>
    </row>
    <row r="327" ht="15.75" customHeight="1">
      <c r="A327" s="36"/>
      <c r="B327" s="37"/>
      <c r="C327" s="37"/>
      <c r="D327" s="1"/>
      <c r="E327" s="1"/>
      <c r="F327" s="1"/>
    </row>
    <row r="328" ht="15.75" customHeight="1">
      <c r="A328" s="36"/>
      <c r="B328" s="37"/>
      <c r="C328" s="37"/>
      <c r="D328" s="1"/>
      <c r="E328" s="1"/>
      <c r="F328" s="1"/>
    </row>
    <row r="329" ht="15.75" customHeight="1">
      <c r="A329" s="36"/>
      <c r="B329" s="37"/>
      <c r="C329" s="37"/>
      <c r="D329" s="1"/>
      <c r="E329" s="1"/>
      <c r="F329" s="1"/>
    </row>
    <row r="330" ht="15.75" customHeight="1">
      <c r="A330" s="36"/>
      <c r="B330" s="37"/>
      <c r="C330" s="37"/>
      <c r="D330" s="1"/>
      <c r="E330" s="1"/>
      <c r="F330" s="1"/>
    </row>
    <row r="331" ht="15.75" customHeight="1">
      <c r="A331" s="36"/>
      <c r="B331" s="37"/>
      <c r="C331" s="37"/>
      <c r="D331" s="1"/>
      <c r="E331" s="1"/>
      <c r="F331" s="1"/>
    </row>
    <row r="332" ht="15.75" customHeight="1">
      <c r="A332" s="36"/>
      <c r="B332" s="37"/>
      <c r="C332" s="37"/>
      <c r="D332" s="1"/>
      <c r="E332" s="1"/>
      <c r="F332" s="1"/>
    </row>
    <row r="333" ht="15.75" customHeight="1">
      <c r="A333" s="36"/>
      <c r="B333" s="37"/>
      <c r="C333" s="37"/>
      <c r="D333" s="1"/>
      <c r="E333" s="1"/>
      <c r="F333" s="1"/>
    </row>
    <row r="334" ht="15.75" customHeight="1">
      <c r="A334" s="36"/>
      <c r="B334" s="37"/>
      <c r="C334" s="37"/>
      <c r="D334" s="1"/>
      <c r="E334" s="1"/>
      <c r="F334" s="1"/>
    </row>
    <row r="335" ht="15.75" customHeight="1">
      <c r="A335" s="36"/>
      <c r="B335" s="37"/>
      <c r="C335" s="37"/>
      <c r="D335" s="1"/>
      <c r="E335" s="1"/>
      <c r="F335" s="1"/>
    </row>
    <row r="336" ht="15.75" customHeight="1">
      <c r="A336" s="36"/>
      <c r="B336" s="37"/>
      <c r="C336" s="37"/>
      <c r="D336" s="1"/>
      <c r="E336" s="1"/>
      <c r="F336" s="1"/>
    </row>
    <row r="337" ht="15.75" customHeight="1">
      <c r="A337" s="36"/>
      <c r="B337" s="37"/>
      <c r="C337" s="37"/>
      <c r="D337" s="1"/>
      <c r="E337" s="1"/>
      <c r="F337" s="1"/>
    </row>
    <row r="338" ht="15.75" customHeight="1">
      <c r="A338" s="36"/>
      <c r="B338" s="37"/>
      <c r="C338" s="37"/>
      <c r="D338" s="1"/>
      <c r="E338" s="1"/>
      <c r="F338" s="1"/>
    </row>
    <row r="339" ht="15.75" customHeight="1">
      <c r="A339" s="36"/>
      <c r="B339" s="37"/>
      <c r="C339" s="37"/>
      <c r="D339" s="1"/>
      <c r="E339" s="1"/>
      <c r="F339" s="1"/>
    </row>
    <row r="340" ht="15.75" customHeight="1">
      <c r="A340" s="36"/>
      <c r="B340" s="37"/>
      <c r="C340" s="37"/>
      <c r="D340" s="1"/>
      <c r="E340" s="1"/>
      <c r="F340" s="1"/>
    </row>
    <row r="341" ht="15.75" customHeight="1">
      <c r="A341" s="36"/>
      <c r="B341" s="37"/>
      <c r="C341" s="37"/>
      <c r="D341" s="1"/>
      <c r="E341" s="1"/>
      <c r="F341" s="1"/>
    </row>
    <row r="342" ht="15.75" customHeight="1">
      <c r="A342" s="36"/>
      <c r="B342" s="37"/>
      <c r="C342" s="37"/>
      <c r="D342" s="1"/>
      <c r="E342" s="1"/>
      <c r="F342" s="1"/>
    </row>
    <row r="343" ht="15.75" customHeight="1">
      <c r="A343" s="36"/>
      <c r="B343" s="37"/>
      <c r="C343" s="37"/>
      <c r="D343" s="1"/>
      <c r="E343" s="1"/>
      <c r="F343" s="1"/>
    </row>
    <row r="344" ht="15.75" customHeight="1">
      <c r="A344" s="36"/>
      <c r="B344" s="37"/>
      <c r="C344" s="37"/>
      <c r="D344" s="1"/>
      <c r="E344" s="1"/>
      <c r="F344" s="1"/>
    </row>
    <row r="345" ht="15.75" customHeight="1">
      <c r="A345" s="36"/>
      <c r="B345" s="37"/>
      <c r="C345" s="37"/>
      <c r="D345" s="1"/>
      <c r="E345" s="1"/>
      <c r="F345" s="1"/>
    </row>
    <row r="346" ht="15.75" customHeight="1">
      <c r="A346" s="36"/>
      <c r="B346" s="37"/>
      <c r="C346" s="37"/>
      <c r="D346" s="1"/>
      <c r="E346" s="1"/>
      <c r="F346" s="1"/>
    </row>
    <row r="347" ht="15.75" customHeight="1">
      <c r="A347" s="36"/>
      <c r="B347" s="37"/>
      <c r="C347" s="37"/>
      <c r="D347" s="1"/>
      <c r="E347" s="1"/>
      <c r="F347" s="1"/>
    </row>
    <row r="348" ht="15.75" customHeight="1">
      <c r="A348" s="36"/>
      <c r="B348" s="37"/>
      <c r="C348" s="37"/>
      <c r="D348" s="1"/>
      <c r="E348" s="1"/>
      <c r="F348" s="1"/>
    </row>
    <row r="349" ht="15.75" customHeight="1">
      <c r="A349" s="36"/>
      <c r="B349" s="37"/>
      <c r="C349" s="37"/>
      <c r="D349" s="1"/>
      <c r="E349" s="1"/>
      <c r="F349" s="1"/>
    </row>
    <row r="350" ht="15.75" customHeight="1">
      <c r="A350" s="36"/>
      <c r="B350" s="37"/>
      <c r="C350" s="37"/>
      <c r="D350" s="1"/>
      <c r="E350" s="1"/>
      <c r="F350" s="1"/>
    </row>
    <row r="351" ht="15.75" customHeight="1">
      <c r="A351" s="36"/>
      <c r="B351" s="37"/>
      <c r="C351" s="37"/>
      <c r="D351" s="1"/>
      <c r="E351" s="1"/>
      <c r="F351" s="1"/>
    </row>
    <row r="352" ht="15.75" customHeight="1">
      <c r="A352" s="36"/>
      <c r="B352" s="37"/>
      <c r="C352" s="37"/>
      <c r="D352" s="1"/>
      <c r="E352" s="1"/>
      <c r="F352" s="1"/>
    </row>
    <row r="353" ht="15.75" customHeight="1">
      <c r="A353" s="36"/>
      <c r="B353" s="37"/>
      <c r="C353" s="37"/>
      <c r="D353" s="1"/>
      <c r="E353" s="1"/>
      <c r="F353" s="1"/>
    </row>
    <row r="354" ht="15.75" customHeight="1">
      <c r="A354" s="36"/>
      <c r="B354" s="37"/>
      <c r="C354" s="37"/>
      <c r="D354" s="1"/>
      <c r="E354" s="1"/>
      <c r="F354" s="1"/>
    </row>
    <row r="355" ht="15.75" customHeight="1">
      <c r="A355" s="36"/>
      <c r="B355" s="37"/>
      <c r="C355" s="37"/>
      <c r="D355" s="1"/>
      <c r="E355" s="1"/>
      <c r="F355" s="1"/>
    </row>
    <row r="356" ht="15.75" customHeight="1">
      <c r="A356" s="36"/>
      <c r="B356" s="37"/>
      <c r="C356" s="37"/>
      <c r="D356" s="1"/>
      <c r="E356" s="1"/>
      <c r="F356" s="1"/>
    </row>
    <row r="357" ht="15.75" customHeight="1">
      <c r="A357" s="36"/>
      <c r="B357" s="37"/>
      <c r="C357" s="37"/>
      <c r="D357" s="1"/>
      <c r="E357" s="1"/>
      <c r="F357" s="1"/>
    </row>
    <row r="358" ht="15.75" customHeight="1">
      <c r="A358" s="36"/>
      <c r="B358" s="37"/>
      <c r="C358" s="37"/>
      <c r="D358" s="1"/>
      <c r="E358" s="1"/>
      <c r="F358" s="1"/>
    </row>
    <row r="359" ht="15.75" customHeight="1">
      <c r="A359" s="36"/>
      <c r="B359" s="37"/>
      <c r="C359" s="37"/>
      <c r="D359" s="1"/>
      <c r="E359" s="1"/>
      <c r="F359" s="1"/>
    </row>
    <row r="360" ht="15.75" customHeight="1">
      <c r="A360" s="36"/>
      <c r="B360" s="37"/>
      <c r="C360" s="37"/>
      <c r="D360" s="1"/>
      <c r="E360" s="1"/>
      <c r="F360" s="1"/>
    </row>
    <row r="361" ht="15.75" customHeight="1">
      <c r="A361" s="36"/>
      <c r="B361" s="37"/>
      <c r="C361" s="37"/>
      <c r="D361" s="1"/>
      <c r="E361" s="1"/>
      <c r="F361" s="1"/>
    </row>
    <row r="362" ht="15.75" customHeight="1">
      <c r="A362" s="36"/>
      <c r="B362" s="37"/>
      <c r="C362" s="37"/>
      <c r="D362" s="1"/>
      <c r="E362" s="1"/>
      <c r="F362" s="1"/>
    </row>
    <row r="363" ht="15.75" customHeight="1">
      <c r="A363" s="36"/>
      <c r="B363" s="37"/>
      <c r="C363" s="37"/>
      <c r="D363" s="1"/>
      <c r="E363" s="1"/>
      <c r="F363" s="1"/>
    </row>
    <row r="364" ht="15.75" customHeight="1">
      <c r="A364" s="36"/>
      <c r="B364" s="37"/>
      <c r="C364" s="37"/>
      <c r="D364" s="1"/>
      <c r="E364" s="1"/>
      <c r="F364" s="1"/>
    </row>
    <row r="365" ht="15.75" customHeight="1">
      <c r="A365" s="36"/>
      <c r="B365" s="37"/>
      <c r="C365" s="37"/>
      <c r="D365" s="1"/>
      <c r="E365" s="1"/>
      <c r="F365" s="1"/>
    </row>
    <row r="366" ht="15.75" customHeight="1">
      <c r="A366" s="36"/>
      <c r="B366" s="37"/>
      <c r="C366" s="37"/>
      <c r="D366" s="1"/>
      <c r="E366" s="1"/>
      <c r="F366" s="1"/>
    </row>
    <row r="367" ht="15.75" customHeight="1">
      <c r="A367" s="36"/>
      <c r="B367" s="37"/>
      <c r="C367" s="37"/>
      <c r="D367" s="1"/>
      <c r="E367" s="1"/>
      <c r="F367" s="1"/>
    </row>
    <row r="368" ht="15.75" customHeight="1">
      <c r="A368" s="36"/>
      <c r="B368" s="37"/>
      <c r="C368" s="37"/>
      <c r="D368" s="1"/>
      <c r="E368" s="1"/>
      <c r="F368" s="1"/>
    </row>
    <row r="369" ht="15.75" customHeight="1">
      <c r="A369" s="36"/>
      <c r="B369" s="37"/>
      <c r="C369" s="37"/>
      <c r="D369" s="1"/>
      <c r="E369" s="1"/>
      <c r="F369" s="1"/>
    </row>
    <row r="370" ht="15.75" customHeight="1">
      <c r="A370" s="36"/>
      <c r="B370" s="37"/>
      <c r="C370" s="37"/>
      <c r="D370" s="1"/>
      <c r="E370" s="1"/>
      <c r="F370" s="1"/>
    </row>
    <row r="371" ht="15.75" customHeight="1">
      <c r="A371" s="36"/>
      <c r="B371" s="37"/>
      <c r="C371" s="37"/>
      <c r="D371" s="1"/>
      <c r="E371" s="1"/>
      <c r="F371" s="1"/>
    </row>
    <row r="372" ht="15.75" customHeight="1">
      <c r="A372" s="36"/>
      <c r="B372" s="37"/>
      <c r="C372" s="37"/>
      <c r="D372" s="1"/>
      <c r="E372" s="1"/>
      <c r="F372" s="1"/>
    </row>
    <row r="373" ht="15.75" customHeight="1">
      <c r="A373" s="36"/>
      <c r="B373" s="37"/>
      <c r="C373" s="37"/>
      <c r="D373" s="1"/>
      <c r="E373" s="1"/>
      <c r="F373" s="1"/>
    </row>
    <row r="374" ht="15.75" customHeight="1">
      <c r="A374" s="36"/>
      <c r="B374" s="37"/>
      <c r="C374" s="37"/>
      <c r="D374" s="1"/>
      <c r="E374" s="1"/>
      <c r="F374" s="1"/>
    </row>
    <row r="375" ht="15.75" customHeight="1">
      <c r="A375" s="36"/>
      <c r="B375" s="37"/>
      <c r="C375" s="37"/>
      <c r="D375" s="1"/>
      <c r="E375" s="1"/>
      <c r="F375" s="1"/>
    </row>
    <row r="376" ht="15.75" customHeight="1">
      <c r="A376" s="36"/>
      <c r="B376" s="37"/>
      <c r="C376" s="37"/>
      <c r="D376" s="1"/>
      <c r="E376" s="1"/>
      <c r="F376" s="1"/>
    </row>
    <row r="377" ht="15.75" customHeight="1">
      <c r="A377" s="36"/>
      <c r="B377" s="37"/>
      <c r="C377" s="37"/>
      <c r="D377" s="1"/>
      <c r="E377" s="1"/>
      <c r="F377" s="1"/>
    </row>
    <row r="378" ht="15.75" customHeight="1">
      <c r="A378" s="36"/>
      <c r="B378" s="37"/>
      <c r="C378" s="37"/>
      <c r="D378" s="1"/>
      <c r="E378" s="1"/>
      <c r="F378" s="1"/>
    </row>
    <row r="379" ht="15.75" customHeight="1">
      <c r="A379" s="36"/>
      <c r="B379" s="37"/>
      <c r="C379" s="37"/>
      <c r="D379" s="1"/>
      <c r="E379" s="1"/>
      <c r="F379" s="1"/>
    </row>
    <row r="380" ht="15.75" customHeight="1">
      <c r="A380" s="36"/>
      <c r="B380" s="37"/>
      <c r="C380" s="37"/>
      <c r="D380" s="1"/>
      <c r="E380" s="1"/>
      <c r="F380" s="1"/>
    </row>
    <row r="381" ht="15.75" customHeight="1">
      <c r="A381" s="36"/>
      <c r="B381" s="37"/>
      <c r="C381" s="37"/>
      <c r="D381" s="1"/>
      <c r="E381" s="1"/>
      <c r="F381" s="1"/>
    </row>
    <row r="382" ht="15.75" customHeight="1">
      <c r="A382" s="36"/>
      <c r="B382" s="37"/>
      <c r="C382" s="37"/>
      <c r="D382" s="1"/>
      <c r="E382" s="1"/>
      <c r="F382" s="1"/>
    </row>
    <row r="383" ht="15.75" customHeight="1">
      <c r="A383" s="36"/>
      <c r="B383" s="37"/>
      <c r="C383" s="37"/>
      <c r="D383" s="1"/>
      <c r="E383" s="1"/>
      <c r="F383" s="1"/>
    </row>
    <row r="384" ht="15.75" customHeight="1">
      <c r="A384" s="36"/>
      <c r="B384" s="37"/>
      <c r="C384" s="37"/>
      <c r="D384" s="1"/>
      <c r="E384" s="1"/>
      <c r="F384" s="1"/>
    </row>
    <row r="385" ht="15.75" customHeight="1">
      <c r="A385" s="36"/>
      <c r="B385" s="37"/>
      <c r="C385" s="37"/>
      <c r="D385" s="1"/>
      <c r="E385" s="1"/>
      <c r="F385" s="1"/>
    </row>
    <row r="386" ht="15.75" customHeight="1">
      <c r="A386" s="36"/>
      <c r="B386" s="37"/>
      <c r="C386" s="37"/>
      <c r="D386" s="1"/>
      <c r="E386" s="1"/>
      <c r="F386" s="1"/>
    </row>
    <row r="387" ht="15.75" customHeight="1">
      <c r="A387" s="36"/>
      <c r="B387" s="37"/>
      <c r="C387" s="37"/>
      <c r="D387" s="1"/>
      <c r="E387" s="1"/>
      <c r="F387" s="1"/>
    </row>
    <row r="388" ht="15.75" customHeight="1">
      <c r="A388" s="36"/>
      <c r="B388" s="37"/>
      <c r="C388" s="37"/>
      <c r="D388" s="1"/>
      <c r="E388" s="1"/>
      <c r="F388" s="1"/>
    </row>
    <row r="389" ht="15.75" customHeight="1">
      <c r="A389" s="36"/>
      <c r="B389" s="37"/>
      <c r="C389" s="37"/>
      <c r="D389" s="1"/>
      <c r="E389" s="1"/>
      <c r="F389" s="1"/>
    </row>
    <row r="390" ht="15.75" customHeight="1">
      <c r="A390" s="36"/>
      <c r="B390" s="37"/>
      <c r="C390" s="37"/>
      <c r="D390" s="1"/>
      <c r="E390" s="1"/>
      <c r="F390" s="1"/>
    </row>
    <row r="391" ht="15.75" customHeight="1">
      <c r="A391" s="36"/>
      <c r="B391" s="37"/>
      <c r="C391" s="37"/>
      <c r="D391" s="1"/>
      <c r="E391" s="1"/>
      <c r="F391" s="1"/>
    </row>
    <row r="392" ht="15.75" customHeight="1">
      <c r="A392" s="36"/>
      <c r="B392" s="37"/>
      <c r="C392" s="37"/>
      <c r="D392" s="1"/>
      <c r="E392" s="1"/>
      <c r="F392" s="1"/>
    </row>
    <row r="393" ht="15.75" customHeight="1">
      <c r="A393" s="36"/>
      <c r="B393" s="37"/>
      <c r="C393" s="37"/>
      <c r="D393" s="1"/>
      <c r="E393" s="1"/>
      <c r="F393" s="1"/>
    </row>
    <row r="394" ht="15.75" customHeight="1">
      <c r="A394" s="36"/>
      <c r="B394" s="37"/>
      <c r="C394" s="37"/>
      <c r="D394" s="1"/>
      <c r="E394" s="1"/>
      <c r="F394" s="1"/>
    </row>
    <row r="395" ht="15.75" customHeight="1">
      <c r="A395" s="36"/>
      <c r="B395" s="37"/>
      <c r="C395" s="37"/>
      <c r="D395" s="1"/>
      <c r="E395" s="1"/>
      <c r="F395" s="1"/>
    </row>
    <row r="396" ht="15.75" customHeight="1">
      <c r="A396" s="36"/>
      <c r="B396" s="37"/>
      <c r="C396" s="37"/>
      <c r="D396" s="1"/>
      <c r="E396" s="1"/>
      <c r="F396" s="1"/>
    </row>
    <row r="397" ht="15.75" customHeight="1">
      <c r="A397" s="36"/>
      <c r="B397" s="37"/>
      <c r="C397" s="37"/>
      <c r="D397" s="1"/>
      <c r="E397" s="1"/>
      <c r="F397" s="1"/>
    </row>
    <row r="398" ht="15.75" customHeight="1">
      <c r="A398" s="36"/>
      <c r="B398" s="37"/>
      <c r="C398" s="37"/>
      <c r="D398" s="1"/>
      <c r="E398" s="1"/>
      <c r="F398" s="1"/>
    </row>
    <row r="399" ht="15.75" customHeight="1">
      <c r="A399" s="36"/>
      <c r="B399" s="37"/>
      <c r="C399" s="37"/>
      <c r="D399" s="1"/>
      <c r="E399" s="1"/>
      <c r="F399" s="1"/>
    </row>
    <row r="400" ht="15.75" customHeight="1">
      <c r="A400" s="36"/>
      <c r="B400" s="37"/>
      <c r="C400" s="37"/>
      <c r="D400" s="1"/>
      <c r="E400" s="1"/>
      <c r="F400" s="1"/>
    </row>
    <row r="401" ht="15.75" customHeight="1">
      <c r="A401" s="36"/>
      <c r="B401" s="37"/>
      <c r="C401" s="37"/>
      <c r="D401" s="1"/>
      <c r="E401" s="1"/>
      <c r="F401" s="1"/>
    </row>
    <row r="402" ht="15.75" customHeight="1">
      <c r="A402" s="36"/>
      <c r="B402" s="37"/>
      <c r="C402" s="37"/>
      <c r="D402" s="1"/>
      <c r="E402" s="1"/>
      <c r="F402" s="1"/>
    </row>
    <row r="403" ht="15.75" customHeight="1">
      <c r="A403" s="36"/>
      <c r="B403" s="37"/>
      <c r="C403" s="37"/>
      <c r="D403" s="1"/>
      <c r="E403" s="1"/>
      <c r="F403" s="1"/>
    </row>
    <row r="404" ht="15.75" customHeight="1">
      <c r="A404" s="36"/>
      <c r="B404" s="37"/>
      <c r="C404" s="37"/>
      <c r="D404" s="1"/>
      <c r="E404" s="1"/>
      <c r="F404" s="1"/>
    </row>
    <row r="405" ht="15.75" customHeight="1">
      <c r="A405" s="36"/>
      <c r="B405" s="37"/>
      <c r="C405" s="37"/>
      <c r="D405" s="1"/>
      <c r="E405" s="1"/>
      <c r="F405" s="1"/>
    </row>
    <row r="406" ht="15.75" customHeight="1">
      <c r="A406" s="36"/>
      <c r="B406" s="37"/>
      <c r="C406" s="37"/>
      <c r="D406" s="1"/>
      <c r="E406" s="1"/>
      <c r="F406" s="1"/>
    </row>
    <row r="407" ht="15.75" customHeight="1">
      <c r="A407" s="36"/>
      <c r="B407" s="37"/>
      <c r="C407" s="37"/>
      <c r="D407" s="1"/>
      <c r="E407" s="1"/>
      <c r="F407" s="1"/>
    </row>
    <row r="408" ht="15.75" customHeight="1">
      <c r="A408" s="36"/>
      <c r="B408" s="37"/>
      <c r="C408" s="37"/>
      <c r="D408" s="1"/>
      <c r="E408" s="1"/>
      <c r="F408" s="1"/>
    </row>
    <row r="409" ht="15.75" customHeight="1">
      <c r="A409" s="36"/>
      <c r="B409" s="37"/>
      <c r="C409" s="37"/>
      <c r="D409" s="1"/>
      <c r="E409" s="1"/>
      <c r="F409" s="1"/>
    </row>
    <row r="410" ht="15.75" customHeight="1">
      <c r="A410" s="36"/>
      <c r="B410" s="37"/>
      <c r="C410" s="37"/>
      <c r="D410" s="1"/>
      <c r="E410" s="1"/>
      <c r="F410" s="1"/>
    </row>
    <row r="411" ht="15.75" customHeight="1">
      <c r="A411" s="36"/>
      <c r="B411" s="37"/>
      <c r="C411" s="37"/>
      <c r="D411" s="1"/>
      <c r="E411" s="1"/>
      <c r="F411" s="1"/>
    </row>
    <row r="412" ht="15.75" customHeight="1">
      <c r="A412" s="36"/>
      <c r="B412" s="37"/>
      <c r="C412" s="37"/>
      <c r="D412" s="1"/>
      <c r="E412" s="1"/>
      <c r="F412" s="1"/>
    </row>
    <row r="413" ht="15.75" customHeight="1">
      <c r="A413" s="36"/>
      <c r="B413" s="37"/>
      <c r="C413" s="37"/>
      <c r="D413" s="1"/>
      <c r="E413" s="1"/>
      <c r="F413" s="1"/>
    </row>
    <row r="414" ht="15.75" customHeight="1">
      <c r="A414" s="36"/>
      <c r="B414" s="37"/>
      <c r="C414" s="37"/>
      <c r="D414" s="1"/>
      <c r="E414" s="1"/>
      <c r="F414" s="1"/>
    </row>
    <row r="415" ht="15.75" customHeight="1">
      <c r="A415" s="36"/>
      <c r="B415" s="37"/>
      <c r="C415" s="37"/>
      <c r="D415" s="1"/>
      <c r="E415" s="1"/>
      <c r="F415" s="1"/>
    </row>
    <row r="416" ht="15.75" customHeight="1">
      <c r="A416" s="36"/>
      <c r="B416" s="37"/>
      <c r="C416" s="37"/>
      <c r="D416" s="1"/>
      <c r="E416" s="1"/>
      <c r="F416" s="1"/>
    </row>
    <row r="417" ht="15.75" customHeight="1">
      <c r="A417" s="36"/>
      <c r="B417" s="37"/>
      <c r="C417" s="37"/>
      <c r="D417" s="1"/>
      <c r="E417" s="1"/>
      <c r="F417" s="1"/>
    </row>
    <row r="418" ht="15.75" customHeight="1">
      <c r="A418" s="36"/>
      <c r="B418" s="37"/>
      <c r="C418" s="37"/>
      <c r="D418" s="1"/>
      <c r="E418" s="1"/>
      <c r="F418" s="1"/>
    </row>
    <row r="419" ht="15.75" customHeight="1">
      <c r="A419" s="36"/>
      <c r="B419" s="37"/>
      <c r="C419" s="37"/>
      <c r="D419" s="1"/>
      <c r="E419" s="1"/>
      <c r="F419" s="1"/>
    </row>
    <row r="420" ht="15.75" customHeight="1">
      <c r="A420" s="36"/>
      <c r="B420" s="37"/>
      <c r="C420" s="37"/>
      <c r="D420" s="1"/>
      <c r="E420" s="1"/>
      <c r="F420" s="1"/>
    </row>
    <row r="421" ht="15.75" customHeight="1">
      <c r="A421" s="36"/>
      <c r="B421" s="37"/>
      <c r="C421" s="37"/>
      <c r="D421" s="1"/>
      <c r="E421" s="1"/>
      <c r="F421" s="1"/>
    </row>
    <row r="422" ht="15.75" customHeight="1">
      <c r="A422" s="36"/>
      <c r="B422" s="37"/>
      <c r="C422" s="37"/>
      <c r="D422" s="1"/>
      <c r="E422" s="1"/>
      <c r="F422" s="1"/>
    </row>
    <row r="423" ht="15.75" customHeight="1">
      <c r="A423" s="36"/>
      <c r="B423" s="37"/>
      <c r="C423" s="37"/>
      <c r="D423" s="1"/>
      <c r="E423" s="1"/>
      <c r="F423" s="1"/>
    </row>
    <row r="424" ht="15.75" customHeight="1">
      <c r="A424" s="36"/>
      <c r="B424" s="37"/>
      <c r="C424" s="37"/>
      <c r="D424" s="1"/>
      <c r="E424" s="1"/>
      <c r="F424" s="1"/>
    </row>
    <row r="425" ht="15.75" customHeight="1">
      <c r="A425" s="36"/>
      <c r="B425" s="37"/>
      <c r="C425" s="37"/>
      <c r="D425" s="1"/>
      <c r="E425" s="1"/>
      <c r="F425" s="1"/>
    </row>
    <row r="426" ht="15.75" customHeight="1">
      <c r="A426" s="36"/>
      <c r="B426" s="37"/>
      <c r="C426" s="37"/>
      <c r="D426" s="1"/>
      <c r="E426" s="1"/>
      <c r="F426" s="1"/>
    </row>
    <row r="427" ht="15.75" customHeight="1">
      <c r="A427" s="36"/>
      <c r="B427" s="37"/>
      <c r="C427" s="37"/>
      <c r="D427" s="1"/>
      <c r="E427" s="1"/>
      <c r="F427" s="1"/>
    </row>
    <row r="428" ht="15.75" customHeight="1">
      <c r="A428" s="36"/>
      <c r="B428" s="37"/>
      <c r="C428" s="37"/>
      <c r="D428" s="1"/>
      <c r="E428" s="1"/>
      <c r="F428" s="1"/>
    </row>
    <row r="429" ht="15.75" customHeight="1">
      <c r="A429" s="36"/>
      <c r="B429" s="37"/>
      <c r="C429" s="37"/>
      <c r="D429" s="1"/>
      <c r="E429" s="1"/>
      <c r="F429" s="1"/>
    </row>
    <row r="430" ht="15.75" customHeight="1">
      <c r="A430" s="36"/>
      <c r="B430" s="37"/>
      <c r="C430" s="37"/>
      <c r="D430" s="1"/>
      <c r="E430" s="1"/>
      <c r="F430" s="1"/>
    </row>
    <row r="431" ht="15.75" customHeight="1">
      <c r="A431" s="36"/>
      <c r="B431" s="37"/>
      <c r="C431" s="37"/>
      <c r="D431" s="1"/>
      <c r="E431" s="1"/>
      <c r="F431" s="1"/>
    </row>
    <row r="432" ht="15.75" customHeight="1">
      <c r="A432" s="36"/>
      <c r="B432" s="37"/>
      <c r="C432" s="37"/>
      <c r="D432" s="1"/>
      <c r="E432" s="1"/>
      <c r="F432" s="1"/>
    </row>
    <row r="433" ht="15.75" customHeight="1">
      <c r="A433" s="36"/>
      <c r="B433" s="37"/>
      <c r="C433" s="37"/>
      <c r="D433" s="1"/>
      <c r="E433" s="1"/>
      <c r="F433" s="1"/>
    </row>
    <row r="434" ht="15.75" customHeight="1">
      <c r="A434" s="36"/>
      <c r="B434" s="37"/>
      <c r="C434" s="37"/>
      <c r="D434" s="1"/>
      <c r="E434" s="1"/>
      <c r="F434" s="1"/>
    </row>
    <row r="435" ht="15.75" customHeight="1">
      <c r="A435" s="36"/>
      <c r="B435" s="37"/>
      <c r="C435" s="37"/>
      <c r="D435" s="1"/>
      <c r="E435" s="1"/>
      <c r="F435" s="1"/>
    </row>
    <row r="436" ht="15.75" customHeight="1">
      <c r="A436" s="36"/>
      <c r="B436" s="37"/>
      <c r="C436" s="37"/>
      <c r="D436" s="1"/>
      <c r="E436" s="1"/>
      <c r="F436" s="1"/>
    </row>
    <row r="437" ht="15.75" customHeight="1">
      <c r="A437" s="36"/>
      <c r="B437" s="37"/>
      <c r="C437" s="37"/>
      <c r="D437" s="1"/>
      <c r="E437" s="1"/>
      <c r="F437" s="1"/>
    </row>
    <row r="438" ht="15.75" customHeight="1">
      <c r="A438" s="36"/>
      <c r="B438" s="37"/>
      <c r="C438" s="37"/>
      <c r="D438" s="1"/>
      <c r="E438" s="1"/>
      <c r="F438" s="1"/>
    </row>
    <row r="439" ht="15.75" customHeight="1">
      <c r="A439" s="36"/>
      <c r="B439" s="37"/>
      <c r="C439" s="37"/>
      <c r="D439" s="1"/>
      <c r="E439" s="1"/>
      <c r="F439" s="1"/>
    </row>
    <row r="440" ht="15.75" customHeight="1">
      <c r="A440" s="36"/>
      <c r="B440" s="37"/>
      <c r="C440" s="37"/>
      <c r="D440" s="1"/>
      <c r="E440" s="1"/>
      <c r="F440" s="1"/>
    </row>
    <row r="441" ht="15.75" customHeight="1">
      <c r="A441" s="36"/>
      <c r="B441" s="37"/>
      <c r="C441" s="37"/>
      <c r="D441" s="1"/>
      <c r="E441" s="1"/>
      <c r="F441" s="1"/>
    </row>
    <row r="442" ht="15.75" customHeight="1">
      <c r="A442" s="36"/>
      <c r="B442" s="37"/>
      <c r="C442" s="37"/>
      <c r="D442" s="1"/>
      <c r="E442" s="1"/>
      <c r="F442" s="1"/>
    </row>
    <row r="443" ht="15.75" customHeight="1">
      <c r="A443" s="36"/>
      <c r="B443" s="37"/>
      <c r="C443" s="37"/>
      <c r="D443" s="1"/>
      <c r="E443" s="1"/>
      <c r="F443" s="1"/>
    </row>
    <row r="444" ht="15.75" customHeight="1">
      <c r="A444" s="36"/>
      <c r="B444" s="37"/>
      <c r="C444" s="37"/>
      <c r="D444" s="1"/>
      <c r="E444" s="1"/>
      <c r="F444" s="1"/>
    </row>
    <row r="445" ht="15.75" customHeight="1">
      <c r="A445" s="36"/>
      <c r="B445" s="37"/>
      <c r="C445" s="37"/>
      <c r="D445" s="1"/>
      <c r="E445" s="1"/>
      <c r="F445" s="1"/>
    </row>
    <row r="446" ht="15.75" customHeight="1">
      <c r="A446" s="36"/>
      <c r="B446" s="37"/>
      <c r="C446" s="37"/>
      <c r="D446" s="1"/>
      <c r="E446" s="1"/>
      <c r="F446" s="1"/>
    </row>
    <row r="447" ht="15.75" customHeight="1">
      <c r="A447" s="36"/>
      <c r="B447" s="37"/>
      <c r="C447" s="37"/>
      <c r="D447" s="1"/>
      <c r="E447" s="1"/>
      <c r="F447" s="1"/>
    </row>
    <row r="448" ht="15.75" customHeight="1">
      <c r="A448" s="36"/>
      <c r="B448" s="37"/>
      <c r="C448" s="37"/>
      <c r="D448" s="1"/>
      <c r="E448" s="1"/>
      <c r="F448" s="1"/>
    </row>
    <row r="449" ht="15.75" customHeight="1">
      <c r="A449" s="36"/>
      <c r="B449" s="37"/>
      <c r="C449" s="37"/>
      <c r="D449" s="1"/>
      <c r="E449" s="1"/>
      <c r="F449" s="1"/>
    </row>
    <row r="450" ht="15.75" customHeight="1">
      <c r="A450" s="36"/>
      <c r="B450" s="37"/>
      <c r="C450" s="37"/>
      <c r="D450" s="1"/>
      <c r="E450" s="1"/>
      <c r="F450" s="1"/>
    </row>
    <row r="451" ht="15.75" customHeight="1">
      <c r="A451" s="36"/>
      <c r="B451" s="37"/>
      <c r="C451" s="37"/>
      <c r="D451" s="1"/>
      <c r="E451" s="1"/>
      <c r="F451" s="1"/>
    </row>
    <row r="452" ht="15.75" customHeight="1">
      <c r="A452" s="36"/>
      <c r="B452" s="37"/>
      <c r="C452" s="37"/>
      <c r="D452" s="1"/>
      <c r="E452" s="1"/>
      <c r="F452" s="1"/>
    </row>
    <row r="453" ht="15.75" customHeight="1">
      <c r="A453" s="36"/>
      <c r="B453" s="37"/>
      <c r="C453" s="37"/>
      <c r="D453" s="1"/>
      <c r="E453" s="1"/>
      <c r="F453" s="1"/>
    </row>
    <row r="454" ht="15.75" customHeight="1">
      <c r="A454" s="36"/>
      <c r="B454" s="37"/>
      <c r="C454" s="37"/>
      <c r="D454" s="1"/>
      <c r="E454" s="1"/>
      <c r="F454" s="1"/>
    </row>
    <row r="455" ht="15.75" customHeight="1">
      <c r="A455" s="36"/>
      <c r="B455" s="37"/>
      <c r="C455" s="37"/>
      <c r="D455" s="1"/>
      <c r="E455" s="1"/>
      <c r="F455" s="1"/>
    </row>
    <row r="456" ht="15.75" customHeight="1">
      <c r="A456" s="36"/>
      <c r="B456" s="37"/>
      <c r="C456" s="37"/>
      <c r="D456" s="1"/>
      <c r="E456" s="1"/>
      <c r="F456" s="1"/>
    </row>
    <row r="457" ht="15.75" customHeight="1">
      <c r="A457" s="36"/>
      <c r="B457" s="37"/>
      <c r="C457" s="37"/>
      <c r="D457" s="1"/>
      <c r="E457" s="1"/>
      <c r="F457" s="1"/>
    </row>
    <row r="458" ht="15.75" customHeight="1">
      <c r="A458" s="36"/>
      <c r="B458" s="37"/>
      <c r="C458" s="37"/>
      <c r="D458" s="1"/>
      <c r="E458" s="1"/>
      <c r="F458" s="1"/>
    </row>
    <row r="459" ht="15.75" customHeight="1">
      <c r="A459" s="36"/>
      <c r="B459" s="37"/>
      <c r="C459" s="37"/>
      <c r="D459" s="1"/>
      <c r="E459" s="1"/>
      <c r="F459" s="1"/>
    </row>
    <row r="460" ht="15.75" customHeight="1">
      <c r="A460" s="36"/>
      <c r="B460" s="37"/>
      <c r="C460" s="37"/>
      <c r="D460" s="1"/>
      <c r="E460" s="1"/>
      <c r="F460" s="1"/>
    </row>
    <row r="461" ht="15.75" customHeight="1">
      <c r="A461" s="36"/>
      <c r="B461" s="37"/>
      <c r="C461" s="37"/>
      <c r="D461" s="1"/>
      <c r="E461" s="1"/>
      <c r="F461" s="1"/>
    </row>
    <row r="462" ht="15.75" customHeight="1">
      <c r="A462" s="36"/>
      <c r="B462" s="37"/>
      <c r="C462" s="37"/>
      <c r="D462" s="1"/>
      <c r="E462" s="1"/>
      <c r="F462" s="1"/>
    </row>
    <row r="463" ht="15.75" customHeight="1">
      <c r="A463" s="36"/>
      <c r="B463" s="37"/>
      <c r="C463" s="37"/>
      <c r="D463" s="1"/>
      <c r="E463" s="1"/>
      <c r="F463" s="1"/>
    </row>
    <row r="464" ht="15.75" customHeight="1">
      <c r="A464" s="36"/>
      <c r="B464" s="37"/>
      <c r="C464" s="37"/>
      <c r="D464" s="1"/>
      <c r="E464" s="1"/>
      <c r="F464" s="1"/>
    </row>
    <row r="465" ht="15.75" customHeight="1">
      <c r="A465" s="36"/>
      <c r="B465" s="37"/>
      <c r="C465" s="37"/>
      <c r="D465" s="1"/>
      <c r="E465" s="1"/>
      <c r="F465" s="1"/>
    </row>
    <row r="466" ht="15.75" customHeight="1">
      <c r="A466" s="36"/>
      <c r="B466" s="37"/>
      <c r="C466" s="37"/>
      <c r="D466" s="1"/>
      <c r="E466" s="1"/>
      <c r="F466" s="1"/>
    </row>
    <row r="467" ht="15.75" customHeight="1">
      <c r="A467" s="36"/>
      <c r="B467" s="37"/>
      <c r="C467" s="37"/>
      <c r="D467" s="1"/>
      <c r="E467" s="1"/>
      <c r="F467" s="1"/>
    </row>
    <row r="468" ht="15.75" customHeight="1">
      <c r="A468" s="36"/>
      <c r="B468" s="37"/>
      <c r="C468" s="37"/>
      <c r="D468" s="1"/>
      <c r="E468" s="1"/>
      <c r="F468" s="1"/>
    </row>
    <row r="469" ht="15.75" customHeight="1">
      <c r="A469" s="36"/>
      <c r="B469" s="37"/>
      <c r="C469" s="37"/>
      <c r="D469" s="1"/>
      <c r="E469" s="1"/>
      <c r="F469" s="1"/>
    </row>
    <row r="470" ht="15.75" customHeight="1">
      <c r="A470" s="36"/>
      <c r="B470" s="37"/>
      <c r="C470" s="37"/>
      <c r="D470" s="1"/>
      <c r="E470" s="1"/>
      <c r="F470" s="1"/>
    </row>
    <row r="471" ht="15.75" customHeight="1">
      <c r="A471" s="36"/>
      <c r="B471" s="37"/>
      <c r="C471" s="37"/>
      <c r="D471" s="1"/>
      <c r="E471" s="1"/>
      <c r="F471" s="1"/>
    </row>
    <row r="472" ht="15.75" customHeight="1">
      <c r="A472" s="36"/>
      <c r="B472" s="37"/>
      <c r="C472" s="37"/>
      <c r="D472" s="1"/>
      <c r="E472" s="1"/>
      <c r="F472" s="1"/>
    </row>
    <row r="473" ht="15.75" customHeight="1">
      <c r="A473" s="36"/>
      <c r="B473" s="37"/>
      <c r="C473" s="37"/>
      <c r="D473" s="1"/>
      <c r="E473" s="1"/>
      <c r="F473" s="1"/>
    </row>
    <row r="474" ht="15.75" customHeight="1">
      <c r="A474" s="36"/>
      <c r="B474" s="37"/>
      <c r="C474" s="37"/>
      <c r="D474" s="1"/>
      <c r="E474" s="1"/>
      <c r="F474" s="1"/>
    </row>
    <row r="475" ht="15.75" customHeight="1">
      <c r="A475" s="36"/>
      <c r="B475" s="37"/>
      <c r="C475" s="37"/>
      <c r="D475" s="1"/>
      <c r="E475" s="1"/>
      <c r="F475" s="1"/>
    </row>
    <row r="476" ht="15.75" customHeight="1">
      <c r="A476" s="36"/>
      <c r="B476" s="37"/>
      <c r="C476" s="37"/>
      <c r="D476" s="1"/>
      <c r="E476" s="1"/>
      <c r="F476" s="1"/>
    </row>
    <row r="477" ht="15.75" customHeight="1">
      <c r="A477" s="36"/>
      <c r="B477" s="37"/>
      <c r="C477" s="37"/>
      <c r="D477" s="1"/>
      <c r="E477" s="1"/>
      <c r="F477" s="1"/>
    </row>
    <row r="478" ht="15.75" customHeight="1">
      <c r="A478" s="36"/>
      <c r="B478" s="37"/>
      <c r="C478" s="37"/>
      <c r="D478" s="1"/>
      <c r="E478" s="1"/>
      <c r="F478" s="1"/>
    </row>
    <row r="479" ht="15.75" customHeight="1">
      <c r="A479" s="36"/>
      <c r="B479" s="37"/>
      <c r="C479" s="37"/>
      <c r="D479" s="1"/>
      <c r="E479" s="1"/>
      <c r="F479" s="1"/>
    </row>
    <row r="480" ht="15.75" customHeight="1">
      <c r="A480" s="36"/>
      <c r="B480" s="37"/>
      <c r="C480" s="37"/>
      <c r="D480" s="1"/>
      <c r="E480" s="1"/>
      <c r="F480" s="1"/>
    </row>
    <row r="481" ht="15.75" customHeight="1">
      <c r="A481" s="36"/>
      <c r="B481" s="37"/>
      <c r="C481" s="37"/>
      <c r="D481" s="1"/>
      <c r="E481" s="1"/>
      <c r="F481" s="1"/>
    </row>
    <row r="482" ht="15.75" customHeight="1">
      <c r="A482" s="36"/>
      <c r="B482" s="37"/>
      <c r="C482" s="37"/>
      <c r="D482" s="1"/>
      <c r="E482" s="1"/>
      <c r="F482" s="1"/>
    </row>
    <row r="483" ht="15.75" customHeight="1">
      <c r="A483" s="36"/>
      <c r="B483" s="37"/>
      <c r="C483" s="37"/>
      <c r="D483" s="1"/>
      <c r="E483" s="1"/>
      <c r="F483" s="1"/>
    </row>
    <row r="484" ht="15.75" customHeight="1">
      <c r="A484" s="36"/>
      <c r="B484" s="37"/>
      <c r="C484" s="37"/>
      <c r="D484" s="1"/>
      <c r="E484" s="1"/>
      <c r="F484" s="1"/>
    </row>
    <row r="485" ht="15.75" customHeight="1">
      <c r="A485" s="36"/>
      <c r="B485" s="37"/>
      <c r="C485" s="37"/>
      <c r="D485" s="1"/>
      <c r="E485" s="1"/>
      <c r="F485" s="1"/>
    </row>
    <row r="486" ht="15.75" customHeight="1">
      <c r="A486" s="36"/>
      <c r="B486" s="37"/>
      <c r="C486" s="37"/>
      <c r="D486" s="1"/>
      <c r="E486" s="1"/>
      <c r="F486" s="1"/>
    </row>
    <row r="487" ht="15.75" customHeight="1">
      <c r="A487" s="36"/>
      <c r="B487" s="37"/>
      <c r="C487" s="37"/>
      <c r="D487" s="1"/>
      <c r="E487" s="1"/>
      <c r="F487" s="1"/>
    </row>
    <row r="488" ht="15.75" customHeight="1">
      <c r="A488" s="36"/>
      <c r="B488" s="37"/>
      <c r="C488" s="37"/>
      <c r="D488" s="1"/>
      <c r="E488" s="1"/>
      <c r="F488" s="1"/>
    </row>
    <row r="489" ht="15.75" customHeight="1">
      <c r="A489" s="36"/>
      <c r="B489" s="37"/>
      <c r="C489" s="37"/>
      <c r="D489" s="1"/>
      <c r="E489" s="1"/>
      <c r="F489" s="1"/>
    </row>
    <row r="490" ht="15.75" customHeight="1">
      <c r="A490" s="36"/>
      <c r="B490" s="37"/>
      <c r="C490" s="37"/>
      <c r="D490" s="1"/>
      <c r="E490" s="1"/>
      <c r="F490" s="1"/>
    </row>
    <row r="491" ht="15.75" customHeight="1">
      <c r="A491" s="36"/>
      <c r="B491" s="37"/>
      <c r="C491" s="37"/>
      <c r="D491" s="1"/>
      <c r="E491" s="1"/>
      <c r="F491" s="1"/>
    </row>
    <row r="492" ht="15.75" customHeight="1">
      <c r="A492" s="36"/>
      <c r="B492" s="37"/>
      <c r="C492" s="37"/>
      <c r="D492" s="1"/>
      <c r="E492" s="1"/>
      <c r="F492" s="1"/>
    </row>
    <row r="493" ht="15.75" customHeight="1">
      <c r="A493" s="36"/>
      <c r="B493" s="37"/>
      <c r="C493" s="37"/>
      <c r="D493" s="1"/>
      <c r="E493" s="1"/>
      <c r="F493" s="1"/>
    </row>
    <row r="494" ht="15.75" customHeight="1">
      <c r="A494" s="36"/>
      <c r="B494" s="37"/>
      <c r="C494" s="37"/>
      <c r="D494" s="1"/>
      <c r="E494" s="1"/>
      <c r="F494" s="1"/>
    </row>
    <row r="495" ht="15.75" customHeight="1">
      <c r="A495" s="36"/>
      <c r="B495" s="37"/>
      <c r="C495" s="37"/>
      <c r="D495" s="1"/>
      <c r="E495" s="1"/>
      <c r="F495" s="1"/>
    </row>
    <row r="496" ht="15.75" customHeight="1">
      <c r="A496" s="36"/>
      <c r="B496" s="37"/>
      <c r="C496" s="37"/>
      <c r="D496" s="1"/>
      <c r="E496" s="1"/>
      <c r="F496" s="1"/>
    </row>
    <row r="497" ht="15.75" customHeight="1">
      <c r="A497" s="36"/>
      <c r="B497" s="37"/>
      <c r="C497" s="37"/>
      <c r="D497" s="1"/>
      <c r="E497" s="1"/>
      <c r="F497" s="1"/>
    </row>
    <row r="498" ht="15.75" customHeight="1">
      <c r="A498" s="36"/>
      <c r="B498" s="37"/>
      <c r="C498" s="37"/>
      <c r="D498" s="1"/>
      <c r="E498" s="1"/>
      <c r="F498" s="1"/>
    </row>
    <row r="499" ht="15.75" customHeight="1">
      <c r="A499" s="36"/>
      <c r="B499" s="37"/>
      <c r="C499" s="37"/>
      <c r="D499" s="1"/>
      <c r="E499" s="1"/>
      <c r="F499" s="1"/>
    </row>
    <row r="500" ht="15.75" customHeight="1">
      <c r="A500" s="36"/>
      <c r="B500" s="37"/>
      <c r="C500" s="37"/>
      <c r="D500" s="1"/>
      <c r="E500" s="1"/>
      <c r="F500" s="1"/>
    </row>
    <row r="501" ht="15.75" customHeight="1">
      <c r="A501" s="36"/>
      <c r="B501" s="37"/>
      <c r="C501" s="37"/>
      <c r="D501" s="1"/>
      <c r="E501" s="1"/>
      <c r="F501" s="1"/>
    </row>
    <row r="502" ht="15.75" customHeight="1">
      <c r="A502" s="36"/>
      <c r="B502" s="37"/>
      <c r="C502" s="37"/>
      <c r="D502" s="1"/>
      <c r="E502" s="1"/>
      <c r="F502" s="1"/>
    </row>
    <row r="503" ht="15.75" customHeight="1">
      <c r="A503" s="36"/>
      <c r="B503" s="37"/>
      <c r="C503" s="37"/>
      <c r="D503" s="1"/>
      <c r="E503" s="1"/>
      <c r="F503" s="1"/>
    </row>
    <row r="504" ht="15.75" customHeight="1">
      <c r="A504" s="36"/>
      <c r="B504" s="37"/>
      <c r="C504" s="37"/>
      <c r="D504" s="1"/>
      <c r="E504" s="1"/>
      <c r="F504" s="1"/>
    </row>
    <row r="505" ht="15.75" customHeight="1">
      <c r="A505" s="36"/>
      <c r="B505" s="37"/>
      <c r="C505" s="37"/>
      <c r="D505" s="1"/>
      <c r="E505" s="1"/>
      <c r="F505" s="1"/>
    </row>
    <row r="506" ht="15.75" customHeight="1">
      <c r="A506" s="36"/>
      <c r="B506" s="37"/>
      <c r="C506" s="37"/>
      <c r="D506" s="1"/>
      <c r="E506" s="1"/>
      <c r="F506" s="1"/>
    </row>
    <row r="507" ht="15.75" customHeight="1">
      <c r="A507" s="36"/>
      <c r="B507" s="37"/>
      <c r="C507" s="37"/>
      <c r="D507" s="1"/>
      <c r="E507" s="1"/>
      <c r="F507" s="1"/>
    </row>
    <row r="508" ht="15.75" customHeight="1">
      <c r="A508" s="36"/>
      <c r="B508" s="37"/>
      <c r="C508" s="37"/>
      <c r="D508" s="1"/>
      <c r="E508" s="1"/>
      <c r="F508" s="1"/>
    </row>
    <row r="509" ht="15.75" customHeight="1">
      <c r="A509" s="36"/>
      <c r="B509" s="37"/>
      <c r="C509" s="37"/>
      <c r="D509" s="1"/>
      <c r="E509" s="1"/>
      <c r="F509" s="1"/>
    </row>
    <row r="510" ht="15.75" customHeight="1">
      <c r="A510" s="36"/>
      <c r="B510" s="37"/>
      <c r="C510" s="37"/>
      <c r="D510" s="1"/>
      <c r="E510" s="1"/>
      <c r="F510" s="1"/>
    </row>
    <row r="511" ht="15.75" customHeight="1">
      <c r="A511" s="36"/>
      <c r="B511" s="37"/>
      <c r="C511" s="37"/>
      <c r="D511" s="1"/>
      <c r="E511" s="1"/>
      <c r="F511" s="1"/>
    </row>
    <row r="512" ht="15.75" customHeight="1">
      <c r="A512" s="36"/>
      <c r="B512" s="37"/>
      <c r="C512" s="37"/>
      <c r="D512" s="1"/>
      <c r="E512" s="1"/>
      <c r="F512" s="1"/>
    </row>
    <row r="513" ht="15.75" customHeight="1">
      <c r="A513" s="36"/>
      <c r="B513" s="37"/>
      <c r="C513" s="37"/>
      <c r="D513" s="1"/>
      <c r="E513" s="1"/>
      <c r="F513" s="1"/>
    </row>
    <row r="514" ht="15.75" customHeight="1">
      <c r="A514" s="36"/>
      <c r="B514" s="37"/>
      <c r="C514" s="37"/>
      <c r="D514" s="1"/>
      <c r="E514" s="1"/>
      <c r="F514" s="1"/>
    </row>
    <row r="515" ht="15.75" customHeight="1">
      <c r="A515" s="36"/>
      <c r="B515" s="37"/>
      <c r="C515" s="37"/>
      <c r="D515" s="1"/>
      <c r="E515" s="1"/>
      <c r="F515" s="1"/>
    </row>
    <row r="516" ht="15.75" customHeight="1">
      <c r="A516" s="36"/>
      <c r="B516" s="37"/>
      <c r="C516" s="37"/>
      <c r="D516" s="1"/>
      <c r="E516" s="1"/>
      <c r="F516" s="1"/>
    </row>
    <row r="517" ht="15.75" customHeight="1">
      <c r="A517" s="36"/>
      <c r="B517" s="37"/>
      <c r="C517" s="37"/>
      <c r="D517" s="1"/>
      <c r="E517" s="1"/>
      <c r="F517" s="1"/>
    </row>
    <row r="518" ht="15.75" customHeight="1">
      <c r="A518" s="36"/>
      <c r="B518" s="37"/>
      <c r="C518" s="37"/>
      <c r="D518" s="1"/>
      <c r="E518" s="1"/>
      <c r="F518" s="1"/>
    </row>
    <row r="519" ht="15.75" customHeight="1">
      <c r="A519" s="36"/>
      <c r="B519" s="37"/>
      <c r="C519" s="37"/>
      <c r="D519" s="1"/>
      <c r="E519" s="1"/>
      <c r="F519" s="1"/>
    </row>
    <row r="520" ht="15.75" customHeight="1">
      <c r="A520" s="36"/>
      <c r="B520" s="37"/>
      <c r="C520" s="37"/>
      <c r="D520" s="1"/>
      <c r="E520" s="1"/>
      <c r="F520" s="1"/>
    </row>
    <row r="521" ht="15.75" customHeight="1">
      <c r="A521" s="36"/>
      <c r="B521" s="37"/>
      <c r="C521" s="37"/>
      <c r="D521" s="1"/>
      <c r="E521" s="1"/>
      <c r="F521" s="1"/>
    </row>
    <row r="522" ht="15.75" customHeight="1">
      <c r="A522" s="36"/>
      <c r="B522" s="37"/>
      <c r="C522" s="37"/>
      <c r="D522" s="1"/>
      <c r="E522" s="1"/>
      <c r="F522" s="1"/>
    </row>
    <row r="523" ht="15.75" customHeight="1">
      <c r="A523" s="36"/>
      <c r="B523" s="37"/>
      <c r="C523" s="37"/>
      <c r="D523" s="1"/>
      <c r="E523" s="1"/>
      <c r="F523" s="1"/>
    </row>
    <row r="524" ht="15.75" customHeight="1">
      <c r="A524" s="36"/>
      <c r="B524" s="37"/>
      <c r="C524" s="37"/>
      <c r="D524" s="1"/>
      <c r="E524" s="1"/>
      <c r="F524" s="1"/>
    </row>
    <row r="525" ht="15.75" customHeight="1">
      <c r="A525" s="36"/>
      <c r="B525" s="37"/>
      <c r="C525" s="37"/>
      <c r="D525" s="1"/>
      <c r="E525" s="1"/>
      <c r="F525" s="1"/>
    </row>
    <row r="526" ht="15.75" customHeight="1">
      <c r="A526" s="36"/>
      <c r="B526" s="37"/>
      <c r="C526" s="37"/>
      <c r="D526" s="1"/>
      <c r="E526" s="1"/>
      <c r="F526" s="1"/>
    </row>
    <row r="527" ht="15.75" customHeight="1">
      <c r="A527" s="36"/>
      <c r="B527" s="37"/>
      <c r="C527" s="37"/>
      <c r="D527" s="1"/>
      <c r="E527" s="1"/>
      <c r="F527" s="1"/>
    </row>
    <row r="528" ht="15.75" customHeight="1">
      <c r="A528" s="36"/>
      <c r="B528" s="37"/>
      <c r="C528" s="37"/>
      <c r="D528" s="1"/>
      <c r="E528" s="1"/>
      <c r="F528" s="1"/>
    </row>
    <row r="529" ht="15.75" customHeight="1">
      <c r="A529" s="36"/>
      <c r="B529" s="37"/>
      <c r="C529" s="37"/>
      <c r="D529" s="1"/>
      <c r="E529" s="1"/>
      <c r="F529" s="1"/>
    </row>
    <row r="530" ht="15.75" customHeight="1">
      <c r="A530" s="36"/>
      <c r="B530" s="37"/>
      <c r="C530" s="37"/>
      <c r="D530" s="1"/>
      <c r="E530" s="1"/>
      <c r="F530" s="1"/>
    </row>
    <row r="531" ht="15.75" customHeight="1">
      <c r="A531" s="36"/>
      <c r="B531" s="37"/>
      <c r="C531" s="37"/>
      <c r="D531" s="1"/>
      <c r="E531" s="1"/>
      <c r="F531" s="1"/>
    </row>
    <row r="532" ht="15.75" customHeight="1">
      <c r="A532" s="36"/>
      <c r="B532" s="37"/>
      <c r="C532" s="37"/>
      <c r="D532" s="1"/>
      <c r="E532" s="1"/>
      <c r="F532" s="1"/>
    </row>
    <row r="533" ht="15.75" customHeight="1">
      <c r="A533" s="36"/>
      <c r="B533" s="37"/>
      <c r="C533" s="37"/>
      <c r="D533" s="1"/>
      <c r="E533" s="1"/>
      <c r="F533" s="1"/>
    </row>
    <row r="534" ht="15.75" customHeight="1">
      <c r="A534" s="36"/>
      <c r="B534" s="37"/>
      <c r="C534" s="37"/>
      <c r="D534" s="1"/>
      <c r="E534" s="1"/>
      <c r="F534" s="1"/>
    </row>
    <row r="535" ht="15.75" customHeight="1">
      <c r="A535" s="36"/>
      <c r="B535" s="37"/>
      <c r="C535" s="37"/>
      <c r="D535" s="1"/>
      <c r="E535" s="1"/>
      <c r="F535" s="1"/>
    </row>
    <row r="536" ht="15.75" customHeight="1">
      <c r="A536" s="36"/>
      <c r="B536" s="37"/>
      <c r="C536" s="37"/>
      <c r="D536" s="1"/>
      <c r="E536" s="1"/>
      <c r="F536" s="1"/>
    </row>
    <row r="537" ht="15.75" customHeight="1">
      <c r="A537" s="36"/>
      <c r="B537" s="37"/>
      <c r="C537" s="37"/>
      <c r="D537" s="1"/>
      <c r="E537" s="1"/>
      <c r="F537" s="1"/>
    </row>
    <row r="538" ht="15.75" customHeight="1">
      <c r="A538" s="36"/>
      <c r="B538" s="37"/>
      <c r="C538" s="37"/>
      <c r="D538" s="1"/>
      <c r="E538" s="1"/>
      <c r="F538" s="1"/>
    </row>
    <row r="539" ht="15.75" customHeight="1">
      <c r="A539" s="36"/>
      <c r="B539" s="37"/>
      <c r="C539" s="37"/>
      <c r="D539" s="1"/>
      <c r="E539" s="1"/>
      <c r="F539" s="1"/>
    </row>
    <row r="540" ht="15.75" customHeight="1">
      <c r="A540" s="36"/>
      <c r="B540" s="37"/>
      <c r="C540" s="37"/>
      <c r="D540" s="1"/>
      <c r="E540" s="1"/>
      <c r="F540" s="1"/>
    </row>
    <row r="541" ht="15.75" customHeight="1">
      <c r="A541" s="36"/>
      <c r="B541" s="37"/>
      <c r="C541" s="37"/>
      <c r="D541" s="1"/>
      <c r="E541" s="1"/>
      <c r="F541" s="1"/>
    </row>
    <row r="542" ht="15.75" customHeight="1">
      <c r="A542" s="36"/>
      <c r="B542" s="37"/>
      <c r="C542" s="37"/>
      <c r="D542" s="1"/>
      <c r="E542" s="1"/>
      <c r="F542" s="1"/>
    </row>
    <row r="543" ht="15.75" customHeight="1">
      <c r="A543" s="36"/>
      <c r="B543" s="37"/>
      <c r="C543" s="37"/>
      <c r="D543" s="1"/>
      <c r="E543" s="1"/>
      <c r="F543" s="1"/>
    </row>
    <row r="544" ht="15.75" customHeight="1">
      <c r="A544" s="36"/>
      <c r="B544" s="37"/>
      <c r="C544" s="37"/>
      <c r="D544" s="1"/>
      <c r="E544" s="1"/>
      <c r="F544" s="1"/>
    </row>
    <row r="545" ht="15.75" customHeight="1">
      <c r="A545" s="36"/>
      <c r="B545" s="37"/>
      <c r="C545" s="37"/>
      <c r="D545" s="1"/>
      <c r="E545" s="1"/>
      <c r="F545" s="1"/>
    </row>
    <row r="546" ht="15.75" customHeight="1">
      <c r="A546" s="36"/>
      <c r="B546" s="37"/>
      <c r="C546" s="37"/>
      <c r="D546" s="1"/>
      <c r="E546" s="1"/>
      <c r="F546" s="1"/>
    </row>
    <row r="547" ht="15.75" customHeight="1">
      <c r="A547" s="36"/>
      <c r="B547" s="37"/>
      <c r="C547" s="37"/>
      <c r="D547" s="1"/>
      <c r="E547" s="1"/>
      <c r="F547" s="1"/>
    </row>
    <row r="548" ht="15.75" customHeight="1">
      <c r="A548" s="36"/>
      <c r="B548" s="37"/>
      <c r="C548" s="37"/>
      <c r="D548" s="1"/>
      <c r="E548" s="1"/>
      <c r="F548" s="1"/>
    </row>
    <row r="549" ht="15.75" customHeight="1">
      <c r="A549" s="36"/>
      <c r="B549" s="37"/>
      <c r="C549" s="37"/>
      <c r="D549" s="1"/>
      <c r="E549" s="1"/>
      <c r="F549" s="1"/>
    </row>
    <row r="550" ht="15.75" customHeight="1">
      <c r="A550" s="36"/>
      <c r="B550" s="37"/>
      <c r="C550" s="37"/>
      <c r="D550" s="1"/>
      <c r="E550" s="1"/>
      <c r="F550" s="1"/>
    </row>
    <row r="551" ht="15.75" customHeight="1">
      <c r="A551" s="36"/>
      <c r="B551" s="37"/>
      <c r="C551" s="37"/>
      <c r="D551" s="1"/>
      <c r="E551" s="1"/>
      <c r="F551" s="1"/>
    </row>
    <row r="552" ht="15.75" customHeight="1">
      <c r="A552" s="36"/>
      <c r="B552" s="37"/>
      <c r="C552" s="37"/>
      <c r="D552" s="1"/>
      <c r="E552" s="1"/>
      <c r="F552" s="1"/>
    </row>
    <row r="553" ht="15.75" customHeight="1">
      <c r="A553" s="36"/>
      <c r="B553" s="37"/>
      <c r="C553" s="37"/>
      <c r="D553" s="1"/>
      <c r="E553" s="1"/>
      <c r="F553" s="1"/>
    </row>
    <row r="554" ht="15.75" customHeight="1">
      <c r="A554" s="36"/>
      <c r="B554" s="37"/>
      <c r="C554" s="37"/>
      <c r="D554" s="1"/>
      <c r="E554" s="1"/>
      <c r="F554" s="1"/>
    </row>
    <row r="555" ht="15.75" customHeight="1">
      <c r="A555" s="36"/>
      <c r="B555" s="37"/>
      <c r="C555" s="37"/>
      <c r="D555" s="1"/>
      <c r="E555" s="1"/>
      <c r="F555" s="1"/>
    </row>
    <row r="556" ht="15.75" customHeight="1">
      <c r="A556" s="36"/>
      <c r="B556" s="37"/>
      <c r="C556" s="37"/>
      <c r="D556" s="1"/>
      <c r="E556" s="1"/>
      <c r="F556" s="1"/>
    </row>
    <row r="557" ht="15.75" customHeight="1">
      <c r="A557" s="36"/>
      <c r="B557" s="37"/>
      <c r="C557" s="37"/>
      <c r="D557" s="1"/>
      <c r="E557" s="1"/>
      <c r="F557" s="1"/>
    </row>
    <row r="558" ht="15.75" customHeight="1">
      <c r="A558" s="36"/>
      <c r="B558" s="37"/>
      <c r="C558" s="37"/>
      <c r="D558" s="1"/>
      <c r="E558" s="1"/>
      <c r="F558" s="1"/>
    </row>
    <row r="559" ht="15.75" customHeight="1">
      <c r="A559" s="36"/>
      <c r="B559" s="37"/>
      <c r="C559" s="37"/>
      <c r="D559" s="1"/>
      <c r="E559" s="1"/>
      <c r="F559" s="1"/>
    </row>
    <row r="560" ht="15.75" customHeight="1">
      <c r="A560" s="36"/>
      <c r="B560" s="37"/>
      <c r="C560" s="37"/>
      <c r="D560" s="1"/>
      <c r="E560" s="1"/>
      <c r="F560" s="1"/>
    </row>
    <row r="561" ht="15.75" customHeight="1">
      <c r="A561" s="36"/>
      <c r="B561" s="37"/>
      <c r="C561" s="37"/>
      <c r="D561" s="1"/>
      <c r="E561" s="1"/>
      <c r="F561" s="1"/>
    </row>
    <row r="562" ht="15.75" customHeight="1">
      <c r="A562" s="36"/>
      <c r="B562" s="37"/>
      <c r="C562" s="37"/>
      <c r="D562" s="1"/>
      <c r="E562" s="1"/>
      <c r="F562" s="1"/>
    </row>
    <row r="563" ht="15.75" customHeight="1">
      <c r="A563" s="36"/>
      <c r="B563" s="37"/>
      <c r="C563" s="37"/>
      <c r="D563" s="1"/>
      <c r="E563" s="1"/>
      <c r="F563" s="1"/>
    </row>
    <row r="564" ht="15.75" customHeight="1">
      <c r="A564" s="36"/>
      <c r="B564" s="37"/>
      <c r="C564" s="37"/>
      <c r="D564" s="1"/>
      <c r="E564" s="1"/>
      <c r="F564" s="1"/>
    </row>
    <row r="565" ht="15.75" customHeight="1">
      <c r="A565" s="36"/>
      <c r="B565" s="37"/>
      <c r="C565" s="37"/>
      <c r="D565" s="1"/>
      <c r="E565" s="1"/>
      <c r="F565" s="1"/>
    </row>
    <row r="566" ht="15.75" customHeight="1">
      <c r="A566" s="36"/>
      <c r="B566" s="37"/>
      <c r="C566" s="37"/>
      <c r="D566" s="1"/>
      <c r="E566" s="1"/>
      <c r="F566" s="1"/>
    </row>
    <row r="567" ht="15.75" customHeight="1">
      <c r="A567" s="36"/>
      <c r="B567" s="37"/>
      <c r="C567" s="37"/>
      <c r="D567" s="1"/>
      <c r="E567" s="1"/>
      <c r="F567" s="1"/>
    </row>
    <row r="568" ht="15.75" customHeight="1">
      <c r="A568" s="36"/>
      <c r="B568" s="37"/>
      <c r="C568" s="37"/>
      <c r="D568" s="1"/>
      <c r="E568" s="1"/>
      <c r="F568" s="1"/>
    </row>
    <row r="569" ht="15.75" customHeight="1">
      <c r="A569" s="36"/>
      <c r="B569" s="37"/>
      <c r="C569" s="37"/>
      <c r="D569" s="1"/>
      <c r="E569" s="1"/>
      <c r="F569" s="1"/>
    </row>
    <row r="570" ht="15.75" customHeight="1">
      <c r="A570" s="36"/>
      <c r="B570" s="37"/>
      <c r="C570" s="37"/>
      <c r="D570" s="1"/>
      <c r="E570" s="1"/>
      <c r="F570" s="1"/>
    </row>
    <row r="571" ht="15.75" customHeight="1">
      <c r="A571" s="36"/>
      <c r="B571" s="37"/>
      <c r="C571" s="37"/>
      <c r="D571" s="1"/>
      <c r="E571" s="1"/>
      <c r="F571" s="1"/>
    </row>
    <row r="572" ht="15.75" customHeight="1">
      <c r="A572" s="36"/>
      <c r="B572" s="37"/>
      <c r="C572" s="37"/>
      <c r="D572" s="1"/>
      <c r="E572" s="1"/>
      <c r="F572" s="1"/>
    </row>
    <row r="573" ht="15.75" customHeight="1">
      <c r="A573" s="36"/>
      <c r="B573" s="37"/>
      <c r="C573" s="37"/>
      <c r="D573" s="1"/>
      <c r="E573" s="1"/>
      <c r="F573" s="1"/>
    </row>
    <row r="574" ht="15.75" customHeight="1">
      <c r="A574" s="36"/>
      <c r="B574" s="37"/>
      <c r="C574" s="37"/>
      <c r="D574" s="1"/>
      <c r="E574" s="1"/>
      <c r="F574" s="1"/>
    </row>
    <row r="575" ht="15.75" customHeight="1">
      <c r="A575" s="36"/>
      <c r="B575" s="37"/>
      <c r="C575" s="37"/>
      <c r="D575" s="1"/>
      <c r="E575" s="1"/>
      <c r="F575" s="1"/>
    </row>
    <row r="576" ht="15.75" customHeight="1">
      <c r="A576" s="36"/>
      <c r="B576" s="37"/>
      <c r="C576" s="37"/>
      <c r="D576" s="1"/>
      <c r="E576" s="1"/>
      <c r="F576" s="1"/>
    </row>
    <row r="577" ht="15.75" customHeight="1">
      <c r="A577" s="36"/>
      <c r="B577" s="37"/>
      <c r="C577" s="37"/>
      <c r="D577" s="1"/>
      <c r="E577" s="1"/>
      <c r="F577" s="1"/>
    </row>
    <row r="578" ht="15.75" customHeight="1">
      <c r="A578" s="36"/>
      <c r="B578" s="37"/>
      <c r="C578" s="37"/>
      <c r="D578" s="1"/>
      <c r="E578" s="1"/>
      <c r="F578" s="1"/>
    </row>
    <row r="579" ht="15.75" customHeight="1">
      <c r="A579" s="36"/>
      <c r="B579" s="37"/>
      <c r="C579" s="37"/>
      <c r="D579" s="1"/>
      <c r="E579" s="1"/>
      <c r="F579" s="1"/>
    </row>
    <row r="580" ht="15.75" customHeight="1">
      <c r="A580" s="36"/>
      <c r="B580" s="37"/>
      <c r="C580" s="37"/>
      <c r="D580" s="1"/>
      <c r="E580" s="1"/>
      <c r="F580" s="1"/>
    </row>
    <row r="581" ht="15.75" customHeight="1">
      <c r="A581" s="36"/>
      <c r="B581" s="37"/>
      <c r="C581" s="37"/>
      <c r="D581" s="1"/>
      <c r="E581" s="1"/>
      <c r="F581" s="1"/>
    </row>
    <row r="582" ht="15.75" customHeight="1">
      <c r="A582" s="36"/>
      <c r="B582" s="37"/>
      <c r="C582" s="37"/>
      <c r="D582" s="1"/>
      <c r="E582" s="1"/>
      <c r="F582" s="1"/>
    </row>
    <row r="583" ht="15.75" customHeight="1">
      <c r="A583" s="36"/>
      <c r="B583" s="37"/>
      <c r="C583" s="37"/>
      <c r="D583" s="1"/>
      <c r="E583" s="1"/>
      <c r="F583" s="1"/>
    </row>
    <row r="584" ht="15.75" customHeight="1">
      <c r="A584" s="36"/>
      <c r="B584" s="37"/>
      <c r="C584" s="37"/>
      <c r="D584" s="1"/>
      <c r="E584" s="1"/>
      <c r="F584" s="1"/>
    </row>
    <row r="585" ht="15.75" customHeight="1">
      <c r="A585" s="36"/>
      <c r="B585" s="37"/>
      <c r="C585" s="37"/>
      <c r="D585" s="1"/>
      <c r="E585" s="1"/>
      <c r="F585" s="1"/>
    </row>
    <row r="586" ht="15.75" customHeight="1">
      <c r="A586" s="36"/>
      <c r="B586" s="37"/>
      <c r="C586" s="37"/>
      <c r="D586" s="1"/>
      <c r="E586" s="1"/>
      <c r="F586" s="1"/>
    </row>
    <row r="587" ht="15.75" customHeight="1">
      <c r="A587" s="36"/>
      <c r="B587" s="37"/>
      <c r="C587" s="37"/>
      <c r="D587" s="1"/>
      <c r="E587" s="1"/>
      <c r="F587" s="1"/>
    </row>
    <row r="588" ht="15.75" customHeight="1">
      <c r="A588" s="36"/>
      <c r="B588" s="37"/>
      <c r="C588" s="37"/>
      <c r="D588" s="1"/>
      <c r="E588" s="1"/>
      <c r="F588" s="1"/>
    </row>
    <row r="589" ht="15.75" customHeight="1">
      <c r="A589" s="36"/>
      <c r="B589" s="37"/>
      <c r="C589" s="37"/>
      <c r="D589" s="1"/>
      <c r="E589" s="1"/>
      <c r="F589" s="1"/>
    </row>
    <row r="590" ht="15.75" customHeight="1">
      <c r="A590" s="36"/>
      <c r="B590" s="37"/>
      <c r="C590" s="37"/>
      <c r="D590" s="1"/>
      <c r="E590" s="1"/>
      <c r="F590" s="1"/>
    </row>
    <row r="591" ht="15.75" customHeight="1">
      <c r="A591" s="36"/>
      <c r="B591" s="37"/>
      <c r="C591" s="37"/>
      <c r="D591" s="1"/>
      <c r="E591" s="1"/>
      <c r="F591" s="1"/>
    </row>
    <row r="592" ht="15.75" customHeight="1">
      <c r="A592" s="36"/>
      <c r="B592" s="37"/>
      <c r="C592" s="37"/>
      <c r="D592" s="1"/>
      <c r="E592" s="1"/>
      <c r="F592" s="1"/>
    </row>
    <row r="593" ht="15.75" customHeight="1">
      <c r="A593" s="36"/>
      <c r="B593" s="37"/>
      <c r="C593" s="37"/>
      <c r="D593" s="1"/>
      <c r="E593" s="1"/>
      <c r="F593" s="1"/>
    </row>
    <row r="594" ht="15.75" customHeight="1">
      <c r="A594" s="36"/>
      <c r="B594" s="37"/>
      <c r="C594" s="37"/>
      <c r="D594" s="1"/>
      <c r="E594" s="1"/>
      <c r="F594" s="1"/>
    </row>
    <row r="595" ht="15.75" customHeight="1">
      <c r="A595" s="36"/>
      <c r="B595" s="37"/>
      <c r="C595" s="37"/>
      <c r="D595" s="1"/>
      <c r="E595" s="1"/>
      <c r="F595" s="1"/>
    </row>
    <row r="596" ht="15.75" customHeight="1">
      <c r="A596" s="36"/>
      <c r="B596" s="37"/>
      <c r="C596" s="37"/>
      <c r="D596" s="1"/>
      <c r="E596" s="1"/>
      <c r="F596" s="1"/>
    </row>
    <row r="597" ht="15.75" customHeight="1">
      <c r="A597" s="36"/>
      <c r="B597" s="37"/>
      <c r="C597" s="37"/>
      <c r="D597" s="1"/>
      <c r="E597" s="1"/>
      <c r="F597" s="1"/>
    </row>
    <row r="598" ht="15.75" customHeight="1">
      <c r="A598" s="36"/>
      <c r="B598" s="37"/>
      <c r="C598" s="37"/>
      <c r="D598" s="1"/>
      <c r="E598" s="1"/>
      <c r="F598" s="1"/>
    </row>
    <row r="599" ht="15.75" customHeight="1">
      <c r="A599" s="36"/>
      <c r="B599" s="37"/>
      <c r="C599" s="37"/>
      <c r="D599" s="1"/>
      <c r="E599" s="1"/>
      <c r="F599" s="1"/>
    </row>
    <row r="600" ht="15.75" customHeight="1">
      <c r="A600" s="36"/>
      <c r="B600" s="37"/>
      <c r="C600" s="37"/>
      <c r="D600" s="1"/>
      <c r="E600" s="1"/>
      <c r="F600" s="1"/>
    </row>
    <row r="601" ht="15.75" customHeight="1">
      <c r="A601" s="36"/>
      <c r="B601" s="37"/>
      <c r="C601" s="37"/>
      <c r="D601" s="1"/>
      <c r="E601" s="1"/>
      <c r="F601" s="1"/>
    </row>
    <row r="602" ht="15.75" customHeight="1">
      <c r="A602" s="36"/>
      <c r="B602" s="37"/>
      <c r="C602" s="37"/>
      <c r="D602" s="1"/>
      <c r="E602" s="1"/>
      <c r="F602" s="1"/>
    </row>
    <row r="603" ht="15.75" customHeight="1">
      <c r="A603" s="36"/>
      <c r="B603" s="37"/>
      <c r="C603" s="37"/>
      <c r="D603" s="1"/>
      <c r="E603" s="1"/>
      <c r="F603" s="1"/>
    </row>
    <row r="604" ht="15.75" customHeight="1">
      <c r="A604" s="36"/>
      <c r="B604" s="37"/>
      <c r="C604" s="37"/>
      <c r="D604" s="1"/>
      <c r="E604" s="1"/>
      <c r="F604" s="1"/>
    </row>
    <row r="605" ht="15.75" customHeight="1">
      <c r="A605" s="36"/>
      <c r="B605" s="37"/>
      <c r="C605" s="37"/>
      <c r="D605" s="1"/>
      <c r="E605" s="1"/>
      <c r="F605" s="1"/>
    </row>
    <row r="606" ht="15.75" customHeight="1">
      <c r="A606" s="36"/>
      <c r="B606" s="37"/>
      <c r="C606" s="37"/>
      <c r="D606" s="1"/>
      <c r="E606" s="1"/>
      <c r="F606" s="1"/>
    </row>
    <row r="607" ht="15.75" customHeight="1">
      <c r="A607" s="36"/>
      <c r="B607" s="37"/>
      <c r="C607" s="37"/>
      <c r="D607" s="1"/>
      <c r="E607" s="1"/>
      <c r="F607" s="1"/>
    </row>
    <row r="608" ht="15.75" customHeight="1">
      <c r="A608" s="36"/>
      <c r="B608" s="37"/>
      <c r="C608" s="37"/>
      <c r="D608" s="1"/>
      <c r="E608" s="1"/>
      <c r="F608" s="1"/>
    </row>
    <row r="609" ht="15.75" customHeight="1">
      <c r="A609" s="36"/>
      <c r="B609" s="37"/>
      <c r="C609" s="37"/>
      <c r="D609" s="1"/>
      <c r="E609" s="1"/>
      <c r="F609" s="1"/>
    </row>
    <row r="610" ht="15.75" customHeight="1">
      <c r="A610" s="36"/>
      <c r="B610" s="37"/>
      <c r="C610" s="37"/>
      <c r="D610" s="1"/>
      <c r="E610" s="1"/>
      <c r="F610" s="1"/>
    </row>
    <row r="611" ht="15.75" customHeight="1">
      <c r="A611" s="36"/>
      <c r="B611" s="37"/>
      <c r="C611" s="37"/>
      <c r="D611" s="1"/>
      <c r="E611" s="1"/>
      <c r="F611" s="1"/>
    </row>
    <row r="612" ht="15.75" customHeight="1">
      <c r="A612" s="36"/>
      <c r="B612" s="37"/>
      <c r="C612" s="37"/>
      <c r="D612" s="1"/>
      <c r="E612" s="1"/>
      <c r="F612" s="1"/>
    </row>
    <row r="613" ht="15.75" customHeight="1">
      <c r="A613" s="36"/>
      <c r="B613" s="37"/>
      <c r="C613" s="37"/>
      <c r="D613" s="1"/>
      <c r="E613" s="1"/>
      <c r="F613" s="1"/>
    </row>
    <row r="614" ht="15.75" customHeight="1">
      <c r="A614" s="36"/>
      <c r="B614" s="37"/>
      <c r="C614" s="37"/>
      <c r="D614" s="1"/>
      <c r="E614" s="1"/>
      <c r="F614" s="1"/>
    </row>
    <row r="615" ht="15.75" customHeight="1">
      <c r="A615" s="36"/>
      <c r="B615" s="37"/>
      <c r="C615" s="37"/>
      <c r="D615" s="1"/>
      <c r="E615" s="1"/>
      <c r="F615" s="1"/>
    </row>
    <row r="616" ht="15.75" customHeight="1">
      <c r="A616" s="36"/>
      <c r="B616" s="37"/>
      <c r="C616" s="37"/>
      <c r="D616" s="1"/>
      <c r="E616" s="1"/>
      <c r="F616" s="1"/>
    </row>
    <row r="617" ht="15.75" customHeight="1">
      <c r="A617" s="36"/>
      <c r="B617" s="37"/>
      <c r="C617" s="37"/>
      <c r="D617" s="1"/>
      <c r="E617" s="1"/>
      <c r="F617" s="1"/>
    </row>
    <row r="618" ht="15.75" customHeight="1">
      <c r="A618" s="36"/>
      <c r="B618" s="37"/>
      <c r="C618" s="37"/>
      <c r="D618" s="1"/>
      <c r="E618" s="1"/>
      <c r="F618" s="1"/>
    </row>
    <row r="619" ht="15.75" customHeight="1">
      <c r="A619" s="36"/>
      <c r="B619" s="37"/>
      <c r="C619" s="37"/>
      <c r="D619" s="1"/>
      <c r="E619" s="1"/>
      <c r="F619" s="1"/>
    </row>
    <row r="620" ht="15.75" customHeight="1">
      <c r="A620" s="36"/>
      <c r="B620" s="37"/>
      <c r="C620" s="37"/>
      <c r="D620" s="1"/>
      <c r="E620" s="1"/>
      <c r="F620" s="1"/>
    </row>
    <row r="621" ht="15.75" customHeight="1">
      <c r="A621" s="36"/>
      <c r="B621" s="37"/>
      <c r="C621" s="37"/>
      <c r="D621" s="1"/>
      <c r="E621" s="1"/>
      <c r="F621" s="1"/>
    </row>
    <row r="622" ht="15.75" customHeight="1">
      <c r="A622" s="36"/>
      <c r="B622" s="37"/>
      <c r="C622" s="37"/>
      <c r="D622" s="1"/>
      <c r="E622" s="1"/>
      <c r="F622" s="1"/>
    </row>
    <row r="623" ht="15.75" customHeight="1">
      <c r="A623" s="36"/>
      <c r="B623" s="37"/>
      <c r="C623" s="37"/>
      <c r="D623" s="1"/>
      <c r="E623" s="1"/>
      <c r="F623" s="1"/>
    </row>
    <row r="624" ht="15.75" customHeight="1">
      <c r="A624" s="36"/>
      <c r="B624" s="37"/>
      <c r="C624" s="37"/>
      <c r="D624" s="1"/>
      <c r="E624" s="1"/>
      <c r="F624" s="1"/>
    </row>
    <row r="625" ht="15.75" customHeight="1">
      <c r="A625" s="36"/>
      <c r="B625" s="37"/>
      <c r="C625" s="37"/>
      <c r="D625" s="1"/>
      <c r="E625" s="1"/>
      <c r="F625" s="1"/>
    </row>
    <row r="626" ht="15.75" customHeight="1">
      <c r="A626" s="36"/>
      <c r="B626" s="37"/>
      <c r="C626" s="37"/>
      <c r="D626" s="1"/>
      <c r="E626" s="1"/>
      <c r="F626" s="1"/>
    </row>
    <row r="627" ht="15.75" customHeight="1">
      <c r="A627" s="36"/>
      <c r="B627" s="37"/>
      <c r="C627" s="37"/>
      <c r="D627" s="1"/>
      <c r="E627" s="1"/>
      <c r="F627" s="1"/>
    </row>
    <row r="628" ht="15.75" customHeight="1">
      <c r="A628" s="36"/>
      <c r="B628" s="37"/>
      <c r="C628" s="37"/>
      <c r="D628" s="1"/>
      <c r="E628" s="1"/>
      <c r="F628" s="1"/>
    </row>
    <row r="629" ht="15.75" customHeight="1">
      <c r="A629" s="36"/>
      <c r="B629" s="37"/>
      <c r="C629" s="37"/>
      <c r="D629" s="1"/>
      <c r="E629" s="1"/>
      <c r="F629" s="1"/>
    </row>
    <row r="630" ht="15.75" customHeight="1">
      <c r="A630" s="36"/>
      <c r="B630" s="37"/>
      <c r="C630" s="37"/>
      <c r="D630" s="1"/>
      <c r="E630" s="1"/>
      <c r="F630" s="1"/>
    </row>
    <row r="631" ht="15.75" customHeight="1">
      <c r="A631" s="36"/>
      <c r="B631" s="37"/>
      <c r="C631" s="37"/>
      <c r="D631" s="1"/>
      <c r="E631" s="1"/>
      <c r="F631" s="1"/>
    </row>
    <row r="632" ht="15.75" customHeight="1">
      <c r="A632" s="36"/>
      <c r="B632" s="37"/>
      <c r="C632" s="37"/>
      <c r="D632" s="1"/>
      <c r="E632" s="1"/>
      <c r="F632" s="1"/>
    </row>
    <row r="633" ht="15.75" customHeight="1">
      <c r="A633" s="36"/>
      <c r="B633" s="37"/>
      <c r="C633" s="37"/>
      <c r="D633" s="1"/>
      <c r="E633" s="1"/>
      <c r="F633" s="1"/>
    </row>
    <row r="634" ht="15.75" customHeight="1">
      <c r="A634" s="36"/>
      <c r="B634" s="37"/>
      <c r="C634" s="37"/>
      <c r="D634" s="1"/>
      <c r="E634" s="1"/>
      <c r="F634" s="1"/>
    </row>
    <row r="635" ht="15.75" customHeight="1">
      <c r="A635" s="36"/>
      <c r="B635" s="37"/>
      <c r="C635" s="37"/>
      <c r="D635" s="1"/>
      <c r="E635" s="1"/>
      <c r="F635" s="1"/>
    </row>
    <row r="636" ht="15.75" customHeight="1">
      <c r="A636" s="36"/>
      <c r="B636" s="37"/>
      <c r="C636" s="37"/>
      <c r="D636" s="1"/>
      <c r="E636" s="1"/>
      <c r="F636" s="1"/>
    </row>
    <row r="637" ht="15.75" customHeight="1">
      <c r="A637" s="36"/>
      <c r="B637" s="37"/>
      <c r="C637" s="37"/>
      <c r="D637" s="1"/>
      <c r="E637" s="1"/>
      <c r="F637" s="1"/>
    </row>
    <row r="638" ht="15.75" customHeight="1">
      <c r="A638" s="36"/>
      <c r="B638" s="37"/>
      <c r="C638" s="37"/>
      <c r="D638" s="1"/>
      <c r="E638" s="1"/>
      <c r="F638" s="1"/>
    </row>
    <row r="639" ht="15.75" customHeight="1">
      <c r="A639" s="36"/>
      <c r="B639" s="37"/>
      <c r="C639" s="37"/>
      <c r="D639" s="1"/>
      <c r="E639" s="1"/>
      <c r="F639" s="1"/>
    </row>
    <row r="640" ht="15.75" customHeight="1">
      <c r="A640" s="36"/>
      <c r="B640" s="37"/>
      <c r="C640" s="37"/>
      <c r="D640" s="1"/>
      <c r="E640" s="1"/>
      <c r="F640" s="1"/>
    </row>
    <row r="641" ht="15.75" customHeight="1">
      <c r="A641" s="36"/>
      <c r="B641" s="37"/>
      <c r="C641" s="37"/>
      <c r="D641" s="1"/>
      <c r="E641" s="1"/>
      <c r="F641" s="1"/>
    </row>
    <row r="642" ht="15.75" customHeight="1">
      <c r="A642" s="36"/>
      <c r="B642" s="37"/>
      <c r="C642" s="37"/>
      <c r="D642" s="1"/>
      <c r="E642" s="1"/>
      <c r="F642" s="1"/>
    </row>
    <row r="643" ht="15.75" customHeight="1">
      <c r="A643" s="36"/>
      <c r="B643" s="37"/>
      <c r="C643" s="37"/>
      <c r="D643" s="1"/>
      <c r="E643" s="1"/>
      <c r="F643" s="1"/>
    </row>
    <row r="644" ht="15.75" customHeight="1">
      <c r="A644" s="36"/>
      <c r="B644" s="37"/>
      <c r="C644" s="37"/>
      <c r="D644" s="1"/>
      <c r="E644" s="1"/>
      <c r="F644" s="1"/>
    </row>
    <row r="645" ht="15.75" customHeight="1">
      <c r="A645" s="36"/>
      <c r="B645" s="37"/>
      <c r="C645" s="37"/>
      <c r="D645" s="1"/>
      <c r="E645" s="1"/>
      <c r="F645" s="1"/>
    </row>
    <row r="646" ht="15.75" customHeight="1">
      <c r="A646" s="36"/>
      <c r="B646" s="37"/>
      <c r="C646" s="37"/>
      <c r="D646" s="1"/>
      <c r="E646" s="1"/>
      <c r="F646" s="1"/>
    </row>
    <row r="647" ht="15.75" customHeight="1">
      <c r="A647" s="36"/>
      <c r="B647" s="37"/>
      <c r="C647" s="37"/>
      <c r="D647" s="1"/>
      <c r="E647" s="1"/>
      <c r="F647" s="1"/>
    </row>
    <row r="648" ht="15.75" customHeight="1">
      <c r="A648" s="36"/>
      <c r="B648" s="37"/>
      <c r="C648" s="37"/>
      <c r="D648" s="1"/>
      <c r="E648" s="1"/>
      <c r="F648" s="1"/>
    </row>
    <row r="649" ht="15.75" customHeight="1">
      <c r="A649" s="36"/>
      <c r="B649" s="37"/>
      <c r="C649" s="37"/>
      <c r="D649" s="1"/>
      <c r="E649" s="1"/>
      <c r="F649" s="1"/>
    </row>
    <row r="650" ht="15.75" customHeight="1">
      <c r="A650" s="36"/>
      <c r="B650" s="37"/>
      <c r="C650" s="37"/>
      <c r="D650" s="1"/>
      <c r="E650" s="1"/>
      <c r="F650" s="1"/>
    </row>
    <row r="651" ht="15.75" customHeight="1">
      <c r="A651" s="36"/>
      <c r="B651" s="37"/>
      <c r="C651" s="37"/>
      <c r="D651" s="1"/>
      <c r="E651" s="1"/>
      <c r="F651" s="1"/>
    </row>
    <row r="652" ht="15.75" customHeight="1">
      <c r="A652" s="36"/>
      <c r="B652" s="37"/>
      <c r="C652" s="37"/>
      <c r="D652" s="1"/>
      <c r="E652" s="1"/>
      <c r="F652" s="1"/>
    </row>
    <row r="653" ht="15.75" customHeight="1">
      <c r="A653" s="36"/>
      <c r="B653" s="37"/>
      <c r="C653" s="37"/>
      <c r="D653" s="1"/>
      <c r="E653" s="1"/>
      <c r="F653" s="1"/>
    </row>
    <row r="654" ht="15.75" customHeight="1">
      <c r="A654" s="36"/>
      <c r="B654" s="37"/>
      <c r="C654" s="37"/>
      <c r="D654" s="1"/>
      <c r="E654" s="1"/>
      <c r="F654" s="1"/>
    </row>
    <row r="655" ht="15.75" customHeight="1">
      <c r="A655" s="36"/>
      <c r="B655" s="37"/>
      <c r="C655" s="37"/>
      <c r="D655" s="1"/>
      <c r="E655" s="1"/>
      <c r="F655" s="1"/>
    </row>
    <row r="656" ht="15.75" customHeight="1">
      <c r="A656" s="36"/>
      <c r="B656" s="37"/>
      <c r="C656" s="37"/>
      <c r="D656" s="1"/>
      <c r="E656" s="1"/>
      <c r="F656" s="1"/>
    </row>
    <row r="657" ht="15.75" customHeight="1">
      <c r="A657" s="36"/>
      <c r="B657" s="37"/>
      <c r="C657" s="37"/>
      <c r="D657" s="1"/>
      <c r="E657" s="1"/>
      <c r="F657" s="1"/>
    </row>
    <row r="658" ht="15.75" customHeight="1">
      <c r="A658" s="36"/>
      <c r="B658" s="37"/>
      <c r="C658" s="37"/>
      <c r="D658" s="1"/>
      <c r="E658" s="1"/>
      <c r="F658" s="1"/>
    </row>
    <row r="659" ht="15.75" customHeight="1">
      <c r="A659" s="36"/>
      <c r="B659" s="37"/>
      <c r="C659" s="37"/>
      <c r="D659" s="1"/>
      <c r="E659" s="1"/>
      <c r="F659" s="1"/>
    </row>
    <row r="660" ht="15.75" customHeight="1">
      <c r="A660" s="36"/>
      <c r="B660" s="37"/>
      <c r="C660" s="37"/>
      <c r="D660" s="1"/>
      <c r="E660" s="1"/>
      <c r="F660" s="1"/>
    </row>
    <row r="661" ht="15.75" customHeight="1">
      <c r="A661" s="36"/>
      <c r="B661" s="37"/>
      <c r="C661" s="37"/>
      <c r="D661" s="1"/>
      <c r="E661" s="1"/>
      <c r="F661" s="1"/>
    </row>
    <row r="662" ht="15.75" customHeight="1">
      <c r="A662" s="36"/>
      <c r="B662" s="37"/>
      <c r="C662" s="37"/>
      <c r="D662" s="1"/>
      <c r="E662" s="1"/>
      <c r="F662" s="1"/>
    </row>
    <row r="663" ht="15.75" customHeight="1">
      <c r="A663" s="36"/>
      <c r="B663" s="37"/>
      <c r="C663" s="37"/>
      <c r="D663" s="1"/>
      <c r="E663" s="1"/>
      <c r="F663" s="1"/>
    </row>
    <row r="664" ht="15.75" customHeight="1">
      <c r="A664" s="36"/>
      <c r="B664" s="37"/>
      <c r="C664" s="37"/>
      <c r="D664" s="1"/>
      <c r="E664" s="1"/>
      <c r="F664" s="1"/>
    </row>
    <row r="665" ht="15.75" customHeight="1">
      <c r="A665" s="36"/>
      <c r="B665" s="37"/>
      <c r="C665" s="37"/>
      <c r="D665" s="1"/>
      <c r="E665" s="1"/>
      <c r="F665" s="1"/>
    </row>
    <row r="666" ht="15.75" customHeight="1">
      <c r="A666" s="36"/>
      <c r="B666" s="37"/>
      <c r="C666" s="37"/>
      <c r="D666" s="1"/>
      <c r="E666" s="1"/>
      <c r="F666" s="1"/>
    </row>
    <row r="667" ht="15.75" customHeight="1">
      <c r="A667" s="36"/>
      <c r="B667" s="37"/>
      <c r="C667" s="37"/>
      <c r="D667" s="1"/>
      <c r="E667" s="1"/>
      <c r="F667" s="1"/>
    </row>
    <row r="668" ht="15.75" customHeight="1">
      <c r="A668" s="36"/>
      <c r="B668" s="37"/>
      <c r="C668" s="37"/>
      <c r="D668" s="1"/>
      <c r="E668" s="1"/>
      <c r="F668" s="1"/>
    </row>
    <row r="669" ht="15.75" customHeight="1">
      <c r="A669" s="36"/>
      <c r="B669" s="37"/>
      <c r="C669" s="37"/>
      <c r="D669" s="1"/>
      <c r="E669" s="1"/>
      <c r="F669" s="1"/>
    </row>
    <row r="670" ht="15.75" customHeight="1">
      <c r="A670" s="36"/>
      <c r="B670" s="37"/>
      <c r="C670" s="37"/>
      <c r="D670" s="1"/>
      <c r="E670" s="1"/>
      <c r="F670" s="1"/>
    </row>
    <row r="671" ht="15.75" customHeight="1">
      <c r="A671" s="36"/>
      <c r="B671" s="37"/>
      <c r="C671" s="37"/>
      <c r="D671" s="1"/>
      <c r="E671" s="1"/>
      <c r="F671" s="1"/>
    </row>
    <row r="672" ht="15.75" customHeight="1">
      <c r="A672" s="36"/>
      <c r="B672" s="37"/>
      <c r="C672" s="37"/>
      <c r="D672" s="1"/>
      <c r="E672" s="1"/>
      <c r="F672" s="1"/>
    </row>
    <row r="673" ht="15.75" customHeight="1">
      <c r="A673" s="36"/>
      <c r="B673" s="37"/>
      <c r="C673" s="37"/>
      <c r="D673" s="1"/>
      <c r="E673" s="1"/>
      <c r="F673" s="1"/>
    </row>
    <row r="674" ht="15.75" customHeight="1">
      <c r="A674" s="36"/>
      <c r="B674" s="37"/>
      <c r="C674" s="37"/>
      <c r="D674" s="1"/>
      <c r="E674" s="1"/>
      <c r="F674" s="1"/>
    </row>
    <row r="675" ht="15.75" customHeight="1">
      <c r="A675" s="36"/>
      <c r="B675" s="37"/>
      <c r="C675" s="37"/>
      <c r="D675" s="1"/>
      <c r="E675" s="1"/>
      <c r="F675" s="1"/>
    </row>
    <row r="676" ht="15.75" customHeight="1">
      <c r="A676" s="36"/>
      <c r="B676" s="37"/>
      <c r="C676" s="37"/>
      <c r="D676" s="1"/>
      <c r="E676" s="1"/>
      <c r="F676" s="1"/>
    </row>
    <row r="677" ht="15.75" customHeight="1">
      <c r="A677" s="36"/>
      <c r="B677" s="37"/>
      <c r="C677" s="37"/>
      <c r="D677" s="1"/>
      <c r="E677" s="1"/>
      <c r="F677" s="1"/>
    </row>
    <row r="678" ht="15.75" customHeight="1">
      <c r="A678" s="36"/>
      <c r="B678" s="37"/>
      <c r="C678" s="37"/>
      <c r="D678" s="1"/>
      <c r="E678" s="1"/>
      <c r="F678" s="1"/>
    </row>
    <row r="679" ht="15.75" customHeight="1">
      <c r="A679" s="36"/>
      <c r="B679" s="37"/>
      <c r="C679" s="37"/>
      <c r="D679" s="1"/>
      <c r="E679" s="1"/>
      <c r="F679" s="1"/>
    </row>
    <row r="680" ht="15.75" customHeight="1">
      <c r="A680" s="36"/>
      <c r="B680" s="37"/>
      <c r="C680" s="37"/>
      <c r="D680" s="1"/>
      <c r="E680" s="1"/>
      <c r="F680" s="1"/>
    </row>
    <row r="681" ht="15.75" customHeight="1">
      <c r="A681" s="36"/>
      <c r="B681" s="37"/>
      <c r="C681" s="37"/>
      <c r="D681" s="1"/>
      <c r="E681" s="1"/>
      <c r="F681" s="1"/>
    </row>
    <row r="682" ht="15.75" customHeight="1">
      <c r="A682" s="36"/>
      <c r="B682" s="37"/>
      <c r="C682" s="37"/>
      <c r="D682" s="1"/>
      <c r="E682" s="1"/>
      <c r="F682" s="1"/>
    </row>
    <row r="683" ht="15.75" customHeight="1">
      <c r="A683" s="36"/>
      <c r="B683" s="37"/>
      <c r="C683" s="37"/>
      <c r="D683" s="1"/>
      <c r="E683" s="1"/>
      <c r="F683" s="1"/>
    </row>
    <row r="684" ht="15.75" customHeight="1">
      <c r="A684" s="36"/>
      <c r="B684" s="37"/>
      <c r="C684" s="37"/>
      <c r="D684" s="1"/>
      <c r="E684" s="1"/>
      <c r="F684" s="1"/>
    </row>
    <row r="685" ht="15.75" customHeight="1">
      <c r="A685" s="36"/>
      <c r="B685" s="37"/>
      <c r="C685" s="37"/>
      <c r="D685" s="1"/>
      <c r="E685" s="1"/>
      <c r="F685" s="1"/>
    </row>
    <row r="686" ht="15.75" customHeight="1">
      <c r="A686" s="36"/>
      <c r="B686" s="37"/>
      <c r="C686" s="37"/>
      <c r="D686" s="1"/>
      <c r="E686" s="1"/>
      <c r="F686" s="1"/>
    </row>
    <row r="687" ht="15.75" customHeight="1">
      <c r="A687" s="36"/>
      <c r="B687" s="37"/>
      <c r="C687" s="37"/>
      <c r="D687" s="1"/>
      <c r="E687" s="1"/>
      <c r="F687" s="1"/>
    </row>
    <row r="688" ht="15.75" customHeight="1">
      <c r="A688" s="36"/>
      <c r="B688" s="37"/>
      <c r="C688" s="37"/>
      <c r="D688" s="1"/>
      <c r="E688" s="1"/>
      <c r="F688" s="1"/>
    </row>
    <row r="689" ht="15.75" customHeight="1">
      <c r="A689" s="36"/>
      <c r="B689" s="37"/>
      <c r="C689" s="37"/>
      <c r="D689" s="1"/>
      <c r="E689" s="1"/>
      <c r="F689" s="1"/>
    </row>
    <row r="690" ht="15.75" customHeight="1">
      <c r="A690" s="36"/>
      <c r="B690" s="37"/>
      <c r="C690" s="37"/>
      <c r="D690" s="1"/>
      <c r="E690" s="1"/>
      <c r="F690" s="1"/>
    </row>
    <row r="691" ht="15.75" customHeight="1">
      <c r="A691" s="36"/>
      <c r="B691" s="37"/>
      <c r="C691" s="37"/>
      <c r="D691" s="1"/>
      <c r="E691" s="1"/>
      <c r="F691" s="1"/>
    </row>
    <row r="692" ht="15.75" customHeight="1">
      <c r="A692" s="36"/>
      <c r="B692" s="37"/>
      <c r="C692" s="37"/>
      <c r="D692" s="1"/>
      <c r="E692" s="1"/>
      <c r="F692" s="1"/>
    </row>
    <row r="693" ht="15.75" customHeight="1">
      <c r="A693" s="36"/>
      <c r="B693" s="37"/>
      <c r="C693" s="37"/>
      <c r="D693" s="1"/>
      <c r="E693" s="1"/>
      <c r="F693" s="1"/>
    </row>
    <row r="694" ht="15.75" customHeight="1">
      <c r="A694" s="36"/>
      <c r="B694" s="37"/>
      <c r="C694" s="37"/>
      <c r="D694" s="1"/>
      <c r="E694" s="1"/>
      <c r="F694" s="1"/>
    </row>
    <row r="695" ht="15.75" customHeight="1">
      <c r="A695" s="36"/>
      <c r="B695" s="37"/>
      <c r="C695" s="37"/>
      <c r="D695" s="1"/>
      <c r="E695" s="1"/>
      <c r="F695" s="1"/>
    </row>
    <row r="696" ht="15.75" customHeight="1">
      <c r="A696" s="36"/>
      <c r="B696" s="37"/>
      <c r="C696" s="37"/>
      <c r="D696" s="1"/>
      <c r="E696" s="1"/>
      <c r="F696" s="1"/>
    </row>
    <row r="697" ht="15.75" customHeight="1">
      <c r="A697" s="36"/>
      <c r="B697" s="37"/>
      <c r="C697" s="37"/>
      <c r="D697" s="1"/>
      <c r="E697" s="1"/>
      <c r="F697" s="1"/>
    </row>
    <row r="698" ht="15.75" customHeight="1">
      <c r="A698" s="36"/>
      <c r="B698" s="37"/>
      <c r="C698" s="37"/>
      <c r="D698" s="1"/>
      <c r="E698" s="1"/>
      <c r="F698" s="1"/>
    </row>
    <row r="699" ht="15.75" customHeight="1">
      <c r="A699" s="36"/>
      <c r="B699" s="37"/>
      <c r="C699" s="37"/>
      <c r="D699" s="1"/>
      <c r="E699" s="1"/>
      <c r="F699" s="1"/>
    </row>
    <row r="700" ht="15.75" customHeight="1">
      <c r="A700" s="36"/>
      <c r="B700" s="37"/>
      <c r="C700" s="37"/>
      <c r="D700" s="1"/>
      <c r="E700" s="1"/>
      <c r="F700" s="1"/>
    </row>
    <row r="701" ht="15.75" customHeight="1">
      <c r="A701" s="36"/>
      <c r="B701" s="37"/>
      <c r="C701" s="37"/>
      <c r="D701" s="1"/>
      <c r="E701" s="1"/>
      <c r="F701" s="1"/>
    </row>
    <row r="702" ht="15.75" customHeight="1">
      <c r="A702" s="36"/>
      <c r="B702" s="37"/>
      <c r="C702" s="37"/>
      <c r="D702" s="1"/>
      <c r="E702" s="1"/>
      <c r="F702" s="1"/>
    </row>
    <row r="703" ht="15.75" customHeight="1">
      <c r="A703" s="36"/>
      <c r="B703" s="37"/>
      <c r="C703" s="37"/>
      <c r="D703" s="1"/>
      <c r="E703" s="1"/>
      <c r="F703" s="1"/>
    </row>
    <row r="704" ht="15.75" customHeight="1">
      <c r="A704" s="36"/>
      <c r="B704" s="37"/>
      <c r="C704" s="37"/>
      <c r="D704" s="1"/>
      <c r="E704" s="1"/>
      <c r="F704" s="1"/>
    </row>
    <row r="705" ht="15.75" customHeight="1">
      <c r="A705" s="36"/>
      <c r="B705" s="37"/>
      <c r="C705" s="37"/>
      <c r="D705" s="1"/>
      <c r="E705" s="1"/>
      <c r="F705" s="1"/>
    </row>
    <row r="706" ht="15.75" customHeight="1">
      <c r="A706" s="36"/>
      <c r="B706" s="37"/>
      <c r="C706" s="37"/>
      <c r="D706" s="1"/>
      <c r="E706" s="1"/>
      <c r="F706" s="1"/>
    </row>
    <row r="707" ht="15.75" customHeight="1">
      <c r="A707" s="36"/>
      <c r="B707" s="37"/>
      <c r="C707" s="37"/>
      <c r="D707" s="1"/>
      <c r="E707" s="1"/>
      <c r="F707" s="1"/>
    </row>
    <row r="708" ht="15.75" customHeight="1">
      <c r="A708" s="36"/>
      <c r="B708" s="37"/>
      <c r="C708" s="37"/>
      <c r="D708" s="1"/>
      <c r="E708" s="1"/>
      <c r="F708" s="1"/>
    </row>
    <row r="709" ht="15.75" customHeight="1">
      <c r="A709" s="36"/>
      <c r="B709" s="37"/>
      <c r="C709" s="37"/>
      <c r="D709" s="1"/>
      <c r="E709" s="1"/>
      <c r="F709" s="1"/>
    </row>
    <row r="710" ht="15.75" customHeight="1">
      <c r="A710" s="36"/>
      <c r="B710" s="37"/>
      <c r="C710" s="37"/>
      <c r="D710" s="1"/>
      <c r="E710" s="1"/>
      <c r="F710" s="1"/>
    </row>
    <row r="711" ht="15.75" customHeight="1">
      <c r="A711" s="36"/>
      <c r="B711" s="37"/>
      <c r="C711" s="37"/>
      <c r="D711" s="1"/>
      <c r="E711" s="1"/>
      <c r="F711" s="1"/>
    </row>
    <row r="712" ht="15.75" customHeight="1">
      <c r="A712" s="36"/>
      <c r="B712" s="37"/>
      <c r="C712" s="37"/>
      <c r="D712" s="1"/>
      <c r="E712" s="1"/>
      <c r="F712" s="1"/>
    </row>
    <row r="713" ht="15.75" customHeight="1">
      <c r="A713" s="36"/>
      <c r="B713" s="37"/>
      <c r="C713" s="37"/>
      <c r="D713" s="1"/>
      <c r="E713" s="1"/>
      <c r="F713" s="1"/>
    </row>
    <row r="714" ht="15.75" customHeight="1">
      <c r="A714" s="36"/>
      <c r="B714" s="37"/>
      <c r="C714" s="37"/>
      <c r="D714" s="1"/>
      <c r="E714" s="1"/>
      <c r="F714" s="1"/>
    </row>
    <row r="715" ht="15.75" customHeight="1">
      <c r="A715" s="36"/>
      <c r="B715" s="37"/>
      <c r="C715" s="37"/>
      <c r="D715" s="1"/>
      <c r="E715" s="1"/>
      <c r="F715" s="1"/>
    </row>
    <row r="716" ht="15.75" customHeight="1">
      <c r="A716" s="36"/>
      <c r="B716" s="37"/>
      <c r="C716" s="37"/>
      <c r="D716" s="1"/>
      <c r="E716" s="1"/>
      <c r="F716" s="1"/>
    </row>
    <row r="717" ht="15.75" customHeight="1">
      <c r="A717" s="36"/>
      <c r="B717" s="37"/>
      <c r="C717" s="37"/>
      <c r="D717" s="1"/>
      <c r="E717" s="1"/>
      <c r="F717" s="1"/>
    </row>
    <row r="718" ht="15.75" customHeight="1">
      <c r="A718" s="36"/>
      <c r="B718" s="37"/>
      <c r="C718" s="37"/>
      <c r="D718" s="1"/>
      <c r="E718" s="1"/>
      <c r="F718" s="1"/>
    </row>
    <row r="719" ht="15.75" customHeight="1">
      <c r="A719" s="36"/>
      <c r="B719" s="37"/>
      <c r="C719" s="37"/>
      <c r="D719" s="1"/>
      <c r="E719" s="1"/>
      <c r="F719" s="1"/>
    </row>
    <row r="720" ht="15.75" customHeight="1">
      <c r="A720" s="36"/>
      <c r="B720" s="37"/>
      <c r="C720" s="37"/>
      <c r="D720" s="1"/>
      <c r="E720" s="1"/>
      <c r="F720" s="1"/>
    </row>
    <row r="721" ht="15.75" customHeight="1">
      <c r="A721" s="36"/>
      <c r="B721" s="37"/>
      <c r="C721" s="37"/>
      <c r="D721" s="1"/>
      <c r="E721" s="1"/>
      <c r="F721" s="1"/>
    </row>
    <row r="722" ht="15.75" customHeight="1">
      <c r="A722" s="36"/>
      <c r="B722" s="37"/>
      <c r="C722" s="37"/>
      <c r="D722" s="1"/>
      <c r="E722" s="1"/>
      <c r="F722" s="1"/>
    </row>
    <row r="723" ht="15.75" customHeight="1">
      <c r="A723" s="36"/>
      <c r="B723" s="37"/>
      <c r="C723" s="37"/>
      <c r="D723" s="1"/>
      <c r="E723" s="1"/>
      <c r="F723" s="1"/>
    </row>
    <row r="724" ht="15.75" customHeight="1">
      <c r="A724" s="36"/>
      <c r="B724" s="37"/>
      <c r="C724" s="37"/>
      <c r="D724" s="1"/>
      <c r="E724" s="1"/>
      <c r="F724" s="1"/>
    </row>
    <row r="725" ht="15.75" customHeight="1">
      <c r="A725" s="36"/>
      <c r="B725" s="37"/>
      <c r="C725" s="37"/>
      <c r="D725" s="1"/>
      <c r="E725" s="1"/>
      <c r="F725" s="1"/>
    </row>
    <row r="726" ht="15.75" customHeight="1">
      <c r="A726" s="36"/>
      <c r="B726" s="37"/>
      <c r="C726" s="37"/>
      <c r="D726" s="1"/>
      <c r="E726" s="1"/>
      <c r="F726" s="1"/>
    </row>
    <row r="727" ht="15.75" customHeight="1">
      <c r="A727" s="36"/>
      <c r="B727" s="37"/>
      <c r="C727" s="37"/>
      <c r="D727" s="1"/>
      <c r="E727" s="1"/>
      <c r="F727" s="1"/>
    </row>
    <row r="728" ht="15.75" customHeight="1">
      <c r="A728" s="36"/>
      <c r="B728" s="37"/>
      <c r="C728" s="37"/>
      <c r="D728" s="1"/>
      <c r="E728" s="1"/>
      <c r="F728" s="1"/>
    </row>
    <row r="729" ht="15.75" customHeight="1">
      <c r="A729" s="36"/>
      <c r="B729" s="37"/>
      <c r="C729" s="37"/>
      <c r="D729" s="1"/>
      <c r="E729" s="1"/>
      <c r="F729" s="1"/>
    </row>
    <row r="730" ht="15.75" customHeight="1">
      <c r="A730" s="36"/>
      <c r="B730" s="37"/>
      <c r="C730" s="37"/>
      <c r="D730" s="1"/>
      <c r="E730" s="1"/>
      <c r="F730" s="1"/>
    </row>
    <row r="731" ht="15.75" customHeight="1">
      <c r="A731" s="36"/>
      <c r="B731" s="37"/>
      <c r="C731" s="37"/>
      <c r="D731" s="1"/>
      <c r="E731" s="1"/>
      <c r="F731" s="1"/>
    </row>
    <row r="732" ht="15.75" customHeight="1">
      <c r="A732" s="36"/>
      <c r="B732" s="37"/>
      <c r="C732" s="37"/>
      <c r="D732" s="1"/>
      <c r="E732" s="1"/>
      <c r="F732" s="1"/>
    </row>
    <row r="733" ht="15.75" customHeight="1">
      <c r="A733" s="36"/>
      <c r="B733" s="37"/>
      <c r="C733" s="37"/>
      <c r="D733" s="1"/>
      <c r="E733" s="1"/>
      <c r="F733" s="1"/>
    </row>
    <row r="734" ht="15.75" customHeight="1">
      <c r="A734" s="36"/>
      <c r="B734" s="37"/>
      <c r="C734" s="37"/>
      <c r="D734" s="1"/>
      <c r="E734" s="1"/>
      <c r="F734" s="1"/>
    </row>
    <row r="735" ht="15.75" customHeight="1">
      <c r="A735" s="36"/>
      <c r="B735" s="37"/>
      <c r="C735" s="37"/>
      <c r="D735" s="1"/>
      <c r="E735" s="1"/>
      <c r="F735" s="1"/>
    </row>
    <row r="736" ht="15.75" customHeight="1">
      <c r="A736" s="36"/>
      <c r="B736" s="37"/>
      <c r="C736" s="37"/>
      <c r="D736" s="1"/>
      <c r="E736" s="1"/>
      <c r="F736" s="1"/>
    </row>
    <row r="737" ht="15.75" customHeight="1">
      <c r="A737" s="36"/>
      <c r="B737" s="37"/>
      <c r="C737" s="37"/>
      <c r="D737" s="1"/>
      <c r="E737" s="1"/>
      <c r="F737" s="1"/>
    </row>
    <row r="738" ht="15.75" customHeight="1">
      <c r="A738" s="36"/>
      <c r="B738" s="37"/>
      <c r="C738" s="37"/>
      <c r="D738" s="1"/>
      <c r="E738" s="1"/>
      <c r="F738" s="1"/>
    </row>
    <row r="739" ht="15.75" customHeight="1">
      <c r="A739" s="36"/>
      <c r="B739" s="37"/>
      <c r="C739" s="37"/>
      <c r="D739" s="1"/>
      <c r="E739" s="1"/>
      <c r="F739" s="1"/>
    </row>
    <row r="740" ht="15.75" customHeight="1">
      <c r="A740" s="36"/>
      <c r="B740" s="37"/>
      <c r="C740" s="37"/>
      <c r="D740" s="1"/>
      <c r="E740" s="1"/>
      <c r="F740" s="1"/>
    </row>
    <row r="741" ht="15.75" customHeight="1">
      <c r="A741" s="36"/>
      <c r="B741" s="37"/>
      <c r="C741" s="37"/>
      <c r="D741" s="1"/>
      <c r="E741" s="1"/>
      <c r="F741" s="1"/>
    </row>
    <row r="742" ht="15.75" customHeight="1">
      <c r="A742" s="36"/>
      <c r="B742" s="37"/>
      <c r="C742" s="37"/>
      <c r="D742" s="1"/>
      <c r="E742" s="1"/>
      <c r="F742" s="1"/>
    </row>
    <row r="743" ht="15.75" customHeight="1">
      <c r="A743" s="36"/>
      <c r="B743" s="37"/>
      <c r="C743" s="37"/>
      <c r="D743" s="1"/>
      <c r="E743" s="1"/>
      <c r="F743" s="1"/>
    </row>
    <row r="744" ht="15.75" customHeight="1">
      <c r="A744" s="36"/>
      <c r="B744" s="37"/>
      <c r="C744" s="37"/>
      <c r="D744" s="1"/>
      <c r="E744" s="1"/>
      <c r="F744" s="1"/>
    </row>
    <row r="745" ht="15.75" customHeight="1">
      <c r="A745" s="36"/>
      <c r="B745" s="37"/>
      <c r="C745" s="37"/>
      <c r="D745" s="1"/>
      <c r="E745" s="1"/>
      <c r="F745" s="1"/>
    </row>
    <row r="746" ht="15.75" customHeight="1">
      <c r="A746" s="36"/>
      <c r="B746" s="37"/>
      <c r="C746" s="37"/>
      <c r="D746" s="1"/>
      <c r="E746" s="1"/>
      <c r="F746" s="1"/>
    </row>
    <row r="747" ht="15.75" customHeight="1">
      <c r="A747" s="36"/>
      <c r="B747" s="37"/>
      <c r="C747" s="37"/>
      <c r="D747" s="1"/>
      <c r="E747" s="1"/>
      <c r="F747" s="1"/>
    </row>
    <row r="748" ht="15.75" customHeight="1">
      <c r="A748" s="36"/>
      <c r="B748" s="37"/>
      <c r="C748" s="37"/>
      <c r="D748" s="1"/>
      <c r="E748" s="1"/>
      <c r="F748" s="1"/>
    </row>
    <row r="749" ht="15.75" customHeight="1">
      <c r="A749" s="36"/>
      <c r="B749" s="37"/>
      <c r="C749" s="37"/>
      <c r="D749" s="1"/>
      <c r="E749" s="1"/>
      <c r="F749" s="1"/>
    </row>
    <row r="750" ht="15.75" customHeight="1">
      <c r="A750" s="36"/>
      <c r="B750" s="37"/>
      <c r="C750" s="37"/>
      <c r="D750" s="1"/>
      <c r="E750" s="1"/>
      <c r="F750" s="1"/>
    </row>
    <row r="751" ht="15.75" customHeight="1">
      <c r="A751" s="36"/>
      <c r="B751" s="37"/>
      <c r="C751" s="37"/>
      <c r="D751" s="1"/>
      <c r="E751" s="1"/>
      <c r="F751" s="1"/>
    </row>
    <row r="752" ht="15.75" customHeight="1">
      <c r="A752" s="36"/>
      <c r="B752" s="37"/>
      <c r="C752" s="37"/>
      <c r="D752" s="1"/>
      <c r="E752" s="1"/>
      <c r="F752" s="1"/>
    </row>
    <row r="753" ht="15.75" customHeight="1">
      <c r="A753" s="36"/>
      <c r="B753" s="37"/>
      <c r="C753" s="37"/>
      <c r="D753" s="1"/>
      <c r="E753" s="1"/>
      <c r="F753" s="1"/>
    </row>
    <row r="754" ht="15.75" customHeight="1">
      <c r="A754" s="36"/>
      <c r="B754" s="37"/>
      <c r="C754" s="37"/>
      <c r="D754" s="1"/>
      <c r="E754" s="1"/>
      <c r="F754" s="1"/>
    </row>
    <row r="755" ht="15.75" customHeight="1">
      <c r="A755" s="36"/>
      <c r="B755" s="37"/>
      <c r="C755" s="37"/>
      <c r="D755" s="1"/>
      <c r="E755" s="1"/>
      <c r="F755" s="1"/>
    </row>
    <row r="756" ht="15.75" customHeight="1">
      <c r="A756" s="36"/>
      <c r="B756" s="37"/>
      <c r="C756" s="37"/>
      <c r="D756" s="1"/>
      <c r="E756" s="1"/>
      <c r="F756" s="1"/>
    </row>
    <row r="757" ht="15.75" customHeight="1">
      <c r="A757" s="36"/>
      <c r="B757" s="37"/>
      <c r="C757" s="37"/>
      <c r="D757" s="1"/>
      <c r="E757" s="1"/>
      <c r="F757" s="1"/>
    </row>
    <row r="758" ht="15.75" customHeight="1">
      <c r="A758" s="36"/>
      <c r="B758" s="37"/>
      <c r="C758" s="37"/>
      <c r="D758" s="1"/>
      <c r="E758" s="1"/>
      <c r="F758" s="1"/>
    </row>
    <row r="759" ht="15.75" customHeight="1">
      <c r="A759" s="36"/>
      <c r="B759" s="37"/>
      <c r="C759" s="37"/>
      <c r="D759" s="1"/>
      <c r="E759" s="1"/>
      <c r="F759" s="1"/>
    </row>
    <row r="760" ht="15.75" customHeight="1">
      <c r="A760" s="36"/>
      <c r="B760" s="37"/>
      <c r="C760" s="37"/>
      <c r="D760" s="1"/>
      <c r="E760" s="1"/>
      <c r="F760" s="1"/>
    </row>
    <row r="761" ht="15.75" customHeight="1">
      <c r="A761" s="36"/>
      <c r="B761" s="37"/>
      <c r="C761" s="37"/>
      <c r="D761" s="1"/>
      <c r="E761" s="1"/>
      <c r="F761" s="1"/>
    </row>
    <row r="762" ht="15.75" customHeight="1">
      <c r="A762" s="36"/>
      <c r="B762" s="37"/>
      <c r="C762" s="37"/>
      <c r="D762" s="1"/>
      <c r="E762" s="1"/>
      <c r="F762" s="1"/>
    </row>
    <row r="763" ht="15.75" customHeight="1">
      <c r="A763" s="36"/>
      <c r="B763" s="37"/>
      <c r="C763" s="37"/>
      <c r="D763" s="1"/>
      <c r="E763" s="1"/>
      <c r="F763" s="1"/>
    </row>
    <row r="764" ht="15.75" customHeight="1">
      <c r="A764" s="36"/>
      <c r="B764" s="37"/>
      <c r="C764" s="37"/>
      <c r="D764" s="1"/>
      <c r="E764" s="1"/>
      <c r="F764" s="1"/>
    </row>
    <row r="765" ht="15.75" customHeight="1">
      <c r="A765" s="36"/>
      <c r="B765" s="37"/>
      <c r="C765" s="37"/>
      <c r="D765" s="1"/>
      <c r="E765" s="1"/>
      <c r="F765" s="1"/>
    </row>
    <row r="766" ht="15.75" customHeight="1">
      <c r="A766" s="36"/>
      <c r="B766" s="37"/>
      <c r="C766" s="37"/>
      <c r="D766" s="1"/>
      <c r="E766" s="1"/>
      <c r="F766" s="1"/>
    </row>
    <row r="767" ht="15.75" customHeight="1">
      <c r="A767" s="36"/>
      <c r="B767" s="37"/>
      <c r="C767" s="37"/>
      <c r="D767" s="1"/>
      <c r="E767" s="1"/>
      <c r="F767" s="1"/>
    </row>
    <row r="768" ht="15.75" customHeight="1">
      <c r="A768" s="36"/>
      <c r="B768" s="37"/>
      <c r="C768" s="37"/>
      <c r="D768" s="1"/>
      <c r="E768" s="1"/>
      <c r="F768" s="1"/>
    </row>
    <row r="769" ht="15.75" customHeight="1">
      <c r="A769" s="36"/>
      <c r="B769" s="37"/>
      <c r="C769" s="37"/>
      <c r="D769" s="1"/>
      <c r="E769" s="1"/>
      <c r="F769" s="1"/>
    </row>
    <row r="770" ht="15.75" customHeight="1">
      <c r="A770" s="36"/>
      <c r="B770" s="37"/>
      <c r="C770" s="37"/>
      <c r="D770" s="1"/>
      <c r="E770" s="1"/>
      <c r="F770" s="1"/>
    </row>
    <row r="771" ht="15.75" customHeight="1">
      <c r="A771" s="36"/>
      <c r="B771" s="37"/>
      <c r="C771" s="37"/>
      <c r="D771" s="1"/>
      <c r="E771" s="1"/>
      <c r="F771" s="1"/>
    </row>
    <row r="772" ht="15.75" customHeight="1">
      <c r="A772" s="36"/>
      <c r="B772" s="37"/>
      <c r="C772" s="37"/>
      <c r="D772" s="1"/>
      <c r="E772" s="1"/>
      <c r="F772" s="1"/>
    </row>
    <row r="773" ht="15.75" customHeight="1">
      <c r="A773" s="36"/>
      <c r="B773" s="37"/>
      <c r="C773" s="37"/>
      <c r="D773" s="1"/>
      <c r="E773" s="1"/>
      <c r="F773" s="1"/>
    </row>
    <row r="774" ht="15.75" customHeight="1">
      <c r="A774" s="36"/>
      <c r="B774" s="37"/>
      <c r="C774" s="37"/>
      <c r="D774" s="1"/>
      <c r="E774" s="1"/>
      <c r="F774" s="1"/>
    </row>
    <row r="775" ht="15.75" customHeight="1">
      <c r="A775" s="36"/>
      <c r="B775" s="37"/>
      <c r="C775" s="37"/>
      <c r="D775" s="1"/>
      <c r="E775" s="1"/>
      <c r="F775" s="1"/>
    </row>
    <row r="776" ht="15.75" customHeight="1">
      <c r="A776" s="36"/>
      <c r="B776" s="37"/>
      <c r="C776" s="37"/>
      <c r="D776" s="1"/>
      <c r="E776" s="1"/>
      <c r="F776" s="1"/>
    </row>
    <row r="777" ht="15.75" customHeight="1">
      <c r="A777" s="36"/>
      <c r="B777" s="37"/>
      <c r="C777" s="37"/>
      <c r="D777" s="1"/>
      <c r="E777" s="1"/>
      <c r="F777" s="1"/>
    </row>
    <row r="778" ht="15.75" customHeight="1">
      <c r="A778" s="36"/>
      <c r="B778" s="37"/>
      <c r="C778" s="37"/>
      <c r="D778" s="1"/>
      <c r="E778" s="1"/>
      <c r="F778" s="1"/>
    </row>
    <row r="779" ht="15.75" customHeight="1">
      <c r="A779" s="36"/>
      <c r="B779" s="37"/>
      <c r="C779" s="37"/>
      <c r="D779" s="1"/>
      <c r="E779" s="1"/>
      <c r="F779" s="1"/>
    </row>
    <row r="780" ht="15.75" customHeight="1">
      <c r="A780" s="36"/>
      <c r="B780" s="37"/>
      <c r="C780" s="37"/>
      <c r="D780" s="1"/>
      <c r="E780" s="1"/>
      <c r="F780" s="1"/>
    </row>
    <row r="781" ht="15.75" customHeight="1">
      <c r="A781" s="36"/>
      <c r="B781" s="37"/>
      <c r="C781" s="37"/>
      <c r="D781" s="1"/>
      <c r="E781" s="1"/>
      <c r="F781" s="1"/>
    </row>
    <row r="782" ht="15.75" customHeight="1">
      <c r="A782" s="36"/>
      <c r="B782" s="37"/>
      <c r="C782" s="37"/>
      <c r="D782" s="1"/>
      <c r="E782" s="1"/>
      <c r="F782" s="1"/>
    </row>
    <row r="783" ht="15.75" customHeight="1">
      <c r="A783" s="36"/>
      <c r="B783" s="37"/>
      <c r="C783" s="37"/>
      <c r="D783" s="1"/>
      <c r="E783" s="1"/>
      <c r="F783" s="1"/>
    </row>
    <row r="784" ht="15.75" customHeight="1">
      <c r="A784" s="36"/>
      <c r="B784" s="37"/>
      <c r="C784" s="37"/>
      <c r="D784" s="1"/>
      <c r="E784" s="1"/>
      <c r="F784" s="1"/>
    </row>
    <row r="785" ht="15.75" customHeight="1">
      <c r="A785" s="36"/>
      <c r="B785" s="37"/>
      <c r="C785" s="37"/>
      <c r="D785" s="1"/>
      <c r="E785" s="1"/>
      <c r="F785" s="1"/>
    </row>
    <row r="786" ht="15.75" customHeight="1">
      <c r="A786" s="36"/>
      <c r="B786" s="37"/>
      <c r="C786" s="37"/>
      <c r="D786" s="1"/>
      <c r="E786" s="1"/>
      <c r="F786" s="1"/>
    </row>
    <row r="787" ht="15.75" customHeight="1">
      <c r="A787" s="36"/>
      <c r="B787" s="37"/>
      <c r="C787" s="37"/>
      <c r="D787" s="1"/>
      <c r="E787" s="1"/>
      <c r="F787" s="1"/>
    </row>
    <row r="788" ht="15.75" customHeight="1">
      <c r="A788" s="36"/>
      <c r="B788" s="37"/>
      <c r="C788" s="37"/>
      <c r="D788" s="1"/>
      <c r="E788" s="1"/>
      <c r="F788" s="1"/>
    </row>
    <row r="789" ht="15.75" customHeight="1">
      <c r="A789" s="36"/>
      <c r="B789" s="37"/>
      <c r="C789" s="37"/>
      <c r="D789" s="1"/>
      <c r="E789" s="1"/>
      <c r="F789" s="1"/>
    </row>
    <row r="790" ht="15.75" customHeight="1">
      <c r="A790" s="36"/>
      <c r="B790" s="37"/>
      <c r="C790" s="37"/>
      <c r="D790" s="1"/>
      <c r="E790" s="1"/>
      <c r="F790" s="1"/>
    </row>
    <row r="791" ht="15.75" customHeight="1">
      <c r="A791" s="36"/>
      <c r="B791" s="37"/>
      <c r="C791" s="37"/>
      <c r="D791" s="1"/>
      <c r="E791" s="1"/>
      <c r="F791" s="1"/>
    </row>
    <row r="792" ht="15.75" customHeight="1">
      <c r="A792" s="36"/>
      <c r="B792" s="37"/>
      <c r="C792" s="37"/>
      <c r="D792" s="1"/>
      <c r="E792" s="1"/>
      <c r="F792" s="1"/>
    </row>
    <row r="793" ht="15.75" customHeight="1">
      <c r="A793" s="36"/>
      <c r="B793" s="37"/>
      <c r="C793" s="37"/>
      <c r="D793" s="1"/>
      <c r="E793" s="1"/>
      <c r="F793" s="1"/>
    </row>
    <row r="794" ht="15.75" customHeight="1">
      <c r="A794" s="36"/>
      <c r="B794" s="37"/>
      <c r="C794" s="37"/>
      <c r="D794" s="1"/>
      <c r="E794" s="1"/>
      <c r="F794" s="1"/>
    </row>
    <row r="795" ht="15.75" customHeight="1">
      <c r="A795" s="36"/>
      <c r="B795" s="37"/>
      <c r="C795" s="37"/>
      <c r="D795" s="1"/>
      <c r="E795" s="1"/>
      <c r="F795" s="1"/>
    </row>
    <row r="796" ht="15.75" customHeight="1">
      <c r="A796" s="36"/>
      <c r="B796" s="37"/>
      <c r="C796" s="37"/>
      <c r="D796" s="1"/>
      <c r="E796" s="1"/>
      <c r="F796" s="1"/>
    </row>
    <row r="797" ht="15.75" customHeight="1">
      <c r="A797" s="36"/>
      <c r="B797" s="37"/>
      <c r="C797" s="37"/>
      <c r="D797" s="1"/>
      <c r="E797" s="1"/>
      <c r="F797" s="1"/>
    </row>
    <row r="798" ht="15.75" customHeight="1">
      <c r="A798" s="36"/>
      <c r="B798" s="37"/>
      <c r="C798" s="37"/>
      <c r="D798" s="1"/>
      <c r="E798" s="1"/>
      <c r="F798" s="1"/>
    </row>
    <row r="799" ht="15.75" customHeight="1">
      <c r="A799" s="36"/>
      <c r="B799" s="37"/>
      <c r="C799" s="37"/>
      <c r="D799" s="1"/>
      <c r="E799" s="1"/>
      <c r="F799" s="1"/>
    </row>
    <row r="800" ht="15.75" customHeight="1">
      <c r="A800" s="36"/>
      <c r="B800" s="37"/>
      <c r="C800" s="37"/>
      <c r="D800" s="1"/>
      <c r="E800" s="1"/>
      <c r="F800" s="1"/>
    </row>
    <row r="801" ht="15.75" customHeight="1">
      <c r="A801" s="36"/>
      <c r="B801" s="37"/>
      <c r="C801" s="37"/>
      <c r="D801" s="1"/>
      <c r="E801" s="1"/>
      <c r="F801" s="1"/>
    </row>
    <row r="802" ht="15.75" customHeight="1">
      <c r="A802" s="36"/>
      <c r="B802" s="37"/>
      <c r="C802" s="37"/>
      <c r="D802" s="1"/>
      <c r="E802" s="1"/>
      <c r="F802" s="1"/>
    </row>
    <row r="803" ht="15.75" customHeight="1">
      <c r="A803" s="36"/>
      <c r="B803" s="37"/>
      <c r="C803" s="37"/>
      <c r="D803" s="1"/>
      <c r="E803" s="1"/>
      <c r="F803" s="1"/>
    </row>
    <row r="804" ht="15.75" customHeight="1">
      <c r="A804" s="36"/>
      <c r="B804" s="37"/>
      <c r="C804" s="37"/>
      <c r="D804" s="1"/>
      <c r="E804" s="1"/>
      <c r="F804" s="1"/>
    </row>
    <row r="805" ht="15.75" customHeight="1">
      <c r="A805" s="36"/>
      <c r="B805" s="37"/>
      <c r="C805" s="37"/>
      <c r="D805" s="1"/>
      <c r="E805" s="1"/>
      <c r="F805" s="1"/>
    </row>
    <row r="806" ht="15.75" customHeight="1">
      <c r="A806" s="36"/>
      <c r="B806" s="37"/>
      <c r="C806" s="37"/>
      <c r="D806" s="1"/>
      <c r="E806" s="1"/>
      <c r="F806" s="1"/>
    </row>
    <row r="807" ht="15.75" customHeight="1">
      <c r="A807" s="36"/>
      <c r="B807" s="37"/>
      <c r="C807" s="37"/>
      <c r="D807" s="1"/>
      <c r="E807" s="1"/>
      <c r="F807" s="1"/>
    </row>
    <row r="808" ht="15.75" customHeight="1">
      <c r="A808" s="36"/>
      <c r="B808" s="37"/>
      <c r="C808" s="37"/>
      <c r="D808" s="1"/>
      <c r="E808" s="1"/>
      <c r="F808" s="1"/>
    </row>
    <row r="809" ht="15.75" customHeight="1">
      <c r="A809" s="36"/>
      <c r="B809" s="37"/>
      <c r="C809" s="37"/>
      <c r="D809" s="1"/>
      <c r="E809" s="1"/>
      <c r="F809" s="1"/>
    </row>
    <row r="810" ht="15.75" customHeight="1">
      <c r="A810" s="36"/>
      <c r="B810" s="37"/>
      <c r="C810" s="37"/>
      <c r="D810" s="1"/>
      <c r="E810" s="1"/>
      <c r="F810" s="1"/>
    </row>
    <row r="811" ht="15.75" customHeight="1">
      <c r="A811" s="36"/>
      <c r="B811" s="37"/>
      <c r="C811" s="37"/>
      <c r="D811" s="1"/>
      <c r="E811" s="1"/>
      <c r="F811" s="1"/>
    </row>
    <row r="812" ht="15.75" customHeight="1">
      <c r="A812" s="36"/>
      <c r="B812" s="37"/>
      <c r="C812" s="37"/>
      <c r="D812" s="1"/>
      <c r="E812" s="1"/>
      <c r="F812" s="1"/>
    </row>
    <row r="813" ht="15.75" customHeight="1">
      <c r="A813" s="36"/>
      <c r="B813" s="37"/>
      <c r="C813" s="37"/>
      <c r="D813" s="1"/>
      <c r="E813" s="1"/>
      <c r="F813" s="1"/>
    </row>
    <row r="814" ht="15.75" customHeight="1">
      <c r="A814" s="36"/>
      <c r="B814" s="37"/>
      <c r="C814" s="37"/>
      <c r="D814" s="1"/>
      <c r="E814" s="1"/>
      <c r="F814" s="1"/>
    </row>
    <row r="815" ht="15.75" customHeight="1">
      <c r="A815" s="36"/>
      <c r="B815" s="37"/>
      <c r="C815" s="37"/>
      <c r="D815" s="1"/>
      <c r="E815" s="1"/>
      <c r="F815" s="1"/>
    </row>
    <row r="816" ht="15.75" customHeight="1">
      <c r="A816" s="36"/>
      <c r="B816" s="37"/>
      <c r="C816" s="37"/>
      <c r="D816" s="1"/>
      <c r="E816" s="1"/>
      <c r="F816" s="1"/>
    </row>
    <row r="817" ht="15.75" customHeight="1">
      <c r="A817" s="36"/>
      <c r="B817" s="37"/>
      <c r="C817" s="37"/>
      <c r="D817" s="1"/>
      <c r="E817" s="1"/>
      <c r="F817" s="1"/>
    </row>
    <row r="818" ht="15.75" customHeight="1">
      <c r="A818" s="36"/>
      <c r="B818" s="37"/>
      <c r="C818" s="37"/>
      <c r="D818" s="1"/>
      <c r="E818" s="1"/>
      <c r="F818" s="1"/>
    </row>
    <row r="819" ht="15.75" customHeight="1">
      <c r="A819" s="36"/>
      <c r="B819" s="37"/>
      <c r="C819" s="37"/>
      <c r="D819" s="1"/>
      <c r="E819" s="1"/>
      <c r="F819" s="1"/>
    </row>
    <row r="820" ht="15.75" customHeight="1">
      <c r="A820" s="36"/>
      <c r="B820" s="37"/>
      <c r="C820" s="37"/>
      <c r="D820" s="1"/>
      <c r="E820" s="1"/>
      <c r="F820" s="1"/>
    </row>
    <row r="821" ht="15.75" customHeight="1">
      <c r="A821" s="36"/>
      <c r="B821" s="37"/>
      <c r="C821" s="37"/>
      <c r="D821" s="1"/>
      <c r="E821" s="1"/>
      <c r="F821" s="1"/>
    </row>
    <row r="822" ht="15.75" customHeight="1">
      <c r="A822" s="36"/>
      <c r="B822" s="37"/>
      <c r="C822" s="37"/>
      <c r="D822" s="1"/>
      <c r="E822" s="1"/>
      <c r="F822" s="1"/>
    </row>
    <row r="823" ht="15.75" customHeight="1">
      <c r="A823" s="36"/>
      <c r="B823" s="37"/>
      <c r="C823" s="37"/>
      <c r="D823" s="1"/>
      <c r="E823" s="1"/>
      <c r="F823" s="1"/>
    </row>
    <row r="824" ht="15.75" customHeight="1">
      <c r="A824" s="36"/>
      <c r="B824" s="37"/>
      <c r="C824" s="37"/>
      <c r="D824" s="1"/>
      <c r="E824" s="1"/>
      <c r="F824" s="1"/>
    </row>
    <row r="825" ht="15.75" customHeight="1">
      <c r="A825" s="36"/>
      <c r="B825" s="37"/>
      <c r="C825" s="37"/>
      <c r="D825" s="1"/>
      <c r="E825" s="1"/>
      <c r="F825" s="1"/>
    </row>
    <row r="826" ht="15.75" customHeight="1">
      <c r="A826" s="36"/>
      <c r="B826" s="37"/>
      <c r="C826" s="37"/>
      <c r="D826" s="1"/>
      <c r="E826" s="1"/>
      <c r="F826" s="1"/>
    </row>
    <row r="827" ht="15.75" customHeight="1">
      <c r="A827" s="36"/>
      <c r="B827" s="37"/>
      <c r="C827" s="37"/>
      <c r="D827" s="1"/>
      <c r="E827" s="1"/>
      <c r="F827" s="1"/>
    </row>
    <row r="828" ht="15.75" customHeight="1">
      <c r="A828" s="36"/>
      <c r="B828" s="37"/>
      <c r="C828" s="37"/>
      <c r="D828" s="1"/>
      <c r="E828" s="1"/>
      <c r="F828" s="1"/>
    </row>
    <row r="829" ht="15.75" customHeight="1">
      <c r="A829" s="36"/>
      <c r="B829" s="37"/>
      <c r="C829" s="37"/>
      <c r="D829" s="1"/>
      <c r="E829" s="1"/>
      <c r="F829" s="1"/>
    </row>
    <row r="830" ht="15.75" customHeight="1">
      <c r="A830" s="36"/>
      <c r="B830" s="37"/>
      <c r="C830" s="37"/>
      <c r="D830" s="1"/>
      <c r="E830" s="1"/>
      <c r="F830" s="1"/>
    </row>
    <row r="831" ht="15.75" customHeight="1">
      <c r="A831" s="36"/>
      <c r="B831" s="37"/>
      <c r="C831" s="37"/>
      <c r="D831" s="1"/>
      <c r="E831" s="1"/>
      <c r="F831" s="1"/>
    </row>
    <row r="832" ht="15.75" customHeight="1">
      <c r="A832" s="36"/>
      <c r="B832" s="37"/>
      <c r="C832" s="37"/>
      <c r="D832" s="1"/>
      <c r="E832" s="1"/>
      <c r="F832" s="1"/>
    </row>
    <row r="833" ht="15.75" customHeight="1">
      <c r="A833" s="36"/>
      <c r="B833" s="37"/>
      <c r="C833" s="37"/>
      <c r="D833" s="1"/>
      <c r="E833" s="1"/>
      <c r="F833" s="1"/>
    </row>
    <row r="834" ht="15.75" customHeight="1">
      <c r="A834" s="36"/>
      <c r="B834" s="37"/>
      <c r="C834" s="37"/>
      <c r="D834" s="1"/>
      <c r="E834" s="1"/>
      <c r="F834" s="1"/>
    </row>
    <row r="835" ht="15.75" customHeight="1">
      <c r="A835" s="36"/>
      <c r="B835" s="37"/>
      <c r="C835" s="37"/>
      <c r="D835" s="1"/>
      <c r="E835" s="1"/>
      <c r="F835" s="1"/>
    </row>
    <row r="836" ht="15.75" customHeight="1">
      <c r="A836" s="36"/>
      <c r="B836" s="37"/>
      <c r="C836" s="37"/>
      <c r="D836" s="1"/>
      <c r="E836" s="1"/>
      <c r="F836" s="1"/>
    </row>
    <row r="837" ht="15.75" customHeight="1">
      <c r="A837" s="36"/>
      <c r="B837" s="37"/>
      <c r="C837" s="37"/>
      <c r="D837" s="1"/>
      <c r="E837" s="1"/>
      <c r="F837" s="1"/>
    </row>
    <row r="838" ht="15.75" customHeight="1">
      <c r="A838" s="36"/>
      <c r="B838" s="37"/>
      <c r="C838" s="37"/>
      <c r="D838" s="1"/>
      <c r="E838" s="1"/>
      <c r="F838" s="1"/>
    </row>
    <row r="839" ht="15.75" customHeight="1">
      <c r="A839" s="36"/>
      <c r="B839" s="37"/>
      <c r="C839" s="37"/>
      <c r="D839" s="1"/>
      <c r="E839" s="1"/>
      <c r="F839" s="1"/>
    </row>
    <row r="840" ht="15.75" customHeight="1">
      <c r="A840" s="36"/>
      <c r="B840" s="37"/>
      <c r="C840" s="37"/>
      <c r="D840" s="1"/>
      <c r="E840" s="1"/>
      <c r="F840" s="1"/>
    </row>
    <row r="841" ht="15.75" customHeight="1">
      <c r="A841" s="36"/>
      <c r="B841" s="37"/>
      <c r="C841" s="37"/>
      <c r="D841" s="1"/>
      <c r="E841" s="1"/>
      <c r="F841" s="1"/>
    </row>
    <row r="842" ht="15.75" customHeight="1">
      <c r="A842" s="36"/>
      <c r="B842" s="37"/>
      <c r="C842" s="37"/>
      <c r="D842" s="1"/>
      <c r="E842" s="1"/>
      <c r="F842" s="1"/>
    </row>
    <row r="843" ht="15.75" customHeight="1">
      <c r="A843" s="36"/>
      <c r="B843" s="37"/>
      <c r="C843" s="37"/>
      <c r="D843" s="1"/>
      <c r="E843" s="1"/>
      <c r="F843" s="1"/>
    </row>
    <row r="844" ht="15.75" customHeight="1">
      <c r="A844" s="36"/>
      <c r="B844" s="37"/>
      <c r="C844" s="37"/>
      <c r="D844" s="1"/>
      <c r="E844" s="1"/>
      <c r="F844" s="1"/>
    </row>
    <row r="845" ht="15.75" customHeight="1">
      <c r="A845" s="36"/>
      <c r="B845" s="37"/>
      <c r="C845" s="37"/>
      <c r="D845" s="1"/>
      <c r="E845" s="1"/>
      <c r="F845" s="1"/>
    </row>
    <row r="846" ht="15.75" customHeight="1">
      <c r="A846" s="36"/>
      <c r="B846" s="37"/>
      <c r="C846" s="37"/>
      <c r="D846" s="1"/>
      <c r="E846" s="1"/>
      <c r="F846" s="1"/>
    </row>
    <row r="847" ht="15.75" customHeight="1">
      <c r="A847" s="36"/>
      <c r="B847" s="37"/>
      <c r="C847" s="37"/>
      <c r="D847" s="1"/>
      <c r="E847" s="1"/>
      <c r="F847" s="1"/>
    </row>
    <row r="848" ht="15.75" customHeight="1">
      <c r="A848" s="36"/>
      <c r="B848" s="37"/>
      <c r="C848" s="37"/>
      <c r="D848" s="1"/>
      <c r="E848" s="1"/>
      <c r="F848" s="1"/>
    </row>
    <row r="849" ht="15.75" customHeight="1">
      <c r="A849" s="36"/>
      <c r="B849" s="37"/>
      <c r="C849" s="37"/>
      <c r="D849" s="1"/>
      <c r="E849" s="1"/>
      <c r="F849" s="1"/>
    </row>
    <row r="850" ht="15.75" customHeight="1">
      <c r="A850" s="36"/>
      <c r="B850" s="37"/>
      <c r="C850" s="37"/>
      <c r="D850" s="1"/>
      <c r="E850" s="1"/>
      <c r="F850" s="1"/>
    </row>
    <row r="851" ht="15.75" customHeight="1">
      <c r="A851" s="36"/>
      <c r="B851" s="37"/>
      <c r="C851" s="37"/>
      <c r="D851" s="1"/>
      <c r="E851" s="1"/>
      <c r="F851" s="1"/>
    </row>
    <row r="852" ht="15.75" customHeight="1">
      <c r="A852" s="36"/>
      <c r="B852" s="37"/>
      <c r="C852" s="37"/>
      <c r="D852" s="1"/>
      <c r="E852" s="1"/>
      <c r="F852" s="1"/>
    </row>
    <row r="853" ht="15.75" customHeight="1">
      <c r="A853" s="36"/>
      <c r="B853" s="37"/>
      <c r="C853" s="37"/>
      <c r="D853" s="1"/>
      <c r="E853" s="1"/>
      <c r="F853" s="1"/>
    </row>
    <row r="854" ht="15.75" customHeight="1">
      <c r="A854" s="36"/>
      <c r="B854" s="37"/>
      <c r="C854" s="37"/>
      <c r="D854" s="1"/>
      <c r="E854" s="1"/>
      <c r="F854" s="1"/>
    </row>
    <row r="855" ht="15.75" customHeight="1">
      <c r="A855" s="36"/>
      <c r="B855" s="37"/>
      <c r="C855" s="37"/>
      <c r="D855" s="1"/>
      <c r="E855" s="1"/>
      <c r="F855" s="1"/>
    </row>
    <row r="856" ht="15.75" customHeight="1">
      <c r="A856" s="36"/>
      <c r="B856" s="37"/>
      <c r="C856" s="37"/>
      <c r="D856" s="1"/>
      <c r="E856" s="1"/>
      <c r="F856" s="1"/>
    </row>
    <row r="857" ht="15.75" customHeight="1">
      <c r="A857" s="36"/>
      <c r="B857" s="37"/>
      <c r="C857" s="37"/>
      <c r="D857" s="1"/>
      <c r="E857" s="1"/>
      <c r="F857" s="1"/>
    </row>
    <row r="858" ht="15.75" customHeight="1">
      <c r="A858" s="36"/>
      <c r="B858" s="37"/>
      <c r="C858" s="37"/>
      <c r="D858" s="1"/>
      <c r="E858" s="1"/>
      <c r="F858" s="1"/>
    </row>
    <row r="859" ht="15.75" customHeight="1">
      <c r="A859" s="36"/>
      <c r="B859" s="37"/>
      <c r="C859" s="37"/>
      <c r="D859" s="1"/>
      <c r="E859" s="1"/>
      <c r="F859" s="1"/>
    </row>
    <row r="860" ht="15.75" customHeight="1">
      <c r="A860" s="36"/>
      <c r="B860" s="37"/>
      <c r="C860" s="37"/>
      <c r="D860" s="1"/>
      <c r="E860" s="1"/>
      <c r="F860" s="1"/>
    </row>
    <row r="861" ht="15.75" customHeight="1">
      <c r="A861" s="36"/>
      <c r="B861" s="37"/>
      <c r="C861" s="37"/>
      <c r="D861" s="1"/>
      <c r="E861" s="1"/>
      <c r="F861" s="1"/>
    </row>
    <row r="862" ht="15.75" customHeight="1">
      <c r="A862" s="36"/>
      <c r="B862" s="37"/>
      <c r="C862" s="37"/>
      <c r="D862" s="1"/>
      <c r="E862" s="1"/>
      <c r="F862" s="1"/>
    </row>
    <row r="863" ht="15.75" customHeight="1">
      <c r="A863" s="36"/>
      <c r="B863" s="37"/>
      <c r="C863" s="37"/>
      <c r="D863" s="1"/>
      <c r="E863" s="1"/>
      <c r="F863" s="1"/>
    </row>
    <row r="864" ht="15.75" customHeight="1">
      <c r="A864" s="36"/>
      <c r="B864" s="37"/>
      <c r="C864" s="37"/>
      <c r="D864" s="1"/>
      <c r="E864" s="1"/>
      <c r="F864" s="1"/>
    </row>
    <row r="865" ht="15.75" customHeight="1">
      <c r="A865" s="36"/>
      <c r="B865" s="37"/>
      <c r="C865" s="37"/>
      <c r="D865" s="1"/>
      <c r="E865" s="1"/>
      <c r="F865" s="1"/>
    </row>
    <row r="866" ht="15.75" customHeight="1">
      <c r="A866" s="36"/>
      <c r="B866" s="37"/>
      <c r="C866" s="37"/>
      <c r="D866" s="1"/>
      <c r="E866" s="1"/>
      <c r="F866" s="1"/>
    </row>
    <row r="867" ht="15.75" customHeight="1">
      <c r="A867" s="36"/>
      <c r="B867" s="37"/>
      <c r="C867" s="37"/>
      <c r="D867" s="1"/>
      <c r="E867" s="1"/>
      <c r="F867" s="1"/>
    </row>
    <row r="868" ht="15.75" customHeight="1">
      <c r="A868" s="36"/>
      <c r="B868" s="37"/>
      <c r="C868" s="37"/>
      <c r="D868" s="1"/>
      <c r="E868" s="1"/>
      <c r="F868" s="1"/>
    </row>
    <row r="869" ht="15.75" customHeight="1">
      <c r="A869" s="36"/>
      <c r="B869" s="37"/>
      <c r="C869" s="37"/>
      <c r="D869" s="1"/>
      <c r="E869" s="1"/>
      <c r="F869" s="1"/>
    </row>
    <row r="870" ht="15.75" customHeight="1">
      <c r="A870" s="36"/>
      <c r="B870" s="37"/>
      <c r="C870" s="37"/>
      <c r="D870" s="1"/>
      <c r="E870" s="1"/>
      <c r="F870" s="1"/>
    </row>
    <row r="871" ht="15.75" customHeight="1">
      <c r="A871" s="36"/>
      <c r="B871" s="37"/>
      <c r="C871" s="37"/>
      <c r="D871" s="1"/>
      <c r="E871" s="1"/>
      <c r="F871" s="1"/>
    </row>
    <row r="872" ht="15.75" customHeight="1">
      <c r="A872" s="36"/>
      <c r="B872" s="37"/>
      <c r="C872" s="37"/>
      <c r="D872" s="1"/>
      <c r="E872" s="1"/>
      <c r="F872" s="1"/>
    </row>
    <row r="873" ht="15.75" customHeight="1">
      <c r="A873" s="36"/>
      <c r="B873" s="37"/>
      <c r="C873" s="37"/>
      <c r="D873" s="1"/>
      <c r="E873" s="1"/>
      <c r="F873" s="1"/>
    </row>
    <row r="874" ht="15.75" customHeight="1">
      <c r="A874" s="36"/>
      <c r="B874" s="37"/>
      <c r="C874" s="37"/>
      <c r="D874" s="1"/>
      <c r="E874" s="1"/>
      <c r="F874" s="1"/>
    </row>
    <row r="875" ht="15.75" customHeight="1">
      <c r="A875" s="36"/>
      <c r="B875" s="37"/>
      <c r="C875" s="37"/>
      <c r="D875" s="1"/>
      <c r="E875" s="1"/>
      <c r="F875" s="1"/>
    </row>
    <row r="876" ht="15.75" customHeight="1">
      <c r="A876" s="36"/>
      <c r="B876" s="37"/>
      <c r="C876" s="37"/>
      <c r="D876" s="1"/>
      <c r="E876" s="1"/>
      <c r="F876" s="1"/>
    </row>
    <row r="877" ht="15.75" customHeight="1">
      <c r="A877" s="36"/>
      <c r="B877" s="37"/>
      <c r="C877" s="37"/>
      <c r="D877" s="1"/>
      <c r="E877" s="1"/>
      <c r="F877" s="1"/>
    </row>
    <row r="878" ht="15.75" customHeight="1">
      <c r="A878" s="36"/>
      <c r="B878" s="37"/>
      <c r="C878" s="37"/>
      <c r="D878" s="1"/>
      <c r="E878" s="1"/>
      <c r="F878" s="1"/>
    </row>
    <row r="879" ht="15.75" customHeight="1">
      <c r="A879" s="36"/>
      <c r="B879" s="37"/>
      <c r="C879" s="37"/>
      <c r="D879" s="1"/>
      <c r="E879" s="1"/>
      <c r="F879" s="1"/>
    </row>
    <row r="880" ht="15.75" customHeight="1">
      <c r="A880" s="36"/>
      <c r="B880" s="37"/>
      <c r="C880" s="37"/>
      <c r="D880" s="1"/>
      <c r="E880" s="1"/>
      <c r="F880" s="1"/>
    </row>
    <row r="881" ht="15.75" customHeight="1">
      <c r="A881" s="36"/>
      <c r="B881" s="37"/>
      <c r="C881" s="37"/>
      <c r="D881" s="1"/>
      <c r="E881" s="1"/>
      <c r="F881" s="1"/>
    </row>
    <row r="882" ht="15.75" customHeight="1">
      <c r="A882" s="36"/>
      <c r="B882" s="37"/>
      <c r="C882" s="37"/>
      <c r="D882" s="1"/>
      <c r="E882" s="1"/>
      <c r="F882" s="1"/>
    </row>
    <row r="883" ht="15.75" customHeight="1">
      <c r="A883" s="36"/>
      <c r="B883" s="37"/>
      <c r="C883" s="37"/>
      <c r="D883" s="1"/>
      <c r="E883" s="1"/>
      <c r="F883" s="1"/>
    </row>
    <row r="884" ht="15.75" customHeight="1">
      <c r="A884" s="36"/>
      <c r="B884" s="37"/>
      <c r="C884" s="37"/>
      <c r="D884" s="1"/>
      <c r="E884" s="1"/>
      <c r="F884" s="1"/>
    </row>
    <row r="885" ht="15.75" customHeight="1">
      <c r="A885" s="36"/>
      <c r="B885" s="37"/>
      <c r="C885" s="37"/>
      <c r="D885" s="1"/>
      <c r="E885" s="1"/>
      <c r="F885" s="1"/>
    </row>
    <row r="886" ht="15.75" customHeight="1">
      <c r="A886" s="36"/>
      <c r="B886" s="37"/>
      <c r="C886" s="37"/>
      <c r="D886" s="1"/>
      <c r="E886" s="1"/>
      <c r="F886" s="1"/>
    </row>
    <row r="887" ht="15.75" customHeight="1">
      <c r="A887" s="36"/>
      <c r="B887" s="37"/>
      <c r="C887" s="37"/>
      <c r="D887" s="1"/>
      <c r="E887" s="1"/>
      <c r="F887" s="1"/>
    </row>
    <row r="888" ht="15.75" customHeight="1">
      <c r="A888" s="36"/>
      <c r="B888" s="37"/>
      <c r="C888" s="37"/>
      <c r="D888" s="1"/>
      <c r="E888" s="1"/>
      <c r="F888" s="1"/>
    </row>
    <row r="889" ht="15.75" customHeight="1">
      <c r="A889" s="36"/>
      <c r="B889" s="37"/>
      <c r="C889" s="37"/>
      <c r="D889" s="1"/>
      <c r="E889" s="1"/>
      <c r="F889" s="1"/>
    </row>
    <row r="890" ht="15.75" customHeight="1">
      <c r="A890" s="36"/>
      <c r="B890" s="37"/>
      <c r="C890" s="37"/>
      <c r="D890" s="1"/>
      <c r="E890" s="1"/>
      <c r="F890" s="1"/>
    </row>
    <row r="891" ht="15.75" customHeight="1">
      <c r="A891" s="36"/>
      <c r="B891" s="37"/>
      <c r="C891" s="37"/>
      <c r="D891" s="1"/>
      <c r="E891" s="1"/>
      <c r="F891" s="1"/>
    </row>
    <row r="892" ht="15.75" customHeight="1">
      <c r="A892" s="36"/>
      <c r="B892" s="37"/>
      <c r="C892" s="37"/>
      <c r="D892" s="1"/>
      <c r="E892" s="1"/>
      <c r="F892" s="1"/>
    </row>
    <row r="893" ht="15.75" customHeight="1">
      <c r="A893" s="36"/>
      <c r="B893" s="37"/>
      <c r="C893" s="37"/>
      <c r="D893" s="1"/>
      <c r="E893" s="1"/>
      <c r="F893" s="1"/>
    </row>
    <row r="894" ht="15.75" customHeight="1">
      <c r="A894" s="36"/>
      <c r="B894" s="37"/>
      <c r="C894" s="37"/>
      <c r="D894" s="1"/>
      <c r="E894" s="1"/>
      <c r="F894" s="1"/>
    </row>
    <row r="895" ht="15.75" customHeight="1">
      <c r="A895" s="36"/>
      <c r="B895" s="37"/>
      <c r="C895" s="37"/>
      <c r="D895" s="1"/>
      <c r="E895" s="1"/>
      <c r="F895" s="1"/>
    </row>
    <row r="896" ht="15.75" customHeight="1">
      <c r="A896" s="36"/>
      <c r="B896" s="37"/>
      <c r="C896" s="37"/>
      <c r="D896" s="1"/>
      <c r="E896" s="1"/>
      <c r="F896" s="1"/>
    </row>
    <row r="897" ht="15.75" customHeight="1">
      <c r="A897" s="36"/>
      <c r="B897" s="37"/>
      <c r="C897" s="37"/>
      <c r="D897" s="1"/>
      <c r="E897" s="1"/>
      <c r="F897" s="1"/>
    </row>
    <row r="898" ht="15.75" customHeight="1">
      <c r="A898" s="36"/>
      <c r="B898" s="37"/>
      <c r="C898" s="37"/>
      <c r="D898" s="1"/>
      <c r="E898" s="1"/>
      <c r="F898" s="1"/>
    </row>
    <row r="899" ht="15.75" customHeight="1">
      <c r="A899" s="36"/>
      <c r="B899" s="37"/>
      <c r="C899" s="37"/>
      <c r="D899" s="1"/>
      <c r="E899" s="1"/>
      <c r="F899" s="1"/>
    </row>
    <row r="900" ht="15.75" customHeight="1">
      <c r="A900" s="36"/>
      <c r="B900" s="37"/>
      <c r="C900" s="37"/>
      <c r="D900" s="1"/>
      <c r="E900" s="1"/>
      <c r="F900" s="1"/>
    </row>
    <row r="901" ht="15.75" customHeight="1">
      <c r="A901" s="36"/>
      <c r="B901" s="37"/>
      <c r="C901" s="37"/>
      <c r="D901" s="1"/>
      <c r="E901" s="1"/>
      <c r="F901" s="1"/>
    </row>
    <row r="902" ht="15.75" customHeight="1">
      <c r="A902" s="36"/>
      <c r="B902" s="37"/>
      <c r="C902" s="37"/>
      <c r="D902" s="1"/>
      <c r="E902" s="1"/>
      <c r="F902" s="1"/>
    </row>
    <row r="903" ht="15.75" customHeight="1">
      <c r="A903" s="36"/>
      <c r="B903" s="37"/>
      <c r="C903" s="37"/>
      <c r="D903" s="1"/>
      <c r="E903" s="1"/>
      <c r="F903" s="1"/>
    </row>
    <row r="904" ht="15.75" customHeight="1">
      <c r="A904" s="36"/>
      <c r="B904" s="37"/>
      <c r="C904" s="37"/>
      <c r="D904" s="1"/>
      <c r="E904" s="1"/>
      <c r="F904" s="1"/>
    </row>
    <row r="905" ht="15.75" customHeight="1">
      <c r="A905" s="36"/>
      <c r="B905" s="37"/>
      <c r="C905" s="37"/>
      <c r="D905" s="1"/>
      <c r="E905" s="1"/>
      <c r="F905" s="1"/>
    </row>
    <row r="906" ht="15.75" customHeight="1">
      <c r="A906" s="36"/>
      <c r="B906" s="37"/>
      <c r="C906" s="37"/>
      <c r="D906" s="1"/>
      <c r="E906" s="1"/>
      <c r="F906" s="1"/>
    </row>
    <row r="907" ht="15.75" customHeight="1">
      <c r="A907" s="36"/>
      <c r="B907" s="37"/>
      <c r="C907" s="37"/>
      <c r="D907" s="1"/>
      <c r="E907" s="1"/>
      <c r="F907" s="1"/>
    </row>
    <row r="908" ht="15.75" customHeight="1">
      <c r="A908" s="36"/>
      <c r="B908" s="37"/>
      <c r="C908" s="37"/>
      <c r="D908" s="1"/>
      <c r="E908" s="1"/>
      <c r="F908" s="1"/>
    </row>
    <row r="909" ht="15.75" customHeight="1">
      <c r="A909" s="36"/>
      <c r="B909" s="37"/>
      <c r="C909" s="37"/>
      <c r="D909" s="1"/>
      <c r="E909" s="1"/>
      <c r="F909" s="1"/>
    </row>
    <row r="910" ht="15.75" customHeight="1">
      <c r="A910" s="36"/>
      <c r="B910" s="37"/>
      <c r="C910" s="37"/>
      <c r="D910" s="1"/>
      <c r="E910" s="1"/>
      <c r="F910" s="1"/>
    </row>
    <row r="911" ht="15.75" customHeight="1">
      <c r="A911" s="36"/>
      <c r="B911" s="37"/>
      <c r="C911" s="37"/>
      <c r="D911" s="1"/>
      <c r="E911" s="1"/>
      <c r="F911" s="1"/>
    </row>
    <row r="912" ht="15.75" customHeight="1">
      <c r="A912" s="36"/>
      <c r="B912" s="37"/>
      <c r="C912" s="37"/>
      <c r="D912" s="1"/>
      <c r="E912" s="1"/>
      <c r="F912" s="1"/>
    </row>
    <row r="913" ht="15.75" customHeight="1">
      <c r="A913" s="36"/>
      <c r="B913" s="37"/>
      <c r="C913" s="37"/>
      <c r="D913" s="1"/>
      <c r="E913" s="1"/>
      <c r="F913" s="1"/>
    </row>
    <row r="914" ht="15.75" customHeight="1">
      <c r="A914" s="36"/>
      <c r="B914" s="37"/>
      <c r="C914" s="37"/>
      <c r="D914" s="1"/>
      <c r="E914" s="1"/>
      <c r="F914" s="1"/>
    </row>
    <row r="915" ht="15.75" customHeight="1">
      <c r="A915" s="36"/>
      <c r="B915" s="37"/>
      <c r="C915" s="37"/>
      <c r="D915" s="1"/>
      <c r="E915" s="1"/>
      <c r="F915" s="1"/>
    </row>
    <row r="916" ht="15.75" customHeight="1">
      <c r="A916" s="36"/>
      <c r="B916" s="37"/>
      <c r="C916" s="37"/>
      <c r="D916" s="1"/>
      <c r="E916" s="1"/>
      <c r="F916" s="1"/>
    </row>
    <row r="917" ht="15.75" customHeight="1">
      <c r="A917" s="36"/>
      <c r="B917" s="37"/>
      <c r="C917" s="37"/>
      <c r="D917" s="1"/>
      <c r="E917" s="1"/>
      <c r="F917" s="1"/>
    </row>
    <row r="918" ht="15.75" customHeight="1">
      <c r="A918" s="36"/>
      <c r="B918" s="37"/>
      <c r="C918" s="37"/>
      <c r="D918" s="1"/>
      <c r="E918" s="1"/>
      <c r="F918" s="1"/>
    </row>
    <row r="919" ht="15.75" customHeight="1">
      <c r="A919" s="36"/>
      <c r="B919" s="37"/>
      <c r="C919" s="37"/>
      <c r="D919" s="1"/>
      <c r="E919" s="1"/>
      <c r="F919" s="1"/>
    </row>
    <row r="920" ht="15.75" customHeight="1">
      <c r="A920" s="36"/>
      <c r="B920" s="37"/>
      <c r="C920" s="37"/>
      <c r="D920" s="1"/>
      <c r="E920" s="1"/>
      <c r="F920" s="1"/>
    </row>
    <row r="921" ht="15.75" customHeight="1">
      <c r="A921" s="36"/>
      <c r="B921" s="37"/>
      <c r="C921" s="37"/>
      <c r="D921" s="1"/>
      <c r="E921" s="1"/>
      <c r="F921" s="1"/>
    </row>
    <row r="922" ht="15.75" customHeight="1">
      <c r="A922" s="36"/>
      <c r="B922" s="37"/>
      <c r="C922" s="37"/>
      <c r="D922" s="1"/>
      <c r="E922" s="1"/>
      <c r="F922" s="1"/>
    </row>
    <row r="923" ht="15.75" customHeight="1">
      <c r="A923" s="36"/>
      <c r="B923" s="37"/>
      <c r="C923" s="37"/>
      <c r="D923" s="1"/>
      <c r="E923" s="1"/>
      <c r="F923" s="1"/>
    </row>
    <row r="924" ht="15.75" customHeight="1">
      <c r="A924" s="36"/>
      <c r="B924" s="37"/>
      <c r="C924" s="37"/>
      <c r="D924" s="1"/>
      <c r="E924" s="1"/>
      <c r="F924" s="1"/>
    </row>
    <row r="925" ht="15.75" customHeight="1">
      <c r="A925" s="36"/>
      <c r="B925" s="37"/>
      <c r="C925" s="37"/>
      <c r="D925" s="1"/>
      <c r="E925" s="1"/>
      <c r="F925" s="1"/>
    </row>
    <row r="926" ht="15.75" customHeight="1">
      <c r="A926" s="36"/>
      <c r="B926" s="37"/>
      <c r="C926" s="37"/>
      <c r="D926" s="1"/>
      <c r="E926" s="1"/>
      <c r="F926" s="1"/>
    </row>
    <row r="927" ht="15.75" customHeight="1">
      <c r="A927" s="36"/>
      <c r="B927" s="37"/>
      <c r="C927" s="37"/>
      <c r="D927" s="1"/>
      <c r="E927" s="1"/>
      <c r="F927" s="1"/>
    </row>
    <row r="928" ht="15.75" customHeight="1">
      <c r="A928" s="36"/>
      <c r="B928" s="37"/>
      <c r="C928" s="37"/>
      <c r="D928" s="1"/>
      <c r="E928" s="1"/>
      <c r="F928" s="1"/>
    </row>
    <row r="929" ht="15.75" customHeight="1">
      <c r="A929" s="36"/>
      <c r="B929" s="37"/>
      <c r="C929" s="37"/>
      <c r="D929" s="1"/>
      <c r="E929" s="1"/>
      <c r="F929" s="1"/>
    </row>
    <row r="930" ht="15.75" customHeight="1">
      <c r="A930" s="36"/>
      <c r="B930" s="37"/>
      <c r="C930" s="37"/>
      <c r="D930" s="1"/>
      <c r="E930" s="1"/>
      <c r="F930" s="1"/>
    </row>
    <row r="931" ht="15.75" customHeight="1">
      <c r="A931" s="36"/>
      <c r="B931" s="37"/>
      <c r="C931" s="37"/>
      <c r="D931" s="1"/>
      <c r="E931" s="1"/>
      <c r="F931" s="1"/>
    </row>
    <row r="932" ht="15.75" customHeight="1">
      <c r="A932" s="36"/>
      <c r="B932" s="37"/>
      <c r="C932" s="37"/>
      <c r="D932" s="1"/>
      <c r="E932" s="1"/>
      <c r="F932" s="1"/>
    </row>
    <row r="933" ht="15.75" customHeight="1">
      <c r="A933" s="36"/>
      <c r="B933" s="37"/>
      <c r="C933" s="37"/>
      <c r="D933" s="1"/>
      <c r="E933" s="1"/>
      <c r="F933" s="1"/>
    </row>
    <row r="934" ht="15.75" customHeight="1">
      <c r="A934" s="36"/>
      <c r="B934" s="37"/>
      <c r="C934" s="37"/>
      <c r="D934" s="1"/>
      <c r="E934" s="1"/>
      <c r="F934" s="1"/>
    </row>
    <row r="935" ht="15.75" customHeight="1">
      <c r="A935" s="36"/>
      <c r="B935" s="37"/>
      <c r="C935" s="37"/>
      <c r="D935" s="1"/>
      <c r="E935" s="1"/>
      <c r="F935" s="1"/>
    </row>
    <row r="936" ht="15.75" customHeight="1">
      <c r="A936" s="36"/>
      <c r="B936" s="37"/>
      <c r="C936" s="37"/>
      <c r="D936" s="1"/>
      <c r="E936" s="1"/>
      <c r="F936" s="1"/>
    </row>
    <row r="937" ht="15.75" customHeight="1">
      <c r="A937" s="36"/>
      <c r="B937" s="37"/>
      <c r="C937" s="37"/>
      <c r="D937" s="1"/>
      <c r="E937" s="1"/>
      <c r="F937" s="1"/>
    </row>
    <row r="938" ht="15.75" customHeight="1">
      <c r="A938" s="36"/>
      <c r="B938" s="37"/>
      <c r="C938" s="37"/>
      <c r="D938" s="1"/>
      <c r="E938" s="1"/>
      <c r="F938" s="1"/>
    </row>
    <row r="939" ht="15.75" customHeight="1">
      <c r="A939" s="36"/>
      <c r="B939" s="37"/>
      <c r="C939" s="37"/>
      <c r="D939" s="1"/>
      <c r="E939" s="1"/>
      <c r="F939" s="1"/>
    </row>
    <row r="940" ht="15.75" customHeight="1">
      <c r="A940" s="36"/>
      <c r="B940" s="37"/>
      <c r="C940" s="37"/>
      <c r="D940" s="1"/>
      <c r="E940" s="1"/>
      <c r="F940" s="1"/>
    </row>
    <row r="941" ht="15.75" customHeight="1">
      <c r="A941" s="36"/>
      <c r="B941" s="37"/>
      <c r="C941" s="37"/>
      <c r="D941" s="1"/>
      <c r="E941" s="1"/>
      <c r="F941" s="1"/>
    </row>
    <row r="942" ht="15.75" customHeight="1">
      <c r="A942" s="36"/>
      <c r="B942" s="37"/>
      <c r="C942" s="37"/>
      <c r="D942" s="1"/>
      <c r="E942" s="1"/>
      <c r="F942" s="1"/>
    </row>
    <row r="943" ht="15.75" customHeight="1">
      <c r="A943" s="36"/>
      <c r="B943" s="37"/>
      <c r="C943" s="37"/>
      <c r="D943" s="1"/>
      <c r="E943" s="1"/>
      <c r="F943" s="1"/>
    </row>
    <row r="944" ht="15.75" customHeight="1">
      <c r="A944" s="36"/>
      <c r="B944" s="37"/>
      <c r="C944" s="37"/>
      <c r="D944" s="1"/>
      <c r="E944" s="1"/>
      <c r="F944" s="1"/>
    </row>
    <row r="945" ht="15.75" customHeight="1">
      <c r="A945" s="36"/>
      <c r="B945" s="37"/>
      <c r="C945" s="37"/>
      <c r="D945" s="1"/>
      <c r="E945" s="1"/>
      <c r="F945" s="1"/>
    </row>
    <row r="946" ht="15.75" customHeight="1">
      <c r="A946" s="36"/>
      <c r="B946" s="37"/>
      <c r="C946" s="37"/>
      <c r="D946" s="1"/>
      <c r="E946" s="1"/>
      <c r="F946" s="1"/>
    </row>
    <row r="947" ht="15.75" customHeight="1">
      <c r="A947" s="36"/>
      <c r="B947" s="37"/>
      <c r="C947" s="37"/>
      <c r="D947" s="1"/>
      <c r="E947" s="1"/>
      <c r="F947" s="1"/>
    </row>
    <row r="948" ht="15.75" customHeight="1">
      <c r="A948" s="36"/>
      <c r="B948" s="37"/>
      <c r="C948" s="37"/>
      <c r="D948" s="1"/>
      <c r="E948" s="1"/>
      <c r="F948" s="1"/>
    </row>
    <row r="949" ht="15.75" customHeight="1">
      <c r="A949" s="36"/>
      <c r="B949" s="37"/>
      <c r="C949" s="37"/>
      <c r="D949" s="1"/>
      <c r="E949" s="1"/>
      <c r="F949" s="1"/>
    </row>
    <row r="950" ht="15.75" customHeight="1">
      <c r="A950" s="36"/>
      <c r="B950" s="37"/>
      <c r="C950" s="37"/>
      <c r="D950" s="1"/>
      <c r="E950" s="1"/>
      <c r="F950" s="1"/>
    </row>
    <row r="951" ht="15.75" customHeight="1">
      <c r="A951" s="36"/>
      <c r="B951" s="37"/>
      <c r="C951" s="37"/>
      <c r="D951" s="1"/>
      <c r="E951" s="1"/>
      <c r="F951" s="1"/>
    </row>
    <row r="952" ht="15.75" customHeight="1">
      <c r="A952" s="36"/>
      <c r="B952" s="37"/>
      <c r="C952" s="37"/>
      <c r="D952" s="1"/>
      <c r="E952" s="1"/>
      <c r="F952" s="1"/>
    </row>
    <row r="953" ht="15.75" customHeight="1">
      <c r="A953" s="36"/>
      <c r="B953" s="37"/>
      <c r="C953" s="37"/>
      <c r="D953" s="1"/>
      <c r="E953" s="1"/>
      <c r="F953" s="1"/>
    </row>
    <row r="954" ht="15.75" customHeight="1">
      <c r="A954" s="36"/>
      <c r="B954" s="37"/>
      <c r="C954" s="37"/>
      <c r="D954" s="1"/>
      <c r="E954" s="1"/>
      <c r="F954" s="1"/>
    </row>
    <row r="955" ht="15.75" customHeight="1">
      <c r="A955" s="36"/>
      <c r="B955" s="37"/>
      <c r="C955" s="37"/>
      <c r="D955" s="1"/>
      <c r="E955" s="1"/>
      <c r="F955" s="1"/>
    </row>
    <row r="956" ht="15.75" customHeight="1">
      <c r="A956" s="36"/>
      <c r="B956" s="37"/>
      <c r="C956" s="37"/>
      <c r="D956" s="1"/>
      <c r="E956" s="1"/>
      <c r="F956" s="1"/>
    </row>
    <row r="957" ht="15.75" customHeight="1">
      <c r="A957" s="36"/>
      <c r="B957" s="37"/>
      <c r="C957" s="37"/>
      <c r="D957" s="1"/>
      <c r="E957" s="1"/>
      <c r="F957" s="1"/>
    </row>
    <row r="958" ht="15.75" customHeight="1">
      <c r="A958" s="36"/>
      <c r="B958" s="37"/>
      <c r="C958" s="37"/>
      <c r="D958" s="1"/>
      <c r="E958" s="1"/>
      <c r="F958" s="1"/>
    </row>
    <row r="959" ht="15.75" customHeight="1">
      <c r="A959" s="36"/>
      <c r="B959" s="37"/>
      <c r="C959" s="37"/>
      <c r="D959" s="1"/>
      <c r="E959" s="1"/>
      <c r="F959" s="1"/>
    </row>
    <row r="960" ht="15.75" customHeight="1">
      <c r="A960" s="36"/>
      <c r="B960" s="37"/>
      <c r="C960" s="37"/>
      <c r="D960" s="1"/>
      <c r="E960" s="1"/>
      <c r="F960" s="1"/>
    </row>
    <row r="961" ht="15.75" customHeight="1">
      <c r="A961" s="36"/>
      <c r="B961" s="37"/>
      <c r="C961" s="37"/>
      <c r="D961" s="1"/>
      <c r="E961" s="1"/>
      <c r="F961" s="1"/>
    </row>
    <row r="962" ht="15.75" customHeight="1">
      <c r="A962" s="36"/>
      <c r="B962" s="37"/>
      <c r="C962" s="37"/>
      <c r="D962" s="1"/>
      <c r="E962" s="1"/>
      <c r="F962" s="1"/>
    </row>
    <row r="963" ht="15.75" customHeight="1">
      <c r="A963" s="36"/>
      <c r="B963" s="37"/>
      <c r="C963" s="37"/>
      <c r="D963" s="1"/>
      <c r="E963" s="1"/>
      <c r="F963" s="1"/>
    </row>
    <row r="964" ht="15.75" customHeight="1">
      <c r="A964" s="36"/>
      <c r="B964" s="37"/>
      <c r="C964" s="37"/>
      <c r="D964" s="1"/>
      <c r="E964" s="1"/>
      <c r="F964" s="1"/>
    </row>
    <row r="965" ht="15.75" customHeight="1">
      <c r="A965" s="36"/>
      <c r="B965" s="37"/>
      <c r="C965" s="37"/>
      <c r="D965" s="1"/>
      <c r="E965" s="1"/>
      <c r="F965" s="1"/>
    </row>
    <row r="966" ht="15.75" customHeight="1">
      <c r="A966" s="36"/>
      <c r="B966" s="37"/>
      <c r="C966" s="37"/>
      <c r="D966" s="1"/>
      <c r="E966" s="1"/>
      <c r="F966" s="1"/>
    </row>
    <row r="967" ht="15.75" customHeight="1">
      <c r="A967" s="36"/>
      <c r="B967" s="37"/>
      <c r="C967" s="37"/>
      <c r="D967" s="1"/>
      <c r="E967" s="1"/>
      <c r="F967" s="1"/>
    </row>
    <row r="968" ht="15.75" customHeight="1">
      <c r="A968" s="36"/>
      <c r="B968" s="37"/>
      <c r="C968" s="37"/>
      <c r="D968" s="1"/>
      <c r="E968" s="1"/>
      <c r="F968" s="1"/>
    </row>
    <row r="969" ht="15.75" customHeight="1">
      <c r="A969" s="36"/>
      <c r="B969" s="37"/>
      <c r="C969" s="37"/>
      <c r="D969" s="1"/>
      <c r="E969" s="1"/>
      <c r="F969" s="1"/>
    </row>
    <row r="970" ht="15.75" customHeight="1">
      <c r="A970" s="36"/>
      <c r="B970" s="37"/>
      <c r="C970" s="37"/>
      <c r="D970" s="1"/>
      <c r="E970" s="1"/>
      <c r="F970" s="1"/>
    </row>
    <row r="971" ht="15.75" customHeight="1">
      <c r="A971" s="36"/>
      <c r="B971" s="37"/>
      <c r="C971" s="37"/>
      <c r="D971" s="1"/>
      <c r="E971" s="1"/>
      <c r="F971" s="1"/>
    </row>
    <row r="972" ht="15.75" customHeight="1">
      <c r="A972" s="36"/>
      <c r="B972" s="37"/>
      <c r="C972" s="37"/>
      <c r="D972" s="1"/>
      <c r="E972" s="1"/>
      <c r="F972" s="1"/>
    </row>
    <row r="973" ht="15.75" customHeight="1">
      <c r="A973" s="36"/>
      <c r="B973" s="37"/>
      <c r="C973" s="37"/>
      <c r="D973" s="1"/>
      <c r="E973" s="1"/>
      <c r="F973" s="1"/>
    </row>
    <row r="974" ht="15.75" customHeight="1">
      <c r="A974" s="36"/>
      <c r="B974" s="37"/>
      <c r="C974" s="37"/>
      <c r="D974" s="1"/>
      <c r="E974" s="1"/>
      <c r="F974" s="1"/>
    </row>
    <row r="975" ht="15.75" customHeight="1">
      <c r="A975" s="36"/>
      <c r="B975" s="37"/>
      <c r="C975" s="37"/>
      <c r="D975" s="1"/>
      <c r="E975" s="1"/>
      <c r="F975" s="1"/>
    </row>
    <row r="976" ht="15.75" customHeight="1">
      <c r="A976" s="36"/>
      <c r="B976" s="37"/>
      <c r="C976" s="37"/>
      <c r="D976" s="1"/>
      <c r="E976" s="1"/>
      <c r="F976" s="1"/>
    </row>
    <row r="977" ht="15.75" customHeight="1">
      <c r="A977" s="36"/>
      <c r="B977" s="37"/>
      <c r="C977" s="37"/>
      <c r="D977" s="1"/>
      <c r="E977" s="1"/>
      <c r="F977" s="1"/>
    </row>
    <row r="978" ht="15.75" customHeight="1">
      <c r="A978" s="36"/>
      <c r="B978" s="37"/>
      <c r="C978" s="37"/>
      <c r="D978" s="1"/>
      <c r="E978" s="1"/>
      <c r="F978" s="1"/>
    </row>
    <row r="979" ht="15.75" customHeight="1">
      <c r="A979" s="36"/>
      <c r="B979" s="37"/>
      <c r="C979" s="37"/>
      <c r="D979" s="1"/>
      <c r="E979" s="1"/>
      <c r="F979" s="1"/>
    </row>
    <row r="980" ht="15.75" customHeight="1">
      <c r="A980" s="36"/>
      <c r="B980" s="37"/>
      <c r="C980" s="37"/>
      <c r="D980" s="1"/>
      <c r="E980" s="1"/>
      <c r="F980" s="1"/>
    </row>
    <row r="981" ht="15.75" customHeight="1">
      <c r="A981" s="36"/>
      <c r="B981" s="37"/>
      <c r="C981" s="37"/>
      <c r="D981" s="1"/>
      <c r="E981" s="1"/>
      <c r="F981" s="1"/>
    </row>
    <row r="982" ht="15.75" customHeight="1">
      <c r="A982" s="36"/>
      <c r="B982" s="37"/>
      <c r="C982" s="37"/>
      <c r="D982" s="1"/>
      <c r="E982" s="1"/>
      <c r="F982" s="1"/>
    </row>
    <row r="983" ht="15.75" customHeight="1">
      <c r="A983" s="36"/>
      <c r="B983" s="37"/>
      <c r="C983" s="37"/>
      <c r="D983" s="1"/>
      <c r="E983" s="1"/>
      <c r="F983" s="1"/>
    </row>
    <row r="984" ht="15.75" customHeight="1">
      <c r="A984" s="36"/>
      <c r="B984" s="37"/>
      <c r="C984" s="37"/>
      <c r="D984" s="1"/>
      <c r="E984" s="1"/>
      <c r="F984" s="1"/>
    </row>
    <row r="985" ht="15.75" customHeight="1">
      <c r="A985" s="36"/>
      <c r="B985" s="37"/>
      <c r="C985" s="37"/>
      <c r="D985" s="1"/>
      <c r="E985" s="1"/>
      <c r="F985" s="1"/>
    </row>
    <row r="986" ht="15.75" customHeight="1">
      <c r="A986" s="36"/>
      <c r="B986" s="37"/>
      <c r="C986" s="37"/>
      <c r="D986" s="1"/>
      <c r="E986" s="1"/>
      <c r="F986" s="1"/>
    </row>
    <row r="987" ht="15.75" customHeight="1">
      <c r="A987" s="36"/>
      <c r="B987" s="37"/>
      <c r="C987" s="37"/>
      <c r="D987" s="1"/>
      <c r="E987" s="1"/>
      <c r="F987" s="1"/>
    </row>
    <row r="988" ht="15.75" customHeight="1">
      <c r="A988" s="36"/>
      <c r="B988" s="37"/>
      <c r="C988" s="37"/>
      <c r="D988" s="1"/>
      <c r="E988" s="1"/>
      <c r="F988" s="1"/>
    </row>
    <row r="989" ht="15.75" customHeight="1">
      <c r="A989" s="36"/>
      <c r="B989" s="37"/>
      <c r="C989" s="37"/>
      <c r="D989" s="1"/>
      <c r="E989" s="1"/>
      <c r="F989" s="1"/>
    </row>
    <row r="990" ht="15.75" customHeight="1">
      <c r="A990" s="36"/>
      <c r="B990" s="37"/>
      <c r="C990" s="37"/>
      <c r="D990" s="1"/>
      <c r="E990" s="1"/>
      <c r="F990" s="1"/>
    </row>
    <row r="991" ht="15.75" customHeight="1">
      <c r="A991" s="36"/>
      <c r="B991" s="37"/>
      <c r="C991" s="37"/>
      <c r="D991" s="1"/>
      <c r="E991" s="1"/>
      <c r="F991" s="1"/>
    </row>
    <row r="992" ht="15.75" customHeight="1">
      <c r="A992" s="36"/>
      <c r="B992" s="37"/>
      <c r="C992" s="37"/>
      <c r="D992" s="1"/>
      <c r="E992" s="1"/>
      <c r="F992" s="1"/>
    </row>
    <row r="993" ht="15.75" customHeight="1">
      <c r="A993" s="36"/>
      <c r="B993" s="37"/>
      <c r="C993" s="37"/>
      <c r="D993" s="1"/>
      <c r="E993" s="1"/>
      <c r="F993" s="1"/>
    </row>
    <row r="994" ht="15.75" customHeight="1">
      <c r="A994" s="36"/>
      <c r="B994" s="37"/>
      <c r="C994" s="37"/>
      <c r="D994" s="1"/>
      <c r="E994" s="1"/>
      <c r="F994" s="1"/>
    </row>
    <row r="995" ht="15.75" customHeight="1">
      <c r="A995" s="36"/>
      <c r="B995" s="37"/>
      <c r="C995" s="37"/>
      <c r="D995" s="1"/>
      <c r="E995" s="1"/>
      <c r="F995" s="1"/>
    </row>
    <row r="996" ht="15.75" customHeight="1">
      <c r="A996" s="36"/>
      <c r="B996" s="37"/>
      <c r="C996" s="37"/>
      <c r="D996" s="1"/>
      <c r="E996" s="1"/>
      <c r="F996" s="1"/>
    </row>
    <row r="997" ht="15.75" customHeight="1">
      <c r="A997" s="36"/>
      <c r="B997" s="37"/>
      <c r="C997" s="37"/>
      <c r="D997" s="1"/>
      <c r="E997" s="1"/>
      <c r="F997" s="1"/>
    </row>
    <row r="998" ht="15.75" customHeight="1">
      <c r="A998" s="36"/>
      <c r="B998" s="37"/>
      <c r="C998" s="37"/>
      <c r="D998" s="1"/>
      <c r="E998" s="1"/>
      <c r="F998" s="1"/>
    </row>
    <row r="999" ht="15.75" customHeight="1">
      <c r="A999" s="36"/>
      <c r="B999" s="37"/>
      <c r="C999" s="37"/>
      <c r="D999" s="1"/>
      <c r="E999" s="1"/>
      <c r="F999" s="1"/>
    </row>
    <row r="1000" ht="15.75" customHeight="1">
      <c r="A1000" s="36"/>
      <c r="B1000" s="37"/>
      <c r="C1000" s="37"/>
      <c r="D1000" s="1"/>
      <c r="E1000" s="1"/>
      <c r="F1000" s="1"/>
    </row>
  </sheetData>
  <mergeCells count="4">
    <mergeCell ref="A2:F2"/>
    <mergeCell ref="A4:F4"/>
    <mergeCell ref="A5:F5"/>
    <mergeCell ref="A31:F3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30.43"/>
    <col customWidth="1" min="3" max="3" width="16.71"/>
    <col customWidth="1" min="4" max="4" width="22.43"/>
    <col customWidth="1" min="5" max="5" width="14.14"/>
    <col customWidth="1" min="6" max="6" width="12.0"/>
    <col customWidth="1" min="7" max="7" width="21.14"/>
    <col customWidth="1" min="8" max="26" width="8.0"/>
  </cols>
  <sheetData>
    <row r="1">
      <c r="A1" s="36"/>
      <c r="B1" s="37"/>
      <c r="C1" s="37"/>
      <c r="D1" s="37"/>
      <c r="E1" s="1"/>
      <c r="F1" s="1"/>
    </row>
    <row r="2">
      <c r="A2" s="38" t="s">
        <v>2286</v>
      </c>
      <c r="B2" s="39"/>
      <c r="C2" s="39"/>
      <c r="D2" s="39"/>
      <c r="E2" s="39"/>
      <c r="F2" s="40"/>
      <c r="G2" s="42"/>
      <c r="H2" s="42"/>
      <c r="I2" s="42"/>
      <c r="J2" s="42"/>
      <c r="K2" s="42"/>
      <c r="L2" s="42"/>
      <c r="M2" s="42"/>
      <c r="N2" s="42"/>
      <c r="O2" s="42"/>
      <c r="P2" s="42"/>
      <c r="Q2" s="42"/>
      <c r="R2" s="42"/>
      <c r="S2" s="42"/>
      <c r="T2" s="42"/>
      <c r="U2" s="42"/>
      <c r="V2" s="42"/>
      <c r="W2" s="42"/>
      <c r="X2" s="42"/>
      <c r="Y2" s="42"/>
      <c r="Z2" s="42"/>
    </row>
    <row r="3">
      <c r="A3" s="105"/>
      <c r="B3" s="105"/>
      <c r="C3" s="105"/>
      <c r="D3" s="105"/>
      <c r="E3" s="105"/>
      <c r="F3" s="41"/>
      <c r="G3" s="42"/>
      <c r="H3" s="42"/>
      <c r="I3" s="42"/>
      <c r="J3" s="42"/>
      <c r="K3" s="42"/>
      <c r="L3" s="42"/>
      <c r="M3" s="42"/>
      <c r="N3" s="42"/>
      <c r="O3" s="42"/>
      <c r="P3" s="42"/>
      <c r="Q3" s="42"/>
      <c r="R3" s="42"/>
      <c r="S3" s="42"/>
      <c r="T3" s="42"/>
      <c r="U3" s="42"/>
      <c r="V3" s="42"/>
      <c r="W3" s="42"/>
      <c r="X3" s="42"/>
      <c r="Y3" s="42"/>
      <c r="Z3" s="42"/>
    </row>
    <row r="4">
      <c r="A4" s="107" t="s">
        <v>2287</v>
      </c>
      <c r="B4" s="39"/>
      <c r="C4" s="39"/>
      <c r="D4" s="39"/>
      <c r="E4" s="39"/>
      <c r="F4" s="40"/>
      <c r="G4" s="42"/>
      <c r="H4" s="42"/>
      <c r="I4" s="42"/>
      <c r="J4" s="42"/>
      <c r="K4" s="42"/>
      <c r="L4" s="42"/>
      <c r="M4" s="42"/>
      <c r="N4" s="42"/>
      <c r="O4" s="42"/>
      <c r="P4" s="42"/>
      <c r="Q4" s="42"/>
      <c r="R4" s="42"/>
      <c r="S4" s="42"/>
      <c r="T4" s="42"/>
      <c r="U4" s="42"/>
      <c r="V4" s="42"/>
      <c r="W4" s="42"/>
      <c r="X4" s="42"/>
      <c r="Y4" s="42"/>
      <c r="Z4" s="42"/>
    </row>
    <row r="5" ht="75.0" customHeight="1">
      <c r="A5" s="44" t="s">
        <v>2288</v>
      </c>
      <c r="B5" s="39"/>
      <c r="C5" s="39"/>
      <c r="D5" s="39"/>
      <c r="E5" s="39"/>
      <c r="F5" s="40"/>
      <c r="G5" s="42"/>
      <c r="H5" s="42"/>
      <c r="I5" s="42"/>
      <c r="J5" s="42"/>
      <c r="K5" s="42"/>
      <c r="L5" s="42"/>
      <c r="M5" s="42"/>
      <c r="N5" s="42"/>
      <c r="O5" s="42"/>
      <c r="P5" s="42"/>
      <c r="Q5" s="42"/>
      <c r="R5" s="42"/>
      <c r="S5" s="42"/>
      <c r="T5" s="42"/>
      <c r="U5" s="42"/>
      <c r="V5" s="42"/>
      <c r="W5" s="42"/>
      <c r="X5" s="42"/>
      <c r="Y5" s="42"/>
      <c r="Z5" s="42"/>
    </row>
    <row r="6">
      <c r="A6" s="36"/>
      <c r="B6" s="37"/>
      <c r="C6" s="37"/>
      <c r="D6" s="37"/>
      <c r="E6" s="1"/>
      <c r="F6" s="1"/>
      <c r="G6" s="42"/>
      <c r="H6" s="42"/>
      <c r="I6" s="42"/>
      <c r="J6" s="42"/>
      <c r="K6" s="42"/>
      <c r="L6" s="42"/>
      <c r="M6" s="42"/>
      <c r="N6" s="42"/>
      <c r="O6" s="42"/>
      <c r="P6" s="42"/>
      <c r="Q6" s="42"/>
      <c r="R6" s="42"/>
      <c r="S6" s="42"/>
      <c r="T6" s="42"/>
      <c r="U6" s="42"/>
      <c r="V6" s="42"/>
      <c r="W6" s="42"/>
      <c r="X6" s="42"/>
      <c r="Y6" s="42"/>
      <c r="Z6" s="42"/>
    </row>
    <row r="7" ht="38.25" customHeight="1">
      <c r="A7" s="228" t="s">
        <v>2289</v>
      </c>
      <c r="B7" s="269" t="s">
        <v>2280</v>
      </c>
      <c r="C7" s="269" t="s">
        <v>9</v>
      </c>
      <c r="D7" s="269" t="s">
        <v>2290</v>
      </c>
      <c r="E7" s="228" t="s">
        <v>116</v>
      </c>
      <c r="F7" s="228" t="s">
        <v>117</v>
      </c>
      <c r="G7" s="49" t="s">
        <v>118</v>
      </c>
    </row>
    <row r="8">
      <c r="A8" s="474"/>
      <c r="B8" s="475"/>
      <c r="C8" s="475"/>
      <c r="D8" s="475"/>
      <c r="E8" s="474"/>
      <c r="F8" s="476"/>
      <c r="G8" s="62"/>
    </row>
    <row r="9">
      <c r="A9" s="52"/>
      <c r="B9" s="52"/>
      <c r="C9" s="60"/>
      <c r="D9" s="74"/>
      <c r="E9" s="210"/>
      <c r="F9" s="209"/>
      <c r="G9" s="62"/>
    </row>
    <row r="10">
      <c r="A10" s="52"/>
      <c r="B10" s="52"/>
      <c r="C10" s="60"/>
      <c r="D10" s="74"/>
      <c r="E10" s="210"/>
      <c r="F10" s="209"/>
      <c r="G10" s="62"/>
    </row>
    <row r="11">
      <c r="A11" s="52"/>
      <c r="B11" s="52"/>
      <c r="C11" s="60"/>
      <c r="D11" s="74"/>
      <c r="E11" s="210"/>
      <c r="F11" s="209"/>
      <c r="G11" s="62"/>
    </row>
    <row r="12">
      <c r="A12" s="52"/>
      <c r="B12" s="52"/>
      <c r="C12" s="60"/>
      <c r="D12" s="74"/>
      <c r="E12" s="210"/>
      <c r="F12" s="209"/>
      <c r="G12" s="62"/>
    </row>
    <row r="13">
      <c r="A13" s="52"/>
      <c r="B13" s="52"/>
      <c r="C13" s="60"/>
      <c r="D13" s="74"/>
      <c r="E13" s="210"/>
      <c r="F13" s="209"/>
      <c r="G13" s="62"/>
    </row>
    <row r="14">
      <c r="A14" s="52"/>
      <c r="B14" s="52"/>
      <c r="C14" s="60"/>
      <c r="D14" s="74"/>
      <c r="E14" s="210"/>
      <c r="F14" s="209"/>
      <c r="G14" s="62"/>
    </row>
    <row r="15">
      <c r="A15" s="52"/>
      <c r="B15" s="52"/>
      <c r="C15" s="60"/>
      <c r="D15" s="74"/>
      <c r="E15" s="210"/>
      <c r="F15" s="209"/>
      <c r="G15" s="62"/>
    </row>
    <row r="16">
      <c r="A16" s="52"/>
      <c r="B16" s="52"/>
      <c r="C16" s="60"/>
      <c r="D16" s="74"/>
      <c r="E16" s="210"/>
      <c r="F16" s="209"/>
      <c r="G16" s="62"/>
    </row>
    <row r="17">
      <c r="A17" s="52"/>
      <c r="B17" s="52"/>
      <c r="C17" s="60"/>
      <c r="D17" s="74"/>
      <c r="E17" s="210"/>
      <c r="F17" s="209"/>
      <c r="G17" s="62"/>
    </row>
    <row r="18">
      <c r="A18" s="52"/>
      <c r="B18" s="52"/>
      <c r="C18" s="60"/>
      <c r="D18" s="74"/>
      <c r="E18" s="210"/>
      <c r="F18" s="209"/>
      <c r="G18" s="62"/>
    </row>
    <row r="19">
      <c r="A19" s="52"/>
      <c r="B19" s="52"/>
      <c r="C19" s="60"/>
      <c r="D19" s="74"/>
      <c r="E19" s="210"/>
      <c r="F19" s="209"/>
      <c r="G19" s="62"/>
    </row>
    <row r="20">
      <c r="A20" s="52"/>
      <c r="B20" s="52"/>
      <c r="C20" s="60"/>
      <c r="D20" s="74"/>
      <c r="E20" s="210"/>
      <c r="F20" s="209"/>
      <c r="G20" s="62"/>
    </row>
    <row r="21" ht="15.75" customHeight="1">
      <c r="A21" s="52"/>
      <c r="B21" s="52"/>
      <c r="C21" s="60"/>
      <c r="D21" s="74"/>
      <c r="E21" s="295"/>
      <c r="F21" s="209"/>
      <c r="G21" s="62"/>
    </row>
    <row r="22" ht="15.75" customHeight="1">
      <c r="A22" s="52"/>
      <c r="B22" s="52"/>
      <c r="C22" s="60"/>
      <c r="D22" s="74"/>
      <c r="E22" s="295"/>
      <c r="F22" s="209"/>
      <c r="G22" s="62"/>
    </row>
    <row r="23" ht="15.75" customHeight="1">
      <c r="A23" s="52"/>
      <c r="B23" s="52"/>
      <c r="C23" s="60"/>
      <c r="D23" s="74"/>
      <c r="E23" s="295"/>
      <c r="F23" s="209"/>
      <c r="G23" s="62"/>
    </row>
    <row r="24" ht="15.75" customHeight="1">
      <c r="A24" s="52"/>
      <c r="B24" s="52"/>
      <c r="C24" s="60"/>
      <c r="D24" s="74"/>
      <c r="E24" s="295"/>
      <c r="F24" s="209"/>
      <c r="G24" s="62"/>
    </row>
    <row r="25" ht="15.75" customHeight="1">
      <c r="A25" s="52"/>
      <c r="B25" s="52"/>
      <c r="C25" s="60"/>
      <c r="D25" s="74"/>
      <c r="E25" s="295"/>
      <c r="F25" s="209"/>
      <c r="G25" s="62"/>
    </row>
    <row r="26" ht="15.75" customHeight="1">
      <c r="A26" s="52"/>
      <c r="B26" s="52"/>
      <c r="C26" s="60"/>
      <c r="D26" s="74"/>
      <c r="E26" s="295"/>
      <c r="F26" s="209"/>
      <c r="G26" s="62"/>
    </row>
    <row r="27" ht="15.75" customHeight="1">
      <c r="A27" s="52"/>
      <c r="B27" s="52"/>
      <c r="C27" s="60"/>
      <c r="D27" s="74"/>
      <c r="E27" s="295"/>
      <c r="F27" s="209"/>
      <c r="G27" s="62"/>
    </row>
    <row r="28" ht="15.75" customHeight="1">
      <c r="A28" s="88" t="s">
        <v>88</v>
      </c>
      <c r="B28" s="37"/>
      <c r="C28" s="37"/>
      <c r="D28" s="37"/>
      <c r="E28" s="41"/>
      <c r="F28" s="472">
        <f>SUM(F8:F27)</f>
        <v>0</v>
      </c>
    </row>
    <row r="29" ht="15.75" customHeight="1">
      <c r="A29" s="36"/>
      <c r="B29" s="37"/>
      <c r="C29" s="37"/>
      <c r="D29" s="37"/>
      <c r="E29" s="1"/>
      <c r="F29" s="1"/>
    </row>
    <row r="30" ht="15.75" customHeight="1">
      <c r="A30" s="473" t="s">
        <v>178</v>
      </c>
      <c r="B30" s="91"/>
      <c r="C30" s="91"/>
      <c r="D30" s="91"/>
      <c r="E30" s="91"/>
      <c r="F30" s="92"/>
    </row>
    <row r="31" ht="15.75" customHeight="1">
      <c r="A31" s="36"/>
      <c r="B31" s="37"/>
      <c r="C31" s="37"/>
      <c r="D31" s="37"/>
      <c r="E31" s="1"/>
      <c r="F31" s="1"/>
    </row>
    <row r="32" ht="15.75" customHeight="1">
      <c r="A32" s="36"/>
      <c r="B32" s="37"/>
      <c r="C32" s="37"/>
      <c r="D32" s="37"/>
      <c r="E32" s="1"/>
      <c r="F32" s="1"/>
    </row>
    <row r="33" ht="15.75" customHeight="1">
      <c r="A33" s="36"/>
      <c r="B33" s="37"/>
      <c r="C33" s="37"/>
      <c r="D33" s="37"/>
      <c r="E33" s="1"/>
      <c r="F33" s="1"/>
    </row>
    <row r="34" ht="15.75" customHeight="1">
      <c r="A34" s="36"/>
      <c r="B34" s="37"/>
      <c r="C34" s="37"/>
      <c r="D34" s="37"/>
      <c r="E34" s="1"/>
      <c r="F34" s="1"/>
    </row>
    <row r="35" ht="15.75" customHeight="1">
      <c r="A35" s="36"/>
      <c r="B35" s="37"/>
      <c r="C35" s="37"/>
      <c r="D35" s="37"/>
      <c r="E35" s="1"/>
      <c r="F35" s="1"/>
    </row>
    <row r="36" ht="15.75" customHeight="1">
      <c r="A36" s="36"/>
      <c r="B36" s="37"/>
      <c r="C36" s="37"/>
      <c r="D36" s="37"/>
      <c r="E36" s="1"/>
      <c r="F36" s="1"/>
    </row>
    <row r="37" ht="15.75" customHeight="1">
      <c r="A37" s="36"/>
      <c r="B37" s="37"/>
      <c r="C37" s="37"/>
      <c r="D37" s="37"/>
      <c r="E37" s="1"/>
      <c r="F37" s="1"/>
    </row>
    <row r="38" ht="15.75" customHeight="1">
      <c r="A38" s="36"/>
      <c r="B38" s="37"/>
      <c r="C38" s="37"/>
      <c r="D38" s="37"/>
      <c r="E38" s="1"/>
      <c r="F38" s="1"/>
    </row>
    <row r="39" ht="15.75" customHeight="1">
      <c r="A39" s="36"/>
      <c r="B39" s="37"/>
      <c r="C39" s="37"/>
      <c r="D39" s="37"/>
      <c r="E39" s="1"/>
      <c r="F39" s="1"/>
    </row>
    <row r="40" ht="15.75" customHeight="1">
      <c r="A40" s="36"/>
      <c r="B40" s="37"/>
      <c r="C40" s="37"/>
      <c r="D40" s="37"/>
      <c r="E40" s="1"/>
      <c r="F40" s="1"/>
    </row>
    <row r="41" ht="15.75" customHeight="1">
      <c r="A41" s="36"/>
      <c r="B41" s="37"/>
      <c r="C41" s="37"/>
      <c r="D41" s="37"/>
      <c r="E41" s="1"/>
      <c r="F41" s="1"/>
    </row>
    <row r="42" ht="15.75" customHeight="1">
      <c r="A42" s="36"/>
      <c r="B42" s="37"/>
      <c r="C42" s="37"/>
      <c r="D42" s="37"/>
      <c r="E42" s="1"/>
      <c r="F42" s="1"/>
    </row>
    <row r="43" ht="15.75" customHeight="1">
      <c r="A43" s="36"/>
      <c r="B43" s="37"/>
      <c r="C43" s="37"/>
      <c r="D43" s="37"/>
      <c r="E43" s="1"/>
      <c r="F43" s="1"/>
    </row>
    <row r="44" ht="15.75" customHeight="1">
      <c r="A44" s="36"/>
      <c r="B44" s="37"/>
      <c r="C44" s="37"/>
      <c r="D44" s="37"/>
      <c r="E44" s="1"/>
      <c r="F44" s="1"/>
    </row>
    <row r="45" ht="15.75" customHeight="1">
      <c r="A45" s="36"/>
      <c r="B45" s="37"/>
      <c r="C45" s="37"/>
      <c r="D45" s="37"/>
      <c r="E45" s="1"/>
      <c r="F45" s="1"/>
    </row>
    <row r="46" ht="15.75" customHeight="1">
      <c r="A46" s="36"/>
      <c r="B46" s="37"/>
      <c r="C46" s="37"/>
      <c r="D46" s="37"/>
      <c r="E46" s="1"/>
      <c r="F46" s="1"/>
    </row>
    <row r="47" ht="15.75" customHeight="1">
      <c r="A47" s="36"/>
      <c r="B47" s="37"/>
      <c r="C47" s="37"/>
      <c r="D47" s="37"/>
      <c r="E47" s="1"/>
      <c r="F47" s="1"/>
    </row>
    <row r="48" ht="15.75" customHeight="1">
      <c r="A48" s="36"/>
      <c r="B48" s="37"/>
      <c r="C48" s="37"/>
      <c r="D48" s="37"/>
      <c r="E48" s="1"/>
      <c r="F48" s="1"/>
    </row>
    <row r="49" ht="15.75" customHeight="1">
      <c r="A49" s="36"/>
      <c r="B49" s="37"/>
      <c r="C49" s="37"/>
      <c r="D49" s="37"/>
      <c r="E49" s="1"/>
      <c r="F49" s="1"/>
    </row>
    <row r="50" ht="15.75" customHeight="1">
      <c r="A50" s="36"/>
      <c r="B50" s="37"/>
      <c r="C50" s="37"/>
      <c r="D50" s="37"/>
      <c r="E50" s="1"/>
      <c r="F50" s="1"/>
    </row>
    <row r="51" ht="15.75" customHeight="1">
      <c r="A51" s="36"/>
      <c r="B51" s="37"/>
      <c r="C51" s="37"/>
      <c r="D51" s="37"/>
      <c r="E51" s="1"/>
      <c r="F51" s="1"/>
    </row>
    <row r="52" ht="15.75" customHeight="1">
      <c r="A52" s="36"/>
      <c r="B52" s="37"/>
      <c r="C52" s="37"/>
      <c r="D52" s="37"/>
      <c r="E52" s="1"/>
      <c r="F52" s="1"/>
    </row>
    <row r="53" ht="15.75" customHeight="1">
      <c r="A53" s="36"/>
      <c r="B53" s="37"/>
      <c r="C53" s="37"/>
      <c r="D53" s="37"/>
      <c r="E53" s="1"/>
      <c r="F53" s="1"/>
    </row>
    <row r="54" ht="15.75" customHeight="1">
      <c r="A54" s="36"/>
      <c r="B54" s="37"/>
      <c r="C54" s="37"/>
      <c r="D54" s="37"/>
      <c r="E54" s="1"/>
      <c r="F54" s="1"/>
    </row>
    <row r="55" ht="15.75" customHeight="1">
      <c r="A55" s="36"/>
      <c r="B55" s="37"/>
      <c r="C55" s="37"/>
      <c r="D55" s="37"/>
      <c r="E55" s="1"/>
      <c r="F55" s="1"/>
    </row>
    <row r="56" ht="15.75" customHeight="1">
      <c r="A56" s="36"/>
      <c r="B56" s="37"/>
      <c r="C56" s="37"/>
      <c r="D56" s="37"/>
      <c r="E56" s="1"/>
      <c r="F56" s="1"/>
    </row>
    <row r="57" ht="15.75" customHeight="1">
      <c r="A57" s="36"/>
      <c r="B57" s="37"/>
      <c r="C57" s="37"/>
      <c r="D57" s="37"/>
      <c r="E57" s="1"/>
      <c r="F57" s="1"/>
    </row>
    <row r="58" ht="15.75" customHeight="1">
      <c r="A58" s="36"/>
      <c r="B58" s="37"/>
      <c r="C58" s="37"/>
      <c r="D58" s="37"/>
      <c r="E58" s="1"/>
      <c r="F58" s="1"/>
    </row>
    <row r="59" ht="15.75" customHeight="1">
      <c r="A59" s="36"/>
      <c r="B59" s="37"/>
      <c r="C59" s="37"/>
      <c r="D59" s="37"/>
      <c r="E59" s="1"/>
      <c r="F59" s="1"/>
    </row>
    <row r="60" ht="15.75" customHeight="1">
      <c r="A60" s="36"/>
      <c r="B60" s="37"/>
      <c r="C60" s="37"/>
      <c r="D60" s="37"/>
      <c r="E60" s="1"/>
      <c r="F60" s="1"/>
    </row>
    <row r="61" ht="15.75" customHeight="1">
      <c r="A61" s="36"/>
      <c r="B61" s="37"/>
      <c r="C61" s="37"/>
      <c r="D61" s="37"/>
      <c r="E61" s="1"/>
      <c r="F61" s="1"/>
    </row>
    <row r="62" ht="15.75" customHeight="1">
      <c r="A62" s="36"/>
      <c r="B62" s="37"/>
      <c r="C62" s="37"/>
      <c r="D62" s="37"/>
      <c r="E62" s="1"/>
      <c r="F62" s="1"/>
    </row>
    <row r="63" ht="15.75" customHeight="1">
      <c r="A63" s="36"/>
      <c r="B63" s="37"/>
      <c r="C63" s="37"/>
      <c r="D63" s="37"/>
      <c r="E63" s="1"/>
      <c r="F63" s="1"/>
    </row>
    <row r="64" ht="15.75" customHeight="1">
      <c r="A64" s="36"/>
      <c r="B64" s="37"/>
      <c r="C64" s="37"/>
      <c r="D64" s="37"/>
      <c r="E64" s="1"/>
      <c r="F64" s="1"/>
    </row>
    <row r="65" ht="15.75" customHeight="1">
      <c r="A65" s="36"/>
      <c r="B65" s="37"/>
      <c r="C65" s="37"/>
      <c r="D65" s="37"/>
      <c r="E65" s="1"/>
      <c r="F65" s="1"/>
    </row>
    <row r="66" ht="15.75" customHeight="1">
      <c r="A66" s="36"/>
      <c r="B66" s="37"/>
      <c r="C66" s="37"/>
      <c r="D66" s="37"/>
      <c r="E66" s="1"/>
      <c r="F66" s="1"/>
    </row>
    <row r="67" ht="15.75" customHeight="1">
      <c r="A67" s="36"/>
      <c r="B67" s="37"/>
      <c r="C67" s="37"/>
      <c r="D67" s="37"/>
      <c r="E67" s="1"/>
      <c r="F67" s="1"/>
    </row>
    <row r="68" ht="15.75" customHeight="1">
      <c r="A68" s="36"/>
      <c r="B68" s="37"/>
      <c r="C68" s="37"/>
      <c r="D68" s="37"/>
      <c r="E68" s="1"/>
      <c r="F68" s="1"/>
    </row>
    <row r="69" ht="15.75" customHeight="1">
      <c r="A69" s="36"/>
      <c r="B69" s="37"/>
      <c r="C69" s="37"/>
      <c r="D69" s="37"/>
      <c r="E69" s="1"/>
      <c r="F69" s="1"/>
    </row>
    <row r="70" ht="15.75" customHeight="1">
      <c r="A70" s="36"/>
      <c r="B70" s="37"/>
      <c r="C70" s="37"/>
      <c r="D70" s="37"/>
      <c r="E70" s="1"/>
      <c r="F70" s="1"/>
    </row>
    <row r="71" ht="15.75" customHeight="1">
      <c r="A71" s="36"/>
      <c r="B71" s="37"/>
      <c r="C71" s="37"/>
      <c r="D71" s="37"/>
      <c r="E71" s="1"/>
      <c r="F71" s="1"/>
    </row>
    <row r="72" ht="15.75" customHeight="1">
      <c r="A72" s="36"/>
      <c r="B72" s="37"/>
      <c r="C72" s="37"/>
      <c r="D72" s="37"/>
      <c r="E72" s="1"/>
      <c r="F72" s="1"/>
    </row>
    <row r="73" ht="15.75" customHeight="1">
      <c r="A73" s="36"/>
      <c r="B73" s="37"/>
      <c r="C73" s="37"/>
      <c r="D73" s="37"/>
      <c r="E73" s="1"/>
      <c r="F73" s="1"/>
    </row>
    <row r="74" ht="15.75" customHeight="1">
      <c r="A74" s="36"/>
      <c r="B74" s="37"/>
      <c r="C74" s="37"/>
      <c r="D74" s="37"/>
      <c r="E74" s="1"/>
      <c r="F74" s="1"/>
    </row>
    <row r="75" ht="15.75" customHeight="1">
      <c r="A75" s="36"/>
      <c r="B75" s="37"/>
      <c r="C75" s="37"/>
      <c r="D75" s="37"/>
      <c r="E75" s="1"/>
      <c r="F75" s="1"/>
    </row>
    <row r="76" ht="15.75" customHeight="1">
      <c r="A76" s="36"/>
      <c r="B76" s="37"/>
      <c r="C76" s="37"/>
      <c r="D76" s="37"/>
      <c r="E76" s="1"/>
      <c r="F76" s="1"/>
    </row>
    <row r="77" ht="15.75" customHeight="1">
      <c r="A77" s="36"/>
      <c r="B77" s="37"/>
      <c r="C77" s="37"/>
      <c r="D77" s="37"/>
      <c r="E77" s="1"/>
      <c r="F77" s="1"/>
    </row>
    <row r="78" ht="15.75" customHeight="1">
      <c r="A78" s="36"/>
      <c r="B78" s="37"/>
      <c r="C78" s="37"/>
      <c r="D78" s="37"/>
      <c r="E78" s="1"/>
      <c r="F78" s="1"/>
    </row>
    <row r="79" ht="15.75" customHeight="1">
      <c r="A79" s="36"/>
      <c r="B79" s="37"/>
      <c r="C79" s="37"/>
      <c r="D79" s="37"/>
      <c r="E79" s="1"/>
      <c r="F79" s="1"/>
    </row>
    <row r="80" ht="15.75" customHeight="1">
      <c r="A80" s="36"/>
      <c r="B80" s="37"/>
      <c r="C80" s="37"/>
      <c r="D80" s="37"/>
      <c r="E80" s="1"/>
      <c r="F80" s="1"/>
    </row>
    <row r="81" ht="15.75" customHeight="1">
      <c r="A81" s="36"/>
      <c r="B81" s="37"/>
      <c r="C81" s="37"/>
      <c r="D81" s="37"/>
      <c r="E81" s="1"/>
      <c r="F81" s="1"/>
    </row>
    <row r="82" ht="15.75" customHeight="1">
      <c r="A82" s="36"/>
      <c r="B82" s="37"/>
      <c r="C82" s="37"/>
      <c r="D82" s="37"/>
      <c r="E82" s="1"/>
      <c r="F82" s="1"/>
    </row>
    <row r="83" ht="15.75" customHeight="1">
      <c r="A83" s="36"/>
      <c r="B83" s="37"/>
      <c r="C83" s="37"/>
      <c r="D83" s="37"/>
      <c r="E83" s="1"/>
      <c r="F83" s="1"/>
    </row>
    <row r="84" ht="15.75" customHeight="1">
      <c r="A84" s="36"/>
      <c r="B84" s="37"/>
      <c r="C84" s="37"/>
      <c r="D84" s="37"/>
      <c r="E84" s="1"/>
      <c r="F84" s="1"/>
    </row>
    <row r="85" ht="15.75" customHeight="1">
      <c r="A85" s="36"/>
      <c r="B85" s="37"/>
      <c r="C85" s="37"/>
      <c r="D85" s="37"/>
      <c r="E85" s="1"/>
      <c r="F85" s="1"/>
    </row>
    <row r="86" ht="15.75" customHeight="1">
      <c r="A86" s="36"/>
      <c r="B86" s="37"/>
      <c r="C86" s="37"/>
      <c r="D86" s="37"/>
      <c r="E86" s="1"/>
      <c r="F86" s="1"/>
    </row>
    <row r="87" ht="15.75" customHeight="1">
      <c r="A87" s="36"/>
      <c r="B87" s="37"/>
      <c r="C87" s="37"/>
      <c r="D87" s="37"/>
      <c r="E87" s="1"/>
      <c r="F87" s="1"/>
    </row>
    <row r="88" ht="15.75" customHeight="1">
      <c r="A88" s="36"/>
      <c r="B88" s="37"/>
      <c r="C88" s="37"/>
      <c r="D88" s="37"/>
      <c r="E88" s="1"/>
      <c r="F88" s="1"/>
    </row>
    <row r="89" ht="15.75" customHeight="1">
      <c r="A89" s="36"/>
      <c r="B89" s="37"/>
      <c r="C89" s="37"/>
      <c r="D89" s="37"/>
      <c r="E89" s="1"/>
      <c r="F89" s="1"/>
    </row>
    <row r="90" ht="15.75" customHeight="1">
      <c r="A90" s="36"/>
      <c r="B90" s="37"/>
      <c r="C90" s="37"/>
      <c r="D90" s="37"/>
      <c r="E90" s="1"/>
      <c r="F90" s="1"/>
    </row>
    <row r="91" ht="15.75" customHeight="1">
      <c r="A91" s="36"/>
      <c r="B91" s="37"/>
      <c r="C91" s="37"/>
      <c r="D91" s="37"/>
      <c r="E91" s="1"/>
      <c r="F91" s="1"/>
    </row>
    <row r="92" ht="15.75" customHeight="1">
      <c r="A92" s="36"/>
      <c r="B92" s="37"/>
      <c r="C92" s="37"/>
      <c r="D92" s="37"/>
      <c r="E92" s="1"/>
      <c r="F92" s="1"/>
    </row>
    <row r="93" ht="15.75" customHeight="1">
      <c r="A93" s="36"/>
      <c r="B93" s="37"/>
      <c r="C93" s="37"/>
      <c r="D93" s="37"/>
      <c r="E93" s="1"/>
      <c r="F93" s="1"/>
    </row>
    <row r="94" ht="15.75" customHeight="1">
      <c r="A94" s="36"/>
      <c r="B94" s="37"/>
      <c r="C94" s="37"/>
      <c r="D94" s="37"/>
      <c r="E94" s="1"/>
      <c r="F94" s="1"/>
    </row>
    <row r="95" ht="15.75" customHeight="1">
      <c r="A95" s="36"/>
      <c r="B95" s="37"/>
      <c r="C95" s="37"/>
      <c r="D95" s="37"/>
      <c r="E95" s="1"/>
      <c r="F95" s="1"/>
    </row>
    <row r="96" ht="15.75" customHeight="1">
      <c r="A96" s="36"/>
      <c r="B96" s="37"/>
      <c r="C96" s="37"/>
      <c r="D96" s="37"/>
      <c r="E96" s="1"/>
      <c r="F96" s="1"/>
    </row>
    <row r="97" ht="15.75" customHeight="1">
      <c r="A97" s="36"/>
      <c r="B97" s="37"/>
      <c r="C97" s="37"/>
      <c r="D97" s="37"/>
      <c r="E97" s="1"/>
      <c r="F97" s="1"/>
    </row>
    <row r="98" ht="15.75" customHeight="1">
      <c r="A98" s="36"/>
      <c r="B98" s="37"/>
      <c r="C98" s="37"/>
      <c r="D98" s="37"/>
      <c r="E98" s="1"/>
      <c r="F98" s="1"/>
    </row>
    <row r="99" ht="15.75" customHeight="1">
      <c r="A99" s="36"/>
      <c r="B99" s="37"/>
      <c r="C99" s="37"/>
      <c r="D99" s="37"/>
      <c r="E99" s="1"/>
      <c r="F99" s="1"/>
    </row>
    <row r="100" ht="15.75" customHeight="1">
      <c r="A100" s="36"/>
      <c r="B100" s="37"/>
      <c r="C100" s="37"/>
      <c r="D100" s="37"/>
      <c r="E100" s="1"/>
      <c r="F100" s="1"/>
    </row>
    <row r="101" ht="15.75" customHeight="1">
      <c r="A101" s="36"/>
      <c r="B101" s="37"/>
      <c r="C101" s="37"/>
      <c r="D101" s="37"/>
      <c r="E101" s="1"/>
      <c r="F101" s="1"/>
    </row>
    <row r="102" ht="15.75" customHeight="1">
      <c r="A102" s="36"/>
      <c r="B102" s="37"/>
      <c r="C102" s="37"/>
      <c r="D102" s="37"/>
      <c r="E102" s="1"/>
      <c r="F102" s="1"/>
    </row>
    <row r="103" ht="15.75" customHeight="1">
      <c r="A103" s="36"/>
      <c r="B103" s="37"/>
      <c r="C103" s="37"/>
      <c r="D103" s="37"/>
      <c r="E103" s="1"/>
      <c r="F103" s="1"/>
    </row>
    <row r="104" ht="15.75" customHeight="1">
      <c r="A104" s="36"/>
      <c r="B104" s="37"/>
      <c r="C104" s="37"/>
      <c r="D104" s="37"/>
      <c r="E104" s="1"/>
      <c r="F104" s="1"/>
    </row>
    <row r="105" ht="15.75" customHeight="1">
      <c r="A105" s="36"/>
      <c r="B105" s="37"/>
      <c r="C105" s="37"/>
      <c r="D105" s="37"/>
      <c r="E105" s="1"/>
      <c r="F105" s="1"/>
    </row>
    <row r="106" ht="15.75" customHeight="1">
      <c r="A106" s="36"/>
      <c r="B106" s="37"/>
      <c r="C106" s="37"/>
      <c r="D106" s="37"/>
      <c r="E106" s="1"/>
      <c r="F106" s="1"/>
    </row>
    <row r="107" ht="15.75" customHeight="1">
      <c r="A107" s="36"/>
      <c r="B107" s="37"/>
      <c r="C107" s="37"/>
      <c r="D107" s="37"/>
      <c r="E107" s="1"/>
      <c r="F107" s="1"/>
    </row>
    <row r="108" ht="15.75" customHeight="1">
      <c r="A108" s="36"/>
      <c r="B108" s="37"/>
      <c r="C108" s="37"/>
      <c r="D108" s="37"/>
      <c r="E108" s="1"/>
      <c r="F108" s="1"/>
    </row>
    <row r="109" ht="15.75" customHeight="1">
      <c r="A109" s="36"/>
      <c r="B109" s="37"/>
      <c r="C109" s="37"/>
      <c r="D109" s="37"/>
      <c r="E109" s="1"/>
      <c r="F109" s="1"/>
    </row>
    <row r="110" ht="15.75" customHeight="1">
      <c r="A110" s="36"/>
      <c r="B110" s="37"/>
      <c r="C110" s="37"/>
      <c r="D110" s="37"/>
      <c r="E110" s="1"/>
      <c r="F110" s="1"/>
    </row>
    <row r="111" ht="15.75" customHeight="1">
      <c r="A111" s="36"/>
      <c r="B111" s="37"/>
      <c r="C111" s="37"/>
      <c r="D111" s="37"/>
      <c r="E111" s="1"/>
      <c r="F111" s="1"/>
    </row>
    <row r="112" ht="15.75" customHeight="1">
      <c r="A112" s="36"/>
      <c r="B112" s="37"/>
      <c r="C112" s="37"/>
      <c r="D112" s="37"/>
      <c r="E112" s="1"/>
      <c r="F112" s="1"/>
    </row>
    <row r="113" ht="15.75" customHeight="1">
      <c r="A113" s="36"/>
      <c r="B113" s="37"/>
      <c r="C113" s="37"/>
      <c r="D113" s="37"/>
      <c r="E113" s="1"/>
      <c r="F113" s="1"/>
    </row>
    <row r="114" ht="15.75" customHeight="1">
      <c r="A114" s="36"/>
      <c r="B114" s="37"/>
      <c r="C114" s="37"/>
      <c r="D114" s="37"/>
      <c r="E114" s="1"/>
      <c r="F114" s="1"/>
    </row>
    <row r="115" ht="15.75" customHeight="1">
      <c r="A115" s="36"/>
      <c r="B115" s="37"/>
      <c r="C115" s="37"/>
      <c r="D115" s="37"/>
      <c r="E115" s="1"/>
      <c r="F115" s="1"/>
    </row>
    <row r="116" ht="15.75" customHeight="1">
      <c r="A116" s="36"/>
      <c r="B116" s="37"/>
      <c r="C116" s="37"/>
      <c r="D116" s="37"/>
      <c r="E116" s="1"/>
      <c r="F116" s="1"/>
    </row>
    <row r="117" ht="15.75" customHeight="1">
      <c r="A117" s="36"/>
      <c r="B117" s="37"/>
      <c r="C117" s="37"/>
      <c r="D117" s="37"/>
      <c r="E117" s="1"/>
      <c r="F117" s="1"/>
    </row>
    <row r="118" ht="15.75" customHeight="1">
      <c r="A118" s="36"/>
      <c r="B118" s="37"/>
      <c r="C118" s="37"/>
      <c r="D118" s="37"/>
      <c r="E118" s="1"/>
      <c r="F118" s="1"/>
    </row>
    <row r="119" ht="15.75" customHeight="1">
      <c r="A119" s="36"/>
      <c r="B119" s="37"/>
      <c r="C119" s="37"/>
      <c r="D119" s="37"/>
      <c r="E119" s="1"/>
      <c r="F119" s="1"/>
    </row>
    <row r="120" ht="15.75" customHeight="1">
      <c r="A120" s="36"/>
      <c r="B120" s="37"/>
      <c r="C120" s="37"/>
      <c r="D120" s="37"/>
      <c r="E120" s="1"/>
      <c r="F120" s="1"/>
    </row>
    <row r="121" ht="15.75" customHeight="1">
      <c r="A121" s="36"/>
      <c r="B121" s="37"/>
      <c r="C121" s="37"/>
      <c r="D121" s="37"/>
      <c r="E121" s="1"/>
      <c r="F121" s="1"/>
    </row>
    <row r="122" ht="15.75" customHeight="1">
      <c r="A122" s="36"/>
      <c r="B122" s="37"/>
      <c r="C122" s="37"/>
      <c r="D122" s="37"/>
      <c r="E122" s="1"/>
      <c r="F122" s="1"/>
    </row>
    <row r="123" ht="15.75" customHeight="1">
      <c r="A123" s="36"/>
      <c r="B123" s="37"/>
      <c r="C123" s="37"/>
      <c r="D123" s="37"/>
      <c r="E123" s="1"/>
      <c r="F123" s="1"/>
    </row>
    <row r="124" ht="15.75" customHeight="1">
      <c r="A124" s="36"/>
      <c r="B124" s="37"/>
      <c r="C124" s="37"/>
      <c r="D124" s="37"/>
      <c r="E124" s="1"/>
      <c r="F124" s="1"/>
    </row>
    <row r="125" ht="15.75" customHeight="1">
      <c r="A125" s="36"/>
      <c r="B125" s="37"/>
      <c r="C125" s="37"/>
      <c r="D125" s="37"/>
      <c r="E125" s="1"/>
      <c r="F125" s="1"/>
    </row>
    <row r="126" ht="15.75" customHeight="1">
      <c r="A126" s="36"/>
      <c r="B126" s="37"/>
      <c r="C126" s="37"/>
      <c r="D126" s="37"/>
      <c r="E126" s="1"/>
      <c r="F126" s="1"/>
    </row>
    <row r="127" ht="15.75" customHeight="1">
      <c r="A127" s="36"/>
      <c r="B127" s="37"/>
      <c r="C127" s="37"/>
      <c r="D127" s="37"/>
      <c r="E127" s="1"/>
      <c r="F127" s="1"/>
    </row>
    <row r="128" ht="15.75" customHeight="1">
      <c r="A128" s="36"/>
      <c r="B128" s="37"/>
      <c r="C128" s="37"/>
      <c r="D128" s="37"/>
      <c r="E128" s="1"/>
      <c r="F128" s="1"/>
    </row>
    <row r="129" ht="15.75" customHeight="1">
      <c r="A129" s="36"/>
      <c r="B129" s="37"/>
      <c r="C129" s="37"/>
      <c r="D129" s="37"/>
      <c r="E129" s="1"/>
      <c r="F129" s="1"/>
    </row>
    <row r="130" ht="15.75" customHeight="1">
      <c r="A130" s="36"/>
      <c r="B130" s="37"/>
      <c r="C130" s="37"/>
      <c r="D130" s="37"/>
      <c r="E130" s="1"/>
      <c r="F130" s="1"/>
    </row>
    <row r="131" ht="15.75" customHeight="1">
      <c r="A131" s="36"/>
      <c r="B131" s="37"/>
      <c r="C131" s="37"/>
      <c r="D131" s="37"/>
      <c r="E131" s="1"/>
      <c r="F131" s="1"/>
    </row>
    <row r="132" ht="15.75" customHeight="1">
      <c r="A132" s="36"/>
      <c r="B132" s="37"/>
      <c r="C132" s="37"/>
      <c r="D132" s="37"/>
      <c r="E132" s="1"/>
      <c r="F132" s="1"/>
    </row>
    <row r="133" ht="15.75" customHeight="1">
      <c r="A133" s="36"/>
      <c r="B133" s="37"/>
      <c r="C133" s="37"/>
      <c r="D133" s="37"/>
      <c r="E133" s="1"/>
      <c r="F133" s="1"/>
    </row>
    <row r="134" ht="15.75" customHeight="1">
      <c r="A134" s="36"/>
      <c r="B134" s="37"/>
      <c r="C134" s="37"/>
      <c r="D134" s="37"/>
      <c r="E134" s="1"/>
      <c r="F134" s="1"/>
    </row>
    <row r="135" ht="15.75" customHeight="1">
      <c r="A135" s="36"/>
      <c r="B135" s="37"/>
      <c r="C135" s="37"/>
      <c r="D135" s="37"/>
      <c r="E135" s="1"/>
      <c r="F135" s="1"/>
    </row>
    <row r="136" ht="15.75" customHeight="1">
      <c r="A136" s="36"/>
      <c r="B136" s="37"/>
      <c r="C136" s="37"/>
      <c r="D136" s="37"/>
      <c r="E136" s="1"/>
      <c r="F136" s="1"/>
    </row>
    <row r="137" ht="15.75" customHeight="1">
      <c r="A137" s="36"/>
      <c r="B137" s="37"/>
      <c r="C137" s="37"/>
      <c r="D137" s="37"/>
      <c r="E137" s="1"/>
      <c r="F137" s="1"/>
    </row>
    <row r="138" ht="15.75" customHeight="1">
      <c r="A138" s="36"/>
      <c r="B138" s="37"/>
      <c r="C138" s="37"/>
      <c r="D138" s="37"/>
      <c r="E138" s="1"/>
      <c r="F138" s="1"/>
    </row>
    <row r="139" ht="15.75" customHeight="1">
      <c r="A139" s="36"/>
      <c r="B139" s="37"/>
      <c r="C139" s="37"/>
      <c r="D139" s="37"/>
      <c r="E139" s="1"/>
      <c r="F139" s="1"/>
    </row>
    <row r="140" ht="15.75" customHeight="1">
      <c r="A140" s="36"/>
      <c r="B140" s="37"/>
      <c r="C140" s="37"/>
      <c r="D140" s="37"/>
      <c r="E140" s="1"/>
      <c r="F140" s="1"/>
    </row>
    <row r="141" ht="15.75" customHeight="1">
      <c r="A141" s="36"/>
      <c r="B141" s="37"/>
      <c r="C141" s="37"/>
      <c r="D141" s="37"/>
      <c r="E141" s="1"/>
      <c r="F141" s="1"/>
    </row>
    <row r="142" ht="15.75" customHeight="1">
      <c r="A142" s="36"/>
      <c r="B142" s="37"/>
      <c r="C142" s="37"/>
      <c r="D142" s="37"/>
      <c r="E142" s="1"/>
      <c r="F142" s="1"/>
    </row>
    <row r="143" ht="15.75" customHeight="1">
      <c r="A143" s="36"/>
      <c r="B143" s="37"/>
      <c r="C143" s="37"/>
      <c r="D143" s="37"/>
      <c r="E143" s="1"/>
      <c r="F143" s="1"/>
    </row>
    <row r="144" ht="15.75" customHeight="1">
      <c r="A144" s="36"/>
      <c r="B144" s="37"/>
      <c r="C144" s="37"/>
      <c r="D144" s="37"/>
      <c r="E144" s="1"/>
      <c r="F144" s="1"/>
    </row>
    <row r="145" ht="15.75" customHeight="1">
      <c r="A145" s="36"/>
      <c r="B145" s="37"/>
      <c r="C145" s="37"/>
      <c r="D145" s="37"/>
      <c r="E145" s="1"/>
      <c r="F145" s="1"/>
    </row>
    <row r="146" ht="15.75" customHeight="1">
      <c r="A146" s="36"/>
      <c r="B146" s="37"/>
      <c r="C146" s="37"/>
      <c r="D146" s="37"/>
      <c r="E146" s="1"/>
      <c r="F146" s="1"/>
    </row>
    <row r="147" ht="15.75" customHeight="1">
      <c r="A147" s="36"/>
      <c r="B147" s="37"/>
      <c r="C147" s="37"/>
      <c r="D147" s="37"/>
      <c r="E147" s="1"/>
      <c r="F147" s="1"/>
    </row>
    <row r="148" ht="15.75" customHeight="1">
      <c r="A148" s="36"/>
      <c r="B148" s="37"/>
      <c r="C148" s="37"/>
      <c r="D148" s="37"/>
      <c r="E148" s="1"/>
      <c r="F148" s="1"/>
    </row>
    <row r="149" ht="15.75" customHeight="1">
      <c r="A149" s="36"/>
      <c r="B149" s="37"/>
      <c r="C149" s="37"/>
      <c r="D149" s="37"/>
      <c r="E149" s="1"/>
      <c r="F149" s="1"/>
    </row>
    <row r="150" ht="15.75" customHeight="1">
      <c r="A150" s="36"/>
      <c r="B150" s="37"/>
      <c r="C150" s="37"/>
      <c r="D150" s="37"/>
      <c r="E150" s="1"/>
      <c r="F150" s="1"/>
    </row>
    <row r="151" ht="15.75" customHeight="1">
      <c r="A151" s="36"/>
      <c r="B151" s="37"/>
      <c r="C151" s="37"/>
      <c r="D151" s="37"/>
      <c r="E151" s="1"/>
      <c r="F151" s="1"/>
    </row>
    <row r="152" ht="15.75" customHeight="1">
      <c r="A152" s="36"/>
      <c r="B152" s="37"/>
      <c r="C152" s="37"/>
      <c r="D152" s="37"/>
      <c r="E152" s="1"/>
      <c r="F152" s="1"/>
    </row>
    <row r="153" ht="15.75" customHeight="1">
      <c r="A153" s="36"/>
      <c r="B153" s="37"/>
      <c r="C153" s="37"/>
      <c r="D153" s="37"/>
      <c r="E153" s="1"/>
      <c r="F153" s="1"/>
    </row>
    <row r="154" ht="15.75" customHeight="1">
      <c r="A154" s="36"/>
      <c r="B154" s="37"/>
      <c r="C154" s="37"/>
      <c r="D154" s="37"/>
      <c r="E154" s="1"/>
      <c r="F154" s="1"/>
    </row>
    <row r="155" ht="15.75" customHeight="1">
      <c r="A155" s="36"/>
      <c r="B155" s="37"/>
      <c r="C155" s="37"/>
      <c r="D155" s="37"/>
      <c r="E155" s="1"/>
      <c r="F155" s="1"/>
    </row>
    <row r="156" ht="15.75" customHeight="1">
      <c r="A156" s="36"/>
      <c r="B156" s="37"/>
      <c r="C156" s="37"/>
      <c r="D156" s="37"/>
      <c r="E156" s="1"/>
      <c r="F156" s="1"/>
    </row>
    <row r="157" ht="15.75" customHeight="1">
      <c r="A157" s="36"/>
      <c r="B157" s="37"/>
      <c r="C157" s="37"/>
      <c r="D157" s="37"/>
      <c r="E157" s="1"/>
      <c r="F157" s="1"/>
    </row>
    <row r="158" ht="15.75" customHeight="1">
      <c r="A158" s="36"/>
      <c r="B158" s="37"/>
      <c r="C158" s="37"/>
      <c r="D158" s="37"/>
      <c r="E158" s="1"/>
      <c r="F158" s="1"/>
    </row>
    <row r="159" ht="15.75" customHeight="1">
      <c r="A159" s="36"/>
      <c r="B159" s="37"/>
      <c r="C159" s="37"/>
      <c r="D159" s="37"/>
      <c r="E159" s="1"/>
      <c r="F159" s="1"/>
    </row>
    <row r="160" ht="15.75" customHeight="1">
      <c r="A160" s="36"/>
      <c r="B160" s="37"/>
      <c r="C160" s="37"/>
      <c r="D160" s="37"/>
      <c r="E160" s="1"/>
      <c r="F160" s="1"/>
    </row>
    <row r="161" ht="15.75" customHeight="1">
      <c r="A161" s="36"/>
      <c r="B161" s="37"/>
      <c r="C161" s="37"/>
      <c r="D161" s="37"/>
      <c r="E161" s="1"/>
      <c r="F161" s="1"/>
    </row>
    <row r="162" ht="15.75" customHeight="1">
      <c r="A162" s="36"/>
      <c r="B162" s="37"/>
      <c r="C162" s="37"/>
      <c r="D162" s="37"/>
      <c r="E162" s="1"/>
      <c r="F162" s="1"/>
    </row>
    <row r="163" ht="15.75" customHeight="1">
      <c r="A163" s="36"/>
      <c r="B163" s="37"/>
      <c r="C163" s="37"/>
      <c r="D163" s="37"/>
      <c r="E163" s="1"/>
      <c r="F163" s="1"/>
    </row>
    <row r="164" ht="15.75" customHeight="1">
      <c r="A164" s="36"/>
      <c r="B164" s="37"/>
      <c r="C164" s="37"/>
      <c r="D164" s="37"/>
      <c r="E164" s="1"/>
      <c r="F164" s="1"/>
    </row>
    <row r="165" ht="15.75" customHeight="1">
      <c r="A165" s="36"/>
      <c r="B165" s="37"/>
      <c r="C165" s="37"/>
      <c r="D165" s="37"/>
      <c r="E165" s="1"/>
      <c r="F165" s="1"/>
    </row>
    <row r="166" ht="15.75" customHeight="1">
      <c r="A166" s="36"/>
      <c r="B166" s="37"/>
      <c r="C166" s="37"/>
      <c r="D166" s="37"/>
      <c r="E166" s="1"/>
      <c r="F166" s="1"/>
    </row>
    <row r="167" ht="15.75" customHeight="1">
      <c r="A167" s="36"/>
      <c r="B167" s="37"/>
      <c r="C167" s="37"/>
      <c r="D167" s="37"/>
      <c r="E167" s="1"/>
      <c r="F167" s="1"/>
    </row>
    <row r="168" ht="15.75" customHeight="1">
      <c r="A168" s="36"/>
      <c r="B168" s="37"/>
      <c r="C168" s="37"/>
      <c r="D168" s="37"/>
      <c r="E168" s="1"/>
      <c r="F168" s="1"/>
    </row>
    <row r="169" ht="15.75" customHeight="1">
      <c r="A169" s="36"/>
      <c r="B169" s="37"/>
      <c r="C169" s="37"/>
      <c r="D169" s="37"/>
      <c r="E169" s="1"/>
      <c r="F169" s="1"/>
    </row>
    <row r="170" ht="15.75" customHeight="1">
      <c r="A170" s="36"/>
      <c r="B170" s="37"/>
      <c r="C170" s="37"/>
      <c r="D170" s="37"/>
      <c r="E170" s="1"/>
      <c r="F170" s="1"/>
    </row>
    <row r="171" ht="15.75" customHeight="1">
      <c r="A171" s="36"/>
      <c r="B171" s="37"/>
      <c r="C171" s="37"/>
      <c r="D171" s="37"/>
      <c r="E171" s="1"/>
      <c r="F171" s="1"/>
    </row>
    <row r="172" ht="15.75" customHeight="1">
      <c r="A172" s="36"/>
      <c r="B172" s="37"/>
      <c r="C172" s="37"/>
      <c r="D172" s="37"/>
      <c r="E172" s="1"/>
      <c r="F172" s="1"/>
    </row>
    <row r="173" ht="15.75" customHeight="1">
      <c r="A173" s="36"/>
      <c r="B173" s="37"/>
      <c r="C173" s="37"/>
      <c r="D173" s="37"/>
      <c r="E173" s="1"/>
      <c r="F173" s="1"/>
    </row>
    <row r="174" ht="15.75" customHeight="1">
      <c r="A174" s="36"/>
      <c r="B174" s="37"/>
      <c r="C174" s="37"/>
      <c r="D174" s="37"/>
      <c r="E174" s="1"/>
      <c r="F174" s="1"/>
    </row>
    <row r="175" ht="15.75" customHeight="1">
      <c r="A175" s="36"/>
      <c r="B175" s="37"/>
      <c r="C175" s="37"/>
      <c r="D175" s="37"/>
      <c r="E175" s="1"/>
      <c r="F175" s="1"/>
    </row>
    <row r="176" ht="15.75" customHeight="1">
      <c r="A176" s="36"/>
      <c r="B176" s="37"/>
      <c r="C176" s="37"/>
      <c r="D176" s="37"/>
      <c r="E176" s="1"/>
      <c r="F176" s="1"/>
    </row>
    <row r="177" ht="15.75" customHeight="1">
      <c r="A177" s="36"/>
      <c r="B177" s="37"/>
      <c r="C177" s="37"/>
      <c r="D177" s="37"/>
      <c r="E177" s="1"/>
      <c r="F177" s="1"/>
    </row>
    <row r="178" ht="15.75" customHeight="1">
      <c r="A178" s="36"/>
      <c r="B178" s="37"/>
      <c r="C178" s="37"/>
      <c r="D178" s="37"/>
      <c r="E178" s="1"/>
      <c r="F178" s="1"/>
    </row>
    <row r="179" ht="15.75" customHeight="1">
      <c r="A179" s="36"/>
      <c r="B179" s="37"/>
      <c r="C179" s="37"/>
      <c r="D179" s="37"/>
      <c r="E179" s="1"/>
      <c r="F179" s="1"/>
    </row>
    <row r="180" ht="15.75" customHeight="1">
      <c r="A180" s="36"/>
      <c r="B180" s="37"/>
      <c r="C180" s="37"/>
      <c r="D180" s="37"/>
      <c r="E180" s="1"/>
      <c r="F180" s="1"/>
    </row>
    <row r="181" ht="15.75" customHeight="1">
      <c r="A181" s="36"/>
      <c r="B181" s="37"/>
      <c r="C181" s="37"/>
      <c r="D181" s="37"/>
      <c r="E181" s="1"/>
      <c r="F181" s="1"/>
    </row>
    <row r="182" ht="15.75" customHeight="1">
      <c r="A182" s="36"/>
      <c r="B182" s="37"/>
      <c r="C182" s="37"/>
      <c r="D182" s="37"/>
      <c r="E182" s="1"/>
      <c r="F182" s="1"/>
    </row>
    <row r="183" ht="15.75" customHeight="1">
      <c r="A183" s="36"/>
      <c r="B183" s="37"/>
      <c r="C183" s="37"/>
      <c r="D183" s="37"/>
      <c r="E183" s="1"/>
      <c r="F183" s="1"/>
    </row>
    <row r="184" ht="15.75" customHeight="1">
      <c r="A184" s="36"/>
      <c r="B184" s="37"/>
      <c r="C184" s="37"/>
      <c r="D184" s="37"/>
      <c r="E184" s="1"/>
      <c r="F184" s="1"/>
    </row>
    <row r="185" ht="15.75" customHeight="1">
      <c r="A185" s="36"/>
      <c r="B185" s="37"/>
      <c r="C185" s="37"/>
      <c r="D185" s="37"/>
      <c r="E185" s="1"/>
      <c r="F185" s="1"/>
    </row>
    <row r="186" ht="15.75" customHeight="1">
      <c r="A186" s="36"/>
      <c r="B186" s="37"/>
      <c r="C186" s="37"/>
      <c r="D186" s="37"/>
      <c r="E186" s="1"/>
      <c r="F186" s="1"/>
    </row>
    <row r="187" ht="15.75" customHeight="1">
      <c r="A187" s="36"/>
      <c r="B187" s="37"/>
      <c r="C187" s="37"/>
      <c r="D187" s="37"/>
      <c r="E187" s="1"/>
      <c r="F187" s="1"/>
    </row>
    <row r="188" ht="15.75" customHeight="1">
      <c r="A188" s="36"/>
      <c r="B188" s="37"/>
      <c r="C188" s="37"/>
      <c r="D188" s="37"/>
      <c r="E188" s="1"/>
      <c r="F188" s="1"/>
    </row>
    <row r="189" ht="15.75" customHeight="1">
      <c r="A189" s="36"/>
      <c r="B189" s="37"/>
      <c r="C189" s="37"/>
      <c r="D189" s="37"/>
      <c r="E189" s="1"/>
      <c r="F189" s="1"/>
    </row>
    <row r="190" ht="15.75" customHeight="1">
      <c r="A190" s="36"/>
      <c r="B190" s="37"/>
      <c r="C190" s="37"/>
      <c r="D190" s="37"/>
      <c r="E190" s="1"/>
      <c r="F190" s="1"/>
    </row>
    <row r="191" ht="15.75" customHeight="1">
      <c r="A191" s="36"/>
      <c r="B191" s="37"/>
      <c r="C191" s="37"/>
      <c r="D191" s="37"/>
      <c r="E191" s="1"/>
      <c r="F191" s="1"/>
    </row>
    <row r="192" ht="15.75" customHeight="1">
      <c r="A192" s="36"/>
      <c r="B192" s="37"/>
      <c r="C192" s="37"/>
      <c r="D192" s="37"/>
      <c r="E192" s="1"/>
      <c r="F192" s="1"/>
    </row>
    <row r="193" ht="15.75" customHeight="1">
      <c r="A193" s="36"/>
      <c r="B193" s="37"/>
      <c r="C193" s="37"/>
      <c r="D193" s="37"/>
      <c r="E193" s="1"/>
      <c r="F193" s="1"/>
    </row>
    <row r="194" ht="15.75" customHeight="1">
      <c r="A194" s="36"/>
      <c r="B194" s="37"/>
      <c r="C194" s="37"/>
      <c r="D194" s="37"/>
      <c r="E194" s="1"/>
      <c r="F194" s="1"/>
    </row>
    <row r="195" ht="15.75" customHeight="1">
      <c r="A195" s="36"/>
      <c r="B195" s="37"/>
      <c r="C195" s="37"/>
      <c r="D195" s="37"/>
      <c r="E195" s="1"/>
      <c r="F195" s="1"/>
    </row>
    <row r="196" ht="15.75" customHeight="1">
      <c r="A196" s="36"/>
      <c r="B196" s="37"/>
      <c r="C196" s="37"/>
      <c r="D196" s="37"/>
      <c r="E196" s="1"/>
      <c r="F196" s="1"/>
    </row>
    <row r="197" ht="15.75" customHeight="1">
      <c r="A197" s="36"/>
      <c r="B197" s="37"/>
      <c r="C197" s="37"/>
      <c r="D197" s="37"/>
      <c r="E197" s="1"/>
      <c r="F197" s="1"/>
    </row>
    <row r="198" ht="15.75" customHeight="1">
      <c r="A198" s="36"/>
      <c r="B198" s="37"/>
      <c r="C198" s="37"/>
      <c r="D198" s="37"/>
      <c r="E198" s="1"/>
      <c r="F198" s="1"/>
    </row>
    <row r="199" ht="15.75" customHeight="1">
      <c r="A199" s="36"/>
      <c r="B199" s="37"/>
      <c r="C199" s="37"/>
      <c r="D199" s="37"/>
      <c r="E199" s="1"/>
      <c r="F199" s="1"/>
    </row>
    <row r="200" ht="15.75" customHeight="1">
      <c r="A200" s="36"/>
      <c r="B200" s="37"/>
      <c r="C200" s="37"/>
      <c r="D200" s="37"/>
      <c r="E200" s="1"/>
      <c r="F200" s="1"/>
    </row>
    <row r="201" ht="15.75" customHeight="1">
      <c r="A201" s="36"/>
      <c r="B201" s="37"/>
      <c r="C201" s="37"/>
      <c r="D201" s="37"/>
      <c r="E201" s="1"/>
      <c r="F201" s="1"/>
    </row>
    <row r="202" ht="15.75" customHeight="1">
      <c r="A202" s="36"/>
      <c r="B202" s="37"/>
      <c r="C202" s="37"/>
      <c r="D202" s="37"/>
      <c r="E202" s="1"/>
      <c r="F202" s="1"/>
    </row>
    <row r="203" ht="15.75" customHeight="1">
      <c r="A203" s="36"/>
      <c r="B203" s="37"/>
      <c r="C203" s="37"/>
      <c r="D203" s="37"/>
      <c r="E203" s="1"/>
      <c r="F203" s="1"/>
    </row>
    <row r="204" ht="15.75" customHeight="1">
      <c r="A204" s="36"/>
      <c r="B204" s="37"/>
      <c r="C204" s="37"/>
      <c r="D204" s="37"/>
      <c r="E204" s="1"/>
      <c r="F204" s="1"/>
    </row>
    <row r="205" ht="15.75" customHeight="1">
      <c r="A205" s="36"/>
      <c r="B205" s="37"/>
      <c r="C205" s="37"/>
      <c r="D205" s="37"/>
      <c r="E205" s="1"/>
      <c r="F205" s="1"/>
    </row>
    <row r="206" ht="15.75" customHeight="1">
      <c r="A206" s="36"/>
      <c r="B206" s="37"/>
      <c r="C206" s="37"/>
      <c r="D206" s="37"/>
      <c r="E206" s="1"/>
      <c r="F206" s="1"/>
    </row>
    <row r="207" ht="15.75" customHeight="1">
      <c r="A207" s="36"/>
      <c r="B207" s="37"/>
      <c r="C207" s="37"/>
      <c r="D207" s="37"/>
      <c r="E207" s="1"/>
      <c r="F207" s="1"/>
    </row>
    <row r="208" ht="15.75" customHeight="1">
      <c r="A208" s="36"/>
      <c r="B208" s="37"/>
      <c r="C208" s="37"/>
      <c r="D208" s="37"/>
      <c r="E208" s="1"/>
      <c r="F208" s="1"/>
    </row>
    <row r="209" ht="15.75" customHeight="1">
      <c r="A209" s="36"/>
      <c r="B209" s="37"/>
      <c r="C209" s="37"/>
      <c r="D209" s="37"/>
      <c r="E209" s="1"/>
      <c r="F209" s="1"/>
    </row>
    <row r="210" ht="15.75" customHeight="1">
      <c r="A210" s="36"/>
      <c r="B210" s="37"/>
      <c r="C210" s="37"/>
      <c r="D210" s="37"/>
      <c r="E210" s="1"/>
      <c r="F210" s="1"/>
    </row>
    <row r="211" ht="15.75" customHeight="1">
      <c r="A211" s="36"/>
      <c r="B211" s="37"/>
      <c r="C211" s="37"/>
      <c r="D211" s="37"/>
      <c r="E211" s="1"/>
      <c r="F211" s="1"/>
    </row>
    <row r="212" ht="15.75" customHeight="1">
      <c r="A212" s="36"/>
      <c r="B212" s="37"/>
      <c r="C212" s="37"/>
      <c r="D212" s="37"/>
      <c r="E212" s="1"/>
      <c r="F212" s="1"/>
    </row>
    <row r="213" ht="15.75" customHeight="1">
      <c r="A213" s="36"/>
      <c r="B213" s="37"/>
      <c r="C213" s="37"/>
      <c r="D213" s="37"/>
      <c r="E213" s="1"/>
      <c r="F213" s="1"/>
    </row>
    <row r="214" ht="15.75" customHeight="1">
      <c r="A214" s="36"/>
      <c r="B214" s="37"/>
      <c r="C214" s="37"/>
      <c r="D214" s="37"/>
      <c r="E214" s="1"/>
      <c r="F214" s="1"/>
    </row>
    <row r="215" ht="15.75" customHeight="1">
      <c r="A215" s="36"/>
      <c r="B215" s="37"/>
      <c r="C215" s="37"/>
      <c r="D215" s="37"/>
      <c r="E215" s="1"/>
      <c r="F215" s="1"/>
    </row>
    <row r="216" ht="15.75" customHeight="1">
      <c r="A216" s="36"/>
      <c r="B216" s="37"/>
      <c r="C216" s="37"/>
      <c r="D216" s="37"/>
      <c r="E216" s="1"/>
      <c r="F216" s="1"/>
    </row>
    <row r="217" ht="15.75" customHeight="1">
      <c r="A217" s="36"/>
      <c r="B217" s="37"/>
      <c r="C217" s="37"/>
      <c r="D217" s="37"/>
      <c r="E217" s="1"/>
      <c r="F217" s="1"/>
    </row>
    <row r="218" ht="15.75" customHeight="1">
      <c r="A218" s="36"/>
      <c r="B218" s="37"/>
      <c r="C218" s="37"/>
      <c r="D218" s="37"/>
      <c r="E218" s="1"/>
      <c r="F218" s="1"/>
    </row>
    <row r="219" ht="15.75" customHeight="1">
      <c r="A219" s="36"/>
      <c r="B219" s="37"/>
      <c r="C219" s="37"/>
      <c r="D219" s="37"/>
      <c r="E219" s="1"/>
      <c r="F219" s="1"/>
    </row>
    <row r="220" ht="15.75" customHeight="1">
      <c r="A220" s="36"/>
      <c r="B220" s="37"/>
      <c r="C220" s="37"/>
      <c r="D220" s="37"/>
      <c r="E220" s="1"/>
      <c r="F220" s="1"/>
    </row>
    <row r="221" ht="15.75" customHeight="1">
      <c r="A221" s="36"/>
      <c r="B221" s="37"/>
      <c r="C221" s="37"/>
      <c r="D221" s="37"/>
      <c r="E221" s="1"/>
      <c r="F221" s="1"/>
    </row>
    <row r="222" ht="15.75" customHeight="1">
      <c r="A222" s="36"/>
      <c r="B222" s="37"/>
      <c r="C222" s="37"/>
      <c r="D222" s="37"/>
      <c r="E222" s="1"/>
      <c r="F222" s="1"/>
    </row>
    <row r="223" ht="15.75" customHeight="1">
      <c r="A223" s="36"/>
      <c r="B223" s="37"/>
      <c r="C223" s="37"/>
      <c r="D223" s="37"/>
      <c r="E223" s="1"/>
      <c r="F223" s="1"/>
    </row>
    <row r="224" ht="15.75" customHeight="1">
      <c r="A224" s="36"/>
      <c r="B224" s="37"/>
      <c r="C224" s="37"/>
      <c r="D224" s="37"/>
      <c r="E224" s="1"/>
      <c r="F224" s="1"/>
    </row>
    <row r="225" ht="15.75" customHeight="1">
      <c r="A225" s="36"/>
      <c r="B225" s="37"/>
      <c r="C225" s="37"/>
      <c r="D225" s="37"/>
      <c r="E225" s="1"/>
      <c r="F225" s="1"/>
    </row>
    <row r="226" ht="15.75" customHeight="1">
      <c r="A226" s="36"/>
      <c r="B226" s="37"/>
      <c r="C226" s="37"/>
      <c r="D226" s="37"/>
      <c r="E226" s="1"/>
      <c r="F226" s="1"/>
    </row>
    <row r="227" ht="15.75" customHeight="1">
      <c r="A227" s="36"/>
      <c r="B227" s="37"/>
      <c r="C227" s="37"/>
      <c r="D227" s="37"/>
      <c r="E227" s="1"/>
      <c r="F227" s="1"/>
    </row>
    <row r="228" ht="15.75" customHeight="1">
      <c r="A228" s="36"/>
      <c r="B228" s="37"/>
      <c r="C228" s="37"/>
      <c r="D228" s="37"/>
      <c r="E228" s="1"/>
      <c r="F228" s="1"/>
    </row>
    <row r="229" ht="15.75" customHeight="1">
      <c r="A229" s="36"/>
      <c r="B229" s="37"/>
      <c r="C229" s="37"/>
      <c r="D229" s="37"/>
      <c r="E229" s="1"/>
      <c r="F229" s="1"/>
    </row>
    <row r="230" ht="15.75" customHeight="1">
      <c r="A230" s="36"/>
      <c r="B230" s="37"/>
      <c r="C230" s="37"/>
      <c r="D230" s="37"/>
      <c r="E230" s="1"/>
      <c r="F230" s="1"/>
    </row>
    <row r="231" ht="15.75" customHeight="1">
      <c r="A231" s="36"/>
      <c r="B231" s="37"/>
      <c r="C231" s="37"/>
      <c r="D231" s="37"/>
      <c r="E231" s="1"/>
      <c r="F231" s="1"/>
    </row>
    <row r="232" ht="15.75" customHeight="1">
      <c r="A232" s="36"/>
      <c r="B232" s="37"/>
      <c r="C232" s="37"/>
      <c r="D232" s="37"/>
      <c r="E232" s="1"/>
      <c r="F232" s="1"/>
    </row>
    <row r="233" ht="15.75" customHeight="1">
      <c r="A233" s="36"/>
      <c r="B233" s="37"/>
      <c r="C233" s="37"/>
      <c r="D233" s="37"/>
      <c r="E233" s="1"/>
      <c r="F233" s="1"/>
    </row>
    <row r="234" ht="15.75" customHeight="1">
      <c r="A234" s="36"/>
      <c r="B234" s="37"/>
      <c r="C234" s="37"/>
      <c r="D234" s="37"/>
      <c r="E234" s="1"/>
      <c r="F234" s="1"/>
    </row>
    <row r="235" ht="15.75" customHeight="1">
      <c r="A235" s="36"/>
      <c r="B235" s="37"/>
      <c r="C235" s="37"/>
      <c r="D235" s="37"/>
      <c r="E235" s="1"/>
      <c r="F235" s="1"/>
    </row>
    <row r="236" ht="15.75" customHeight="1">
      <c r="A236" s="36"/>
      <c r="B236" s="37"/>
      <c r="C236" s="37"/>
      <c r="D236" s="37"/>
      <c r="E236" s="1"/>
      <c r="F236" s="1"/>
    </row>
    <row r="237" ht="15.75" customHeight="1">
      <c r="A237" s="36"/>
      <c r="B237" s="37"/>
      <c r="C237" s="37"/>
      <c r="D237" s="37"/>
      <c r="E237" s="1"/>
      <c r="F237" s="1"/>
    </row>
    <row r="238" ht="15.75" customHeight="1">
      <c r="A238" s="36"/>
      <c r="B238" s="37"/>
      <c r="C238" s="37"/>
      <c r="D238" s="37"/>
      <c r="E238" s="1"/>
      <c r="F238" s="1"/>
    </row>
    <row r="239" ht="15.75" customHeight="1">
      <c r="A239" s="36"/>
      <c r="B239" s="37"/>
      <c r="C239" s="37"/>
      <c r="D239" s="37"/>
      <c r="E239" s="1"/>
      <c r="F239" s="1"/>
    </row>
    <row r="240" ht="15.75" customHeight="1">
      <c r="A240" s="36"/>
      <c r="B240" s="37"/>
      <c r="C240" s="37"/>
      <c r="D240" s="37"/>
      <c r="E240" s="1"/>
      <c r="F240" s="1"/>
    </row>
    <row r="241" ht="15.75" customHeight="1">
      <c r="A241" s="36"/>
      <c r="B241" s="37"/>
      <c r="C241" s="37"/>
      <c r="D241" s="37"/>
      <c r="E241" s="1"/>
      <c r="F241" s="1"/>
    </row>
    <row r="242" ht="15.75" customHeight="1">
      <c r="A242" s="36"/>
      <c r="B242" s="37"/>
      <c r="C242" s="37"/>
      <c r="D242" s="37"/>
      <c r="E242" s="1"/>
      <c r="F242" s="1"/>
    </row>
    <row r="243" ht="15.75" customHeight="1">
      <c r="A243" s="36"/>
      <c r="B243" s="37"/>
      <c r="C243" s="37"/>
      <c r="D243" s="37"/>
      <c r="E243" s="1"/>
      <c r="F243" s="1"/>
    </row>
    <row r="244" ht="15.75" customHeight="1">
      <c r="A244" s="36"/>
      <c r="B244" s="37"/>
      <c r="C244" s="37"/>
      <c r="D244" s="37"/>
      <c r="E244" s="1"/>
      <c r="F244" s="1"/>
    </row>
    <row r="245" ht="15.75" customHeight="1">
      <c r="A245" s="36"/>
      <c r="B245" s="37"/>
      <c r="C245" s="37"/>
      <c r="D245" s="37"/>
      <c r="E245" s="1"/>
      <c r="F245" s="1"/>
    </row>
    <row r="246" ht="15.75" customHeight="1">
      <c r="A246" s="36"/>
      <c r="B246" s="37"/>
      <c r="C246" s="37"/>
      <c r="D246" s="37"/>
      <c r="E246" s="1"/>
      <c r="F246" s="1"/>
    </row>
    <row r="247" ht="15.75" customHeight="1">
      <c r="A247" s="36"/>
      <c r="B247" s="37"/>
      <c r="C247" s="37"/>
      <c r="D247" s="37"/>
      <c r="E247" s="1"/>
      <c r="F247" s="1"/>
    </row>
    <row r="248" ht="15.75" customHeight="1">
      <c r="A248" s="36"/>
      <c r="B248" s="37"/>
      <c r="C248" s="37"/>
      <c r="D248" s="37"/>
      <c r="E248" s="1"/>
      <c r="F248" s="1"/>
    </row>
    <row r="249" ht="15.75" customHeight="1">
      <c r="A249" s="36"/>
      <c r="B249" s="37"/>
      <c r="C249" s="37"/>
      <c r="D249" s="37"/>
      <c r="E249" s="1"/>
      <c r="F249" s="1"/>
    </row>
    <row r="250" ht="15.75" customHeight="1">
      <c r="A250" s="36"/>
      <c r="B250" s="37"/>
      <c r="C250" s="37"/>
      <c r="D250" s="37"/>
      <c r="E250" s="1"/>
      <c r="F250" s="1"/>
    </row>
    <row r="251" ht="15.75" customHeight="1">
      <c r="A251" s="36"/>
      <c r="B251" s="37"/>
      <c r="C251" s="37"/>
      <c r="D251" s="37"/>
      <c r="E251" s="1"/>
      <c r="F251" s="1"/>
    </row>
    <row r="252" ht="15.75" customHeight="1">
      <c r="A252" s="36"/>
      <c r="B252" s="37"/>
      <c r="C252" s="37"/>
      <c r="D252" s="37"/>
      <c r="E252" s="1"/>
      <c r="F252" s="1"/>
    </row>
    <row r="253" ht="15.75" customHeight="1">
      <c r="A253" s="36"/>
      <c r="B253" s="37"/>
      <c r="C253" s="37"/>
      <c r="D253" s="37"/>
      <c r="E253" s="1"/>
      <c r="F253" s="1"/>
    </row>
    <row r="254" ht="15.75" customHeight="1">
      <c r="A254" s="36"/>
      <c r="B254" s="37"/>
      <c r="C254" s="37"/>
      <c r="D254" s="37"/>
      <c r="E254" s="1"/>
      <c r="F254" s="1"/>
    </row>
    <row r="255" ht="15.75" customHeight="1">
      <c r="A255" s="36"/>
      <c r="B255" s="37"/>
      <c r="C255" s="37"/>
      <c r="D255" s="37"/>
      <c r="E255" s="1"/>
      <c r="F255" s="1"/>
    </row>
    <row r="256" ht="15.75" customHeight="1">
      <c r="A256" s="36"/>
      <c r="B256" s="37"/>
      <c r="C256" s="37"/>
      <c r="D256" s="37"/>
      <c r="E256" s="1"/>
      <c r="F256" s="1"/>
    </row>
    <row r="257" ht="15.75" customHeight="1">
      <c r="A257" s="36"/>
      <c r="B257" s="37"/>
      <c r="C257" s="37"/>
      <c r="D257" s="37"/>
      <c r="E257" s="1"/>
      <c r="F257" s="1"/>
    </row>
    <row r="258" ht="15.75" customHeight="1">
      <c r="A258" s="36"/>
      <c r="B258" s="37"/>
      <c r="C258" s="37"/>
      <c r="D258" s="37"/>
      <c r="E258" s="1"/>
      <c r="F258" s="1"/>
    </row>
    <row r="259" ht="15.75" customHeight="1">
      <c r="A259" s="36"/>
      <c r="B259" s="37"/>
      <c r="C259" s="37"/>
      <c r="D259" s="37"/>
      <c r="E259" s="1"/>
      <c r="F259" s="1"/>
    </row>
    <row r="260" ht="15.75" customHeight="1">
      <c r="A260" s="36"/>
      <c r="B260" s="37"/>
      <c r="C260" s="37"/>
      <c r="D260" s="37"/>
      <c r="E260" s="1"/>
      <c r="F260" s="1"/>
    </row>
    <row r="261" ht="15.75" customHeight="1">
      <c r="A261" s="36"/>
      <c r="B261" s="37"/>
      <c r="C261" s="37"/>
      <c r="D261" s="37"/>
      <c r="E261" s="1"/>
      <c r="F261" s="1"/>
    </row>
    <row r="262" ht="15.75" customHeight="1">
      <c r="A262" s="36"/>
      <c r="B262" s="37"/>
      <c r="C262" s="37"/>
      <c r="D262" s="37"/>
      <c r="E262" s="1"/>
      <c r="F262" s="1"/>
    </row>
    <row r="263" ht="15.75" customHeight="1">
      <c r="A263" s="36"/>
      <c r="B263" s="37"/>
      <c r="C263" s="37"/>
      <c r="D263" s="37"/>
      <c r="E263" s="1"/>
      <c r="F263" s="1"/>
    </row>
    <row r="264" ht="15.75" customHeight="1">
      <c r="A264" s="36"/>
      <c r="B264" s="37"/>
      <c r="C264" s="37"/>
      <c r="D264" s="37"/>
      <c r="E264" s="1"/>
      <c r="F264" s="1"/>
    </row>
    <row r="265" ht="15.75" customHeight="1">
      <c r="A265" s="36"/>
      <c r="B265" s="37"/>
      <c r="C265" s="37"/>
      <c r="D265" s="37"/>
      <c r="E265" s="1"/>
      <c r="F265" s="1"/>
    </row>
    <row r="266" ht="15.75" customHeight="1">
      <c r="A266" s="36"/>
      <c r="B266" s="37"/>
      <c r="C266" s="37"/>
      <c r="D266" s="37"/>
      <c r="E266" s="1"/>
      <c r="F266" s="1"/>
    </row>
    <row r="267" ht="15.75" customHeight="1">
      <c r="A267" s="36"/>
      <c r="B267" s="37"/>
      <c r="C267" s="37"/>
      <c r="D267" s="37"/>
      <c r="E267" s="1"/>
      <c r="F267" s="1"/>
    </row>
    <row r="268" ht="15.75" customHeight="1">
      <c r="A268" s="36"/>
      <c r="B268" s="37"/>
      <c r="C268" s="37"/>
      <c r="D268" s="37"/>
      <c r="E268" s="1"/>
      <c r="F268" s="1"/>
    </row>
    <row r="269" ht="15.75" customHeight="1">
      <c r="A269" s="36"/>
      <c r="B269" s="37"/>
      <c r="C269" s="37"/>
      <c r="D269" s="37"/>
      <c r="E269" s="1"/>
      <c r="F269" s="1"/>
    </row>
    <row r="270" ht="15.75" customHeight="1">
      <c r="A270" s="36"/>
      <c r="B270" s="37"/>
      <c r="C270" s="37"/>
      <c r="D270" s="37"/>
      <c r="E270" s="1"/>
      <c r="F270" s="1"/>
    </row>
    <row r="271" ht="15.75" customHeight="1">
      <c r="A271" s="36"/>
      <c r="B271" s="37"/>
      <c r="C271" s="37"/>
      <c r="D271" s="37"/>
      <c r="E271" s="1"/>
      <c r="F271" s="1"/>
    </row>
    <row r="272" ht="15.75" customHeight="1">
      <c r="A272" s="36"/>
      <c r="B272" s="37"/>
      <c r="C272" s="37"/>
      <c r="D272" s="37"/>
      <c r="E272" s="1"/>
      <c r="F272" s="1"/>
    </row>
    <row r="273" ht="15.75" customHeight="1">
      <c r="A273" s="36"/>
      <c r="B273" s="37"/>
      <c r="C273" s="37"/>
      <c r="D273" s="37"/>
      <c r="E273" s="1"/>
      <c r="F273" s="1"/>
    </row>
    <row r="274" ht="15.75" customHeight="1">
      <c r="A274" s="36"/>
      <c r="B274" s="37"/>
      <c r="C274" s="37"/>
      <c r="D274" s="37"/>
      <c r="E274" s="1"/>
      <c r="F274" s="1"/>
    </row>
    <row r="275" ht="15.75" customHeight="1">
      <c r="A275" s="36"/>
      <c r="B275" s="37"/>
      <c r="C275" s="37"/>
      <c r="D275" s="37"/>
      <c r="E275" s="1"/>
      <c r="F275" s="1"/>
    </row>
    <row r="276" ht="15.75" customHeight="1">
      <c r="A276" s="36"/>
      <c r="B276" s="37"/>
      <c r="C276" s="37"/>
      <c r="D276" s="37"/>
      <c r="E276" s="1"/>
      <c r="F276" s="1"/>
    </row>
    <row r="277" ht="15.75" customHeight="1">
      <c r="A277" s="36"/>
      <c r="B277" s="37"/>
      <c r="C277" s="37"/>
      <c r="D277" s="37"/>
      <c r="E277" s="1"/>
      <c r="F277" s="1"/>
    </row>
    <row r="278" ht="15.75" customHeight="1">
      <c r="A278" s="36"/>
      <c r="B278" s="37"/>
      <c r="C278" s="37"/>
      <c r="D278" s="37"/>
      <c r="E278" s="1"/>
      <c r="F278" s="1"/>
    </row>
    <row r="279" ht="15.75" customHeight="1">
      <c r="A279" s="36"/>
      <c r="B279" s="37"/>
      <c r="C279" s="37"/>
      <c r="D279" s="37"/>
      <c r="E279" s="1"/>
      <c r="F279" s="1"/>
    </row>
    <row r="280" ht="15.75" customHeight="1">
      <c r="A280" s="36"/>
      <c r="B280" s="37"/>
      <c r="C280" s="37"/>
      <c r="D280" s="37"/>
      <c r="E280" s="1"/>
      <c r="F280" s="1"/>
    </row>
    <row r="281" ht="15.75" customHeight="1">
      <c r="A281" s="36"/>
      <c r="B281" s="37"/>
      <c r="C281" s="37"/>
      <c r="D281" s="37"/>
      <c r="E281" s="1"/>
      <c r="F281" s="1"/>
    </row>
    <row r="282" ht="15.75" customHeight="1">
      <c r="A282" s="36"/>
      <c r="B282" s="37"/>
      <c r="C282" s="37"/>
      <c r="D282" s="37"/>
      <c r="E282" s="1"/>
      <c r="F282" s="1"/>
    </row>
    <row r="283" ht="15.75" customHeight="1">
      <c r="A283" s="36"/>
      <c r="B283" s="37"/>
      <c r="C283" s="37"/>
      <c r="D283" s="37"/>
      <c r="E283" s="1"/>
      <c r="F283" s="1"/>
    </row>
    <row r="284" ht="15.75" customHeight="1">
      <c r="A284" s="36"/>
      <c r="B284" s="37"/>
      <c r="C284" s="37"/>
      <c r="D284" s="37"/>
      <c r="E284" s="1"/>
      <c r="F284" s="1"/>
    </row>
    <row r="285" ht="15.75" customHeight="1">
      <c r="A285" s="36"/>
      <c r="B285" s="37"/>
      <c r="C285" s="37"/>
      <c r="D285" s="37"/>
      <c r="E285" s="1"/>
      <c r="F285" s="1"/>
    </row>
    <row r="286" ht="15.75" customHeight="1">
      <c r="A286" s="36"/>
      <c r="B286" s="37"/>
      <c r="C286" s="37"/>
      <c r="D286" s="37"/>
      <c r="E286" s="1"/>
      <c r="F286" s="1"/>
    </row>
    <row r="287" ht="15.75" customHeight="1">
      <c r="A287" s="36"/>
      <c r="B287" s="37"/>
      <c r="C287" s="37"/>
      <c r="D287" s="37"/>
      <c r="E287" s="1"/>
      <c r="F287" s="1"/>
    </row>
    <row r="288" ht="15.75" customHeight="1">
      <c r="A288" s="36"/>
      <c r="B288" s="37"/>
      <c r="C288" s="37"/>
      <c r="D288" s="37"/>
      <c r="E288" s="1"/>
      <c r="F288" s="1"/>
    </row>
    <row r="289" ht="15.75" customHeight="1">
      <c r="A289" s="36"/>
      <c r="B289" s="37"/>
      <c r="C289" s="37"/>
      <c r="D289" s="37"/>
      <c r="E289" s="1"/>
      <c r="F289" s="1"/>
    </row>
    <row r="290" ht="15.75" customHeight="1">
      <c r="A290" s="36"/>
      <c r="B290" s="37"/>
      <c r="C290" s="37"/>
      <c r="D290" s="37"/>
      <c r="E290" s="1"/>
      <c r="F290" s="1"/>
    </row>
    <row r="291" ht="15.75" customHeight="1">
      <c r="A291" s="36"/>
      <c r="B291" s="37"/>
      <c r="C291" s="37"/>
      <c r="D291" s="37"/>
      <c r="E291" s="1"/>
      <c r="F291" s="1"/>
    </row>
    <row r="292" ht="15.75" customHeight="1">
      <c r="A292" s="36"/>
      <c r="B292" s="37"/>
      <c r="C292" s="37"/>
      <c r="D292" s="37"/>
      <c r="E292" s="1"/>
      <c r="F292" s="1"/>
    </row>
    <row r="293" ht="15.75" customHeight="1">
      <c r="A293" s="36"/>
      <c r="B293" s="37"/>
      <c r="C293" s="37"/>
      <c r="D293" s="37"/>
      <c r="E293" s="1"/>
      <c r="F293" s="1"/>
    </row>
    <row r="294" ht="15.75" customHeight="1">
      <c r="A294" s="36"/>
      <c r="B294" s="37"/>
      <c r="C294" s="37"/>
      <c r="D294" s="37"/>
      <c r="E294" s="1"/>
      <c r="F294" s="1"/>
    </row>
    <row r="295" ht="15.75" customHeight="1">
      <c r="A295" s="36"/>
      <c r="B295" s="37"/>
      <c r="C295" s="37"/>
      <c r="D295" s="37"/>
      <c r="E295" s="1"/>
      <c r="F295" s="1"/>
    </row>
    <row r="296" ht="15.75" customHeight="1">
      <c r="A296" s="36"/>
      <c r="B296" s="37"/>
      <c r="C296" s="37"/>
      <c r="D296" s="37"/>
      <c r="E296" s="1"/>
      <c r="F296" s="1"/>
    </row>
    <row r="297" ht="15.75" customHeight="1">
      <c r="A297" s="36"/>
      <c r="B297" s="37"/>
      <c r="C297" s="37"/>
      <c r="D297" s="37"/>
      <c r="E297" s="1"/>
      <c r="F297" s="1"/>
    </row>
    <row r="298" ht="15.75" customHeight="1">
      <c r="A298" s="36"/>
      <c r="B298" s="37"/>
      <c r="C298" s="37"/>
      <c r="D298" s="37"/>
      <c r="E298" s="1"/>
      <c r="F298" s="1"/>
    </row>
    <row r="299" ht="15.75" customHeight="1">
      <c r="A299" s="36"/>
      <c r="B299" s="37"/>
      <c r="C299" s="37"/>
      <c r="D299" s="37"/>
      <c r="E299" s="1"/>
      <c r="F299" s="1"/>
    </row>
    <row r="300" ht="15.75" customHeight="1">
      <c r="A300" s="36"/>
      <c r="B300" s="37"/>
      <c r="C300" s="37"/>
      <c r="D300" s="37"/>
      <c r="E300" s="1"/>
      <c r="F300" s="1"/>
    </row>
    <row r="301" ht="15.75" customHeight="1">
      <c r="A301" s="36"/>
      <c r="B301" s="37"/>
      <c r="C301" s="37"/>
      <c r="D301" s="37"/>
      <c r="E301" s="1"/>
      <c r="F301" s="1"/>
    </row>
    <row r="302" ht="15.75" customHeight="1">
      <c r="A302" s="36"/>
      <c r="B302" s="37"/>
      <c r="C302" s="37"/>
      <c r="D302" s="37"/>
      <c r="E302" s="1"/>
      <c r="F302" s="1"/>
    </row>
    <row r="303" ht="15.75" customHeight="1">
      <c r="A303" s="36"/>
      <c r="B303" s="37"/>
      <c r="C303" s="37"/>
      <c r="D303" s="37"/>
      <c r="E303" s="1"/>
      <c r="F303" s="1"/>
    </row>
    <row r="304" ht="15.75" customHeight="1">
      <c r="A304" s="36"/>
      <c r="B304" s="37"/>
      <c r="C304" s="37"/>
      <c r="D304" s="37"/>
      <c r="E304" s="1"/>
      <c r="F304" s="1"/>
    </row>
    <row r="305" ht="15.75" customHeight="1">
      <c r="A305" s="36"/>
      <c r="B305" s="37"/>
      <c r="C305" s="37"/>
      <c r="D305" s="37"/>
      <c r="E305" s="1"/>
      <c r="F305" s="1"/>
    </row>
    <row r="306" ht="15.75" customHeight="1">
      <c r="A306" s="36"/>
      <c r="B306" s="37"/>
      <c r="C306" s="37"/>
      <c r="D306" s="37"/>
      <c r="E306" s="1"/>
      <c r="F306" s="1"/>
    </row>
    <row r="307" ht="15.75" customHeight="1">
      <c r="A307" s="36"/>
      <c r="B307" s="37"/>
      <c r="C307" s="37"/>
      <c r="D307" s="37"/>
      <c r="E307" s="1"/>
      <c r="F307" s="1"/>
    </row>
    <row r="308" ht="15.75" customHeight="1">
      <c r="A308" s="36"/>
      <c r="B308" s="37"/>
      <c r="C308" s="37"/>
      <c r="D308" s="37"/>
      <c r="E308" s="1"/>
      <c r="F308" s="1"/>
    </row>
    <row r="309" ht="15.75" customHeight="1">
      <c r="A309" s="36"/>
      <c r="B309" s="37"/>
      <c r="C309" s="37"/>
      <c r="D309" s="37"/>
      <c r="E309" s="1"/>
      <c r="F309" s="1"/>
    </row>
    <row r="310" ht="15.75" customHeight="1">
      <c r="A310" s="36"/>
      <c r="B310" s="37"/>
      <c r="C310" s="37"/>
      <c r="D310" s="37"/>
      <c r="E310" s="1"/>
      <c r="F310" s="1"/>
    </row>
    <row r="311" ht="15.75" customHeight="1">
      <c r="A311" s="36"/>
      <c r="B311" s="37"/>
      <c r="C311" s="37"/>
      <c r="D311" s="37"/>
      <c r="E311" s="1"/>
      <c r="F311" s="1"/>
    </row>
    <row r="312" ht="15.75" customHeight="1">
      <c r="A312" s="36"/>
      <c r="B312" s="37"/>
      <c r="C312" s="37"/>
      <c r="D312" s="37"/>
      <c r="E312" s="1"/>
      <c r="F312" s="1"/>
    </row>
    <row r="313" ht="15.75" customHeight="1">
      <c r="A313" s="36"/>
      <c r="B313" s="37"/>
      <c r="C313" s="37"/>
      <c r="D313" s="37"/>
      <c r="E313" s="1"/>
      <c r="F313" s="1"/>
    </row>
    <row r="314" ht="15.75" customHeight="1">
      <c r="A314" s="36"/>
      <c r="B314" s="37"/>
      <c r="C314" s="37"/>
      <c r="D314" s="37"/>
      <c r="E314" s="1"/>
      <c r="F314" s="1"/>
    </row>
    <row r="315" ht="15.75" customHeight="1">
      <c r="A315" s="36"/>
      <c r="B315" s="37"/>
      <c r="C315" s="37"/>
      <c r="D315" s="37"/>
      <c r="E315" s="1"/>
      <c r="F315" s="1"/>
    </row>
    <row r="316" ht="15.75" customHeight="1">
      <c r="A316" s="36"/>
      <c r="B316" s="37"/>
      <c r="C316" s="37"/>
      <c r="D316" s="37"/>
      <c r="E316" s="1"/>
      <c r="F316" s="1"/>
    </row>
    <row r="317" ht="15.75" customHeight="1">
      <c r="A317" s="36"/>
      <c r="B317" s="37"/>
      <c r="C317" s="37"/>
      <c r="D317" s="37"/>
      <c r="E317" s="1"/>
      <c r="F317" s="1"/>
    </row>
    <row r="318" ht="15.75" customHeight="1">
      <c r="A318" s="36"/>
      <c r="B318" s="37"/>
      <c r="C318" s="37"/>
      <c r="D318" s="37"/>
      <c r="E318" s="1"/>
      <c r="F318" s="1"/>
    </row>
    <row r="319" ht="15.75" customHeight="1">
      <c r="A319" s="36"/>
      <c r="B319" s="37"/>
      <c r="C319" s="37"/>
      <c r="D319" s="37"/>
      <c r="E319" s="1"/>
      <c r="F319" s="1"/>
    </row>
    <row r="320" ht="15.75" customHeight="1">
      <c r="A320" s="36"/>
      <c r="B320" s="37"/>
      <c r="C320" s="37"/>
      <c r="D320" s="37"/>
      <c r="E320" s="1"/>
      <c r="F320" s="1"/>
    </row>
    <row r="321" ht="15.75" customHeight="1">
      <c r="A321" s="36"/>
      <c r="B321" s="37"/>
      <c r="C321" s="37"/>
      <c r="D321" s="37"/>
      <c r="E321" s="1"/>
      <c r="F321" s="1"/>
    </row>
    <row r="322" ht="15.75" customHeight="1">
      <c r="A322" s="36"/>
      <c r="B322" s="37"/>
      <c r="C322" s="37"/>
      <c r="D322" s="37"/>
      <c r="E322" s="1"/>
      <c r="F322" s="1"/>
    </row>
    <row r="323" ht="15.75" customHeight="1">
      <c r="A323" s="36"/>
      <c r="B323" s="37"/>
      <c r="C323" s="37"/>
      <c r="D323" s="37"/>
      <c r="E323" s="1"/>
      <c r="F323" s="1"/>
    </row>
    <row r="324" ht="15.75" customHeight="1">
      <c r="A324" s="36"/>
      <c r="B324" s="37"/>
      <c r="C324" s="37"/>
      <c r="D324" s="37"/>
      <c r="E324" s="1"/>
      <c r="F324" s="1"/>
    </row>
    <row r="325" ht="15.75" customHeight="1">
      <c r="A325" s="36"/>
      <c r="B325" s="37"/>
      <c r="C325" s="37"/>
      <c r="D325" s="37"/>
      <c r="E325" s="1"/>
      <c r="F325" s="1"/>
    </row>
    <row r="326" ht="15.75" customHeight="1">
      <c r="A326" s="36"/>
      <c r="B326" s="37"/>
      <c r="C326" s="37"/>
      <c r="D326" s="37"/>
      <c r="E326" s="1"/>
      <c r="F326" s="1"/>
    </row>
    <row r="327" ht="15.75" customHeight="1">
      <c r="A327" s="36"/>
      <c r="B327" s="37"/>
      <c r="C327" s="37"/>
      <c r="D327" s="37"/>
      <c r="E327" s="1"/>
      <c r="F327" s="1"/>
    </row>
    <row r="328" ht="15.75" customHeight="1">
      <c r="A328" s="36"/>
      <c r="B328" s="37"/>
      <c r="C328" s="37"/>
      <c r="D328" s="37"/>
      <c r="E328" s="1"/>
      <c r="F328" s="1"/>
    </row>
    <row r="329" ht="15.75" customHeight="1">
      <c r="A329" s="36"/>
      <c r="B329" s="37"/>
      <c r="C329" s="37"/>
      <c r="D329" s="37"/>
      <c r="E329" s="1"/>
      <c r="F329" s="1"/>
    </row>
    <row r="330" ht="15.75" customHeight="1">
      <c r="A330" s="36"/>
      <c r="B330" s="37"/>
      <c r="C330" s="37"/>
      <c r="D330" s="37"/>
      <c r="E330" s="1"/>
      <c r="F330" s="1"/>
    </row>
    <row r="331" ht="15.75" customHeight="1">
      <c r="A331" s="36"/>
      <c r="B331" s="37"/>
      <c r="C331" s="37"/>
      <c r="D331" s="37"/>
      <c r="E331" s="1"/>
      <c r="F331" s="1"/>
    </row>
    <row r="332" ht="15.75" customHeight="1">
      <c r="A332" s="36"/>
      <c r="B332" s="37"/>
      <c r="C332" s="37"/>
      <c r="D332" s="37"/>
      <c r="E332" s="1"/>
      <c r="F332" s="1"/>
    </row>
    <row r="333" ht="15.75" customHeight="1">
      <c r="A333" s="36"/>
      <c r="B333" s="37"/>
      <c r="C333" s="37"/>
      <c r="D333" s="37"/>
      <c r="E333" s="1"/>
      <c r="F333" s="1"/>
    </row>
    <row r="334" ht="15.75" customHeight="1">
      <c r="A334" s="36"/>
      <c r="B334" s="37"/>
      <c r="C334" s="37"/>
      <c r="D334" s="37"/>
      <c r="E334" s="1"/>
      <c r="F334" s="1"/>
    </row>
    <row r="335" ht="15.75" customHeight="1">
      <c r="A335" s="36"/>
      <c r="B335" s="37"/>
      <c r="C335" s="37"/>
      <c r="D335" s="37"/>
      <c r="E335" s="1"/>
      <c r="F335" s="1"/>
    </row>
    <row r="336" ht="15.75" customHeight="1">
      <c r="A336" s="36"/>
      <c r="B336" s="37"/>
      <c r="C336" s="37"/>
      <c r="D336" s="37"/>
      <c r="E336" s="1"/>
      <c r="F336" s="1"/>
    </row>
    <row r="337" ht="15.75" customHeight="1">
      <c r="A337" s="36"/>
      <c r="B337" s="37"/>
      <c r="C337" s="37"/>
      <c r="D337" s="37"/>
      <c r="E337" s="1"/>
      <c r="F337" s="1"/>
    </row>
    <row r="338" ht="15.75" customHeight="1">
      <c r="A338" s="36"/>
      <c r="B338" s="37"/>
      <c r="C338" s="37"/>
      <c r="D338" s="37"/>
      <c r="E338" s="1"/>
      <c r="F338" s="1"/>
    </row>
    <row r="339" ht="15.75" customHeight="1">
      <c r="A339" s="36"/>
      <c r="B339" s="37"/>
      <c r="C339" s="37"/>
      <c r="D339" s="37"/>
      <c r="E339" s="1"/>
      <c r="F339" s="1"/>
    </row>
    <row r="340" ht="15.75" customHeight="1">
      <c r="A340" s="36"/>
      <c r="B340" s="37"/>
      <c r="C340" s="37"/>
      <c r="D340" s="37"/>
      <c r="E340" s="1"/>
      <c r="F340" s="1"/>
    </row>
    <row r="341" ht="15.75" customHeight="1">
      <c r="A341" s="36"/>
      <c r="B341" s="37"/>
      <c r="C341" s="37"/>
      <c r="D341" s="37"/>
      <c r="E341" s="1"/>
      <c r="F341" s="1"/>
    </row>
    <row r="342" ht="15.75" customHeight="1">
      <c r="A342" s="36"/>
      <c r="B342" s="37"/>
      <c r="C342" s="37"/>
      <c r="D342" s="37"/>
      <c r="E342" s="1"/>
      <c r="F342" s="1"/>
    </row>
    <row r="343" ht="15.75" customHeight="1">
      <c r="A343" s="36"/>
      <c r="B343" s="37"/>
      <c r="C343" s="37"/>
      <c r="D343" s="37"/>
      <c r="E343" s="1"/>
      <c r="F343" s="1"/>
    </row>
    <row r="344" ht="15.75" customHeight="1">
      <c r="A344" s="36"/>
      <c r="B344" s="37"/>
      <c r="C344" s="37"/>
      <c r="D344" s="37"/>
      <c r="E344" s="1"/>
      <c r="F344" s="1"/>
    </row>
    <row r="345" ht="15.75" customHeight="1">
      <c r="A345" s="36"/>
      <c r="B345" s="37"/>
      <c r="C345" s="37"/>
      <c r="D345" s="37"/>
      <c r="E345" s="1"/>
      <c r="F345" s="1"/>
    </row>
    <row r="346" ht="15.75" customHeight="1">
      <c r="A346" s="36"/>
      <c r="B346" s="37"/>
      <c r="C346" s="37"/>
      <c r="D346" s="37"/>
      <c r="E346" s="1"/>
      <c r="F346" s="1"/>
    </row>
    <row r="347" ht="15.75" customHeight="1">
      <c r="A347" s="36"/>
      <c r="B347" s="37"/>
      <c r="C347" s="37"/>
      <c r="D347" s="37"/>
      <c r="E347" s="1"/>
      <c r="F347" s="1"/>
    </row>
    <row r="348" ht="15.75" customHeight="1">
      <c r="A348" s="36"/>
      <c r="B348" s="37"/>
      <c r="C348" s="37"/>
      <c r="D348" s="37"/>
      <c r="E348" s="1"/>
      <c r="F348" s="1"/>
    </row>
    <row r="349" ht="15.75" customHeight="1">
      <c r="A349" s="36"/>
      <c r="B349" s="37"/>
      <c r="C349" s="37"/>
      <c r="D349" s="37"/>
      <c r="E349" s="1"/>
      <c r="F349" s="1"/>
    </row>
    <row r="350" ht="15.75" customHeight="1">
      <c r="A350" s="36"/>
      <c r="B350" s="37"/>
      <c r="C350" s="37"/>
      <c r="D350" s="37"/>
      <c r="E350" s="1"/>
      <c r="F350" s="1"/>
    </row>
    <row r="351" ht="15.75" customHeight="1">
      <c r="A351" s="36"/>
      <c r="B351" s="37"/>
      <c r="C351" s="37"/>
      <c r="D351" s="37"/>
      <c r="E351" s="1"/>
      <c r="F351" s="1"/>
    </row>
    <row r="352" ht="15.75" customHeight="1">
      <c r="A352" s="36"/>
      <c r="B352" s="37"/>
      <c r="C352" s="37"/>
      <c r="D352" s="37"/>
      <c r="E352" s="1"/>
      <c r="F352" s="1"/>
    </row>
    <row r="353" ht="15.75" customHeight="1">
      <c r="A353" s="36"/>
      <c r="B353" s="37"/>
      <c r="C353" s="37"/>
      <c r="D353" s="37"/>
      <c r="E353" s="1"/>
      <c r="F353" s="1"/>
    </row>
    <row r="354" ht="15.75" customHeight="1">
      <c r="A354" s="36"/>
      <c r="B354" s="37"/>
      <c r="C354" s="37"/>
      <c r="D354" s="37"/>
      <c r="E354" s="1"/>
      <c r="F354" s="1"/>
    </row>
    <row r="355" ht="15.75" customHeight="1">
      <c r="A355" s="36"/>
      <c r="B355" s="37"/>
      <c r="C355" s="37"/>
      <c r="D355" s="37"/>
      <c r="E355" s="1"/>
      <c r="F355" s="1"/>
    </row>
    <row r="356" ht="15.75" customHeight="1">
      <c r="A356" s="36"/>
      <c r="B356" s="37"/>
      <c r="C356" s="37"/>
      <c r="D356" s="37"/>
      <c r="E356" s="1"/>
      <c r="F356" s="1"/>
    </row>
    <row r="357" ht="15.75" customHeight="1">
      <c r="A357" s="36"/>
      <c r="B357" s="37"/>
      <c r="C357" s="37"/>
      <c r="D357" s="37"/>
      <c r="E357" s="1"/>
      <c r="F357" s="1"/>
    </row>
    <row r="358" ht="15.75" customHeight="1">
      <c r="A358" s="36"/>
      <c r="B358" s="37"/>
      <c r="C358" s="37"/>
      <c r="D358" s="37"/>
      <c r="E358" s="1"/>
      <c r="F358" s="1"/>
    </row>
    <row r="359" ht="15.75" customHeight="1">
      <c r="A359" s="36"/>
      <c r="B359" s="37"/>
      <c r="C359" s="37"/>
      <c r="D359" s="37"/>
      <c r="E359" s="1"/>
      <c r="F359" s="1"/>
    </row>
    <row r="360" ht="15.75" customHeight="1">
      <c r="A360" s="36"/>
      <c r="B360" s="37"/>
      <c r="C360" s="37"/>
      <c r="D360" s="37"/>
      <c r="E360" s="1"/>
      <c r="F360" s="1"/>
    </row>
    <row r="361" ht="15.75" customHeight="1">
      <c r="A361" s="36"/>
      <c r="B361" s="37"/>
      <c r="C361" s="37"/>
      <c r="D361" s="37"/>
      <c r="E361" s="1"/>
      <c r="F361" s="1"/>
    </row>
    <row r="362" ht="15.75" customHeight="1">
      <c r="A362" s="36"/>
      <c r="B362" s="37"/>
      <c r="C362" s="37"/>
      <c r="D362" s="37"/>
      <c r="E362" s="1"/>
      <c r="F362" s="1"/>
    </row>
    <row r="363" ht="15.75" customHeight="1">
      <c r="A363" s="36"/>
      <c r="B363" s="37"/>
      <c r="C363" s="37"/>
      <c r="D363" s="37"/>
      <c r="E363" s="1"/>
      <c r="F363" s="1"/>
    </row>
    <row r="364" ht="15.75" customHeight="1">
      <c r="A364" s="36"/>
      <c r="B364" s="37"/>
      <c r="C364" s="37"/>
      <c r="D364" s="37"/>
      <c r="E364" s="1"/>
      <c r="F364" s="1"/>
    </row>
    <row r="365" ht="15.75" customHeight="1">
      <c r="A365" s="36"/>
      <c r="B365" s="37"/>
      <c r="C365" s="37"/>
      <c r="D365" s="37"/>
      <c r="E365" s="1"/>
      <c r="F365" s="1"/>
    </row>
    <row r="366" ht="15.75" customHeight="1">
      <c r="A366" s="36"/>
      <c r="B366" s="37"/>
      <c r="C366" s="37"/>
      <c r="D366" s="37"/>
      <c r="E366" s="1"/>
      <c r="F366" s="1"/>
    </row>
    <row r="367" ht="15.75" customHeight="1">
      <c r="A367" s="36"/>
      <c r="B367" s="37"/>
      <c r="C367" s="37"/>
      <c r="D367" s="37"/>
      <c r="E367" s="1"/>
      <c r="F367" s="1"/>
    </row>
    <row r="368" ht="15.75" customHeight="1">
      <c r="A368" s="36"/>
      <c r="B368" s="37"/>
      <c r="C368" s="37"/>
      <c r="D368" s="37"/>
      <c r="E368" s="1"/>
      <c r="F368" s="1"/>
    </row>
    <row r="369" ht="15.75" customHeight="1">
      <c r="A369" s="36"/>
      <c r="B369" s="37"/>
      <c r="C369" s="37"/>
      <c r="D369" s="37"/>
      <c r="E369" s="1"/>
      <c r="F369" s="1"/>
    </row>
    <row r="370" ht="15.75" customHeight="1">
      <c r="A370" s="36"/>
      <c r="B370" s="37"/>
      <c r="C370" s="37"/>
      <c r="D370" s="37"/>
      <c r="E370" s="1"/>
      <c r="F370" s="1"/>
    </row>
    <row r="371" ht="15.75" customHeight="1">
      <c r="A371" s="36"/>
      <c r="B371" s="37"/>
      <c r="C371" s="37"/>
      <c r="D371" s="37"/>
      <c r="E371" s="1"/>
      <c r="F371" s="1"/>
    </row>
    <row r="372" ht="15.75" customHeight="1">
      <c r="A372" s="36"/>
      <c r="B372" s="37"/>
      <c r="C372" s="37"/>
      <c r="D372" s="37"/>
      <c r="E372" s="1"/>
      <c r="F372" s="1"/>
    </row>
    <row r="373" ht="15.75" customHeight="1">
      <c r="A373" s="36"/>
      <c r="B373" s="37"/>
      <c r="C373" s="37"/>
      <c r="D373" s="37"/>
      <c r="E373" s="1"/>
      <c r="F373" s="1"/>
    </row>
    <row r="374" ht="15.75" customHeight="1">
      <c r="A374" s="36"/>
      <c r="B374" s="37"/>
      <c r="C374" s="37"/>
      <c r="D374" s="37"/>
      <c r="E374" s="1"/>
      <c r="F374" s="1"/>
    </row>
    <row r="375" ht="15.75" customHeight="1">
      <c r="A375" s="36"/>
      <c r="B375" s="37"/>
      <c r="C375" s="37"/>
      <c r="D375" s="37"/>
      <c r="E375" s="1"/>
      <c r="F375" s="1"/>
    </row>
    <row r="376" ht="15.75" customHeight="1">
      <c r="A376" s="36"/>
      <c r="B376" s="37"/>
      <c r="C376" s="37"/>
      <c r="D376" s="37"/>
      <c r="E376" s="1"/>
      <c r="F376" s="1"/>
    </row>
    <row r="377" ht="15.75" customHeight="1">
      <c r="A377" s="36"/>
      <c r="B377" s="37"/>
      <c r="C377" s="37"/>
      <c r="D377" s="37"/>
      <c r="E377" s="1"/>
      <c r="F377" s="1"/>
    </row>
    <row r="378" ht="15.75" customHeight="1">
      <c r="A378" s="36"/>
      <c r="B378" s="37"/>
      <c r="C378" s="37"/>
      <c r="D378" s="37"/>
      <c r="E378" s="1"/>
      <c r="F378" s="1"/>
    </row>
    <row r="379" ht="15.75" customHeight="1">
      <c r="A379" s="36"/>
      <c r="B379" s="37"/>
      <c r="C379" s="37"/>
      <c r="D379" s="37"/>
      <c r="E379" s="1"/>
      <c r="F379" s="1"/>
    </row>
    <row r="380" ht="15.75" customHeight="1">
      <c r="A380" s="36"/>
      <c r="B380" s="37"/>
      <c r="C380" s="37"/>
      <c r="D380" s="37"/>
      <c r="E380" s="1"/>
      <c r="F380" s="1"/>
    </row>
    <row r="381" ht="15.75" customHeight="1">
      <c r="A381" s="36"/>
      <c r="B381" s="37"/>
      <c r="C381" s="37"/>
      <c r="D381" s="37"/>
      <c r="E381" s="1"/>
      <c r="F381" s="1"/>
    </row>
    <row r="382" ht="15.75" customHeight="1">
      <c r="A382" s="36"/>
      <c r="B382" s="37"/>
      <c r="C382" s="37"/>
      <c r="D382" s="37"/>
      <c r="E382" s="1"/>
      <c r="F382" s="1"/>
    </row>
    <row r="383" ht="15.75" customHeight="1">
      <c r="A383" s="36"/>
      <c r="B383" s="37"/>
      <c r="C383" s="37"/>
      <c r="D383" s="37"/>
      <c r="E383" s="1"/>
      <c r="F383" s="1"/>
    </row>
    <row r="384" ht="15.75" customHeight="1">
      <c r="A384" s="36"/>
      <c r="B384" s="37"/>
      <c r="C384" s="37"/>
      <c r="D384" s="37"/>
      <c r="E384" s="1"/>
      <c r="F384" s="1"/>
    </row>
    <row r="385" ht="15.75" customHeight="1">
      <c r="A385" s="36"/>
      <c r="B385" s="37"/>
      <c r="C385" s="37"/>
      <c r="D385" s="37"/>
      <c r="E385" s="1"/>
      <c r="F385" s="1"/>
    </row>
    <row r="386" ht="15.75" customHeight="1">
      <c r="A386" s="36"/>
      <c r="B386" s="37"/>
      <c r="C386" s="37"/>
      <c r="D386" s="37"/>
      <c r="E386" s="1"/>
      <c r="F386" s="1"/>
    </row>
    <row r="387" ht="15.75" customHeight="1">
      <c r="A387" s="36"/>
      <c r="B387" s="37"/>
      <c r="C387" s="37"/>
      <c r="D387" s="37"/>
      <c r="E387" s="1"/>
      <c r="F387" s="1"/>
    </row>
    <row r="388" ht="15.75" customHeight="1">
      <c r="A388" s="36"/>
      <c r="B388" s="37"/>
      <c r="C388" s="37"/>
      <c r="D388" s="37"/>
      <c r="E388" s="1"/>
      <c r="F388" s="1"/>
    </row>
    <row r="389" ht="15.75" customHeight="1">
      <c r="A389" s="36"/>
      <c r="B389" s="37"/>
      <c r="C389" s="37"/>
      <c r="D389" s="37"/>
      <c r="E389" s="1"/>
      <c r="F389" s="1"/>
    </row>
    <row r="390" ht="15.75" customHeight="1">
      <c r="A390" s="36"/>
      <c r="B390" s="37"/>
      <c r="C390" s="37"/>
      <c r="D390" s="37"/>
      <c r="E390" s="1"/>
      <c r="F390" s="1"/>
    </row>
    <row r="391" ht="15.75" customHeight="1">
      <c r="A391" s="36"/>
      <c r="B391" s="37"/>
      <c r="C391" s="37"/>
      <c r="D391" s="37"/>
      <c r="E391" s="1"/>
      <c r="F391" s="1"/>
    </row>
    <row r="392" ht="15.75" customHeight="1">
      <c r="A392" s="36"/>
      <c r="B392" s="37"/>
      <c r="C392" s="37"/>
      <c r="D392" s="37"/>
      <c r="E392" s="1"/>
      <c r="F392" s="1"/>
    </row>
    <row r="393" ht="15.75" customHeight="1">
      <c r="A393" s="36"/>
      <c r="B393" s="37"/>
      <c r="C393" s="37"/>
      <c r="D393" s="37"/>
      <c r="E393" s="1"/>
      <c r="F393" s="1"/>
    </row>
    <row r="394" ht="15.75" customHeight="1">
      <c r="A394" s="36"/>
      <c r="B394" s="37"/>
      <c r="C394" s="37"/>
      <c r="D394" s="37"/>
      <c r="E394" s="1"/>
      <c r="F394" s="1"/>
    </row>
    <row r="395" ht="15.75" customHeight="1">
      <c r="A395" s="36"/>
      <c r="B395" s="37"/>
      <c r="C395" s="37"/>
      <c r="D395" s="37"/>
      <c r="E395" s="1"/>
      <c r="F395" s="1"/>
    </row>
    <row r="396" ht="15.75" customHeight="1">
      <c r="A396" s="36"/>
      <c r="B396" s="37"/>
      <c r="C396" s="37"/>
      <c r="D396" s="37"/>
      <c r="E396" s="1"/>
      <c r="F396" s="1"/>
    </row>
    <row r="397" ht="15.75" customHeight="1">
      <c r="A397" s="36"/>
      <c r="B397" s="37"/>
      <c r="C397" s="37"/>
      <c r="D397" s="37"/>
      <c r="E397" s="1"/>
      <c r="F397" s="1"/>
    </row>
    <row r="398" ht="15.75" customHeight="1">
      <c r="A398" s="36"/>
      <c r="B398" s="37"/>
      <c r="C398" s="37"/>
      <c r="D398" s="37"/>
      <c r="E398" s="1"/>
      <c r="F398" s="1"/>
    </row>
    <row r="399" ht="15.75" customHeight="1">
      <c r="A399" s="36"/>
      <c r="B399" s="37"/>
      <c r="C399" s="37"/>
      <c r="D399" s="37"/>
      <c r="E399" s="1"/>
      <c r="F399" s="1"/>
    </row>
    <row r="400" ht="15.75" customHeight="1">
      <c r="A400" s="36"/>
      <c r="B400" s="37"/>
      <c r="C400" s="37"/>
      <c r="D400" s="37"/>
      <c r="E400" s="1"/>
      <c r="F400" s="1"/>
    </row>
    <row r="401" ht="15.75" customHeight="1">
      <c r="A401" s="36"/>
      <c r="B401" s="37"/>
      <c r="C401" s="37"/>
      <c r="D401" s="37"/>
      <c r="E401" s="1"/>
      <c r="F401" s="1"/>
    </row>
    <row r="402" ht="15.75" customHeight="1">
      <c r="A402" s="36"/>
      <c r="B402" s="37"/>
      <c r="C402" s="37"/>
      <c r="D402" s="37"/>
      <c r="E402" s="1"/>
      <c r="F402" s="1"/>
    </row>
    <row r="403" ht="15.75" customHeight="1">
      <c r="A403" s="36"/>
      <c r="B403" s="37"/>
      <c r="C403" s="37"/>
      <c r="D403" s="37"/>
      <c r="E403" s="1"/>
      <c r="F403" s="1"/>
    </row>
    <row r="404" ht="15.75" customHeight="1">
      <c r="A404" s="36"/>
      <c r="B404" s="37"/>
      <c r="C404" s="37"/>
      <c r="D404" s="37"/>
      <c r="E404" s="1"/>
      <c r="F404" s="1"/>
    </row>
    <row r="405" ht="15.75" customHeight="1">
      <c r="A405" s="36"/>
      <c r="B405" s="37"/>
      <c r="C405" s="37"/>
      <c r="D405" s="37"/>
      <c r="E405" s="1"/>
      <c r="F405" s="1"/>
    </row>
    <row r="406" ht="15.75" customHeight="1">
      <c r="A406" s="36"/>
      <c r="B406" s="37"/>
      <c r="C406" s="37"/>
      <c r="D406" s="37"/>
      <c r="E406" s="1"/>
      <c r="F406" s="1"/>
    </row>
    <row r="407" ht="15.75" customHeight="1">
      <c r="A407" s="36"/>
      <c r="B407" s="37"/>
      <c r="C407" s="37"/>
      <c r="D407" s="37"/>
      <c r="E407" s="1"/>
      <c r="F407" s="1"/>
    </row>
    <row r="408" ht="15.75" customHeight="1">
      <c r="A408" s="36"/>
      <c r="B408" s="37"/>
      <c r="C408" s="37"/>
      <c r="D408" s="37"/>
      <c r="E408" s="1"/>
      <c r="F408" s="1"/>
    </row>
    <row r="409" ht="15.75" customHeight="1">
      <c r="A409" s="36"/>
      <c r="B409" s="37"/>
      <c r="C409" s="37"/>
      <c r="D409" s="37"/>
      <c r="E409" s="1"/>
      <c r="F409" s="1"/>
    </row>
    <row r="410" ht="15.75" customHeight="1">
      <c r="A410" s="36"/>
      <c r="B410" s="37"/>
      <c r="C410" s="37"/>
      <c r="D410" s="37"/>
      <c r="E410" s="1"/>
      <c r="F410" s="1"/>
    </row>
    <row r="411" ht="15.75" customHeight="1">
      <c r="A411" s="36"/>
      <c r="B411" s="37"/>
      <c r="C411" s="37"/>
      <c r="D411" s="37"/>
      <c r="E411" s="1"/>
      <c r="F411" s="1"/>
    </row>
    <row r="412" ht="15.75" customHeight="1">
      <c r="A412" s="36"/>
      <c r="B412" s="37"/>
      <c r="C412" s="37"/>
      <c r="D412" s="37"/>
      <c r="E412" s="1"/>
      <c r="F412" s="1"/>
    </row>
    <row r="413" ht="15.75" customHeight="1">
      <c r="A413" s="36"/>
      <c r="B413" s="37"/>
      <c r="C413" s="37"/>
      <c r="D413" s="37"/>
      <c r="E413" s="1"/>
      <c r="F413" s="1"/>
    </row>
    <row r="414" ht="15.75" customHeight="1">
      <c r="A414" s="36"/>
      <c r="B414" s="37"/>
      <c r="C414" s="37"/>
      <c r="D414" s="37"/>
      <c r="E414" s="1"/>
      <c r="F414" s="1"/>
    </row>
    <row r="415" ht="15.75" customHeight="1">
      <c r="A415" s="36"/>
      <c r="B415" s="37"/>
      <c r="C415" s="37"/>
      <c r="D415" s="37"/>
      <c r="E415" s="1"/>
      <c r="F415" s="1"/>
    </row>
    <row r="416" ht="15.75" customHeight="1">
      <c r="A416" s="36"/>
      <c r="B416" s="37"/>
      <c r="C416" s="37"/>
      <c r="D416" s="37"/>
      <c r="E416" s="1"/>
      <c r="F416" s="1"/>
    </row>
    <row r="417" ht="15.75" customHeight="1">
      <c r="A417" s="36"/>
      <c r="B417" s="37"/>
      <c r="C417" s="37"/>
      <c r="D417" s="37"/>
      <c r="E417" s="1"/>
      <c r="F417" s="1"/>
    </row>
    <row r="418" ht="15.75" customHeight="1">
      <c r="A418" s="36"/>
      <c r="B418" s="37"/>
      <c r="C418" s="37"/>
      <c r="D418" s="37"/>
      <c r="E418" s="1"/>
      <c r="F418" s="1"/>
    </row>
    <row r="419" ht="15.75" customHeight="1">
      <c r="A419" s="36"/>
      <c r="B419" s="37"/>
      <c r="C419" s="37"/>
      <c r="D419" s="37"/>
      <c r="E419" s="1"/>
      <c r="F419" s="1"/>
    </row>
    <row r="420" ht="15.75" customHeight="1">
      <c r="A420" s="36"/>
      <c r="B420" s="37"/>
      <c r="C420" s="37"/>
      <c r="D420" s="37"/>
      <c r="E420" s="1"/>
      <c r="F420" s="1"/>
    </row>
    <row r="421" ht="15.75" customHeight="1">
      <c r="A421" s="36"/>
      <c r="B421" s="37"/>
      <c r="C421" s="37"/>
      <c r="D421" s="37"/>
      <c r="E421" s="1"/>
      <c r="F421" s="1"/>
    </row>
    <row r="422" ht="15.75" customHeight="1">
      <c r="A422" s="36"/>
      <c r="B422" s="37"/>
      <c r="C422" s="37"/>
      <c r="D422" s="37"/>
      <c r="E422" s="1"/>
      <c r="F422" s="1"/>
    </row>
    <row r="423" ht="15.75" customHeight="1">
      <c r="A423" s="36"/>
      <c r="B423" s="37"/>
      <c r="C423" s="37"/>
      <c r="D423" s="37"/>
      <c r="E423" s="1"/>
      <c r="F423" s="1"/>
    </row>
    <row r="424" ht="15.75" customHeight="1">
      <c r="A424" s="36"/>
      <c r="B424" s="37"/>
      <c r="C424" s="37"/>
      <c r="D424" s="37"/>
      <c r="E424" s="1"/>
      <c r="F424" s="1"/>
    </row>
    <row r="425" ht="15.75" customHeight="1">
      <c r="A425" s="36"/>
      <c r="B425" s="37"/>
      <c r="C425" s="37"/>
      <c r="D425" s="37"/>
      <c r="E425" s="1"/>
      <c r="F425" s="1"/>
    </row>
    <row r="426" ht="15.75" customHeight="1">
      <c r="A426" s="36"/>
      <c r="B426" s="37"/>
      <c r="C426" s="37"/>
      <c r="D426" s="37"/>
      <c r="E426" s="1"/>
      <c r="F426" s="1"/>
    </row>
    <row r="427" ht="15.75" customHeight="1">
      <c r="A427" s="36"/>
      <c r="B427" s="37"/>
      <c r="C427" s="37"/>
      <c r="D427" s="37"/>
      <c r="E427" s="1"/>
      <c r="F427" s="1"/>
    </row>
    <row r="428" ht="15.75" customHeight="1">
      <c r="A428" s="36"/>
      <c r="B428" s="37"/>
      <c r="C428" s="37"/>
      <c r="D428" s="37"/>
      <c r="E428" s="1"/>
      <c r="F428" s="1"/>
    </row>
    <row r="429" ht="15.75" customHeight="1">
      <c r="A429" s="36"/>
      <c r="B429" s="37"/>
      <c r="C429" s="37"/>
      <c r="D429" s="37"/>
      <c r="E429" s="1"/>
      <c r="F429" s="1"/>
    </row>
    <row r="430" ht="15.75" customHeight="1">
      <c r="A430" s="36"/>
      <c r="B430" s="37"/>
      <c r="C430" s="37"/>
      <c r="D430" s="37"/>
      <c r="E430" s="1"/>
      <c r="F430" s="1"/>
    </row>
    <row r="431" ht="15.75" customHeight="1">
      <c r="A431" s="36"/>
      <c r="B431" s="37"/>
      <c r="C431" s="37"/>
      <c r="D431" s="37"/>
      <c r="E431" s="1"/>
      <c r="F431" s="1"/>
    </row>
    <row r="432" ht="15.75" customHeight="1">
      <c r="A432" s="36"/>
      <c r="B432" s="37"/>
      <c r="C432" s="37"/>
      <c r="D432" s="37"/>
      <c r="E432" s="1"/>
      <c r="F432" s="1"/>
    </row>
    <row r="433" ht="15.75" customHeight="1">
      <c r="A433" s="36"/>
      <c r="B433" s="37"/>
      <c r="C433" s="37"/>
      <c r="D433" s="37"/>
      <c r="E433" s="1"/>
      <c r="F433" s="1"/>
    </row>
    <row r="434" ht="15.75" customHeight="1">
      <c r="A434" s="36"/>
      <c r="B434" s="37"/>
      <c r="C434" s="37"/>
      <c r="D434" s="37"/>
      <c r="E434" s="1"/>
      <c r="F434" s="1"/>
    </row>
    <row r="435" ht="15.75" customHeight="1">
      <c r="A435" s="36"/>
      <c r="B435" s="37"/>
      <c r="C435" s="37"/>
      <c r="D435" s="37"/>
      <c r="E435" s="1"/>
      <c r="F435" s="1"/>
    </row>
    <row r="436" ht="15.75" customHeight="1">
      <c r="A436" s="36"/>
      <c r="B436" s="37"/>
      <c r="C436" s="37"/>
      <c r="D436" s="37"/>
      <c r="E436" s="1"/>
      <c r="F436" s="1"/>
    </row>
    <row r="437" ht="15.75" customHeight="1">
      <c r="A437" s="36"/>
      <c r="B437" s="37"/>
      <c r="C437" s="37"/>
      <c r="D437" s="37"/>
      <c r="E437" s="1"/>
      <c r="F437" s="1"/>
    </row>
    <row r="438" ht="15.75" customHeight="1">
      <c r="A438" s="36"/>
      <c r="B438" s="37"/>
      <c r="C438" s="37"/>
      <c r="D438" s="37"/>
      <c r="E438" s="1"/>
      <c r="F438" s="1"/>
    </row>
    <row r="439" ht="15.75" customHeight="1">
      <c r="A439" s="36"/>
      <c r="B439" s="37"/>
      <c r="C439" s="37"/>
      <c r="D439" s="37"/>
      <c r="E439" s="1"/>
      <c r="F439" s="1"/>
    </row>
    <row r="440" ht="15.75" customHeight="1">
      <c r="A440" s="36"/>
      <c r="B440" s="37"/>
      <c r="C440" s="37"/>
      <c r="D440" s="37"/>
      <c r="E440" s="1"/>
      <c r="F440" s="1"/>
    </row>
    <row r="441" ht="15.75" customHeight="1">
      <c r="A441" s="36"/>
      <c r="B441" s="37"/>
      <c r="C441" s="37"/>
      <c r="D441" s="37"/>
      <c r="E441" s="1"/>
      <c r="F441" s="1"/>
    </row>
    <row r="442" ht="15.75" customHeight="1">
      <c r="A442" s="36"/>
      <c r="B442" s="37"/>
      <c r="C442" s="37"/>
      <c r="D442" s="37"/>
      <c r="E442" s="1"/>
      <c r="F442" s="1"/>
    </row>
    <row r="443" ht="15.75" customHeight="1">
      <c r="A443" s="36"/>
      <c r="B443" s="37"/>
      <c r="C443" s="37"/>
      <c r="D443" s="37"/>
      <c r="E443" s="1"/>
      <c r="F443" s="1"/>
    </row>
    <row r="444" ht="15.75" customHeight="1">
      <c r="A444" s="36"/>
      <c r="B444" s="37"/>
      <c r="C444" s="37"/>
      <c r="D444" s="37"/>
      <c r="E444" s="1"/>
      <c r="F444" s="1"/>
    </row>
    <row r="445" ht="15.75" customHeight="1">
      <c r="A445" s="36"/>
      <c r="B445" s="37"/>
      <c r="C445" s="37"/>
      <c r="D445" s="37"/>
      <c r="E445" s="1"/>
      <c r="F445" s="1"/>
    </row>
    <row r="446" ht="15.75" customHeight="1">
      <c r="A446" s="36"/>
      <c r="B446" s="37"/>
      <c r="C446" s="37"/>
      <c r="D446" s="37"/>
      <c r="E446" s="1"/>
      <c r="F446" s="1"/>
    </row>
    <row r="447" ht="15.75" customHeight="1">
      <c r="A447" s="36"/>
      <c r="B447" s="37"/>
      <c r="C447" s="37"/>
      <c r="D447" s="37"/>
      <c r="E447" s="1"/>
      <c r="F447" s="1"/>
    </row>
    <row r="448" ht="15.75" customHeight="1">
      <c r="A448" s="36"/>
      <c r="B448" s="37"/>
      <c r="C448" s="37"/>
      <c r="D448" s="37"/>
      <c r="E448" s="1"/>
      <c r="F448" s="1"/>
    </row>
    <row r="449" ht="15.75" customHeight="1">
      <c r="A449" s="36"/>
      <c r="B449" s="37"/>
      <c r="C449" s="37"/>
      <c r="D449" s="37"/>
      <c r="E449" s="1"/>
      <c r="F449" s="1"/>
    </row>
    <row r="450" ht="15.75" customHeight="1">
      <c r="A450" s="36"/>
      <c r="B450" s="37"/>
      <c r="C450" s="37"/>
      <c r="D450" s="37"/>
      <c r="E450" s="1"/>
      <c r="F450" s="1"/>
    </row>
    <row r="451" ht="15.75" customHeight="1">
      <c r="A451" s="36"/>
      <c r="B451" s="37"/>
      <c r="C451" s="37"/>
      <c r="D451" s="37"/>
      <c r="E451" s="1"/>
      <c r="F451" s="1"/>
    </row>
    <row r="452" ht="15.75" customHeight="1">
      <c r="A452" s="36"/>
      <c r="B452" s="37"/>
      <c r="C452" s="37"/>
      <c r="D452" s="37"/>
      <c r="E452" s="1"/>
      <c r="F452" s="1"/>
    </row>
    <row r="453" ht="15.75" customHeight="1">
      <c r="A453" s="36"/>
      <c r="B453" s="37"/>
      <c r="C453" s="37"/>
      <c r="D453" s="37"/>
      <c r="E453" s="1"/>
      <c r="F453" s="1"/>
    </row>
    <row r="454" ht="15.75" customHeight="1">
      <c r="A454" s="36"/>
      <c r="B454" s="37"/>
      <c r="C454" s="37"/>
      <c r="D454" s="37"/>
      <c r="E454" s="1"/>
      <c r="F454" s="1"/>
    </row>
    <row r="455" ht="15.75" customHeight="1">
      <c r="A455" s="36"/>
      <c r="B455" s="37"/>
      <c r="C455" s="37"/>
      <c r="D455" s="37"/>
      <c r="E455" s="1"/>
      <c r="F455" s="1"/>
    </row>
    <row r="456" ht="15.75" customHeight="1">
      <c r="A456" s="36"/>
      <c r="B456" s="37"/>
      <c r="C456" s="37"/>
      <c r="D456" s="37"/>
      <c r="E456" s="1"/>
      <c r="F456" s="1"/>
    </row>
    <row r="457" ht="15.75" customHeight="1">
      <c r="A457" s="36"/>
      <c r="B457" s="37"/>
      <c r="C457" s="37"/>
      <c r="D457" s="37"/>
      <c r="E457" s="1"/>
      <c r="F457" s="1"/>
    </row>
    <row r="458" ht="15.75" customHeight="1">
      <c r="A458" s="36"/>
      <c r="B458" s="37"/>
      <c r="C458" s="37"/>
      <c r="D458" s="37"/>
      <c r="E458" s="1"/>
      <c r="F458" s="1"/>
    </row>
    <row r="459" ht="15.75" customHeight="1">
      <c r="A459" s="36"/>
      <c r="B459" s="37"/>
      <c r="C459" s="37"/>
      <c r="D459" s="37"/>
      <c r="E459" s="1"/>
      <c r="F459" s="1"/>
    </row>
    <row r="460" ht="15.75" customHeight="1">
      <c r="A460" s="36"/>
      <c r="B460" s="37"/>
      <c r="C460" s="37"/>
      <c r="D460" s="37"/>
      <c r="E460" s="1"/>
      <c r="F460" s="1"/>
    </row>
    <row r="461" ht="15.75" customHeight="1">
      <c r="A461" s="36"/>
      <c r="B461" s="37"/>
      <c r="C461" s="37"/>
      <c r="D461" s="37"/>
      <c r="E461" s="1"/>
      <c r="F461" s="1"/>
    </row>
    <row r="462" ht="15.75" customHeight="1">
      <c r="A462" s="36"/>
      <c r="B462" s="37"/>
      <c r="C462" s="37"/>
      <c r="D462" s="37"/>
      <c r="E462" s="1"/>
      <c r="F462" s="1"/>
    </row>
    <row r="463" ht="15.75" customHeight="1">
      <c r="A463" s="36"/>
      <c r="B463" s="37"/>
      <c r="C463" s="37"/>
      <c r="D463" s="37"/>
      <c r="E463" s="1"/>
      <c r="F463" s="1"/>
    </row>
    <row r="464" ht="15.75" customHeight="1">
      <c r="A464" s="36"/>
      <c r="B464" s="37"/>
      <c r="C464" s="37"/>
      <c r="D464" s="37"/>
      <c r="E464" s="1"/>
      <c r="F464" s="1"/>
    </row>
    <row r="465" ht="15.75" customHeight="1">
      <c r="A465" s="36"/>
      <c r="B465" s="37"/>
      <c r="C465" s="37"/>
      <c r="D465" s="37"/>
      <c r="E465" s="1"/>
      <c r="F465" s="1"/>
    </row>
    <row r="466" ht="15.75" customHeight="1">
      <c r="A466" s="36"/>
      <c r="B466" s="37"/>
      <c r="C466" s="37"/>
      <c r="D466" s="37"/>
      <c r="E466" s="1"/>
      <c r="F466" s="1"/>
    </row>
    <row r="467" ht="15.75" customHeight="1">
      <c r="A467" s="36"/>
      <c r="B467" s="37"/>
      <c r="C467" s="37"/>
      <c r="D467" s="37"/>
      <c r="E467" s="1"/>
      <c r="F467" s="1"/>
    </row>
    <row r="468" ht="15.75" customHeight="1">
      <c r="A468" s="36"/>
      <c r="B468" s="37"/>
      <c r="C468" s="37"/>
      <c r="D468" s="37"/>
      <c r="E468" s="1"/>
      <c r="F468" s="1"/>
    </row>
    <row r="469" ht="15.75" customHeight="1">
      <c r="A469" s="36"/>
      <c r="B469" s="37"/>
      <c r="C469" s="37"/>
      <c r="D469" s="37"/>
      <c r="E469" s="1"/>
      <c r="F469" s="1"/>
    </row>
    <row r="470" ht="15.75" customHeight="1">
      <c r="A470" s="36"/>
      <c r="B470" s="37"/>
      <c r="C470" s="37"/>
      <c r="D470" s="37"/>
      <c r="E470" s="1"/>
      <c r="F470" s="1"/>
    </row>
    <row r="471" ht="15.75" customHeight="1">
      <c r="A471" s="36"/>
      <c r="B471" s="37"/>
      <c r="C471" s="37"/>
      <c r="D471" s="37"/>
      <c r="E471" s="1"/>
      <c r="F471" s="1"/>
    </row>
    <row r="472" ht="15.75" customHeight="1">
      <c r="A472" s="36"/>
      <c r="B472" s="37"/>
      <c r="C472" s="37"/>
      <c r="D472" s="37"/>
      <c r="E472" s="1"/>
      <c r="F472" s="1"/>
    </row>
    <row r="473" ht="15.75" customHeight="1">
      <c r="A473" s="36"/>
      <c r="B473" s="37"/>
      <c r="C473" s="37"/>
      <c r="D473" s="37"/>
      <c r="E473" s="1"/>
      <c r="F473" s="1"/>
    </row>
    <row r="474" ht="15.75" customHeight="1">
      <c r="A474" s="36"/>
      <c r="B474" s="37"/>
      <c r="C474" s="37"/>
      <c r="D474" s="37"/>
      <c r="E474" s="1"/>
      <c r="F474" s="1"/>
    </row>
    <row r="475" ht="15.75" customHeight="1">
      <c r="A475" s="36"/>
      <c r="B475" s="37"/>
      <c r="C475" s="37"/>
      <c r="D475" s="37"/>
      <c r="E475" s="1"/>
      <c r="F475" s="1"/>
    </row>
    <row r="476" ht="15.75" customHeight="1">
      <c r="A476" s="36"/>
      <c r="B476" s="37"/>
      <c r="C476" s="37"/>
      <c r="D476" s="37"/>
      <c r="E476" s="1"/>
      <c r="F476" s="1"/>
    </row>
    <row r="477" ht="15.75" customHeight="1">
      <c r="A477" s="36"/>
      <c r="B477" s="37"/>
      <c r="C477" s="37"/>
      <c r="D477" s="37"/>
      <c r="E477" s="1"/>
      <c r="F477" s="1"/>
    </row>
    <row r="478" ht="15.75" customHeight="1">
      <c r="A478" s="36"/>
      <c r="B478" s="37"/>
      <c r="C478" s="37"/>
      <c r="D478" s="37"/>
      <c r="E478" s="1"/>
      <c r="F478" s="1"/>
    </row>
    <row r="479" ht="15.75" customHeight="1">
      <c r="A479" s="36"/>
      <c r="B479" s="37"/>
      <c r="C479" s="37"/>
      <c r="D479" s="37"/>
      <c r="E479" s="1"/>
      <c r="F479" s="1"/>
    </row>
    <row r="480" ht="15.75" customHeight="1">
      <c r="A480" s="36"/>
      <c r="B480" s="37"/>
      <c r="C480" s="37"/>
      <c r="D480" s="37"/>
      <c r="E480" s="1"/>
      <c r="F480" s="1"/>
    </row>
    <row r="481" ht="15.75" customHeight="1">
      <c r="A481" s="36"/>
      <c r="B481" s="37"/>
      <c r="C481" s="37"/>
      <c r="D481" s="37"/>
      <c r="E481" s="1"/>
      <c r="F481" s="1"/>
    </row>
    <row r="482" ht="15.75" customHeight="1">
      <c r="A482" s="36"/>
      <c r="B482" s="37"/>
      <c r="C482" s="37"/>
      <c r="D482" s="37"/>
      <c r="E482" s="1"/>
      <c r="F482" s="1"/>
    </row>
    <row r="483" ht="15.75" customHeight="1">
      <c r="A483" s="36"/>
      <c r="B483" s="37"/>
      <c r="C483" s="37"/>
      <c r="D483" s="37"/>
      <c r="E483" s="1"/>
      <c r="F483" s="1"/>
    </row>
    <row r="484" ht="15.75" customHeight="1">
      <c r="A484" s="36"/>
      <c r="B484" s="37"/>
      <c r="C484" s="37"/>
      <c r="D484" s="37"/>
      <c r="E484" s="1"/>
      <c r="F484" s="1"/>
    </row>
    <row r="485" ht="15.75" customHeight="1">
      <c r="A485" s="36"/>
      <c r="B485" s="37"/>
      <c r="C485" s="37"/>
      <c r="D485" s="37"/>
      <c r="E485" s="1"/>
      <c r="F485" s="1"/>
    </row>
    <row r="486" ht="15.75" customHeight="1">
      <c r="A486" s="36"/>
      <c r="B486" s="37"/>
      <c r="C486" s="37"/>
      <c r="D486" s="37"/>
      <c r="E486" s="1"/>
      <c r="F486" s="1"/>
    </row>
    <row r="487" ht="15.75" customHeight="1">
      <c r="A487" s="36"/>
      <c r="B487" s="37"/>
      <c r="C487" s="37"/>
      <c r="D487" s="37"/>
      <c r="E487" s="1"/>
      <c r="F487" s="1"/>
    </row>
    <row r="488" ht="15.75" customHeight="1">
      <c r="A488" s="36"/>
      <c r="B488" s="37"/>
      <c r="C488" s="37"/>
      <c r="D488" s="37"/>
      <c r="E488" s="1"/>
      <c r="F488" s="1"/>
    </row>
    <row r="489" ht="15.75" customHeight="1">
      <c r="A489" s="36"/>
      <c r="B489" s="37"/>
      <c r="C489" s="37"/>
      <c r="D489" s="37"/>
      <c r="E489" s="1"/>
      <c r="F489" s="1"/>
    </row>
    <row r="490" ht="15.75" customHeight="1">
      <c r="A490" s="36"/>
      <c r="B490" s="37"/>
      <c r="C490" s="37"/>
      <c r="D490" s="37"/>
      <c r="E490" s="1"/>
      <c r="F490" s="1"/>
    </row>
    <row r="491" ht="15.75" customHeight="1">
      <c r="A491" s="36"/>
      <c r="B491" s="37"/>
      <c r="C491" s="37"/>
      <c r="D491" s="37"/>
      <c r="E491" s="1"/>
      <c r="F491" s="1"/>
    </row>
    <row r="492" ht="15.75" customHeight="1">
      <c r="A492" s="36"/>
      <c r="B492" s="37"/>
      <c r="C492" s="37"/>
      <c r="D492" s="37"/>
      <c r="E492" s="1"/>
      <c r="F492" s="1"/>
    </row>
    <row r="493" ht="15.75" customHeight="1">
      <c r="A493" s="36"/>
      <c r="B493" s="37"/>
      <c r="C493" s="37"/>
      <c r="D493" s="37"/>
      <c r="E493" s="1"/>
      <c r="F493" s="1"/>
    </row>
    <row r="494" ht="15.75" customHeight="1">
      <c r="A494" s="36"/>
      <c r="B494" s="37"/>
      <c r="C494" s="37"/>
      <c r="D494" s="37"/>
      <c r="E494" s="1"/>
      <c r="F494" s="1"/>
    </row>
    <row r="495" ht="15.75" customHeight="1">
      <c r="A495" s="36"/>
      <c r="B495" s="37"/>
      <c r="C495" s="37"/>
      <c r="D495" s="37"/>
      <c r="E495" s="1"/>
      <c r="F495" s="1"/>
    </row>
    <row r="496" ht="15.75" customHeight="1">
      <c r="A496" s="36"/>
      <c r="B496" s="37"/>
      <c r="C496" s="37"/>
      <c r="D496" s="37"/>
      <c r="E496" s="1"/>
      <c r="F496" s="1"/>
    </row>
    <row r="497" ht="15.75" customHeight="1">
      <c r="A497" s="36"/>
      <c r="B497" s="37"/>
      <c r="C497" s="37"/>
      <c r="D497" s="37"/>
      <c r="E497" s="1"/>
      <c r="F497" s="1"/>
    </row>
    <row r="498" ht="15.75" customHeight="1">
      <c r="A498" s="36"/>
      <c r="B498" s="37"/>
      <c r="C498" s="37"/>
      <c r="D498" s="37"/>
      <c r="E498" s="1"/>
      <c r="F498" s="1"/>
    </row>
    <row r="499" ht="15.75" customHeight="1">
      <c r="A499" s="36"/>
      <c r="B499" s="37"/>
      <c r="C499" s="37"/>
      <c r="D499" s="37"/>
      <c r="E499" s="1"/>
      <c r="F499" s="1"/>
    </row>
    <row r="500" ht="15.75" customHeight="1">
      <c r="A500" s="36"/>
      <c r="B500" s="37"/>
      <c r="C500" s="37"/>
      <c r="D500" s="37"/>
      <c r="E500" s="1"/>
      <c r="F500" s="1"/>
    </row>
    <row r="501" ht="15.75" customHeight="1">
      <c r="A501" s="36"/>
      <c r="B501" s="37"/>
      <c r="C501" s="37"/>
      <c r="D501" s="37"/>
      <c r="E501" s="1"/>
      <c r="F501" s="1"/>
    </row>
    <row r="502" ht="15.75" customHeight="1">
      <c r="A502" s="36"/>
      <c r="B502" s="37"/>
      <c r="C502" s="37"/>
      <c r="D502" s="37"/>
      <c r="E502" s="1"/>
      <c r="F502" s="1"/>
    </row>
    <row r="503" ht="15.75" customHeight="1">
      <c r="A503" s="36"/>
      <c r="B503" s="37"/>
      <c r="C503" s="37"/>
      <c r="D503" s="37"/>
      <c r="E503" s="1"/>
      <c r="F503" s="1"/>
    </row>
    <row r="504" ht="15.75" customHeight="1">
      <c r="A504" s="36"/>
      <c r="B504" s="37"/>
      <c r="C504" s="37"/>
      <c r="D504" s="37"/>
      <c r="E504" s="1"/>
      <c r="F504" s="1"/>
    </row>
    <row r="505" ht="15.75" customHeight="1">
      <c r="A505" s="36"/>
      <c r="B505" s="37"/>
      <c r="C505" s="37"/>
      <c r="D505" s="37"/>
      <c r="E505" s="1"/>
      <c r="F505" s="1"/>
    </row>
    <row r="506" ht="15.75" customHeight="1">
      <c r="A506" s="36"/>
      <c r="B506" s="37"/>
      <c r="C506" s="37"/>
      <c r="D506" s="37"/>
      <c r="E506" s="1"/>
      <c r="F506" s="1"/>
    </row>
    <row r="507" ht="15.75" customHeight="1">
      <c r="A507" s="36"/>
      <c r="B507" s="37"/>
      <c r="C507" s="37"/>
      <c r="D507" s="37"/>
      <c r="E507" s="1"/>
      <c r="F507" s="1"/>
    </row>
    <row r="508" ht="15.75" customHeight="1">
      <c r="A508" s="36"/>
      <c r="B508" s="37"/>
      <c r="C508" s="37"/>
      <c r="D508" s="37"/>
      <c r="E508" s="1"/>
      <c r="F508" s="1"/>
    </row>
    <row r="509" ht="15.75" customHeight="1">
      <c r="A509" s="36"/>
      <c r="B509" s="37"/>
      <c r="C509" s="37"/>
      <c r="D509" s="37"/>
      <c r="E509" s="1"/>
      <c r="F509" s="1"/>
    </row>
    <row r="510" ht="15.75" customHeight="1">
      <c r="A510" s="36"/>
      <c r="B510" s="37"/>
      <c r="C510" s="37"/>
      <c r="D510" s="37"/>
      <c r="E510" s="1"/>
      <c r="F510" s="1"/>
    </row>
    <row r="511" ht="15.75" customHeight="1">
      <c r="A511" s="36"/>
      <c r="B511" s="37"/>
      <c r="C511" s="37"/>
      <c r="D511" s="37"/>
      <c r="E511" s="1"/>
      <c r="F511" s="1"/>
    </row>
    <row r="512" ht="15.75" customHeight="1">
      <c r="A512" s="36"/>
      <c r="B512" s="37"/>
      <c r="C512" s="37"/>
      <c r="D512" s="37"/>
      <c r="E512" s="1"/>
      <c r="F512" s="1"/>
    </row>
    <row r="513" ht="15.75" customHeight="1">
      <c r="A513" s="36"/>
      <c r="B513" s="37"/>
      <c r="C513" s="37"/>
      <c r="D513" s="37"/>
      <c r="E513" s="1"/>
      <c r="F513" s="1"/>
    </row>
    <row r="514" ht="15.75" customHeight="1">
      <c r="A514" s="36"/>
      <c r="B514" s="37"/>
      <c r="C514" s="37"/>
      <c r="D514" s="37"/>
      <c r="E514" s="1"/>
      <c r="F514" s="1"/>
    </row>
    <row r="515" ht="15.75" customHeight="1">
      <c r="A515" s="36"/>
      <c r="B515" s="37"/>
      <c r="C515" s="37"/>
      <c r="D515" s="37"/>
      <c r="E515" s="1"/>
      <c r="F515" s="1"/>
    </row>
    <row r="516" ht="15.75" customHeight="1">
      <c r="A516" s="36"/>
      <c r="B516" s="37"/>
      <c r="C516" s="37"/>
      <c r="D516" s="37"/>
      <c r="E516" s="1"/>
      <c r="F516" s="1"/>
    </row>
    <row r="517" ht="15.75" customHeight="1">
      <c r="A517" s="36"/>
      <c r="B517" s="37"/>
      <c r="C517" s="37"/>
      <c r="D517" s="37"/>
      <c r="E517" s="1"/>
      <c r="F517" s="1"/>
    </row>
    <row r="518" ht="15.75" customHeight="1">
      <c r="A518" s="36"/>
      <c r="B518" s="37"/>
      <c r="C518" s="37"/>
      <c r="D518" s="37"/>
      <c r="E518" s="1"/>
      <c r="F518" s="1"/>
    </row>
    <row r="519" ht="15.75" customHeight="1">
      <c r="A519" s="36"/>
      <c r="B519" s="37"/>
      <c r="C519" s="37"/>
      <c r="D519" s="37"/>
      <c r="E519" s="1"/>
      <c r="F519" s="1"/>
    </row>
    <row r="520" ht="15.75" customHeight="1">
      <c r="A520" s="36"/>
      <c r="B520" s="37"/>
      <c r="C520" s="37"/>
      <c r="D520" s="37"/>
      <c r="E520" s="1"/>
      <c r="F520" s="1"/>
    </row>
    <row r="521" ht="15.75" customHeight="1">
      <c r="A521" s="36"/>
      <c r="B521" s="37"/>
      <c r="C521" s="37"/>
      <c r="D521" s="37"/>
      <c r="E521" s="1"/>
      <c r="F521" s="1"/>
    </row>
    <row r="522" ht="15.75" customHeight="1">
      <c r="A522" s="36"/>
      <c r="B522" s="37"/>
      <c r="C522" s="37"/>
      <c r="D522" s="37"/>
      <c r="E522" s="1"/>
      <c r="F522" s="1"/>
    </row>
    <row r="523" ht="15.75" customHeight="1">
      <c r="A523" s="36"/>
      <c r="B523" s="37"/>
      <c r="C523" s="37"/>
      <c r="D523" s="37"/>
      <c r="E523" s="1"/>
      <c r="F523" s="1"/>
    </row>
    <row r="524" ht="15.75" customHeight="1">
      <c r="A524" s="36"/>
      <c r="B524" s="37"/>
      <c r="C524" s="37"/>
      <c r="D524" s="37"/>
      <c r="E524" s="1"/>
      <c r="F524" s="1"/>
    </row>
    <row r="525" ht="15.75" customHeight="1">
      <c r="A525" s="36"/>
      <c r="B525" s="37"/>
      <c r="C525" s="37"/>
      <c r="D525" s="37"/>
      <c r="E525" s="1"/>
      <c r="F525" s="1"/>
    </row>
    <row r="526" ht="15.75" customHeight="1">
      <c r="A526" s="36"/>
      <c r="B526" s="37"/>
      <c r="C526" s="37"/>
      <c r="D526" s="37"/>
      <c r="E526" s="1"/>
      <c r="F526" s="1"/>
    </row>
    <row r="527" ht="15.75" customHeight="1">
      <c r="A527" s="36"/>
      <c r="B527" s="37"/>
      <c r="C527" s="37"/>
      <c r="D527" s="37"/>
      <c r="E527" s="1"/>
      <c r="F527" s="1"/>
    </row>
    <row r="528" ht="15.75" customHeight="1">
      <c r="A528" s="36"/>
      <c r="B528" s="37"/>
      <c r="C528" s="37"/>
      <c r="D528" s="37"/>
      <c r="E528" s="1"/>
      <c r="F528" s="1"/>
    </row>
    <row r="529" ht="15.75" customHeight="1">
      <c r="A529" s="36"/>
      <c r="B529" s="37"/>
      <c r="C529" s="37"/>
      <c r="D529" s="37"/>
      <c r="E529" s="1"/>
      <c r="F529" s="1"/>
    </row>
    <row r="530" ht="15.75" customHeight="1">
      <c r="A530" s="36"/>
      <c r="B530" s="37"/>
      <c r="C530" s="37"/>
      <c r="D530" s="37"/>
      <c r="E530" s="1"/>
      <c r="F530" s="1"/>
    </row>
    <row r="531" ht="15.75" customHeight="1">
      <c r="A531" s="36"/>
      <c r="B531" s="37"/>
      <c r="C531" s="37"/>
      <c r="D531" s="37"/>
      <c r="E531" s="1"/>
      <c r="F531" s="1"/>
    </row>
    <row r="532" ht="15.75" customHeight="1">
      <c r="A532" s="36"/>
      <c r="B532" s="37"/>
      <c r="C532" s="37"/>
      <c r="D532" s="37"/>
      <c r="E532" s="1"/>
      <c r="F532" s="1"/>
    </row>
    <row r="533" ht="15.75" customHeight="1">
      <c r="A533" s="36"/>
      <c r="B533" s="37"/>
      <c r="C533" s="37"/>
      <c r="D533" s="37"/>
      <c r="E533" s="1"/>
      <c r="F533" s="1"/>
    </row>
    <row r="534" ht="15.75" customHeight="1">
      <c r="A534" s="36"/>
      <c r="B534" s="37"/>
      <c r="C534" s="37"/>
      <c r="D534" s="37"/>
      <c r="E534" s="1"/>
      <c r="F534" s="1"/>
    </row>
    <row r="535" ht="15.75" customHeight="1">
      <c r="A535" s="36"/>
      <c r="B535" s="37"/>
      <c r="C535" s="37"/>
      <c r="D535" s="37"/>
      <c r="E535" s="1"/>
      <c r="F535" s="1"/>
    </row>
    <row r="536" ht="15.75" customHeight="1">
      <c r="A536" s="36"/>
      <c r="B536" s="37"/>
      <c r="C536" s="37"/>
      <c r="D536" s="37"/>
      <c r="E536" s="1"/>
      <c r="F536" s="1"/>
    </row>
    <row r="537" ht="15.75" customHeight="1">
      <c r="A537" s="36"/>
      <c r="B537" s="37"/>
      <c r="C537" s="37"/>
      <c r="D537" s="37"/>
      <c r="E537" s="1"/>
      <c r="F537" s="1"/>
    </row>
    <row r="538" ht="15.75" customHeight="1">
      <c r="A538" s="36"/>
      <c r="B538" s="37"/>
      <c r="C538" s="37"/>
      <c r="D538" s="37"/>
      <c r="E538" s="1"/>
      <c r="F538" s="1"/>
    </row>
    <row r="539" ht="15.75" customHeight="1">
      <c r="A539" s="36"/>
      <c r="B539" s="37"/>
      <c r="C539" s="37"/>
      <c r="D539" s="37"/>
      <c r="E539" s="1"/>
      <c r="F539" s="1"/>
    </row>
    <row r="540" ht="15.75" customHeight="1">
      <c r="A540" s="36"/>
      <c r="B540" s="37"/>
      <c r="C540" s="37"/>
      <c r="D540" s="37"/>
      <c r="E540" s="1"/>
      <c r="F540" s="1"/>
    </row>
    <row r="541" ht="15.75" customHeight="1">
      <c r="A541" s="36"/>
      <c r="B541" s="37"/>
      <c r="C541" s="37"/>
      <c r="D541" s="37"/>
      <c r="E541" s="1"/>
      <c r="F541" s="1"/>
    </row>
    <row r="542" ht="15.75" customHeight="1">
      <c r="A542" s="36"/>
      <c r="B542" s="37"/>
      <c r="C542" s="37"/>
      <c r="D542" s="37"/>
      <c r="E542" s="1"/>
      <c r="F542" s="1"/>
    </row>
    <row r="543" ht="15.75" customHeight="1">
      <c r="A543" s="36"/>
      <c r="B543" s="37"/>
      <c r="C543" s="37"/>
      <c r="D543" s="37"/>
      <c r="E543" s="1"/>
      <c r="F543" s="1"/>
    </row>
    <row r="544" ht="15.75" customHeight="1">
      <c r="A544" s="36"/>
      <c r="B544" s="37"/>
      <c r="C544" s="37"/>
      <c r="D544" s="37"/>
      <c r="E544" s="1"/>
      <c r="F544" s="1"/>
    </row>
    <row r="545" ht="15.75" customHeight="1">
      <c r="A545" s="36"/>
      <c r="B545" s="37"/>
      <c r="C545" s="37"/>
      <c r="D545" s="37"/>
      <c r="E545" s="1"/>
      <c r="F545" s="1"/>
    </row>
    <row r="546" ht="15.75" customHeight="1">
      <c r="A546" s="36"/>
      <c r="B546" s="37"/>
      <c r="C546" s="37"/>
      <c r="D546" s="37"/>
      <c r="E546" s="1"/>
      <c r="F546" s="1"/>
    </row>
    <row r="547" ht="15.75" customHeight="1">
      <c r="A547" s="36"/>
      <c r="B547" s="37"/>
      <c r="C547" s="37"/>
      <c r="D547" s="37"/>
      <c r="E547" s="1"/>
      <c r="F547" s="1"/>
    </row>
    <row r="548" ht="15.75" customHeight="1">
      <c r="A548" s="36"/>
      <c r="B548" s="37"/>
      <c r="C548" s="37"/>
      <c r="D548" s="37"/>
      <c r="E548" s="1"/>
      <c r="F548" s="1"/>
    </row>
    <row r="549" ht="15.75" customHeight="1">
      <c r="A549" s="36"/>
      <c r="B549" s="37"/>
      <c r="C549" s="37"/>
      <c r="D549" s="37"/>
      <c r="E549" s="1"/>
      <c r="F549" s="1"/>
    </row>
    <row r="550" ht="15.75" customHeight="1">
      <c r="A550" s="36"/>
      <c r="B550" s="37"/>
      <c r="C550" s="37"/>
      <c r="D550" s="37"/>
      <c r="E550" s="1"/>
      <c r="F550" s="1"/>
    </row>
    <row r="551" ht="15.75" customHeight="1">
      <c r="A551" s="36"/>
      <c r="B551" s="37"/>
      <c r="C551" s="37"/>
      <c r="D551" s="37"/>
      <c r="E551" s="1"/>
      <c r="F551" s="1"/>
    </row>
    <row r="552" ht="15.75" customHeight="1">
      <c r="A552" s="36"/>
      <c r="B552" s="37"/>
      <c r="C552" s="37"/>
      <c r="D552" s="37"/>
      <c r="E552" s="1"/>
      <c r="F552" s="1"/>
    </row>
    <row r="553" ht="15.75" customHeight="1">
      <c r="A553" s="36"/>
      <c r="B553" s="37"/>
      <c r="C553" s="37"/>
      <c r="D553" s="37"/>
      <c r="E553" s="1"/>
      <c r="F553" s="1"/>
    </row>
    <row r="554" ht="15.75" customHeight="1">
      <c r="A554" s="36"/>
      <c r="B554" s="37"/>
      <c r="C554" s="37"/>
      <c r="D554" s="37"/>
      <c r="E554" s="1"/>
      <c r="F554" s="1"/>
    </row>
    <row r="555" ht="15.75" customHeight="1">
      <c r="A555" s="36"/>
      <c r="B555" s="37"/>
      <c r="C555" s="37"/>
      <c r="D555" s="37"/>
      <c r="E555" s="1"/>
      <c r="F555" s="1"/>
    </row>
    <row r="556" ht="15.75" customHeight="1">
      <c r="A556" s="36"/>
      <c r="B556" s="37"/>
      <c r="C556" s="37"/>
      <c r="D556" s="37"/>
      <c r="E556" s="1"/>
      <c r="F556" s="1"/>
    </row>
    <row r="557" ht="15.75" customHeight="1">
      <c r="A557" s="36"/>
      <c r="B557" s="37"/>
      <c r="C557" s="37"/>
      <c r="D557" s="37"/>
      <c r="E557" s="1"/>
      <c r="F557" s="1"/>
    </row>
    <row r="558" ht="15.75" customHeight="1">
      <c r="A558" s="36"/>
      <c r="B558" s="37"/>
      <c r="C558" s="37"/>
      <c r="D558" s="37"/>
      <c r="E558" s="1"/>
      <c r="F558" s="1"/>
    </row>
    <row r="559" ht="15.75" customHeight="1">
      <c r="A559" s="36"/>
      <c r="B559" s="37"/>
      <c r="C559" s="37"/>
      <c r="D559" s="37"/>
      <c r="E559" s="1"/>
      <c r="F559" s="1"/>
    </row>
    <row r="560" ht="15.75" customHeight="1">
      <c r="A560" s="36"/>
      <c r="B560" s="37"/>
      <c r="C560" s="37"/>
      <c r="D560" s="37"/>
      <c r="E560" s="1"/>
      <c r="F560" s="1"/>
    </row>
    <row r="561" ht="15.75" customHeight="1">
      <c r="A561" s="36"/>
      <c r="B561" s="37"/>
      <c r="C561" s="37"/>
      <c r="D561" s="37"/>
      <c r="E561" s="1"/>
      <c r="F561" s="1"/>
    </row>
    <row r="562" ht="15.75" customHeight="1">
      <c r="A562" s="36"/>
      <c r="B562" s="37"/>
      <c r="C562" s="37"/>
      <c r="D562" s="37"/>
      <c r="E562" s="1"/>
      <c r="F562" s="1"/>
    </row>
    <row r="563" ht="15.75" customHeight="1">
      <c r="A563" s="36"/>
      <c r="B563" s="37"/>
      <c r="C563" s="37"/>
      <c r="D563" s="37"/>
      <c r="E563" s="1"/>
      <c r="F563" s="1"/>
    </row>
    <row r="564" ht="15.75" customHeight="1">
      <c r="A564" s="36"/>
      <c r="B564" s="37"/>
      <c r="C564" s="37"/>
      <c r="D564" s="37"/>
      <c r="E564" s="1"/>
      <c r="F564" s="1"/>
    </row>
    <row r="565" ht="15.75" customHeight="1">
      <c r="A565" s="36"/>
      <c r="B565" s="37"/>
      <c r="C565" s="37"/>
      <c r="D565" s="37"/>
      <c r="E565" s="1"/>
      <c r="F565" s="1"/>
    </row>
    <row r="566" ht="15.75" customHeight="1">
      <c r="A566" s="36"/>
      <c r="B566" s="37"/>
      <c r="C566" s="37"/>
      <c r="D566" s="37"/>
      <c r="E566" s="1"/>
      <c r="F566" s="1"/>
    </row>
    <row r="567" ht="15.75" customHeight="1">
      <c r="A567" s="36"/>
      <c r="B567" s="37"/>
      <c r="C567" s="37"/>
      <c r="D567" s="37"/>
      <c r="E567" s="1"/>
      <c r="F567" s="1"/>
    </row>
    <row r="568" ht="15.75" customHeight="1">
      <c r="A568" s="36"/>
      <c r="B568" s="37"/>
      <c r="C568" s="37"/>
      <c r="D568" s="37"/>
      <c r="E568" s="1"/>
      <c r="F568" s="1"/>
    </row>
    <row r="569" ht="15.75" customHeight="1">
      <c r="A569" s="36"/>
      <c r="B569" s="37"/>
      <c r="C569" s="37"/>
      <c r="D569" s="37"/>
      <c r="E569" s="1"/>
      <c r="F569" s="1"/>
    </row>
    <row r="570" ht="15.75" customHeight="1">
      <c r="A570" s="36"/>
      <c r="B570" s="37"/>
      <c r="C570" s="37"/>
      <c r="D570" s="37"/>
      <c r="E570" s="1"/>
      <c r="F570" s="1"/>
    </row>
    <row r="571" ht="15.75" customHeight="1">
      <c r="A571" s="36"/>
      <c r="B571" s="37"/>
      <c r="C571" s="37"/>
      <c r="D571" s="37"/>
      <c r="E571" s="1"/>
      <c r="F571" s="1"/>
    </row>
    <row r="572" ht="15.75" customHeight="1">
      <c r="A572" s="36"/>
      <c r="B572" s="37"/>
      <c r="C572" s="37"/>
      <c r="D572" s="37"/>
      <c r="E572" s="1"/>
      <c r="F572" s="1"/>
    </row>
    <row r="573" ht="15.75" customHeight="1">
      <c r="A573" s="36"/>
      <c r="B573" s="37"/>
      <c r="C573" s="37"/>
      <c r="D573" s="37"/>
      <c r="E573" s="1"/>
      <c r="F573" s="1"/>
    </row>
    <row r="574" ht="15.75" customHeight="1">
      <c r="A574" s="36"/>
      <c r="B574" s="37"/>
      <c r="C574" s="37"/>
      <c r="D574" s="37"/>
      <c r="E574" s="1"/>
      <c r="F574" s="1"/>
    </row>
    <row r="575" ht="15.75" customHeight="1">
      <c r="A575" s="36"/>
      <c r="B575" s="37"/>
      <c r="C575" s="37"/>
      <c r="D575" s="37"/>
      <c r="E575" s="1"/>
      <c r="F575" s="1"/>
    </row>
    <row r="576" ht="15.75" customHeight="1">
      <c r="A576" s="36"/>
      <c r="B576" s="37"/>
      <c r="C576" s="37"/>
      <c r="D576" s="37"/>
      <c r="E576" s="1"/>
      <c r="F576" s="1"/>
    </row>
    <row r="577" ht="15.75" customHeight="1">
      <c r="A577" s="36"/>
      <c r="B577" s="37"/>
      <c r="C577" s="37"/>
      <c r="D577" s="37"/>
      <c r="E577" s="1"/>
      <c r="F577" s="1"/>
    </row>
    <row r="578" ht="15.75" customHeight="1">
      <c r="A578" s="36"/>
      <c r="B578" s="37"/>
      <c r="C578" s="37"/>
      <c r="D578" s="37"/>
      <c r="E578" s="1"/>
      <c r="F578" s="1"/>
    </row>
    <row r="579" ht="15.75" customHeight="1">
      <c r="A579" s="36"/>
      <c r="B579" s="37"/>
      <c r="C579" s="37"/>
      <c r="D579" s="37"/>
      <c r="E579" s="1"/>
      <c r="F579" s="1"/>
    </row>
    <row r="580" ht="15.75" customHeight="1">
      <c r="A580" s="36"/>
      <c r="B580" s="37"/>
      <c r="C580" s="37"/>
      <c r="D580" s="37"/>
      <c r="E580" s="1"/>
      <c r="F580" s="1"/>
    </row>
    <row r="581" ht="15.75" customHeight="1">
      <c r="A581" s="36"/>
      <c r="B581" s="37"/>
      <c r="C581" s="37"/>
      <c r="D581" s="37"/>
      <c r="E581" s="1"/>
      <c r="F581" s="1"/>
    </row>
    <row r="582" ht="15.75" customHeight="1">
      <c r="A582" s="36"/>
      <c r="B582" s="37"/>
      <c r="C582" s="37"/>
      <c r="D582" s="37"/>
      <c r="E582" s="1"/>
      <c r="F582" s="1"/>
    </row>
    <row r="583" ht="15.75" customHeight="1">
      <c r="A583" s="36"/>
      <c r="B583" s="37"/>
      <c r="C583" s="37"/>
      <c r="D583" s="37"/>
      <c r="E583" s="1"/>
      <c r="F583" s="1"/>
    </row>
    <row r="584" ht="15.75" customHeight="1">
      <c r="A584" s="36"/>
      <c r="B584" s="37"/>
      <c r="C584" s="37"/>
      <c r="D584" s="37"/>
      <c r="E584" s="1"/>
      <c r="F584" s="1"/>
    </row>
    <row r="585" ht="15.75" customHeight="1">
      <c r="A585" s="36"/>
      <c r="B585" s="37"/>
      <c r="C585" s="37"/>
      <c r="D585" s="37"/>
      <c r="E585" s="1"/>
      <c r="F585" s="1"/>
    </row>
    <row r="586" ht="15.75" customHeight="1">
      <c r="A586" s="36"/>
      <c r="B586" s="37"/>
      <c r="C586" s="37"/>
      <c r="D586" s="37"/>
      <c r="E586" s="1"/>
      <c r="F586" s="1"/>
    </row>
    <row r="587" ht="15.75" customHeight="1">
      <c r="A587" s="36"/>
      <c r="B587" s="37"/>
      <c r="C587" s="37"/>
      <c r="D587" s="37"/>
      <c r="E587" s="1"/>
      <c r="F587" s="1"/>
    </row>
    <row r="588" ht="15.75" customHeight="1">
      <c r="A588" s="36"/>
      <c r="B588" s="37"/>
      <c r="C588" s="37"/>
      <c r="D588" s="37"/>
      <c r="E588" s="1"/>
      <c r="F588" s="1"/>
    </row>
    <row r="589" ht="15.75" customHeight="1">
      <c r="A589" s="36"/>
      <c r="B589" s="37"/>
      <c r="C589" s="37"/>
      <c r="D589" s="37"/>
      <c r="E589" s="1"/>
      <c r="F589" s="1"/>
    </row>
    <row r="590" ht="15.75" customHeight="1">
      <c r="A590" s="36"/>
      <c r="B590" s="37"/>
      <c r="C590" s="37"/>
      <c r="D590" s="37"/>
      <c r="E590" s="1"/>
      <c r="F590" s="1"/>
    </row>
    <row r="591" ht="15.75" customHeight="1">
      <c r="A591" s="36"/>
      <c r="B591" s="37"/>
      <c r="C591" s="37"/>
      <c r="D591" s="37"/>
      <c r="E591" s="1"/>
      <c r="F591" s="1"/>
    </row>
    <row r="592" ht="15.75" customHeight="1">
      <c r="A592" s="36"/>
      <c r="B592" s="37"/>
      <c r="C592" s="37"/>
      <c r="D592" s="37"/>
      <c r="E592" s="1"/>
      <c r="F592" s="1"/>
    </row>
    <row r="593" ht="15.75" customHeight="1">
      <c r="A593" s="36"/>
      <c r="B593" s="37"/>
      <c r="C593" s="37"/>
      <c r="D593" s="37"/>
      <c r="E593" s="1"/>
      <c r="F593" s="1"/>
    </row>
    <row r="594" ht="15.75" customHeight="1">
      <c r="A594" s="36"/>
      <c r="B594" s="37"/>
      <c r="C594" s="37"/>
      <c r="D594" s="37"/>
      <c r="E594" s="1"/>
      <c r="F594" s="1"/>
    </row>
    <row r="595" ht="15.75" customHeight="1">
      <c r="A595" s="36"/>
      <c r="B595" s="37"/>
      <c r="C595" s="37"/>
      <c r="D595" s="37"/>
      <c r="E595" s="1"/>
      <c r="F595" s="1"/>
    </row>
    <row r="596" ht="15.75" customHeight="1">
      <c r="A596" s="36"/>
      <c r="B596" s="37"/>
      <c r="C596" s="37"/>
      <c r="D596" s="37"/>
      <c r="E596" s="1"/>
      <c r="F596" s="1"/>
    </row>
    <row r="597" ht="15.75" customHeight="1">
      <c r="A597" s="36"/>
      <c r="B597" s="37"/>
      <c r="C597" s="37"/>
      <c r="D597" s="37"/>
      <c r="E597" s="1"/>
      <c r="F597" s="1"/>
    </row>
    <row r="598" ht="15.75" customHeight="1">
      <c r="A598" s="36"/>
      <c r="B598" s="37"/>
      <c r="C598" s="37"/>
      <c r="D598" s="37"/>
      <c r="E598" s="1"/>
      <c r="F598" s="1"/>
    </row>
    <row r="599" ht="15.75" customHeight="1">
      <c r="A599" s="36"/>
      <c r="B599" s="37"/>
      <c r="C599" s="37"/>
      <c r="D599" s="37"/>
      <c r="E599" s="1"/>
      <c r="F599" s="1"/>
    </row>
    <row r="600" ht="15.75" customHeight="1">
      <c r="A600" s="36"/>
      <c r="B600" s="37"/>
      <c r="C600" s="37"/>
      <c r="D600" s="37"/>
      <c r="E600" s="1"/>
      <c r="F600" s="1"/>
    </row>
    <row r="601" ht="15.75" customHeight="1">
      <c r="A601" s="36"/>
      <c r="B601" s="37"/>
      <c r="C601" s="37"/>
      <c r="D601" s="37"/>
      <c r="E601" s="1"/>
      <c r="F601" s="1"/>
    </row>
    <row r="602" ht="15.75" customHeight="1">
      <c r="A602" s="36"/>
      <c r="B602" s="37"/>
      <c r="C602" s="37"/>
      <c r="D602" s="37"/>
      <c r="E602" s="1"/>
      <c r="F602" s="1"/>
    </row>
    <row r="603" ht="15.75" customHeight="1">
      <c r="A603" s="36"/>
      <c r="B603" s="37"/>
      <c r="C603" s="37"/>
      <c r="D603" s="37"/>
      <c r="E603" s="1"/>
      <c r="F603" s="1"/>
    </row>
    <row r="604" ht="15.75" customHeight="1">
      <c r="A604" s="36"/>
      <c r="B604" s="37"/>
      <c r="C604" s="37"/>
      <c r="D604" s="37"/>
      <c r="E604" s="1"/>
      <c r="F604" s="1"/>
    </row>
    <row r="605" ht="15.75" customHeight="1">
      <c r="A605" s="36"/>
      <c r="B605" s="37"/>
      <c r="C605" s="37"/>
      <c r="D605" s="37"/>
      <c r="E605" s="1"/>
      <c r="F605" s="1"/>
    </row>
    <row r="606" ht="15.75" customHeight="1">
      <c r="A606" s="36"/>
      <c r="B606" s="37"/>
      <c r="C606" s="37"/>
      <c r="D606" s="37"/>
      <c r="E606" s="1"/>
      <c r="F606" s="1"/>
    </row>
    <row r="607" ht="15.75" customHeight="1">
      <c r="A607" s="36"/>
      <c r="B607" s="37"/>
      <c r="C607" s="37"/>
      <c r="D607" s="37"/>
      <c r="E607" s="1"/>
      <c r="F607" s="1"/>
    </row>
    <row r="608" ht="15.75" customHeight="1">
      <c r="A608" s="36"/>
      <c r="B608" s="37"/>
      <c r="C608" s="37"/>
      <c r="D608" s="37"/>
      <c r="E608" s="1"/>
      <c r="F608" s="1"/>
    </row>
    <row r="609" ht="15.75" customHeight="1">
      <c r="A609" s="36"/>
      <c r="B609" s="37"/>
      <c r="C609" s="37"/>
      <c r="D609" s="37"/>
      <c r="E609" s="1"/>
      <c r="F609" s="1"/>
    </row>
    <row r="610" ht="15.75" customHeight="1">
      <c r="A610" s="36"/>
      <c r="B610" s="37"/>
      <c r="C610" s="37"/>
      <c r="D610" s="37"/>
      <c r="E610" s="1"/>
      <c r="F610" s="1"/>
    </row>
    <row r="611" ht="15.75" customHeight="1">
      <c r="A611" s="36"/>
      <c r="B611" s="37"/>
      <c r="C611" s="37"/>
      <c r="D611" s="37"/>
      <c r="E611" s="1"/>
      <c r="F611" s="1"/>
    </row>
    <row r="612" ht="15.75" customHeight="1">
      <c r="A612" s="36"/>
      <c r="B612" s="37"/>
      <c r="C612" s="37"/>
      <c r="D612" s="37"/>
      <c r="E612" s="1"/>
      <c r="F612" s="1"/>
    </row>
    <row r="613" ht="15.75" customHeight="1">
      <c r="A613" s="36"/>
      <c r="B613" s="37"/>
      <c r="C613" s="37"/>
      <c r="D613" s="37"/>
      <c r="E613" s="1"/>
      <c r="F613" s="1"/>
    </row>
    <row r="614" ht="15.75" customHeight="1">
      <c r="A614" s="36"/>
      <c r="B614" s="37"/>
      <c r="C614" s="37"/>
      <c r="D614" s="37"/>
      <c r="E614" s="1"/>
      <c r="F614" s="1"/>
    </row>
    <row r="615" ht="15.75" customHeight="1">
      <c r="A615" s="36"/>
      <c r="B615" s="37"/>
      <c r="C615" s="37"/>
      <c r="D615" s="37"/>
      <c r="E615" s="1"/>
      <c r="F615" s="1"/>
    </row>
    <row r="616" ht="15.75" customHeight="1">
      <c r="A616" s="36"/>
      <c r="B616" s="37"/>
      <c r="C616" s="37"/>
      <c r="D616" s="37"/>
      <c r="E616" s="1"/>
      <c r="F616" s="1"/>
    </row>
    <row r="617" ht="15.75" customHeight="1">
      <c r="A617" s="36"/>
      <c r="B617" s="37"/>
      <c r="C617" s="37"/>
      <c r="D617" s="37"/>
      <c r="E617" s="1"/>
      <c r="F617" s="1"/>
    </row>
    <row r="618" ht="15.75" customHeight="1">
      <c r="A618" s="36"/>
      <c r="B618" s="37"/>
      <c r="C618" s="37"/>
      <c r="D618" s="37"/>
      <c r="E618" s="1"/>
      <c r="F618" s="1"/>
    </row>
    <row r="619" ht="15.75" customHeight="1">
      <c r="A619" s="36"/>
      <c r="B619" s="37"/>
      <c r="C619" s="37"/>
      <c r="D619" s="37"/>
      <c r="E619" s="1"/>
      <c r="F619" s="1"/>
    </row>
    <row r="620" ht="15.75" customHeight="1">
      <c r="A620" s="36"/>
      <c r="B620" s="37"/>
      <c r="C620" s="37"/>
      <c r="D620" s="37"/>
      <c r="E620" s="1"/>
      <c r="F620" s="1"/>
    </row>
    <row r="621" ht="15.75" customHeight="1">
      <c r="A621" s="36"/>
      <c r="B621" s="37"/>
      <c r="C621" s="37"/>
      <c r="D621" s="37"/>
      <c r="E621" s="1"/>
      <c r="F621" s="1"/>
    </row>
    <row r="622" ht="15.75" customHeight="1">
      <c r="A622" s="36"/>
      <c r="B622" s="37"/>
      <c r="C622" s="37"/>
      <c r="D622" s="37"/>
      <c r="E622" s="1"/>
      <c r="F622" s="1"/>
    </row>
    <row r="623" ht="15.75" customHeight="1">
      <c r="A623" s="36"/>
      <c r="B623" s="37"/>
      <c r="C623" s="37"/>
      <c r="D623" s="37"/>
      <c r="E623" s="1"/>
      <c r="F623" s="1"/>
    </row>
    <row r="624" ht="15.75" customHeight="1">
      <c r="A624" s="36"/>
      <c r="B624" s="37"/>
      <c r="C624" s="37"/>
      <c r="D624" s="37"/>
      <c r="E624" s="1"/>
      <c r="F624" s="1"/>
    </row>
    <row r="625" ht="15.75" customHeight="1">
      <c r="A625" s="36"/>
      <c r="B625" s="37"/>
      <c r="C625" s="37"/>
      <c r="D625" s="37"/>
      <c r="E625" s="1"/>
      <c r="F625" s="1"/>
    </row>
    <row r="626" ht="15.75" customHeight="1">
      <c r="A626" s="36"/>
      <c r="B626" s="37"/>
      <c r="C626" s="37"/>
      <c r="D626" s="37"/>
      <c r="E626" s="1"/>
      <c r="F626" s="1"/>
    </row>
    <row r="627" ht="15.75" customHeight="1">
      <c r="A627" s="36"/>
      <c r="B627" s="37"/>
      <c r="C627" s="37"/>
      <c r="D627" s="37"/>
      <c r="E627" s="1"/>
      <c r="F627" s="1"/>
    </row>
    <row r="628" ht="15.75" customHeight="1">
      <c r="A628" s="36"/>
      <c r="B628" s="37"/>
      <c r="C628" s="37"/>
      <c r="D628" s="37"/>
      <c r="E628" s="1"/>
      <c r="F628" s="1"/>
    </row>
    <row r="629" ht="15.75" customHeight="1">
      <c r="A629" s="36"/>
      <c r="B629" s="37"/>
      <c r="C629" s="37"/>
      <c r="D629" s="37"/>
      <c r="E629" s="1"/>
      <c r="F629" s="1"/>
    </row>
    <row r="630" ht="15.75" customHeight="1">
      <c r="A630" s="36"/>
      <c r="B630" s="37"/>
      <c r="C630" s="37"/>
      <c r="D630" s="37"/>
      <c r="E630" s="1"/>
      <c r="F630" s="1"/>
    </row>
    <row r="631" ht="15.75" customHeight="1">
      <c r="A631" s="36"/>
      <c r="B631" s="37"/>
      <c r="C631" s="37"/>
      <c r="D631" s="37"/>
      <c r="E631" s="1"/>
      <c r="F631" s="1"/>
    </row>
    <row r="632" ht="15.75" customHeight="1">
      <c r="A632" s="36"/>
      <c r="B632" s="37"/>
      <c r="C632" s="37"/>
      <c r="D632" s="37"/>
      <c r="E632" s="1"/>
      <c r="F632" s="1"/>
    </row>
    <row r="633" ht="15.75" customHeight="1">
      <c r="A633" s="36"/>
      <c r="B633" s="37"/>
      <c r="C633" s="37"/>
      <c r="D633" s="37"/>
      <c r="E633" s="1"/>
      <c r="F633" s="1"/>
    </row>
    <row r="634" ht="15.75" customHeight="1">
      <c r="A634" s="36"/>
      <c r="B634" s="37"/>
      <c r="C634" s="37"/>
      <c r="D634" s="37"/>
      <c r="E634" s="1"/>
      <c r="F634" s="1"/>
    </row>
    <row r="635" ht="15.75" customHeight="1">
      <c r="A635" s="36"/>
      <c r="B635" s="37"/>
      <c r="C635" s="37"/>
      <c r="D635" s="37"/>
      <c r="E635" s="1"/>
      <c r="F635" s="1"/>
    </row>
    <row r="636" ht="15.75" customHeight="1">
      <c r="A636" s="36"/>
      <c r="B636" s="37"/>
      <c r="C636" s="37"/>
      <c r="D636" s="37"/>
      <c r="E636" s="1"/>
      <c r="F636" s="1"/>
    </row>
    <row r="637" ht="15.75" customHeight="1">
      <c r="A637" s="36"/>
      <c r="B637" s="37"/>
      <c r="C637" s="37"/>
      <c r="D637" s="37"/>
      <c r="E637" s="1"/>
      <c r="F637" s="1"/>
    </row>
    <row r="638" ht="15.75" customHeight="1">
      <c r="A638" s="36"/>
      <c r="B638" s="37"/>
      <c r="C638" s="37"/>
      <c r="D638" s="37"/>
      <c r="E638" s="1"/>
      <c r="F638" s="1"/>
    </row>
    <row r="639" ht="15.75" customHeight="1">
      <c r="A639" s="36"/>
      <c r="B639" s="37"/>
      <c r="C639" s="37"/>
      <c r="D639" s="37"/>
      <c r="E639" s="1"/>
      <c r="F639" s="1"/>
    </row>
    <row r="640" ht="15.75" customHeight="1">
      <c r="A640" s="36"/>
      <c r="B640" s="37"/>
      <c r="C640" s="37"/>
      <c r="D640" s="37"/>
      <c r="E640" s="1"/>
      <c r="F640" s="1"/>
    </row>
    <row r="641" ht="15.75" customHeight="1">
      <c r="A641" s="36"/>
      <c r="B641" s="37"/>
      <c r="C641" s="37"/>
      <c r="D641" s="37"/>
      <c r="E641" s="1"/>
      <c r="F641" s="1"/>
    </row>
    <row r="642" ht="15.75" customHeight="1">
      <c r="A642" s="36"/>
      <c r="B642" s="37"/>
      <c r="C642" s="37"/>
      <c r="D642" s="37"/>
      <c r="E642" s="1"/>
      <c r="F642" s="1"/>
    </row>
    <row r="643" ht="15.75" customHeight="1">
      <c r="A643" s="36"/>
      <c r="B643" s="37"/>
      <c r="C643" s="37"/>
      <c r="D643" s="37"/>
      <c r="E643" s="1"/>
      <c r="F643" s="1"/>
    </row>
    <row r="644" ht="15.75" customHeight="1">
      <c r="A644" s="36"/>
      <c r="B644" s="37"/>
      <c r="C644" s="37"/>
      <c r="D644" s="37"/>
      <c r="E644" s="1"/>
      <c r="F644" s="1"/>
    </row>
    <row r="645" ht="15.75" customHeight="1">
      <c r="A645" s="36"/>
      <c r="B645" s="37"/>
      <c r="C645" s="37"/>
      <c r="D645" s="37"/>
      <c r="E645" s="1"/>
      <c r="F645" s="1"/>
    </row>
    <row r="646" ht="15.75" customHeight="1">
      <c r="A646" s="36"/>
      <c r="B646" s="37"/>
      <c r="C646" s="37"/>
      <c r="D646" s="37"/>
      <c r="E646" s="1"/>
      <c r="F646" s="1"/>
    </row>
    <row r="647" ht="15.75" customHeight="1">
      <c r="A647" s="36"/>
      <c r="B647" s="37"/>
      <c r="C647" s="37"/>
      <c r="D647" s="37"/>
      <c r="E647" s="1"/>
      <c r="F647" s="1"/>
    </row>
    <row r="648" ht="15.75" customHeight="1">
      <c r="A648" s="36"/>
      <c r="B648" s="37"/>
      <c r="C648" s="37"/>
      <c r="D648" s="37"/>
      <c r="E648" s="1"/>
      <c r="F648" s="1"/>
    </row>
    <row r="649" ht="15.75" customHeight="1">
      <c r="A649" s="36"/>
      <c r="B649" s="37"/>
      <c r="C649" s="37"/>
      <c r="D649" s="37"/>
      <c r="E649" s="1"/>
      <c r="F649" s="1"/>
    </row>
    <row r="650" ht="15.75" customHeight="1">
      <c r="A650" s="36"/>
      <c r="B650" s="37"/>
      <c r="C650" s="37"/>
      <c r="D650" s="37"/>
      <c r="E650" s="1"/>
      <c r="F650" s="1"/>
    </row>
    <row r="651" ht="15.75" customHeight="1">
      <c r="A651" s="36"/>
      <c r="B651" s="37"/>
      <c r="C651" s="37"/>
      <c r="D651" s="37"/>
      <c r="E651" s="1"/>
      <c r="F651" s="1"/>
    </row>
    <row r="652" ht="15.75" customHeight="1">
      <c r="A652" s="36"/>
      <c r="B652" s="37"/>
      <c r="C652" s="37"/>
      <c r="D652" s="37"/>
      <c r="E652" s="1"/>
      <c r="F652" s="1"/>
    </row>
    <row r="653" ht="15.75" customHeight="1">
      <c r="A653" s="36"/>
      <c r="B653" s="37"/>
      <c r="C653" s="37"/>
      <c r="D653" s="37"/>
      <c r="E653" s="1"/>
      <c r="F653" s="1"/>
    </row>
    <row r="654" ht="15.75" customHeight="1">
      <c r="A654" s="36"/>
      <c r="B654" s="37"/>
      <c r="C654" s="37"/>
      <c r="D654" s="37"/>
      <c r="E654" s="1"/>
      <c r="F654" s="1"/>
    </row>
    <row r="655" ht="15.75" customHeight="1">
      <c r="A655" s="36"/>
      <c r="B655" s="37"/>
      <c r="C655" s="37"/>
      <c r="D655" s="37"/>
      <c r="E655" s="1"/>
      <c r="F655" s="1"/>
    </row>
    <row r="656" ht="15.75" customHeight="1">
      <c r="A656" s="36"/>
      <c r="B656" s="37"/>
      <c r="C656" s="37"/>
      <c r="D656" s="37"/>
      <c r="E656" s="1"/>
      <c r="F656" s="1"/>
    </row>
    <row r="657" ht="15.75" customHeight="1">
      <c r="A657" s="36"/>
      <c r="B657" s="37"/>
      <c r="C657" s="37"/>
      <c r="D657" s="37"/>
      <c r="E657" s="1"/>
      <c r="F657" s="1"/>
    </row>
    <row r="658" ht="15.75" customHeight="1">
      <c r="A658" s="36"/>
      <c r="B658" s="37"/>
      <c r="C658" s="37"/>
      <c r="D658" s="37"/>
      <c r="E658" s="1"/>
      <c r="F658" s="1"/>
    </row>
    <row r="659" ht="15.75" customHeight="1">
      <c r="A659" s="36"/>
      <c r="B659" s="37"/>
      <c r="C659" s="37"/>
      <c r="D659" s="37"/>
      <c r="E659" s="1"/>
      <c r="F659" s="1"/>
    </row>
    <row r="660" ht="15.75" customHeight="1">
      <c r="A660" s="36"/>
      <c r="B660" s="37"/>
      <c r="C660" s="37"/>
      <c r="D660" s="37"/>
      <c r="E660" s="1"/>
      <c r="F660" s="1"/>
    </row>
    <row r="661" ht="15.75" customHeight="1">
      <c r="A661" s="36"/>
      <c r="B661" s="37"/>
      <c r="C661" s="37"/>
      <c r="D661" s="37"/>
      <c r="E661" s="1"/>
      <c r="F661" s="1"/>
    </row>
    <row r="662" ht="15.75" customHeight="1">
      <c r="A662" s="36"/>
      <c r="B662" s="37"/>
      <c r="C662" s="37"/>
      <c r="D662" s="37"/>
      <c r="E662" s="1"/>
      <c r="F662" s="1"/>
    </row>
    <row r="663" ht="15.75" customHeight="1">
      <c r="A663" s="36"/>
      <c r="B663" s="37"/>
      <c r="C663" s="37"/>
      <c r="D663" s="37"/>
      <c r="E663" s="1"/>
      <c r="F663" s="1"/>
    </row>
    <row r="664" ht="15.75" customHeight="1">
      <c r="A664" s="36"/>
      <c r="B664" s="37"/>
      <c r="C664" s="37"/>
      <c r="D664" s="37"/>
      <c r="E664" s="1"/>
      <c r="F664" s="1"/>
    </row>
    <row r="665" ht="15.75" customHeight="1">
      <c r="A665" s="36"/>
      <c r="B665" s="37"/>
      <c r="C665" s="37"/>
      <c r="D665" s="37"/>
      <c r="E665" s="1"/>
      <c r="F665" s="1"/>
    </row>
    <row r="666" ht="15.75" customHeight="1">
      <c r="A666" s="36"/>
      <c r="B666" s="37"/>
      <c r="C666" s="37"/>
      <c r="D666" s="37"/>
      <c r="E666" s="1"/>
      <c r="F666" s="1"/>
    </row>
    <row r="667" ht="15.75" customHeight="1">
      <c r="A667" s="36"/>
      <c r="B667" s="37"/>
      <c r="C667" s="37"/>
      <c r="D667" s="37"/>
      <c r="E667" s="1"/>
      <c r="F667" s="1"/>
    </row>
    <row r="668" ht="15.75" customHeight="1">
      <c r="A668" s="36"/>
      <c r="B668" s="37"/>
      <c r="C668" s="37"/>
      <c r="D668" s="37"/>
      <c r="E668" s="1"/>
      <c r="F668" s="1"/>
    </row>
    <row r="669" ht="15.75" customHeight="1">
      <c r="A669" s="36"/>
      <c r="B669" s="37"/>
      <c r="C669" s="37"/>
      <c r="D669" s="37"/>
      <c r="E669" s="1"/>
      <c r="F669" s="1"/>
    </row>
    <row r="670" ht="15.75" customHeight="1">
      <c r="A670" s="36"/>
      <c r="B670" s="37"/>
      <c r="C670" s="37"/>
      <c r="D670" s="37"/>
      <c r="E670" s="1"/>
      <c r="F670" s="1"/>
    </row>
    <row r="671" ht="15.75" customHeight="1">
      <c r="A671" s="36"/>
      <c r="B671" s="37"/>
      <c r="C671" s="37"/>
      <c r="D671" s="37"/>
      <c r="E671" s="1"/>
      <c r="F671" s="1"/>
    </row>
    <row r="672" ht="15.75" customHeight="1">
      <c r="A672" s="36"/>
      <c r="B672" s="37"/>
      <c r="C672" s="37"/>
      <c r="D672" s="37"/>
      <c r="E672" s="1"/>
      <c r="F672" s="1"/>
    </row>
    <row r="673" ht="15.75" customHeight="1">
      <c r="A673" s="36"/>
      <c r="B673" s="37"/>
      <c r="C673" s="37"/>
      <c r="D673" s="37"/>
      <c r="E673" s="1"/>
      <c r="F673" s="1"/>
    </row>
    <row r="674" ht="15.75" customHeight="1">
      <c r="A674" s="36"/>
      <c r="B674" s="37"/>
      <c r="C674" s="37"/>
      <c r="D674" s="37"/>
      <c r="E674" s="1"/>
      <c r="F674" s="1"/>
    </row>
    <row r="675" ht="15.75" customHeight="1">
      <c r="A675" s="36"/>
      <c r="B675" s="37"/>
      <c r="C675" s="37"/>
      <c r="D675" s="37"/>
      <c r="E675" s="1"/>
      <c r="F675" s="1"/>
    </row>
    <row r="676" ht="15.75" customHeight="1">
      <c r="A676" s="36"/>
      <c r="B676" s="37"/>
      <c r="C676" s="37"/>
      <c r="D676" s="37"/>
      <c r="E676" s="1"/>
      <c r="F676" s="1"/>
    </row>
    <row r="677" ht="15.75" customHeight="1">
      <c r="A677" s="36"/>
      <c r="B677" s="37"/>
      <c r="C677" s="37"/>
      <c r="D677" s="37"/>
      <c r="E677" s="1"/>
      <c r="F677" s="1"/>
    </row>
    <row r="678" ht="15.75" customHeight="1">
      <c r="A678" s="36"/>
      <c r="B678" s="37"/>
      <c r="C678" s="37"/>
      <c r="D678" s="37"/>
      <c r="E678" s="1"/>
      <c r="F678" s="1"/>
    </row>
    <row r="679" ht="15.75" customHeight="1">
      <c r="A679" s="36"/>
      <c r="B679" s="37"/>
      <c r="C679" s="37"/>
      <c r="D679" s="37"/>
      <c r="E679" s="1"/>
      <c r="F679" s="1"/>
    </row>
    <row r="680" ht="15.75" customHeight="1">
      <c r="A680" s="36"/>
      <c r="B680" s="37"/>
      <c r="C680" s="37"/>
      <c r="D680" s="37"/>
      <c r="E680" s="1"/>
      <c r="F680" s="1"/>
    </row>
    <row r="681" ht="15.75" customHeight="1">
      <c r="A681" s="36"/>
      <c r="B681" s="37"/>
      <c r="C681" s="37"/>
      <c r="D681" s="37"/>
      <c r="E681" s="1"/>
      <c r="F681" s="1"/>
    </row>
    <row r="682" ht="15.75" customHeight="1">
      <c r="A682" s="36"/>
      <c r="B682" s="37"/>
      <c r="C682" s="37"/>
      <c r="D682" s="37"/>
      <c r="E682" s="1"/>
      <c r="F682" s="1"/>
    </row>
    <row r="683" ht="15.75" customHeight="1">
      <c r="A683" s="36"/>
      <c r="B683" s="37"/>
      <c r="C683" s="37"/>
      <c r="D683" s="37"/>
      <c r="E683" s="1"/>
      <c r="F683" s="1"/>
    </row>
    <row r="684" ht="15.75" customHeight="1">
      <c r="A684" s="36"/>
      <c r="B684" s="37"/>
      <c r="C684" s="37"/>
      <c r="D684" s="37"/>
      <c r="E684" s="1"/>
      <c r="F684" s="1"/>
    </row>
    <row r="685" ht="15.75" customHeight="1">
      <c r="A685" s="36"/>
      <c r="B685" s="37"/>
      <c r="C685" s="37"/>
      <c r="D685" s="37"/>
      <c r="E685" s="1"/>
      <c r="F685" s="1"/>
    </row>
    <row r="686" ht="15.75" customHeight="1">
      <c r="A686" s="36"/>
      <c r="B686" s="37"/>
      <c r="C686" s="37"/>
      <c r="D686" s="37"/>
      <c r="E686" s="1"/>
      <c r="F686" s="1"/>
    </row>
    <row r="687" ht="15.75" customHeight="1">
      <c r="A687" s="36"/>
      <c r="B687" s="37"/>
      <c r="C687" s="37"/>
      <c r="D687" s="37"/>
      <c r="E687" s="1"/>
      <c r="F687" s="1"/>
    </row>
    <row r="688" ht="15.75" customHeight="1">
      <c r="A688" s="36"/>
      <c r="B688" s="37"/>
      <c r="C688" s="37"/>
      <c r="D688" s="37"/>
      <c r="E688" s="1"/>
      <c r="F688" s="1"/>
    </row>
    <row r="689" ht="15.75" customHeight="1">
      <c r="A689" s="36"/>
      <c r="B689" s="37"/>
      <c r="C689" s="37"/>
      <c r="D689" s="37"/>
      <c r="E689" s="1"/>
      <c r="F689" s="1"/>
    </row>
    <row r="690" ht="15.75" customHeight="1">
      <c r="A690" s="36"/>
      <c r="B690" s="37"/>
      <c r="C690" s="37"/>
      <c r="D690" s="37"/>
      <c r="E690" s="1"/>
      <c r="F690" s="1"/>
    </row>
    <row r="691" ht="15.75" customHeight="1">
      <c r="A691" s="36"/>
      <c r="B691" s="37"/>
      <c r="C691" s="37"/>
      <c r="D691" s="37"/>
      <c r="E691" s="1"/>
      <c r="F691" s="1"/>
    </row>
    <row r="692" ht="15.75" customHeight="1">
      <c r="A692" s="36"/>
      <c r="B692" s="37"/>
      <c r="C692" s="37"/>
      <c r="D692" s="37"/>
      <c r="E692" s="1"/>
      <c r="F692" s="1"/>
    </row>
    <row r="693" ht="15.75" customHeight="1">
      <c r="A693" s="36"/>
      <c r="B693" s="37"/>
      <c r="C693" s="37"/>
      <c r="D693" s="37"/>
      <c r="E693" s="1"/>
      <c r="F693" s="1"/>
    </row>
    <row r="694" ht="15.75" customHeight="1">
      <c r="A694" s="36"/>
      <c r="B694" s="37"/>
      <c r="C694" s="37"/>
      <c r="D694" s="37"/>
      <c r="E694" s="1"/>
      <c r="F694" s="1"/>
    </row>
    <row r="695" ht="15.75" customHeight="1">
      <c r="A695" s="36"/>
      <c r="B695" s="37"/>
      <c r="C695" s="37"/>
      <c r="D695" s="37"/>
      <c r="E695" s="1"/>
      <c r="F695" s="1"/>
    </row>
    <row r="696" ht="15.75" customHeight="1">
      <c r="A696" s="36"/>
      <c r="B696" s="37"/>
      <c r="C696" s="37"/>
      <c r="D696" s="37"/>
      <c r="E696" s="1"/>
      <c r="F696" s="1"/>
    </row>
    <row r="697" ht="15.75" customHeight="1">
      <c r="A697" s="36"/>
      <c r="B697" s="37"/>
      <c r="C697" s="37"/>
      <c r="D697" s="37"/>
      <c r="E697" s="1"/>
      <c r="F697" s="1"/>
    </row>
    <row r="698" ht="15.75" customHeight="1">
      <c r="A698" s="36"/>
      <c r="B698" s="37"/>
      <c r="C698" s="37"/>
      <c r="D698" s="37"/>
      <c r="E698" s="1"/>
      <c r="F698" s="1"/>
    </row>
    <row r="699" ht="15.75" customHeight="1">
      <c r="A699" s="36"/>
      <c r="B699" s="37"/>
      <c r="C699" s="37"/>
      <c r="D699" s="37"/>
      <c r="E699" s="1"/>
      <c r="F699" s="1"/>
    </row>
    <row r="700" ht="15.75" customHeight="1">
      <c r="A700" s="36"/>
      <c r="B700" s="37"/>
      <c r="C700" s="37"/>
      <c r="D700" s="37"/>
      <c r="E700" s="1"/>
      <c r="F700" s="1"/>
    </row>
    <row r="701" ht="15.75" customHeight="1">
      <c r="A701" s="36"/>
      <c r="B701" s="37"/>
      <c r="C701" s="37"/>
      <c r="D701" s="37"/>
      <c r="E701" s="1"/>
      <c r="F701" s="1"/>
    </row>
    <row r="702" ht="15.75" customHeight="1">
      <c r="A702" s="36"/>
      <c r="B702" s="37"/>
      <c r="C702" s="37"/>
      <c r="D702" s="37"/>
      <c r="E702" s="1"/>
      <c r="F702" s="1"/>
    </row>
    <row r="703" ht="15.75" customHeight="1">
      <c r="A703" s="36"/>
      <c r="B703" s="37"/>
      <c r="C703" s="37"/>
      <c r="D703" s="37"/>
      <c r="E703" s="1"/>
      <c r="F703" s="1"/>
    </row>
    <row r="704" ht="15.75" customHeight="1">
      <c r="A704" s="36"/>
      <c r="B704" s="37"/>
      <c r="C704" s="37"/>
      <c r="D704" s="37"/>
      <c r="E704" s="1"/>
      <c r="F704" s="1"/>
    </row>
    <row r="705" ht="15.75" customHeight="1">
      <c r="A705" s="36"/>
      <c r="B705" s="37"/>
      <c r="C705" s="37"/>
      <c r="D705" s="37"/>
      <c r="E705" s="1"/>
      <c r="F705" s="1"/>
    </row>
    <row r="706" ht="15.75" customHeight="1">
      <c r="A706" s="36"/>
      <c r="B706" s="37"/>
      <c r="C706" s="37"/>
      <c r="D706" s="37"/>
      <c r="E706" s="1"/>
      <c r="F706" s="1"/>
    </row>
    <row r="707" ht="15.75" customHeight="1">
      <c r="A707" s="36"/>
      <c r="B707" s="37"/>
      <c r="C707" s="37"/>
      <c r="D707" s="37"/>
      <c r="E707" s="1"/>
      <c r="F707" s="1"/>
    </row>
    <row r="708" ht="15.75" customHeight="1">
      <c r="A708" s="36"/>
      <c r="B708" s="37"/>
      <c r="C708" s="37"/>
      <c r="D708" s="37"/>
      <c r="E708" s="1"/>
      <c r="F708" s="1"/>
    </row>
    <row r="709" ht="15.75" customHeight="1">
      <c r="A709" s="36"/>
      <c r="B709" s="37"/>
      <c r="C709" s="37"/>
      <c r="D709" s="37"/>
      <c r="E709" s="1"/>
      <c r="F709" s="1"/>
    </row>
    <row r="710" ht="15.75" customHeight="1">
      <c r="A710" s="36"/>
      <c r="B710" s="37"/>
      <c r="C710" s="37"/>
      <c r="D710" s="37"/>
      <c r="E710" s="1"/>
      <c r="F710" s="1"/>
    </row>
    <row r="711" ht="15.75" customHeight="1">
      <c r="A711" s="36"/>
      <c r="B711" s="37"/>
      <c r="C711" s="37"/>
      <c r="D711" s="37"/>
      <c r="E711" s="1"/>
      <c r="F711" s="1"/>
    </row>
    <row r="712" ht="15.75" customHeight="1">
      <c r="A712" s="36"/>
      <c r="B712" s="37"/>
      <c r="C712" s="37"/>
      <c r="D712" s="37"/>
      <c r="E712" s="1"/>
      <c r="F712" s="1"/>
    </row>
    <row r="713" ht="15.75" customHeight="1">
      <c r="A713" s="36"/>
      <c r="B713" s="37"/>
      <c r="C713" s="37"/>
      <c r="D713" s="37"/>
      <c r="E713" s="1"/>
      <c r="F713" s="1"/>
    </row>
    <row r="714" ht="15.75" customHeight="1">
      <c r="A714" s="36"/>
      <c r="B714" s="37"/>
      <c r="C714" s="37"/>
      <c r="D714" s="37"/>
      <c r="E714" s="1"/>
      <c r="F714" s="1"/>
    </row>
    <row r="715" ht="15.75" customHeight="1">
      <c r="A715" s="36"/>
      <c r="B715" s="37"/>
      <c r="C715" s="37"/>
      <c r="D715" s="37"/>
      <c r="E715" s="1"/>
      <c r="F715" s="1"/>
    </row>
    <row r="716" ht="15.75" customHeight="1">
      <c r="A716" s="36"/>
      <c r="B716" s="37"/>
      <c r="C716" s="37"/>
      <c r="D716" s="37"/>
      <c r="E716" s="1"/>
      <c r="F716" s="1"/>
    </row>
    <row r="717" ht="15.75" customHeight="1">
      <c r="A717" s="36"/>
      <c r="B717" s="37"/>
      <c r="C717" s="37"/>
      <c r="D717" s="37"/>
      <c r="E717" s="1"/>
      <c r="F717" s="1"/>
    </row>
    <row r="718" ht="15.75" customHeight="1">
      <c r="A718" s="36"/>
      <c r="B718" s="37"/>
      <c r="C718" s="37"/>
      <c r="D718" s="37"/>
      <c r="E718" s="1"/>
      <c r="F718" s="1"/>
    </row>
    <row r="719" ht="15.75" customHeight="1">
      <c r="A719" s="36"/>
      <c r="B719" s="37"/>
      <c r="C719" s="37"/>
      <c r="D719" s="37"/>
      <c r="E719" s="1"/>
      <c r="F719" s="1"/>
    </row>
    <row r="720" ht="15.75" customHeight="1">
      <c r="A720" s="36"/>
      <c r="B720" s="37"/>
      <c r="C720" s="37"/>
      <c r="D720" s="37"/>
      <c r="E720" s="1"/>
      <c r="F720" s="1"/>
    </row>
    <row r="721" ht="15.75" customHeight="1">
      <c r="A721" s="36"/>
      <c r="B721" s="37"/>
      <c r="C721" s="37"/>
      <c r="D721" s="37"/>
      <c r="E721" s="1"/>
      <c r="F721" s="1"/>
    </row>
    <row r="722" ht="15.75" customHeight="1">
      <c r="A722" s="36"/>
      <c r="B722" s="37"/>
      <c r="C722" s="37"/>
      <c r="D722" s="37"/>
      <c r="E722" s="1"/>
      <c r="F722" s="1"/>
    </row>
    <row r="723" ht="15.75" customHeight="1">
      <c r="A723" s="36"/>
      <c r="B723" s="37"/>
      <c r="C723" s="37"/>
      <c r="D723" s="37"/>
      <c r="E723" s="1"/>
      <c r="F723" s="1"/>
    </row>
    <row r="724" ht="15.75" customHeight="1">
      <c r="A724" s="36"/>
      <c r="B724" s="37"/>
      <c r="C724" s="37"/>
      <c r="D724" s="37"/>
      <c r="E724" s="1"/>
      <c r="F724" s="1"/>
    </row>
    <row r="725" ht="15.75" customHeight="1">
      <c r="A725" s="36"/>
      <c r="B725" s="37"/>
      <c r="C725" s="37"/>
      <c r="D725" s="37"/>
      <c r="E725" s="1"/>
      <c r="F725" s="1"/>
    </row>
    <row r="726" ht="15.75" customHeight="1">
      <c r="A726" s="36"/>
      <c r="B726" s="37"/>
      <c r="C726" s="37"/>
      <c r="D726" s="37"/>
      <c r="E726" s="1"/>
      <c r="F726" s="1"/>
    </row>
    <row r="727" ht="15.75" customHeight="1">
      <c r="A727" s="36"/>
      <c r="B727" s="37"/>
      <c r="C727" s="37"/>
      <c r="D727" s="37"/>
      <c r="E727" s="1"/>
      <c r="F727" s="1"/>
    </row>
    <row r="728" ht="15.75" customHeight="1">
      <c r="A728" s="36"/>
      <c r="B728" s="37"/>
      <c r="C728" s="37"/>
      <c r="D728" s="37"/>
      <c r="E728" s="1"/>
      <c r="F728" s="1"/>
    </row>
    <row r="729" ht="15.75" customHeight="1">
      <c r="A729" s="36"/>
      <c r="B729" s="37"/>
      <c r="C729" s="37"/>
      <c r="D729" s="37"/>
      <c r="E729" s="1"/>
      <c r="F729" s="1"/>
    </row>
    <row r="730" ht="15.75" customHeight="1">
      <c r="A730" s="36"/>
      <c r="B730" s="37"/>
      <c r="C730" s="37"/>
      <c r="D730" s="37"/>
      <c r="E730" s="1"/>
      <c r="F730" s="1"/>
    </row>
    <row r="731" ht="15.75" customHeight="1">
      <c r="A731" s="36"/>
      <c r="B731" s="37"/>
      <c r="C731" s="37"/>
      <c r="D731" s="37"/>
      <c r="E731" s="1"/>
      <c r="F731" s="1"/>
    </row>
    <row r="732" ht="15.75" customHeight="1">
      <c r="A732" s="36"/>
      <c r="B732" s="37"/>
      <c r="C732" s="37"/>
      <c r="D732" s="37"/>
      <c r="E732" s="1"/>
      <c r="F732" s="1"/>
    </row>
    <row r="733" ht="15.75" customHeight="1">
      <c r="A733" s="36"/>
      <c r="B733" s="37"/>
      <c r="C733" s="37"/>
      <c r="D733" s="37"/>
      <c r="E733" s="1"/>
      <c r="F733" s="1"/>
    </row>
    <row r="734" ht="15.75" customHeight="1">
      <c r="A734" s="36"/>
      <c r="B734" s="37"/>
      <c r="C734" s="37"/>
      <c r="D734" s="37"/>
      <c r="E734" s="1"/>
      <c r="F734" s="1"/>
    </row>
    <row r="735" ht="15.75" customHeight="1">
      <c r="A735" s="36"/>
      <c r="B735" s="37"/>
      <c r="C735" s="37"/>
      <c r="D735" s="37"/>
      <c r="E735" s="1"/>
      <c r="F735" s="1"/>
    </row>
    <row r="736" ht="15.75" customHeight="1">
      <c r="A736" s="36"/>
      <c r="B736" s="37"/>
      <c r="C736" s="37"/>
      <c r="D736" s="37"/>
      <c r="E736" s="1"/>
      <c r="F736" s="1"/>
    </row>
    <row r="737" ht="15.75" customHeight="1">
      <c r="A737" s="36"/>
      <c r="B737" s="37"/>
      <c r="C737" s="37"/>
      <c r="D737" s="37"/>
      <c r="E737" s="1"/>
      <c r="F737" s="1"/>
    </row>
    <row r="738" ht="15.75" customHeight="1">
      <c r="A738" s="36"/>
      <c r="B738" s="37"/>
      <c r="C738" s="37"/>
      <c r="D738" s="37"/>
      <c r="E738" s="1"/>
      <c r="F738" s="1"/>
    </row>
    <row r="739" ht="15.75" customHeight="1">
      <c r="A739" s="36"/>
      <c r="B739" s="37"/>
      <c r="C739" s="37"/>
      <c r="D739" s="37"/>
      <c r="E739" s="1"/>
      <c r="F739" s="1"/>
    </row>
    <row r="740" ht="15.75" customHeight="1">
      <c r="A740" s="36"/>
      <c r="B740" s="37"/>
      <c r="C740" s="37"/>
      <c r="D740" s="37"/>
      <c r="E740" s="1"/>
      <c r="F740" s="1"/>
    </row>
    <row r="741" ht="15.75" customHeight="1">
      <c r="A741" s="36"/>
      <c r="B741" s="37"/>
      <c r="C741" s="37"/>
      <c r="D741" s="37"/>
      <c r="E741" s="1"/>
      <c r="F741" s="1"/>
    </row>
    <row r="742" ht="15.75" customHeight="1">
      <c r="A742" s="36"/>
      <c r="B742" s="37"/>
      <c r="C742" s="37"/>
      <c r="D742" s="37"/>
      <c r="E742" s="1"/>
      <c r="F742" s="1"/>
    </row>
    <row r="743" ht="15.75" customHeight="1">
      <c r="A743" s="36"/>
      <c r="B743" s="37"/>
      <c r="C743" s="37"/>
      <c r="D743" s="37"/>
      <c r="E743" s="1"/>
      <c r="F743" s="1"/>
    </row>
    <row r="744" ht="15.75" customHeight="1">
      <c r="A744" s="36"/>
      <c r="B744" s="37"/>
      <c r="C744" s="37"/>
      <c r="D744" s="37"/>
      <c r="E744" s="1"/>
      <c r="F744" s="1"/>
    </row>
    <row r="745" ht="15.75" customHeight="1">
      <c r="A745" s="36"/>
      <c r="B745" s="37"/>
      <c r="C745" s="37"/>
      <c r="D745" s="37"/>
      <c r="E745" s="1"/>
      <c r="F745" s="1"/>
    </row>
    <row r="746" ht="15.75" customHeight="1">
      <c r="A746" s="36"/>
      <c r="B746" s="37"/>
      <c r="C746" s="37"/>
      <c r="D746" s="37"/>
      <c r="E746" s="1"/>
      <c r="F746" s="1"/>
    </row>
    <row r="747" ht="15.75" customHeight="1">
      <c r="A747" s="36"/>
      <c r="B747" s="37"/>
      <c r="C747" s="37"/>
      <c r="D747" s="37"/>
      <c r="E747" s="1"/>
      <c r="F747" s="1"/>
    </row>
    <row r="748" ht="15.75" customHeight="1">
      <c r="A748" s="36"/>
      <c r="B748" s="37"/>
      <c r="C748" s="37"/>
      <c r="D748" s="37"/>
      <c r="E748" s="1"/>
      <c r="F748" s="1"/>
    </row>
    <row r="749" ht="15.75" customHeight="1">
      <c r="A749" s="36"/>
      <c r="B749" s="37"/>
      <c r="C749" s="37"/>
      <c r="D749" s="37"/>
      <c r="E749" s="1"/>
      <c r="F749" s="1"/>
    </row>
    <row r="750" ht="15.75" customHeight="1">
      <c r="A750" s="36"/>
      <c r="B750" s="37"/>
      <c r="C750" s="37"/>
      <c r="D750" s="37"/>
      <c r="E750" s="1"/>
      <c r="F750" s="1"/>
    </row>
    <row r="751" ht="15.75" customHeight="1">
      <c r="A751" s="36"/>
      <c r="B751" s="37"/>
      <c r="C751" s="37"/>
      <c r="D751" s="37"/>
      <c r="E751" s="1"/>
      <c r="F751" s="1"/>
    </row>
    <row r="752" ht="15.75" customHeight="1">
      <c r="A752" s="36"/>
      <c r="B752" s="37"/>
      <c r="C752" s="37"/>
      <c r="D752" s="37"/>
      <c r="E752" s="1"/>
      <c r="F752" s="1"/>
    </row>
    <row r="753" ht="15.75" customHeight="1">
      <c r="A753" s="36"/>
      <c r="B753" s="37"/>
      <c r="C753" s="37"/>
      <c r="D753" s="37"/>
      <c r="E753" s="1"/>
      <c r="F753" s="1"/>
    </row>
    <row r="754" ht="15.75" customHeight="1">
      <c r="A754" s="36"/>
      <c r="B754" s="37"/>
      <c r="C754" s="37"/>
      <c r="D754" s="37"/>
      <c r="E754" s="1"/>
      <c r="F754" s="1"/>
    </row>
    <row r="755" ht="15.75" customHeight="1">
      <c r="A755" s="36"/>
      <c r="B755" s="37"/>
      <c r="C755" s="37"/>
      <c r="D755" s="37"/>
      <c r="E755" s="1"/>
      <c r="F755" s="1"/>
    </row>
    <row r="756" ht="15.75" customHeight="1">
      <c r="A756" s="36"/>
      <c r="B756" s="37"/>
      <c r="C756" s="37"/>
      <c r="D756" s="37"/>
      <c r="E756" s="1"/>
      <c r="F756" s="1"/>
    </row>
    <row r="757" ht="15.75" customHeight="1">
      <c r="A757" s="36"/>
      <c r="B757" s="37"/>
      <c r="C757" s="37"/>
      <c r="D757" s="37"/>
      <c r="E757" s="1"/>
      <c r="F757" s="1"/>
    </row>
    <row r="758" ht="15.75" customHeight="1">
      <c r="A758" s="36"/>
      <c r="B758" s="37"/>
      <c r="C758" s="37"/>
      <c r="D758" s="37"/>
      <c r="E758" s="1"/>
      <c r="F758" s="1"/>
    </row>
    <row r="759" ht="15.75" customHeight="1">
      <c r="A759" s="36"/>
      <c r="B759" s="37"/>
      <c r="C759" s="37"/>
      <c r="D759" s="37"/>
      <c r="E759" s="1"/>
      <c r="F759" s="1"/>
    </row>
    <row r="760" ht="15.75" customHeight="1">
      <c r="A760" s="36"/>
      <c r="B760" s="37"/>
      <c r="C760" s="37"/>
      <c r="D760" s="37"/>
      <c r="E760" s="1"/>
      <c r="F760" s="1"/>
    </row>
    <row r="761" ht="15.75" customHeight="1">
      <c r="A761" s="36"/>
      <c r="B761" s="37"/>
      <c r="C761" s="37"/>
      <c r="D761" s="37"/>
      <c r="E761" s="1"/>
      <c r="F761" s="1"/>
    </row>
    <row r="762" ht="15.75" customHeight="1">
      <c r="A762" s="36"/>
      <c r="B762" s="37"/>
      <c r="C762" s="37"/>
      <c r="D762" s="37"/>
      <c r="E762" s="1"/>
      <c r="F762" s="1"/>
    </row>
    <row r="763" ht="15.75" customHeight="1">
      <c r="A763" s="36"/>
      <c r="B763" s="37"/>
      <c r="C763" s="37"/>
      <c r="D763" s="37"/>
      <c r="E763" s="1"/>
      <c r="F763" s="1"/>
    </row>
    <row r="764" ht="15.75" customHeight="1">
      <c r="A764" s="36"/>
      <c r="B764" s="37"/>
      <c r="C764" s="37"/>
      <c r="D764" s="37"/>
      <c r="E764" s="1"/>
      <c r="F764" s="1"/>
    </row>
    <row r="765" ht="15.75" customHeight="1">
      <c r="A765" s="36"/>
      <c r="B765" s="37"/>
      <c r="C765" s="37"/>
      <c r="D765" s="37"/>
      <c r="E765" s="1"/>
      <c r="F765" s="1"/>
    </row>
    <row r="766" ht="15.75" customHeight="1">
      <c r="A766" s="36"/>
      <c r="B766" s="37"/>
      <c r="C766" s="37"/>
      <c r="D766" s="37"/>
      <c r="E766" s="1"/>
      <c r="F766" s="1"/>
    </row>
    <row r="767" ht="15.75" customHeight="1">
      <c r="A767" s="36"/>
      <c r="B767" s="37"/>
      <c r="C767" s="37"/>
      <c r="D767" s="37"/>
      <c r="E767" s="1"/>
      <c r="F767" s="1"/>
    </row>
    <row r="768" ht="15.75" customHeight="1">
      <c r="A768" s="36"/>
      <c r="B768" s="37"/>
      <c r="C768" s="37"/>
      <c r="D768" s="37"/>
      <c r="E768" s="1"/>
      <c r="F768" s="1"/>
    </row>
    <row r="769" ht="15.75" customHeight="1">
      <c r="A769" s="36"/>
      <c r="B769" s="37"/>
      <c r="C769" s="37"/>
      <c r="D769" s="37"/>
      <c r="E769" s="1"/>
      <c r="F769" s="1"/>
    </row>
    <row r="770" ht="15.75" customHeight="1">
      <c r="A770" s="36"/>
      <c r="B770" s="37"/>
      <c r="C770" s="37"/>
      <c r="D770" s="37"/>
      <c r="E770" s="1"/>
      <c r="F770" s="1"/>
    </row>
    <row r="771" ht="15.75" customHeight="1">
      <c r="A771" s="36"/>
      <c r="B771" s="37"/>
      <c r="C771" s="37"/>
      <c r="D771" s="37"/>
      <c r="E771" s="1"/>
      <c r="F771" s="1"/>
    </row>
    <row r="772" ht="15.75" customHeight="1">
      <c r="A772" s="36"/>
      <c r="B772" s="37"/>
      <c r="C772" s="37"/>
      <c r="D772" s="37"/>
      <c r="E772" s="1"/>
      <c r="F772" s="1"/>
    </row>
    <row r="773" ht="15.75" customHeight="1">
      <c r="A773" s="36"/>
      <c r="B773" s="37"/>
      <c r="C773" s="37"/>
      <c r="D773" s="37"/>
      <c r="E773" s="1"/>
      <c r="F773" s="1"/>
    </row>
    <row r="774" ht="15.75" customHeight="1">
      <c r="A774" s="36"/>
      <c r="B774" s="37"/>
      <c r="C774" s="37"/>
      <c r="D774" s="37"/>
      <c r="E774" s="1"/>
      <c r="F774" s="1"/>
    </row>
    <row r="775" ht="15.75" customHeight="1">
      <c r="A775" s="36"/>
      <c r="B775" s="37"/>
      <c r="C775" s="37"/>
      <c r="D775" s="37"/>
      <c r="E775" s="1"/>
      <c r="F775" s="1"/>
    </row>
    <row r="776" ht="15.75" customHeight="1">
      <c r="A776" s="36"/>
      <c r="B776" s="37"/>
      <c r="C776" s="37"/>
      <c r="D776" s="37"/>
      <c r="E776" s="1"/>
      <c r="F776" s="1"/>
    </row>
    <row r="777" ht="15.75" customHeight="1">
      <c r="A777" s="36"/>
      <c r="B777" s="37"/>
      <c r="C777" s="37"/>
      <c r="D777" s="37"/>
      <c r="E777" s="1"/>
      <c r="F777" s="1"/>
    </row>
    <row r="778" ht="15.75" customHeight="1">
      <c r="A778" s="36"/>
      <c r="B778" s="37"/>
      <c r="C778" s="37"/>
      <c r="D778" s="37"/>
      <c r="E778" s="1"/>
      <c r="F778" s="1"/>
    </row>
    <row r="779" ht="15.75" customHeight="1">
      <c r="A779" s="36"/>
      <c r="B779" s="37"/>
      <c r="C779" s="37"/>
      <c r="D779" s="37"/>
      <c r="E779" s="1"/>
      <c r="F779" s="1"/>
    </row>
    <row r="780" ht="15.75" customHeight="1">
      <c r="A780" s="36"/>
      <c r="B780" s="37"/>
      <c r="C780" s="37"/>
      <c r="D780" s="37"/>
      <c r="E780" s="1"/>
      <c r="F780" s="1"/>
    </row>
    <row r="781" ht="15.75" customHeight="1">
      <c r="A781" s="36"/>
      <c r="B781" s="37"/>
      <c r="C781" s="37"/>
      <c r="D781" s="37"/>
      <c r="E781" s="1"/>
      <c r="F781" s="1"/>
    </row>
    <row r="782" ht="15.75" customHeight="1">
      <c r="A782" s="36"/>
      <c r="B782" s="37"/>
      <c r="C782" s="37"/>
      <c r="D782" s="37"/>
      <c r="E782" s="1"/>
      <c r="F782" s="1"/>
    </row>
    <row r="783" ht="15.75" customHeight="1">
      <c r="A783" s="36"/>
      <c r="B783" s="37"/>
      <c r="C783" s="37"/>
      <c r="D783" s="37"/>
      <c r="E783" s="1"/>
      <c r="F783" s="1"/>
    </row>
    <row r="784" ht="15.75" customHeight="1">
      <c r="A784" s="36"/>
      <c r="B784" s="37"/>
      <c r="C784" s="37"/>
      <c r="D784" s="37"/>
      <c r="E784" s="1"/>
      <c r="F784" s="1"/>
    </row>
    <row r="785" ht="15.75" customHeight="1">
      <c r="A785" s="36"/>
      <c r="B785" s="37"/>
      <c r="C785" s="37"/>
      <c r="D785" s="37"/>
      <c r="E785" s="1"/>
      <c r="F785" s="1"/>
    </row>
    <row r="786" ht="15.75" customHeight="1">
      <c r="A786" s="36"/>
      <c r="B786" s="37"/>
      <c r="C786" s="37"/>
      <c r="D786" s="37"/>
      <c r="E786" s="1"/>
      <c r="F786" s="1"/>
    </row>
    <row r="787" ht="15.75" customHeight="1">
      <c r="A787" s="36"/>
      <c r="B787" s="37"/>
      <c r="C787" s="37"/>
      <c r="D787" s="37"/>
      <c r="E787" s="1"/>
      <c r="F787" s="1"/>
    </row>
    <row r="788" ht="15.75" customHeight="1">
      <c r="A788" s="36"/>
      <c r="B788" s="37"/>
      <c r="C788" s="37"/>
      <c r="D788" s="37"/>
      <c r="E788" s="1"/>
      <c r="F788" s="1"/>
    </row>
    <row r="789" ht="15.75" customHeight="1">
      <c r="A789" s="36"/>
      <c r="B789" s="37"/>
      <c r="C789" s="37"/>
      <c r="D789" s="37"/>
      <c r="E789" s="1"/>
      <c r="F789" s="1"/>
    </row>
    <row r="790" ht="15.75" customHeight="1">
      <c r="A790" s="36"/>
      <c r="B790" s="37"/>
      <c r="C790" s="37"/>
      <c r="D790" s="37"/>
      <c r="E790" s="1"/>
      <c r="F790" s="1"/>
    </row>
    <row r="791" ht="15.75" customHeight="1">
      <c r="A791" s="36"/>
      <c r="B791" s="37"/>
      <c r="C791" s="37"/>
      <c r="D791" s="37"/>
      <c r="E791" s="1"/>
      <c r="F791" s="1"/>
    </row>
    <row r="792" ht="15.75" customHeight="1">
      <c r="A792" s="36"/>
      <c r="B792" s="37"/>
      <c r="C792" s="37"/>
      <c r="D792" s="37"/>
      <c r="E792" s="1"/>
      <c r="F792" s="1"/>
    </row>
    <row r="793" ht="15.75" customHeight="1">
      <c r="A793" s="36"/>
      <c r="B793" s="37"/>
      <c r="C793" s="37"/>
      <c r="D793" s="37"/>
      <c r="E793" s="1"/>
      <c r="F793" s="1"/>
    </row>
    <row r="794" ht="15.75" customHeight="1">
      <c r="A794" s="36"/>
      <c r="B794" s="37"/>
      <c r="C794" s="37"/>
      <c r="D794" s="37"/>
      <c r="E794" s="1"/>
      <c r="F794" s="1"/>
    </row>
    <row r="795" ht="15.75" customHeight="1">
      <c r="A795" s="36"/>
      <c r="B795" s="37"/>
      <c r="C795" s="37"/>
      <c r="D795" s="37"/>
      <c r="E795" s="1"/>
      <c r="F795" s="1"/>
    </row>
    <row r="796" ht="15.75" customHeight="1">
      <c r="A796" s="36"/>
      <c r="B796" s="37"/>
      <c r="C796" s="37"/>
      <c r="D796" s="37"/>
      <c r="E796" s="1"/>
      <c r="F796" s="1"/>
    </row>
    <row r="797" ht="15.75" customHeight="1">
      <c r="A797" s="36"/>
      <c r="B797" s="37"/>
      <c r="C797" s="37"/>
      <c r="D797" s="37"/>
      <c r="E797" s="1"/>
      <c r="F797" s="1"/>
    </row>
    <row r="798" ht="15.75" customHeight="1">
      <c r="A798" s="36"/>
      <c r="B798" s="37"/>
      <c r="C798" s="37"/>
      <c r="D798" s="37"/>
      <c r="E798" s="1"/>
      <c r="F798" s="1"/>
    </row>
    <row r="799" ht="15.75" customHeight="1">
      <c r="A799" s="36"/>
      <c r="B799" s="37"/>
      <c r="C799" s="37"/>
      <c r="D799" s="37"/>
      <c r="E799" s="1"/>
      <c r="F799" s="1"/>
    </row>
    <row r="800" ht="15.75" customHeight="1">
      <c r="A800" s="36"/>
      <c r="B800" s="37"/>
      <c r="C800" s="37"/>
      <c r="D800" s="37"/>
      <c r="E800" s="1"/>
      <c r="F800" s="1"/>
    </row>
    <row r="801" ht="15.75" customHeight="1">
      <c r="A801" s="36"/>
      <c r="B801" s="37"/>
      <c r="C801" s="37"/>
      <c r="D801" s="37"/>
      <c r="E801" s="1"/>
      <c r="F801" s="1"/>
    </row>
    <row r="802" ht="15.75" customHeight="1">
      <c r="A802" s="36"/>
      <c r="B802" s="37"/>
      <c r="C802" s="37"/>
      <c r="D802" s="37"/>
      <c r="E802" s="1"/>
      <c r="F802" s="1"/>
    </row>
    <row r="803" ht="15.75" customHeight="1">
      <c r="A803" s="36"/>
      <c r="B803" s="37"/>
      <c r="C803" s="37"/>
      <c r="D803" s="37"/>
      <c r="E803" s="1"/>
      <c r="F803" s="1"/>
    </row>
    <row r="804" ht="15.75" customHeight="1">
      <c r="A804" s="36"/>
      <c r="B804" s="37"/>
      <c r="C804" s="37"/>
      <c r="D804" s="37"/>
      <c r="E804" s="1"/>
      <c r="F804" s="1"/>
    </row>
    <row r="805" ht="15.75" customHeight="1">
      <c r="A805" s="36"/>
      <c r="B805" s="37"/>
      <c r="C805" s="37"/>
      <c r="D805" s="37"/>
      <c r="E805" s="1"/>
      <c r="F805" s="1"/>
    </row>
    <row r="806" ht="15.75" customHeight="1">
      <c r="A806" s="36"/>
      <c r="B806" s="37"/>
      <c r="C806" s="37"/>
      <c r="D806" s="37"/>
      <c r="E806" s="1"/>
      <c r="F806" s="1"/>
    </row>
    <row r="807" ht="15.75" customHeight="1">
      <c r="A807" s="36"/>
      <c r="B807" s="37"/>
      <c r="C807" s="37"/>
      <c r="D807" s="37"/>
      <c r="E807" s="1"/>
      <c r="F807" s="1"/>
    </row>
    <row r="808" ht="15.75" customHeight="1">
      <c r="A808" s="36"/>
      <c r="B808" s="37"/>
      <c r="C808" s="37"/>
      <c r="D808" s="37"/>
      <c r="E808" s="1"/>
      <c r="F808" s="1"/>
    </row>
    <row r="809" ht="15.75" customHeight="1">
      <c r="A809" s="36"/>
      <c r="B809" s="37"/>
      <c r="C809" s="37"/>
      <c r="D809" s="37"/>
      <c r="E809" s="1"/>
      <c r="F809" s="1"/>
    </row>
    <row r="810" ht="15.75" customHeight="1">
      <c r="A810" s="36"/>
      <c r="B810" s="37"/>
      <c r="C810" s="37"/>
      <c r="D810" s="37"/>
      <c r="E810" s="1"/>
      <c r="F810" s="1"/>
    </row>
    <row r="811" ht="15.75" customHeight="1">
      <c r="A811" s="36"/>
      <c r="B811" s="37"/>
      <c r="C811" s="37"/>
      <c r="D811" s="37"/>
      <c r="E811" s="1"/>
      <c r="F811" s="1"/>
    </row>
    <row r="812" ht="15.75" customHeight="1">
      <c r="A812" s="36"/>
      <c r="B812" s="37"/>
      <c r="C812" s="37"/>
      <c r="D812" s="37"/>
      <c r="E812" s="1"/>
      <c r="F812" s="1"/>
    </row>
    <row r="813" ht="15.75" customHeight="1">
      <c r="A813" s="36"/>
      <c r="B813" s="37"/>
      <c r="C813" s="37"/>
      <c r="D813" s="37"/>
      <c r="E813" s="1"/>
      <c r="F813" s="1"/>
    </row>
    <row r="814" ht="15.75" customHeight="1">
      <c r="A814" s="36"/>
      <c r="B814" s="37"/>
      <c r="C814" s="37"/>
      <c r="D814" s="37"/>
      <c r="E814" s="1"/>
      <c r="F814" s="1"/>
    </row>
    <row r="815" ht="15.75" customHeight="1">
      <c r="A815" s="36"/>
      <c r="B815" s="37"/>
      <c r="C815" s="37"/>
      <c r="D815" s="37"/>
      <c r="E815" s="1"/>
      <c r="F815" s="1"/>
    </row>
    <row r="816" ht="15.75" customHeight="1">
      <c r="A816" s="36"/>
      <c r="B816" s="37"/>
      <c r="C816" s="37"/>
      <c r="D816" s="37"/>
      <c r="E816" s="1"/>
      <c r="F816" s="1"/>
    </row>
    <row r="817" ht="15.75" customHeight="1">
      <c r="A817" s="36"/>
      <c r="B817" s="37"/>
      <c r="C817" s="37"/>
      <c r="D817" s="37"/>
      <c r="E817" s="1"/>
      <c r="F817" s="1"/>
    </row>
    <row r="818" ht="15.75" customHeight="1">
      <c r="A818" s="36"/>
      <c r="B818" s="37"/>
      <c r="C818" s="37"/>
      <c r="D818" s="37"/>
      <c r="E818" s="1"/>
      <c r="F818" s="1"/>
    </row>
    <row r="819" ht="15.75" customHeight="1">
      <c r="A819" s="36"/>
      <c r="B819" s="37"/>
      <c r="C819" s="37"/>
      <c r="D819" s="37"/>
      <c r="E819" s="1"/>
      <c r="F819" s="1"/>
    </row>
    <row r="820" ht="15.75" customHeight="1">
      <c r="A820" s="36"/>
      <c r="B820" s="37"/>
      <c r="C820" s="37"/>
      <c r="D820" s="37"/>
      <c r="E820" s="1"/>
      <c r="F820" s="1"/>
    </row>
    <row r="821" ht="15.75" customHeight="1">
      <c r="A821" s="36"/>
      <c r="B821" s="37"/>
      <c r="C821" s="37"/>
      <c r="D821" s="37"/>
      <c r="E821" s="1"/>
      <c r="F821" s="1"/>
    </row>
    <row r="822" ht="15.75" customHeight="1">
      <c r="A822" s="36"/>
      <c r="B822" s="37"/>
      <c r="C822" s="37"/>
      <c r="D822" s="37"/>
      <c r="E822" s="1"/>
      <c r="F822" s="1"/>
    </row>
    <row r="823" ht="15.75" customHeight="1">
      <c r="A823" s="36"/>
      <c r="B823" s="37"/>
      <c r="C823" s="37"/>
      <c r="D823" s="37"/>
      <c r="E823" s="1"/>
      <c r="F823" s="1"/>
    </row>
    <row r="824" ht="15.75" customHeight="1">
      <c r="A824" s="36"/>
      <c r="B824" s="37"/>
      <c r="C824" s="37"/>
      <c r="D824" s="37"/>
      <c r="E824" s="1"/>
      <c r="F824" s="1"/>
    </row>
    <row r="825" ht="15.75" customHeight="1">
      <c r="A825" s="36"/>
      <c r="B825" s="37"/>
      <c r="C825" s="37"/>
      <c r="D825" s="37"/>
      <c r="E825" s="1"/>
      <c r="F825" s="1"/>
    </row>
    <row r="826" ht="15.75" customHeight="1">
      <c r="A826" s="36"/>
      <c r="B826" s="37"/>
      <c r="C826" s="37"/>
      <c r="D826" s="37"/>
      <c r="E826" s="1"/>
      <c r="F826" s="1"/>
    </row>
    <row r="827" ht="15.75" customHeight="1">
      <c r="A827" s="36"/>
      <c r="B827" s="37"/>
      <c r="C827" s="37"/>
      <c r="D827" s="37"/>
      <c r="E827" s="1"/>
      <c r="F827" s="1"/>
    </row>
    <row r="828" ht="15.75" customHeight="1">
      <c r="A828" s="36"/>
      <c r="B828" s="37"/>
      <c r="C828" s="37"/>
      <c r="D828" s="37"/>
      <c r="E828" s="1"/>
      <c r="F828" s="1"/>
    </row>
    <row r="829" ht="15.75" customHeight="1">
      <c r="A829" s="36"/>
      <c r="B829" s="37"/>
      <c r="C829" s="37"/>
      <c r="D829" s="37"/>
      <c r="E829" s="1"/>
      <c r="F829" s="1"/>
    </row>
    <row r="830" ht="15.75" customHeight="1">
      <c r="A830" s="36"/>
      <c r="B830" s="37"/>
      <c r="C830" s="37"/>
      <c r="D830" s="37"/>
      <c r="E830" s="1"/>
      <c r="F830" s="1"/>
    </row>
    <row r="831" ht="15.75" customHeight="1">
      <c r="A831" s="36"/>
      <c r="B831" s="37"/>
      <c r="C831" s="37"/>
      <c r="D831" s="37"/>
      <c r="E831" s="1"/>
      <c r="F831" s="1"/>
    </row>
    <row r="832" ht="15.75" customHeight="1">
      <c r="A832" s="36"/>
      <c r="B832" s="37"/>
      <c r="C832" s="37"/>
      <c r="D832" s="37"/>
      <c r="E832" s="1"/>
      <c r="F832" s="1"/>
    </row>
    <row r="833" ht="15.75" customHeight="1">
      <c r="A833" s="36"/>
      <c r="B833" s="37"/>
      <c r="C833" s="37"/>
      <c r="D833" s="37"/>
      <c r="E833" s="1"/>
      <c r="F833" s="1"/>
    </row>
    <row r="834" ht="15.75" customHeight="1">
      <c r="A834" s="36"/>
      <c r="B834" s="37"/>
      <c r="C834" s="37"/>
      <c r="D834" s="37"/>
      <c r="E834" s="1"/>
      <c r="F834" s="1"/>
    </row>
    <row r="835" ht="15.75" customHeight="1">
      <c r="A835" s="36"/>
      <c r="B835" s="37"/>
      <c r="C835" s="37"/>
      <c r="D835" s="37"/>
      <c r="E835" s="1"/>
      <c r="F835" s="1"/>
    </row>
    <row r="836" ht="15.75" customHeight="1">
      <c r="A836" s="36"/>
      <c r="B836" s="37"/>
      <c r="C836" s="37"/>
      <c r="D836" s="37"/>
      <c r="E836" s="1"/>
      <c r="F836" s="1"/>
    </row>
    <row r="837" ht="15.75" customHeight="1">
      <c r="A837" s="36"/>
      <c r="B837" s="37"/>
      <c r="C837" s="37"/>
      <c r="D837" s="37"/>
      <c r="E837" s="1"/>
      <c r="F837" s="1"/>
    </row>
    <row r="838" ht="15.75" customHeight="1">
      <c r="A838" s="36"/>
      <c r="B838" s="37"/>
      <c r="C838" s="37"/>
      <c r="D838" s="37"/>
      <c r="E838" s="1"/>
      <c r="F838" s="1"/>
    </row>
    <row r="839" ht="15.75" customHeight="1">
      <c r="A839" s="36"/>
      <c r="B839" s="37"/>
      <c r="C839" s="37"/>
      <c r="D839" s="37"/>
      <c r="E839" s="1"/>
      <c r="F839" s="1"/>
    </row>
    <row r="840" ht="15.75" customHeight="1">
      <c r="A840" s="36"/>
      <c r="B840" s="37"/>
      <c r="C840" s="37"/>
      <c r="D840" s="37"/>
      <c r="E840" s="1"/>
      <c r="F840" s="1"/>
    </row>
    <row r="841" ht="15.75" customHeight="1">
      <c r="A841" s="36"/>
      <c r="B841" s="37"/>
      <c r="C841" s="37"/>
      <c r="D841" s="37"/>
      <c r="E841" s="1"/>
      <c r="F841" s="1"/>
    </row>
    <row r="842" ht="15.75" customHeight="1">
      <c r="A842" s="36"/>
      <c r="B842" s="37"/>
      <c r="C842" s="37"/>
      <c r="D842" s="37"/>
      <c r="E842" s="1"/>
      <c r="F842" s="1"/>
    </row>
    <row r="843" ht="15.75" customHeight="1">
      <c r="A843" s="36"/>
      <c r="B843" s="37"/>
      <c r="C843" s="37"/>
      <c r="D843" s="37"/>
      <c r="E843" s="1"/>
      <c r="F843" s="1"/>
    </row>
    <row r="844" ht="15.75" customHeight="1">
      <c r="A844" s="36"/>
      <c r="B844" s="37"/>
      <c r="C844" s="37"/>
      <c r="D844" s="37"/>
      <c r="E844" s="1"/>
      <c r="F844" s="1"/>
    </row>
    <row r="845" ht="15.75" customHeight="1">
      <c r="A845" s="36"/>
      <c r="B845" s="37"/>
      <c r="C845" s="37"/>
      <c r="D845" s="37"/>
      <c r="E845" s="1"/>
      <c r="F845" s="1"/>
    </row>
    <row r="846" ht="15.75" customHeight="1">
      <c r="A846" s="36"/>
      <c r="B846" s="37"/>
      <c r="C846" s="37"/>
      <c r="D846" s="37"/>
      <c r="E846" s="1"/>
      <c r="F846" s="1"/>
    </row>
    <row r="847" ht="15.75" customHeight="1">
      <c r="A847" s="36"/>
      <c r="B847" s="37"/>
      <c r="C847" s="37"/>
      <c r="D847" s="37"/>
      <c r="E847" s="1"/>
      <c r="F847" s="1"/>
    </row>
    <row r="848" ht="15.75" customHeight="1">
      <c r="A848" s="36"/>
      <c r="B848" s="37"/>
      <c r="C848" s="37"/>
      <c r="D848" s="37"/>
      <c r="E848" s="1"/>
      <c r="F848" s="1"/>
    </row>
    <row r="849" ht="15.75" customHeight="1">
      <c r="A849" s="36"/>
      <c r="B849" s="37"/>
      <c r="C849" s="37"/>
      <c r="D849" s="37"/>
      <c r="E849" s="1"/>
      <c r="F849" s="1"/>
    </row>
    <row r="850" ht="15.75" customHeight="1">
      <c r="A850" s="36"/>
      <c r="B850" s="37"/>
      <c r="C850" s="37"/>
      <c r="D850" s="37"/>
      <c r="E850" s="1"/>
      <c r="F850" s="1"/>
    </row>
    <row r="851" ht="15.75" customHeight="1">
      <c r="A851" s="36"/>
      <c r="B851" s="37"/>
      <c r="C851" s="37"/>
      <c r="D851" s="37"/>
      <c r="E851" s="1"/>
      <c r="F851" s="1"/>
    </row>
    <row r="852" ht="15.75" customHeight="1">
      <c r="A852" s="36"/>
      <c r="B852" s="37"/>
      <c r="C852" s="37"/>
      <c r="D852" s="37"/>
      <c r="E852" s="1"/>
      <c r="F852" s="1"/>
    </row>
    <row r="853" ht="15.75" customHeight="1">
      <c r="A853" s="36"/>
      <c r="B853" s="37"/>
      <c r="C853" s="37"/>
      <c r="D853" s="37"/>
      <c r="E853" s="1"/>
      <c r="F853" s="1"/>
    </row>
    <row r="854" ht="15.75" customHeight="1">
      <c r="A854" s="36"/>
      <c r="B854" s="37"/>
      <c r="C854" s="37"/>
      <c r="D854" s="37"/>
      <c r="E854" s="1"/>
      <c r="F854" s="1"/>
    </row>
    <row r="855" ht="15.75" customHeight="1">
      <c r="A855" s="36"/>
      <c r="B855" s="37"/>
      <c r="C855" s="37"/>
      <c r="D855" s="37"/>
      <c r="E855" s="1"/>
      <c r="F855" s="1"/>
    </row>
    <row r="856" ht="15.75" customHeight="1">
      <c r="A856" s="36"/>
      <c r="B856" s="37"/>
      <c r="C856" s="37"/>
      <c r="D856" s="37"/>
      <c r="E856" s="1"/>
      <c r="F856" s="1"/>
    </row>
    <row r="857" ht="15.75" customHeight="1">
      <c r="A857" s="36"/>
      <c r="B857" s="37"/>
      <c r="C857" s="37"/>
      <c r="D857" s="37"/>
      <c r="E857" s="1"/>
      <c r="F857" s="1"/>
    </row>
    <row r="858" ht="15.75" customHeight="1">
      <c r="A858" s="36"/>
      <c r="B858" s="37"/>
      <c r="C858" s="37"/>
      <c r="D858" s="37"/>
      <c r="E858" s="1"/>
      <c r="F858" s="1"/>
    </row>
    <row r="859" ht="15.75" customHeight="1">
      <c r="A859" s="36"/>
      <c r="B859" s="37"/>
      <c r="C859" s="37"/>
      <c r="D859" s="37"/>
      <c r="E859" s="1"/>
      <c r="F859" s="1"/>
    </row>
    <row r="860" ht="15.75" customHeight="1">
      <c r="A860" s="36"/>
      <c r="B860" s="37"/>
      <c r="C860" s="37"/>
      <c r="D860" s="37"/>
      <c r="E860" s="1"/>
      <c r="F860" s="1"/>
    </row>
    <row r="861" ht="15.75" customHeight="1">
      <c r="A861" s="36"/>
      <c r="B861" s="37"/>
      <c r="C861" s="37"/>
      <c r="D861" s="37"/>
      <c r="E861" s="1"/>
      <c r="F861" s="1"/>
    </row>
    <row r="862" ht="15.75" customHeight="1">
      <c r="A862" s="36"/>
      <c r="B862" s="37"/>
      <c r="C862" s="37"/>
      <c r="D862" s="37"/>
      <c r="E862" s="1"/>
      <c r="F862" s="1"/>
    </row>
    <row r="863" ht="15.75" customHeight="1">
      <c r="A863" s="36"/>
      <c r="B863" s="37"/>
      <c r="C863" s="37"/>
      <c r="D863" s="37"/>
      <c r="E863" s="1"/>
      <c r="F863" s="1"/>
    </row>
    <row r="864" ht="15.75" customHeight="1">
      <c r="A864" s="36"/>
      <c r="B864" s="37"/>
      <c r="C864" s="37"/>
      <c r="D864" s="37"/>
      <c r="E864" s="1"/>
      <c r="F864" s="1"/>
    </row>
    <row r="865" ht="15.75" customHeight="1">
      <c r="A865" s="36"/>
      <c r="B865" s="37"/>
      <c r="C865" s="37"/>
      <c r="D865" s="37"/>
      <c r="E865" s="1"/>
      <c r="F865" s="1"/>
    </row>
    <row r="866" ht="15.75" customHeight="1">
      <c r="A866" s="36"/>
      <c r="B866" s="37"/>
      <c r="C866" s="37"/>
      <c r="D866" s="37"/>
      <c r="E866" s="1"/>
      <c r="F866" s="1"/>
    </row>
    <row r="867" ht="15.75" customHeight="1">
      <c r="A867" s="36"/>
      <c r="B867" s="37"/>
      <c r="C867" s="37"/>
      <c r="D867" s="37"/>
      <c r="E867" s="1"/>
      <c r="F867" s="1"/>
    </row>
    <row r="868" ht="15.75" customHeight="1">
      <c r="A868" s="36"/>
      <c r="B868" s="37"/>
      <c r="C868" s="37"/>
      <c r="D868" s="37"/>
      <c r="E868" s="1"/>
      <c r="F868" s="1"/>
    </row>
    <row r="869" ht="15.75" customHeight="1">
      <c r="A869" s="36"/>
      <c r="B869" s="37"/>
      <c r="C869" s="37"/>
      <c r="D869" s="37"/>
      <c r="E869" s="1"/>
      <c r="F869" s="1"/>
    </row>
    <row r="870" ht="15.75" customHeight="1">
      <c r="A870" s="36"/>
      <c r="B870" s="37"/>
      <c r="C870" s="37"/>
      <c r="D870" s="37"/>
      <c r="E870" s="1"/>
      <c r="F870" s="1"/>
    </row>
    <row r="871" ht="15.75" customHeight="1">
      <c r="A871" s="36"/>
      <c r="B871" s="37"/>
      <c r="C871" s="37"/>
      <c r="D871" s="37"/>
      <c r="E871" s="1"/>
      <c r="F871" s="1"/>
    </row>
    <row r="872" ht="15.75" customHeight="1">
      <c r="A872" s="36"/>
      <c r="B872" s="37"/>
      <c r="C872" s="37"/>
      <c r="D872" s="37"/>
      <c r="E872" s="1"/>
      <c r="F872" s="1"/>
    </row>
    <row r="873" ht="15.75" customHeight="1">
      <c r="A873" s="36"/>
      <c r="B873" s="37"/>
      <c r="C873" s="37"/>
      <c r="D873" s="37"/>
      <c r="E873" s="1"/>
      <c r="F873" s="1"/>
    </row>
    <row r="874" ht="15.75" customHeight="1">
      <c r="A874" s="36"/>
      <c r="B874" s="37"/>
      <c r="C874" s="37"/>
      <c r="D874" s="37"/>
      <c r="E874" s="1"/>
      <c r="F874" s="1"/>
    </row>
    <row r="875" ht="15.75" customHeight="1">
      <c r="A875" s="36"/>
      <c r="B875" s="37"/>
      <c r="C875" s="37"/>
      <c r="D875" s="37"/>
      <c r="E875" s="1"/>
      <c r="F875" s="1"/>
    </row>
    <row r="876" ht="15.75" customHeight="1">
      <c r="A876" s="36"/>
      <c r="B876" s="37"/>
      <c r="C876" s="37"/>
      <c r="D876" s="37"/>
      <c r="E876" s="1"/>
      <c r="F876" s="1"/>
    </row>
    <row r="877" ht="15.75" customHeight="1">
      <c r="A877" s="36"/>
      <c r="B877" s="37"/>
      <c r="C877" s="37"/>
      <c r="D877" s="37"/>
      <c r="E877" s="1"/>
      <c r="F877" s="1"/>
    </row>
    <row r="878" ht="15.75" customHeight="1">
      <c r="A878" s="36"/>
      <c r="B878" s="37"/>
      <c r="C878" s="37"/>
      <c r="D878" s="37"/>
      <c r="E878" s="1"/>
      <c r="F878" s="1"/>
    </row>
    <row r="879" ht="15.75" customHeight="1">
      <c r="A879" s="36"/>
      <c r="B879" s="37"/>
      <c r="C879" s="37"/>
      <c r="D879" s="37"/>
      <c r="E879" s="1"/>
      <c r="F879" s="1"/>
    </row>
    <row r="880" ht="15.75" customHeight="1">
      <c r="A880" s="36"/>
      <c r="B880" s="37"/>
      <c r="C880" s="37"/>
      <c r="D880" s="37"/>
      <c r="E880" s="1"/>
      <c r="F880" s="1"/>
    </row>
    <row r="881" ht="15.75" customHeight="1">
      <c r="A881" s="36"/>
      <c r="B881" s="37"/>
      <c r="C881" s="37"/>
      <c r="D881" s="37"/>
      <c r="E881" s="1"/>
      <c r="F881" s="1"/>
    </row>
    <row r="882" ht="15.75" customHeight="1">
      <c r="A882" s="36"/>
      <c r="B882" s="37"/>
      <c r="C882" s="37"/>
      <c r="D882" s="37"/>
      <c r="E882" s="1"/>
      <c r="F882" s="1"/>
    </row>
    <row r="883" ht="15.75" customHeight="1">
      <c r="A883" s="36"/>
      <c r="B883" s="37"/>
      <c r="C883" s="37"/>
      <c r="D883" s="37"/>
      <c r="E883" s="1"/>
      <c r="F883" s="1"/>
    </row>
    <row r="884" ht="15.75" customHeight="1">
      <c r="A884" s="36"/>
      <c r="B884" s="37"/>
      <c r="C884" s="37"/>
      <c r="D884" s="37"/>
      <c r="E884" s="1"/>
      <c r="F884" s="1"/>
    </row>
    <row r="885" ht="15.75" customHeight="1">
      <c r="A885" s="36"/>
      <c r="B885" s="37"/>
      <c r="C885" s="37"/>
      <c r="D885" s="37"/>
      <c r="E885" s="1"/>
      <c r="F885" s="1"/>
    </row>
    <row r="886" ht="15.75" customHeight="1">
      <c r="A886" s="36"/>
      <c r="B886" s="37"/>
      <c r="C886" s="37"/>
      <c r="D886" s="37"/>
      <c r="E886" s="1"/>
      <c r="F886" s="1"/>
    </row>
    <row r="887" ht="15.75" customHeight="1">
      <c r="A887" s="36"/>
      <c r="B887" s="37"/>
      <c r="C887" s="37"/>
      <c r="D887" s="37"/>
      <c r="E887" s="1"/>
      <c r="F887" s="1"/>
    </row>
    <row r="888" ht="15.75" customHeight="1">
      <c r="A888" s="36"/>
      <c r="B888" s="37"/>
      <c r="C888" s="37"/>
      <c r="D888" s="37"/>
      <c r="E888" s="1"/>
      <c r="F888" s="1"/>
    </row>
    <row r="889" ht="15.75" customHeight="1">
      <c r="A889" s="36"/>
      <c r="B889" s="37"/>
      <c r="C889" s="37"/>
      <c r="D889" s="37"/>
      <c r="E889" s="1"/>
      <c r="F889" s="1"/>
    </row>
    <row r="890" ht="15.75" customHeight="1">
      <c r="A890" s="36"/>
      <c r="B890" s="37"/>
      <c r="C890" s="37"/>
      <c r="D890" s="37"/>
      <c r="E890" s="1"/>
      <c r="F890" s="1"/>
    </row>
    <row r="891" ht="15.75" customHeight="1">
      <c r="A891" s="36"/>
      <c r="B891" s="37"/>
      <c r="C891" s="37"/>
      <c r="D891" s="37"/>
      <c r="E891" s="1"/>
      <c r="F891" s="1"/>
    </row>
    <row r="892" ht="15.75" customHeight="1">
      <c r="A892" s="36"/>
      <c r="B892" s="37"/>
      <c r="C892" s="37"/>
      <c r="D892" s="37"/>
      <c r="E892" s="1"/>
      <c r="F892" s="1"/>
    </row>
    <row r="893" ht="15.75" customHeight="1">
      <c r="A893" s="36"/>
      <c r="B893" s="37"/>
      <c r="C893" s="37"/>
      <c r="D893" s="37"/>
      <c r="E893" s="1"/>
      <c r="F893" s="1"/>
    </row>
    <row r="894" ht="15.75" customHeight="1">
      <c r="A894" s="36"/>
      <c r="B894" s="37"/>
      <c r="C894" s="37"/>
      <c r="D894" s="37"/>
      <c r="E894" s="1"/>
      <c r="F894" s="1"/>
    </row>
    <row r="895" ht="15.75" customHeight="1">
      <c r="A895" s="36"/>
      <c r="B895" s="37"/>
      <c r="C895" s="37"/>
      <c r="D895" s="37"/>
      <c r="E895" s="1"/>
      <c r="F895" s="1"/>
    </row>
    <row r="896" ht="15.75" customHeight="1">
      <c r="A896" s="36"/>
      <c r="B896" s="37"/>
      <c r="C896" s="37"/>
      <c r="D896" s="37"/>
      <c r="E896" s="1"/>
      <c r="F896" s="1"/>
    </row>
    <row r="897" ht="15.75" customHeight="1">
      <c r="A897" s="36"/>
      <c r="B897" s="37"/>
      <c r="C897" s="37"/>
      <c r="D897" s="37"/>
      <c r="E897" s="1"/>
      <c r="F897" s="1"/>
    </row>
    <row r="898" ht="15.75" customHeight="1">
      <c r="A898" s="36"/>
      <c r="B898" s="37"/>
      <c r="C898" s="37"/>
      <c r="D898" s="37"/>
      <c r="E898" s="1"/>
      <c r="F898" s="1"/>
    </row>
    <row r="899" ht="15.75" customHeight="1">
      <c r="A899" s="36"/>
      <c r="B899" s="37"/>
      <c r="C899" s="37"/>
      <c r="D899" s="37"/>
      <c r="E899" s="1"/>
      <c r="F899" s="1"/>
    </row>
    <row r="900" ht="15.75" customHeight="1">
      <c r="A900" s="36"/>
      <c r="B900" s="37"/>
      <c r="C900" s="37"/>
      <c r="D900" s="37"/>
      <c r="E900" s="1"/>
      <c r="F900" s="1"/>
    </row>
    <row r="901" ht="15.75" customHeight="1">
      <c r="A901" s="36"/>
      <c r="B901" s="37"/>
      <c r="C901" s="37"/>
      <c r="D901" s="37"/>
      <c r="E901" s="1"/>
      <c r="F901" s="1"/>
    </row>
    <row r="902" ht="15.75" customHeight="1">
      <c r="A902" s="36"/>
      <c r="B902" s="37"/>
      <c r="C902" s="37"/>
      <c r="D902" s="37"/>
      <c r="E902" s="1"/>
      <c r="F902" s="1"/>
    </row>
    <row r="903" ht="15.75" customHeight="1">
      <c r="A903" s="36"/>
      <c r="B903" s="37"/>
      <c r="C903" s="37"/>
      <c r="D903" s="37"/>
      <c r="E903" s="1"/>
      <c r="F903" s="1"/>
    </row>
    <row r="904" ht="15.75" customHeight="1">
      <c r="A904" s="36"/>
      <c r="B904" s="37"/>
      <c r="C904" s="37"/>
      <c r="D904" s="37"/>
      <c r="E904" s="1"/>
      <c r="F904" s="1"/>
    </row>
    <row r="905" ht="15.75" customHeight="1">
      <c r="A905" s="36"/>
      <c r="B905" s="37"/>
      <c r="C905" s="37"/>
      <c r="D905" s="37"/>
      <c r="E905" s="1"/>
      <c r="F905" s="1"/>
    </row>
    <row r="906" ht="15.75" customHeight="1">
      <c r="A906" s="36"/>
      <c r="B906" s="37"/>
      <c r="C906" s="37"/>
      <c r="D906" s="37"/>
      <c r="E906" s="1"/>
      <c r="F906" s="1"/>
    </row>
    <row r="907" ht="15.75" customHeight="1">
      <c r="A907" s="36"/>
      <c r="B907" s="37"/>
      <c r="C907" s="37"/>
      <c r="D907" s="37"/>
      <c r="E907" s="1"/>
      <c r="F907" s="1"/>
    </row>
    <row r="908" ht="15.75" customHeight="1">
      <c r="A908" s="36"/>
      <c r="B908" s="37"/>
      <c r="C908" s="37"/>
      <c r="D908" s="37"/>
      <c r="E908" s="1"/>
      <c r="F908" s="1"/>
    </row>
    <row r="909" ht="15.75" customHeight="1">
      <c r="A909" s="36"/>
      <c r="B909" s="37"/>
      <c r="C909" s="37"/>
      <c r="D909" s="37"/>
      <c r="E909" s="1"/>
      <c r="F909" s="1"/>
    </row>
    <row r="910" ht="15.75" customHeight="1">
      <c r="A910" s="36"/>
      <c r="B910" s="37"/>
      <c r="C910" s="37"/>
      <c r="D910" s="37"/>
      <c r="E910" s="1"/>
      <c r="F910" s="1"/>
    </row>
    <row r="911" ht="15.75" customHeight="1">
      <c r="A911" s="36"/>
      <c r="B911" s="37"/>
      <c r="C911" s="37"/>
      <c r="D911" s="37"/>
      <c r="E911" s="1"/>
      <c r="F911" s="1"/>
    </row>
    <row r="912" ht="15.75" customHeight="1">
      <c r="A912" s="36"/>
      <c r="B912" s="37"/>
      <c r="C912" s="37"/>
      <c r="D912" s="37"/>
      <c r="E912" s="1"/>
      <c r="F912" s="1"/>
    </row>
    <row r="913" ht="15.75" customHeight="1">
      <c r="A913" s="36"/>
      <c r="B913" s="37"/>
      <c r="C913" s="37"/>
      <c r="D913" s="37"/>
      <c r="E913" s="1"/>
      <c r="F913" s="1"/>
    </row>
    <row r="914" ht="15.75" customHeight="1">
      <c r="A914" s="36"/>
      <c r="B914" s="37"/>
      <c r="C914" s="37"/>
      <c r="D914" s="37"/>
      <c r="E914" s="1"/>
      <c r="F914" s="1"/>
    </row>
    <row r="915" ht="15.75" customHeight="1">
      <c r="A915" s="36"/>
      <c r="B915" s="37"/>
      <c r="C915" s="37"/>
      <c r="D915" s="37"/>
      <c r="E915" s="1"/>
      <c r="F915" s="1"/>
    </row>
    <row r="916" ht="15.75" customHeight="1">
      <c r="A916" s="36"/>
      <c r="B916" s="37"/>
      <c r="C916" s="37"/>
      <c r="D916" s="37"/>
      <c r="E916" s="1"/>
      <c r="F916" s="1"/>
    </row>
    <row r="917" ht="15.75" customHeight="1">
      <c r="A917" s="36"/>
      <c r="B917" s="37"/>
      <c r="C917" s="37"/>
      <c r="D917" s="37"/>
      <c r="E917" s="1"/>
      <c r="F917" s="1"/>
    </row>
    <row r="918" ht="15.75" customHeight="1">
      <c r="A918" s="36"/>
      <c r="B918" s="37"/>
      <c r="C918" s="37"/>
      <c r="D918" s="37"/>
      <c r="E918" s="1"/>
      <c r="F918" s="1"/>
    </row>
    <row r="919" ht="15.75" customHeight="1">
      <c r="A919" s="36"/>
      <c r="B919" s="37"/>
      <c r="C919" s="37"/>
      <c r="D919" s="37"/>
      <c r="E919" s="1"/>
      <c r="F919" s="1"/>
    </row>
    <row r="920" ht="15.75" customHeight="1">
      <c r="A920" s="36"/>
      <c r="B920" s="37"/>
      <c r="C920" s="37"/>
      <c r="D920" s="37"/>
      <c r="E920" s="1"/>
      <c r="F920" s="1"/>
    </row>
    <row r="921" ht="15.75" customHeight="1">
      <c r="A921" s="36"/>
      <c r="B921" s="37"/>
      <c r="C921" s="37"/>
      <c r="D921" s="37"/>
      <c r="E921" s="1"/>
      <c r="F921" s="1"/>
    </row>
    <row r="922" ht="15.75" customHeight="1">
      <c r="A922" s="36"/>
      <c r="B922" s="37"/>
      <c r="C922" s="37"/>
      <c r="D922" s="37"/>
      <c r="E922" s="1"/>
      <c r="F922" s="1"/>
    </row>
    <row r="923" ht="15.75" customHeight="1">
      <c r="A923" s="36"/>
      <c r="B923" s="37"/>
      <c r="C923" s="37"/>
      <c r="D923" s="37"/>
      <c r="E923" s="1"/>
      <c r="F923" s="1"/>
    </row>
    <row r="924" ht="15.75" customHeight="1">
      <c r="A924" s="36"/>
      <c r="B924" s="37"/>
      <c r="C924" s="37"/>
      <c r="D924" s="37"/>
      <c r="E924" s="1"/>
      <c r="F924" s="1"/>
    </row>
    <row r="925" ht="15.75" customHeight="1">
      <c r="A925" s="36"/>
      <c r="B925" s="37"/>
      <c r="C925" s="37"/>
      <c r="D925" s="37"/>
      <c r="E925" s="1"/>
      <c r="F925" s="1"/>
    </row>
    <row r="926" ht="15.75" customHeight="1">
      <c r="A926" s="36"/>
      <c r="B926" s="37"/>
      <c r="C926" s="37"/>
      <c r="D926" s="37"/>
      <c r="E926" s="1"/>
      <c r="F926" s="1"/>
    </row>
    <row r="927" ht="15.75" customHeight="1">
      <c r="A927" s="36"/>
      <c r="B927" s="37"/>
      <c r="C927" s="37"/>
      <c r="D927" s="37"/>
      <c r="E927" s="1"/>
      <c r="F927" s="1"/>
    </row>
    <row r="928" ht="15.75" customHeight="1">
      <c r="A928" s="36"/>
      <c r="B928" s="37"/>
      <c r="C928" s="37"/>
      <c r="D928" s="37"/>
      <c r="E928" s="1"/>
      <c r="F928" s="1"/>
    </row>
    <row r="929" ht="15.75" customHeight="1">
      <c r="A929" s="36"/>
      <c r="B929" s="37"/>
      <c r="C929" s="37"/>
      <c r="D929" s="37"/>
      <c r="E929" s="1"/>
      <c r="F929" s="1"/>
    </row>
    <row r="930" ht="15.75" customHeight="1">
      <c r="A930" s="36"/>
      <c r="B930" s="37"/>
      <c r="C930" s="37"/>
      <c r="D930" s="37"/>
      <c r="E930" s="1"/>
      <c r="F930" s="1"/>
    </row>
    <row r="931" ht="15.75" customHeight="1">
      <c r="A931" s="36"/>
      <c r="B931" s="37"/>
      <c r="C931" s="37"/>
      <c r="D931" s="37"/>
      <c r="E931" s="1"/>
      <c r="F931" s="1"/>
    </row>
    <row r="932" ht="15.75" customHeight="1">
      <c r="A932" s="36"/>
      <c r="B932" s="37"/>
      <c r="C932" s="37"/>
      <c r="D932" s="37"/>
      <c r="E932" s="1"/>
      <c r="F932" s="1"/>
    </row>
    <row r="933" ht="15.75" customHeight="1">
      <c r="A933" s="36"/>
      <c r="B933" s="37"/>
      <c r="C933" s="37"/>
      <c r="D933" s="37"/>
      <c r="E933" s="1"/>
      <c r="F933" s="1"/>
    </row>
    <row r="934" ht="15.75" customHeight="1">
      <c r="A934" s="36"/>
      <c r="B934" s="37"/>
      <c r="C934" s="37"/>
      <c r="D934" s="37"/>
      <c r="E934" s="1"/>
      <c r="F934" s="1"/>
    </row>
    <row r="935" ht="15.75" customHeight="1">
      <c r="A935" s="36"/>
      <c r="B935" s="37"/>
      <c r="C935" s="37"/>
      <c r="D935" s="37"/>
      <c r="E935" s="1"/>
      <c r="F935" s="1"/>
    </row>
    <row r="936" ht="15.75" customHeight="1">
      <c r="A936" s="36"/>
      <c r="B936" s="37"/>
      <c r="C936" s="37"/>
      <c r="D936" s="37"/>
      <c r="E936" s="1"/>
      <c r="F936" s="1"/>
    </row>
    <row r="937" ht="15.75" customHeight="1">
      <c r="A937" s="36"/>
      <c r="B937" s="37"/>
      <c r="C937" s="37"/>
      <c r="D937" s="37"/>
      <c r="E937" s="1"/>
      <c r="F937" s="1"/>
    </row>
    <row r="938" ht="15.75" customHeight="1">
      <c r="A938" s="36"/>
      <c r="B938" s="37"/>
      <c r="C938" s="37"/>
      <c r="D938" s="37"/>
      <c r="E938" s="1"/>
      <c r="F938" s="1"/>
    </row>
    <row r="939" ht="15.75" customHeight="1">
      <c r="A939" s="36"/>
      <c r="B939" s="37"/>
      <c r="C939" s="37"/>
      <c r="D939" s="37"/>
      <c r="E939" s="1"/>
      <c r="F939" s="1"/>
    </row>
    <row r="940" ht="15.75" customHeight="1">
      <c r="A940" s="36"/>
      <c r="B940" s="37"/>
      <c r="C940" s="37"/>
      <c r="D940" s="37"/>
      <c r="E940" s="1"/>
      <c r="F940" s="1"/>
    </row>
    <row r="941" ht="15.75" customHeight="1">
      <c r="A941" s="36"/>
      <c r="B941" s="37"/>
      <c r="C941" s="37"/>
      <c r="D941" s="37"/>
      <c r="E941" s="1"/>
      <c r="F941" s="1"/>
    </row>
    <row r="942" ht="15.75" customHeight="1">
      <c r="A942" s="36"/>
      <c r="B942" s="37"/>
      <c r="C942" s="37"/>
      <c r="D942" s="37"/>
      <c r="E942" s="1"/>
      <c r="F942" s="1"/>
    </row>
    <row r="943" ht="15.75" customHeight="1">
      <c r="A943" s="36"/>
      <c r="B943" s="37"/>
      <c r="C943" s="37"/>
      <c r="D943" s="37"/>
      <c r="E943" s="1"/>
      <c r="F943" s="1"/>
    </row>
    <row r="944" ht="15.75" customHeight="1">
      <c r="A944" s="36"/>
      <c r="B944" s="37"/>
      <c r="C944" s="37"/>
      <c r="D944" s="37"/>
      <c r="E944" s="1"/>
      <c r="F944" s="1"/>
    </row>
    <row r="945" ht="15.75" customHeight="1">
      <c r="A945" s="36"/>
      <c r="B945" s="37"/>
      <c r="C945" s="37"/>
      <c r="D945" s="37"/>
      <c r="E945" s="1"/>
      <c r="F945" s="1"/>
    </row>
    <row r="946" ht="15.75" customHeight="1">
      <c r="A946" s="36"/>
      <c r="B946" s="37"/>
      <c r="C946" s="37"/>
      <c r="D946" s="37"/>
      <c r="E946" s="1"/>
      <c r="F946" s="1"/>
    </row>
    <row r="947" ht="15.75" customHeight="1">
      <c r="A947" s="36"/>
      <c r="B947" s="37"/>
      <c r="C947" s="37"/>
      <c r="D947" s="37"/>
      <c r="E947" s="1"/>
      <c r="F947" s="1"/>
    </row>
    <row r="948" ht="15.75" customHeight="1">
      <c r="A948" s="36"/>
      <c r="B948" s="37"/>
      <c r="C948" s="37"/>
      <c r="D948" s="37"/>
      <c r="E948" s="1"/>
      <c r="F948" s="1"/>
    </row>
    <row r="949" ht="15.75" customHeight="1">
      <c r="A949" s="36"/>
      <c r="B949" s="37"/>
      <c r="C949" s="37"/>
      <c r="D949" s="37"/>
      <c r="E949" s="1"/>
      <c r="F949" s="1"/>
    </row>
    <row r="950" ht="15.75" customHeight="1">
      <c r="A950" s="36"/>
      <c r="B950" s="37"/>
      <c r="C950" s="37"/>
      <c r="D950" s="37"/>
      <c r="E950" s="1"/>
      <c r="F950" s="1"/>
    </row>
    <row r="951" ht="15.75" customHeight="1">
      <c r="A951" s="36"/>
      <c r="B951" s="37"/>
      <c r="C951" s="37"/>
      <c r="D951" s="37"/>
      <c r="E951" s="1"/>
      <c r="F951" s="1"/>
    </row>
    <row r="952" ht="15.75" customHeight="1">
      <c r="A952" s="36"/>
      <c r="B952" s="37"/>
      <c r="C952" s="37"/>
      <c r="D952" s="37"/>
      <c r="E952" s="1"/>
      <c r="F952" s="1"/>
    </row>
    <row r="953" ht="15.75" customHeight="1">
      <c r="A953" s="36"/>
      <c r="B953" s="37"/>
      <c r="C953" s="37"/>
      <c r="D953" s="37"/>
      <c r="E953" s="1"/>
      <c r="F953" s="1"/>
    </row>
    <row r="954" ht="15.75" customHeight="1">
      <c r="A954" s="36"/>
      <c r="B954" s="37"/>
      <c r="C954" s="37"/>
      <c r="D954" s="37"/>
      <c r="E954" s="1"/>
      <c r="F954" s="1"/>
    </row>
    <row r="955" ht="15.75" customHeight="1">
      <c r="A955" s="36"/>
      <c r="B955" s="37"/>
      <c r="C955" s="37"/>
      <c r="D955" s="37"/>
      <c r="E955" s="1"/>
      <c r="F955" s="1"/>
    </row>
    <row r="956" ht="15.75" customHeight="1">
      <c r="A956" s="36"/>
      <c r="B956" s="37"/>
      <c r="C956" s="37"/>
      <c r="D956" s="37"/>
      <c r="E956" s="1"/>
      <c r="F956" s="1"/>
    </row>
    <row r="957" ht="15.75" customHeight="1">
      <c r="A957" s="36"/>
      <c r="B957" s="37"/>
      <c r="C957" s="37"/>
      <c r="D957" s="37"/>
      <c r="E957" s="1"/>
      <c r="F957" s="1"/>
    </row>
    <row r="958" ht="15.75" customHeight="1">
      <c r="A958" s="36"/>
      <c r="B958" s="37"/>
      <c r="C958" s="37"/>
      <c r="D958" s="37"/>
      <c r="E958" s="1"/>
      <c r="F958" s="1"/>
    </row>
    <row r="959" ht="15.75" customHeight="1">
      <c r="A959" s="36"/>
      <c r="B959" s="37"/>
      <c r="C959" s="37"/>
      <c r="D959" s="37"/>
      <c r="E959" s="1"/>
      <c r="F959" s="1"/>
    </row>
    <row r="960" ht="15.75" customHeight="1">
      <c r="A960" s="36"/>
      <c r="B960" s="37"/>
      <c r="C960" s="37"/>
      <c r="D960" s="37"/>
      <c r="E960" s="1"/>
      <c r="F960" s="1"/>
    </row>
    <row r="961" ht="15.75" customHeight="1">
      <c r="A961" s="36"/>
      <c r="B961" s="37"/>
      <c r="C961" s="37"/>
      <c r="D961" s="37"/>
      <c r="E961" s="1"/>
      <c r="F961" s="1"/>
    </row>
    <row r="962" ht="15.75" customHeight="1">
      <c r="A962" s="36"/>
      <c r="B962" s="37"/>
      <c r="C962" s="37"/>
      <c r="D962" s="37"/>
      <c r="E962" s="1"/>
      <c r="F962" s="1"/>
    </row>
    <row r="963" ht="15.75" customHeight="1">
      <c r="A963" s="36"/>
      <c r="B963" s="37"/>
      <c r="C963" s="37"/>
      <c r="D963" s="37"/>
      <c r="E963" s="1"/>
      <c r="F963" s="1"/>
    </row>
    <row r="964" ht="15.75" customHeight="1">
      <c r="A964" s="36"/>
      <c r="B964" s="37"/>
      <c r="C964" s="37"/>
      <c r="D964" s="37"/>
      <c r="E964" s="1"/>
      <c r="F964" s="1"/>
    </row>
    <row r="965" ht="15.75" customHeight="1">
      <c r="A965" s="36"/>
      <c r="B965" s="37"/>
      <c r="C965" s="37"/>
      <c r="D965" s="37"/>
      <c r="E965" s="1"/>
      <c r="F965" s="1"/>
    </row>
    <row r="966" ht="15.75" customHeight="1">
      <c r="A966" s="36"/>
      <c r="B966" s="37"/>
      <c r="C966" s="37"/>
      <c r="D966" s="37"/>
      <c r="E966" s="1"/>
      <c r="F966" s="1"/>
    </row>
    <row r="967" ht="15.75" customHeight="1">
      <c r="A967" s="36"/>
      <c r="B967" s="37"/>
      <c r="C967" s="37"/>
      <c r="D967" s="37"/>
      <c r="E967" s="1"/>
      <c r="F967" s="1"/>
    </row>
    <row r="968" ht="15.75" customHeight="1">
      <c r="A968" s="36"/>
      <c r="B968" s="37"/>
      <c r="C968" s="37"/>
      <c r="D968" s="37"/>
      <c r="E968" s="1"/>
      <c r="F968" s="1"/>
    </row>
    <row r="969" ht="15.75" customHeight="1">
      <c r="A969" s="36"/>
      <c r="B969" s="37"/>
      <c r="C969" s="37"/>
      <c r="D969" s="37"/>
      <c r="E969" s="1"/>
      <c r="F969" s="1"/>
    </row>
    <row r="970" ht="15.75" customHeight="1">
      <c r="A970" s="36"/>
      <c r="B970" s="37"/>
      <c r="C970" s="37"/>
      <c r="D970" s="37"/>
      <c r="E970" s="1"/>
      <c r="F970" s="1"/>
    </row>
    <row r="971" ht="15.75" customHeight="1">
      <c r="A971" s="36"/>
      <c r="B971" s="37"/>
      <c r="C971" s="37"/>
      <c r="D971" s="37"/>
      <c r="E971" s="1"/>
      <c r="F971" s="1"/>
    </row>
    <row r="972" ht="15.75" customHeight="1">
      <c r="A972" s="36"/>
      <c r="B972" s="37"/>
      <c r="C972" s="37"/>
      <c r="D972" s="37"/>
      <c r="E972" s="1"/>
      <c r="F972" s="1"/>
    </row>
    <row r="973" ht="15.75" customHeight="1">
      <c r="A973" s="36"/>
      <c r="B973" s="37"/>
      <c r="C973" s="37"/>
      <c r="D973" s="37"/>
      <c r="E973" s="1"/>
      <c r="F973" s="1"/>
    </row>
    <row r="974" ht="15.75" customHeight="1">
      <c r="A974" s="36"/>
      <c r="B974" s="37"/>
      <c r="C974" s="37"/>
      <c r="D974" s="37"/>
      <c r="E974" s="1"/>
      <c r="F974" s="1"/>
    </row>
    <row r="975" ht="15.75" customHeight="1">
      <c r="A975" s="36"/>
      <c r="B975" s="37"/>
      <c r="C975" s="37"/>
      <c r="D975" s="37"/>
      <c r="E975" s="1"/>
      <c r="F975" s="1"/>
    </row>
    <row r="976" ht="15.75" customHeight="1">
      <c r="A976" s="36"/>
      <c r="B976" s="37"/>
      <c r="C976" s="37"/>
      <c r="D976" s="37"/>
      <c r="E976" s="1"/>
      <c r="F976" s="1"/>
    </row>
    <row r="977" ht="15.75" customHeight="1">
      <c r="A977" s="36"/>
      <c r="B977" s="37"/>
      <c r="C977" s="37"/>
      <c r="D977" s="37"/>
      <c r="E977" s="1"/>
      <c r="F977" s="1"/>
    </row>
    <row r="978" ht="15.75" customHeight="1">
      <c r="A978" s="36"/>
      <c r="B978" s="37"/>
      <c r="C978" s="37"/>
      <c r="D978" s="37"/>
      <c r="E978" s="1"/>
      <c r="F978" s="1"/>
    </row>
    <row r="979" ht="15.75" customHeight="1">
      <c r="A979" s="36"/>
      <c r="B979" s="37"/>
      <c r="C979" s="37"/>
      <c r="D979" s="37"/>
      <c r="E979" s="1"/>
      <c r="F979" s="1"/>
    </row>
    <row r="980" ht="15.75" customHeight="1">
      <c r="A980" s="36"/>
      <c r="B980" s="37"/>
      <c r="C980" s="37"/>
      <c r="D980" s="37"/>
      <c r="E980" s="1"/>
      <c r="F980" s="1"/>
    </row>
    <row r="981" ht="15.75" customHeight="1">
      <c r="A981" s="36"/>
      <c r="B981" s="37"/>
      <c r="C981" s="37"/>
      <c r="D981" s="37"/>
      <c r="E981" s="1"/>
      <c r="F981" s="1"/>
    </row>
    <row r="982" ht="15.75" customHeight="1">
      <c r="A982" s="36"/>
      <c r="B982" s="37"/>
      <c r="C982" s="37"/>
      <c r="D982" s="37"/>
      <c r="E982" s="1"/>
      <c r="F982" s="1"/>
    </row>
    <row r="983" ht="15.75" customHeight="1">
      <c r="A983" s="36"/>
      <c r="B983" s="37"/>
      <c r="C983" s="37"/>
      <c r="D983" s="37"/>
      <c r="E983" s="1"/>
      <c r="F983" s="1"/>
    </row>
    <row r="984" ht="15.75" customHeight="1">
      <c r="A984" s="36"/>
      <c r="B984" s="37"/>
      <c r="C984" s="37"/>
      <c r="D984" s="37"/>
      <c r="E984" s="1"/>
      <c r="F984" s="1"/>
    </row>
    <row r="985" ht="15.75" customHeight="1">
      <c r="A985" s="36"/>
      <c r="B985" s="37"/>
      <c r="C985" s="37"/>
      <c r="D985" s="37"/>
      <c r="E985" s="1"/>
      <c r="F985" s="1"/>
    </row>
    <row r="986" ht="15.75" customHeight="1">
      <c r="A986" s="36"/>
      <c r="B986" s="37"/>
      <c r="C986" s="37"/>
      <c r="D986" s="37"/>
      <c r="E986" s="1"/>
      <c r="F986" s="1"/>
    </row>
    <row r="987" ht="15.75" customHeight="1">
      <c r="A987" s="36"/>
      <c r="B987" s="37"/>
      <c r="C987" s="37"/>
      <c r="D987" s="37"/>
      <c r="E987" s="1"/>
      <c r="F987" s="1"/>
    </row>
    <row r="988" ht="15.75" customHeight="1">
      <c r="A988" s="36"/>
      <c r="B988" s="37"/>
      <c r="C988" s="37"/>
      <c r="D988" s="37"/>
      <c r="E988" s="1"/>
      <c r="F988" s="1"/>
    </row>
    <row r="989" ht="15.75" customHeight="1">
      <c r="A989" s="36"/>
      <c r="B989" s="37"/>
      <c r="C989" s="37"/>
      <c r="D989" s="37"/>
      <c r="E989" s="1"/>
      <c r="F989" s="1"/>
    </row>
    <row r="990" ht="15.75" customHeight="1">
      <c r="A990" s="36"/>
      <c r="B990" s="37"/>
      <c r="C990" s="37"/>
      <c r="D990" s="37"/>
      <c r="E990" s="1"/>
      <c r="F990" s="1"/>
    </row>
    <row r="991" ht="15.75" customHeight="1">
      <c r="A991" s="36"/>
      <c r="B991" s="37"/>
      <c r="C991" s="37"/>
      <c r="D991" s="37"/>
      <c r="E991" s="1"/>
      <c r="F991" s="1"/>
    </row>
    <row r="992" ht="15.75" customHeight="1">
      <c r="A992" s="36"/>
      <c r="B992" s="37"/>
      <c r="C992" s="37"/>
      <c r="D992" s="37"/>
      <c r="E992" s="1"/>
      <c r="F992" s="1"/>
    </row>
    <row r="993" ht="15.75" customHeight="1">
      <c r="A993" s="36"/>
      <c r="B993" s="37"/>
      <c r="C993" s="37"/>
      <c r="D993" s="37"/>
      <c r="E993" s="1"/>
      <c r="F993" s="1"/>
    </row>
    <row r="994" ht="15.75" customHeight="1">
      <c r="A994" s="36"/>
      <c r="B994" s="37"/>
      <c r="C994" s="37"/>
      <c r="D994" s="37"/>
      <c r="E994" s="1"/>
      <c r="F994" s="1"/>
    </row>
    <row r="995" ht="15.75" customHeight="1">
      <c r="A995" s="36"/>
      <c r="B995" s="37"/>
      <c r="C995" s="37"/>
      <c r="D995" s="37"/>
      <c r="E995" s="1"/>
      <c r="F995" s="1"/>
    </row>
    <row r="996" ht="15.75" customHeight="1">
      <c r="A996" s="36"/>
      <c r="B996" s="37"/>
      <c r="C996" s="37"/>
      <c r="D996" s="37"/>
      <c r="E996" s="1"/>
      <c r="F996" s="1"/>
    </row>
    <row r="997" ht="15.75" customHeight="1">
      <c r="A997" s="36"/>
      <c r="B997" s="37"/>
      <c r="C997" s="37"/>
      <c r="D997" s="37"/>
      <c r="E997" s="1"/>
      <c r="F997" s="1"/>
    </row>
    <row r="998" ht="15.75" customHeight="1">
      <c r="A998" s="36"/>
      <c r="B998" s="37"/>
      <c r="C998" s="37"/>
      <c r="D998" s="37"/>
      <c r="E998" s="1"/>
      <c r="F998" s="1"/>
    </row>
    <row r="999" ht="15.75" customHeight="1">
      <c r="A999" s="36"/>
      <c r="B999" s="37"/>
      <c r="C999" s="37"/>
      <c r="D999" s="37"/>
      <c r="E999" s="1"/>
      <c r="F999" s="1"/>
    </row>
    <row r="1000" ht="15.75" customHeight="1">
      <c r="A1000" s="36"/>
      <c r="B1000" s="37"/>
      <c r="C1000" s="37"/>
      <c r="D1000" s="37"/>
      <c r="E1000" s="1"/>
      <c r="F1000" s="1"/>
    </row>
  </sheetData>
  <mergeCells count="4">
    <mergeCell ref="A2:F2"/>
    <mergeCell ref="A4:F4"/>
    <mergeCell ref="A5:F5"/>
    <mergeCell ref="A30:F3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0.14"/>
    <col customWidth="1" min="3" max="3" width="27.71"/>
    <col customWidth="1" min="4" max="4" width="23.43"/>
    <col customWidth="1" min="5" max="5" width="15.14"/>
    <col customWidth="1" min="6" max="6" width="16.71"/>
    <col customWidth="1" min="7" max="7" width="10.71"/>
    <col customWidth="1" min="8" max="8" width="16.14"/>
    <col customWidth="1" min="9" max="9" width="20.43"/>
    <col customWidth="1" min="10" max="26" width="8.0"/>
  </cols>
  <sheetData>
    <row r="1">
      <c r="A1" s="36"/>
      <c r="B1" s="37"/>
      <c r="C1" s="37"/>
      <c r="D1" s="37"/>
      <c r="E1" s="37"/>
      <c r="F1" s="37"/>
      <c r="G1" s="37"/>
      <c r="H1" s="1"/>
    </row>
    <row r="2" ht="35.25" customHeight="1">
      <c r="A2" s="38" t="s">
        <v>2291</v>
      </c>
      <c r="B2" s="39"/>
      <c r="C2" s="39"/>
      <c r="D2" s="39"/>
      <c r="E2" s="39"/>
      <c r="F2" s="39"/>
      <c r="G2" s="39"/>
      <c r="H2" s="40"/>
      <c r="I2" s="42"/>
      <c r="J2" s="42"/>
      <c r="K2" s="42"/>
      <c r="L2" s="42"/>
      <c r="M2" s="42"/>
      <c r="N2" s="42"/>
      <c r="O2" s="42"/>
      <c r="P2" s="42"/>
      <c r="Q2" s="42"/>
      <c r="R2" s="42"/>
      <c r="S2" s="42"/>
      <c r="T2" s="42"/>
      <c r="U2" s="42"/>
      <c r="V2" s="42"/>
      <c r="W2" s="42"/>
      <c r="X2" s="42"/>
      <c r="Y2" s="42"/>
      <c r="Z2" s="42"/>
    </row>
    <row r="3">
      <c r="A3" s="105"/>
      <c r="B3" s="105"/>
      <c r="C3" s="105"/>
      <c r="D3" s="105"/>
      <c r="E3" s="105"/>
      <c r="F3" s="105"/>
      <c r="G3" s="105"/>
      <c r="H3" s="41"/>
      <c r="I3" s="42"/>
      <c r="J3" s="42"/>
      <c r="K3" s="42"/>
      <c r="L3" s="42"/>
      <c r="M3" s="42"/>
      <c r="N3" s="42"/>
      <c r="O3" s="42"/>
      <c r="P3" s="42"/>
      <c r="Q3" s="42"/>
      <c r="R3" s="42"/>
      <c r="S3" s="42"/>
      <c r="T3" s="42"/>
      <c r="U3" s="42"/>
      <c r="V3" s="42"/>
      <c r="W3" s="42"/>
      <c r="X3" s="42"/>
      <c r="Y3" s="42"/>
      <c r="Z3" s="42"/>
    </row>
    <row r="4">
      <c r="A4" s="107" t="s">
        <v>2292</v>
      </c>
      <c r="B4" s="39"/>
      <c r="C4" s="39"/>
      <c r="D4" s="39"/>
      <c r="E4" s="39"/>
      <c r="F4" s="39"/>
      <c r="G4" s="39"/>
      <c r="H4" s="40"/>
      <c r="I4" s="104"/>
      <c r="J4" s="104"/>
      <c r="K4" s="104"/>
      <c r="L4" s="104"/>
      <c r="M4" s="104"/>
      <c r="N4" s="104"/>
      <c r="O4" s="104"/>
      <c r="P4" s="104"/>
      <c r="Q4" s="104"/>
      <c r="R4" s="104"/>
      <c r="S4" s="104"/>
      <c r="T4" s="104"/>
      <c r="U4" s="104"/>
      <c r="V4" s="104"/>
      <c r="W4" s="104"/>
      <c r="X4" s="104"/>
      <c r="Y4" s="104"/>
      <c r="Z4" s="104"/>
    </row>
    <row r="5">
      <c r="A5" s="43" t="s">
        <v>2293</v>
      </c>
      <c r="B5" s="39"/>
      <c r="C5" s="39"/>
      <c r="D5" s="39"/>
      <c r="E5" s="39"/>
      <c r="F5" s="39"/>
      <c r="G5" s="39"/>
      <c r="H5" s="40"/>
      <c r="I5" s="104"/>
      <c r="J5" s="104"/>
      <c r="K5" s="104"/>
      <c r="L5" s="104"/>
      <c r="M5" s="104"/>
      <c r="N5" s="104"/>
      <c r="O5" s="104"/>
      <c r="P5" s="104"/>
      <c r="Q5" s="104"/>
      <c r="R5" s="104"/>
      <c r="S5" s="104"/>
      <c r="T5" s="104"/>
      <c r="U5" s="104"/>
      <c r="V5" s="104"/>
      <c r="W5" s="104"/>
      <c r="X5" s="104"/>
      <c r="Y5" s="104"/>
      <c r="Z5" s="104"/>
    </row>
    <row r="6">
      <c r="A6" s="43" t="s">
        <v>2294</v>
      </c>
      <c r="B6" s="39"/>
      <c r="C6" s="39"/>
      <c r="D6" s="39"/>
      <c r="E6" s="39"/>
      <c r="F6" s="39"/>
      <c r="G6" s="39"/>
      <c r="H6" s="40"/>
      <c r="I6" s="104"/>
      <c r="J6" s="104"/>
      <c r="K6" s="104"/>
      <c r="L6" s="104"/>
      <c r="M6" s="104"/>
      <c r="N6" s="104"/>
      <c r="O6" s="104"/>
      <c r="P6" s="104"/>
      <c r="Q6" s="104"/>
      <c r="R6" s="104"/>
      <c r="S6" s="104"/>
      <c r="T6" s="104"/>
      <c r="U6" s="104"/>
      <c r="V6" s="104"/>
      <c r="W6" s="104"/>
      <c r="X6" s="104"/>
      <c r="Y6" s="104"/>
      <c r="Z6" s="104"/>
    </row>
    <row r="7" ht="409.5" customHeight="1">
      <c r="A7" s="44" t="s">
        <v>2295</v>
      </c>
      <c r="B7" s="39"/>
      <c r="C7" s="39"/>
      <c r="D7" s="39"/>
      <c r="E7" s="39"/>
      <c r="F7" s="39"/>
      <c r="G7" s="39"/>
      <c r="H7" s="40"/>
      <c r="I7" s="104"/>
      <c r="J7" s="104"/>
      <c r="K7" s="104"/>
      <c r="L7" s="104"/>
      <c r="M7" s="104"/>
      <c r="N7" s="104"/>
      <c r="O7" s="104"/>
      <c r="P7" s="104"/>
      <c r="Q7" s="104"/>
      <c r="R7" s="104"/>
      <c r="S7" s="104"/>
      <c r="T7" s="104"/>
      <c r="U7" s="104"/>
      <c r="V7" s="104"/>
      <c r="W7" s="104"/>
      <c r="X7" s="104"/>
      <c r="Y7" s="104"/>
      <c r="Z7" s="104"/>
    </row>
    <row r="8">
      <c r="A8" s="45"/>
      <c r="B8" s="46"/>
      <c r="C8" s="46"/>
      <c r="D8" s="46"/>
      <c r="E8" s="46"/>
      <c r="F8" s="46"/>
      <c r="G8" s="46"/>
      <c r="H8" s="41"/>
      <c r="I8" s="42"/>
      <c r="J8" s="42"/>
      <c r="K8" s="42"/>
      <c r="L8" s="42"/>
      <c r="M8" s="42"/>
      <c r="N8" s="42"/>
      <c r="O8" s="42"/>
      <c r="P8" s="42"/>
      <c r="Q8" s="42"/>
      <c r="R8" s="42"/>
      <c r="S8" s="42"/>
      <c r="T8" s="42"/>
      <c r="U8" s="42"/>
      <c r="V8" s="42"/>
      <c r="W8" s="42"/>
      <c r="X8" s="42"/>
      <c r="Y8" s="42"/>
      <c r="Z8" s="42"/>
    </row>
    <row r="9" ht="51.0" customHeight="1">
      <c r="A9" s="229" t="s">
        <v>2296</v>
      </c>
      <c r="B9" s="229" t="s">
        <v>9</v>
      </c>
      <c r="C9" s="229" t="s">
        <v>2297</v>
      </c>
      <c r="D9" s="229" t="s">
        <v>2298</v>
      </c>
      <c r="E9" s="229" t="s">
        <v>2299</v>
      </c>
      <c r="F9" s="229" t="s">
        <v>2300</v>
      </c>
      <c r="G9" s="47" t="s">
        <v>116</v>
      </c>
      <c r="H9" s="47" t="s">
        <v>2301</v>
      </c>
      <c r="I9" s="49" t="s">
        <v>118</v>
      </c>
      <c r="J9" s="42"/>
      <c r="K9" s="42"/>
      <c r="L9" s="42"/>
      <c r="M9" s="42"/>
      <c r="N9" s="42"/>
      <c r="O9" s="42"/>
      <c r="P9" s="42"/>
      <c r="Q9" s="42"/>
      <c r="R9" s="42"/>
      <c r="S9" s="42"/>
      <c r="T9" s="42"/>
      <c r="U9" s="42"/>
      <c r="V9" s="42"/>
      <c r="W9" s="42"/>
      <c r="X9" s="42"/>
      <c r="Y9" s="42"/>
      <c r="Z9" s="42"/>
    </row>
    <row r="10">
      <c r="A10" s="52"/>
      <c r="B10" s="60"/>
      <c r="C10" s="60"/>
      <c r="D10" s="199"/>
      <c r="E10" s="199"/>
      <c r="F10" s="199"/>
      <c r="G10" s="199"/>
      <c r="H10" s="209"/>
      <c r="I10" s="62"/>
      <c r="J10" s="42"/>
      <c r="K10" s="42"/>
      <c r="L10" s="42"/>
      <c r="M10" s="42"/>
      <c r="N10" s="42"/>
      <c r="O10" s="42"/>
      <c r="P10" s="42"/>
      <c r="Q10" s="42"/>
      <c r="R10" s="42"/>
      <c r="S10" s="42"/>
      <c r="T10" s="42"/>
      <c r="U10" s="42"/>
      <c r="V10" s="42"/>
      <c r="W10" s="42"/>
      <c r="X10" s="42"/>
      <c r="Y10" s="42"/>
      <c r="Z10" s="42"/>
    </row>
    <row r="11">
      <c r="A11" s="52"/>
      <c r="B11" s="60"/>
      <c r="C11" s="60"/>
      <c r="D11" s="199"/>
      <c r="E11" s="199"/>
      <c r="F11" s="199"/>
      <c r="G11" s="199"/>
      <c r="H11" s="209"/>
      <c r="I11" s="62"/>
      <c r="J11" s="42"/>
      <c r="K11" s="42"/>
      <c r="L11" s="42"/>
      <c r="M11" s="42"/>
      <c r="N11" s="42"/>
      <c r="O11" s="42"/>
      <c r="P11" s="42"/>
      <c r="Q11" s="42"/>
      <c r="R11" s="42"/>
      <c r="S11" s="42"/>
      <c r="T11" s="42"/>
      <c r="U11" s="42"/>
      <c r="V11" s="42"/>
      <c r="W11" s="42"/>
      <c r="X11" s="42"/>
      <c r="Y11" s="42"/>
      <c r="Z11" s="42"/>
    </row>
    <row r="12">
      <c r="A12" s="52"/>
      <c r="B12" s="60"/>
      <c r="C12" s="60"/>
      <c r="D12" s="199"/>
      <c r="E12" s="199"/>
      <c r="F12" s="199"/>
      <c r="G12" s="199"/>
      <c r="H12" s="209"/>
      <c r="I12" s="62"/>
      <c r="J12" s="42"/>
      <c r="K12" s="42"/>
      <c r="L12" s="42"/>
      <c r="M12" s="42"/>
      <c r="N12" s="42"/>
      <c r="O12" s="42"/>
      <c r="P12" s="42"/>
      <c r="Q12" s="42"/>
      <c r="R12" s="42"/>
      <c r="S12" s="42"/>
      <c r="T12" s="42"/>
      <c r="U12" s="42"/>
      <c r="V12" s="42"/>
      <c r="W12" s="42"/>
      <c r="X12" s="42"/>
      <c r="Y12" s="42"/>
      <c r="Z12" s="42"/>
    </row>
    <row r="13">
      <c r="A13" s="52"/>
      <c r="B13" s="60"/>
      <c r="C13" s="60"/>
      <c r="D13" s="199"/>
      <c r="E13" s="199"/>
      <c r="F13" s="199"/>
      <c r="G13" s="199"/>
      <c r="H13" s="209"/>
      <c r="I13" s="62"/>
      <c r="J13" s="42"/>
      <c r="K13" s="42"/>
      <c r="L13" s="42"/>
      <c r="M13" s="42"/>
      <c r="N13" s="42"/>
      <c r="O13" s="42"/>
      <c r="P13" s="42"/>
      <c r="Q13" s="42"/>
      <c r="R13" s="42"/>
      <c r="S13" s="42"/>
      <c r="T13" s="42"/>
      <c r="U13" s="42"/>
      <c r="V13" s="42"/>
      <c r="W13" s="42"/>
      <c r="X13" s="42"/>
      <c r="Y13" s="42"/>
      <c r="Z13" s="42"/>
    </row>
    <row r="14">
      <c r="A14" s="52"/>
      <c r="B14" s="60"/>
      <c r="C14" s="60"/>
      <c r="D14" s="199"/>
      <c r="E14" s="199"/>
      <c r="F14" s="199"/>
      <c r="G14" s="199"/>
      <c r="H14" s="209"/>
      <c r="I14" s="62"/>
      <c r="J14" s="42"/>
      <c r="K14" s="42"/>
      <c r="L14" s="42"/>
      <c r="M14" s="42"/>
      <c r="N14" s="42"/>
      <c r="O14" s="42"/>
      <c r="P14" s="42"/>
      <c r="Q14" s="42"/>
      <c r="R14" s="42"/>
      <c r="S14" s="42"/>
      <c r="T14" s="42"/>
      <c r="U14" s="42"/>
      <c r="V14" s="42"/>
      <c r="W14" s="42"/>
      <c r="X14" s="42"/>
      <c r="Y14" s="42"/>
      <c r="Z14" s="42"/>
    </row>
    <row r="15">
      <c r="A15" s="52"/>
      <c r="B15" s="60"/>
      <c r="C15" s="60"/>
      <c r="D15" s="199"/>
      <c r="E15" s="199"/>
      <c r="F15" s="199"/>
      <c r="G15" s="199"/>
      <c r="H15" s="209"/>
      <c r="I15" s="62"/>
      <c r="J15" s="42"/>
      <c r="K15" s="42"/>
      <c r="L15" s="42"/>
      <c r="M15" s="42"/>
      <c r="N15" s="42"/>
      <c r="O15" s="42"/>
      <c r="P15" s="42"/>
      <c r="Q15" s="42"/>
      <c r="R15" s="42"/>
      <c r="S15" s="42"/>
      <c r="T15" s="42"/>
      <c r="U15" s="42"/>
      <c r="V15" s="42"/>
      <c r="W15" s="42"/>
      <c r="X15" s="42"/>
      <c r="Y15" s="42"/>
      <c r="Z15" s="42"/>
    </row>
    <row r="16">
      <c r="A16" s="52"/>
      <c r="B16" s="60"/>
      <c r="C16" s="60"/>
      <c r="D16" s="199"/>
      <c r="E16" s="199"/>
      <c r="F16" s="199"/>
      <c r="G16" s="199"/>
      <c r="H16" s="209"/>
      <c r="I16" s="62"/>
      <c r="J16" s="42"/>
      <c r="K16" s="42"/>
      <c r="L16" s="42"/>
      <c r="M16" s="42"/>
      <c r="N16" s="42"/>
      <c r="O16" s="42"/>
      <c r="P16" s="42"/>
      <c r="Q16" s="42"/>
      <c r="R16" s="42"/>
      <c r="S16" s="42"/>
      <c r="T16" s="42"/>
      <c r="U16" s="42"/>
      <c r="V16" s="42"/>
      <c r="W16" s="42"/>
      <c r="X16" s="42"/>
      <c r="Y16" s="42"/>
      <c r="Z16" s="42"/>
    </row>
    <row r="17">
      <c r="A17" s="52"/>
      <c r="B17" s="60"/>
      <c r="C17" s="60"/>
      <c r="D17" s="199"/>
      <c r="E17" s="199"/>
      <c r="F17" s="199"/>
      <c r="G17" s="199"/>
      <c r="H17" s="209"/>
      <c r="I17" s="62"/>
      <c r="J17" s="42"/>
      <c r="K17" s="42"/>
      <c r="L17" s="42"/>
      <c r="M17" s="42"/>
      <c r="N17" s="42"/>
      <c r="O17" s="42"/>
      <c r="P17" s="42"/>
      <c r="Q17" s="42"/>
      <c r="R17" s="42"/>
      <c r="S17" s="42"/>
      <c r="T17" s="42"/>
      <c r="U17" s="42"/>
      <c r="V17" s="42"/>
      <c r="W17" s="42"/>
      <c r="X17" s="42"/>
      <c r="Y17" s="42"/>
      <c r="Z17" s="42"/>
    </row>
    <row r="18">
      <c r="A18" s="52"/>
      <c r="B18" s="60"/>
      <c r="C18" s="60"/>
      <c r="D18" s="199"/>
      <c r="E18" s="199"/>
      <c r="F18" s="199"/>
      <c r="G18" s="199"/>
      <c r="H18" s="209"/>
      <c r="I18" s="62"/>
      <c r="J18" s="42"/>
      <c r="K18" s="42"/>
      <c r="L18" s="42"/>
      <c r="M18" s="42"/>
      <c r="N18" s="42"/>
      <c r="O18" s="42"/>
      <c r="P18" s="42"/>
      <c r="Q18" s="42"/>
      <c r="R18" s="42"/>
      <c r="S18" s="42"/>
      <c r="T18" s="42"/>
      <c r="U18" s="42"/>
      <c r="V18" s="42"/>
      <c r="W18" s="42"/>
      <c r="X18" s="42"/>
      <c r="Y18" s="42"/>
      <c r="Z18" s="42"/>
    </row>
    <row r="19">
      <c r="A19" s="52"/>
      <c r="B19" s="60"/>
      <c r="C19" s="60"/>
      <c r="D19" s="199"/>
      <c r="E19" s="199"/>
      <c r="F19" s="199"/>
      <c r="G19" s="199"/>
      <c r="H19" s="209"/>
      <c r="I19" s="62"/>
      <c r="J19" s="42"/>
      <c r="K19" s="42"/>
      <c r="L19" s="42"/>
      <c r="M19" s="42"/>
      <c r="N19" s="42"/>
      <c r="O19" s="42"/>
      <c r="P19" s="42"/>
      <c r="Q19" s="42"/>
      <c r="R19" s="42"/>
      <c r="S19" s="42"/>
      <c r="T19" s="42"/>
      <c r="U19" s="42"/>
      <c r="V19" s="42"/>
      <c r="W19" s="42"/>
      <c r="X19" s="42"/>
      <c r="Y19" s="42"/>
      <c r="Z19" s="42"/>
    </row>
    <row r="20">
      <c r="A20" s="52"/>
      <c r="B20" s="60"/>
      <c r="C20" s="60"/>
      <c r="D20" s="199"/>
      <c r="E20" s="199"/>
      <c r="F20" s="199"/>
      <c r="G20" s="199"/>
      <c r="H20" s="209"/>
      <c r="I20" s="62"/>
      <c r="J20" s="42"/>
      <c r="K20" s="42"/>
      <c r="L20" s="42"/>
      <c r="M20" s="42"/>
      <c r="N20" s="42"/>
      <c r="O20" s="42"/>
      <c r="P20" s="42"/>
      <c r="Q20" s="42"/>
      <c r="R20" s="42"/>
      <c r="S20" s="42"/>
      <c r="T20" s="42"/>
      <c r="U20" s="42"/>
      <c r="V20" s="42"/>
      <c r="W20" s="42"/>
      <c r="X20" s="42"/>
      <c r="Y20" s="42"/>
      <c r="Z20" s="42"/>
    </row>
    <row r="21" ht="15.75" customHeight="1">
      <c r="A21" s="52"/>
      <c r="B21" s="60"/>
      <c r="C21" s="60"/>
      <c r="D21" s="199"/>
      <c r="E21" s="199"/>
      <c r="F21" s="199"/>
      <c r="G21" s="199"/>
      <c r="H21" s="209"/>
      <c r="I21" s="62"/>
      <c r="J21" s="42"/>
      <c r="K21" s="42"/>
      <c r="L21" s="42"/>
      <c r="M21" s="42"/>
      <c r="N21" s="42"/>
      <c r="O21" s="42"/>
      <c r="P21" s="42"/>
      <c r="Q21" s="42"/>
      <c r="R21" s="42"/>
      <c r="S21" s="42"/>
      <c r="T21" s="42"/>
      <c r="U21" s="42"/>
      <c r="V21" s="42"/>
      <c r="W21" s="42"/>
      <c r="X21" s="42"/>
      <c r="Y21" s="42"/>
      <c r="Z21" s="42"/>
    </row>
    <row r="22" ht="15.75" customHeight="1">
      <c r="A22" s="52"/>
      <c r="B22" s="60"/>
      <c r="C22" s="60"/>
      <c r="D22" s="199"/>
      <c r="E22" s="199"/>
      <c r="F22" s="199"/>
      <c r="G22" s="199"/>
      <c r="H22" s="209"/>
      <c r="I22" s="62"/>
      <c r="J22" s="42"/>
      <c r="K22" s="42"/>
      <c r="L22" s="42"/>
      <c r="M22" s="42"/>
      <c r="N22" s="42"/>
      <c r="O22" s="42"/>
      <c r="P22" s="42"/>
      <c r="Q22" s="42"/>
      <c r="R22" s="42"/>
      <c r="S22" s="42"/>
      <c r="T22" s="42"/>
      <c r="U22" s="42"/>
      <c r="V22" s="42"/>
      <c r="W22" s="42"/>
      <c r="X22" s="42"/>
      <c r="Y22" s="42"/>
      <c r="Z22" s="42"/>
    </row>
    <row r="23" ht="15.75" customHeight="1">
      <c r="A23" s="52"/>
      <c r="B23" s="60"/>
      <c r="C23" s="60"/>
      <c r="D23" s="199"/>
      <c r="E23" s="199"/>
      <c r="F23" s="199"/>
      <c r="G23" s="199"/>
      <c r="H23" s="209"/>
      <c r="I23" s="62"/>
      <c r="J23" s="42"/>
      <c r="K23" s="42"/>
      <c r="L23" s="42"/>
      <c r="M23" s="42"/>
      <c r="N23" s="42"/>
      <c r="O23" s="42"/>
      <c r="P23" s="42"/>
      <c r="Q23" s="42"/>
      <c r="R23" s="42"/>
      <c r="S23" s="42"/>
      <c r="T23" s="42"/>
      <c r="U23" s="42"/>
      <c r="V23" s="42"/>
      <c r="W23" s="42"/>
      <c r="X23" s="42"/>
      <c r="Y23" s="42"/>
      <c r="Z23" s="42"/>
    </row>
    <row r="24" ht="15.75" customHeight="1">
      <c r="A24" s="52"/>
      <c r="B24" s="60"/>
      <c r="C24" s="60"/>
      <c r="D24" s="199"/>
      <c r="E24" s="199"/>
      <c r="F24" s="199"/>
      <c r="G24" s="199"/>
      <c r="H24" s="209"/>
      <c r="I24" s="62"/>
      <c r="J24" s="42"/>
      <c r="K24" s="42"/>
      <c r="L24" s="42"/>
      <c r="M24" s="42"/>
      <c r="N24" s="42"/>
      <c r="O24" s="42"/>
      <c r="P24" s="42"/>
      <c r="Q24" s="42"/>
      <c r="R24" s="42"/>
      <c r="S24" s="42"/>
      <c r="T24" s="42"/>
      <c r="U24" s="42"/>
      <c r="V24" s="42"/>
      <c r="W24" s="42"/>
      <c r="X24" s="42"/>
      <c r="Y24" s="42"/>
      <c r="Z24" s="42"/>
    </row>
    <row r="25" ht="15.75" customHeight="1">
      <c r="A25" s="52"/>
      <c r="B25" s="60"/>
      <c r="C25" s="60"/>
      <c r="D25" s="199"/>
      <c r="E25" s="199"/>
      <c r="F25" s="199"/>
      <c r="G25" s="199"/>
      <c r="H25" s="209"/>
      <c r="I25" s="62"/>
      <c r="J25" s="42"/>
      <c r="K25" s="42"/>
      <c r="L25" s="42"/>
      <c r="M25" s="42"/>
      <c r="N25" s="42"/>
      <c r="O25" s="42"/>
      <c r="P25" s="42"/>
      <c r="Q25" s="42"/>
      <c r="R25" s="42"/>
      <c r="S25" s="42"/>
      <c r="T25" s="42"/>
      <c r="U25" s="42"/>
      <c r="V25" s="42"/>
      <c r="W25" s="42"/>
      <c r="X25" s="42"/>
      <c r="Y25" s="42"/>
      <c r="Z25" s="42"/>
    </row>
    <row r="26" ht="15.75" customHeight="1">
      <c r="A26" s="52"/>
      <c r="B26" s="60"/>
      <c r="C26" s="60"/>
      <c r="D26" s="199"/>
      <c r="E26" s="199"/>
      <c r="F26" s="199"/>
      <c r="G26" s="199"/>
      <c r="H26" s="209"/>
      <c r="I26" s="62"/>
      <c r="J26" s="42"/>
      <c r="K26" s="42"/>
      <c r="L26" s="42"/>
      <c r="M26" s="42"/>
      <c r="N26" s="42"/>
      <c r="O26" s="42"/>
      <c r="P26" s="42"/>
      <c r="Q26" s="42"/>
      <c r="R26" s="42"/>
      <c r="S26" s="42"/>
      <c r="T26" s="42"/>
      <c r="U26" s="42"/>
      <c r="V26" s="42"/>
      <c r="W26" s="42"/>
      <c r="X26" s="42"/>
      <c r="Y26" s="42"/>
      <c r="Z26" s="42"/>
    </row>
    <row r="27" ht="15.75" customHeight="1">
      <c r="A27" s="52"/>
      <c r="B27" s="60"/>
      <c r="C27" s="60"/>
      <c r="D27" s="199"/>
      <c r="E27" s="199"/>
      <c r="F27" s="199"/>
      <c r="G27" s="199"/>
      <c r="H27" s="209"/>
      <c r="I27" s="62"/>
      <c r="J27" s="42"/>
      <c r="K27" s="42"/>
      <c r="L27" s="42"/>
      <c r="M27" s="42"/>
      <c r="N27" s="42"/>
      <c r="O27" s="42"/>
      <c r="P27" s="42"/>
      <c r="Q27" s="42"/>
      <c r="R27" s="42"/>
      <c r="S27" s="42"/>
      <c r="T27" s="42"/>
      <c r="U27" s="42"/>
      <c r="V27" s="42"/>
      <c r="W27" s="42"/>
      <c r="X27" s="42"/>
      <c r="Y27" s="42"/>
      <c r="Z27" s="42"/>
    </row>
    <row r="28" ht="15.75" customHeight="1">
      <c r="A28" s="52"/>
      <c r="B28" s="60"/>
      <c r="C28" s="60"/>
      <c r="D28" s="199"/>
      <c r="E28" s="199"/>
      <c r="F28" s="199"/>
      <c r="G28" s="199"/>
      <c r="H28" s="209"/>
      <c r="I28" s="62"/>
      <c r="J28" s="42"/>
      <c r="K28" s="42"/>
      <c r="L28" s="42"/>
      <c r="M28" s="42"/>
      <c r="N28" s="42"/>
      <c r="O28" s="42"/>
      <c r="P28" s="42"/>
      <c r="Q28" s="42"/>
      <c r="R28" s="42"/>
      <c r="S28" s="42"/>
      <c r="T28" s="42"/>
      <c r="U28" s="42"/>
      <c r="V28" s="42"/>
      <c r="W28" s="42"/>
      <c r="X28" s="42"/>
      <c r="Y28" s="42"/>
      <c r="Z28" s="42"/>
    </row>
    <row r="29" ht="15.75" customHeight="1">
      <c r="A29" s="52"/>
      <c r="B29" s="60"/>
      <c r="C29" s="60"/>
      <c r="D29" s="199"/>
      <c r="E29" s="199"/>
      <c r="F29" s="199"/>
      <c r="G29" s="199"/>
      <c r="H29" s="209"/>
      <c r="I29" s="62"/>
      <c r="J29" s="42"/>
      <c r="K29" s="42"/>
      <c r="L29" s="42"/>
      <c r="M29" s="42"/>
      <c r="N29" s="42"/>
      <c r="O29" s="42"/>
      <c r="P29" s="42"/>
      <c r="Q29" s="42"/>
      <c r="R29" s="42"/>
      <c r="S29" s="42"/>
      <c r="T29" s="42"/>
      <c r="U29" s="42"/>
      <c r="V29" s="42"/>
      <c r="W29" s="42"/>
      <c r="X29" s="42"/>
      <c r="Y29" s="42"/>
      <c r="Z29" s="42"/>
    </row>
    <row r="30" ht="15.75" customHeight="1">
      <c r="A30" s="52"/>
      <c r="B30" s="60"/>
      <c r="C30" s="60"/>
      <c r="D30" s="199"/>
      <c r="E30" s="199"/>
      <c r="F30" s="199"/>
      <c r="G30" s="199"/>
      <c r="H30" s="209"/>
      <c r="I30" s="62"/>
      <c r="J30" s="42"/>
      <c r="K30" s="42"/>
      <c r="L30" s="42"/>
      <c r="M30" s="42"/>
      <c r="N30" s="42"/>
      <c r="O30" s="42"/>
      <c r="P30" s="42"/>
      <c r="Q30" s="42"/>
      <c r="R30" s="42"/>
      <c r="S30" s="42"/>
      <c r="T30" s="42"/>
      <c r="U30" s="42"/>
      <c r="V30" s="42"/>
      <c r="W30" s="42"/>
      <c r="X30" s="42"/>
      <c r="Y30" s="42"/>
      <c r="Z30" s="42"/>
    </row>
    <row r="31" ht="15.75" customHeight="1">
      <c r="A31" s="52"/>
      <c r="B31" s="60"/>
      <c r="C31" s="60"/>
      <c r="D31" s="199"/>
      <c r="E31" s="199"/>
      <c r="F31" s="199"/>
      <c r="G31" s="199"/>
      <c r="H31" s="209"/>
      <c r="I31" s="62"/>
      <c r="J31" s="42"/>
      <c r="K31" s="42"/>
      <c r="L31" s="42"/>
      <c r="M31" s="42"/>
      <c r="N31" s="42"/>
      <c r="O31" s="42"/>
      <c r="P31" s="42"/>
      <c r="Q31" s="42"/>
      <c r="R31" s="42"/>
      <c r="S31" s="42"/>
      <c r="T31" s="42"/>
      <c r="U31" s="42"/>
      <c r="V31" s="42"/>
      <c r="W31" s="42"/>
      <c r="X31" s="42"/>
      <c r="Y31" s="42"/>
      <c r="Z31" s="42"/>
    </row>
    <row r="32" ht="15.75" customHeight="1">
      <c r="A32" s="52"/>
      <c r="B32" s="60"/>
      <c r="C32" s="60"/>
      <c r="D32" s="199"/>
      <c r="E32" s="199"/>
      <c r="F32" s="199"/>
      <c r="G32" s="199"/>
      <c r="H32" s="209"/>
      <c r="I32" s="62"/>
      <c r="J32" s="42"/>
      <c r="K32" s="42"/>
      <c r="L32" s="42"/>
      <c r="M32" s="42"/>
      <c r="N32" s="42"/>
      <c r="O32" s="42"/>
      <c r="P32" s="42"/>
      <c r="Q32" s="42"/>
      <c r="R32" s="42"/>
      <c r="S32" s="42"/>
      <c r="T32" s="42"/>
      <c r="U32" s="42"/>
      <c r="V32" s="42"/>
      <c r="W32" s="42"/>
      <c r="X32" s="42"/>
      <c r="Y32" s="42"/>
      <c r="Z32" s="42"/>
    </row>
    <row r="33" ht="15.75" customHeight="1">
      <c r="A33" s="52"/>
      <c r="B33" s="60"/>
      <c r="C33" s="60"/>
      <c r="D33" s="199"/>
      <c r="E33" s="199"/>
      <c r="F33" s="199"/>
      <c r="G33" s="199"/>
      <c r="H33" s="209"/>
      <c r="I33" s="62"/>
      <c r="J33" s="42"/>
      <c r="K33" s="42"/>
      <c r="L33" s="42"/>
      <c r="M33" s="42"/>
      <c r="N33" s="42"/>
      <c r="O33" s="42"/>
      <c r="P33" s="42"/>
      <c r="Q33" s="42"/>
      <c r="R33" s="42"/>
      <c r="S33" s="42"/>
      <c r="T33" s="42"/>
      <c r="U33" s="42"/>
      <c r="V33" s="42"/>
      <c r="W33" s="42"/>
      <c r="X33" s="42"/>
      <c r="Y33" s="42"/>
      <c r="Z33" s="42"/>
    </row>
    <row r="34" ht="15.75" customHeight="1">
      <c r="A34" s="52"/>
      <c r="B34" s="60"/>
      <c r="C34" s="60"/>
      <c r="D34" s="199"/>
      <c r="E34" s="199"/>
      <c r="F34" s="199"/>
      <c r="G34" s="199"/>
      <c r="H34" s="209"/>
      <c r="I34" s="62"/>
      <c r="J34" s="42"/>
      <c r="K34" s="42"/>
      <c r="L34" s="42"/>
      <c r="M34" s="42"/>
      <c r="N34" s="42"/>
      <c r="O34" s="42"/>
      <c r="P34" s="42"/>
      <c r="Q34" s="42"/>
      <c r="R34" s="42"/>
      <c r="S34" s="42"/>
      <c r="T34" s="42"/>
      <c r="U34" s="42"/>
      <c r="V34" s="42"/>
      <c r="W34" s="42"/>
      <c r="X34" s="42"/>
      <c r="Y34" s="42"/>
      <c r="Z34" s="42"/>
    </row>
    <row r="35" ht="15.75" customHeight="1">
      <c r="A35" s="52"/>
      <c r="B35" s="60"/>
      <c r="C35" s="60"/>
      <c r="D35" s="199"/>
      <c r="E35" s="199"/>
      <c r="F35" s="199"/>
      <c r="G35" s="199"/>
      <c r="H35" s="209"/>
      <c r="I35" s="62"/>
      <c r="J35" s="42"/>
      <c r="K35" s="42"/>
      <c r="L35" s="42"/>
      <c r="M35" s="42"/>
      <c r="N35" s="42"/>
      <c r="O35" s="42"/>
      <c r="P35" s="42"/>
      <c r="Q35" s="42"/>
      <c r="R35" s="42"/>
      <c r="S35" s="42"/>
      <c r="T35" s="42"/>
      <c r="U35" s="42"/>
      <c r="V35" s="42"/>
      <c r="W35" s="42"/>
      <c r="X35" s="42"/>
      <c r="Y35" s="42"/>
      <c r="Z35" s="42"/>
    </row>
    <row r="36" ht="15.75" customHeight="1">
      <c r="A36" s="52"/>
      <c r="B36" s="60"/>
      <c r="C36" s="60"/>
      <c r="D36" s="199"/>
      <c r="E36" s="199"/>
      <c r="F36" s="199"/>
      <c r="G36" s="199"/>
      <c r="H36" s="209"/>
      <c r="I36" s="62"/>
      <c r="J36" s="42"/>
      <c r="K36" s="42"/>
      <c r="L36" s="42"/>
      <c r="M36" s="42"/>
      <c r="N36" s="42"/>
      <c r="O36" s="42"/>
      <c r="P36" s="42"/>
      <c r="Q36" s="42"/>
      <c r="R36" s="42"/>
      <c r="S36" s="42"/>
      <c r="T36" s="42"/>
      <c r="U36" s="42"/>
      <c r="V36" s="42"/>
      <c r="W36" s="42"/>
      <c r="X36" s="42"/>
      <c r="Y36" s="42"/>
      <c r="Z36" s="42"/>
    </row>
    <row r="37" ht="15.75" customHeight="1">
      <c r="A37" s="52"/>
      <c r="B37" s="60"/>
      <c r="C37" s="60"/>
      <c r="D37" s="199"/>
      <c r="E37" s="199"/>
      <c r="F37" s="199"/>
      <c r="G37" s="199"/>
      <c r="H37" s="209"/>
      <c r="I37" s="62"/>
      <c r="J37" s="42"/>
      <c r="K37" s="42"/>
      <c r="L37" s="42"/>
      <c r="M37" s="42"/>
      <c r="N37" s="42"/>
      <c r="O37" s="42"/>
      <c r="P37" s="42"/>
      <c r="Q37" s="42"/>
      <c r="R37" s="42"/>
      <c r="S37" s="42"/>
      <c r="T37" s="42"/>
      <c r="U37" s="42"/>
      <c r="V37" s="42"/>
      <c r="W37" s="42"/>
      <c r="X37" s="42"/>
      <c r="Y37" s="42"/>
      <c r="Z37" s="42"/>
    </row>
    <row r="38" ht="15.75" customHeight="1">
      <c r="A38" s="52"/>
      <c r="B38" s="60"/>
      <c r="C38" s="60"/>
      <c r="D38" s="199"/>
      <c r="E38" s="199"/>
      <c r="F38" s="199"/>
      <c r="G38" s="199"/>
      <c r="H38" s="209"/>
      <c r="I38" s="62"/>
      <c r="J38" s="42"/>
      <c r="K38" s="42"/>
      <c r="L38" s="42"/>
      <c r="M38" s="42"/>
      <c r="N38" s="42"/>
      <c r="O38" s="42"/>
      <c r="P38" s="42"/>
      <c r="Q38" s="42"/>
      <c r="R38" s="42"/>
      <c r="S38" s="42"/>
      <c r="T38" s="42"/>
      <c r="U38" s="42"/>
      <c r="V38" s="42"/>
      <c r="W38" s="42"/>
      <c r="X38" s="42"/>
      <c r="Y38" s="42"/>
      <c r="Z38" s="42"/>
    </row>
    <row r="39" ht="15.75" customHeight="1">
      <c r="A39" s="52"/>
      <c r="B39" s="60"/>
      <c r="C39" s="60"/>
      <c r="D39" s="199"/>
      <c r="E39" s="199"/>
      <c r="F39" s="199"/>
      <c r="G39" s="199"/>
      <c r="H39" s="209"/>
      <c r="I39" s="62"/>
      <c r="J39" s="42"/>
      <c r="K39" s="42"/>
      <c r="L39" s="42"/>
      <c r="M39" s="42"/>
      <c r="N39" s="42"/>
      <c r="O39" s="42"/>
      <c r="P39" s="42"/>
      <c r="Q39" s="42"/>
      <c r="R39" s="42"/>
      <c r="S39" s="42"/>
      <c r="T39" s="42"/>
      <c r="U39" s="42"/>
      <c r="V39" s="42"/>
      <c r="W39" s="42"/>
      <c r="X39" s="42"/>
      <c r="Y39" s="42"/>
      <c r="Z39" s="42"/>
    </row>
    <row r="40" ht="15.75" customHeight="1">
      <c r="A40" s="52"/>
      <c r="B40" s="60"/>
      <c r="C40" s="60"/>
      <c r="D40" s="199"/>
      <c r="E40" s="199"/>
      <c r="F40" s="199"/>
      <c r="G40" s="199"/>
      <c r="H40" s="209"/>
      <c r="I40" s="62"/>
      <c r="J40" s="42"/>
      <c r="K40" s="42"/>
      <c r="L40" s="42"/>
      <c r="M40" s="42"/>
      <c r="N40" s="42"/>
      <c r="O40" s="42"/>
      <c r="P40" s="42"/>
      <c r="Q40" s="42"/>
      <c r="R40" s="42"/>
      <c r="S40" s="42"/>
      <c r="T40" s="42"/>
      <c r="U40" s="42"/>
      <c r="V40" s="42"/>
      <c r="W40" s="42"/>
      <c r="X40" s="42"/>
      <c r="Y40" s="42"/>
      <c r="Z40" s="42"/>
    </row>
    <row r="41" ht="15.75" customHeight="1">
      <c r="A41" s="52"/>
      <c r="B41" s="60"/>
      <c r="C41" s="60"/>
      <c r="D41" s="199"/>
      <c r="E41" s="199"/>
      <c r="F41" s="199"/>
      <c r="G41" s="199"/>
      <c r="H41" s="209"/>
      <c r="I41" s="62"/>
      <c r="J41" s="42"/>
      <c r="K41" s="42"/>
      <c r="L41" s="42"/>
      <c r="M41" s="42"/>
      <c r="N41" s="42"/>
      <c r="O41" s="42"/>
      <c r="P41" s="42"/>
      <c r="Q41" s="42"/>
      <c r="R41" s="42"/>
      <c r="S41" s="42"/>
      <c r="T41" s="42"/>
      <c r="U41" s="42"/>
      <c r="V41" s="42"/>
      <c r="W41" s="42"/>
      <c r="X41" s="42"/>
      <c r="Y41" s="42"/>
      <c r="Z41" s="42"/>
    </row>
    <row r="42" ht="15.75" customHeight="1">
      <c r="A42" s="52"/>
      <c r="B42" s="60"/>
      <c r="C42" s="60"/>
      <c r="D42" s="199"/>
      <c r="E42" s="199"/>
      <c r="F42" s="199"/>
      <c r="G42" s="199"/>
      <c r="H42" s="209"/>
      <c r="I42" s="62"/>
      <c r="J42" s="42"/>
      <c r="K42" s="42"/>
      <c r="L42" s="42"/>
      <c r="M42" s="42"/>
      <c r="N42" s="42"/>
      <c r="O42" s="42"/>
      <c r="P42" s="42"/>
      <c r="Q42" s="42"/>
      <c r="R42" s="42"/>
      <c r="S42" s="42"/>
      <c r="T42" s="42"/>
      <c r="U42" s="42"/>
      <c r="V42" s="42"/>
      <c r="W42" s="42"/>
      <c r="X42" s="42"/>
      <c r="Y42" s="42"/>
      <c r="Z42" s="42"/>
    </row>
    <row r="43" ht="15.75" customHeight="1">
      <c r="A43" s="52"/>
      <c r="B43" s="60"/>
      <c r="C43" s="60"/>
      <c r="D43" s="199"/>
      <c r="E43" s="199"/>
      <c r="F43" s="199"/>
      <c r="G43" s="199"/>
      <c r="H43" s="209"/>
      <c r="I43" s="62"/>
      <c r="J43" s="42"/>
      <c r="K43" s="42"/>
      <c r="L43" s="42"/>
      <c r="M43" s="42"/>
      <c r="N43" s="42"/>
      <c r="O43" s="42"/>
      <c r="P43" s="42"/>
      <c r="Q43" s="42"/>
      <c r="R43" s="42"/>
      <c r="S43" s="42"/>
      <c r="T43" s="42"/>
      <c r="U43" s="42"/>
      <c r="V43" s="42"/>
      <c r="W43" s="42"/>
      <c r="X43" s="42"/>
      <c r="Y43" s="42"/>
      <c r="Z43" s="42"/>
    </row>
    <row r="44" ht="15.75" customHeight="1">
      <c r="A44" s="52"/>
      <c r="B44" s="60"/>
      <c r="C44" s="60"/>
      <c r="D44" s="199"/>
      <c r="E44" s="199"/>
      <c r="F44" s="199"/>
      <c r="G44" s="199"/>
      <c r="H44" s="209"/>
      <c r="I44" s="62"/>
      <c r="J44" s="42"/>
      <c r="K44" s="42"/>
      <c r="L44" s="42"/>
      <c r="M44" s="42"/>
      <c r="N44" s="42"/>
      <c r="O44" s="42"/>
      <c r="P44" s="42"/>
      <c r="Q44" s="42"/>
      <c r="R44" s="42"/>
      <c r="S44" s="42"/>
      <c r="T44" s="42"/>
      <c r="U44" s="42"/>
      <c r="V44" s="42"/>
      <c r="W44" s="42"/>
      <c r="X44" s="42"/>
      <c r="Y44" s="42"/>
      <c r="Z44" s="42"/>
    </row>
    <row r="45" ht="15.75" customHeight="1">
      <c r="A45" s="52"/>
      <c r="B45" s="60"/>
      <c r="C45" s="60"/>
      <c r="D45" s="199"/>
      <c r="E45" s="199"/>
      <c r="F45" s="199"/>
      <c r="G45" s="199"/>
      <c r="H45" s="209"/>
      <c r="I45" s="62"/>
      <c r="J45" s="42"/>
      <c r="K45" s="42"/>
      <c r="L45" s="42"/>
      <c r="M45" s="42"/>
      <c r="N45" s="42"/>
      <c r="O45" s="42"/>
      <c r="P45" s="42"/>
      <c r="Q45" s="42"/>
      <c r="R45" s="42"/>
      <c r="S45" s="42"/>
      <c r="T45" s="42"/>
      <c r="U45" s="42"/>
      <c r="V45" s="42"/>
      <c r="W45" s="42"/>
      <c r="X45" s="42"/>
      <c r="Y45" s="42"/>
      <c r="Z45" s="42"/>
    </row>
    <row r="46" ht="15.75" customHeight="1">
      <c r="A46" s="52"/>
      <c r="B46" s="60"/>
      <c r="C46" s="60"/>
      <c r="D46" s="199"/>
      <c r="E46" s="199"/>
      <c r="F46" s="199"/>
      <c r="G46" s="199"/>
      <c r="H46" s="209"/>
      <c r="I46" s="62"/>
      <c r="J46" s="42"/>
      <c r="K46" s="42"/>
      <c r="L46" s="42"/>
      <c r="M46" s="42"/>
      <c r="N46" s="42"/>
      <c r="O46" s="42"/>
      <c r="P46" s="42"/>
      <c r="Q46" s="42"/>
      <c r="R46" s="42"/>
      <c r="S46" s="42"/>
      <c r="T46" s="42"/>
      <c r="U46" s="42"/>
      <c r="V46" s="42"/>
      <c r="W46" s="42"/>
      <c r="X46" s="42"/>
      <c r="Y46" s="42"/>
      <c r="Z46" s="42"/>
    </row>
    <row r="47" ht="15.75" customHeight="1">
      <c r="A47" s="52"/>
      <c r="B47" s="60"/>
      <c r="C47" s="60"/>
      <c r="D47" s="199"/>
      <c r="E47" s="199"/>
      <c r="F47" s="199"/>
      <c r="G47" s="199"/>
      <c r="H47" s="209"/>
      <c r="I47" s="62"/>
      <c r="J47" s="42"/>
      <c r="K47" s="42"/>
      <c r="L47" s="42"/>
      <c r="M47" s="42"/>
      <c r="N47" s="42"/>
      <c r="O47" s="42"/>
      <c r="P47" s="42"/>
      <c r="Q47" s="42"/>
      <c r="R47" s="42"/>
      <c r="S47" s="42"/>
      <c r="T47" s="42"/>
      <c r="U47" s="42"/>
      <c r="V47" s="42"/>
      <c r="W47" s="42"/>
      <c r="X47" s="42"/>
      <c r="Y47" s="42"/>
      <c r="Z47" s="42"/>
    </row>
    <row r="48" ht="15.75" customHeight="1">
      <c r="A48" s="52"/>
      <c r="B48" s="60"/>
      <c r="C48" s="60"/>
      <c r="D48" s="199"/>
      <c r="E48" s="199"/>
      <c r="F48" s="199"/>
      <c r="G48" s="199"/>
      <c r="H48" s="209"/>
      <c r="I48" s="62"/>
      <c r="J48" s="42"/>
      <c r="K48" s="42"/>
      <c r="L48" s="42"/>
      <c r="M48" s="42"/>
      <c r="N48" s="42"/>
      <c r="O48" s="42"/>
      <c r="P48" s="42"/>
      <c r="Q48" s="42"/>
      <c r="R48" s="42"/>
      <c r="S48" s="42"/>
      <c r="T48" s="42"/>
      <c r="U48" s="42"/>
      <c r="V48" s="42"/>
      <c r="W48" s="42"/>
      <c r="X48" s="42"/>
      <c r="Y48" s="42"/>
      <c r="Z48" s="42"/>
    </row>
    <row r="49" ht="15.75" customHeight="1">
      <c r="A49" s="52"/>
      <c r="B49" s="60"/>
      <c r="C49" s="60"/>
      <c r="D49" s="199"/>
      <c r="E49" s="199"/>
      <c r="F49" s="199"/>
      <c r="G49" s="199"/>
      <c r="H49" s="209"/>
      <c r="I49" s="62"/>
      <c r="J49" s="42"/>
      <c r="K49" s="42"/>
      <c r="L49" s="42"/>
      <c r="M49" s="42"/>
      <c r="N49" s="42"/>
      <c r="O49" s="42"/>
      <c r="P49" s="42"/>
      <c r="Q49" s="42"/>
      <c r="R49" s="42"/>
      <c r="S49" s="42"/>
      <c r="T49" s="42"/>
      <c r="U49" s="42"/>
      <c r="V49" s="42"/>
      <c r="W49" s="42"/>
      <c r="X49" s="42"/>
      <c r="Y49" s="42"/>
      <c r="Z49" s="42"/>
    </row>
    <row r="50" ht="15.75" customHeight="1">
      <c r="A50" s="52"/>
      <c r="B50" s="60"/>
      <c r="C50" s="60"/>
      <c r="D50" s="199"/>
      <c r="E50" s="199"/>
      <c r="F50" s="199"/>
      <c r="G50" s="199"/>
      <c r="H50" s="209"/>
      <c r="I50" s="62"/>
      <c r="J50" s="42"/>
      <c r="K50" s="42"/>
      <c r="L50" s="42"/>
      <c r="M50" s="42"/>
      <c r="N50" s="42"/>
      <c r="O50" s="42"/>
      <c r="P50" s="42"/>
      <c r="Q50" s="42"/>
      <c r="R50" s="42"/>
      <c r="S50" s="42"/>
      <c r="T50" s="42"/>
      <c r="U50" s="42"/>
      <c r="V50" s="42"/>
      <c r="W50" s="42"/>
      <c r="X50" s="42"/>
      <c r="Y50" s="42"/>
      <c r="Z50" s="42"/>
    </row>
    <row r="51" ht="15.75" customHeight="1">
      <c r="A51" s="52"/>
      <c r="B51" s="60"/>
      <c r="C51" s="60"/>
      <c r="D51" s="199"/>
      <c r="E51" s="199"/>
      <c r="F51" s="199"/>
      <c r="G51" s="199"/>
      <c r="H51" s="209"/>
      <c r="I51" s="62"/>
      <c r="J51" s="42"/>
      <c r="K51" s="42"/>
      <c r="L51" s="42"/>
      <c r="M51" s="42"/>
      <c r="N51" s="42"/>
      <c r="O51" s="42"/>
      <c r="P51" s="42"/>
      <c r="Q51" s="42"/>
      <c r="R51" s="42"/>
      <c r="S51" s="42"/>
      <c r="T51" s="42"/>
      <c r="U51" s="42"/>
      <c r="V51" s="42"/>
      <c r="W51" s="42"/>
      <c r="X51" s="42"/>
      <c r="Y51" s="42"/>
      <c r="Z51" s="42"/>
    </row>
    <row r="52" ht="15.75" customHeight="1">
      <c r="A52" s="52"/>
      <c r="B52" s="60"/>
      <c r="C52" s="60"/>
      <c r="D52" s="199"/>
      <c r="E52" s="199"/>
      <c r="F52" s="199"/>
      <c r="G52" s="199"/>
      <c r="H52" s="209"/>
      <c r="I52" s="62"/>
      <c r="J52" s="42"/>
      <c r="K52" s="42"/>
      <c r="L52" s="42"/>
      <c r="M52" s="42"/>
      <c r="N52" s="42"/>
      <c r="O52" s="42"/>
      <c r="P52" s="42"/>
      <c r="Q52" s="42"/>
      <c r="R52" s="42"/>
      <c r="S52" s="42"/>
      <c r="T52" s="42"/>
      <c r="U52" s="42"/>
      <c r="V52" s="42"/>
      <c r="W52" s="42"/>
      <c r="X52" s="42"/>
      <c r="Y52" s="42"/>
      <c r="Z52" s="42"/>
    </row>
    <row r="53" ht="15.75" customHeight="1">
      <c r="A53" s="52"/>
      <c r="B53" s="60"/>
      <c r="C53" s="60"/>
      <c r="D53" s="199"/>
      <c r="E53" s="199"/>
      <c r="F53" s="199"/>
      <c r="G53" s="199"/>
      <c r="H53" s="209"/>
      <c r="I53" s="62"/>
      <c r="J53" s="42"/>
      <c r="K53" s="42"/>
      <c r="L53" s="42"/>
      <c r="M53" s="42"/>
      <c r="N53" s="42"/>
      <c r="O53" s="42"/>
      <c r="P53" s="42"/>
      <c r="Q53" s="42"/>
      <c r="R53" s="42"/>
      <c r="S53" s="42"/>
      <c r="T53" s="42"/>
      <c r="U53" s="42"/>
      <c r="V53" s="42"/>
      <c r="W53" s="42"/>
      <c r="X53" s="42"/>
      <c r="Y53" s="42"/>
      <c r="Z53" s="42"/>
    </row>
    <row r="54" ht="15.75" customHeight="1">
      <c r="A54" s="52"/>
      <c r="B54" s="60"/>
      <c r="C54" s="60"/>
      <c r="D54" s="199"/>
      <c r="E54" s="199"/>
      <c r="F54" s="199"/>
      <c r="G54" s="199"/>
      <c r="H54" s="209"/>
      <c r="I54" s="62"/>
      <c r="J54" s="42"/>
      <c r="K54" s="42"/>
      <c r="L54" s="42"/>
      <c r="M54" s="42"/>
      <c r="N54" s="42"/>
      <c r="O54" s="42"/>
      <c r="P54" s="42"/>
      <c r="Q54" s="42"/>
      <c r="R54" s="42"/>
      <c r="S54" s="42"/>
      <c r="T54" s="42"/>
      <c r="U54" s="42"/>
      <c r="V54" s="42"/>
      <c r="W54" s="42"/>
      <c r="X54" s="42"/>
      <c r="Y54" s="42"/>
      <c r="Z54" s="42"/>
    </row>
    <row r="55" ht="15.75" customHeight="1">
      <c r="A55" s="135"/>
      <c r="B55" s="136"/>
      <c r="C55" s="407"/>
      <c r="D55" s="477"/>
      <c r="E55" s="477"/>
      <c r="F55" s="477"/>
      <c r="G55" s="478"/>
      <c r="H55" s="479"/>
      <c r="I55" s="62"/>
      <c r="J55" s="245"/>
      <c r="K55" s="245"/>
      <c r="L55" s="245"/>
      <c r="M55" s="245"/>
      <c r="N55" s="245"/>
      <c r="O55" s="245"/>
      <c r="P55" s="245"/>
      <c r="Q55" s="245"/>
      <c r="R55" s="245"/>
      <c r="S55" s="245"/>
      <c r="T55" s="245"/>
      <c r="U55" s="245"/>
      <c r="V55" s="245"/>
      <c r="W55" s="245"/>
      <c r="X55" s="245"/>
      <c r="Y55" s="245"/>
      <c r="Z55" s="245"/>
    </row>
    <row r="56" ht="15.75" customHeight="1">
      <c r="A56" s="135"/>
      <c r="B56" s="136"/>
      <c r="C56" s="407"/>
      <c r="D56" s="199"/>
      <c r="E56" s="199"/>
      <c r="F56" s="199"/>
      <c r="G56" s="480"/>
      <c r="H56" s="209"/>
      <c r="I56" s="62"/>
      <c r="J56" s="245"/>
      <c r="K56" s="245"/>
      <c r="L56" s="245"/>
      <c r="M56" s="245"/>
      <c r="N56" s="245"/>
      <c r="O56" s="245"/>
      <c r="P56" s="245"/>
      <c r="Q56" s="245"/>
      <c r="R56" s="245"/>
      <c r="S56" s="245"/>
      <c r="T56" s="245"/>
      <c r="U56" s="245"/>
      <c r="V56" s="245"/>
      <c r="W56" s="245"/>
      <c r="X56" s="245"/>
      <c r="Y56" s="245"/>
      <c r="Z56" s="245"/>
    </row>
    <row r="57" ht="15.75" customHeight="1">
      <c r="A57" s="135"/>
      <c r="B57" s="136"/>
      <c r="C57" s="407"/>
      <c r="D57" s="199"/>
      <c r="E57" s="199"/>
      <c r="F57" s="199"/>
      <c r="G57" s="480"/>
      <c r="H57" s="209"/>
      <c r="I57" s="62"/>
      <c r="J57" s="245"/>
      <c r="K57" s="245"/>
      <c r="L57" s="245"/>
      <c r="M57" s="245"/>
      <c r="N57" s="245"/>
      <c r="O57" s="245"/>
      <c r="P57" s="245"/>
      <c r="Q57" s="245"/>
      <c r="R57" s="245"/>
      <c r="S57" s="245"/>
      <c r="T57" s="245"/>
      <c r="U57" s="245"/>
      <c r="V57" s="245"/>
      <c r="W57" s="245"/>
      <c r="X57" s="245"/>
      <c r="Y57" s="245"/>
      <c r="Z57" s="245"/>
    </row>
    <row r="58" ht="15.75" customHeight="1">
      <c r="A58" s="135"/>
      <c r="B58" s="136"/>
      <c r="C58" s="407"/>
      <c r="D58" s="407"/>
      <c r="E58" s="407"/>
      <c r="F58" s="407"/>
      <c r="G58" s="481"/>
      <c r="H58" s="482"/>
      <c r="I58" s="62"/>
      <c r="J58" s="245"/>
      <c r="K58" s="245"/>
      <c r="L58" s="245"/>
      <c r="M58" s="245"/>
      <c r="N58" s="245"/>
      <c r="O58" s="245"/>
      <c r="P58" s="245"/>
      <c r="Q58" s="245"/>
      <c r="R58" s="245"/>
      <c r="S58" s="245"/>
      <c r="T58" s="245"/>
      <c r="U58" s="245"/>
      <c r="V58" s="245"/>
      <c r="W58" s="245"/>
      <c r="X58" s="245"/>
      <c r="Y58" s="245"/>
      <c r="Z58" s="245"/>
    </row>
    <row r="59" ht="15.75" customHeight="1">
      <c r="A59" s="135"/>
      <c r="B59" s="136"/>
      <c r="C59" s="407"/>
      <c r="D59" s="407"/>
      <c r="E59" s="407"/>
      <c r="F59" s="407"/>
      <c r="G59" s="481"/>
      <c r="H59" s="482"/>
      <c r="I59" s="62"/>
    </row>
    <row r="60" ht="15.75" customHeight="1">
      <c r="A60" s="88" t="s">
        <v>88</v>
      </c>
      <c r="B60" s="37"/>
      <c r="C60" s="37"/>
      <c r="D60" s="37"/>
      <c r="E60" s="37"/>
      <c r="F60" s="37"/>
      <c r="G60" s="46"/>
      <c r="H60" s="472">
        <f>SUM(H10:H59)</f>
        <v>0</v>
      </c>
    </row>
    <row r="61" ht="15.75" customHeight="1">
      <c r="A61" s="36"/>
      <c r="B61" s="37"/>
      <c r="C61" s="37"/>
      <c r="D61" s="37"/>
      <c r="E61" s="37"/>
      <c r="F61" s="37"/>
      <c r="G61" s="37"/>
      <c r="H61" s="1"/>
    </row>
    <row r="62" ht="15.75" customHeight="1">
      <c r="A62" s="473" t="s">
        <v>178</v>
      </c>
      <c r="B62" s="91"/>
      <c r="C62" s="91"/>
      <c r="D62" s="91"/>
      <c r="E62" s="91"/>
      <c r="F62" s="91"/>
      <c r="G62" s="91"/>
      <c r="H62" s="92"/>
    </row>
    <row r="63" ht="15.75" customHeight="1">
      <c r="A63" s="36"/>
      <c r="B63" s="37"/>
      <c r="C63" s="37"/>
      <c r="D63" s="37"/>
      <c r="E63" s="37"/>
      <c r="F63" s="37"/>
      <c r="G63" s="37"/>
      <c r="H63" s="1"/>
    </row>
    <row r="64" ht="15.75" customHeight="1">
      <c r="A64" s="36"/>
      <c r="B64" s="37"/>
      <c r="C64" s="37"/>
      <c r="D64" s="37"/>
      <c r="E64" s="37"/>
      <c r="F64" s="37"/>
      <c r="G64" s="37"/>
      <c r="H64" s="1"/>
    </row>
    <row r="65" ht="15.75" customHeight="1">
      <c r="A65" s="36"/>
      <c r="B65" s="37"/>
      <c r="C65" s="37"/>
      <c r="D65" s="37"/>
      <c r="E65" s="37"/>
      <c r="F65" s="37"/>
      <c r="G65" s="37"/>
      <c r="H65" s="1"/>
    </row>
    <row r="66" ht="15.75" customHeight="1">
      <c r="A66" s="36"/>
      <c r="B66" s="37"/>
      <c r="C66" s="37"/>
      <c r="D66" s="37"/>
      <c r="E66" s="37"/>
      <c r="F66" s="37"/>
      <c r="G66" s="37"/>
      <c r="H66" s="1"/>
    </row>
    <row r="67" ht="15.75" customHeight="1">
      <c r="A67" s="36"/>
      <c r="B67" s="37"/>
      <c r="C67" s="37"/>
      <c r="D67" s="37"/>
      <c r="E67" s="37"/>
      <c r="F67" s="37"/>
      <c r="G67" s="37"/>
      <c r="H67" s="1"/>
    </row>
    <row r="68" ht="15.75" customHeight="1">
      <c r="A68" s="36"/>
      <c r="B68" s="37"/>
      <c r="C68" s="37"/>
      <c r="D68" s="37"/>
      <c r="E68" s="37"/>
      <c r="F68" s="37"/>
      <c r="G68" s="37"/>
      <c r="H68" s="1"/>
    </row>
    <row r="69" ht="15.75" customHeight="1">
      <c r="A69" s="36"/>
      <c r="B69" s="37"/>
      <c r="C69" s="37"/>
      <c r="D69" s="37"/>
      <c r="E69" s="37"/>
      <c r="F69" s="37"/>
      <c r="G69" s="37"/>
      <c r="H69" s="1"/>
    </row>
    <row r="70" ht="15.75" customHeight="1">
      <c r="A70" s="36"/>
      <c r="B70" s="37"/>
      <c r="C70" s="37"/>
      <c r="D70" s="37"/>
      <c r="E70" s="37"/>
      <c r="F70" s="37"/>
      <c r="G70" s="37"/>
      <c r="H70" s="1"/>
    </row>
    <row r="71" ht="15.75" customHeight="1">
      <c r="A71" s="36"/>
      <c r="B71" s="37"/>
      <c r="C71" s="37"/>
      <c r="D71" s="37"/>
      <c r="E71" s="37"/>
      <c r="F71" s="37"/>
      <c r="G71" s="37"/>
      <c r="H71" s="1"/>
    </row>
    <row r="72" ht="15.75" customHeight="1">
      <c r="A72" s="36"/>
      <c r="B72" s="37"/>
      <c r="C72" s="37"/>
      <c r="D72" s="37"/>
      <c r="E72" s="37"/>
      <c r="F72" s="37"/>
      <c r="G72" s="37"/>
      <c r="H72" s="1"/>
    </row>
    <row r="73" ht="15.75" customHeight="1">
      <c r="A73" s="36"/>
      <c r="B73" s="37"/>
      <c r="C73" s="37"/>
      <c r="D73" s="37"/>
      <c r="E73" s="37"/>
      <c r="F73" s="37"/>
      <c r="G73" s="37"/>
      <c r="H73" s="1"/>
    </row>
    <row r="74" ht="15.75" customHeight="1">
      <c r="A74" s="36"/>
      <c r="B74" s="37"/>
      <c r="C74" s="37"/>
      <c r="D74" s="37"/>
      <c r="E74" s="37"/>
      <c r="F74" s="37"/>
      <c r="G74" s="37"/>
      <c r="H74" s="1"/>
    </row>
    <row r="75" ht="15.75" customHeight="1">
      <c r="A75" s="36"/>
      <c r="B75" s="37"/>
      <c r="C75" s="37"/>
      <c r="D75" s="37"/>
      <c r="E75" s="37"/>
      <c r="F75" s="37"/>
      <c r="G75" s="37"/>
      <c r="H75" s="1"/>
    </row>
    <row r="76" ht="15.75" customHeight="1">
      <c r="A76" s="36"/>
      <c r="B76" s="37"/>
      <c r="C76" s="37"/>
      <c r="D76" s="37"/>
      <c r="E76" s="37"/>
      <c r="F76" s="37"/>
      <c r="G76" s="37"/>
      <c r="H76" s="1"/>
    </row>
    <row r="77" ht="15.75" customHeight="1">
      <c r="A77" s="36"/>
      <c r="B77" s="37"/>
      <c r="C77" s="37"/>
      <c r="D77" s="37"/>
      <c r="E77" s="37"/>
      <c r="F77" s="37"/>
      <c r="G77" s="37"/>
      <c r="H77" s="1"/>
    </row>
    <row r="78" ht="15.75" customHeight="1">
      <c r="A78" s="36"/>
      <c r="B78" s="37"/>
      <c r="C78" s="37"/>
      <c r="D78" s="37"/>
      <c r="E78" s="37"/>
      <c r="F78" s="37"/>
      <c r="G78" s="37"/>
      <c r="H78" s="1"/>
    </row>
    <row r="79" ht="15.75" customHeight="1">
      <c r="A79" s="36"/>
      <c r="B79" s="37"/>
      <c r="C79" s="37"/>
      <c r="D79" s="37"/>
      <c r="E79" s="37"/>
      <c r="F79" s="37"/>
      <c r="G79" s="37"/>
      <c r="H79" s="1"/>
    </row>
    <row r="80" ht="15.75" customHeight="1">
      <c r="A80" s="36"/>
      <c r="B80" s="37"/>
      <c r="C80" s="37"/>
      <c r="D80" s="37"/>
      <c r="E80" s="37"/>
      <c r="F80" s="37"/>
      <c r="G80" s="37"/>
      <c r="H80" s="1"/>
    </row>
    <row r="81" ht="15.75" customHeight="1">
      <c r="A81" s="36"/>
      <c r="B81" s="37"/>
      <c r="C81" s="37"/>
      <c r="D81" s="37"/>
      <c r="E81" s="37"/>
      <c r="F81" s="37"/>
      <c r="G81" s="37"/>
      <c r="H81" s="1"/>
    </row>
    <row r="82" ht="15.75" customHeight="1">
      <c r="A82" s="36"/>
      <c r="B82" s="37"/>
      <c r="C82" s="37"/>
      <c r="D82" s="37"/>
      <c r="E82" s="37"/>
      <c r="F82" s="37"/>
      <c r="G82" s="37"/>
      <c r="H82" s="1"/>
    </row>
    <row r="83" ht="15.75" customHeight="1">
      <c r="A83" s="36"/>
      <c r="B83" s="37"/>
      <c r="C83" s="37"/>
      <c r="D83" s="37"/>
      <c r="E83" s="37"/>
      <c r="F83" s="37"/>
      <c r="G83" s="37"/>
      <c r="H83" s="1"/>
    </row>
    <row r="84" ht="15.75" customHeight="1">
      <c r="A84" s="36"/>
      <c r="B84" s="37"/>
      <c r="C84" s="37"/>
      <c r="D84" s="37"/>
      <c r="E84" s="37"/>
      <c r="F84" s="37"/>
      <c r="G84" s="37"/>
      <c r="H84" s="1"/>
    </row>
    <row r="85" ht="15.75" customHeight="1">
      <c r="A85" s="36"/>
      <c r="B85" s="37"/>
      <c r="C85" s="37"/>
      <c r="D85" s="37"/>
      <c r="E85" s="37"/>
      <c r="F85" s="37"/>
      <c r="G85" s="37"/>
      <c r="H85" s="1"/>
    </row>
    <row r="86" ht="15.75" customHeight="1">
      <c r="A86" s="36"/>
      <c r="B86" s="37"/>
      <c r="C86" s="37"/>
      <c r="D86" s="37"/>
      <c r="E86" s="37"/>
      <c r="F86" s="37"/>
      <c r="G86" s="37"/>
      <c r="H86" s="1"/>
    </row>
    <row r="87" ht="15.75" customHeight="1">
      <c r="A87" s="36"/>
      <c r="B87" s="37"/>
      <c r="C87" s="37"/>
      <c r="D87" s="37"/>
      <c r="E87" s="37"/>
      <c r="F87" s="37"/>
      <c r="G87" s="37"/>
      <c r="H87" s="1"/>
    </row>
    <row r="88" ht="15.75" customHeight="1">
      <c r="A88" s="36"/>
      <c r="B88" s="37"/>
      <c r="C88" s="37"/>
      <c r="D88" s="37"/>
      <c r="E88" s="37"/>
      <c r="F88" s="37"/>
      <c r="G88" s="37"/>
      <c r="H88" s="1"/>
    </row>
    <row r="89" ht="15.75" customHeight="1">
      <c r="A89" s="36"/>
      <c r="B89" s="37"/>
      <c r="C89" s="37"/>
      <c r="D89" s="37"/>
      <c r="E89" s="37"/>
      <c r="F89" s="37"/>
      <c r="G89" s="37"/>
      <c r="H89" s="1"/>
    </row>
    <row r="90" ht="15.75" customHeight="1">
      <c r="A90" s="36"/>
      <c r="B90" s="37"/>
      <c r="C90" s="37"/>
      <c r="D90" s="37"/>
      <c r="E90" s="37"/>
      <c r="F90" s="37"/>
      <c r="G90" s="37"/>
      <c r="H90" s="1"/>
    </row>
    <row r="91" ht="15.75" customHeight="1">
      <c r="A91" s="36"/>
      <c r="B91" s="37"/>
      <c r="C91" s="37"/>
      <c r="D91" s="37"/>
      <c r="E91" s="37"/>
      <c r="F91" s="37"/>
      <c r="G91" s="37"/>
      <c r="H91" s="1"/>
    </row>
    <row r="92" ht="15.75" customHeight="1">
      <c r="A92" s="36"/>
      <c r="B92" s="37"/>
      <c r="C92" s="37"/>
      <c r="D92" s="37"/>
      <c r="E92" s="37"/>
      <c r="F92" s="37"/>
      <c r="G92" s="37"/>
      <c r="H92" s="1"/>
    </row>
    <row r="93" ht="15.75" customHeight="1">
      <c r="A93" s="36"/>
      <c r="B93" s="37"/>
      <c r="C93" s="37"/>
      <c r="D93" s="37"/>
      <c r="E93" s="37"/>
      <c r="F93" s="37"/>
      <c r="G93" s="37"/>
      <c r="H93" s="1"/>
    </row>
    <row r="94" ht="15.75" customHeight="1">
      <c r="A94" s="36"/>
      <c r="B94" s="37"/>
      <c r="C94" s="37"/>
      <c r="D94" s="37"/>
      <c r="E94" s="37"/>
      <c r="F94" s="37"/>
      <c r="G94" s="37"/>
      <c r="H94" s="1"/>
    </row>
    <row r="95" ht="15.75" customHeight="1">
      <c r="A95" s="36"/>
      <c r="B95" s="37"/>
      <c r="C95" s="37"/>
      <c r="D95" s="37"/>
      <c r="E95" s="37"/>
      <c r="F95" s="37"/>
      <c r="G95" s="37"/>
      <c r="H95" s="1"/>
    </row>
    <row r="96" ht="15.75" customHeight="1">
      <c r="A96" s="36"/>
      <c r="B96" s="37"/>
      <c r="C96" s="37"/>
      <c r="D96" s="37"/>
      <c r="E96" s="37"/>
      <c r="F96" s="37"/>
      <c r="G96" s="37"/>
      <c r="H96" s="1"/>
    </row>
    <row r="97" ht="15.75" customHeight="1">
      <c r="A97" s="36"/>
      <c r="B97" s="37"/>
      <c r="C97" s="37"/>
      <c r="D97" s="37"/>
      <c r="E97" s="37"/>
      <c r="F97" s="37"/>
      <c r="G97" s="37"/>
      <c r="H97" s="1"/>
    </row>
    <row r="98" ht="15.75" customHeight="1">
      <c r="A98" s="36"/>
      <c r="B98" s="37"/>
      <c r="C98" s="37"/>
      <c r="D98" s="37"/>
      <c r="E98" s="37"/>
      <c r="F98" s="37"/>
      <c r="G98" s="37"/>
      <c r="H98" s="1"/>
    </row>
    <row r="99" ht="15.75" customHeight="1">
      <c r="A99" s="36"/>
      <c r="B99" s="37"/>
      <c r="C99" s="37"/>
      <c r="D99" s="37"/>
      <c r="E99" s="37"/>
      <c r="F99" s="37"/>
      <c r="G99" s="37"/>
      <c r="H99" s="1"/>
    </row>
    <row r="100" ht="15.75" customHeight="1">
      <c r="A100" s="36"/>
      <c r="B100" s="37"/>
      <c r="C100" s="37"/>
      <c r="D100" s="37"/>
      <c r="E100" s="37"/>
      <c r="F100" s="37"/>
      <c r="G100" s="37"/>
      <c r="H100" s="1"/>
    </row>
    <row r="101" ht="15.75" customHeight="1">
      <c r="A101" s="36"/>
      <c r="B101" s="37"/>
      <c r="C101" s="37"/>
      <c r="D101" s="37"/>
      <c r="E101" s="37"/>
      <c r="F101" s="37"/>
      <c r="G101" s="37"/>
      <c r="H101" s="1"/>
    </row>
    <row r="102" ht="15.75" customHeight="1">
      <c r="A102" s="36"/>
      <c r="B102" s="37"/>
      <c r="C102" s="37"/>
      <c r="D102" s="37"/>
      <c r="E102" s="37"/>
      <c r="F102" s="37"/>
      <c r="G102" s="37"/>
      <c r="H102" s="1"/>
    </row>
    <row r="103" ht="15.75" customHeight="1">
      <c r="A103" s="36"/>
      <c r="B103" s="37"/>
      <c r="C103" s="37"/>
      <c r="D103" s="37"/>
      <c r="E103" s="37"/>
      <c r="F103" s="37"/>
      <c r="G103" s="37"/>
      <c r="H103" s="1"/>
    </row>
    <row r="104" ht="15.75" customHeight="1">
      <c r="A104" s="36"/>
      <c r="B104" s="37"/>
      <c r="C104" s="37"/>
      <c r="D104" s="37"/>
      <c r="E104" s="37"/>
      <c r="F104" s="37"/>
      <c r="G104" s="37"/>
      <c r="H104" s="1"/>
    </row>
    <row r="105" ht="15.75" customHeight="1">
      <c r="A105" s="36"/>
      <c r="B105" s="37"/>
      <c r="C105" s="37"/>
      <c r="D105" s="37"/>
      <c r="E105" s="37"/>
      <c r="F105" s="37"/>
      <c r="G105" s="37"/>
      <c r="H105" s="1"/>
    </row>
    <row r="106" ht="15.75" customHeight="1">
      <c r="A106" s="36"/>
      <c r="B106" s="37"/>
      <c r="C106" s="37"/>
      <c r="D106" s="37"/>
      <c r="E106" s="37"/>
      <c r="F106" s="37"/>
      <c r="G106" s="37"/>
      <c r="H106" s="1"/>
    </row>
    <row r="107" ht="15.75" customHeight="1">
      <c r="A107" s="36"/>
      <c r="B107" s="37"/>
      <c r="C107" s="37"/>
      <c r="D107" s="37"/>
      <c r="E107" s="37"/>
      <c r="F107" s="37"/>
      <c r="G107" s="37"/>
      <c r="H107" s="1"/>
    </row>
    <row r="108" ht="15.75" customHeight="1">
      <c r="A108" s="36"/>
      <c r="B108" s="37"/>
      <c r="C108" s="37"/>
      <c r="D108" s="37"/>
      <c r="E108" s="37"/>
      <c r="F108" s="37"/>
      <c r="G108" s="37"/>
      <c r="H108" s="1"/>
    </row>
    <row r="109" ht="15.75" customHeight="1">
      <c r="A109" s="36"/>
      <c r="B109" s="37"/>
      <c r="C109" s="37"/>
      <c r="D109" s="37"/>
      <c r="E109" s="37"/>
      <c r="F109" s="37"/>
      <c r="G109" s="37"/>
      <c r="H109" s="1"/>
    </row>
    <row r="110" ht="15.75" customHeight="1">
      <c r="A110" s="36"/>
      <c r="B110" s="37"/>
      <c r="C110" s="37"/>
      <c r="D110" s="37"/>
      <c r="E110" s="37"/>
      <c r="F110" s="37"/>
      <c r="G110" s="37"/>
      <c r="H110" s="1"/>
    </row>
    <row r="111" ht="15.75" customHeight="1">
      <c r="A111" s="36"/>
      <c r="B111" s="37"/>
      <c r="C111" s="37"/>
      <c r="D111" s="37"/>
      <c r="E111" s="37"/>
      <c r="F111" s="37"/>
      <c r="G111" s="37"/>
      <c r="H111" s="1"/>
    </row>
    <row r="112" ht="15.75" customHeight="1">
      <c r="A112" s="36"/>
      <c r="B112" s="37"/>
      <c r="C112" s="37"/>
      <c r="D112" s="37"/>
      <c r="E112" s="37"/>
      <c r="F112" s="37"/>
      <c r="G112" s="37"/>
      <c r="H112" s="1"/>
    </row>
    <row r="113" ht="15.75" customHeight="1">
      <c r="A113" s="36"/>
      <c r="B113" s="37"/>
      <c r="C113" s="37"/>
      <c r="D113" s="37"/>
      <c r="E113" s="37"/>
      <c r="F113" s="37"/>
      <c r="G113" s="37"/>
      <c r="H113" s="1"/>
    </row>
    <row r="114" ht="15.75" customHeight="1">
      <c r="A114" s="36"/>
      <c r="B114" s="37"/>
      <c r="C114" s="37"/>
      <c r="D114" s="37"/>
      <c r="E114" s="37"/>
      <c r="F114" s="37"/>
      <c r="G114" s="37"/>
      <c r="H114" s="1"/>
    </row>
    <row r="115" ht="15.75" customHeight="1">
      <c r="A115" s="36"/>
      <c r="B115" s="37"/>
      <c r="C115" s="37"/>
      <c r="D115" s="37"/>
      <c r="E115" s="37"/>
      <c r="F115" s="37"/>
      <c r="G115" s="37"/>
      <c r="H115" s="1"/>
    </row>
    <row r="116" ht="15.75" customHeight="1">
      <c r="A116" s="36"/>
      <c r="B116" s="37"/>
      <c r="C116" s="37"/>
      <c r="D116" s="37"/>
      <c r="E116" s="37"/>
      <c r="F116" s="37"/>
      <c r="G116" s="37"/>
      <c r="H116" s="1"/>
    </row>
    <row r="117" ht="15.75" customHeight="1">
      <c r="A117" s="36"/>
      <c r="B117" s="37"/>
      <c r="C117" s="37"/>
      <c r="D117" s="37"/>
      <c r="E117" s="37"/>
      <c r="F117" s="37"/>
      <c r="G117" s="37"/>
      <c r="H117" s="1"/>
    </row>
    <row r="118" ht="15.75" customHeight="1">
      <c r="A118" s="36"/>
      <c r="B118" s="37"/>
      <c r="C118" s="37"/>
      <c r="D118" s="37"/>
      <c r="E118" s="37"/>
      <c r="F118" s="37"/>
      <c r="G118" s="37"/>
      <c r="H118" s="1"/>
    </row>
    <row r="119" ht="15.75" customHeight="1">
      <c r="A119" s="36"/>
      <c r="B119" s="37"/>
      <c r="C119" s="37"/>
      <c r="D119" s="37"/>
      <c r="E119" s="37"/>
      <c r="F119" s="37"/>
      <c r="G119" s="37"/>
      <c r="H119" s="1"/>
    </row>
    <row r="120" ht="15.75" customHeight="1">
      <c r="A120" s="36"/>
      <c r="B120" s="37"/>
      <c r="C120" s="37"/>
      <c r="D120" s="37"/>
      <c r="E120" s="37"/>
      <c r="F120" s="37"/>
      <c r="G120" s="37"/>
      <c r="H120" s="1"/>
    </row>
    <row r="121" ht="15.75" customHeight="1">
      <c r="A121" s="36"/>
      <c r="B121" s="37"/>
      <c r="C121" s="37"/>
      <c r="D121" s="37"/>
      <c r="E121" s="37"/>
      <c r="F121" s="37"/>
      <c r="G121" s="37"/>
      <c r="H121" s="1"/>
    </row>
    <row r="122" ht="15.75" customHeight="1">
      <c r="A122" s="36"/>
      <c r="B122" s="37"/>
      <c r="C122" s="37"/>
      <c r="D122" s="37"/>
      <c r="E122" s="37"/>
      <c r="F122" s="37"/>
      <c r="G122" s="37"/>
      <c r="H122" s="1"/>
    </row>
    <row r="123" ht="15.75" customHeight="1">
      <c r="A123" s="36"/>
      <c r="B123" s="37"/>
      <c r="C123" s="37"/>
      <c r="D123" s="37"/>
      <c r="E123" s="37"/>
      <c r="F123" s="37"/>
      <c r="G123" s="37"/>
      <c r="H123" s="1"/>
    </row>
    <row r="124" ht="15.75" customHeight="1">
      <c r="A124" s="36"/>
      <c r="B124" s="37"/>
      <c r="C124" s="37"/>
      <c r="D124" s="37"/>
      <c r="E124" s="37"/>
      <c r="F124" s="37"/>
      <c r="G124" s="37"/>
      <c r="H124" s="1"/>
    </row>
    <row r="125" ht="15.75" customHeight="1">
      <c r="A125" s="36"/>
      <c r="B125" s="37"/>
      <c r="C125" s="37"/>
      <c r="D125" s="37"/>
      <c r="E125" s="37"/>
      <c r="F125" s="37"/>
      <c r="G125" s="37"/>
      <c r="H125" s="1"/>
    </row>
    <row r="126" ht="15.75" customHeight="1">
      <c r="A126" s="36"/>
      <c r="B126" s="37"/>
      <c r="C126" s="37"/>
      <c r="D126" s="37"/>
      <c r="E126" s="37"/>
      <c r="F126" s="37"/>
      <c r="G126" s="37"/>
      <c r="H126" s="1"/>
    </row>
    <row r="127" ht="15.75" customHeight="1">
      <c r="A127" s="36"/>
      <c r="B127" s="37"/>
      <c r="C127" s="37"/>
      <c r="D127" s="37"/>
      <c r="E127" s="37"/>
      <c r="F127" s="37"/>
      <c r="G127" s="37"/>
      <c r="H127" s="1"/>
    </row>
    <row r="128" ht="15.75" customHeight="1">
      <c r="A128" s="36"/>
      <c r="B128" s="37"/>
      <c r="C128" s="37"/>
      <c r="D128" s="37"/>
      <c r="E128" s="37"/>
      <c r="F128" s="37"/>
      <c r="G128" s="37"/>
      <c r="H128" s="1"/>
    </row>
    <row r="129" ht="15.75" customHeight="1">
      <c r="A129" s="36"/>
      <c r="B129" s="37"/>
      <c r="C129" s="37"/>
      <c r="D129" s="37"/>
      <c r="E129" s="37"/>
      <c r="F129" s="37"/>
      <c r="G129" s="37"/>
      <c r="H129" s="1"/>
    </row>
    <row r="130" ht="15.75" customHeight="1">
      <c r="A130" s="36"/>
      <c r="B130" s="37"/>
      <c r="C130" s="37"/>
      <c r="D130" s="37"/>
      <c r="E130" s="37"/>
      <c r="F130" s="37"/>
      <c r="G130" s="37"/>
      <c r="H130" s="1"/>
    </row>
    <row r="131" ht="15.75" customHeight="1">
      <c r="A131" s="36"/>
      <c r="B131" s="37"/>
      <c r="C131" s="37"/>
      <c r="D131" s="37"/>
      <c r="E131" s="37"/>
      <c r="F131" s="37"/>
      <c r="G131" s="37"/>
      <c r="H131" s="1"/>
    </row>
    <row r="132" ht="15.75" customHeight="1">
      <c r="A132" s="36"/>
      <c r="B132" s="37"/>
      <c r="C132" s="37"/>
      <c r="D132" s="37"/>
      <c r="E132" s="37"/>
      <c r="F132" s="37"/>
      <c r="G132" s="37"/>
      <c r="H132" s="1"/>
    </row>
    <row r="133" ht="15.75" customHeight="1">
      <c r="A133" s="36"/>
      <c r="B133" s="37"/>
      <c r="C133" s="37"/>
      <c r="D133" s="37"/>
      <c r="E133" s="37"/>
      <c r="F133" s="37"/>
      <c r="G133" s="37"/>
      <c r="H133" s="1"/>
    </row>
    <row r="134" ht="15.75" customHeight="1">
      <c r="A134" s="36"/>
      <c r="B134" s="37"/>
      <c r="C134" s="37"/>
      <c r="D134" s="37"/>
      <c r="E134" s="37"/>
      <c r="F134" s="37"/>
      <c r="G134" s="37"/>
      <c r="H134" s="1"/>
    </row>
    <row r="135" ht="15.75" customHeight="1">
      <c r="A135" s="36"/>
      <c r="B135" s="37"/>
      <c r="C135" s="37"/>
      <c r="D135" s="37"/>
      <c r="E135" s="37"/>
      <c r="F135" s="37"/>
      <c r="G135" s="37"/>
      <c r="H135" s="1"/>
    </row>
    <row r="136" ht="15.75" customHeight="1">
      <c r="A136" s="36"/>
      <c r="B136" s="37"/>
      <c r="C136" s="37"/>
      <c r="D136" s="37"/>
      <c r="E136" s="37"/>
      <c r="F136" s="37"/>
      <c r="G136" s="37"/>
      <c r="H136" s="1"/>
    </row>
    <row r="137" ht="15.75" customHeight="1">
      <c r="A137" s="36"/>
      <c r="B137" s="37"/>
      <c r="C137" s="37"/>
      <c r="D137" s="37"/>
      <c r="E137" s="37"/>
      <c r="F137" s="37"/>
      <c r="G137" s="37"/>
      <c r="H137" s="1"/>
    </row>
    <row r="138" ht="15.75" customHeight="1">
      <c r="A138" s="36"/>
      <c r="B138" s="37"/>
      <c r="C138" s="37"/>
      <c r="D138" s="37"/>
      <c r="E138" s="37"/>
      <c r="F138" s="37"/>
      <c r="G138" s="37"/>
      <c r="H138" s="1"/>
    </row>
    <row r="139" ht="15.75" customHeight="1">
      <c r="A139" s="36"/>
      <c r="B139" s="37"/>
      <c r="C139" s="37"/>
      <c r="D139" s="37"/>
      <c r="E139" s="37"/>
      <c r="F139" s="37"/>
      <c r="G139" s="37"/>
      <c r="H139" s="1"/>
    </row>
    <row r="140" ht="15.75" customHeight="1">
      <c r="A140" s="36"/>
      <c r="B140" s="37"/>
      <c r="C140" s="37"/>
      <c r="D140" s="37"/>
      <c r="E140" s="37"/>
      <c r="F140" s="37"/>
      <c r="G140" s="37"/>
      <c r="H140" s="1"/>
    </row>
    <row r="141" ht="15.75" customHeight="1">
      <c r="A141" s="36"/>
      <c r="B141" s="37"/>
      <c r="C141" s="37"/>
      <c r="D141" s="37"/>
      <c r="E141" s="37"/>
      <c r="F141" s="37"/>
      <c r="G141" s="37"/>
      <c r="H141" s="1"/>
    </row>
    <row r="142" ht="15.75" customHeight="1">
      <c r="A142" s="36"/>
      <c r="B142" s="37"/>
      <c r="C142" s="37"/>
      <c r="D142" s="37"/>
      <c r="E142" s="37"/>
      <c r="F142" s="37"/>
      <c r="G142" s="37"/>
      <c r="H142" s="1"/>
    </row>
    <row r="143" ht="15.75" customHeight="1">
      <c r="A143" s="36"/>
      <c r="B143" s="37"/>
      <c r="C143" s="37"/>
      <c r="D143" s="37"/>
      <c r="E143" s="37"/>
      <c r="F143" s="37"/>
      <c r="G143" s="37"/>
      <c r="H143" s="1"/>
    </row>
    <row r="144" ht="15.75" customHeight="1">
      <c r="A144" s="36"/>
      <c r="B144" s="37"/>
      <c r="C144" s="37"/>
      <c r="D144" s="37"/>
      <c r="E144" s="37"/>
      <c r="F144" s="37"/>
      <c r="G144" s="37"/>
      <c r="H144" s="1"/>
    </row>
    <row r="145" ht="15.75" customHeight="1">
      <c r="A145" s="36"/>
      <c r="B145" s="37"/>
      <c r="C145" s="37"/>
      <c r="D145" s="37"/>
      <c r="E145" s="37"/>
      <c r="F145" s="37"/>
      <c r="G145" s="37"/>
      <c r="H145" s="1"/>
    </row>
    <row r="146" ht="15.75" customHeight="1">
      <c r="A146" s="36"/>
      <c r="B146" s="37"/>
      <c r="C146" s="37"/>
      <c r="D146" s="37"/>
      <c r="E146" s="37"/>
      <c r="F146" s="37"/>
      <c r="G146" s="37"/>
      <c r="H146" s="1"/>
    </row>
    <row r="147" ht="15.75" customHeight="1">
      <c r="A147" s="36"/>
      <c r="B147" s="37"/>
      <c r="C147" s="37"/>
      <c r="D147" s="37"/>
      <c r="E147" s="37"/>
      <c r="F147" s="37"/>
      <c r="G147" s="37"/>
      <c r="H147" s="1"/>
    </row>
    <row r="148" ht="15.75" customHeight="1">
      <c r="A148" s="36"/>
      <c r="B148" s="37"/>
      <c r="C148" s="37"/>
      <c r="D148" s="37"/>
      <c r="E148" s="37"/>
      <c r="F148" s="37"/>
      <c r="G148" s="37"/>
      <c r="H148" s="1"/>
    </row>
    <row r="149" ht="15.75" customHeight="1">
      <c r="A149" s="36"/>
      <c r="B149" s="37"/>
      <c r="C149" s="37"/>
      <c r="D149" s="37"/>
      <c r="E149" s="37"/>
      <c r="F149" s="37"/>
      <c r="G149" s="37"/>
      <c r="H149" s="1"/>
    </row>
    <row r="150" ht="15.75" customHeight="1">
      <c r="A150" s="36"/>
      <c r="B150" s="37"/>
      <c r="C150" s="37"/>
      <c r="D150" s="37"/>
      <c r="E150" s="37"/>
      <c r="F150" s="37"/>
      <c r="G150" s="37"/>
      <c r="H150" s="1"/>
    </row>
    <row r="151" ht="15.75" customHeight="1">
      <c r="A151" s="36"/>
      <c r="B151" s="37"/>
      <c r="C151" s="37"/>
      <c r="D151" s="37"/>
      <c r="E151" s="37"/>
      <c r="F151" s="37"/>
      <c r="G151" s="37"/>
      <c r="H151" s="1"/>
    </row>
    <row r="152" ht="15.75" customHeight="1">
      <c r="A152" s="36"/>
      <c r="B152" s="37"/>
      <c r="C152" s="37"/>
      <c r="D152" s="37"/>
      <c r="E152" s="37"/>
      <c r="F152" s="37"/>
      <c r="G152" s="37"/>
      <c r="H152" s="1"/>
    </row>
    <row r="153" ht="15.75" customHeight="1">
      <c r="A153" s="36"/>
      <c r="B153" s="37"/>
      <c r="C153" s="37"/>
      <c r="D153" s="37"/>
      <c r="E153" s="37"/>
      <c r="F153" s="37"/>
      <c r="G153" s="37"/>
      <c r="H153" s="1"/>
    </row>
    <row r="154" ht="15.75" customHeight="1">
      <c r="A154" s="36"/>
      <c r="B154" s="37"/>
      <c r="C154" s="37"/>
      <c r="D154" s="37"/>
      <c r="E154" s="37"/>
      <c r="F154" s="37"/>
      <c r="G154" s="37"/>
      <c r="H154" s="1"/>
    </row>
    <row r="155" ht="15.75" customHeight="1">
      <c r="A155" s="36"/>
      <c r="B155" s="37"/>
      <c r="C155" s="37"/>
      <c r="D155" s="37"/>
      <c r="E155" s="37"/>
      <c r="F155" s="37"/>
      <c r="G155" s="37"/>
      <c r="H155" s="1"/>
    </row>
    <row r="156" ht="15.75" customHeight="1">
      <c r="A156" s="36"/>
      <c r="B156" s="37"/>
      <c r="C156" s="37"/>
      <c r="D156" s="37"/>
      <c r="E156" s="37"/>
      <c r="F156" s="37"/>
      <c r="G156" s="37"/>
      <c r="H156" s="1"/>
    </row>
    <row r="157" ht="15.75" customHeight="1">
      <c r="A157" s="36"/>
      <c r="B157" s="37"/>
      <c r="C157" s="37"/>
      <c r="D157" s="37"/>
      <c r="E157" s="37"/>
      <c r="F157" s="37"/>
      <c r="G157" s="37"/>
      <c r="H157" s="1"/>
    </row>
    <row r="158" ht="15.75" customHeight="1">
      <c r="A158" s="36"/>
      <c r="B158" s="37"/>
      <c r="C158" s="37"/>
      <c r="D158" s="37"/>
      <c r="E158" s="37"/>
      <c r="F158" s="37"/>
      <c r="G158" s="37"/>
      <c r="H158" s="1"/>
    </row>
    <row r="159" ht="15.75" customHeight="1">
      <c r="A159" s="36"/>
      <c r="B159" s="37"/>
      <c r="C159" s="37"/>
      <c r="D159" s="37"/>
      <c r="E159" s="37"/>
      <c r="F159" s="37"/>
      <c r="G159" s="37"/>
      <c r="H159" s="1"/>
    </row>
    <row r="160" ht="15.75" customHeight="1">
      <c r="A160" s="36"/>
      <c r="B160" s="37"/>
      <c r="C160" s="37"/>
      <c r="D160" s="37"/>
      <c r="E160" s="37"/>
      <c r="F160" s="37"/>
      <c r="G160" s="37"/>
      <c r="H160" s="1"/>
    </row>
    <row r="161" ht="15.75" customHeight="1">
      <c r="A161" s="36"/>
      <c r="B161" s="37"/>
      <c r="C161" s="37"/>
      <c r="D161" s="37"/>
      <c r="E161" s="37"/>
      <c r="F161" s="37"/>
      <c r="G161" s="37"/>
      <c r="H161" s="1"/>
    </row>
    <row r="162" ht="15.75" customHeight="1">
      <c r="A162" s="36"/>
      <c r="B162" s="37"/>
      <c r="C162" s="37"/>
      <c r="D162" s="37"/>
      <c r="E162" s="37"/>
      <c r="F162" s="37"/>
      <c r="G162" s="37"/>
      <c r="H162" s="1"/>
    </row>
    <row r="163" ht="15.75" customHeight="1">
      <c r="A163" s="36"/>
      <c r="B163" s="37"/>
      <c r="C163" s="37"/>
      <c r="D163" s="37"/>
      <c r="E163" s="37"/>
      <c r="F163" s="37"/>
      <c r="G163" s="37"/>
      <c r="H163" s="1"/>
    </row>
    <row r="164" ht="15.75" customHeight="1">
      <c r="A164" s="36"/>
      <c r="B164" s="37"/>
      <c r="C164" s="37"/>
      <c r="D164" s="37"/>
      <c r="E164" s="37"/>
      <c r="F164" s="37"/>
      <c r="G164" s="37"/>
      <c r="H164" s="1"/>
    </row>
    <row r="165" ht="15.75" customHeight="1">
      <c r="A165" s="36"/>
      <c r="B165" s="37"/>
      <c r="C165" s="37"/>
      <c r="D165" s="37"/>
      <c r="E165" s="37"/>
      <c r="F165" s="37"/>
      <c r="G165" s="37"/>
      <c r="H165" s="1"/>
    </row>
    <row r="166" ht="15.75" customHeight="1">
      <c r="A166" s="36"/>
      <c r="B166" s="37"/>
      <c r="C166" s="37"/>
      <c r="D166" s="37"/>
      <c r="E166" s="37"/>
      <c r="F166" s="37"/>
      <c r="G166" s="37"/>
      <c r="H166" s="1"/>
    </row>
    <row r="167" ht="15.75" customHeight="1">
      <c r="A167" s="36"/>
      <c r="B167" s="37"/>
      <c r="C167" s="37"/>
      <c r="D167" s="37"/>
      <c r="E167" s="37"/>
      <c r="F167" s="37"/>
      <c r="G167" s="37"/>
      <c r="H167" s="1"/>
    </row>
    <row r="168" ht="15.75" customHeight="1">
      <c r="A168" s="36"/>
      <c r="B168" s="37"/>
      <c r="C168" s="37"/>
      <c r="D168" s="37"/>
      <c r="E168" s="37"/>
      <c r="F168" s="37"/>
      <c r="G168" s="37"/>
      <c r="H168" s="1"/>
    </row>
    <row r="169" ht="15.75" customHeight="1">
      <c r="A169" s="36"/>
      <c r="B169" s="37"/>
      <c r="C169" s="37"/>
      <c r="D169" s="37"/>
      <c r="E169" s="37"/>
      <c r="F169" s="37"/>
      <c r="G169" s="37"/>
      <c r="H169" s="1"/>
    </row>
    <row r="170" ht="15.75" customHeight="1">
      <c r="A170" s="36"/>
      <c r="B170" s="37"/>
      <c r="C170" s="37"/>
      <c r="D170" s="37"/>
      <c r="E170" s="37"/>
      <c r="F170" s="37"/>
      <c r="G170" s="37"/>
      <c r="H170" s="1"/>
    </row>
    <row r="171" ht="15.75" customHeight="1">
      <c r="A171" s="36"/>
      <c r="B171" s="37"/>
      <c r="C171" s="37"/>
      <c r="D171" s="37"/>
      <c r="E171" s="37"/>
      <c r="F171" s="37"/>
      <c r="G171" s="37"/>
      <c r="H171" s="1"/>
    </row>
    <row r="172" ht="15.75" customHeight="1">
      <c r="A172" s="36"/>
      <c r="B172" s="37"/>
      <c r="C172" s="37"/>
      <c r="D172" s="37"/>
      <c r="E172" s="37"/>
      <c r="F172" s="37"/>
      <c r="G172" s="37"/>
      <c r="H172" s="1"/>
    </row>
    <row r="173" ht="15.75" customHeight="1">
      <c r="A173" s="36"/>
      <c r="B173" s="37"/>
      <c r="C173" s="37"/>
      <c r="D173" s="37"/>
      <c r="E173" s="37"/>
      <c r="F173" s="37"/>
      <c r="G173" s="37"/>
      <c r="H173" s="1"/>
    </row>
    <row r="174" ht="15.75" customHeight="1">
      <c r="A174" s="36"/>
      <c r="B174" s="37"/>
      <c r="C174" s="37"/>
      <c r="D174" s="37"/>
      <c r="E174" s="37"/>
      <c r="F174" s="37"/>
      <c r="G174" s="37"/>
      <c r="H174" s="1"/>
    </row>
    <row r="175" ht="15.75" customHeight="1">
      <c r="A175" s="36"/>
      <c r="B175" s="37"/>
      <c r="C175" s="37"/>
      <c r="D175" s="37"/>
      <c r="E175" s="37"/>
      <c r="F175" s="37"/>
      <c r="G175" s="37"/>
      <c r="H175" s="1"/>
    </row>
    <row r="176" ht="15.75" customHeight="1">
      <c r="A176" s="36"/>
      <c r="B176" s="37"/>
      <c r="C176" s="37"/>
      <c r="D176" s="37"/>
      <c r="E176" s="37"/>
      <c r="F176" s="37"/>
      <c r="G176" s="37"/>
      <c r="H176" s="1"/>
    </row>
    <row r="177" ht="15.75" customHeight="1">
      <c r="A177" s="36"/>
      <c r="B177" s="37"/>
      <c r="C177" s="37"/>
      <c r="D177" s="37"/>
      <c r="E177" s="37"/>
      <c r="F177" s="37"/>
      <c r="G177" s="37"/>
      <c r="H177" s="1"/>
    </row>
    <row r="178" ht="15.75" customHeight="1">
      <c r="A178" s="36"/>
      <c r="B178" s="37"/>
      <c r="C178" s="37"/>
      <c r="D178" s="37"/>
      <c r="E178" s="37"/>
      <c r="F178" s="37"/>
      <c r="G178" s="37"/>
      <c r="H178" s="1"/>
    </row>
    <row r="179" ht="15.75" customHeight="1">
      <c r="A179" s="36"/>
      <c r="B179" s="37"/>
      <c r="C179" s="37"/>
      <c r="D179" s="37"/>
      <c r="E179" s="37"/>
      <c r="F179" s="37"/>
      <c r="G179" s="37"/>
      <c r="H179" s="1"/>
    </row>
    <row r="180" ht="15.75" customHeight="1">
      <c r="A180" s="36"/>
      <c r="B180" s="37"/>
      <c r="C180" s="37"/>
      <c r="D180" s="37"/>
      <c r="E180" s="37"/>
      <c r="F180" s="37"/>
      <c r="G180" s="37"/>
      <c r="H180" s="1"/>
    </row>
    <row r="181" ht="15.75" customHeight="1">
      <c r="A181" s="36"/>
      <c r="B181" s="37"/>
      <c r="C181" s="37"/>
      <c r="D181" s="37"/>
      <c r="E181" s="37"/>
      <c r="F181" s="37"/>
      <c r="G181" s="37"/>
      <c r="H181" s="1"/>
    </row>
    <row r="182" ht="15.75" customHeight="1">
      <c r="A182" s="36"/>
      <c r="B182" s="37"/>
      <c r="C182" s="37"/>
      <c r="D182" s="37"/>
      <c r="E182" s="37"/>
      <c r="F182" s="37"/>
      <c r="G182" s="37"/>
      <c r="H182" s="1"/>
    </row>
    <row r="183" ht="15.75" customHeight="1">
      <c r="A183" s="36"/>
      <c r="B183" s="37"/>
      <c r="C183" s="37"/>
      <c r="D183" s="37"/>
      <c r="E183" s="37"/>
      <c r="F183" s="37"/>
      <c r="G183" s="37"/>
      <c r="H183" s="1"/>
    </row>
    <row r="184" ht="15.75" customHeight="1">
      <c r="A184" s="36"/>
      <c r="B184" s="37"/>
      <c r="C184" s="37"/>
      <c r="D184" s="37"/>
      <c r="E184" s="37"/>
      <c r="F184" s="37"/>
      <c r="G184" s="37"/>
      <c r="H184" s="1"/>
    </row>
    <row r="185" ht="15.75" customHeight="1">
      <c r="A185" s="36"/>
      <c r="B185" s="37"/>
      <c r="C185" s="37"/>
      <c r="D185" s="37"/>
      <c r="E185" s="37"/>
      <c r="F185" s="37"/>
      <c r="G185" s="37"/>
      <c r="H185" s="1"/>
    </row>
    <row r="186" ht="15.75" customHeight="1">
      <c r="A186" s="36"/>
      <c r="B186" s="37"/>
      <c r="C186" s="37"/>
      <c r="D186" s="37"/>
      <c r="E186" s="37"/>
      <c r="F186" s="37"/>
      <c r="G186" s="37"/>
      <c r="H186" s="1"/>
    </row>
    <row r="187" ht="15.75" customHeight="1">
      <c r="A187" s="36"/>
      <c r="B187" s="37"/>
      <c r="C187" s="37"/>
      <c r="D187" s="37"/>
      <c r="E187" s="37"/>
      <c r="F187" s="37"/>
      <c r="G187" s="37"/>
      <c r="H187" s="1"/>
    </row>
    <row r="188" ht="15.75" customHeight="1">
      <c r="A188" s="36"/>
      <c r="B188" s="37"/>
      <c r="C188" s="37"/>
      <c r="D188" s="37"/>
      <c r="E188" s="37"/>
      <c r="F188" s="37"/>
      <c r="G188" s="37"/>
      <c r="H188" s="1"/>
    </row>
    <row r="189" ht="15.75" customHeight="1">
      <c r="A189" s="36"/>
      <c r="B189" s="37"/>
      <c r="C189" s="37"/>
      <c r="D189" s="37"/>
      <c r="E189" s="37"/>
      <c r="F189" s="37"/>
      <c r="G189" s="37"/>
      <c r="H189" s="1"/>
    </row>
    <row r="190" ht="15.75" customHeight="1">
      <c r="A190" s="36"/>
      <c r="B190" s="37"/>
      <c r="C190" s="37"/>
      <c r="D190" s="37"/>
      <c r="E190" s="37"/>
      <c r="F190" s="37"/>
      <c r="G190" s="37"/>
      <c r="H190" s="1"/>
    </row>
    <row r="191" ht="15.75" customHeight="1">
      <c r="A191" s="36"/>
      <c r="B191" s="37"/>
      <c r="C191" s="37"/>
      <c r="D191" s="37"/>
      <c r="E191" s="37"/>
      <c r="F191" s="37"/>
      <c r="G191" s="37"/>
      <c r="H191" s="1"/>
    </row>
    <row r="192" ht="15.75" customHeight="1">
      <c r="A192" s="36"/>
      <c r="B192" s="37"/>
      <c r="C192" s="37"/>
      <c r="D192" s="37"/>
      <c r="E192" s="37"/>
      <c r="F192" s="37"/>
      <c r="G192" s="37"/>
      <c r="H192" s="1"/>
    </row>
    <row r="193" ht="15.75" customHeight="1">
      <c r="A193" s="36"/>
      <c r="B193" s="37"/>
      <c r="C193" s="37"/>
      <c r="D193" s="37"/>
      <c r="E193" s="37"/>
      <c r="F193" s="37"/>
      <c r="G193" s="37"/>
      <c r="H193" s="1"/>
    </row>
    <row r="194" ht="15.75" customHeight="1">
      <c r="A194" s="36"/>
      <c r="B194" s="37"/>
      <c r="C194" s="37"/>
      <c r="D194" s="37"/>
      <c r="E194" s="37"/>
      <c r="F194" s="37"/>
      <c r="G194" s="37"/>
      <c r="H194" s="1"/>
    </row>
    <row r="195" ht="15.75" customHeight="1">
      <c r="A195" s="36"/>
      <c r="B195" s="37"/>
      <c r="C195" s="37"/>
      <c r="D195" s="37"/>
      <c r="E195" s="37"/>
      <c r="F195" s="37"/>
      <c r="G195" s="37"/>
      <c r="H195" s="1"/>
    </row>
    <row r="196" ht="15.75" customHeight="1">
      <c r="A196" s="36"/>
      <c r="B196" s="37"/>
      <c r="C196" s="37"/>
      <c r="D196" s="37"/>
      <c r="E196" s="37"/>
      <c r="F196" s="37"/>
      <c r="G196" s="37"/>
      <c r="H196" s="1"/>
    </row>
    <row r="197" ht="15.75" customHeight="1">
      <c r="A197" s="36"/>
      <c r="B197" s="37"/>
      <c r="C197" s="37"/>
      <c r="D197" s="37"/>
      <c r="E197" s="37"/>
      <c r="F197" s="37"/>
      <c r="G197" s="37"/>
      <c r="H197" s="1"/>
    </row>
    <row r="198" ht="15.75" customHeight="1">
      <c r="A198" s="36"/>
      <c r="B198" s="37"/>
      <c r="C198" s="37"/>
      <c r="D198" s="37"/>
      <c r="E198" s="37"/>
      <c r="F198" s="37"/>
      <c r="G198" s="37"/>
      <c r="H198" s="1"/>
    </row>
    <row r="199" ht="15.75" customHeight="1">
      <c r="A199" s="36"/>
      <c r="B199" s="37"/>
      <c r="C199" s="37"/>
      <c r="D199" s="37"/>
      <c r="E199" s="37"/>
      <c r="F199" s="37"/>
      <c r="G199" s="37"/>
      <c r="H199" s="1"/>
    </row>
    <row r="200" ht="15.75" customHeight="1">
      <c r="A200" s="36"/>
      <c r="B200" s="37"/>
      <c r="C200" s="37"/>
      <c r="D200" s="37"/>
      <c r="E200" s="37"/>
      <c r="F200" s="37"/>
      <c r="G200" s="37"/>
      <c r="H200" s="1"/>
    </row>
    <row r="201" ht="15.75" customHeight="1">
      <c r="A201" s="36"/>
      <c r="B201" s="37"/>
      <c r="C201" s="37"/>
      <c r="D201" s="37"/>
      <c r="E201" s="37"/>
      <c r="F201" s="37"/>
      <c r="G201" s="37"/>
      <c r="H201" s="1"/>
    </row>
    <row r="202" ht="15.75" customHeight="1">
      <c r="A202" s="36"/>
      <c r="B202" s="37"/>
      <c r="C202" s="37"/>
      <c r="D202" s="37"/>
      <c r="E202" s="37"/>
      <c r="F202" s="37"/>
      <c r="G202" s="37"/>
      <c r="H202" s="1"/>
    </row>
    <row r="203" ht="15.75" customHeight="1">
      <c r="A203" s="36"/>
      <c r="B203" s="37"/>
      <c r="C203" s="37"/>
      <c r="D203" s="37"/>
      <c r="E203" s="37"/>
      <c r="F203" s="37"/>
      <c r="G203" s="37"/>
      <c r="H203" s="1"/>
    </row>
    <row r="204" ht="15.75" customHeight="1">
      <c r="A204" s="36"/>
      <c r="B204" s="37"/>
      <c r="C204" s="37"/>
      <c r="D204" s="37"/>
      <c r="E204" s="37"/>
      <c r="F204" s="37"/>
      <c r="G204" s="37"/>
      <c r="H204" s="1"/>
    </row>
    <row r="205" ht="15.75" customHeight="1">
      <c r="A205" s="36"/>
      <c r="B205" s="37"/>
      <c r="C205" s="37"/>
      <c r="D205" s="37"/>
      <c r="E205" s="37"/>
      <c r="F205" s="37"/>
      <c r="G205" s="37"/>
      <c r="H205" s="1"/>
    </row>
    <row r="206" ht="15.75" customHeight="1">
      <c r="A206" s="36"/>
      <c r="B206" s="37"/>
      <c r="C206" s="37"/>
      <c r="D206" s="37"/>
      <c r="E206" s="37"/>
      <c r="F206" s="37"/>
      <c r="G206" s="37"/>
      <c r="H206" s="1"/>
    </row>
    <row r="207" ht="15.75" customHeight="1">
      <c r="A207" s="36"/>
      <c r="B207" s="37"/>
      <c r="C207" s="37"/>
      <c r="D207" s="37"/>
      <c r="E207" s="37"/>
      <c r="F207" s="37"/>
      <c r="G207" s="37"/>
      <c r="H207" s="1"/>
    </row>
    <row r="208" ht="15.75" customHeight="1">
      <c r="A208" s="36"/>
      <c r="B208" s="37"/>
      <c r="C208" s="37"/>
      <c r="D208" s="37"/>
      <c r="E208" s="37"/>
      <c r="F208" s="37"/>
      <c r="G208" s="37"/>
      <c r="H208" s="1"/>
    </row>
    <row r="209" ht="15.75" customHeight="1">
      <c r="A209" s="36"/>
      <c r="B209" s="37"/>
      <c r="C209" s="37"/>
      <c r="D209" s="37"/>
      <c r="E209" s="37"/>
      <c r="F209" s="37"/>
      <c r="G209" s="37"/>
      <c r="H209" s="1"/>
    </row>
    <row r="210" ht="15.75" customHeight="1">
      <c r="A210" s="36"/>
      <c r="B210" s="37"/>
      <c r="C210" s="37"/>
      <c r="D210" s="37"/>
      <c r="E210" s="37"/>
      <c r="F210" s="37"/>
      <c r="G210" s="37"/>
      <c r="H210" s="1"/>
    </row>
    <row r="211" ht="15.75" customHeight="1">
      <c r="A211" s="36"/>
      <c r="B211" s="37"/>
      <c r="C211" s="37"/>
      <c r="D211" s="37"/>
      <c r="E211" s="37"/>
      <c r="F211" s="37"/>
      <c r="G211" s="37"/>
      <c r="H211" s="1"/>
    </row>
    <row r="212" ht="15.75" customHeight="1">
      <c r="A212" s="36"/>
      <c r="B212" s="37"/>
      <c r="C212" s="37"/>
      <c r="D212" s="37"/>
      <c r="E212" s="37"/>
      <c r="F212" s="37"/>
      <c r="G212" s="37"/>
      <c r="H212" s="1"/>
    </row>
    <row r="213" ht="15.75" customHeight="1">
      <c r="A213" s="36"/>
      <c r="B213" s="37"/>
      <c r="C213" s="37"/>
      <c r="D213" s="37"/>
      <c r="E213" s="37"/>
      <c r="F213" s="37"/>
      <c r="G213" s="37"/>
      <c r="H213" s="1"/>
    </row>
    <row r="214" ht="15.75" customHeight="1">
      <c r="A214" s="36"/>
      <c r="B214" s="37"/>
      <c r="C214" s="37"/>
      <c r="D214" s="37"/>
      <c r="E214" s="37"/>
      <c r="F214" s="37"/>
      <c r="G214" s="37"/>
      <c r="H214" s="1"/>
    </row>
    <row r="215" ht="15.75" customHeight="1">
      <c r="A215" s="36"/>
      <c r="B215" s="37"/>
      <c r="C215" s="37"/>
      <c r="D215" s="37"/>
      <c r="E215" s="37"/>
      <c r="F215" s="37"/>
      <c r="G215" s="37"/>
      <c r="H215" s="1"/>
    </row>
    <row r="216" ht="15.75" customHeight="1">
      <c r="A216" s="36"/>
      <c r="B216" s="37"/>
      <c r="C216" s="37"/>
      <c r="D216" s="37"/>
      <c r="E216" s="37"/>
      <c r="F216" s="37"/>
      <c r="G216" s="37"/>
      <c r="H216" s="1"/>
    </row>
    <row r="217" ht="15.75" customHeight="1">
      <c r="A217" s="36"/>
      <c r="B217" s="37"/>
      <c r="C217" s="37"/>
      <c r="D217" s="37"/>
      <c r="E217" s="37"/>
      <c r="F217" s="37"/>
      <c r="G217" s="37"/>
      <c r="H217" s="1"/>
    </row>
    <row r="218" ht="15.75" customHeight="1">
      <c r="A218" s="36"/>
      <c r="B218" s="37"/>
      <c r="C218" s="37"/>
      <c r="D218" s="37"/>
      <c r="E218" s="37"/>
      <c r="F218" s="37"/>
      <c r="G218" s="37"/>
      <c r="H218" s="1"/>
    </row>
    <row r="219" ht="15.75" customHeight="1">
      <c r="A219" s="36"/>
      <c r="B219" s="37"/>
      <c r="C219" s="37"/>
      <c r="D219" s="37"/>
      <c r="E219" s="37"/>
      <c r="F219" s="37"/>
      <c r="G219" s="37"/>
      <c r="H219" s="1"/>
    </row>
    <row r="220" ht="15.75" customHeight="1">
      <c r="A220" s="36"/>
      <c r="B220" s="37"/>
      <c r="C220" s="37"/>
      <c r="D220" s="37"/>
      <c r="E220" s="37"/>
      <c r="F220" s="37"/>
      <c r="G220" s="37"/>
      <c r="H220" s="1"/>
    </row>
    <row r="221" ht="15.75" customHeight="1">
      <c r="A221" s="36"/>
      <c r="B221" s="37"/>
      <c r="C221" s="37"/>
      <c r="D221" s="37"/>
      <c r="E221" s="37"/>
      <c r="F221" s="37"/>
      <c r="G221" s="37"/>
      <c r="H221" s="1"/>
    </row>
    <row r="222" ht="15.75" customHeight="1">
      <c r="A222" s="36"/>
      <c r="B222" s="37"/>
      <c r="C222" s="37"/>
      <c r="D222" s="37"/>
      <c r="E222" s="37"/>
      <c r="F222" s="37"/>
      <c r="G222" s="37"/>
      <c r="H222" s="1"/>
    </row>
    <row r="223" ht="15.75" customHeight="1">
      <c r="A223" s="36"/>
      <c r="B223" s="37"/>
      <c r="C223" s="37"/>
      <c r="D223" s="37"/>
      <c r="E223" s="37"/>
      <c r="F223" s="37"/>
      <c r="G223" s="37"/>
      <c r="H223" s="1"/>
    </row>
    <row r="224" ht="15.75" customHeight="1">
      <c r="A224" s="36"/>
      <c r="B224" s="37"/>
      <c r="C224" s="37"/>
      <c r="D224" s="37"/>
      <c r="E224" s="37"/>
      <c r="F224" s="37"/>
      <c r="G224" s="37"/>
      <c r="H224" s="1"/>
    </row>
    <row r="225" ht="15.75" customHeight="1">
      <c r="A225" s="36"/>
      <c r="B225" s="37"/>
      <c r="C225" s="37"/>
      <c r="D225" s="37"/>
      <c r="E225" s="37"/>
      <c r="F225" s="37"/>
      <c r="G225" s="37"/>
      <c r="H225" s="1"/>
    </row>
    <row r="226" ht="15.75" customHeight="1">
      <c r="A226" s="36"/>
      <c r="B226" s="37"/>
      <c r="C226" s="37"/>
      <c r="D226" s="37"/>
      <c r="E226" s="37"/>
      <c r="F226" s="37"/>
      <c r="G226" s="37"/>
      <c r="H226" s="1"/>
    </row>
    <row r="227" ht="15.75" customHeight="1">
      <c r="A227" s="36"/>
      <c r="B227" s="37"/>
      <c r="C227" s="37"/>
      <c r="D227" s="37"/>
      <c r="E227" s="37"/>
      <c r="F227" s="37"/>
      <c r="G227" s="37"/>
      <c r="H227" s="1"/>
    </row>
    <row r="228" ht="15.75" customHeight="1">
      <c r="A228" s="36"/>
      <c r="B228" s="37"/>
      <c r="C228" s="37"/>
      <c r="D228" s="37"/>
      <c r="E228" s="37"/>
      <c r="F228" s="37"/>
      <c r="G228" s="37"/>
      <c r="H228" s="1"/>
    </row>
    <row r="229" ht="15.75" customHeight="1">
      <c r="A229" s="36"/>
      <c r="B229" s="37"/>
      <c r="C229" s="37"/>
      <c r="D229" s="37"/>
      <c r="E229" s="37"/>
      <c r="F229" s="37"/>
      <c r="G229" s="37"/>
      <c r="H229" s="1"/>
    </row>
    <row r="230" ht="15.75" customHeight="1">
      <c r="A230" s="36"/>
      <c r="B230" s="37"/>
      <c r="C230" s="37"/>
      <c r="D230" s="37"/>
      <c r="E230" s="37"/>
      <c r="F230" s="37"/>
      <c r="G230" s="37"/>
      <c r="H230" s="1"/>
    </row>
    <row r="231" ht="15.75" customHeight="1">
      <c r="A231" s="36"/>
      <c r="B231" s="37"/>
      <c r="C231" s="37"/>
      <c r="D231" s="37"/>
      <c r="E231" s="37"/>
      <c r="F231" s="37"/>
      <c r="G231" s="37"/>
      <c r="H231" s="1"/>
    </row>
    <row r="232" ht="15.75" customHeight="1">
      <c r="A232" s="36"/>
      <c r="B232" s="37"/>
      <c r="C232" s="37"/>
      <c r="D232" s="37"/>
      <c r="E232" s="37"/>
      <c r="F232" s="37"/>
      <c r="G232" s="37"/>
      <c r="H232" s="1"/>
    </row>
    <row r="233" ht="15.75" customHeight="1">
      <c r="A233" s="36"/>
      <c r="B233" s="37"/>
      <c r="C233" s="37"/>
      <c r="D233" s="37"/>
      <c r="E233" s="37"/>
      <c r="F233" s="37"/>
      <c r="G233" s="37"/>
      <c r="H233" s="1"/>
    </row>
    <row r="234" ht="15.75" customHeight="1">
      <c r="A234" s="36"/>
      <c r="B234" s="37"/>
      <c r="C234" s="37"/>
      <c r="D234" s="37"/>
      <c r="E234" s="37"/>
      <c r="F234" s="37"/>
      <c r="G234" s="37"/>
      <c r="H234" s="1"/>
    </row>
    <row r="235" ht="15.75" customHeight="1">
      <c r="A235" s="36"/>
      <c r="B235" s="37"/>
      <c r="C235" s="37"/>
      <c r="D235" s="37"/>
      <c r="E235" s="37"/>
      <c r="F235" s="37"/>
      <c r="G235" s="37"/>
      <c r="H235" s="1"/>
    </row>
    <row r="236" ht="15.75" customHeight="1">
      <c r="A236" s="36"/>
      <c r="B236" s="37"/>
      <c r="C236" s="37"/>
      <c r="D236" s="37"/>
      <c r="E236" s="37"/>
      <c r="F236" s="37"/>
      <c r="G236" s="37"/>
      <c r="H236" s="1"/>
    </row>
    <row r="237" ht="15.75" customHeight="1">
      <c r="A237" s="36"/>
      <c r="B237" s="37"/>
      <c r="C237" s="37"/>
      <c r="D237" s="37"/>
      <c r="E237" s="37"/>
      <c r="F237" s="37"/>
      <c r="G237" s="37"/>
      <c r="H237" s="1"/>
    </row>
    <row r="238" ht="15.75" customHeight="1">
      <c r="A238" s="36"/>
      <c r="B238" s="37"/>
      <c r="C238" s="37"/>
      <c r="D238" s="37"/>
      <c r="E238" s="37"/>
      <c r="F238" s="37"/>
      <c r="G238" s="37"/>
      <c r="H238" s="1"/>
    </row>
    <row r="239" ht="15.75" customHeight="1">
      <c r="A239" s="36"/>
      <c r="B239" s="37"/>
      <c r="C239" s="37"/>
      <c r="D239" s="37"/>
      <c r="E239" s="37"/>
      <c r="F239" s="37"/>
      <c r="G239" s="37"/>
      <c r="H239" s="1"/>
    </row>
    <row r="240" ht="15.75" customHeight="1">
      <c r="A240" s="36"/>
      <c r="B240" s="37"/>
      <c r="C240" s="37"/>
      <c r="D240" s="37"/>
      <c r="E240" s="37"/>
      <c r="F240" s="37"/>
      <c r="G240" s="37"/>
      <c r="H240" s="1"/>
    </row>
    <row r="241" ht="15.75" customHeight="1">
      <c r="A241" s="36"/>
      <c r="B241" s="37"/>
      <c r="C241" s="37"/>
      <c r="D241" s="37"/>
      <c r="E241" s="37"/>
      <c r="F241" s="37"/>
      <c r="G241" s="37"/>
      <c r="H241" s="1"/>
    </row>
    <row r="242" ht="15.75" customHeight="1">
      <c r="A242" s="36"/>
      <c r="B242" s="37"/>
      <c r="C242" s="37"/>
      <c r="D242" s="37"/>
      <c r="E242" s="37"/>
      <c r="F242" s="37"/>
      <c r="G242" s="37"/>
      <c r="H242" s="1"/>
    </row>
    <row r="243" ht="15.75" customHeight="1">
      <c r="A243" s="36"/>
      <c r="B243" s="37"/>
      <c r="C243" s="37"/>
      <c r="D243" s="37"/>
      <c r="E243" s="37"/>
      <c r="F243" s="37"/>
      <c r="G243" s="37"/>
      <c r="H243" s="1"/>
    </row>
    <row r="244" ht="15.75" customHeight="1">
      <c r="A244" s="36"/>
      <c r="B244" s="37"/>
      <c r="C244" s="37"/>
      <c r="D244" s="37"/>
      <c r="E244" s="37"/>
      <c r="F244" s="37"/>
      <c r="G244" s="37"/>
      <c r="H244" s="1"/>
    </row>
    <row r="245" ht="15.75" customHeight="1">
      <c r="A245" s="36"/>
      <c r="B245" s="37"/>
      <c r="C245" s="37"/>
      <c r="D245" s="37"/>
      <c r="E245" s="37"/>
      <c r="F245" s="37"/>
      <c r="G245" s="37"/>
      <c r="H245" s="1"/>
    </row>
    <row r="246" ht="15.75" customHeight="1">
      <c r="A246" s="36"/>
      <c r="B246" s="37"/>
      <c r="C246" s="37"/>
      <c r="D246" s="37"/>
      <c r="E246" s="37"/>
      <c r="F246" s="37"/>
      <c r="G246" s="37"/>
      <c r="H246" s="1"/>
    </row>
    <row r="247" ht="15.75" customHeight="1">
      <c r="A247" s="36"/>
      <c r="B247" s="37"/>
      <c r="C247" s="37"/>
      <c r="D247" s="37"/>
      <c r="E247" s="37"/>
      <c r="F247" s="37"/>
      <c r="G247" s="37"/>
      <c r="H247" s="1"/>
    </row>
    <row r="248" ht="15.75" customHeight="1">
      <c r="A248" s="36"/>
      <c r="B248" s="37"/>
      <c r="C248" s="37"/>
      <c r="D248" s="37"/>
      <c r="E248" s="37"/>
      <c r="F248" s="37"/>
      <c r="G248" s="37"/>
      <c r="H248" s="1"/>
    </row>
    <row r="249" ht="15.75" customHeight="1">
      <c r="A249" s="36"/>
      <c r="B249" s="37"/>
      <c r="C249" s="37"/>
      <c r="D249" s="37"/>
      <c r="E249" s="37"/>
      <c r="F249" s="37"/>
      <c r="G249" s="37"/>
      <c r="H249" s="1"/>
    </row>
    <row r="250" ht="15.75" customHeight="1">
      <c r="A250" s="36"/>
      <c r="B250" s="37"/>
      <c r="C250" s="37"/>
      <c r="D250" s="37"/>
      <c r="E250" s="37"/>
      <c r="F250" s="37"/>
      <c r="G250" s="37"/>
      <c r="H250" s="1"/>
    </row>
    <row r="251" ht="15.75" customHeight="1">
      <c r="A251" s="36"/>
      <c r="B251" s="37"/>
      <c r="C251" s="37"/>
      <c r="D251" s="37"/>
      <c r="E251" s="37"/>
      <c r="F251" s="37"/>
      <c r="G251" s="37"/>
      <c r="H251" s="1"/>
    </row>
    <row r="252" ht="15.75" customHeight="1">
      <c r="A252" s="36"/>
      <c r="B252" s="37"/>
      <c r="C252" s="37"/>
      <c r="D252" s="37"/>
      <c r="E252" s="37"/>
      <c r="F252" s="37"/>
      <c r="G252" s="37"/>
      <c r="H252" s="1"/>
    </row>
    <row r="253" ht="15.75" customHeight="1">
      <c r="A253" s="36"/>
      <c r="B253" s="37"/>
      <c r="C253" s="37"/>
      <c r="D253" s="37"/>
      <c r="E253" s="37"/>
      <c r="F253" s="37"/>
      <c r="G253" s="37"/>
      <c r="H253" s="1"/>
    </row>
    <row r="254" ht="15.75" customHeight="1">
      <c r="A254" s="36"/>
      <c r="B254" s="37"/>
      <c r="C254" s="37"/>
      <c r="D254" s="37"/>
      <c r="E254" s="37"/>
      <c r="F254" s="37"/>
      <c r="G254" s="37"/>
      <c r="H254" s="1"/>
    </row>
    <row r="255" ht="15.75" customHeight="1">
      <c r="A255" s="36"/>
      <c r="B255" s="37"/>
      <c r="C255" s="37"/>
      <c r="D255" s="37"/>
      <c r="E255" s="37"/>
      <c r="F255" s="37"/>
      <c r="G255" s="37"/>
      <c r="H255" s="1"/>
    </row>
    <row r="256" ht="15.75" customHeight="1">
      <c r="A256" s="36"/>
      <c r="B256" s="37"/>
      <c r="C256" s="37"/>
      <c r="D256" s="37"/>
      <c r="E256" s="37"/>
      <c r="F256" s="37"/>
      <c r="G256" s="37"/>
      <c r="H256" s="1"/>
    </row>
    <row r="257" ht="15.75" customHeight="1">
      <c r="A257" s="36"/>
      <c r="B257" s="37"/>
      <c r="C257" s="37"/>
      <c r="D257" s="37"/>
      <c r="E257" s="37"/>
      <c r="F257" s="37"/>
      <c r="G257" s="37"/>
      <c r="H257" s="1"/>
    </row>
    <row r="258" ht="15.75" customHeight="1">
      <c r="A258" s="36"/>
      <c r="B258" s="37"/>
      <c r="C258" s="37"/>
      <c r="D258" s="37"/>
      <c r="E258" s="37"/>
      <c r="F258" s="37"/>
      <c r="G258" s="37"/>
      <c r="H258" s="1"/>
    </row>
    <row r="259" ht="15.75" customHeight="1">
      <c r="A259" s="36"/>
      <c r="B259" s="37"/>
      <c r="C259" s="37"/>
      <c r="D259" s="37"/>
      <c r="E259" s="37"/>
      <c r="F259" s="37"/>
      <c r="G259" s="37"/>
      <c r="H259" s="1"/>
    </row>
    <row r="260" ht="15.75" customHeight="1">
      <c r="A260" s="36"/>
      <c r="B260" s="37"/>
      <c r="C260" s="37"/>
      <c r="D260" s="37"/>
      <c r="E260" s="37"/>
      <c r="F260" s="37"/>
      <c r="G260" s="37"/>
      <c r="H260" s="1"/>
    </row>
    <row r="261" ht="15.75" customHeight="1">
      <c r="A261" s="36"/>
      <c r="B261" s="37"/>
      <c r="C261" s="37"/>
      <c r="D261" s="37"/>
      <c r="E261" s="37"/>
      <c r="F261" s="37"/>
      <c r="G261" s="37"/>
      <c r="H261" s="1"/>
    </row>
    <row r="262" ht="15.75" customHeight="1">
      <c r="A262" s="36"/>
      <c r="B262" s="37"/>
      <c r="C262" s="37"/>
      <c r="D262" s="37"/>
      <c r="E262" s="37"/>
      <c r="F262" s="37"/>
      <c r="G262" s="37"/>
      <c r="H262" s="1"/>
    </row>
    <row r="263" ht="15.75" customHeight="1">
      <c r="A263" s="36"/>
      <c r="B263" s="37"/>
      <c r="C263" s="37"/>
      <c r="D263" s="37"/>
      <c r="E263" s="37"/>
      <c r="F263" s="37"/>
      <c r="G263" s="37"/>
      <c r="H263" s="1"/>
    </row>
    <row r="264" ht="15.75" customHeight="1">
      <c r="A264" s="36"/>
      <c r="B264" s="37"/>
      <c r="C264" s="37"/>
      <c r="D264" s="37"/>
      <c r="E264" s="37"/>
      <c r="F264" s="37"/>
      <c r="G264" s="37"/>
      <c r="H264" s="1"/>
    </row>
    <row r="265" ht="15.75" customHeight="1">
      <c r="A265" s="36"/>
      <c r="B265" s="37"/>
      <c r="C265" s="37"/>
      <c r="D265" s="37"/>
      <c r="E265" s="37"/>
      <c r="F265" s="37"/>
      <c r="G265" s="37"/>
      <c r="H265" s="1"/>
    </row>
    <row r="266" ht="15.75" customHeight="1">
      <c r="A266" s="36"/>
      <c r="B266" s="37"/>
      <c r="C266" s="37"/>
      <c r="D266" s="37"/>
      <c r="E266" s="37"/>
      <c r="F266" s="37"/>
      <c r="G266" s="37"/>
      <c r="H266" s="1"/>
    </row>
    <row r="267" ht="15.75" customHeight="1">
      <c r="A267" s="36"/>
      <c r="B267" s="37"/>
      <c r="C267" s="37"/>
      <c r="D267" s="37"/>
      <c r="E267" s="37"/>
      <c r="F267" s="37"/>
      <c r="G267" s="37"/>
      <c r="H267" s="1"/>
    </row>
    <row r="268" ht="15.75" customHeight="1">
      <c r="A268" s="36"/>
      <c r="B268" s="37"/>
      <c r="C268" s="37"/>
      <c r="D268" s="37"/>
      <c r="E268" s="37"/>
      <c r="F268" s="37"/>
      <c r="G268" s="37"/>
      <c r="H268" s="1"/>
    </row>
    <row r="269" ht="15.75" customHeight="1">
      <c r="A269" s="36"/>
      <c r="B269" s="37"/>
      <c r="C269" s="37"/>
      <c r="D269" s="37"/>
      <c r="E269" s="37"/>
      <c r="F269" s="37"/>
      <c r="G269" s="37"/>
      <c r="H269" s="1"/>
    </row>
    <row r="270" ht="15.75" customHeight="1">
      <c r="A270" s="36"/>
      <c r="B270" s="37"/>
      <c r="C270" s="37"/>
      <c r="D270" s="37"/>
      <c r="E270" s="37"/>
      <c r="F270" s="37"/>
      <c r="G270" s="37"/>
      <c r="H270" s="1"/>
    </row>
    <row r="271" ht="15.75" customHeight="1">
      <c r="A271" s="36"/>
      <c r="B271" s="37"/>
      <c r="C271" s="37"/>
      <c r="D271" s="37"/>
      <c r="E271" s="37"/>
      <c r="F271" s="37"/>
      <c r="G271" s="37"/>
      <c r="H271" s="1"/>
    </row>
    <row r="272" ht="15.75" customHeight="1">
      <c r="A272" s="36"/>
      <c r="B272" s="37"/>
      <c r="C272" s="37"/>
      <c r="D272" s="37"/>
      <c r="E272" s="37"/>
      <c r="F272" s="37"/>
      <c r="G272" s="37"/>
      <c r="H272" s="1"/>
    </row>
    <row r="273" ht="15.75" customHeight="1">
      <c r="A273" s="36"/>
      <c r="B273" s="37"/>
      <c r="C273" s="37"/>
      <c r="D273" s="37"/>
      <c r="E273" s="37"/>
      <c r="F273" s="37"/>
      <c r="G273" s="37"/>
      <c r="H273" s="1"/>
    </row>
    <row r="274" ht="15.75" customHeight="1">
      <c r="A274" s="36"/>
      <c r="B274" s="37"/>
      <c r="C274" s="37"/>
      <c r="D274" s="37"/>
      <c r="E274" s="37"/>
      <c r="F274" s="37"/>
      <c r="G274" s="37"/>
      <c r="H274" s="1"/>
    </row>
    <row r="275" ht="15.75" customHeight="1">
      <c r="A275" s="36"/>
      <c r="B275" s="37"/>
      <c r="C275" s="37"/>
      <c r="D275" s="37"/>
      <c r="E275" s="37"/>
      <c r="F275" s="37"/>
      <c r="G275" s="37"/>
      <c r="H275" s="1"/>
    </row>
    <row r="276" ht="15.75" customHeight="1">
      <c r="A276" s="36"/>
      <c r="B276" s="37"/>
      <c r="C276" s="37"/>
      <c r="D276" s="37"/>
      <c r="E276" s="37"/>
      <c r="F276" s="37"/>
      <c r="G276" s="37"/>
      <c r="H276" s="1"/>
    </row>
    <row r="277" ht="15.75" customHeight="1">
      <c r="A277" s="36"/>
      <c r="B277" s="37"/>
      <c r="C277" s="37"/>
      <c r="D277" s="37"/>
      <c r="E277" s="37"/>
      <c r="F277" s="37"/>
      <c r="G277" s="37"/>
      <c r="H277" s="1"/>
    </row>
    <row r="278" ht="15.75" customHeight="1">
      <c r="A278" s="36"/>
      <c r="B278" s="37"/>
      <c r="C278" s="37"/>
      <c r="D278" s="37"/>
      <c r="E278" s="37"/>
      <c r="F278" s="37"/>
      <c r="G278" s="37"/>
      <c r="H278" s="1"/>
    </row>
    <row r="279" ht="15.75" customHeight="1">
      <c r="A279" s="36"/>
      <c r="B279" s="37"/>
      <c r="C279" s="37"/>
      <c r="D279" s="37"/>
      <c r="E279" s="37"/>
      <c r="F279" s="37"/>
      <c r="G279" s="37"/>
      <c r="H279" s="1"/>
    </row>
    <row r="280" ht="15.75" customHeight="1">
      <c r="A280" s="36"/>
      <c r="B280" s="37"/>
      <c r="C280" s="37"/>
      <c r="D280" s="37"/>
      <c r="E280" s="37"/>
      <c r="F280" s="37"/>
      <c r="G280" s="37"/>
      <c r="H280" s="1"/>
    </row>
    <row r="281" ht="15.75" customHeight="1">
      <c r="A281" s="36"/>
      <c r="B281" s="37"/>
      <c r="C281" s="37"/>
      <c r="D281" s="37"/>
      <c r="E281" s="37"/>
      <c r="F281" s="37"/>
      <c r="G281" s="37"/>
      <c r="H281" s="1"/>
    </row>
    <row r="282" ht="15.75" customHeight="1">
      <c r="A282" s="36"/>
      <c r="B282" s="37"/>
      <c r="C282" s="37"/>
      <c r="D282" s="37"/>
      <c r="E282" s="37"/>
      <c r="F282" s="37"/>
      <c r="G282" s="37"/>
      <c r="H282" s="1"/>
    </row>
    <row r="283" ht="15.75" customHeight="1">
      <c r="A283" s="36"/>
      <c r="B283" s="37"/>
      <c r="C283" s="37"/>
      <c r="D283" s="37"/>
      <c r="E283" s="37"/>
      <c r="F283" s="37"/>
      <c r="G283" s="37"/>
      <c r="H283" s="1"/>
    </row>
    <row r="284" ht="15.75" customHeight="1">
      <c r="A284" s="36"/>
      <c r="B284" s="37"/>
      <c r="C284" s="37"/>
      <c r="D284" s="37"/>
      <c r="E284" s="37"/>
      <c r="F284" s="37"/>
      <c r="G284" s="37"/>
      <c r="H284" s="1"/>
    </row>
    <row r="285" ht="15.75" customHeight="1">
      <c r="A285" s="36"/>
      <c r="B285" s="37"/>
      <c r="C285" s="37"/>
      <c r="D285" s="37"/>
      <c r="E285" s="37"/>
      <c r="F285" s="37"/>
      <c r="G285" s="37"/>
      <c r="H285" s="1"/>
    </row>
    <row r="286" ht="15.75" customHeight="1">
      <c r="A286" s="36"/>
      <c r="B286" s="37"/>
      <c r="C286" s="37"/>
      <c r="D286" s="37"/>
      <c r="E286" s="37"/>
      <c r="F286" s="37"/>
      <c r="G286" s="37"/>
      <c r="H286" s="1"/>
    </row>
    <row r="287" ht="15.75" customHeight="1">
      <c r="A287" s="36"/>
      <c r="B287" s="37"/>
      <c r="C287" s="37"/>
      <c r="D287" s="37"/>
      <c r="E287" s="37"/>
      <c r="F287" s="37"/>
      <c r="G287" s="37"/>
      <c r="H287" s="1"/>
    </row>
    <row r="288" ht="15.75" customHeight="1">
      <c r="A288" s="36"/>
      <c r="B288" s="37"/>
      <c r="C288" s="37"/>
      <c r="D288" s="37"/>
      <c r="E288" s="37"/>
      <c r="F288" s="37"/>
      <c r="G288" s="37"/>
      <c r="H288" s="1"/>
    </row>
    <row r="289" ht="15.75" customHeight="1">
      <c r="A289" s="36"/>
      <c r="B289" s="37"/>
      <c r="C289" s="37"/>
      <c r="D289" s="37"/>
      <c r="E289" s="37"/>
      <c r="F289" s="37"/>
      <c r="G289" s="37"/>
      <c r="H289" s="1"/>
    </row>
    <row r="290" ht="15.75" customHeight="1">
      <c r="A290" s="36"/>
      <c r="B290" s="37"/>
      <c r="C290" s="37"/>
      <c r="D290" s="37"/>
      <c r="E290" s="37"/>
      <c r="F290" s="37"/>
      <c r="G290" s="37"/>
      <c r="H290" s="1"/>
    </row>
    <row r="291" ht="15.75" customHeight="1">
      <c r="A291" s="36"/>
      <c r="B291" s="37"/>
      <c r="C291" s="37"/>
      <c r="D291" s="37"/>
      <c r="E291" s="37"/>
      <c r="F291" s="37"/>
      <c r="G291" s="37"/>
      <c r="H291" s="1"/>
    </row>
    <row r="292" ht="15.75" customHeight="1">
      <c r="A292" s="36"/>
      <c r="B292" s="37"/>
      <c r="C292" s="37"/>
      <c r="D292" s="37"/>
      <c r="E292" s="37"/>
      <c r="F292" s="37"/>
      <c r="G292" s="37"/>
      <c r="H292" s="1"/>
    </row>
    <row r="293" ht="15.75" customHeight="1">
      <c r="A293" s="36"/>
      <c r="B293" s="37"/>
      <c r="C293" s="37"/>
      <c r="D293" s="37"/>
      <c r="E293" s="37"/>
      <c r="F293" s="37"/>
      <c r="G293" s="37"/>
      <c r="H293" s="1"/>
    </row>
    <row r="294" ht="15.75" customHeight="1">
      <c r="A294" s="36"/>
      <c r="B294" s="37"/>
      <c r="C294" s="37"/>
      <c r="D294" s="37"/>
      <c r="E294" s="37"/>
      <c r="F294" s="37"/>
      <c r="G294" s="37"/>
      <c r="H294" s="1"/>
    </row>
    <row r="295" ht="15.75" customHeight="1">
      <c r="A295" s="36"/>
      <c r="B295" s="37"/>
      <c r="C295" s="37"/>
      <c r="D295" s="37"/>
      <c r="E295" s="37"/>
      <c r="F295" s="37"/>
      <c r="G295" s="37"/>
      <c r="H295" s="1"/>
    </row>
    <row r="296" ht="15.75" customHeight="1">
      <c r="A296" s="36"/>
      <c r="B296" s="37"/>
      <c r="C296" s="37"/>
      <c r="D296" s="37"/>
      <c r="E296" s="37"/>
      <c r="F296" s="37"/>
      <c r="G296" s="37"/>
      <c r="H296" s="1"/>
    </row>
    <row r="297" ht="15.75" customHeight="1">
      <c r="A297" s="36"/>
      <c r="B297" s="37"/>
      <c r="C297" s="37"/>
      <c r="D297" s="37"/>
      <c r="E297" s="37"/>
      <c r="F297" s="37"/>
      <c r="G297" s="37"/>
      <c r="H297" s="1"/>
    </row>
    <row r="298" ht="15.75" customHeight="1">
      <c r="A298" s="36"/>
      <c r="B298" s="37"/>
      <c r="C298" s="37"/>
      <c r="D298" s="37"/>
      <c r="E298" s="37"/>
      <c r="F298" s="37"/>
      <c r="G298" s="37"/>
      <c r="H298" s="1"/>
    </row>
    <row r="299" ht="15.75" customHeight="1">
      <c r="A299" s="36"/>
      <c r="B299" s="37"/>
      <c r="C299" s="37"/>
      <c r="D299" s="37"/>
      <c r="E299" s="37"/>
      <c r="F299" s="37"/>
      <c r="G299" s="37"/>
      <c r="H299" s="1"/>
    </row>
    <row r="300" ht="15.75" customHeight="1">
      <c r="A300" s="36"/>
      <c r="B300" s="37"/>
      <c r="C300" s="37"/>
      <c r="D300" s="37"/>
      <c r="E300" s="37"/>
      <c r="F300" s="37"/>
      <c r="G300" s="37"/>
      <c r="H300" s="1"/>
    </row>
    <row r="301" ht="15.75" customHeight="1">
      <c r="A301" s="36"/>
      <c r="B301" s="37"/>
      <c r="C301" s="37"/>
      <c r="D301" s="37"/>
      <c r="E301" s="37"/>
      <c r="F301" s="37"/>
      <c r="G301" s="37"/>
      <c r="H301" s="1"/>
    </row>
    <row r="302" ht="15.75" customHeight="1">
      <c r="A302" s="36"/>
      <c r="B302" s="37"/>
      <c r="C302" s="37"/>
      <c r="D302" s="37"/>
      <c r="E302" s="37"/>
      <c r="F302" s="37"/>
      <c r="G302" s="37"/>
      <c r="H302" s="1"/>
    </row>
    <row r="303" ht="15.75" customHeight="1">
      <c r="A303" s="36"/>
      <c r="B303" s="37"/>
      <c r="C303" s="37"/>
      <c r="D303" s="37"/>
      <c r="E303" s="37"/>
      <c r="F303" s="37"/>
      <c r="G303" s="37"/>
      <c r="H303" s="1"/>
    </row>
    <row r="304" ht="15.75" customHeight="1">
      <c r="A304" s="36"/>
      <c r="B304" s="37"/>
      <c r="C304" s="37"/>
      <c r="D304" s="37"/>
      <c r="E304" s="37"/>
      <c r="F304" s="37"/>
      <c r="G304" s="37"/>
      <c r="H304" s="1"/>
    </row>
    <row r="305" ht="15.75" customHeight="1">
      <c r="A305" s="36"/>
      <c r="B305" s="37"/>
      <c r="C305" s="37"/>
      <c r="D305" s="37"/>
      <c r="E305" s="37"/>
      <c r="F305" s="37"/>
      <c r="G305" s="37"/>
      <c r="H305" s="1"/>
    </row>
    <row r="306" ht="15.75" customHeight="1">
      <c r="A306" s="36"/>
      <c r="B306" s="37"/>
      <c r="C306" s="37"/>
      <c r="D306" s="37"/>
      <c r="E306" s="37"/>
      <c r="F306" s="37"/>
      <c r="G306" s="37"/>
      <c r="H306" s="1"/>
    </row>
    <row r="307" ht="15.75" customHeight="1">
      <c r="A307" s="36"/>
      <c r="B307" s="37"/>
      <c r="C307" s="37"/>
      <c r="D307" s="37"/>
      <c r="E307" s="37"/>
      <c r="F307" s="37"/>
      <c r="G307" s="37"/>
      <c r="H307" s="1"/>
    </row>
    <row r="308" ht="15.75" customHeight="1">
      <c r="A308" s="36"/>
      <c r="B308" s="37"/>
      <c r="C308" s="37"/>
      <c r="D308" s="37"/>
      <c r="E308" s="37"/>
      <c r="F308" s="37"/>
      <c r="G308" s="37"/>
      <c r="H308" s="1"/>
    </row>
    <row r="309" ht="15.75" customHeight="1">
      <c r="A309" s="36"/>
      <c r="B309" s="37"/>
      <c r="C309" s="37"/>
      <c r="D309" s="37"/>
      <c r="E309" s="37"/>
      <c r="F309" s="37"/>
      <c r="G309" s="37"/>
      <c r="H309" s="1"/>
    </row>
    <row r="310" ht="15.75" customHeight="1">
      <c r="A310" s="36"/>
      <c r="B310" s="37"/>
      <c r="C310" s="37"/>
      <c r="D310" s="37"/>
      <c r="E310" s="37"/>
      <c r="F310" s="37"/>
      <c r="G310" s="37"/>
      <c r="H310" s="1"/>
    </row>
    <row r="311" ht="15.75" customHeight="1">
      <c r="A311" s="36"/>
      <c r="B311" s="37"/>
      <c r="C311" s="37"/>
      <c r="D311" s="37"/>
      <c r="E311" s="37"/>
      <c r="F311" s="37"/>
      <c r="G311" s="37"/>
      <c r="H311" s="1"/>
    </row>
    <row r="312" ht="15.75" customHeight="1">
      <c r="A312" s="36"/>
      <c r="B312" s="37"/>
      <c r="C312" s="37"/>
      <c r="D312" s="37"/>
      <c r="E312" s="37"/>
      <c r="F312" s="37"/>
      <c r="G312" s="37"/>
      <c r="H312" s="1"/>
    </row>
    <row r="313" ht="15.75" customHeight="1">
      <c r="A313" s="36"/>
      <c r="B313" s="37"/>
      <c r="C313" s="37"/>
      <c r="D313" s="37"/>
      <c r="E313" s="37"/>
      <c r="F313" s="37"/>
      <c r="G313" s="37"/>
      <c r="H313" s="1"/>
    </row>
    <row r="314" ht="15.75" customHeight="1">
      <c r="A314" s="36"/>
      <c r="B314" s="37"/>
      <c r="C314" s="37"/>
      <c r="D314" s="37"/>
      <c r="E314" s="37"/>
      <c r="F314" s="37"/>
      <c r="G314" s="37"/>
      <c r="H314" s="1"/>
    </row>
    <row r="315" ht="15.75" customHeight="1">
      <c r="A315" s="36"/>
      <c r="B315" s="37"/>
      <c r="C315" s="37"/>
      <c r="D315" s="37"/>
      <c r="E315" s="37"/>
      <c r="F315" s="37"/>
      <c r="G315" s="37"/>
      <c r="H315" s="1"/>
    </row>
    <row r="316" ht="15.75" customHeight="1">
      <c r="A316" s="36"/>
      <c r="B316" s="37"/>
      <c r="C316" s="37"/>
      <c r="D316" s="37"/>
      <c r="E316" s="37"/>
      <c r="F316" s="37"/>
      <c r="G316" s="37"/>
      <c r="H316" s="1"/>
    </row>
    <row r="317" ht="15.75" customHeight="1">
      <c r="A317" s="36"/>
      <c r="B317" s="37"/>
      <c r="C317" s="37"/>
      <c r="D317" s="37"/>
      <c r="E317" s="37"/>
      <c r="F317" s="37"/>
      <c r="G317" s="37"/>
      <c r="H317" s="1"/>
    </row>
    <row r="318" ht="15.75" customHeight="1">
      <c r="A318" s="36"/>
      <c r="B318" s="37"/>
      <c r="C318" s="37"/>
      <c r="D318" s="37"/>
      <c r="E318" s="37"/>
      <c r="F318" s="37"/>
      <c r="G318" s="37"/>
      <c r="H318" s="1"/>
    </row>
    <row r="319" ht="15.75" customHeight="1">
      <c r="A319" s="36"/>
      <c r="B319" s="37"/>
      <c r="C319" s="37"/>
      <c r="D319" s="37"/>
      <c r="E319" s="37"/>
      <c r="F319" s="37"/>
      <c r="G319" s="37"/>
      <c r="H319" s="1"/>
    </row>
    <row r="320" ht="15.75" customHeight="1">
      <c r="A320" s="36"/>
      <c r="B320" s="37"/>
      <c r="C320" s="37"/>
      <c r="D320" s="37"/>
      <c r="E320" s="37"/>
      <c r="F320" s="37"/>
      <c r="G320" s="37"/>
      <c r="H320" s="1"/>
    </row>
    <row r="321" ht="15.75" customHeight="1">
      <c r="A321" s="36"/>
      <c r="B321" s="37"/>
      <c r="C321" s="37"/>
      <c r="D321" s="37"/>
      <c r="E321" s="37"/>
      <c r="F321" s="37"/>
      <c r="G321" s="37"/>
      <c r="H321" s="1"/>
    </row>
    <row r="322" ht="15.75" customHeight="1">
      <c r="A322" s="36"/>
      <c r="B322" s="37"/>
      <c r="C322" s="37"/>
      <c r="D322" s="37"/>
      <c r="E322" s="37"/>
      <c r="F322" s="37"/>
      <c r="G322" s="37"/>
      <c r="H322" s="1"/>
    </row>
    <row r="323" ht="15.75" customHeight="1">
      <c r="A323" s="36"/>
      <c r="B323" s="37"/>
      <c r="C323" s="37"/>
      <c r="D323" s="37"/>
      <c r="E323" s="37"/>
      <c r="F323" s="37"/>
      <c r="G323" s="37"/>
      <c r="H323" s="1"/>
    </row>
    <row r="324" ht="15.75" customHeight="1">
      <c r="A324" s="36"/>
      <c r="B324" s="37"/>
      <c r="C324" s="37"/>
      <c r="D324" s="37"/>
      <c r="E324" s="37"/>
      <c r="F324" s="37"/>
      <c r="G324" s="37"/>
      <c r="H324" s="1"/>
    </row>
    <row r="325" ht="15.75" customHeight="1">
      <c r="A325" s="36"/>
      <c r="B325" s="37"/>
      <c r="C325" s="37"/>
      <c r="D325" s="37"/>
      <c r="E325" s="37"/>
      <c r="F325" s="37"/>
      <c r="G325" s="37"/>
      <c r="H325" s="1"/>
    </row>
    <row r="326" ht="15.75" customHeight="1">
      <c r="A326" s="36"/>
      <c r="B326" s="37"/>
      <c r="C326" s="37"/>
      <c r="D326" s="37"/>
      <c r="E326" s="37"/>
      <c r="F326" s="37"/>
      <c r="G326" s="37"/>
      <c r="H326" s="1"/>
    </row>
    <row r="327" ht="15.75" customHeight="1">
      <c r="A327" s="36"/>
      <c r="B327" s="37"/>
      <c r="C327" s="37"/>
      <c r="D327" s="37"/>
      <c r="E327" s="37"/>
      <c r="F327" s="37"/>
      <c r="G327" s="37"/>
      <c r="H327" s="1"/>
    </row>
    <row r="328" ht="15.75" customHeight="1">
      <c r="A328" s="36"/>
      <c r="B328" s="37"/>
      <c r="C328" s="37"/>
      <c r="D328" s="37"/>
      <c r="E328" s="37"/>
      <c r="F328" s="37"/>
      <c r="G328" s="37"/>
      <c r="H328" s="1"/>
    </row>
    <row r="329" ht="15.75" customHeight="1">
      <c r="A329" s="36"/>
      <c r="B329" s="37"/>
      <c r="C329" s="37"/>
      <c r="D329" s="37"/>
      <c r="E329" s="37"/>
      <c r="F329" s="37"/>
      <c r="G329" s="37"/>
      <c r="H329" s="1"/>
    </row>
    <row r="330" ht="15.75" customHeight="1">
      <c r="A330" s="36"/>
      <c r="B330" s="37"/>
      <c r="C330" s="37"/>
      <c r="D330" s="37"/>
      <c r="E330" s="37"/>
      <c r="F330" s="37"/>
      <c r="G330" s="37"/>
      <c r="H330" s="1"/>
    </row>
    <row r="331" ht="15.75" customHeight="1">
      <c r="A331" s="36"/>
      <c r="B331" s="37"/>
      <c r="C331" s="37"/>
      <c r="D331" s="37"/>
      <c r="E331" s="37"/>
      <c r="F331" s="37"/>
      <c r="G331" s="37"/>
      <c r="H331" s="1"/>
    </row>
    <row r="332" ht="15.75" customHeight="1">
      <c r="A332" s="36"/>
      <c r="B332" s="37"/>
      <c r="C332" s="37"/>
      <c r="D332" s="37"/>
      <c r="E332" s="37"/>
      <c r="F332" s="37"/>
      <c r="G332" s="37"/>
      <c r="H332" s="1"/>
    </row>
    <row r="333" ht="15.75" customHeight="1">
      <c r="A333" s="36"/>
      <c r="B333" s="37"/>
      <c r="C333" s="37"/>
      <c r="D333" s="37"/>
      <c r="E333" s="37"/>
      <c r="F333" s="37"/>
      <c r="G333" s="37"/>
      <c r="H333" s="1"/>
    </row>
    <row r="334" ht="15.75" customHeight="1">
      <c r="A334" s="36"/>
      <c r="B334" s="37"/>
      <c r="C334" s="37"/>
      <c r="D334" s="37"/>
      <c r="E334" s="37"/>
      <c r="F334" s="37"/>
      <c r="G334" s="37"/>
      <c r="H334" s="1"/>
    </row>
    <row r="335" ht="15.75" customHeight="1">
      <c r="A335" s="36"/>
      <c r="B335" s="37"/>
      <c r="C335" s="37"/>
      <c r="D335" s="37"/>
      <c r="E335" s="37"/>
      <c r="F335" s="37"/>
      <c r="G335" s="37"/>
      <c r="H335" s="1"/>
    </row>
    <row r="336" ht="15.75" customHeight="1">
      <c r="A336" s="36"/>
      <c r="B336" s="37"/>
      <c r="C336" s="37"/>
      <c r="D336" s="37"/>
      <c r="E336" s="37"/>
      <c r="F336" s="37"/>
      <c r="G336" s="37"/>
      <c r="H336" s="1"/>
    </row>
    <row r="337" ht="15.75" customHeight="1">
      <c r="A337" s="36"/>
      <c r="B337" s="37"/>
      <c r="C337" s="37"/>
      <c r="D337" s="37"/>
      <c r="E337" s="37"/>
      <c r="F337" s="37"/>
      <c r="G337" s="37"/>
      <c r="H337" s="1"/>
    </row>
    <row r="338" ht="15.75" customHeight="1">
      <c r="A338" s="36"/>
      <c r="B338" s="37"/>
      <c r="C338" s="37"/>
      <c r="D338" s="37"/>
      <c r="E338" s="37"/>
      <c r="F338" s="37"/>
      <c r="G338" s="37"/>
      <c r="H338" s="1"/>
    </row>
    <row r="339" ht="15.75" customHeight="1">
      <c r="A339" s="36"/>
      <c r="B339" s="37"/>
      <c r="C339" s="37"/>
      <c r="D339" s="37"/>
      <c r="E339" s="37"/>
      <c r="F339" s="37"/>
      <c r="G339" s="37"/>
      <c r="H339" s="1"/>
    </row>
    <row r="340" ht="15.75" customHeight="1">
      <c r="A340" s="36"/>
      <c r="B340" s="37"/>
      <c r="C340" s="37"/>
      <c r="D340" s="37"/>
      <c r="E340" s="37"/>
      <c r="F340" s="37"/>
      <c r="G340" s="37"/>
      <c r="H340" s="1"/>
    </row>
    <row r="341" ht="15.75" customHeight="1">
      <c r="A341" s="36"/>
      <c r="B341" s="37"/>
      <c r="C341" s="37"/>
      <c r="D341" s="37"/>
      <c r="E341" s="37"/>
      <c r="F341" s="37"/>
      <c r="G341" s="37"/>
      <c r="H341" s="1"/>
    </row>
    <row r="342" ht="15.75" customHeight="1">
      <c r="A342" s="36"/>
      <c r="B342" s="37"/>
      <c r="C342" s="37"/>
      <c r="D342" s="37"/>
      <c r="E342" s="37"/>
      <c r="F342" s="37"/>
      <c r="G342" s="37"/>
      <c r="H342" s="1"/>
    </row>
    <row r="343" ht="15.75" customHeight="1">
      <c r="A343" s="36"/>
      <c r="B343" s="37"/>
      <c r="C343" s="37"/>
      <c r="D343" s="37"/>
      <c r="E343" s="37"/>
      <c r="F343" s="37"/>
      <c r="G343" s="37"/>
      <c r="H343" s="1"/>
    </row>
    <row r="344" ht="15.75" customHeight="1">
      <c r="A344" s="36"/>
      <c r="B344" s="37"/>
      <c r="C344" s="37"/>
      <c r="D344" s="37"/>
      <c r="E344" s="37"/>
      <c r="F344" s="37"/>
      <c r="G344" s="37"/>
      <c r="H344" s="1"/>
    </row>
    <row r="345" ht="15.75" customHeight="1">
      <c r="A345" s="36"/>
      <c r="B345" s="37"/>
      <c r="C345" s="37"/>
      <c r="D345" s="37"/>
      <c r="E345" s="37"/>
      <c r="F345" s="37"/>
      <c r="G345" s="37"/>
      <c r="H345" s="1"/>
    </row>
    <row r="346" ht="15.75" customHeight="1">
      <c r="A346" s="36"/>
      <c r="B346" s="37"/>
      <c r="C346" s="37"/>
      <c r="D346" s="37"/>
      <c r="E346" s="37"/>
      <c r="F346" s="37"/>
      <c r="G346" s="37"/>
      <c r="H346" s="1"/>
    </row>
    <row r="347" ht="15.75" customHeight="1">
      <c r="A347" s="36"/>
      <c r="B347" s="37"/>
      <c r="C347" s="37"/>
      <c r="D347" s="37"/>
      <c r="E347" s="37"/>
      <c r="F347" s="37"/>
      <c r="G347" s="37"/>
      <c r="H347" s="1"/>
    </row>
    <row r="348" ht="15.75" customHeight="1">
      <c r="A348" s="36"/>
      <c r="B348" s="37"/>
      <c r="C348" s="37"/>
      <c r="D348" s="37"/>
      <c r="E348" s="37"/>
      <c r="F348" s="37"/>
      <c r="G348" s="37"/>
      <c r="H348" s="1"/>
    </row>
    <row r="349" ht="15.75" customHeight="1">
      <c r="A349" s="36"/>
      <c r="B349" s="37"/>
      <c r="C349" s="37"/>
      <c r="D349" s="37"/>
      <c r="E349" s="37"/>
      <c r="F349" s="37"/>
      <c r="G349" s="37"/>
      <c r="H349" s="1"/>
    </row>
    <row r="350" ht="15.75" customHeight="1">
      <c r="A350" s="36"/>
      <c r="B350" s="37"/>
      <c r="C350" s="37"/>
      <c r="D350" s="37"/>
      <c r="E350" s="37"/>
      <c r="F350" s="37"/>
      <c r="G350" s="37"/>
      <c r="H350" s="1"/>
    </row>
    <row r="351" ht="15.75" customHeight="1">
      <c r="A351" s="36"/>
      <c r="B351" s="37"/>
      <c r="C351" s="37"/>
      <c r="D351" s="37"/>
      <c r="E351" s="37"/>
      <c r="F351" s="37"/>
      <c r="G351" s="37"/>
      <c r="H351" s="1"/>
    </row>
    <row r="352" ht="15.75" customHeight="1">
      <c r="A352" s="36"/>
      <c r="B352" s="37"/>
      <c r="C352" s="37"/>
      <c r="D352" s="37"/>
      <c r="E352" s="37"/>
      <c r="F352" s="37"/>
      <c r="G352" s="37"/>
      <c r="H352" s="1"/>
    </row>
    <row r="353" ht="15.75" customHeight="1">
      <c r="A353" s="36"/>
      <c r="B353" s="37"/>
      <c r="C353" s="37"/>
      <c r="D353" s="37"/>
      <c r="E353" s="37"/>
      <c r="F353" s="37"/>
      <c r="G353" s="37"/>
      <c r="H353" s="1"/>
    </row>
    <row r="354" ht="15.75" customHeight="1">
      <c r="A354" s="36"/>
      <c r="B354" s="37"/>
      <c r="C354" s="37"/>
      <c r="D354" s="37"/>
      <c r="E354" s="37"/>
      <c r="F354" s="37"/>
      <c r="G354" s="37"/>
      <c r="H354" s="1"/>
    </row>
    <row r="355" ht="15.75" customHeight="1">
      <c r="A355" s="36"/>
      <c r="B355" s="37"/>
      <c r="C355" s="37"/>
      <c r="D355" s="37"/>
      <c r="E355" s="37"/>
      <c r="F355" s="37"/>
      <c r="G355" s="37"/>
      <c r="H355" s="1"/>
    </row>
    <row r="356" ht="15.75" customHeight="1">
      <c r="A356" s="36"/>
      <c r="B356" s="37"/>
      <c r="C356" s="37"/>
      <c r="D356" s="37"/>
      <c r="E356" s="37"/>
      <c r="F356" s="37"/>
      <c r="G356" s="37"/>
      <c r="H356" s="1"/>
    </row>
    <row r="357" ht="15.75" customHeight="1">
      <c r="A357" s="36"/>
      <c r="B357" s="37"/>
      <c r="C357" s="37"/>
      <c r="D357" s="37"/>
      <c r="E357" s="37"/>
      <c r="F357" s="37"/>
      <c r="G357" s="37"/>
      <c r="H357" s="1"/>
    </row>
    <row r="358" ht="15.75" customHeight="1">
      <c r="A358" s="36"/>
      <c r="B358" s="37"/>
      <c r="C358" s="37"/>
      <c r="D358" s="37"/>
      <c r="E358" s="37"/>
      <c r="F358" s="37"/>
      <c r="G358" s="37"/>
      <c r="H358" s="1"/>
    </row>
    <row r="359" ht="15.75" customHeight="1">
      <c r="A359" s="36"/>
      <c r="B359" s="37"/>
      <c r="C359" s="37"/>
      <c r="D359" s="37"/>
      <c r="E359" s="37"/>
      <c r="F359" s="37"/>
      <c r="G359" s="37"/>
      <c r="H359" s="1"/>
    </row>
    <row r="360" ht="15.75" customHeight="1">
      <c r="A360" s="36"/>
      <c r="B360" s="37"/>
      <c r="C360" s="37"/>
      <c r="D360" s="37"/>
      <c r="E360" s="37"/>
      <c r="F360" s="37"/>
      <c r="G360" s="37"/>
      <c r="H360" s="1"/>
    </row>
    <row r="361" ht="15.75" customHeight="1">
      <c r="A361" s="36"/>
      <c r="B361" s="37"/>
      <c r="C361" s="37"/>
      <c r="D361" s="37"/>
      <c r="E361" s="37"/>
      <c r="F361" s="37"/>
      <c r="G361" s="37"/>
      <c r="H361" s="1"/>
    </row>
    <row r="362" ht="15.75" customHeight="1">
      <c r="A362" s="36"/>
      <c r="B362" s="37"/>
      <c r="C362" s="37"/>
      <c r="D362" s="37"/>
      <c r="E362" s="37"/>
      <c r="F362" s="37"/>
      <c r="G362" s="37"/>
      <c r="H362" s="1"/>
    </row>
    <row r="363" ht="15.75" customHeight="1">
      <c r="A363" s="36"/>
      <c r="B363" s="37"/>
      <c r="C363" s="37"/>
      <c r="D363" s="37"/>
      <c r="E363" s="37"/>
      <c r="F363" s="37"/>
      <c r="G363" s="37"/>
      <c r="H363" s="1"/>
    </row>
    <row r="364" ht="15.75" customHeight="1">
      <c r="A364" s="36"/>
      <c r="B364" s="37"/>
      <c r="C364" s="37"/>
      <c r="D364" s="37"/>
      <c r="E364" s="37"/>
      <c r="F364" s="37"/>
      <c r="G364" s="37"/>
      <c r="H364" s="1"/>
    </row>
    <row r="365" ht="15.75" customHeight="1">
      <c r="A365" s="36"/>
      <c r="B365" s="37"/>
      <c r="C365" s="37"/>
      <c r="D365" s="37"/>
      <c r="E365" s="37"/>
      <c r="F365" s="37"/>
      <c r="G365" s="37"/>
      <c r="H365" s="1"/>
    </row>
    <row r="366" ht="15.75" customHeight="1">
      <c r="A366" s="36"/>
      <c r="B366" s="37"/>
      <c r="C366" s="37"/>
      <c r="D366" s="37"/>
      <c r="E366" s="37"/>
      <c r="F366" s="37"/>
      <c r="G366" s="37"/>
      <c r="H366" s="1"/>
    </row>
    <row r="367" ht="15.75" customHeight="1">
      <c r="A367" s="36"/>
      <c r="B367" s="37"/>
      <c r="C367" s="37"/>
      <c r="D367" s="37"/>
      <c r="E367" s="37"/>
      <c r="F367" s="37"/>
      <c r="G367" s="37"/>
      <c r="H367" s="1"/>
    </row>
    <row r="368" ht="15.75" customHeight="1">
      <c r="A368" s="36"/>
      <c r="B368" s="37"/>
      <c r="C368" s="37"/>
      <c r="D368" s="37"/>
      <c r="E368" s="37"/>
      <c r="F368" s="37"/>
      <c r="G368" s="37"/>
      <c r="H368" s="1"/>
    </row>
    <row r="369" ht="15.75" customHeight="1">
      <c r="A369" s="36"/>
      <c r="B369" s="37"/>
      <c r="C369" s="37"/>
      <c r="D369" s="37"/>
      <c r="E369" s="37"/>
      <c r="F369" s="37"/>
      <c r="G369" s="37"/>
      <c r="H369" s="1"/>
    </row>
    <row r="370" ht="15.75" customHeight="1">
      <c r="A370" s="36"/>
      <c r="B370" s="37"/>
      <c r="C370" s="37"/>
      <c r="D370" s="37"/>
      <c r="E370" s="37"/>
      <c r="F370" s="37"/>
      <c r="G370" s="37"/>
      <c r="H370" s="1"/>
    </row>
    <row r="371" ht="15.75" customHeight="1">
      <c r="A371" s="36"/>
      <c r="B371" s="37"/>
      <c r="C371" s="37"/>
      <c r="D371" s="37"/>
      <c r="E371" s="37"/>
      <c r="F371" s="37"/>
      <c r="G371" s="37"/>
      <c r="H371" s="1"/>
    </row>
    <row r="372" ht="15.75" customHeight="1">
      <c r="A372" s="36"/>
      <c r="B372" s="37"/>
      <c r="C372" s="37"/>
      <c r="D372" s="37"/>
      <c r="E372" s="37"/>
      <c r="F372" s="37"/>
      <c r="G372" s="37"/>
      <c r="H372" s="1"/>
    </row>
    <row r="373" ht="15.75" customHeight="1">
      <c r="A373" s="36"/>
      <c r="B373" s="37"/>
      <c r="C373" s="37"/>
      <c r="D373" s="37"/>
      <c r="E373" s="37"/>
      <c r="F373" s="37"/>
      <c r="G373" s="37"/>
      <c r="H373" s="1"/>
    </row>
    <row r="374" ht="15.75" customHeight="1">
      <c r="A374" s="36"/>
      <c r="B374" s="37"/>
      <c r="C374" s="37"/>
      <c r="D374" s="37"/>
      <c r="E374" s="37"/>
      <c r="F374" s="37"/>
      <c r="G374" s="37"/>
      <c r="H374" s="1"/>
    </row>
    <row r="375" ht="15.75" customHeight="1">
      <c r="A375" s="36"/>
      <c r="B375" s="37"/>
      <c r="C375" s="37"/>
      <c r="D375" s="37"/>
      <c r="E375" s="37"/>
      <c r="F375" s="37"/>
      <c r="G375" s="37"/>
      <c r="H375" s="1"/>
    </row>
    <row r="376" ht="15.75" customHeight="1">
      <c r="A376" s="36"/>
      <c r="B376" s="37"/>
      <c r="C376" s="37"/>
      <c r="D376" s="37"/>
      <c r="E376" s="37"/>
      <c r="F376" s="37"/>
      <c r="G376" s="37"/>
      <c r="H376" s="1"/>
    </row>
    <row r="377" ht="15.75" customHeight="1">
      <c r="A377" s="36"/>
      <c r="B377" s="37"/>
      <c r="C377" s="37"/>
      <c r="D377" s="37"/>
      <c r="E377" s="37"/>
      <c r="F377" s="37"/>
      <c r="G377" s="37"/>
      <c r="H377" s="1"/>
    </row>
    <row r="378" ht="15.75" customHeight="1">
      <c r="A378" s="36"/>
      <c r="B378" s="37"/>
      <c r="C378" s="37"/>
      <c r="D378" s="37"/>
      <c r="E378" s="37"/>
      <c r="F378" s="37"/>
      <c r="G378" s="37"/>
      <c r="H378" s="1"/>
    </row>
    <row r="379" ht="15.75" customHeight="1">
      <c r="A379" s="36"/>
      <c r="B379" s="37"/>
      <c r="C379" s="37"/>
      <c r="D379" s="37"/>
      <c r="E379" s="37"/>
      <c r="F379" s="37"/>
      <c r="G379" s="37"/>
      <c r="H379" s="1"/>
    </row>
    <row r="380" ht="15.75" customHeight="1">
      <c r="A380" s="36"/>
      <c r="B380" s="37"/>
      <c r="C380" s="37"/>
      <c r="D380" s="37"/>
      <c r="E380" s="37"/>
      <c r="F380" s="37"/>
      <c r="G380" s="37"/>
      <c r="H380" s="1"/>
    </row>
    <row r="381" ht="15.75" customHeight="1">
      <c r="A381" s="36"/>
      <c r="B381" s="37"/>
      <c r="C381" s="37"/>
      <c r="D381" s="37"/>
      <c r="E381" s="37"/>
      <c r="F381" s="37"/>
      <c r="G381" s="37"/>
      <c r="H381" s="1"/>
    </row>
    <row r="382" ht="15.75" customHeight="1">
      <c r="A382" s="36"/>
      <c r="B382" s="37"/>
      <c r="C382" s="37"/>
      <c r="D382" s="37"/>
      <c r="E382" s="37"/>
      <c r="F382" s="37"/>
      <c r="G382" s="37"/>
      <c r="H382" s="1"/>
    </row>
    <row r="383" ht="15.75" customHeight="1">
      <c r="A383" s="36"/>
      <c r="B383" s="37"/>
      <c r="C383" s="37"/>
      <c r="D383" s="37"/>
      <c r="E383" s="37"/>
      <c r="F383" s="37"/>
      <c r="G383" s="37"/>
      <c r="H383" s="1"/>
    </row>
    <row r="384" ht="15.75" customHeight="1">
      <c r="A384" s="36"/>
      <c r="B384" s="37"/>
      <c r="C384" s="37"/>
      <c r="D384" s="37"/>
      <c r="E384" s="37"/>
      <c r="F384" s="37"/>
      <c r="G384" s="37"/>
      <c r="H384" s="1"/>
    </row>
    <row r="385" ht="15.75" customHeight="1">
      <c r="A385" s="36"/>
      <c r="B385" s="37"/>
      <c r="C385" s="37"/>
      <c r="D385" s="37"/>
      <c r="E385" s="37"/>
      <c r="F385" s="37"/>
      <c r="G385" s="37"/>
      <c r="H385" s="1"/>
    </row>
    <row r="386" ht="15.75" customHeight="1">
      <c r="A386" s="36"/>
      <c r="B386" s="37"/>
      <c r="C386" s="37"/>
      <c r="D386" s="37"/>
      <c r="E386" s="37"/>
      <c r="F386" s="37"/>
      <c r="G386" s="37"/>
      <c r="H386" s="1"/>
    </row>
    <row r="387" ht="15.75" customHeight="1">
      <c r="A387" s="36"/>
      <c r="B387" s="37"/>
      <c r="C387" s="37"/>
      <c r="D387" s="37"/>
      <c r="E387" s="37"/>
      <c r="F387" s="37"/>
      <c r="G387" s="37"/>
      <c r="H387" s="1"/>
    </row>
    <row r="388" ht="15.75" customHeight="1">
      <c r="A388" s="36"/>
      <c r="B388" s="37"/>
      <c r="C388" s="37"/>
      <c r="D388" s="37"/>
      <c r="E388" s="37"/>
      <c r="F388" s="37"/>
      <c r="G388" s="37"/>
      <c r="H388" s="1"/>
    </row>
    <row r="389" ht="15.75" customHeight="1">
      <c r="A389" s="36"/>
      <c r="B389" s="37"/>
      <c r="C389" s="37"/>
      <c r="D389" s="37"/>
      <c r="E389" s="37"/>
      <c r="F389" s="37"/>
      <c r="G389" s="37"/>
      <c r="H389" s="1"/>
    </row>
    <row r="390" ht="15.75" customHeight="1">
      <c r="A390" s="36"/>
      <c r="B390" s="37"/>
      <c r="C390" s="37"/>
      <c r="D390" s="37"/>
      <c r="E390" s="37"/>
      <c r="F390" s="37"/>
      <c r="G390" s="37"/>
      <c r="H390" s="1"/>
    </row>
    <row r="391" ht="15.75" customHeight="1">
      <c r="A391" s="36"/>
      <c r="B391" s="37"/>
      <c r="C391" s="37"/>
      <c r="D391" s="37"/>
      <c r="E391" s="37"/>
      <c r="F391" s="37"/>
      <c r="G391" s="37"/>
      <c r="H391" s="1"/>
    </row>
    <row r="392" ht="15.75" customHeight="1">
      <c r="A392" s="36"/>
      <c r="B392" s="37"/>
      <c r="C392" s="37"/>
      <c r="D392" s="37"/>
      <c r="E392" s="37"/>
      <c r="F392" s="37"/>
      <c r="G392" s="37"/>
      <c r="H392" s="1"/>
    </row>
    <row r="393" ht="15.75" customHeight="1">
      <c r="A393" s="36"/>
      <c r="B393" s="37"/>
      <c r="C393" s="37"/>
      <c r="D393" s="37"/>
      <c r="E393" s="37"/>
      <c r="F393" s="37"/>
      <c r="G393" s="37"/>
      <c r="H393" s="1"/>
    </row>
    <row r="394" ht="15.75" customHeight="1">
      <c r="A394" s="36"/>
      <c r="B394" s="37"/>
      <c r="C394" s="37"/>
      <c r="D394" s="37"/>
      <c r="E394" s="37"/>
      <c r="F394" s="37"/>
      <c r="G394" s="37"/>
      <c r="H394" s="1"/>
    </row>
    <row r="395" ht="15.75" customHeight="1">
      <c r="A395" s="36"/>
      <c r="B395" s="37"/>
      <c r="C395" s="37"/>
      <c r="D395" s="37"/>
      <c r="E395" s="37"/>
      <c r="F395" s="37"/>
      <c r="G395" s="37"/>
      <c r="H395" s="1"/>
    </row>
    <row r="396" ht="15.75" customHeight="1">
      <c r="A396" s="36"/>
      <c r="B396" s="37"/>
      <c r="C396" s="37"/>
      <c r="D396" s="37"/>
      <c r="E396" s="37"/>
      <c r="F396" s="37"/>
      <c r="G396" s="37"/>
      <c r="H396" s="1"/>
    </row>
    <row r="397" ht="15.75" customHeight="1">
      <c r="A397" s="36"/>
      <c r="B397" s="37"/>
      <c r="C397" s="37"/>
      <c r="D397" s="37"/>
      <c r="E397" s="37"/>
      <c r="F397" s="37"/>
      <c r="G397" s="37"/>
      <c r="H397" s="1"/>
    </row>
    <row r="398" ht="15.75" customHeight="1">
      <c r="A398" s="36"/>
      <c r="B398" s="37"/>
      <c r="C398" s="37"/>
      <c r="D398" s="37"/>
      <c r="E398" s="37"/>
      <c r="F398" s="37"/>
      <c r="G398" s="37"/>
      <c r="H398" s="1"/>
    </row>
    <row r="399" ht="15.75" customHeight="1">
      <c r="A399" s="36"/>
      <c r="B399" s="37"/>
      <c r="C399" s="37"/>
      <c r="D399" s="37"/>
      <c r="E399" s="37"/>
      <c r="F399" s="37"/>
      <c r="G399" s="37"/>
      <c r="H399" s="1"/>
    </row>
    <row r="400" ht="15.75" customHeight="1">
      <c r="A400" s="36"/>
      <c r="B400" s="37"/>
      <c r="C400" s="37"/>
      <c r="D400" s="37"/>
      <c r="E400" s="37"/>
      <c r="F400" s="37"/>
      <c r="G400" s="37"/>
      <c r="H400" s="1"/>
    </row>
    <row r="401" ht="15.75" customHeight="1">
      <c r="A401" s="36"/>
      <c r="B401" s="37"/>
      <c r="C401" s="37"/>
      <c r="D401" s="37"/>
      <c r="E401" s="37"/>
      <c r="F401" s="37"/>
      <c r="G401" s="37"/>
      <c r="H401" s="1"/>
    </row>
    <row r="402" ht="15.75" customHeight="1">
      <c r="A402" s="36"/>
      <c r="B402" s="37"/>
      <c r="C402" s="37"/>
      <c r="D402" s="37"/>
      <c r="E402" s="37"/>
      <c r="F402" s="37"/>
      <c r="G402" s="37"/>
      <c r="H402" s="1"/>
    </row>
    <row r="403" ht="15.75" customHeight="1">
      <c r="A403" s="36"/>
      <c r="B403" s="37"/>
      <c r="C403" s="37"/>
      <c r="D403" s="37"/>
      <c r="E403" s="37"/>
      <c r="F403" s="37"/>
      <c r="G403" s="37"/>
      <c r="H403" s="1"/>
    </row>
    <row r="404" ht="15.75" customHeight="1">
      <c r="A404" s="36"/>
      <c r="B404" s="37"/>
      <c r="C404" s="37"/>
      <c r="D404" s="37"/>
      <c r="E404" s="37"/>
      <c r="F404" s="37"/>
      <c r="G404" s="37"/>
      <c r="H404" s="1"/>
    </row>
    <row r="405" ht="15.75" customHeight="1">
      <c r="A405" s="36"/>
      <c r="B405" s="37"/>
      <c r="C405" s="37"/>
      <c r="D405" s="37"/>
      <c r="E405" s="37"/>
      <c r="F405" s="37"/>
      <c r="G405" s="37"/>
      <c r="H405" s="1"/>
    </row>
    <row r="406" ht="15.75" customHeight="1">
      <c r="A406" s="36"/>
      <c r="B406" s="37"/>
      <c r="C406" s="37"/>
      <c r="D406" s="37"/>
      <c r="E406" s="37"/>
      <c r="F406" s="37"/>
      <c r="G406" s="37"/>
      <c r="H406" s="1"/>
    </row>
    <row r="407" ht="15.75" customHeight="1">
      <c r="A407" s="36"/>
      <c r="B407" s="37"/>
      <c r="C407" s="37"/>
      <c r="D407" s="37"/>
      <c r="E407" s="37"/>
      <c r="F407" s="37"/>
      <c r="G407" s="37"/>
      <c r="H407" s="1"/>
    </row>
    <row r="408" ht="15.75" customHeight="1">
      <c r="A408" s="36"/>
      <c r="B408" s="37"/>
      <c r="C408" s="37"/>
      <c r="D408" s="37"/>
      <c r="E408" s="37"/>
      <c r="F408" s="37"/>
      <c r="G408" s="37"/>
      <c r="H408" s="1"/>
    </row>
    <row r="409" ht="15.75" customHeight="1">
      <c r="A409" s="36"/>
      <c r="B409" s="37"/>
      <c r="C409" s="37"/>
      <c r="D409" s="37"/>
      <c r="E409" s="37"/>
      <c r="F409" s="37"/>
      <c r="G409" s="37"/>
      <c r="H409" s="1"/>
    </row>
    <row r="410" ht="15.75" customHeight="1">
      <c r="A410" s="36"/>
      <c r="B410" s="37"/>
      <c r="C410" s="37"/>
      <c r="D410" s="37"/>
      <c r="E410" s="37"/>
      <c r="F410" s="37"/>
      <c r="G410" s="37"/>
      <c r="H410" s="1"/>
    </row>
    <row r="411" ht="15.75" customHeight="1">
      <c r="A411" s="36"/>
      <c r="B411" s="37"/>
      <c r="C411" s="37"/>
      <c r="D411" s="37"/>
      <c r="E411" s="37"/>
      <c r="F411" s="37"/>
      <c r="G411" s="37"/>
      <c r="H411" s="1"/>
    </row>
    <row r="412" ht="15.75" customHeight="1">
      <c r="A412" s="36"/>
      <c r="B412" s="37"/>
      <c r="C412" s="37"/>
      <c r="D412" s="37"/>
      <c r="E412" s="37"/>
      <c r="F412" s="37"/>
      <c r="G412" s="37"/>
      <c r="H412" s="1"/>
    </row>
    <row r="413" ht="15.75" customHeight="1">
      <c r="A413" s="36"/>
      <c r="B413" s="37"/>
      <c r="C413" s="37"/>
      <c r="D413" s="37"/>
      <c r="E413" s="37"/>
      <c r="F413" s="37"/>
      <c r="G413" s="37"/>
      <c r="H413" s="1"/>
    </row>
    <row r="414" ht="15.75" customHeight="1">
      <c r="A414" s="36"/>
      <c r="B414" s="37"/>
      <c r="C414" s="37"/>
      <c r="D414" s="37"/>
      <c r="E414" s="37"/>
      <c r="F414" s="37"/>
      <c r="G414" s="37"/>
      <c r="H414" s="1"/>
    </row>
    <row r="415" ht="15.75" customHeight="1">
      <c r="A415" s="36"/>
      <c r="B415" s="37"/>
      <c r="C415" s="37"/>
      <c r="D415" s="37"/>
      <c r="E415" s="37"/>
      <c r="F415" s="37"/>
      <c r="G415" s="37"/>
      <c r="H415" s="1"/>
    </row>
    <row r="416" ht="15.75" customHeight="1">
      <c r="A416" s="36"/>
      <c r="B416" s="37"/>
      <c r="C416" s="37"/>
      <c r="D416" s="37"/>
      <c r="E416" s="37"/>
      <c r="F416" s="37"/>
      <c r="G416" s="37"/>
      <c r="H416" s="1"/>
    </row>
    <row r="417" ht="15.75" customHeight="1">
      <c r="A417" s="36"/>
      <c r="B417" s="37"/>
      <c r="C417" s="37"/>
      <c r="D417" s="37"/>
      <c r="E417" s="37"/>
      <c r="F417" s="37"/>
      <c r="G417" s="37"/>
      <c r="H417" s="1"/>
    </row>
    <row r="418" ht="15.75" customHeight="1">
      <c r="A418" s="36"/>
      <c r="B418" s="37"/>
      <c r="C418" s="37"/>
      <c r="D418" s="37"/>
      <c r="E418" s="37"/>
      <c r="F418" s="37"/>
      <c r="G418" s="37"/>
      <c r="H418" s="1"/>
    </row>
    <row r="419" ht="15.75" customHeight="1">
      <c r="A419" s="36"/>
      <c r="B419" s="37"/>
      <c r="C419" s="37"/>
      <c r="D419" s="37"/>
      <c r="E419" s="37"/>
      <c r="F419" s="37"/>
      <c r="G419" s="37"/>
      <c r="H419" s="1"/>
    </row>
    <row r="420" ht="15.75" customHeight="1">
      <c r="A420" s="36"/>
      <c r="B420" s="37"/>
      <c r="C420" s="37"/>
      <c r="D420" s="37"/>
      <c r="E420" s="37"/>
      <c r="F420" s="37"/>
      <c r="G420" s="37"/>
      <c r="H420" s="1"/>
    </row>
    <row r="421" ht="15.75" customHeight="1">
      <c r="A421" s="36"/>
      <c r="B421" s="37"/>
      <c r="C421" s="37"/>
      <c r="D421" s="37"/>
      <c r="E421" s="37"/>
      <c r="F421" s="37"/>
      <c r="G421" s="37"/>
      <c r="H421" s="1"/>
    </row>
    <row r="422" ht="15.75" customHeight="1">
      <c r="A422" s="36"/>
      <c r="B422" s="37"/>
      <c r="C422" s="37"/>
      <c r="D422" s="37"/>
      <c r="E422" s="37"/>
      <c r="F422" s="37"/>
      <c r="G422" s="37"/>
      <c r="H422" s="1"/>
    </row>
    <row r="423" ht="15.75" customHeight="1">
      <c r="A423" s="36"/>
      <c r="B423" s="37"/>
      <c r="C423" s="37"/>
      <c r="D423" s="37"/>
      <c r="E423" s="37"/>
      <c r="F423" s="37"/>
      <c r="G423" s="37"/>
      <c r="H423" s="1"/>
    </row>
    <row r="424" ht="15.75" customHeight="1">
      <c r="A424" s="36"/>
      <c r="B424" s="37"/>
      <c r="C424" s="37"/>
      <c r="D424" s="37"/>
      <c r="E424" s="37"/>
      <c r="F424" s="37"/>
      <c r="G424" s="37"/>
      <c r="H424" s="1"/>
    </row>
    <row r="425" ht="15.75" customHeight="1">
      <c r="A425" s="36"/>
      <c r="B425" s="37"/>
      <c r="C425" s="37"/>
      <c r="D425" s="37"/>
      <c r="E425" s="37"/>
      <c r="F425" s="37"/>
      <c r="G425" s="37"/>
      <c r="H425" s="1"/>
    </row>
    <row r="426" ht="15.75" customHeight="1">
      <c r="A426" s="36"/>
      <c r="B426" s="37"/>
      <c r="C426" s="37"/>
      <c r="D426" s="37"/>
      <c r="E426" s="37"/>
      <c r="F426" s="37"/>
      <c r="G426" s="37"/>
      <c r="H426" s="1"/>
    </row>
    <row r="427" ht="15.75" customHeight="1">
      <c r="A427" s="36"/>
      <c r="B427" s="37"/>
      <c r="C427" s="37"/>
      <c r="D427" s="37"/>
      <c r="E427" s="37"/>
      <c r="F427" s="37"/>
      <c r="G427" s="37"/>
      <c r="H427" s="1"/>
    </row>
    <row r="428" ht="15.75" customHeight="1">
      <c r="A428" s="36"/>
      <c r="B428" s="37"/>
      <c r="C428" s="37"/>
      <c r="D428" s="37"/>
      <c r="E428" s="37"/>
      <c r="F428" s="37"/>
      <c r="G428" s="37"/>
      <c r="H428" s="1"/>
    </row>
    <row r="429" ht="15.75" customHeight="1">
      <c r="A429" s="36"/>
      <c r="B429" s="37"/>
      <c r="C429" s="37"/>
      <c r="D429" s="37"/>
      <c r="E429" s="37"/>
      <c r="F429" s="37"/>
      <c r="G429" s="37"/>
      <c r="H429" s="1"/>
    </row>
    <row r="430" ht="15.75" customHeight="1">
      <c r="A430" s="36"/>
      <c r="B430" s="37"/>
      <c r="C430" s="37"/>
      <c r="D430" s="37"/>
      <c r="E430" s="37"/>
      <c r="F430" s="37"/>
      <c r="G430" s="37"/>
      <c r="H430" s="1"/>
    </row>
    <row r="431" ht="15.75" customHeight="1">
      <c r="A431" s="36"/>
      <c r="B431" s="37"/>
      <c r="C431" s="37"/>
      <c r="D431" s="37"/>
      <c r="E431" s="37"/>
      <c r="F431" s="37"/>
      <c r="G431" s="37"/>
      <c r="H431" s="1"/>
    </row>
    <row r="432" ht="15.75" customHeight="1">
      <c r="A432" s="36"/>
      <c r="B432" s="37"/>
      <c r="C432" s="37"/>
      <c r="D432" s="37"/>
      <c r="E432" s="37"/>
      <c r="F432" s="37"/>
      <c r="G432" s="37"/>
      <c r="H432" s="1"/>
    </row>
    <row r="433" ht="15.75" customHeight="1">
      <c r="A433" s="36"/>
      <c r="B433" s="37"/>
      <c r="C433" s="37"/>
      <c r="D433" s="37"/>
      <c r="E433" s="37"/>
      <c r="F433" s="37"/>
      <c r="G433" s="37"/>
      <c r="H433" s="1"/>
    </row>
    <row r="434" ht="15.75" customHeight="1">
      <c r="A434" s="36"/>
      <c r="B434" s="37"/>
      <c r="C434" s="37"/>
      <c r="D434" s="37"/>
      <c r="E434" s="37"/>
      <c r="F434" s="37"/>
      <c r="G434" s="37"/>
      <c r="H434" s="1"/>
    </row>
    <row r="435" ht="15.75" customHeight="1">
      <c r="A435" s="36"/>
      <c r="B435" s="37"/>
      <c r="C435" s="37"/>
      <c r="D435" s="37"/>
      <c r="E435" s="37"/>
      <c r="F435" s="37"/>
      <c r="G435" s="37"/>
      <c r="H435" s="1"/>
    </row>
    <row r="436" ht="15.75" customHeight="1">
      <c r="A436" s="36"/>
      <c r="B436" s="37"/>
      <c r="C436" s="37"/>
      <c r="D436" s="37"/>
      <c r="E436" s="37"/>
      <c r="F436" s="37"/>
      <c r="G436" s="37"/>
      <c r="H436" s="1"/>
    </row>
    <row r="437" ht="15.75" customHeight="1">
      <c r="A437" s="36"/>
      <c r="B437" s="37"/>
      <c r="C437" s="37"/>
      <c r="D437" s="37"/>
      <c r="E437" s="37"/>
      <c r="F437" s="37"/>
      <c r="G437" s="37"/>
      <c r="H437" s="1"/>
    </row>
    <row r="438" ht="15.75" customHeight="1">
      <c r="A438" s="36"/>
      <c r="B438" s="37"/>
      <c r="C438" s="37"/>
      <c r="D438" s="37"/>
      <c r="E438" s="37"/>
      <c r="F438" s="37"/>
      <c r="G438" s="37"/>
      <c r="H438" s="1"/>
    </row>
    <row r="439" ht="15.75" customHeight="1">
      <c r="A439" s="36"/>
      <c r="B439" s="37"/>
      <c r="C439" s="37"/>
      <c r="D439" s="37"/>
      <c r="E439" s="37"/>
      <c r="F439" s="37"/>
      <c r="G439" s="37"/>
      <c r="H439" s="1"/>
    </row>
    <row r="440" ht="15.75" customHeight="1">
      <c r="A440" s="36"/>
      <c r="B440" s="37"/>
      <c r="C440" s="37"/>
      <c r="D440" s="37"/>
      <c r="E440" s="37"/>
      <c r="F440" s="37"/>
      <c r="G440" s="37"/>
      <c r="H440" s="1"/>
    </row>
    <row r="441" ht="15.75" customHeight="1">
      <c r="A441" s="36"/>
      <c r="B441" s="37"/>
      <c r="C441" s="37"/>
      <c r="D441" s="37"/>
      <c r="E441" s="37"/>
      <c r="F441" s="37"/>
      <c r="G441" s="37"/>
      <c r="H441" s="1"/>
    </row>
    <row r="442" ht="15.75" customHeight="1">
      <c r="A442" s="36"/>
      <c r="B442" s="37"/>
      <c r="C442" s="37"/>
      <c r="D442" s="37"/>
      <c r="E442" s="37"/>
      <c r="F442" s="37"/>
      <c r="G442" s="37"/>
      <c r="H442" s="1"/>
    </row>
    <row r="443" ht="15.75" customHeight="1">
      <c r="A443" s="36"/>
      <c r="B443" s="37"/>
      <c r="C443" s="37"/>
      <c r="D443" s="37"/>
      <c r="E443" s="37"/>
      <c r="F443" s="37"/>
      <c r="G443" s="37"/>
      <c r="H443" s="1"/>
    </row>
    <row r="444" ht="15.75" customHeight="1">
      <c r="A444" s="36"/>
      <c r="B444" s="37"/>
      <c r="C444" s="37"/>
      <c r="D444" s="37"/>
      <c r="E444" s="37"/>
      <c r="F444" s="37"/>
      <c r="G444" s="37"/>
      <c r="H444" s="1"/>
    </row>
    <row r="445" ht="15.75" customHeight="1">
      <c r="A445" s="36"/>
      <c r="B445" s="37"/>
      <c r="C445" s="37"/>
      <c r="D445" s="37"/>
      <c r="E445" s="37"/>
      <c r="F445" s="37"/>
      <c r="G445" s="37"/>
      <c r="H445" s="1"/>
    </row>
    <row r="446" ht="15.75" customHeight="1">
      <c r="A446" s="36"/>
      <c r="B446" s="37"/>
      <c r="C446" s="37"/>
      <c r="D446" s="37"/>
      <c r="E446" s="37"/>
      <c r="F446" s="37"/>
      <c r="G446" s="37"/>
      <c r="H446" s="1"/>
    </row>
    <row r="447" ht="15.75" customHeight="1">
      <c r="A447" s="36"/>
      <c r="B447" s="37"/>
      <c r="C447" s="37"/>
      <c r="D447" s="37"/>
      <c r="E447" s="37"/>
      <c r="F447" s="37"/>
      <c r="G447" s="37"/>
      <c r="H447" s="1"/>
    </row>
    <row r="448" ht="15.75" customHeight="1">
      <c r="A448" s="36"/>
      <c r="B448" s="37"/>
      <c r="C448" s="37"/>
      <c r="D448" s="37"/>
      <c r="E448" s="37"/>
      <c r="F448" s="37"/>
      <c r="G448" s="37"/>
      <c r="H448" s="1"/>
    </row>
    <row r="449" ht="15.75" customHeight="1">
      <c r="A449" s="36"/>
      <c r="B449" s="37"/>
      <c r="C449" s="37"/>
      <c r="D449" s="37"/>
      <c r="E449" s="37"/>
      <c r="F449" s="37"/>
      <c r="G449" s="37"/>
      <c r="H449" s="1"/>
    </row>
    <row r="450" ht="15.75" customHeight="1">
      <c r="A450" s="36"/>
      <c r="B450" s="37"/>
      <c r="C450" s="37"/>
      <c r="D450" s="37"/>
      <c r="E450" s="37"/>
      <c r="F450" s="37"/>
      <c r="G450" s="37"/>
      <c r="H450" s="1"/>
    </row>
    <row r="451" ht="15.75" customHeight="1">
      <c r="A451" s="36"/>
      <c r="B451" s="37"/>
      <c r="C451" s="37"/>
      <c r="D451" s="37"/>
      <c r="E451" s="37"/>
      <c r="F451" s="37"/>
      <c r="G451" s="37"/>
      <c r="H451" s="1"/>
    </row>
    <row r="452" ht="15.75" customHeight="1">
      <c r="A452" s="36"/>
      <c r="B452" s="37"/>
      <c r="C452" s="37"/>
      <c r="D452" s="37"/>
      <c r="E452" s="37"/>
      <c r="F452" s="37"/>
      <c r="G452" s="37"/>
      <c r="H452" s="1"/>
    </row>
    <row r="453" ht="15.75" customHeight="1">
      <c r="A453" s="36"/>
      <c r="B453" s="37"/>
      <c r="C453" s="37"/>
      <c r="D453" s="37"/>
      <c r="E453" s="37"/>
      <c r="F453" s="37"/>
      <c r="G453" s="37"/>
      <c r="H453" s="1"/>
    </row>
    <row r="454" ht="15.75" customHeight="1">
      <c r="A454" s="36"/>
      <c r="B454" s="37"/>
      <c r="C454" s="37"/>
      <c r="D454" s="37"/>
      <c r="E454" s="37"/>
      <c r="F454" s="37"/>
      <c r="G454" s="37"/>
      <c r="H454" s="1"/>
    </row>
    <row r="455" ht="15.75" customHeight="1">
      <c r="A455" s="36"/>
      <c r="B455" s="37"/>
      <c r="C455" s="37"/>
      <c r="D455" s="37"/>
      <c r="E455" s="37"/>
      <c r="F455" s="37"/>
      <c r="G455" s="37"/>
      <c r="H455" s="1"/>
    </row>
    <row r="456" ht="15.75" customHeight="1">
      <c r="A456" s="36"/>
      <c r="B456" s="37"/>
      <c r="C456" s="37"/>
      <c r="D456" s="37"/>
      <c r="E456" s="37"/>
      <c r="F456" s="37"/>
      <c r="G456" s="37"/>
      <c r="H456" s="1"/>
    </row>
    <row r="457" ht="15.75" customHeight="1">
      <c r="A457" s="36"/>
      <c r="B457" s="37"/>
      <c r="C457" s="37"/>
      <c r="D457" s="37"/>
      <c r="E457" s="37"/>
      <c r="F457" s="37"/>
      <c r="G457" s="37"/>
      <c r="H457" s="1"/>
    </row>
    <row r="458" ht="15.75" customHeight="1">
      <c r="A458" s="36"/>
      <c r="B458" s="37"/>
      <c r="C458" s="37"/>
      <c r="D458" s="37"/>
      <c r="E458" s="37"/>
      <c r="F458" s="37"/>
      <c r="G458" s="37"/>
      <c r="H458" s="1"/>
    </row>
    <row r="459" ht="15.75" customHeight="1">
      <c r="A459" s="36"/>
      <c r="B459" s="37"/>
      <c r="C459" s="37"/>
      <c r="D459" s="37"/>
      <c r="E459" s="37"/>
      <c r="F459" s="37"/>
      <c r="G459" s="37"/>
      <c r="H459" s="1"/>
    </row>
    <row r="460" ht="15.75" customHeight="1">
      <c r="A460" s="36"/>
      <c r="B460" s="37"/>
      <c r="C460" s="37"/>
      <c r="D460" s="37"/>
      <c r="E460" s="37"/>
      <c r="F460" s="37"/>
      <c r="G460" s="37"/>
      <c r="H460" s="1"/>
    </row>
    <row r="461" ht="15.75" customHeight="1">
      <c r="A461" s="36"/>
      <c r="B461" s="37"/>
      <c r="C461" s="37"/>
      <c r="D461" s="37"/>
      <c r="E461" s="37"/>
      <c r="F461" s="37"/>
      <c r="G461" s="37"/>
      <c r="H461" s="1"/>
    </row>
    <row r="462" ht="15.75" customHeight="1">
      <c r="A462" s="36"/>
      <c r="B462" s="37"/>
      <c r="C462" s="37"/>
      <c r="D462" s="37"/>
      <c r="E462" s="37"/>
      <c r="F462" s="37"/>
      <c r="G462" s="37"/>
      <c r="H462" s="1"/>
    </row>
    <row r="463" ht="15.75" customHeight="1">
      <c r="A463" s="36"/>
      <c r="B463" s="37"/>
      <c r="C463" s="37"/>
      <c r="D463" s="37"/>
      <c r="E463" s="37"/>
      <c r="F463" s="37"/>
      <c r="G463" s="37"/>
      <c r="H463" s="1"/>
    </row>
    <row r="464" ht="15.75" customHeight="1">
      <c r="A464" s="36"/>
      <c r="B464" s="37"/>
      <c r="C464" s="37"/>
      <c r="D464" s="37"/>
      <c r="E464" s="37"/>
      <c r="F464" s="37"/>
      <c r="G464" s="37"/>
      <c r="H464" s="1"/>
    </row>
    <row r="465" ht="15.75" customHeight="1">
      <c r="A465" s="36"/>
      <c r="B465" s="37"/>
      <c r="C465" s="37"/>
      <c r="D465" s="37"/>
      <c r="E465" s="37"/>
      <c r="F465" s="37"/>
      <c r="G465" s="37"/>
      <c r="H465" s="1"/>
    </row>
    <row r="466" ht="15.75" customHeight="1">
      <c r="A466" s="36"/>
      <c r="B466" s="37"/>
      <c r="C466" s="37"/>
      <c r="D466" s="37"/>
      <c r="E466" s="37"/>
      <c r="F466" s="37"/>
      <c r="G466" s="37"/>
      <c r="H466" s="1"/>
    </row>
    <row r="467" ht="15.75" customHeight="1">
      <c r="A467" s="36"/>
      <c r="B467" s="37"/>
      <c r="C467" s="37"/>
      <c r="D467" s="37"/>
      <c r="E467" s="37"/>
      <c r="F467" s="37"/>
      <c r="G467" s="37"/>
      <c r="H467" s="1"/>
    </row>
    <row r="468" ht="15.75" customHeight="1">
      <c r="A468" s="36"/>
      <c r="B468" s="37"/>
      <c r="C468" s="37"/>
      <c r="D468" s="37"/>
      <c r="E468" s="37"/>
      <c r="F468" s="37"/>
      <c r="G468" s="37"/>
      <c r="H468" s="1"/>
    </row>
    <row r="469" ht="15.75" customHeight="1">
      <c r="A469" s="36"/>
      <c r="B469" s="37"/>
      <c r="C469" s="37"/>
      <c r="D469" s="37"/>
      <c r="E469" s="37"/>
      <c r="F469" s="37"/>
      <c r="G469" s="37"/>
      <c r="H469" s="1"/>
    </row>
    <row r="470" ht="15.75" customHeight="1">
      <c r="A470" s="36"/>
      <c r="B470" s="37"/>
      <c r="C470" s="37"/>
      <c r="D470" s="37"/>
      <c r="E470" s="37"/>
      <c r="F470" s="37"/>
      <c r="G470" s="37"/>
      <c r="H470" s="1"/>
    </row>
    <row r="471" ht="15.75" customHeight="1">
      <c r="A471" s="36"/>
      <c r="B471" s="37"/>
      <c r="C471" s="37"/>
      <c r="D471" s="37"/>
      <c r="E471" s="37"/>
      <c r="F471" s="37"/>
      <c r="G471" s="37"/>
      <c r="H471" s="1"/>
    </row>
    <row r="472" ht="15.75" customHeight="1">
      <c r="A472" s="36"/>
      <c r="B472" s="37"/>
      <c r="C472" s="37"/>
      <c r="D472" s="37"/>
      <c r="E472" s="37"/>
      <c r="F472" s="37"/>
      <c r="G472" s="37"/>
      <c r="H472" s="1"/>
    </row>
    <row r="473" ht="15.75" customHeight="1">
      <c r="A473" s="36"/>
      <c r="B473" s="37"/>
      <c r="C473" s="37"/>
      <c r="D473" s="37"/>
      <c r="E473" s="37"/>
      <c r="F473" s="37"/>
      <c r="G473" s="37"/>
      <c r="H473" s="1"/>
    </row>
    <row r="474" ht="15.75" customHeight="1">
      <c r="A474" s="36"/>
      <c r="B474" s="37"/>
      <c r="C474" s="37"/>
      <c r="D474" s="37"/>
      <c r="E474" s="37"/>
      <c r="F474" s="37"/>
      <c r="G474" s="37"/>
      <c r="H474" s="1"/>
    </row>
    <row r="475" ht="15.75" customHeight="1">
      <c r="A475" s="36"/>
      <c r="B475" s="37"/>
      <c r="C475" s="37"/>
      <c r="D475" s="37"/>
      <c r="E475" s="37"/>
      <c r="F475" s="37"/>
      <c r="G475" s="37"/>
      <c r="H475" s="1"/>
    </row>
    <row r="476" ht="15.75" customHeight="1">
      <c r="A476" s="36"/>
      <c r="B476" s="37"/>
      <c r="C476" s="37"/>
      <c r="D476" s="37"/>
      <c r="E476" s="37"/>
      <c r="F476" s="37"/>
      <c r="G476" s="37"/>
      <c r="H476" s="1"/>
    </row>
    <row r="477" ht="15.75" customHeight="1">
      <c r="A477" s="36"/>
      <c r="B477" s="37"/>
      <c r="C477" s="37"/>
      <c r="D477" s="37"/>
      <c r="E477" s="37"/>
      <c r="F477" s="37"/>
      <c r="G477" s="37"/>
      <c r="H477" s="1"/>
    </row>
    <row r="478" ht="15.75" customHeight="1">
      <c r="A478" s="36"/>
      <c r="B478" s="37"/>
      <c r="C478" s="37"/>
      <c r="D478" s="37"/>
      <c r="E478" s="37"/>
      <c r="F478" s="37"/>
      <c r="G478" s="37"/>
      <c r="H478" s="1"/>
    </row>
    <row r="479" ht="15.75" customHeight="1">
      <c r="A479" s="36"/>
      <c r="B479" s="37"/>
      <c r="C479" s="37"/>
      <c r="D479" s="37"/>
      <c r="E479" s="37"/>
      <c r="F479" s="37"/>
      <c r="G479" s="37"/>
      <c r="H479" s="1"/>
    </row>
    <row r="480" ht="15.75" customHeight="1">
      <c r="A480" s="36"/>
      <c r="B480" s="37"/>
      <c r="C480" s="37"/>
      <c r="D480" s="37"/>
      <c r="E480" s="37"/>
      <c r="F480" s="37"/>
      <c r="G480" s="37"/>
      <c r="H480" s="1"/>
    </row>
    <row r="481" ht="15.75" customHeight="1">
      <c r="A481" s="36"/>
      <c r="B481" s="37"/>
      <c r="C481" s="37"/>
      <c r="D481" s="37"/>
      <c r="E481" s="37"/>
      <c r="F481" s="37"/>
      <c r="G481" s="37"/>
      <c r="H481" s="1"/>
    </row>
    <row r="482" ht="15.75" customHeight="1">
      <c r="A482" s="36"/>
      <c r="B482" s="37"/>
      <c r="C482" s="37"/>
      <c r="D482" s="37"/>
      <c r="E482" s="37"/>
      <c r="F482" s="37"/>
      <c r="G482" s="37"/>
      <c r="H482" s="1"/>
    </row>
    <row r="483" ht="15.75" customHeight="1">
      <c r="A483" s="36"/>
      <c r="B483" s="37"/>
      <c r="C483" s="37"/>
      <c r="D483" s="37"/>
      <c r="E483" s="37"/>
      <c r="F483" s="37"/>
      <c r="G483" s="37"/>
      <c r="H483" s="1"/>
    </row>
    <row r="484" ht="15.75" customHeight="1">
      <c r="A484" s="36"/>
      <c r="B484" s="37"/>
      <c r="C484" s="37"/>
      <c r="D484" s="37"/>
      <c r="E484" s="37"/>
      <c r="F484" s="37"/>
      <c r="G484" s="37"/>
      <c r="H484" s="1"/>
    </row>
    <row r="485" ht="15.75" customHeight="1">
      <c r="A485" s="36"/>
      <c r="B485" s="37"/>
      <c r="C485" s="37"/>
      <c r="D485" s="37"/>
      <c r="E485" s="37"/>
      <c r="F485" s="37"/>
      <c r="G485" s="37"/>
      <c r="H485" s="1"/>
    </row>
    <row r="486" ht="15.75" customHeight="1">
      <c r="A486" s="36"/>
      <c r="B486" s="37"/>
      <c r="C486" s="37"/>
      <c r="D486" s="37"/>
      <c r="E486" s="37"/>
      <c r="F486" s="37"/>
      <c r="G486" s="37"/>
      <c r="H486" s="1"/>
    </row>
    <row r="487" ht="15.75" customHeight="1">
      <c r="A487" s="36"/>
      <c r="B487" s="37"/>
      <c r="C487" s="37"/>
      <c r="D487" s="37"/>
      <c r="E487" s="37"/>
      <c r="F487" s="37"/>
      <c r="G487" s="37"/>
      <c r="H487" s="1"/>
    </row>
    <row r="488" ht="15.75" customHeight="1">
      <c r="A488" s="36"/>
      <c r="B488" s="37"/>
      <c r="C488" s="37"/>
      <c r="D488" s="37"/>
      <c r="E488" s="37"/>
      <c r="F488" s="37"/>
      <c r="G488" s="37"/>
      <c r="H488" s="1"/>
    </row>
    <row r="489" ht="15.75" customHeight="1">
      <c r="A489" s="36"/>
      <c r="B489" s="37"/>
      <c r="C489" s="37"/>
      <c r="D489" s="37"/>
      <c r="E489" s="37"/>
      <c r="F489" s="37"/>
      <c r="G489" s="37"/>
      <c r="H489" s="1"/>
    </row>
    <row r="490" ht="15.75" customHeight="1">
      <c r="A490" s="36"/>
      <c r="B490" s="37"/>
      <c r="C490" s="37"/>
      <c r="D490" s="37"/>
      <c r="E490" s="37"/>
      <c r="F490" s="37"/>
      <c r="G490" s="37"/>
      <c r="H490" s="1"/>
    </row>
    <row r="491" ht="15.75" customHeight="1">
      <c r="A491" s="36"/>
      <c r="B491" s="37"/>
      <c r="C491" s="37"/>
      <c r="D491" s="37"/>
      <c r="E491" s="37"/>
      <c r="F491" s="37"/>
      <c r="G491" s="37"/>
      <c r="H491" s="1"/>
    </row>
    <row r="492" ht="15.75" customHeight="1">
      <c r="A492" s="36"/>
      <c r="B492" s="37"/>
      <c r="C492" s="37"/>
      <c r="D492" s="37"/>
      <c r="E492" s="37"/>
      <c r="F492" s="37"/>
      <c r="G492" s="37"/>
      <c r="H492" s="1"/>
    </row>
    <row r="493" ht="15.75" customHeight="1">
      <c r="A493" s="36"/>
      <c r="B493" s="37"/>
      <c r="C493" s="37"/>
      <c r="D493" s="37"/>
      <c r="E493" s="37"/>
      <c r="F493" s="37"/>
      <c r="G493" s="37"/>
      <c r="H493" s="1"/>
    </row>
    <row r="494" ht="15.75" customHeight="1">
      <c r="A494" s="36"/>
      <c r="B494" s="37"/>
      <c r="C494" s="37"/>
      <c r="D494" s="37"/>
      <c r="E494" s="37"/>
      <c r="F494" s="37"/>
      <c r="G494" s="37"/>
      <c r="H494" s="1"/>
    </row>
    <row r="495" ht="15.75" customHeight="1">
      <c r="A495" s="36"/>
      <c r="B495" s="37"/>
      <c r="C495" s="37"/>
      <c r="D495" s="37"/>
      <c r="E495" s="37"/>
      <c r="F495" s="37"/>
      <c r="G495" s="37"/>
      <c r="H495" s="1"/>
    </row>
    <row r="496" ht="15.75" customHeight="1">
      <c r="A496" s="36"/>
      <c r="B496" s="37"/>
      <c r="C496" s="37"/>
      <c r="D496" s="37"/>
      <c r="E496" s="37"/>
      <c r="F496" s="37"/>
      <c r="G496" s="37"/>
      <c r="H496" s="1"/>
    </row>
    <row r="497" ht="15.75" customHeight="1">
      <c r="A497" s="36"/>
      <c r="B497" s="37"/>
      <c r="C497" s="37"/>
      <c r="D497" s="37"/>
      <c r="E497" s="37"/>
      <c r="F497" s="37"/>
      <c r="G497" s="37"/>
      <c r="H497" s="1"/>
    </row>
    <row r="498" ht="15.75" customHeight="1">
      <c r="A498" s="36"/>
      <c r="B498" s="37"/>
      <c r="C498" s="37"/>
      <c r="D498" s="37"/>
      <c r="E498" s="37"/>
      <c r="F498" s="37"/>
      <c r="G498" s="37"/>
      <c r="H498" s="1"/>
    </row>
    <row r="499" ht="15.75" customHeight="1">
      <c r="A499" s="36"/>
      <c r="B499" s="37"/>
      <c r="C499" s="37"/>
      <c r="D499" s="37"/>
      <c r="E499" s="37"/>
      <c r="F499" s="37"/>
      <c r="G499" s="37"/>
      <c r="H499" s="1"/>
    </row>
    <row r="500" ht="15.75" customHeight="1">
      <c r="A500" s="36"/>
      <c r="B500" s="37"/>
      <c r="C500" s="37"/>
      <c r="D500" s="37"/>
      <c r="E500" s="37"/>
      <c r="F500" s="37"/>
      <c r="G500" s="37"/>
      <c r="H500" s="1"/>
    </row>
    <row r="501" ht="15.75" customHeight="1">
      <c r="A501" s="36"/>
      <c r="B501" s="37"/>
      <c r="C501" s="37"/>
      <c r="D501" s="37"/>
      <c r="E501" s="37"/>
      <c r="F501" s="37"/>
      <c r="G501" s="37"/>
      <c r="H501" s="1"/>
    </row>
    <row r="502" ht="15.75" customHeight="1">
      <c r="A502" s="36"/>
      <c r="B502" s="37"/>
      <c r="C502" s="37"/>
      <c r="D502" s="37"/>
      <c r="E502" s="37"/>
      <c r="F502" s="37"/>
      <c r="G502" s="37"/>
      <c r="H502" s="1"/>
    </row>
    <row r="503" ht="15.75" customHeight="1">
      <c r="A503" s="36"/>
      <c r="B503" s="37"/>
      <c r="C503" s="37"/>
      <c r="D503" s="37"/>
      <c r="E503" s="37"/>
      <c r="F503" s="37"/>
      <c r="G503" s="37"/>
      <c r="H503" s="1"/>
    </row>
    <row r="504" ht="15.75" customHeight="1">
      <c r="A504" s="36"/>
      <c r="B504" s="37"/>
      <c r="C504" s="37"/>
      <c r="D504" s="37"/>
      <c r="E504" s="37"/>
      <c r="F504" s="37"/>
      <c r="G504" s="37"/>
      <c r="H504" s="1"/>
    </row>
    <row r="505" ht="15.75" customHeight="1">
      <c r="A505" s="36"/>
      <c r="B505" s="37"/>
      <c r="C505" s="37"/>
      <c r="D505" s="37"/>
      <c r="E505" s="37"/>
      <c r="F505" s="37"/>
      <c r="G505" s="37"/>
      <c r="H505" s="1"/>
    </row>
    <row r="506" ht="15.75" customHeight="1">
      <c r="A506" s="36"/>
      <c r="B506" s="37"/>
      <c r="C506" s="37"/>
      <c r="D506" s="37"/>
      <c r="E506" s="37"/>
      <c r="F506" s="37"/>
      <c r="G506" s="37"/>
      <c r="H506" s="1"/>
    </row>
    <row r="507" ht="15.75" customHeight="1">
      <c r="A507" s="36"/>
      <c r="B507" s="37"/>
      <c r="C507" s="37"/>
      <c r="D507" s="37"/>
      <c r="E507" s="37"/>
      <c r="F507" s="37"/>
      <c r="G507" s="37"/>
      <c r="H507" s="1"/>
    </row>
    <row r="508" ht="15.75" customHeight="1">
      <c r="A508" s="36"/>
      <c r="B508" s="37"/>
      <c r="C508" s="37"/>
      <c r="D508" s="37"/>
      <c r="E508" s="37"/>
      <c r="F508" s="37"/>
      <c r="G508" s="37"/>
      <c r="H508" s="1"/>
    </row>
    <row r="509" ht="15.75" customHeight="1">
      <c r="A509" s="36"/>
      <c r="B509" s="37"/>
      <c r="C509" s="37"/>
      <c r="D509" s="37"/>
      <c r="E509" s="37"/>
      <c r="F509" s="37"/>
      <c r="G509" s="37"/>
      <c r="H509" s="1"/>
    </row>
    <row r="510" ht="15.75" customHeight="1">
      <c r="A510" s="36"/>
      <c r="B510" s="37"/>
      <c r="C510" s="37"/>
      <c r="D510" s="37"/>
      <c r="E510" s="37"/>
      <c r="F510" s="37"/>
      <c r="G510" s="37"/>
      <c r="H510" s="1"/>
    </row>
    <row r="511" ht="15.75" customHeight="1">
      <c r="A511" s="36"/>
      <c r="B511" s="37"/>
      <c r="C511" s="37"/>
      <c r="D511" s="37"/>
      <c r="E511" s="37"/>
      <c r="F511" s="37"/>
      <c r="G511" s="37"/>
      <c r="H511" s="1"/>
    </row>
    <row r="512" ht="15.75" customHeight="1">
      <c r="A512" s="36"/>
      <c r="B512" s="37"/>
      <c r="C512" s="37"/>
      <c r="D512" s="37"/>
      <c r="E512" s="37"/>
      <c r="F512" s="37"/>
      <c r="G512" s="37"/>
      <c r="H512" s="1"/>
    </row>
    <row r="513" ht="15.75" customHeight="1">
      <c r="A513" s="36"/>
      <c r="B513" s="37"/>
      <c r="C513" s="37"/>
      <c r="D513" s="37"/>
      <c r="E513" s="37"/>
      <c r="F513" s="37"/>
      <c r="G513" s="37"/>
      <c r="H513" s="1"/>
    </row>
    <row r="514" ht="15.75" customHeight="1">
      <c r="A514" s="36"/>
      <c r="B514" s="37"/>
      <c r="C514" s="37"/>
      <c r="D514" s="37"/>
      <c r="E514" s="37"/>
      <c r="F514" s="37"/>
      <c r="G514" s="37"/>
      <c r="H514" s="1"/>
    </row>
    <row r="515" ht="15.75" customHeight="1">
      <c r="A515" s="36"/>
      <c r="B515" s="37"/>
      <c r="C515" s="37"/>
      <c r="D515" s="37"/>
      <c r="E515" s="37"/>
      <c r="F515" s="37"/>
      <c r="G515" s="37"/>
      <c r="H515" s="1"/>
    </row>
    <row r="516" ht="15.75" customHeight="1">
      <c r="A516" s="36"/>
      <c r="B516" s="37"/>
      <c r="C516" s="37"/>
      <c r="D516" s="37"/>
      <c r="E516" s="37"/>
      <c r="F516" s="37"/>
      <c r="G516" s="37"/>
      <c r="H516" s="1"/>
    </row>
    <row r="517" ht="15.75" customHeight="1">
      <c r="A517" s="36"/>
      <c r="B517" s="37"/>
      <c r="C517" s="37"/>
      <c r="D517" s="37"/>
      <c r="E517" s="37"/>
      <c r="F517" s="37"/>
      <c r="G517" s="37"/>
      <c r="H517" s="1"/>
    </row>
    <row r="518" ht="15.75" customHeight="1">
      <c r="A518" s="36"/>
      <c r="B518" s="37"/>
      <c r="C518" s="37"/>
      <c r="D518" s="37"/>
      <c r="E518" s="37"/>
      <c r="F518" s="37"/>
      <c r="G518" s="37"/>
      <c r="H518" s="1"/>
    </row>
    <row r="519" ht="15.75" customHeight="1">
      <c r="A519" s="36"/>
      <c r="B519" s="37"/>
      <c r="C519" s="37"/>
      <c r="D519" s="37"/>
      <c r="E519" s="37"/>
      <c r="F519" s="37"/>
      <c r="G519" s="37"/>
      <c r="H519" s="1"/>
    </row>
    <row r="520" ht="15.75" customHeight="1">
      <c r="A520" s="36"/>
      <c r="B520" s="37"/>
      <c r="C520" s="37"/>
      <c r="D520" s="37"/>
      <c r="E520" s="37"/>
      <c r="F520" s="37"/>
      <c r="G520" s="37"/>
      <c r="H520" s="1"/>
    </row>
    <row r="521" ht="15.75" customHeight="1">
      <c r="A521" s="36"/>
      <c r="B521" s="37"/>
      <c r="C521" s="37"/>
      <c r="D521" s="37"/>
      <c r="E521" s="37"/>
      <c r="F521" s="37"/>
      <c r="G521" s="37"/>
      <c r="H521" s="1"/>
    </row>
    <row r="522" ht="15.75" customHeight="1">
      <c r="A522" s="36"/>
      <c r="B522" s="37"/>
      <c r="C522" s="37"/>
      <c r="D522" s="37"/>
      <c r="E522" s="37"/>
      <c r="F522" s="37"/>
      <c r="G522" s="37"/>
      <c r="H522" s="1"/>
    </row>
    <row r="523" ht="15.75" customHeight="1">
      <c r="A523" s="36"/>
      <c r="B523" s="37"/>
      <c r="C523" s="37"/>
      <c r="D523" s="37"/>
      <c r="E523" s="37"/>
      <c r="F523" s="37"/>
      <c r="G523" s="37"/>
      <c r="H523" s="1"/>
    </row>
    <row r="524" ht="15.75" customHeight="1">
      <c r="A524" s="36"/>
      <c r="B524" s="37"/>
      <c r="C524" s="37"/>
      <c r="D524" s="37"/>
      <c r="E524" s="37"/>
      <c r="F524" s="37"/>
      <c r="G524" s="37"/>
      <c r="H524" s="1"/>
    </row>
    <row r="525" ht="15.75" customHeight="1">
      <c r="A525" s="36"/>
      <c r="B525" s="37"/>
      <c r="C525" s="37"/>
      <c r="D525" s="37"/>
      <c r="E525" s="37"/>
      <c r="F525" s="37"/>
      <c r="G525" s="37"/>
      <c r="H525" s="1"/>
    </row>
    <row r="526" ht="15.75" customHeight="1">
      <c r="A526" s="36"/>
      <c r="B526" s="37"/>
      <c r="C526" s="37"/>
      <c r="D526" s="37"/>
      <c r="E526" s="37"/>
      <c r="F526" s="37"/>
      <c r="G526" s="37"/>
      <c r="H526" s="1"/>
    </row>
    <row r="527" ht="15.75" customHeight="1">
      <c r="A527" s="36"/>
      <c r="B527" s="37"/>
      <c r="C527" s="37"/>
      <c r="D527" s="37"/>
      <c r="E527" s="37"/>
      <c r="F527" s="37"/>
      <c r="G527" s="37"/>
      <c r="H527" s="1"/>
    </row>
    <row r="528" ht="15.75" customHeight="1">
      <c r="A528" s="36"/>
      <c r="B528" s="37"/>
      <c r="C528" s="37"/>
      <c r="D528" s="37"/>
      <c r="E528" s="37"/>
      <c r="F528" s="37"/>
      <c r="G528" s="37"/>
      <c r="H528" s="1"/>
    </row>
    <row r="529" ht="15.75" customHeight="1">
      <c r="A529" s="36"/>
      <c r="B529" s="37"/>
      <c r="C529" s="37"/>
      <c r="D529" s="37"/>
      <c r="E529" s="37"/>
      <c r="F529" s="37"/>
      <c r="G529" s="37"/>
      <c r="H529" s="1"/>
    </row>
    <row r="530" ht="15.75" customHeight="1">
      <c r="A530" s="36"/>
      <c r="B530" s="37"/>
      <c r="C530" s="37"/>
      <c r="D530" s="37"/>
      <c r="E530" s="37"/>
      <c r="F530" s="37"/>
      <c r="G530" s="37"/>
      <c r="H530" s="1"/>
    </row>
    <row r="531" ht="15.75" customHeight="1">
      <c r="A531" s="36"/>
      <c r="B531" s="37"/>
      <c r="C531" s="37"/>
      <c r="D531" s="37"/>
      <c r="E531" s="37"/>
      <c r="F531" s="37"/>
      <c r="G531" s="37"/>
      <c r="H531" s="1"/>
    </row>
    <row r="532" ht="15.75" customHeight="1">
      <c r="A532" s="36"/>
      <c r="B532" s="37"/>
      <c r="C532" s="37"/>
      <c r="D532" s="37"/>
      <c r="E532" s="37"/>
      <c r="F532" s="37"/>
      <c r="G532" s="37"/>
      <c r="H532" s="1"/>
    </row>
    <row r="533" ht="15.75" customHeight="1">
      <c r="A533" s="36"/>
      <c r="B533" s="37"/>
      <c r="C533" s="37"/>
      <c r="D533" s="37"/>
      <c r="E533" s="37"/>
      <c r="F533" s="37"/>
      <c r="G533" s="37"/>
      <c r="H533" s="1"/>
    </row>
    <row r="534" ht="15.75" customHeight="1">
      <c r="A534" s="36"/>
      <c r="B534" s="37"/>
      <c r="C534" s="37"/>
      <c r="D534" s="37"/>
      <c r="E534" s="37"/>
      <c r="F534" s="37"/>
      <c r="G534" s="37"/>
      <c r="H534" s="1"/>
    </row>
    <row r="535" ht="15.75" customHeight="1">
      <c r="A535" s="36"/>
      <c r="B535" s="37"/>
      <c r="C535" s="37"/>
      <c r="D535" s="37"/>
      <c r="E535" s="37"/>
      <c r="F535" s="37"/>
      <c r="G535" s="37"/>
      <c r="H535" s="1"/>
    </row>
    <row r="536" ht="15.75" customHeight="1">
      <c r="A536" s="36"/>
      <c r="B536" s="37"/>
      <c r="C536" s="37"/>
      <c r="D536" s="37"/>
      <c r="E536" s="37"/>
      <c r="F536" s="37"/>
      <c r="G536" s="37"/>
      <c r="H536" s="1"/>
    </row>
    <row r="537" ht="15.75" customHeight="1">
      <c r="A537" s="36"/>
      <c r="B537" s="37"/>
      <c r="C537" s="37"/>
      <c r="D537" s="37"/>
      <c r="E537" s="37"/>
      <c r="F537" s="37"/>
      <c r="G537" s="37"/>
      <c r="H537" s="1"/>
    </row>
    <row r="538" ht="15.75" customHeight="1">
      <c r="A538" s="36"/>
      <c r="B538" s="37"/>
      <c r="C538" s="37"/>
      <c r="D538" s="37"/>
      <c r="E538" s="37"/>
      <c r="F538" s="37"/>
      <c r="G538" s="37"/>
      <c r="H538" s="1"/>
    </row>
    <row r="539" ht="15.75" customHeight="1">
      <c r="A539" s="36"/>
      <c r="B539" s="37"/>
      <c r="C539" s="37"/>
      <c r="D539" s="37"/>
      <c r="E539" s="37"/>
      <c r="F539" s="37"/>
      <c r="G539" s="37"/>
      <c r="H539" s="1"/>
    </row>
    <row r="540" ht="15.75" customHeight="1">
      <c r="A540" s="36"/>
      <c r="B540" s="37"/>
      <c r="C540" s="37"/>
      <c r="D540" s="37"/>
      <c r="E540" s="37"/>
      <c r="F540" s="37"/>
      <c r="G540" s="37"/>
      <c r="H540" s="1"/>
    </row>
    <row r="541" ht="15.75" customHeight="1">
      <c r="A541" s="36"/>
      <c r="B541" s="37"/>
      <c r="C541" s="37"/>
      <c r="D541" s="37"/>
      <c r="E541" s="37"/>
      <c r="F541" s="37"/>
      <c r="G541" s="37"/>
      <c r="H541" s="1"/>
    </row>
    <row r="542" ht="15.75" customHeight="1">
      <c r="A542" s="36"/>
      <c r="B542" s="37"/>
      <c r="C542" s="37"/>
      <c r="D542" s="37"/>
      <c r="E542" s="37"/>
      <c r="F542" s="37"/>
      <c r="G542" s="37"/>
      <c r="H542" s="1"/>
    </row>
    <row r="543" ht="15.75" customHeight="1">
      <c r="A543" s="36"/>
      <c r="B543" s="37"/>
      <c r="C543" s="37"/>
      <c r="D543" s="37"/>
      <c r="E543" s="37"/>
      <c r="F543" s="37"/>
      <c r="G543" s="37"/>
      <c r="H543" s="1"/>
    </row>
    <row r="544" ht="15.75" customHeight="1">
      <c r="A544" s="36"/>
      <c r="B544" s="37"/>
      <c r="C544" s="37"/>
      <c r="D544" s="37"/>
      <c r="E544" s="37"/>
      <c r="F544" s="37"/>
      <c r="G544" s="37"/>
      <c r="H544" s="1"/>
    </row>
    <row r="545" ht="15.75" customHeight="1">
      <c r="A545" s="36"/>
      <c r="B545" s="37"/>
      <c r="C545" s="37"/>
      <c r="D545" s="37"/>
      <c r="E545" s="37"/>
      <c r="F545" s="37"/>
      <c r="G545" s="37"/>
      <c r="H545" s="1"/>
    </row>
    <row r="546" ht="15.75" customHeight="1">
      <c r="A546" s="36"/>
      <c r="B546" s="37"/>
      <c r="C546" s="37"/>
      <c r="D546" s="37"/>
      <c r="E546" s="37"/>
      <c r="F546" s="37"/>
      <c r="G546" s="37"/>
      <c r="H546" s="1"/>
    </row>
    <row r="547" ht="15.75" customHeight="1">
      <c r="A547" s="36"/>
      <c r="B547" s="37"/>
      <c r="C547" s="37"/>
      <c r="D547" s="37"/>
      <c r="E547" s="37"/>
      <c r="F547" s="37"/>
      <c r="G547" s="37"/>
      <c r="H547" s="1"/>
    </row>
    <row r="548" ht="15.75" customHeight="1">
      <c r="A548" s="36"/>
      <c r="B548" s="37"/>
      <c r="C548" s="37"/>
      <c r="D548" s="37"/>
      <c r="E548" s="37"/>
      <c r="F548" s="37"/>
      <c r="G548" s="37"/>
      <c r="H548" s="1"/>
    </row>
    <row r="549" ht="15.75" customHeight="1">
      <c r="A549" s="36"/>
      <c r="B549" s="37"/>
      <c r="C549" s="37"/>
      <c r="D549" s="37"/>
      <c r="E549" s="37"/>
      <c r="F549" s="37"/>
      <c r="G549" s="37"/>
      <c r="H549" s="1"/>
    </row>
    <row r="550" ht="15.75" customHeight="1">
      <c r="A550" s="36"/>
      <c r="B550" s="37"/>
      <c r="C550" s="37"/>
      <c r="D550" s="37"/>
      <c r="E550" s="37"/>
      <c r="F550" s="37"/>
      <c r="G550" s="37"/>
      <c r="H550" s="1"/>
    </row>
    <row r="551" ht="15.75" customHeight="1">
      <c r="A551" s="36"/>
      <c r="B551" s="37"/>
      <c r="C551" s="37"/>
      <c r="D551" s="37"/>
      <c r="E551" s="37"/>
      <c r="F551" s="37"/>
      <c r="G551" s="37"/>
      <c r="H551" s="1"/>
    </row>
    <row r="552" ht="15.75" customHeight="1">
      <c r="A552" s="36"/>
      <c r="B552" s="37"/>
      <c r="C552" s="37"/>
      <c r="D552" s="37"/>
      <c r="E552" s="37"/>
      <c r="F552" s="37"/>
      <c r="G552" s="37"/>
      <c r="H552" s="1"/>
    </row>
    <row r="553" ht="15.75" customHeight="1">
      <c r="A553" s="36"/>
      <c r="B553" s="37"/>
      <c r="C553" s="37"/>
      <c r="D553" s="37"/>
      <c r="E553" s="37"/>
      <c r="F553" s="37"/>
      <c r="G553" s="37"/>
      <c r="H553" s="1"/>
    </row>
    <row r="554" ht="15.75" customHeight="1">
      <c r="A554" s="36"/>
      <c r="B554" s="37"/>
      <c r="C554" s="37"/>
      <c r="D554" s="37"/>
      <c r="E554" s="37"/>
      <c r="F554" s="37"/>
      <c r="G554" s="37"/>
      <c r="H554" s="1"/>
    </row>
    <row r="555" ht="15.75" customHeight="1">
      <c r="A555" s="36"/>
      <c r="B555" s="37"/>
      <c r="C555" s="37"/>
      <c r="D555" s="37"/>
      <c r="E555" s="37"/>
      <c r="F555" s="37"/>
      <c r="G555" s="37"/>
      <c r="H555" s="1"/>
    </row>
    <row r="556" ht="15.75" customHeight="1">
      <c r="A556" s="36"/>
      <c r="B556" s="37"/>
      <c r="C556" s="37"/>
      <c r="D556" s="37"/>
      <c r="E556" s="37"/>
      <c r="F556" s="37"/>
      <c r="G556" s="37"/>
      <c r="H556" s="1"/>
    </row>
    <row r="557" ht="15.75" customHeight="1">
      <c r="A557" s="36"/>
      <c r="B557" s="37"/>
      <c r="C557" s="37"/>
      <c r="D557" s="37"/>
      <c r="E557" s="37"/>
      <c r="F557" s="37"/>
      <c r="G557" s="37"/>
      <c r="H557" s="1"/>
    </row>
    <row r="558" ht="15.75" customHeight="1">
      <c r="A558" s="36"/>
      <c r="B558" s="37"/>
      <c r="C558" s="37"/>
      <c r="D558" s="37"/>
      <c r="E558" s="37"/>
      <c r="F558" s="37"/>
      <c r="G558" s="37"/>
      <c r="H558" s="1"/>
    </row>
    <row r="559" ht="15.75" customHeight="1">
      <c r="A559" s="36"/>
      <c r="B559" s="37"/>
      <c r="C559" s="37"/>
      <c r="D559" s="37"/>
      <c r="E559" s="37"/>
      <c r="F559" s="37"/>
      <c r="G559" s="37"/>
      <c r="H559" s="1"/>
    </row>
    <row r="560" ht="15.75" customHeight="1">
      <c r="A560" s="36"/>
      <c r="B560" s="37"/>
      <c r="C560" s="37"/>
      <c r="D560" s="37"/>
      <c r="E560" s="37"/>
      <c r="F560" s="37"/>
      <c r="G560" s="37"/>
      <c r="H560" s="1"/>
    </row>
    <row r="561" ht="15.75" customHeight="1">
      <c r="A561" s="36"/>
      <c r="B561" s="37"/>
      <c r="C561" s="37"/>
      <c r="D561" s="37"/>
      <c r="E561" s="37"/>
      <c r="F561" s="37"/>
      <c r="G561" s="37"/>
      <c r="H561" s="1"/>
    </row>
    <row r="562" ht="15.75" customHeight="1">
      <c r="A562" s="36"/>
      <c r="B562" s="37"/>
      <c r="C562" s="37"/>
      <c r="D562" s="37"/>
      <c r="E562" s="37"/>
      <c r="F562" s="37"/>
      <c r="G562" s="37"/>
      <c r="H562" s="1"/>
    </row>
    <row r="563" ht="15.75" customHeight="1">
      <c r="A563" s="36"/>
      <c r="B563" s="37"/>
      <c r="C563" s="37"/>
      <c r="D563" s="37"/>
      <c r="E563" s="37"/>
      <c r="F563" s="37"/>
      <c r="G563" s="37"/>
      <c r="H563" s="1"/>
    </row>
    <row r="564" ht="15.75" customHeight="1">
      <c r="A564" s="36"/>
      <c r="B564" s="37"/>
      <c r="C564" s="37"/>
      <c r="D564" s="37"/>
      <c r="E564" s="37"/>
      <c r="F564" s="37"/>
      <c r="G564" s="37"/>
      <c r="H564" s="1"/>
    </row>
    <row r="565" ht="15.75" customHeight="1">
      <c r="A565" s="36"/>
      <c r="B565" s="37"/>
      <c r="C565" s="37"/>
      <c r="D565" s="37"/>
      <c r="E565" s="37"/>
      <c r="F565" s="37"/>
      <c r="G565" s="37"/>
      <c r="H565" s="1"/>
    </row>
    <row r="566" ht="15.75" customHeight="1">
      <c r="A566" s="36"/>
      <c r="B566" s="37"/>
      <c r="C566" s="37"/>
      <c r="D566" s="37"/>
      <c r="E566" s="37"/>
      <c r="F566" s="37"/>
      <c r="G566" s="37"/>
      <c r="H566" s="1"/>
    </row>
    <row r="567" ht="15.75" customHeight="1">
      <c r="A567" s="36"/>
      <c r="B567" s="37"/>
      <c r="C567" s="37"/>
      <c r="D567" s="37"/>
      <c r="E567" s="37"/>
      <c r="F567" s="37"/>
      <c r="G567" s="37"/>
      <c r="H567" s="1"/>
    </row>
    <row r="568" ht="15.75" customHeight="1">
      <c r="A568" s="36"/>
      <c r="B568" s="37"/>
      <c r="C568" s="37"/>
      <c r="D568" s="37"/>
      <c r="E568" s="37"/>
      <c r="F568" s="37"/>
      <c r="G568" s="37"/>
      <c r="H568" s="1"/>
    </row>
    <row r="569" ht="15.75" customHeight="1">
      <c r="A569" s="36"/>
      <c r="B569" s="37"/>
      <c r="C569" s="37"/>
      <c r="D569" s="37"/>
      <c r="E569" s="37"/>
      <c r="F569" s="37"/>
      <c r="G569" s="37"/>
      <c r="H569" s="1"/>
    </row>
    <row r="570" ht="15.75" customHeight="1">
      <c r="A570" s="36"/>
      <c r="B570" s="37"/>
      <c r="C570" s="37"/>
      <c r="D570" s="37"/>
      <c r="E570" s="37"/>
      <c r="F570" s="37"/>
      <c r="G570" s="37"/>
      <c r="H570" s="1"/>
    </row>
    <row r="571" ht="15.75" customHeight="1">
      <c r="A571" s="36"/>
      <c r="B571" s="37"/>
      <c r="C571" s="37"/>
      <c r="D571" s="37"/>
      <c r="E571" s="37"/>
      <c r="F571" s="37"/>
      <c r="G571" s="37"/>
      <c r="H571" s="1"/>
    </row>
    <row r="572" ht="15.75" customHeight="1">
      <c r="A572" s="36"/>
      <c r="B572" s="37"/>
      <c r="C572" s="37"/>
      <c r="D572" s="37"/>
      <c r="E572" s="37"/>
      <c r="F572" s="37"/>
      <c r="G572" s="37"/>
      <c r="H572" s="1"/>
    </row>
    <row r="573" ht="15.75" customHeight="1">
      <c r="A573" s="36"/>
      <c r="B573" s="37"/>
      <c r="C573" s="37"/>
      <c r="D573" s="37"/>
      <c r="E573" s="37"/>
      <c r="F573" s="37"/>
      <c r="G573" s="37"/>
      <c r="H573" s="1"/>
    </row>
    <row r="574" ht="15.75" customHeight="1">
      <c r="A574" s="36"/>
      <c r="B574" s="37"/>
      <c r="C574" s="37"/>
      <c r="D574" s="37"/>
      <c r="E574" s="37"/>
      <c r="F574" s="37"/>
      <c r="G574" s="37"/>
      <c r="H574" s="1"/>
    </row>
    <row r="575" ht="15.75" customHeight="1">
      <c r="A575" s="36"/>
      <c r="B575" s="37"/>
      <c r="C575" s="37"/>
      <c r="D575" s="37"/>
      <c r="E575" s="37"/>
      <c r="F575" s="37"/>
      <c r="G575" s="37"/>
      <c r="H575" s="1"/>
    </row>
    <row r="576" ht="15.75" customHeight="1">
      <c r="A576" s="36"/>
      <c r="B576" s="37"/>
      <c r="C576" s="37"/>
      <c r="D576" s="37"/>
      <c r="E576" s="37"/>
      <c r="F576" s="37"/>
      <c r="G576" s="37"/>
      <c r="H576" s="1"/>
    </row>
    <row r="577" ht="15.75" customHeight="1">
      <c r="A577" s="36"/>
      <c r="B577" s="37"/>
      <c r="C577" s="37"/>
      <c r="D577" s="37"/>
      <c r="E577" s="37"/>
      <c r="F577" s="37"/>
      <c r="G577" s="37"/>
      <c r="H577" s="1"/>
    </row>
    <row r="578" ht="15.75" customHeight="1">
      <c r="A578" s="36"/>
      <c r="B578" s="37"/>
      <c r="C578" s="37"/>
      <c r="D578" s="37"/>
      <c r="E578" s="37"/>
      <c r="F578" s="37"/>
      <c r="G578" s="37"/>
      <c r="H578" s="1"/>
    </row>
    <row r="579" ht="15.75" customHeight="1">
      <c r="A579" s="36"/>
      <c r="B579" s="37"/>
      <c r="C579" s="37"/>
      <c r="D579" s="37"/>
      <c r="E579" s="37"/>
      <c r="F579" s="37"/>
      <c r="G579" s="37"/>
      <c r="H579" s="1"/>
    </row>
    <row r="580" ht="15.75" customHeight="1">
      <c r="A580" s="36"/>
      <c r="B580" s="37"/>
      <c r="C580" s="37"/>
      <c r="D580" s="37"/>
      <c r="E580" s="37"/>
      <c r="F580" s="37"/>
      <c r="G580" s="37"/>
      <c r="H580" s="1"/>
    </row>
    <row r="581" ht="15.75" customHeight="1">
      <c r="A581" s="36"/>
      <c r="B581" s="37"/>
      <c r="C581" s="37"/>
      <c r="D581" s="37"/>
      <c r="E581" s="37"/>
      <c r="F581" s="37"/>
      <c r="G581" s="37"/>
      <c r="H581" s="1"/>
    </row>
    <row r="582" ht="15.75" customHeight="1">
      <c r="A582" s="36"/>
      <c r="B582" s="37"/>
      <c r="C582" s="37"/>
      <c r="D582" s="37"/>
      <c r="E582" s="37"/>
      <c r="F582" s="37"/>
      <c r="G582" s="37"/>
      <c r="H582" s="1"/>
    </row>
    <row r="583" ht="15.75" customHeight="1">
      <c r="A583" s="36"/>
      <c r="B583" s="37"/>
      <c r="C583" s="37"/>
      <c r="D583" s="37"/>
      <c r="E583" s="37"/>
      <c r="F583" s="37"/>
      <c r="G583" s="37"/>
      <c r="H583" s="1"/>
    </row>
    <row r="584" ht="15.75" customHeight="1">
      <c r="A584" s="36"/>
      <c r="B584" s="37"/>
      <c r="C584" s="37"/>
      <c r="D584" s="37"/>
      <c r="E584" s="37"/>
      <c r="F584" s="37"/>
      <c r="G584" s="37"/>
      <c r="H584" s="1"/>
    </row>
    <row r="585" ht="15.75" customHeight="1">
      <c r="A585" s="36"/>
      <c r="B585" s="37"/>
      <c r="C585" s="37"/>
      <c r="D585" s="37"/>
      <c r="E585" s="37"/>
      <c r="F585" s="37"/>
      <c r="G585" s="37"/>
      <c r="H585" s="1"/>
    </row>
    <row r="586" ht="15.75" customHeight="1">
      <c r="A586" s="36"/>
      <c r="B586" s="37"/>
      <c r="C586" s="37"/>
      <c r="D586" s="37"/>
      <c r="E586" s="37"/>
      <c r="F586" s="37"/>
      <c r="G586" s="37"/>
      <c r="H586" s="1"/>
    </row>
    <row r="587" ht="15.75" customHeight="1">
      <c r="A587" s="36"/>
      <c r="B587" s="37"/>
      <c r="C587" s="37"/>
      <c r="D587" s="37"/>
      <c r="E587" s="37"/>
      <c r="F587" s="37"/>
      <c r="G587" s="37"/>
      <c r="H587" s="1"/>
    </row>
    <row r="588" ht="15.75" customHeight="1">
      <c r="A588" s="36"/>
      <c r="B588" s="37"/>
      <c r="C588" s="37"/>
      <c r="D588" s="37"/>
      <c r="E588" s="37"/>
      <c r="F588" s="37"/>
      <c r="G588" s="37"/>
      <c r="H588" s="1"/>
    </row>
    <row r="589" ht="15.75" customHeight="1">
      <c r="A589" s="36"/>
      <c r="B589" s="37"/>
      <c r="C589" s="37"/>
      <c r="D589" s="37"/>
      <c r="E589" s="37"/>
      <c r="F589" s="37"/>
      <c r="G589" s="37"/>
      <c r="H589" s="1"/>
    </row>
    <row r="590" ht="15.75" customHeight="1">
      <c r="A590" s="36"/>
      <c r="B590" s="37"/>
      <c r="C590" s="37"/>
      <c r="D590" s="37"/>
      <c r="E590" s="37"/>
      <c r="F590" s="37"/>
      <c r="G590" s="37"/>
      <c r="H590" s="1"/>
    </row>
    <row r="591" ht="15.75" customHeight="1">
      <c r="A591" s="36"/>
      <c r="B591" s="37"/>
      <c r="C591" s="37"/>
      <c r="D591" s="37"/>
      <c r="E591" s="37"/>
      <c r="F591" s="37"/>
      <c r="G591" s="37"/>
      <c r="H591" s="1"/>
    </row>
    <row r="592" ht="15.75" customHeight="1">
      <c r="A592" s="36"/>
      <c r="B592" s="37"/>
      <c r="C592" s="37"/>
      <c r="D592" s="37"/>
      <c r="E592" s="37"/>
      <c r="F592" s="37"/>
      <c r="G592" s="37"/>
      <c r="H592" s="1"/>
    </row>
    <row r="593" ht="15.75" customHeight="1">
      <c r="A593" s="36"/>
      <c r="B593" s="37"/>
      <c r="C593" s="37"/>
      <c r="D593" s="37"/>
      <c r="E593" s="37"/>
      <c r="F593" s="37"/>
      <c r="G593" s="37"/>
      <c r="H593" s="1"/>
    </row>
    <row r="594" ht="15.75" customHeight="1">
      <c r="A594" s="36"/>
      <c r="B594" s="37"/>
      <c r="C594" s="37"/>
      <c r="D594" s="37"/>
      <c r="E594" s="37"/>
      <c r="F594" s="37"/>
      <c r="G594" s="37"/>
      <c r="H594" s="1"/>
    </row>
    <row r="595" ht="15.75" customHeight="1">
      <c r="A595" s="36"/>
      <c r="B595" s="37"/>
      <c r="C595" s="37"/>
      <c r="D595" s="37"/>
      <c r="E595" s="37"/>
      <c r="F595" s="37"/>
      <c r="G595" s="37"/>
      <c r="H595" s="1"/>
    </row>
    <row r="596" ht="15.75" customHeight="1">
      <c r="A596" s="36"/>
      <c r="B596" s="37"/>
      <c r="C596" s="37"/>
      <c r="D596" s="37"/>
      <c r="E596" s="37"/>
      <c r="F596" s="37"/>
      <c r="G596" s="37"/>
      <c r="H596" s="1"/>
    </row>
    <row r="597" ht="15.75" customHeight="1">
      <c r="A597" s="36"/>
      <c r="B597" s="37"/>
      <c r="C597" s="37"/>
      <c r="D597" s="37"/>
      <c r="E597" s="37"/>
      <c r="F597" s="37"/>
      <c r="G597" s="37"/>
      <c r="H597" s="1"/>
    </row>
    <row r="598" ht="15.75" customHeight="1">
      <c r="A598" s="36"/>
      <c r="B598" s="37"/>
      <c r="C598" s="37"/>
      <c r="D598" s="37"/>
      <c r="E598" s="37"/>
      <c r="F598" s="37"/>
      <c r="G598" s="37"/>
      <c r="H598" s="1"/>
    </row>
    <row r="599" ht="15.75" customHeight="1">
      <c r="A599" s="36"/>
      <c r="B599" s="37"/>
      <c r="C599" s="37"/>
      <c r="D599" s="37"/>
      <c r="E599" s="37"/>
      <c r="F599" s="37"/>
      <c r="G599" s="37"/>
      <c r="H599" s="1"/>
    </row>
    <row r="600" ht="15.75" customHeight="1">
      <c r="A600" s="36"/>
      <c r="B600" s="37"/>
      <c r="C600" s="37"/>
      <c r="D600" s="37"/>
      <c r="E600" s="37"/>
      <c r="F600" s="37"/>
      <c r="G600" s="37"/>
      <c r="H600" s="1"/>
    </row>
    <row r="601" ht="15.75" customHeight="1">
      <c r="A601" s="36"/>
      <c r="B601" s="37"/>
      <c r="C601" s="37"/>
      <c r="D601" s="37"/>
      <c r="E601" s="37"/>
      <c r="F601" s="37"/>
      <c r="G601" s="37"/>
      <c r="H601" s="1"/>
    </row>
    <row r="602" ht="15.75" customHeight="1">
      <c r="A602" s="36"/>
      <c r="B602" s="37"/>
      <c r="C602" s="37"/>
      <c r="D602" s="37"/>
      <c r="E602" s="37"/>
      <c r="F602" s="37"/>
      <c r="G602" s="37"/>
      <c r="H602" s="1"/>
    </row>
    <row r="603" ht="15.75" customHeight="1">
      <c r="A603" s="36"/>
      <c r="B603" s="37"/>
      <c r="C603" s="37"/>
      <c r="D603" s="37"/>
      <c r="E603" s="37"/>
      <c r="F603" s="37"/>
      <c r="G603" s="37"/>
      <c r="H603" s="1"/>
    </row>
    <row r="604" ht="15.75" customHeight="1">
      <c r="A604" s="36"/>
      <c r="B604" s="37"/>
      <c r="C604" s="37"/>
      <c r="D604" s="37"/>
      <c r="E604" s="37"/>
      <c r="F604" s="37"/>
      <c r="G604" s="37"/>
      <c r="H604" s="1"/>
    </row>
    <row r="605" ht="15.75" customHeight="1">
      <c r="A605" s="36"/>
      <c r="B605" s="37"/>
      <c r="C605" s="37"/>
      <c r="D605" s="37"/>
      <c r="E605" s="37"/>
      <c r="F605" s="37"/>
      <c r="G605" s="37"/>
      <c r="H605" s="1"/>
    </row>
    <row r="606" ht="15.75" customHeight="1">
      <c r="A606" s="36"/>
      <c r="B606" s="37"/>
      <c r="C606" s="37"/>
      <c r="D606" s="37"/>
      <c r="E606" s="37"/>
      <c r="F606" s="37"/>
      <c r="G606" s="37"/>
      <c r="H606" s="1"/>
    </row>
    <row r="607" ht="15.75" customHeight="1">
      <c r="A607" s="36"/>
      <c r="B607" s="37"/>
      <c r="C607" s="37"/>
      <c r="D607" s="37"/>
      <c r="E607" s="37"/>
      <c r="F607" s="37"/>
      <c r="G607" s="37"/>
      <c r="H607" s="1"/>
    </row>
    <row r="608" ht="15.75" customHeight="1">
      <c r="A608" s="36"/>
      <c r="B608" s="37"/>
      <c r="C608" s="37"/>
      <c r="D608" s="37"/>
      <c r="E608" s="37"/>
      <c r="F608" s="37"/>
      <c r="G608" s="37"/>
      <c r="H608" s="1"/>
    </row>
    <row r="609" ht="15.75" customHeight="1">
      <c r="A609" s="36"/>
      <c r="B609" s="37"/>
      <c r="C609" s="37"/>
      <c r="D609" s="37"/>
      <c r="E609" s="37"/>
      <c r="F609" s="37"/>
      <c r="G609" s="37"/>
      <c r="H609" s="1"/>
    </row>
    <row r="610" ht="15.75" customHeight="1">
      <c r="A610" s="36"/>
      <c r="B610" s="37"/>
      <c r="C610" s="37"/>
      <c r="D610" s="37"/>
      <c r="E610" s="37"/>
      <c r="F610" s="37"/>
      <c r="G610" s="37"/>
      <c r="H610" s="1"/>
    </row>
    <row r="611" ht="15.75" customHeight="1">
      <c r="A611" s="36"/>
      <c r="B611" s="37"/>
      <c r="C611" s="37"/>
      <c r="D611" s="37"/>
      <c r="E611" s="37"/>
      <c r="F611" s="37"/>
      <c r="G611" s="37"/>
      <c r="H611" s="1"/>
    </row>
    <row r="612" ht="15.75" customHeight="1">
      <c r="A612" s="36"/>
      <c r="B612" s="37"/>
      <c r="C612" s="37"/>
      <c r="D612" s="37"/>
      <c r="E612" s="37"/>
      <c r="F612" s="37"/>
      <c r="G612" s="37"/>
      <c r="H612" s="1"/>
    </row>
    <row r="613" ht="15.75" customHeight="1">
      <c r="A613" s="36"/>
      <c r="B613" s="37"/>
      <c r="C613" s="37"/>
      <c r="D613" s="37"/>
      <c r="E613" s="37"/>
      <c r="F613" s="37"/>
      <c r="G613" s="37"/>
      <c r="H613" s="1"/>
    </row>
    <row r="614" ht="15.75" customHeight="1">
      <c r="A614" s="36"/>
      <c r="B614" s="37"/>
      <c r="C614" s="37"/>
      <c r="D614" s="37"/>
      <c r="E614" s="37"/>
      <c r="F614" s="37"/>
      <c r="G614" s="37"/>
      <c r="H614" s="1"/>
    </row>
    <row r="615" ht="15.75" customHeight="1">
      <c r="A615" s="36"/>
      <c r="B615" s="37"/>
      <c r="C615" s="37"/>
      <c r="D615" s="37"/>
      <c r="E615" s="37"/>
      <c r="F615" s="37"/>
      <c r="G615" s="37"/>
      <c r="H615" s="1"/>
    </row>
    <row r="616" ht="15.75" customHeight="1">
      <c r="A616" s="36"/>
      <c r="B616" s="37"/>
      <c r="C616" s="37"/>
      <c r="D616" s="37"/>
      <c r="E616" s="37"/>
      <c r="F616" s="37"/>
      <c r="G616" s="37"/>
      <c r="H616" s="1"/>
    </row>
    <row r="617" ht="15.75" customHeight="1">
      <c r="A617" s="36"/>
      <c r="B617" s="37"/>
      <c r="C617" s="37"/>
      <c r="D617" s="37"/>
      <c r="E617" s="37"/>
      <c r="F617" s="37"/>
      <c r="G617" s="37"/>
      <c r="H617" s="1"/>
    </row>
    <row r="618" ht="15.75" customHeight="1">
      <c r="A618" s="36"/>
      <c r="B618" s="37"/>
      <c r="C618" s="37"/>
      <c r="D618" s="37"/>
      <c r="E618" s="37"/>
      <c r="F618" s="37"/>
      <c r="G618" s="37"/>
      <c r="H618" s="1"/>
    </row>
    <row r="619" ht="15.75" customHeight="1">
      <c r="A619" s="36"/>
      <c r="B619" s="37"/>
      <c r="C619" s="37"/>
      <c r="D619" s="37"/>
      <c r="E619" s="37"/>
      <c r="F619" s="37"/>
      <c r="G619" s="37"/>
      <c r="H619" s="1"/>
    </row>
    <row r="620" ht="15.75" customHeight="1">
      <c r="A620" s="36"/>
      <c r="B620" s="37"/>
      <c r="C620" s="37"/>
      <c r="D620" s="37"/>
      <c r="E620" s="37"/>
      <c r="F620" s="37"/>
      <c r="G620" s="37"/>
      <c r="H620" s="1"/>
    </row>
    <row r="621" ht="15.75" customHeight="1">
      <c r="A621" s="36"/>
      <c r="B621" s="37"/>
      <c r="C621" s="37"/>
      <c r="D621" s="37"/>
      <c r="E621" s="37"/>
      <c r="F621" s="37"/>
      <c r="G621" s="37"/>
      <c r="H621" s="1"/>
    </row>
    <row r="622" ht="15.75" customHeight="1">
      <c r="A622" s="36"/>
      <c r="B622" s="37"/>
      <c r="C622" s="37"/>
      <c r="D622" s="37"/>
      <c r="E622" s="37"/>
      <c r="F622" s="37"/>
      <c r="G622" s="37"/>
      <c r="H622" s="1"/>
    </row>
    <row r="623" ht="15.75" customHeight="1">
      <c r="A623" s="36"/>
      <c r="B623" s="37"/>
      <c r="C623" s="37"/>
      <c r="D623" s="37"/>
      <c r="E623" s="37"/>
      <c r="F623" s="37"/>
      <c r="G623" s="37"/>
      <c r="H623" s="1"/>
    </row>
    <row r="624" ht="15.75" customHeight="1">
      <c r="A624" s="36"/>
      <c r="B624" s="37"/>
      <c r="C624" s="37"/>
      <c r="D624" s="37"/>
      <c r="E624" s="37"/>
      <c r="F624" s="37"/>
      <c r="G624" s="37"/>
      <c r="H624" s="1"/>
    </row>
    <row r="625" ht="15.75" customHeight="1">
      <c r="A625" s="36"/>
      <c r="B625" s="37"/>
      <c r="C625" s="37"/>
      <c r="D625" s="37"/>
      <c r="E625" s="37"/>
      <c r="F625" s="37"/>
      <c r="G625" s="37"/>
      <c r="H625" s="1"/>
    </row>
    <row r="626" ht="15.75" customHeight="1">
      <c r="A626" s="36"/>
      <c r="B626" s="37"/>
      <c r="C626" s="37"/>
      <c r="D626" s="37"/>
      <c r="E626" s="37"/>
      <c r="F626" s="37"/>
      <c r="G626" s="37"/>
      <c r="H626" s="1"/>
    </row>
    <row r="627" ht="15.75" customHeight="1">
      <c r="A627" s="36"/>
      <c r="B627" s="37"/>
      <c r="C627" s="37"/>
      <c r="D627" s="37"/>
      <c r="E627" s="37"/>
      <c r="F627" s="37"/>
      <c r="G627" s="37"/>
      <c r="H627" s="1"/>
    </row>
    <row r="628" ht="15.75" customHeight="1">
      <c r="A628" s="36"/>
      <c r="B628" s="37"/>
      <c r="C628" s="37"/>
      <c r="D628" s="37"/>
      <c r="E628" s="37"/>
      <c r="F628" s="37"/>
      <c r="G628" s="37"/>
      <c r="H628" s="1"/>
    </row>
    <row r="629" ht="15.75" customHeight="1">
      <c r="A629" s="36"/>
      <c r="B629" s="37"/>
      <c r="C629" s="37"/>
      <c r="D629" s="37"/>
      <c r="E629" s="37"/>
      <c r="F629" s="37"/>
      <c r="G629" s="37"/>
      <c r="H629" s="1"/>
    </row>
    <row r="630" ht="15.75" customHeight="1">
      <c r="A630" s="36"/>
      <c r="B630" s="37"/>
      <c r="C630" s="37"/>
      <c r="D630" s="37"/>
      <c r="E630" s="37"/>
      <c r="F630" s="37"/>
      <c r="G630" s="37"/>
      <c r="H630" s="1"/>
    </row>
    <row r="631" ht="15.75" customHeight="1">
      <c r="A631" s="36"/>
      <c r="B631" s="37"/>
      <c r="C631" s="37"/>
      <c r="D631" s="37"/>
      <c r="E631" s="37"/>
      <c r="F631" s="37"/>
      <c r="G631" s="37"/>
      <c r="H631" s="1"/>
    </row>
    <row r="632" ht="15.75" customHeight="1">
      <c r="A632" s="36"/>
      <c r="B632" s="37"/>
      <c r="C632" s="37"/>
      <c r="D632" s="37"/>
      <c r="E632" s="37"/>
      <c r="F632" s="37"/>
      <c r="G632" s="37"/>
      <c r="H632" s="1"/>
    </row>
    <row r="633" ht="15.75" customHeight="1">
      <c r="A633" s="36"/>
      <c r="B633" s="37"/>
      <c r="C633" s="37"/>
      <c r="D633" s="37"/>
      <c r="E633" s="37"/>
      <c r="F633" s="37"/>
      <c r="G633" s="37"/>
      <c r="H633" s="1"/>
    </row>
    <row r="634" ht="15.75" customHeight="1">
      <c r="A634" s="36"/>
      <c r="B634" s="37"/>
      <c r="C634" s="37"/>
      <c r="D634" s="37"/>
      <c r="E634" s="37"/>
      <c r="F634" s="37"/>
      <c r="G634" s="37"/>
      <c r="H634" s="1"/>
    </row>
    <row r="635" ht="15.75" customHeight="1">
      <c r="A635" s="36"/>
      <c r="B635" s="37"/>
      <c r="C635" s="37"/>
      <c r="D635" s="37"/>
      <c r="E635" s="37"/>
      <c r="F635" s="37"/>
      <c r="G635" s="37"/>
      <c r="H635" s="1"/>
    </row>
    <row r="636" ht="15.75" customHeight="1">
      <c r="A636" s="36"/>
      <c r="B636" s="37"/>
      <c r="C636" s="37"/>
      <c r="D636" s="37"/>
      <c r="E636" s="37"/>
      <c r="F636" s="37"/>
      <c r="G636" s="37"/>
      <c r="H636" s="1"/>
    </row>
    <row r="637" ht="15.75" customHeight="1">
      <c r="A637" s="36"/>
      <c r="B637" s="37"/>
      <c r="C637" s="37"/>
      <c r="D637" s="37"/>
      <c r="E637" s="37"/>
      <c r="F637" s="37"/>
      <c r="G637" s="37"/>
      <c r="H637" s="1"/>
    </row>
    <row r="638" ht="15.75" customHeight="1">
      <c r="A638" s="36"/>
      <c r="B638" s="37"/>
      <c r="C638" s="37"/>
      <c r="D638" s="37"/>
      <c r="E638" s="37"/>
      <c r="F638" s="37"/>
      <c r="G638" s="37"/>
      <c r="H638" s="1"/>
    </row>
    <row r="639" ht="15.75" customHeight="1">
      <c r="A639" s="36"/>
      <c r="B639" s="37"/>
      <c r="C639" s="37"/>
      <c r="D639" s="37"/>
      <c r="E639" s="37"/>
      <c r="F639" s="37"/>
      <c r="G639" s="37"/>
      <c r="H639" s="1"/>
    </row>
    <row r="640" ht="15.75" customHeight="1">
      <c r="A640" s="36"/>
      <c r="B640" s="37"/>
      <c r="C640" s="37"/>
      <c r="D640" s="37"/>
      <c r="E640" s="37"/>
      <c r="F640" s="37"/>
      <c r="G640" s="37"/>
      <c r="H640" s="1"/>
    </row>
    <row r="641" ht="15.75" customHeight="1">
      <c r="A641" s="36"/>
      <c r="B641" s="37"/>
      <c r="C641" s="37"/>
      <c r="D641" s="37"/>
      <c r="E641" s="37"/>
      <c r="F641" s="37"/>
      <c r="G641" s="37"/>
      <c r="H641" s="1"/>
    </row>
    <row r="642" ht="15.75" customHeight="1">
      <c r="A642" s="36"/>
      <c r="B642" s="37"/>
      <c r="C642" s="37"/>
      <c r="D642" s="37"/>
      <c r="E642" s="37"/>
      <c r="F642" s="37"/>
      <c r="G642" s="37"/>
      <c r="H642" s="1"/>
    </row>
    <row r="643" ht="15.75" customHeight="1">
      <c r="A643" s="36"/>
      <c r="B643" s="37"/>
      <c r="C643" s="37"/>
      <c r="D643" s="37"/>
      <c r="E643" s="37"/>
      <c r="F643" s="37"/>
      <c r="G643" s="37"/>
      <c r="H643" s="1"/>
    </row>
    <row r="644" ht="15.75" customHeight="1">
      <c r="A644" s="36"/>
      <c r="B644" s="37"/>
      <c r="C644" s="37"/>
      <c r="D644" s="37"/>
      <c r="E644" s="37"/>
      <c r="F644" s="37"/>
      <c r="G644" s="37"/>
      <c r="H644" s="1"/>
    </row>
    <row r="645" ht="15.75" customHeight="1">
      <c r="A645" s="36"/>
      <c r="B645" s="37"/>
      <c r="C645" s="37"/>
      <c r="D645" s="37"/>
      <c r="E645" s="37"/>
      <c r="F645" s="37"/>
      <c r="G645" s="37"/>
      <c r="H645" s="1"/>
    </row>
    <row r="646" ht="15.75" customHeight="1">
      <c r="A646" s="36"/>
      <c r="B646" s="37"/>
      <c r="C646" s="37"/>
      <c r="D646" s="37"/>
      <c r="E646" s="37"/>
      <c r="F646" s="37"/>
      <c r="G646" s="37"/>
      <c r="H646" s="1"/>
    </row>
    <row r="647" ht="15.75" customHeight="1">
      <c r="A647" s="36"/>
      <c r="B647" s="37"/>
      <c r="C647" s="37"/>
      <c r="D647" s="37"/>
      <c r="E647" s="37"/>
      <c r="F647" s="37"/>
      <c r="G647" s="37"/>
      <c r="H647" s="1"/>
    </row>
    <row r="648" ht="15.75" customHeight="1">
      <c r="A648" s="36"/>
      <c r="B648" s="37"/>
      <c r="C648" s="37"/>
      <c r="D648" s="37"/>
      <c r="E648" s="37"/>
      <c r="F648" s="37"/>
      <c r="G648" s="37"/>
      <c r="H648" s="1"/>
    </row>
    <row r="649" ht="15.75" customHeight="1">
      <c r="A649" s="36"/>
      <c r="B649" s="37"/>
      <c r="C649" s="37"/>
      <c r="D649" s="37"/>
      <c r="E649" s="37"/>
      <c r="F649" s="37"/>
      <c r="G649" s="37"/>
      <c r="H649" s="1"/>
    </row>
    <row r="650" ht="15.75" customHeight="1">
      <c r="A650" s="36"/>
      <c r="B650" s="37"/>
      <c r="C650" s="37"/>
      <c r="D650" s="37"/>
      <c r="E650" s="37"/>
      <c r="F650" s="37"/>
      <c r="G650" s="37"/>
      <c r="H650" s="1"/>
    </row>
    <row r="651" ht="15.75" customHeight="1">
      <c r="A651" s="36"/>
      <c r="B651" s="37"/>
      <c r="C651" s="37"/>
      <c r="D651" s="37"/>
      <c r="E651" s="37"/>
      <c r="F651" s="37"/>
      <c r="G651" s="37"/>
      <c r="H651" s="1"/>
    </row>
    <row r="652" ht="15.75" customHeight="1">
      <c r="A652" s="36"/>
      <c r="B652" s="37"/>
      <c r="C652" s="37"/>
      <c r="D652" s="37"/>
      <c r="E652" s="37"/>
      <c r="F652" s="37"/>
      <c r="G652" s="37"/>
      <c r="H652" s="1"/>
    </row>
    <row r="653" ht="15.75" customHeight="1">
      <c r="A653" s="36"/>
      <c r="B653" s="37"/>
      <c r="C653" s="37"/>
      <c r="D653" s="37"/>
      <c r="E653" s="37"/>
      <c r="F653" s="37"/>
      <c r="G653" s="37"/>
      <c r="H653" s="1"/>
    </row>
    <row r="654" ht="15.75" customHeight="1">
      <c r="A654" s="36"/>
      <c r="B654" s="37"/>
      <c r="C654" s="37"/>
      <c r="D654" s="37"/>
      <c r="E654" s="37"/>
      <c r="F654" s="37"/>
      <c r="G654" s="37"/>
      <c r="H654" s="1"/>
    </row>
    <row r="655" ht="15.75" customHeight="1">
      <c r="A655" s="36"/>
      <c r="B655" s="37"/>
      <c r="C655" s="37"/>
      <c r="D655" s="37"/>
      <c r="E655" s="37"/>
      <c r="F655" s="37"/>
      <c r="G655" s="37"/>
      <c r="H655" s="1"/>
    </row>
    <row r="656" ht="15.75" customHeight="1">
      <c r="A656" s="36"/>
      <c r="B656" s="37"/>
      <c r="C656" s="37"/>
      <c r="D656" s="37"/>
      <c r="E656" s="37"/>
      <c r="F656" s="37"/>
      <c r="G656" s="37"/>
      <c r="H656" s="1"/>
    </row>
    <row r="657" ht="15.75" customHeight="1">
      <c r="A657" s="36"/>
      <c r="B657" s="37"/>
      <c r="C657" s="37"/>
      <c r="D657" s="37"/>
      <c r="E657" s="37"/>
      <c r="F657" s="37"/>
      <c r="G657" s="37"/>
      <c r="H657" s="1"/>
    </row>
    <row r="658" ht="15.75" customHeight="1">
      <c r="A658" s="36"/>
      <c r="B658" s="37"/>
      <c r="C658" s="37"/>
      <c r="D658" s="37"/>
      <c r="E658" s="37"/>
      <c r="F658" s="37"/>
      <c r="G658" s="37"/>
      <c r="H658" s="1"/>
    </row>
    <row r="659" ht="15.75" customHeight="1">
      <c r="A659" s="36"/>
      <c r="B659" s="37"/>
      <c r="C659" s="37"/>
      <c r="D659" s="37"/>
      <c r="E659" s="37"/>
      <c r="F659" s="37"/>
      <c r="G659" s="37"/>
      <c r="H659" s="1"/>
    </row>
    <row r="660" ht="15.75" customHeight="1">
      <c r="A660" s="36"/>
      <c r="B660" s="37"/>
      <c r="C660" s="37"/>
      <c r="D660" s="37"/>
      <c r="E660" s="37"/>
      <c r="F660" s="37"/>
      <c r="G660" s="37"/>
      <c r="H660" s="1"/>
    </row>
    <row r="661" ht="15.75" customHeight="1">
      <c r="A661" s="36"/>
      <c r="B661" s="37"/>
      <c r="C661" s="37"/>
      <c r="D661" s="37"/>
      <c r="E661" s="37"/>
      <c r="F661" s="37"/>
      <c r="G661" s="37"/>
      <c r="H661" s="1"/>
    </row>
    <row r="662" ht="15.75" customHeight="1">
      <c r="A662" s="36"/>
      <c r="B662" s="37"/>
      <c r="C662" s="37"/>
      <c r="D662" s="37"/>
      <c r="E662" s="37"/>
      <c r="F662" s="37"/>
      <c r="G662" s="37"/>
      <c r="H662" s="1"/>
    </row>
    <row r="663" ht="15.75" customHeight="1">
      <c r="A663" s="36"/>
      <c r="B663" s="37"/>
      <c r="C663" s="37"/>
      <c r="D663" s="37"/>
      <c r="E663" s="37"/>
      <c r="F663" s="37"/>
      <c r="G663" s="37"/>
      <c r="H663" s="1"/>
    </row>
    <row r="664" ht="15.75" customHeight="1">
      <c r="A664" s="36"/>
      <c r="B664" s="37"/>
      <c r="C664" s="37"/>
      <c r="D664" s="37"/>
      <c r="E664" s="37"/>
      <c r="F664" s="37"/>
      <c r="G664" s="37"/>
      <c r="H664" s="1"/>
    </row>
    <row r="665" ht="15.75" customHeight="1">
      <c r="A665" s="36"/>
      <c r="B665" s="37"/>
      <c r="C665" s="37"/>
      <c r="D665" s="37"/>
      <c r="E665" s="37"/>
      <c r="F665" s="37"/>
      <c r="G665" s="37"/>
      <c r="H665" s="1"/>
    </row>
    <row r="666" ht="15.75" customHeight="1">
      <c r="A666" s="36"/>
      <c r="B666" s="37"/>
      <c r="C666" s="37"/>
      <c r="D666" s="37"/>
      <c r="E666" s="37"/>
      <c r="F666" s="37"/>
      <c r="G666" s="37"/>
      <c r="H666" s="1"/>
    </row>
    <row r="667" ht="15.75" customHeight="1">
      <c r="A667" s="36"/>
      <c r="B667" s="37"/>
      <c r="C667" s="37"/>
      <c r="D667" s="37"/>
      <c r="E667" s="37"/>
      <c r="F667" s="37"/>
      <c r="G667" s="37"/>
      <c r="H667" s="1"/>
    </row>
    <row r="668" ht="15.75" customHeight="1">
      <c r="A668" s="36"/>
      <c r="B668" s="37"/>
      <c r="C668" s="37"/>
      <c r="D668" s="37"/>
      <c r="E668" s="37"/>
      <c r="F668" s="37"/>
      <c r="G668" s="37"/>
      <c r="H668" s="1"/>
    </row>
    <row r="669" ht="15.75" customHeight="1">
      <c r="A669" s="36"/>
      <c r="B669" s="37"/>
      <c r="C669" s="37"/>
      <c r="D669" s="37"/>
      <c r="E669" s="37"/>
      <c r="F669" s="37"/>
      <c r="G669" s="37"/>
      <c r="H669" s="1"/>
    </row>
    <row r="670" ht="15.75" customHeight="1">
      <c r="A670" s="36"/>
      <c r="B670" s="37"/>
      <c r="C670" s="37"/>
      <c r="D670" s="37"/>
      <c r="E670" s="37"/>
      <c r="F670" s="37"/>
      <c r="G670" s="37"/>
      <c r="H670" s="1"/>
    </row>
    <row r="671" ht="15.75" customHeight="1">
      <c r="A671" s="36"/>
      <c r="B671" s="37"/>
      <c r="C671" s="37"/>
      <c r="D671" s="37"/>
      <c r="E671" s="37"/>
      <c r="F671" s="37"/>
      <c r="G671" s="37"/>
      <c r="H671" s="1"/>
    </row>
    <row r="672" ht="15.75" customHeight="1">
      <c r="A672" s="36"/>
      <c r="B672" s="37"/>
      <c r="C672" s="37"/>
      <c r="D672" s="37"/>
      <c r="E672" s="37"/>
      <c r="F672" s="37"/>
      <c r="G672" s="37"/>
      <c r="H672" s="1"/>
    </row>
    <row r="673" ht="15.75" customHeight="1">
      <c r="A673" s="36"/>
      <c r="B673" s="37"/>
      <c r="C673" s="37"/>
      <c r="D673" s="37"/>
      <c r="E673" s="37"/>
      <c r="F673" s="37"/>
      <c r="G673" s="37"/>
      <c r="H673" s="1"/>
    </row>
    <row r="674" ht="15.75" customHeight="1">
      <c r="A674" s="36"/>
      <c r="B674" s="37"/>
      <c r="C674" s="37"/>
      <c r="D674" s="37"/>
      <c r="E674" s="37"/>
      <c r="F674" s="37"/>
      <c r="G674" s="37"/>
      <c r="H674" s="1"/>
    </row>
    <row r="675" ht="15.75" customHeight="1">
      <c r="A675" s="36"/>
      <c r="B675" s="37"/>
      <c r="C675" s="37"/>
      <c r="D675" s="37"/>
      <c r="E675" s="37"/>
      <c r="F675" s="37"/>
      <c r="G675" s="37"/>
      <c r="H675" s="1"/>
    </row>
    <row r="676" ht="15.75" customHeight="1">
      <c r="A676" s="36"/>
      <c r="B676" s="37"/>
      <c r="C676" s="37"/>
      <c r="D676" s="37"/>
      <c r="E676" s="37"/>
      <c r="F676" s="37"/>
      <c r="G676" s="37"/>
      <c r="H676" s="1"/>
    </row>
    <row r="677" ht="15.75" customHeight="1">
      <c r="A677" s="36"/>
      <c r="B677" s="37"/>
      <c r="C677" s="37"/>
      <c r="D677" s="37"/>
      <c r="E677" s="37"/>
      <c r="F677" s="37"/>
      <c r="G677" s="37"/>
      <c r="H677" s="1"/>
    </row>
    <row r="678" ht="15.75" customHeight="1">
      <c r="A678" s="36"/>
      <c r="B678" s="37"/>
      <c r="C678" s="37"/>
      <c r="D678" s="37"/>
      <c r="E678" s="37"/>
      <c r="F678" s="37"/>
      <c r="G678" s="37"/>
      <c r="H678" s="1"/>
    </row>
    <row r="679" ht="15.75" customHeight="1">
      <c r="A679" s="36"/>
      <c r="B679" s="37"/>
      <c r="C679" s="37"/>
      <c r="D679" s="37"/>
      <c r="E679" s="37"/>
      <c r="F679" s="37"/>
      <c r="G679" s="37"/>
      <c r="H679" s="1"/>
    </row>
    <row r="680" ht="15.75" customHeight="1">
      <c r="A680" s="36"/>
      <c r="B680" s="37"/>
      <c r="C680" s="37"/>
      <c r="D680" s="37"/>
      <c r="E680" s="37"/>
      <c r="F680" s="37"/>
      <c r="G680" s="37"/>
      <c r="H680" s="1"/>
    </row>
    <row r="681" ht="15.75" customHeight="1">
      <c r="A681" s="36"/>
      <c r="B681" s="37"/>
      <c r="C681" s="37"/>
      <c r="D681" s="37"/>
      <c r="E681" s="37"/>
      <c r="F681" s="37"/>
      <c r="G681" s="37"/>
      <c r="H681" s="1"/>
    </row>
    <row r="682" ht="15.75" customHeight="1">
      <c r="A682" s="36"/>
      <c r="B682" s="37"/>
      <c r="C682" s="37"/>
      <c r="D682" s="37"/>
      <c r="E682" s="37"/>
      <c r="F682" s="37"/>
      <c r="G682" s="37"/>
      <c r="H682" s="1"/>
    </row>
    <row r="683" ht="15.75" customHeight="1">
      <c r="A683" s="36"/>
      <c r="B683" s="37"/>
      <c r="C683" s="37"/>
      <c r="D683" s="37"/>
      <c r="E683" s="37"/>
      <c r="F683" s="37"/>
      <c r="G683" s="37"/>
      <c r="H683" s="1"/>
    </row>
    <row r="684" ht="15.75" customHeight="1">
      <c r="A684" s="36"/>
      <c r="B684" s="37"/>
      <c r="C684" s="37"/>
      <c r="D684" s="37"/>
      <c r="E684" s="37"/>
      <c r="F684" s="37"/>
      <c r="G684" s="37"/>
      <c r="H684" s="1"/>
    </row>
    <row r="685" ht="15.75" customHeight="1">
      <c r="A685" s="36"/>
      <c r="B685" s="37"/>
      <c r="C685" s="37"/>
      <c r="D685" s="37"/>
      <c r="E685" s="37"/>
      <c r="F685" s="37"/>
      <c r="G685" s="37"/>
      <c r="H685" s="1"/>
    </row>
    <row r="686" ht="15.75" customHeight="1">
      <c r="A686" s="36"/>
      <c r="B686" s="37"/>
      <c r="C686" s="37"/>
      <c r="D686" s="37"/>
      <c r="E686" s="37"/>
      <c r="F686" s="37"/>
      <c r="G686" s="37"/>
      <c r="H686" s="1"/>
    </row>
    <row r="687" ht="15.75" customHeight="1">
      <c r="A687" s="36"/>
      <c r="B687" s="37"/>
      <c r="C687" s="37"/>
      <c r="D687" s="37"/>
      <c r="E687" s="37"/>
      <c r="F687" s="37"/>
      <c r="G687" s="37"/>
      <c r="H687" s="1"/>
    </row>
    <row r="688" ht="15.75" customHeight="1">
      <c r="A688" s="36"/>
      <c r="B688" s="37"/>
      <c r="C688" s="37"/>
      <c r="D688" s="37"/>
      <c r="E688" s="37"/>
      <c r="F688" s="37"/>
      <c r="G688" s="37"/>
      <c r="H688" s="1"/>
    </row>
    <row r="689" ht="15.75" customHeight="1">
      <c r="A689" s="36"/>
      <c r="B689" s="37"/>
      <c r="C689" s="37"/>
      <c r="D689" s="37"/>
      <c r="E689" s="37"/>
      <c r="F689" s="37"/>
      <c r="G689" s="37"/>
      <c r="H689" s="1"/>
    </row>
    <row r="690" ht="15.75" customHeight="1">
      <c r="A690" s="36"/>
      <c r="B690" s="37"/>
      <c r="C690" s="37"/>
      <c r="D690" s="37"/>
      <c r="E690" s="37"/>
      <c r="F690" s="37"/>
      <c r="G690" s="37"/>
      <c r="H690" s="1"/>
    </row>
    <row r="691" ht="15.75" customHeight="1">
      <c r="A691" s="36"/>
      <c r="B691" s="37"/>
      <c r="C691" s="37"/>
      <c r="D691" s="37"/>
      <c r="E691" s="37"/>
      <c r="F691" s="37"/>
      <c r="G691" s="37"/>
      <c r="H691" s="1"/>
    </row>
    <row r="692" ht="15.75" customHeight="1">
      <c r="A692" s="36"/>
      <c r="B692" s="37"/>
      <c r="C692" s="37"/>
      <c r="D692" s="37"/>
      <c r="E692" s="37"/>
      <c r="F692" s="37"/>
      <c r="G692" s="37"/>
      <c r="H692" s="1"/>
    </row>
    <row r="693" ht="15.75" customHeight="1">
      <c r="A693" s="36"/>
      <c r="B693" s="37"/>
      <c r="C693" s="37"/>
      <c r="D693" s="37"/>
      <c r="E693" s="37"/>
      <c r="F693" s="37"/>
      <c r="G693" s="37"/>
      <c r="H693" s="1"/>
    </row>
    <row r="694" ht="15.75" customHeight="1">
      <c r="A694" s="36"/>
      <c r="B694" s="37"/>
      <c r="C694" s="37"/>
      <c r="D694" s="37"/>
      <c r="E694" s="37"/>
      <c r="F694" s="37"/>
      <c r="G694" s="37"/>
      <c r="H694" s="1"/>
    </row>
    <row r="695" ht="15.75" customHeight="1">
      <c r="A695" s="36"/>
      <c r="B695" s="37"/>
      <c r="C695" s="37"/>
      <c r="D695" s="37"/>
      <c r="E695" s="37"/>
      <c r="F695" s="37"/>
      <c r="G695" s="37"/>
      <c r="H695" s="1"/>
    </row>
    <row r="696" ht="15.75" customHeight="1">
      <c r="A696" s="36"/>
      <c r="B696" s="37"/>
      <c r="C696" s="37"/>
      <c r="D696" s="37"/>
      <c r="E696" s="37"/>
      <c r="F696" s="37"/>
      <c r="G696" s="37"/>
      <c r="H696" s="1"/>
    </row>
    <row r="697" ht="15.75" customHeight="1">
      <c r="A697" s="36"/>
      <c r="B697" s="37"/>
      <c r="C697" s="37"/>
      <c r="D697" s="37"/>
      <c r="E697" s="37"/>
      <c r="F697" s="37"/>
      <c r="G697" s="37"/>
      <c r="H697" s="1"/>
    </row>
    <row r="698" ht="15.75" customHeight="1">
      <c r="A698" s="36"/>
      <c r="B698" s="37"/>
      <c r="C698" s="37"/>
      <c r="D698" s="37"/>
      <c r="E698" s="37"/>
      <c r="F698" s="37"/>
      <c r="G698" s="37"/>
      <c r="H698" s="1"/>
    </row>
    <row r="699" ht="15.75" customHeight="1">
      <c r="A699" s="36"/>
      <c r="B699" s="37"/>
      <c r="C699" s="37"/>
      <c r="D699" s="37"/>
      <c r="E699" s="37"/>
      <c r="F699" s="37"/>
      <c r="G699" s="37"/>
      <c r="H699" s="1"/>
    </row>
    <row r="700" ht="15.75" customHeight="1">
      <c r="A700" s="36"/>
      <c r="B700" s="37"/>
      <c r="C700" s="37"/>
      <c r="D700" s="37"/>
      <c r="E700" s="37"/>
      <c r="F700" s="37"/>
      <c r="G700" s="37"/>
      <c r="H700" s="1"/>
    </row>
    <row r="701" ht="15.75" customHeight="1">
      <c r="A701" s="36"/>
      <c r="B701" s="37"/>
      <c r="C701" s="37"/>
      <c r="D701" s="37"/>
      <c r="E701" s="37"/>
      <c r="F701" s="37"/>
      <c r="G701" s="37"/>
      <c r="H701" s="1"/>
    </row>
    <row r="702" ht="15.75" customHeight="1">
      <c r="A702" s="36"/>
      <c r="B702" s="37"/>
      <c r="C702" s="37"/>
      <c r="D702" s="37"/>
      <c r="E702" s="37"/>
      <c r="F702" s="37"/>
      <c r="G702" s="37"/>
      <c r="H702" s="1"/>
    </row>
    <row r="703" ht="15.75" customHeight="1">
      <c r="A703" s="36"/>
      <c r="B703" s="37"/>
      <c r="C703" s="37"/>
      <c r="D703" s="37"/>
      <c r="E703" s="37"/>
      <c r="F703" s="37"/>
      <c r="G703" s="37"/>
      <c r="H703" s="1"/>
    </row>
    <row r="704" ht="15.75" customHeight="1">
      <c r="A704" s="36"/>
      <c r="B704" s="37"/>
      <c r="C704" s="37"/>
      <c r="D704" s="37"/>
      <c r="E704" s="37"/>
      <c r="F704" s="37"/>
      <c r="G704" s="37"/>
      <c r="H704" s="1"/>
    </row>
    <row r="705" ht="15.75" customHeight="1">
      <c r="A705" s="36"/>
      <c r="B705" s="37"/>
      <c r="C705" s="37"/>
      <c r="D705" s="37"/>
      <c r="E705" s="37"/>
      <c r="F705" s="37"/>
      <c r="G705" s="37"/>
      <c r="H705" s="1"/>
    </row>
    <row r="706" ht="15.75" customHeight="1">
      <c r="A706" s="36"/>
      <c r="B706" s="37"/>
      <c r="C706" s="37"/>
      <c r="D706" s="37"/>
      <c r="E706" s="37"/>
      <c r="F706" s="37"/>
      <c r="G706" s="37"/>
      <c r="H706" s="1"/>
    </row>
    <row r="707" ht="15.75" customHeight="1">
      <c r="A707" s="36"/>
      <c r="B707" s="37"/>
      <c r="C707" s="37"/>
      <c r="D707" s="37"/>
      <c r="E707" s="37"/>
      <c r="F707" s="37"/>
      <c r="G707" s="37"/>
      <c r="H707" s="1"/>
    </row>
    <row r="708" ht="15.75" customHeight="1">
      <c r="A708" s="36"/>
      <c r="B708" s="37"/>
      <c r="C708" s="37"/>
      <c r="D708" s="37"/>
      <c r="E708" s="37"/>
      <c r="F708" s="37"/>
      <c r="G708" s="37"/>
      <c r="H708" s="1"/>
    </row>
    <row r="709" ht="15.75" customHeight="1">
      <c r="A709" s="36"/>
      <c r="B709" s="37"/>
      <c r="C709" s="37"/>
      <c r="D709" s="37"/>
      <c r="E709" s="37"/>
      <c r="F709" s="37"/>
      <c r="G709" s="37"/>
      <c r="H709" s="1"/>
    </row>
    <row r="710" ht="15.75" customHeight="1">
      <c r="A710" s="36"/>
      <c r="B710" s="37"/>
      <c r="C710" s="37"/>
      <c r="D710" s="37"/>
      <c r="E710" s="37"/>
      <c r="F710" s="37"/>
      <c r="G710" s="37"/>
      <c r="H710" s="1"/>
    </row>
    <row r="711" ht="15.75" customHeight="1">
      <c r="A711" s="36"/>
      <c r="B711" s="37"/>
      <c r="C711" s="37"/>
      <c r="D711" s="37"/>
      <c r="E711" s="37"/>
      <c r="F711" s="37"/>
      <c r="G711" s="37"/>
      <c r="H711" s="1"/>
    </row>
    <row r="712" ht="15.75" customHeight="1">
      <c r="A712" s="36"/>
      <c r="B712" s="37"/>
      <c r="C712" s="37"/>
      <c r="D712" s="37"/>
      <c r="E712" s="37"/>
      <c r="F712" s="37"/>
      <c r="G712" s="37"/>
      <c r="H712" s="1"/>
    </row>
    <row r="713" ht="15.75" customHeight="1">
      <c r="A713" s="36"/>
      <c r="B713" s="37"/>
      <c r="C713" s="37"/>
      <c r="D713" s="37"/>
      <c r="E713" s="37"/>
      <c r="F713" s="37"/>
      <c r="G713" s="37"/>
      <c r="H713" s="1"/>
    </row>
    <row r="714" ht="15.75" customHeight="1">
      <c r="A714" s="36"/>
      <c r="B714" s="37"/>
      <c r="C714" s="37"/>
      <c r="D714" s="37"/>
      <c r="E714" s="37"/>
      <c r="F714" s="37"/>
      <c r="G714" s="37"/>
      <c r="H714" s="1"/>
    </row>
    <row r="715" ht="15.75" customHeight="1">
      <c r="A715" s="36"/>
      <c r="B715" s="37"/>
      <c r="C715" s="37"/>
      <c r="D715" s="37"/>
      <c r="E715" s="37"/>
      <c r="F715" s="37"/>
      <c r="G715" s="37"/>
      <c r="H715" s="1"/>
    </row>
    <row r="716" ht="15.75" customHeight="1">
      <c r="A716" s="36"/>
      <c r="B716" s="37"/>
      <c r="C716" s="37"/>
      <c r="D716" s="37"/>
      <c r="E716" s="37"/>
      <c r="F716" s="37"/>
      <c r="G716" s="37"/>
      <c r="H716" s="1"/>
    </row>
    <row r="717" ht="15.75" customHeight="1">
      <c r="A717" s="36"/>
      <c r="B717" s="37"/>
      <c r="C717" s="37"/>
      <c r="D717" s="37"/>
      <c r="E717" s="37"/>
      <c r="F717" s="37"/>
      <c r="G717" s="37"/>
      <c r="H717" s="1"/>
    </row>
    <row r="718" ht="15.75" customHeight="1">
      <c r="A718" s="36"/>
      <c r="B718" s="37"/>
      <c r="C718" s="37"/>
      <c r="D718" s="37"/>
      <c r="E718" s="37"/>
      <c r="F718" s="37"/>
      <c r="G718" s="37"/>
      <c r="H718" s="1"/>
    </row>
    <row r="719" ht="15.75" customHeight="1">
      <c r="A719" s="36"/>
      <c r="B719" s="37"/>
      <c r="C719" s="37"/>
      <c r="D719" s="37"/>
      <c r="E719" s="37"/>
      <c r="F719" s="37"/>
      <c r="G719" s="37"/>
      <c r="H719" s="1"/>
    </row>
    <row r="720" ht="15.75" customHeight="1">
      <c r="A720" s="36"/>
      <c r="B720" s="37"/>
      <c r="C720" s="37"/>
      <c r="D720" s="37"/>
      <c r="E720" s="37"/>
      <c r="F720" s="37"/>
      <c r="G720" s="37"/>
      <c r="H720" s="1"/>
    </row>
    <row r="721" ht="15.75" customHeight="1">
      <c r="A721" s="36"/>
      <c r="B721" s="37"/>
      <c r="C721" s="37"/>
      <c r="D721" s="37"/>
      <c r="E721" s="37"/>
      <c r="F721" s="37"/>
      <c r="G721" s="37"/>
      <c r="H721" s="1"/>
    </row>
    <row r="722" ht="15.75" customHeight="1">
      <c r="A722" s="36"/>
      <c r="B722" s="37"/>
      <c r="C722" s="37"/>
      <c r="D722" s="37"/>
      <c r="E722" s="37"/>
      <c r="F722" s="37"/>
      <c r="G722" s="37"/>
      <c r="H722" s="1"/>
    </row>
    <row r="723" ht="15.75" customHeight="1">
      <c r="A723" s="36"/>
      <c r="B723" s="37"/>
      <c r="C723" s="37"/>
      <c r="D723" s="37"/>
      <c r="E723" s="37"/>
      <c r="F723" s="37"/>
      <c r="G723" s="37"/>
      <c r="H723" s="1"/>
    </row>
    <row r="724" ht="15.75" customHeight="1">
      <c r="A724" s="36"/>
      <c r="B724" s="37"/>
      <c r="C724" s="37"/>
      <c r="D724" s="37"/>
      <c r="E724" s="37"/>
      <c r="F724" s="37"/>
      <c r="G724" s="37"/>
      <c r="H724" s="1"/>
    </row>
    <row r="725" ht="15.75" customHeight="1">
      <c r="A725" s="36"/>
      <c r="B725" s="37"/>
      <c r="C725" s="37"/>
      <c r="D725" s="37"/>
      <c r="E725" s="37"/>
      <c r="F725" s="37"/>
      <c r="G725" s="37"/>
      <c r="H725" s="1"/>
    </row>
    <row r="726" ht="15.75" customHeight="1">
      <c r="A726" s="36"/>
      <c r="B726" s="37"/>
      <c r="C726" s="37"/>
      <c r="D726" s="37"/>
      <c r="E726" s="37"/>
      <c r="F726" s="37"/>
      <c r="G726" s="37"/>
      <c r="H726" s="1"/>
    </row>
    <row r="727" ht="15.75" customHeight="1">
      <c r="A727" s="36"/>
      <c r="B727" s="37"/>
      <c r="C727" s="37"/>
      <c r="D727" s="37"/>
      <c r="E727" s="37"/>
      <c r="F727" s="37"/>
      <c r="G727" s="37"/>
      <c r="H727" s="1"/>
    </row>
    <row r="728" ht="15.75" customHeight="1">
      <c r="A728" s="36"/>
      <c r="B728" s="37"/>
      <c r="C728" s="37"/>
      <c r="D728" s="37"/>
      <c r="E728" s="37"/>
      <c r="F728" s="37"/>
      <c r="G728" s="37"/>
      <c r="H728" s="1"/>
    </row>
    <row r="729" ht="15.75" customHeight="1">
      <c r="A729" s="36"/>
      <c r="B729" s="37"/>
      <c r="C729" s="37"/>
      <c r="D729" s="37"/>
      <c r="E729" s="37"/>
      <c r="F729" s="37"/>
      <c r="G729" s="37"/>
      <c r="H729" s="1"/>
    </row>
    <row r="730" ht="15.75" customHeight="1">
      <c r="A730" s="36"/>
      <c r="B730" s="37"/>
      <c r="C730" s="37"/>
      <c r="D730" s="37"/>
      <c r="E730" s="37"/>
      <c r="F730" s="37"/>
      <c r="G730" s="37"/>
      <c r="H730" s="1"/>
    </row>
    <row r="731" ht="15.75" customHeight="1">
      <c r="A731" s="36"/>
      <c r="B731" s="37"/>
      <c r="C731" s="37"/>
      <c r="D731" s="37"/>
      <c r="E731" s="37"/>
      <c r="F731" s="37"/>
      <c r="G731" s="37"/>
      <c r="H731" s="1"/>
    </row>
    <row r="732" ht="15.75" customHeight="1">
      <c r="A732" s="36"/>
      <c r="B732" s="37"/>
      <c r="C732" s="37"/>
      <c r="D732" s="37"/>
      <c r="E732" s="37"/>
      <c r="F732" s="37"/>
      <c r="G732" s="37"/>
      <c r="H732" s="1"/>
    </row>
    <row r="733" ht="15.75" customHeight="1">
      <c r="A733" s="36"/>
      <c r="B733" s="37"/>
      <c r="C733" s="37"/>
      <c r="D733" s="37"/>
      <c r="E733" s="37"/>
      <c r="F733" s="37"/>
      <c r="G733" s="37"/>
      <c r="H733" s="1"/>
    </row>
    <row r="734" ht="15.75" customHeight="1">
      <c r="A734" s="36"/>
      <c r="B734" s="37"/>
      <c r="C734" s="37"/>
      <c r="D734" s="37"/>
      <c r="E734" s="37"/>
      <c r="F734" s="37"/>
      <c r="G734" s="37"/>
      <c r="H734" s="1"/>
    </row>
    <row r="735" ht="15.75" customHeight="1">
      <c r="A735" s="36"/>
      <c r="B735" s="37"/>
      <c r="C735" s="37"/>
      <c r="D735" s="37"/>
      <c r="E735" s="37"/>
      <c r="F735" s="37"/>
      <c r="G735" s="37"/>
      <c r="H735" s="1"/>
    </row>
    <row r="736" ht="15.75" customHeight="1">
      <c r="A736" s="36"/>
      <c r="B736" s="37"/>
      <c r="C736" s="37"/>
      <c r="D736" s="37"/>
      <c r="E736" s="37"/>
      <c r="F736" s="37"/>
      <c r="G736" s="37"/>
      <c r="H736" s="1"/>
    </row>
    <row r="737" ht="15.75" customHeight="1">
      <c r="A737" s="36"/>
      <c r="B737" s="37"/>
      <c r="C737" s="37"/>
      <c r="D737" s="37"/>
      <c r="E737" s="37"/>
      <c r="F737" s="37"/>
      <c r="G737" s="37"/>
      <c r="H737" s="1"/>
    </row>
    <row r="738" ht="15.75" customHeight="1">
      <c r="A738" s="36"/>
      <c r="B738" s="37"/>
      <c r="C738" s="37"/>
      <c r="D738" s="37"/>
      <c r="E738" s="37"/>
      <c r="F738" s="37"/>
      <c r="G738" s="37"/>
      <c r="H738" s="1"/>
    </row>
    <row r="739" ht="15.75" customHeight="1">
      <c r="A739" s="36"/>
      <c r="B739" s="37"/>
      <c r="C739" s="37"/>
      <c r="D739" s="37"/>
      <c r="E739" s="37"/>
      <c r="F739" s="37"/>
      <c r="G739" s="37"/>
      <c r="H739" s="1"/>
    </row>
    <row r="740" ht="15.75" customHeight="1">
      <c r="A740" s="36"/>
      <c r="B740" s="37"/>
      <c r="C740" s="37"/>
      <c r="D740" s="37"/>
      <c r="E740" s="37"/>
      <c r="F740" s="37"/>
      <c r="G740" s="37"/>
      <c r="H740" s="1"/>
    </row>
    <row r="741" ht="15.75" customHeight="1">
      <c r="A741" s="36"/>
      <c r="B741" s="37"/>
      <c r="C741" s="37"/>
      <c r="D741" s="37"/>
      <c r="E741" s="37"/>
      <c r="F741" s="37"/>
      <c r="G741" s="37"/>
      <c r="H741" s="1"/>
    </row>
    <row r="742" ht="15.75" customHeight="1">
      <c r="A742" s="36"/>
      <c r="B742" s="37"/>
      <c r="C742" s="37"/>
      <c r="D742" s="37"/>
      <c r="E742" s="37"/>
      <c r="F742" s="37"/>
      <c r="G742" s="37"/>
      <c r="H742" s="1"/>
    </row>
    <row r="743" ht="15.75" customHeight="1">
      <c r="A743" s="36"/>
      <c r="B743" s="37"/>
      <c r="C743" s="37"/>
      <c r="D743" s="37"/>
      <c r="E743" s="37"/>
      <c r="F743" s="37"/>
      <c r="G743" s="37"/>
      <c r="H743" s="1"/>
    </row>
    <row r="744" ht="15.75" customHeight="1">
      <c r="A744" s="36"/>
      <c r="B744" s="37"/>
      <c r="C744" s="37"/>
      <c r="D744" s="37"/>
      <c r="E744" s="37"/>
      <c r="F744" s="37"/>
      <c r="G744" s="37"/>
      <c r="H744" s="1"/>
    </row>
    <row r="745" ht="15.75" customHeight="1">
      <c r="A745" s="36"/>
      <c r="B745" s="37"/>
      <c r="C745" s="37"/>
      <c r="D745" s="37"/>
      <c r="E745" s="37"/>
      <c r="F745" s="37"/>
      <c r="G745" s="37"/>
      <c r="H745" s="1"/>
    </row>
    <row r="746" ht="15.75" customHeight="1">
      <c r="A746" s="36"/>
      <c r="B746" s="37"/>
      <c r="C746" s="37"/>
      <c r="D746" s="37"/>
      <c r="E746" s="37"/>
      <c r="F746" s="37"/>
      <c r="G746" s="37"/>
      <c r="H746" s="1"/>
    </row>
    <row r="747" ht="15.75" customHeight="1">
      <c r="A747" s="36"/>
      <c r="B747" s="37"/>
      <c r="C747" s="37"/>
      <c r="D747" s="37"/>
      <c r="E747" s="37"/>
      <c r="F747" s="37"/>
      <c r="G747" s="37"/>
      <c r="H747" s="1"/>
    </row>
    <row r="748" ht="15.75" customHeight="1">
      <c r="A748" s="36"/>
      <c r="B748" s="37"/>
      <c r="C748" s="37"/>
      <c r="D748" s="37"/>
      <c r="E748" s="37"/>
      <c r="F748" s="37"/>
      <c r="G748" s="37"/>
      <c r="H748" s="1"/>
    </row>
    <row r="749" ht="15.75" customHeight="1">
      <c r="A749" s="36"/>
      <c r="B749" s="37"/>
      <c r="C749" s="37"/>
      <c r="D749" s="37"/>
      <c r="E749" s="37"/>
      <c r="F749" s="37"/>
      <c r="G749" s="37"/>
      <c r="H749" s="1"/>
    </row>
    <row r="750" ht="15.75" customHeight="1">
      <c r="A750" s="36"/>
      <c r="B750" s="37"/>
      <c r="C750" s="37"/>
      <c r="D750" s="37"/>
      <c r="E750" s="37"/>
      <c r="F750" s="37"/>
      <c r="G750" s="37"/>
      <c r="H750" s="1"/>
    </row>
    <row r="751" ht="15.75" customHeight="1">
      <c r="A751" s="36"/>
      <c r="B751" s="37"/>
      <c r="C751" s="37"/>
      <c r="D751" s="37"/>
      <c r="E751" s="37"/>
      <c r="F751" s="37"/>
      <c r="G751" s="37"/>
      <c r="H751" s="1"/>
    </row>
    <row r="752" ht="15.75" customHeight="1">
      <c r="A752" s="36"/>
      <c r="B752" s="37"/>
      <c r="C752" s="37"/>
      <c r="D752" s="37"/>
      <c r="E752" s="37"/>
      <c r="F752" s="37"/>
      <c r="G752" s="37"/>
      <c r="H752" s="1"/>
    </row>
    <row r="753" ht="15.75" customHeight="1">
      <c r="A753" s="36"/>
      <c r="B753" s="37"/>
      <c r="C753" s="37"/>
      <c r="D753" s="37"/>
      <c r="E753" s="37"/>
      <c r="F753" s="37"/>
      <c r="G753" s="37"/>
      <c r="H753" s="1"/>
    </row>
    <row r="754" ht="15.75" customHeight="1">
      <c r="A754" s="36"/>
      <c r="B754" s="37"/>
      <c r="C754" s="37"/>
      <c r="D754" s="37"/>
      <c r="E754" s="37"/>
      <c r="F754" s="37"/>
      <c r="G754" s="37"/>
      <c r="H754" s="1"/>
    </row>
    <row r="755" ht="15.75" customHeight="1">
      <c r="A755" s="36"/>
      <c r="B755" s="37"/>
      <c r="C755" s="37"/>
      <c r="D755" s="37"/>
      <c r="E755" s="37"/>
      <c r="F755" s="37"/>
      <c r="G755" s="37"/>
      <c r="H755" s="1"/>
    </row>
    <row r="756" ht="15.75" customHeight="1">
      <c r="A756" s="36"/>
      <c r="B756" s="37"/>
      <c r="C756" s="37"/>
      <c r="D756" s="37"/>
      <c r="E756" s="37"/>
      <c r="F756" s="37"/>
      <c r="G756" s="37"/>
      <c r="H756" s="1"/>
    </row>
    <row r="757" ht="15.75" customHeight="1">
      <c r="A757" s="36"/>
      <c r="B757" s="37"/>
      <c r="C757" s="37"/>
      <c r="D757" s="37"/>
      <c r="E757" s="37"/>
      <c r="F757" s="37"/>
      <c r="G757" s="37"/>
      <c r="H757" s="1"/>
    </row>
    <row r="758" ht="15.75" customHeight="1">
      <c r="A758" s="36"/>
      <c r="B758" s="37"/>
      <c r="C758" s="37"/>
      <c r="D758" s="37"/>
      <c r="E758" s="37"/>
      <c r="F758" s="37"/>
      <c r="G758" s="37"/>
      <c r="H758" s="1"/>
    </row>
    <row r="759" ht="15.75" customHeight="1">
      <c r="A759" s="36"/>
      <c r="B759" s="37"/>
      <c r="C759" s="37"/>
      <c r="D759" s="37"/>
      <c r="E759" s="37"/>
      <c r="F759" s="37"/>
      <c r="G759" s="37"/>
      <c r="H759" s="1"/>
    </row>
    <row r="760" ht="15.75" customHeight="1">
      <c r="A760" s="36"/>
      <c r="B760" s="37"/>
      <c r="C760" s="37"/>
      <c r="D760" s="37"/>
      <c r="E760" s="37"/>
      <c r="F760" s="37"/>
      <c r="G760" s="37"/>
      <c r="H760" s="1"/>
    </row>
    <row r="761" ht="15.75" customHeight="1">
      <c r="A761" s="36"/>
      <c r="B761" s="37"/>
      <c r="C761" s="37"/>
      <c r="D761" s="37"/>
      <c r="E761" s="37"/>
      <c r="F761" s="37"/>
      <c r="G761" s="37"/>
      <c r="H761" s="1"/>
    </row>
    <row r="762" ht="15.75" customHeight="1">
      <c r="A762" s="36"/>
      <c r="B762" s="37"/>
      <c r="C762" s="37"/>
      <c r="D762" s="37"/>
      <c r="E762" s="37"/>
      <c r="F762" s="37"/>
      <c r="G762" s="37"/>
      <c r="H762" s="1"/>
    </row>
    <row r="763" ht="15.75" customHeight="1">
      <c r="A763" s="36"/>
      <c r="B763" s="37"/>
      <c r="C763" s="37"/>
      <c r="D763" s="37"/>
      <c r="E763" s="37"/>
      <c r="F763" s="37"/>
      <c r="G763" s="37"/>
      <c r="H763" s="1"/>
    </row>
    <row r="764" ht="15.75" customHeight="1">
      <c r="A764" s="36"/>
      <c r="B764" s="37"/>
      <c r="C764" s="37"/>
      <c r="D764" s="37"/>
      <c r="E764" s="37"/>
      <c r="F764" s="37"/>
      <c r="G764" s="37"/>
      <c r="H764" s="1"/>
    </row>
    <row r="765" ht="15.75" customHeight="1">
      <c r="A765" s="36"/>
      <c r="B765" s="37"/>
      <c r="C765" s="37"/>
      <c r="D765" s="37"/>
      <c r="E765" s="37"/>
      <c r="F765" s="37"/>
      <c r="G765" s="37"/>
      <c r="H765" s="1"/>
    </row>
    <row r="766" ht="15.75" customHeight="1">
      <c r="A766" s="36"/>
      <c r="B766" s="37"/>
      <c r="C766" s="37"/>
      <c r="D766" s="37"/>
      <c r="E766" s="37"/>
      <c r="F766" s="37"/>
      <c r="G766" s="37"/>
      <c r="H766" s="1"/>
    </row>
    <row r="767" ht="15.75" customHeight="1">
      <c r="A767" s="36"/>
      <c r="B767" s="37"/>
      <c r="C767" s="37"/>
      <c r="D767" s="37"/>
      <c r="E767" s="37"/>
      <c r="F767" s="37"/>
      <c r="G767" s="37"/>
      <c r="H767" s="1"/>
    </row>
    <row r="768" ht="15.75" customHeight="1">
      <c r="A768" s="36"/>
      <c r="B768" s="37"/>
      <c r="C768" s="37"/>
      <c r="D768" s="37"/>
      <c r="E768" s="37"/>
      <c r="F768" s="37"/>
      <c r="G768" s="37"/>
      <c r="H768" s="1"/>
    </row>
    <row r="769" ht="15.75" customHeight="1">
      <c r="A769" s="36"/>
      <c r="B769" s="37"/>
      <c r="C769" s="37"/>
      <c r="D769" s="37"/>
      <c r="E769" s="37"/>
      <c r="F769" s="37"/>
      <c r="G769" s="37"/>
      <c r="H769" s="1"/>
    </row>
    <row r="770" ht="15.75" customHeight="1">
      <c r="A770" s="36"/>
      <c r="B770" s="37"/>
      <c r="C770" s="37"/>
      <c r="D770" s="37"/>
      <c r="E770" s="37"/>
      <c r="F770" s="37"/>
      <c r="G770" s="37"/>
      <c r="H770" s="1"/>
    </row>
    <row r="771" ht="15.75" customHeight="1">
      <c r="A771" s="36"/>
      <c r="B771" s="37"/>
      <c r="C771" s="37"/>
      <c r="D771" s="37"/>
      <c r="E771" s="37"/>
      <c r="F771" s="37"/>
      <c r="G771" s="37"/>
      <c r="H771" s="1"/>
    </row>
    <row r="772" ht="15.75" customHeight="1">
      <c r="A772" s="36"/>
      <c r="B772" s="37"/>
      <c r="C772" s="37"/>
      <c r="D772" s="37"/>
      <c r="E772" s="37"/>
      <c r="F772" s="37"/>
      <c r="G772" s="37"/>
      <c r="H772" s="1"/>
    </row>
    <row r="773" ht="15.75" customHeight="1">
      <c r="A773" s="36"/>
      <c r="B773" s="37"/>
      <c r="C773" s="37"/>
      <c r="D773" s="37"/>
      <c r="E773" s="37"/>
      <c r="F773" s="37"/>
      <c r="G773" s="37"/>
      <c r="H773" s="1"/>
    </row>
    <row r="774" ht="15.75" customHeight="1">
      <c r="A774" s="36"/>
      <c r="B774" s="37"/>
      <c r="C774" s="37"/>
      <c r="D774" s="37"/>
      <c r="E774" s="37"/>
      <c r="F774" s="37"/>
      <c r="G774" s="37"/>
      <c r="H774" s="1"/>
    </row>
    <row r="775" ht="15.75" customHeight="1">
      <c r="A775" s="36"/>
      <c r="B775" s="37"/>
      <c r="C775" s="37"/>
      <c r="D775" s="37"/>
      <c r="E775" s="37"/>
      <c r="F775" s="37"/>
      <c r="G775" s="37"/>
      <c r="H775" s="1"/>
    </row>
    <row r="776" ht="15.75" customHeight="1">
      <c r="A776" s="36"/>
      <c r="B776" s="37"/>
      <c r="C776" s="37"/>
      <c r="D776" s="37"/>
      <c r="E776" s="37"/>
      <c r="F776" s="37"/>
      <c r="G776" s="37"/>
      <c r="H776" s="1"/>
    </row>
    <row r="777" ht="15.75" customHeight="1">
      <c r="A777" s="36"/>
      <c r="B777" s="37"/>
      <c r="C777" s="37"/>
      <c r="D777" s="37"/>
      <c r="E777" s="37"/>
      <c r="F777" s="37"/>
      <c r="G777" s="37"/>
      <c r="H777" s="1"/>
    </row>
    <row r="778" ht="15.75" customHeight="1">
      <c r="A778" s="36"/>
      <c r="B778" s="37"/>
      <c r="C778" s="37"/>
      <c r="D778" s="37"/>
      <c r="E778" s="37"/>
      <c r="F778" s="37"/>
      <c r="G778" s="37"/>
      <c r="H778" s="1"/>
    </row>
    <row r="779" ht="15.75" customHeight="1">
      <c r="A779" s="36"/>
      <c r="B779" s="37"/>
      <c r="C779" s="37"/>
      <c r="D779" s="37"/>
      <c r="E779" s="37"/>
      <c r="F779" s="37"/>
      <c r="G779" s="37"/>
      <c r="H779" s="1"/>
    </row>
    <row r="780" ht="15.75" customHeight="1">
      <c r="A780" s="36"/>
      <c r="B780" s="37"/>
      <c r="C780" s="37"/>
      <c r="D780" s="37"/>
      <c r="E780" s="37"/>
      <c r="F780" s="37"/>
      <c r="G780" s="37"/>
      <c r="H780" s="1"/>
    </row>
    <row r="781" ht="15.75" customHeight="1">
      <c r="A781" s="36"/>
      <c r="B781" s="37"/>
      <c r="C781" s="37"/>
      <c r="D781" s="37"/>
      <c r="E781" s="37"/>
      <c r="F781" s="37"/>
      <c r="G781" s="37"/>
      <c r="H781" s="1"/>
    </row>
    <row r="782" ht="15.75" customHeight="1">
      <c r="A782" s="36"/>
      <c r="B782" s="37"/>
      <c r="C782" s="37"/>
      <c r="D782" s="37"/>
      <c r="E782" s="37"/>
      <c r="F782" s="37"/>
      <c r="G782" s="37"/>
      <c r="H782" s="1"/>
    </row>
    <row r="783" ht="15.75" customHeight="1">
      <c r="A783" s="36"/>
      <c r="B783" s="37"/>
      <c r="C783" s="37"/>
      <c r="D783" s="37"/>
      <c r="E783" s="37"/>
      <c r="F783" s="37"/>
      <c r="G783" s="37"/>
      <c r="H783" s="1"/>
    </row>
    <row r="784" ht="15.75" customHeight="1">
      <c r="A784" s="36"/>
      <c r="B784" s="37"/>
      <c r="C784" s="37"/>
      <c r="D784" s="37"/>
      <c r="E784" s="37"/>
      <c r="F784" s="37"/>
      <c r="G784" s="37"/>
      <c r="H784" s="1"/>
    </row>
    <row r="785" ht="15.75" customHeight="1">
      <c r="A785" s="36"/>
      <c r="B785" s="37"/>
      <c r="C785" s="37"/>
      <c r="D785" s="37"/>
      <c r="E785" s="37"/>
      <c r="F785" s="37"/>
      <c r="G785" s="37"/>
      <c r="H785" s="1"/>
    </row>
    <row r="786" ht="15.75" customHeight="1">
      <c r="A786" s="36"/>
      <c r="B786" s="37"/>
      <c r="C786" s="37"/>
      <c r="D786" s="37"/>
      <c r="E786" s="37"/>
      <c r="F786" s="37"/>
      <c r="G786" s="37"/>
      <c r="H786" s="1"/>
    </row>
    <row r="787" ht="15.75" customHeight="1">
      <c r="A787" s="36"/>
      <c r="B787" s="37"/>
      <c r="C787" s="37"/>
      <c r="D787" s="37"/>
      <c r="E787" s="37"/>
      <c r="F787" s="37"/>
      <c r="G787" s="37"/>
      <c r="H787" s="1"/>
    </row>
    <row r="788" ht="15.75" customHeight="1">
      <c r="A788" s="36"/>
      <c r="B788" s="37"/>
      <c r="C788" s="37"/>
      <c r="D788" s="37"/>
      <c r="E788" s="37"/>
      <c r="F788" s="37"/>
      <c r="G788" s="37"/>
      <c r="H788" s="1"/>
    </row>
    <row r="789" ht="15.75" customHeight="1">
      <c r="A789" s="36"/>
      <c r="B789" s="37"/>
      <c r="C789" s="37"/>
      <c r="D789" s="37"/>
      <c r="E789" s="37"/>
      <c r="F789" s="37"/>
      <c r="G789" s="37"/>
      <c r="H789" s="1"/>
    </row>
    <row r="790" ht="15.75" customHeight="1">
      <c r="A790" s="36"/>
      <c r="B790" s="37"/>
      <c r="C790" s="37"/>
      <c r="D790" s="37"/>
      <c r="E790" s="37"/>
      <c r="F790" s="37"/>
      <c r="G790" s="37"/>
      <c r="H790" s="1"/>
    </row>
    <row r="791" ht="15.75" customHeight="1">
      <c r="A791" s="36"/>
      <c r="B791" s="37"/>
      <c r="C791" s="37"/>
      <c r="D791" s="37"/>
      <c r="E791" s="37"/>
      <c r="F791" s="37"/>
      <c r="G791" s="37"/>
      <c r="H791" s="1"/>
    </row>
    <row r="792" ht="15.75" customHeight="1">
      <c r="A792" s="36"/>
      <c r="B792" s="37"/>
      <c r="C792" s="37"/>
      <c r="D792" s="37"/>
      <c r="E792" s="37"/>
      <c r="F792" s="37"/>
      <c r="G792" s="37"/>
      <c r="H792" s="1"/>
    </row>
    <row r="793" ht="15.75" customHeight="1">
      <c r="A793" s="36"/>
      <c r="B793" s="37"/>
      <c r="C793" s="37"/>
      <c r="D793" s="37"/>
      <c r="E793" s="37"/>
      <c r="F793" s="37"/>
      <c r="G793" s="37"/>
      <c r="H793" s="1"/>
    </row>
    <row r="794" ht="15.75" customHeight="1">
      <c r="A794" s="36"/>
      <c r="B794" s="37"/>
      <c r="C794" s="37"/>
      <c r="D794" s="37"/>
      <c r="E794" s="37"/>
      <c r="F794" s="37"/>
      <c r="G794" s="37"/>
      <c r="H794" s="1"/>
    </row>
    <row r="795" ht="15.75" customHeight="1">
      <c r="A795" s="36"/>
      <c r="B795" s="37"/>
      <c r="C795" s="37"/>
      <c r="D795" s="37"/>
      <c r="E795" s="37"/>
      <c r="F795" s="37"/>
      <c r="G795" s="37"/>
      <c r="H795" s="1"/>
    </row>
    <row r="796" ht="15.75" customHeight="1">
      <c r="A796" s="36"/>
      <c r="B796" s="37"/>
      <c r="C796" s="37"/>
      <c r="D796" s="37"/>
      <c r="E796" s="37"/>
      <c r="F796" s="37"/>
      <c r="G796" s="37"/>
      <c r="H796" s="1"/>
    </row>
    <row r="797" ht="15.75" customHeight="1">
      <c r="A797" s="36"/>
      <c r="B797" s="37"/>
      <c r="C797" s="37"/>
      <c r="D797" s="37"/>
      <c r="E797" s="37"/>
      <c r="F797" s="37"/>
      <c r="G797" s="37"/>
      <c r="H797" s="1"/>
    </row>
    <row r="798" ht="15.75" customHeight="1">
      <c r="A798" s="36"/>
      <c r="B798" s="37"/>
      <c r="C798" s="37"/>
      <c r="D798" s="37"/>
      <c r="E798" s="37"/>
      <c r="F798" s="37"/>
      <c r="G798" s="37"/>
      <c r="H798" s="1"/>
    </row>
    <row r="799" ht="15.75" customHeight="1">
      <c r="A799" s="36"/>
      <c r="B799" s="37"/>
      <c r="C799" s="37"/>
      <c r="D799" s="37"/>
      <c r="E799" s="37"/>
      <c r="F799" s="37"/>
      <c r="G799" s="37"/>
      <c r="H799" s="1"/>
    </row>
    <row r="800" ht="15.75" customHeight="1">
      <c r="A800" s="36"/>
      <c r="B800" s="37"/>
      <c r="C800" s="37"/>
      <c r="D800" s="37"/>
      <c r="E800" s="37"/>
      <c r="F800" s="37"/>
      <c r="G800" s="37"/>
      <c r="H800" s="1"/>
    </row>
    <row r="801" ht="15.75" customHeight="1">
      <c r="A801" s="36"/>
      <c r="B801" s="37"/>
      <c r="C801" s="37"/>
      <c r="D801" s="37"/>
      <c r="E801" s="37"/>
      <c r="F801" s="37"/>
      <c r="G801" s="37"/>
      <c r="H801" s="1"/>
    </row>
    <row r="802" ht="15.75" customHeight="1">
      <c r="A802" s="36"/>
      <c r="B802" s="37"/>
      <c r="C802" s="37"/>
      <c r="D802" s="37"/>
      <c r="E802" s="37"/>
      <c r="F802" s="37"/>
      <c r="G802" s="37"/>
      <c r="H802" s="1"/>
    </row>
    <row r="803" ht="15.75" customHeight="1">
      <c r="A803" s="36"/>
      <c r="B803" s="37"/>
      <c r="C803" s="37"/>
      <c r="D803" s="37"/>
      <c r="E803" s="37"/>
      <c r="F803" s="37"/>
      <c r="G803" s="37"/>
      <c r="H803" s="1"/>
    </row>
    <row r="804" ht="15.75" customHeight="1">
      <c r="A804" s="36"/>
      <c r="B804" s="37"/>
      <c r="C804" s="37"/>
      <c r="D804" s="37"/>
      <c r="E804" s="37"/>
      <c r="F804" s="37"/>
      <c r="G804" s="37"/>
      <c r="H804" s="1"/>
    </row>
    <row r="805" ht="15.75" customHeight="1">
      <c r="A805" s="36"/>
      <c r="B805" s="37"/>
      <c r="C805" s="37"/>
      <c r="D805" s="37"/>
      <c r="E805" s="37"/>
      <c r="F805" s="37"/>
      <c r="G805" s="37"/>
      <c r="H805" s="1"/>
    </row>
    <row r="806" ht="15.75" customHeight="1">
      <c r="A806" s="36"/>
      <c r="B806" s="37"/>
      <c r="C806" s="37"/>
      <c r="D806" s="37"/>
      <c r="E806" s="37"/>
      <c r="F806" s="37"/>
      <c r="G806" s="37"/>
      <c r="H806" s="1"/>
    </row>
    <row r="807" ht="15.75" customHeight="1">
      <c r="A807" s="36"/>
      <c r="B807" s="37"/>
      <c r="C807" s="37"/>
      <c r="D807" s="37"/>
      <c r="E807" s="37"/>
      <c r="F807" s="37"/>
      <c r="G807" s="37"/>
      <c r="H807" s="1"/>
    </row>
    <row r="808" ht="15.75" customHeight="1">
      <c r="A808" s="36"/>
      <c r="B808" s="37"/>
      <c r="C808" s="37"/>
      <c r="D808" s="37"/>
      <c r="E808" s="37"/>
      <c r="F808" s="37"/>
      <c r="G808" s="37"/>
      <c r="H808" s="1"/>
    </row>
    <row r="809" ht="15.75" customHeight="1">
      <c r="A809" s="36"/>
      <c r="B809" s="37"/>
      <c r="C809" s="37"/>
      <c r="D809" s="37"/>
      <c r="E809" s="37"/>
      <c r="F809" s="37"/>
      <c r="G809" s="37"/>
      <c r="H809" s="1"/>
    </row>
    <row r="810" ht="15.75" customHeight="1">
      <c r="A810" s="36"/>
      <c r="B810" s="37"/>
      <c r="C810" s="37"/>
      <c r="D810" s="37"/>
      <c r="E810" s="37"/>
      <c r="F810" s="37"/>
      <c r="G810" s="37"/>
      <c r="H810" s="1"/>
    </row>
    <row r="811" ht="15.75" customHeight="1">
      <c r="A811" s="36"/>
      <c r="B811" s="37"/>
      <c r="C811" s="37"/>
      <c r="D811" s="37"/>
      <c r="E811" s="37"/>
      <c r="F811" s="37"/>
      <c r="G811" s="37"/>
      <c r="H811" s="1"/>
    </row>
    <row r="812" ht="15.75" customHeight="1">
      <c r="A812" s="36"/>
      <c r="B812" s="37"/>
      <c r="C812" s="37"/>
      <c r="D812" s="37"/>
      <c r="E812" s="37"/>
      <c r="F812" s="37"/>
      <c r="G812" s="37"/>
      <c r="H812" s="1"/>
    </row>
    <row r="813" ht="15.75" customHeight="1">
      <c r="A813" s="36"/>
      <c r="B813" s="37"/>
      <c r="C813" s="37"/>
      <c r="D813" s="37"/>
      <c r="E813" s="37"/>
      <c r="F813" s="37"/>
      <c r="G813" s="37"/>
      <c r="H813" s="1"/>
    </row>
    <row r="814" ht="15.75" customHeight="1">
      <c r="A814" s="36"/>
      <c r="B814" s="37"/>
      <c r="C814" s="37"/>
      <c r="D814" s="37"/>
      <c r="E814" s="37"/>
      <c r="F814" s="37"/>
      <c r="G814" s="37"/>
      <c r="H814" s="1"/>
    </row>
    <row r="815" ht="15.75" customHeight="1">
      <c r="A815" s="36"/>
      <c r="B815" s="37"/>
      <c r="C815" s="37"/>
      <c r="D815" s="37"/>
      <c r="E815" s="37"/>
      <c r="F815" s="37"/>
      <c r="G815" s="37"/>
      <c r="H815" s="1"/>
    </row>
    <row r="816" ht="15.75" customHeight="1">
      <c r="A816" s="36"/>
      <c r="B816" s="37"/>
      <c r="C816" s="37"/>
      <c r="D816" s="37"/>
      <c r="E816" s="37"/>
      <c r="F816" s="37"/>
      <c r="G816" s="37"/>
      <c r="H816" s="1"/>
    </row>
    <row r="817" ht="15.75" customHeight="1">
      <c r="A817" s="36"/>
      <c r="B817" s="37"/>
      <c r="C817" s="37"/>
      <c r="D817" s="37"/>
      <c r="E817" s="37"/>
      <c r="F817" s="37"/>
      <c r="G817" s="37"/>
      <c r="H817" s="1"/>
    </row>
    <row r="818" ht="15.75" customHeight="1">
      <c r="A818" s="36"/>
      <c r="B818" s="37"/>
      <c r="C818" s="37"/>
      <c r="D818" s="37"/>
      <c r="E818" s="37"/>
      <c r="F818" s="37"/>
      <c r="G818" s="37"/>
      <c r="H818" s="1"/>
    </row>
    <row r="819" ht="15.75" customHeight="1">
      <c r="A819" s="36"/>
      <c r="B819" s="37"/>
      <c r="C819" s="37"/>
      <c r="D819" s="37"/>
      <c r="E819" s="37"/>
      <c r="F819" s="37"/>
      <c r="G819" s="37"/>
      <c r="H819" s="1"/>
    </row>
    <row r="820" ht="15.75" customHeight="1">
      <c r="A820" s="36"/>
      <c r="B820" s="37"/>
      <c r="C820" s="37"/>
      <c r="D820" s="37"/>
      <c r="E820" s="37"/>
      <c r="F820" s="37"/>
      <c r="G820" s="37"/>
      <c r="H820" s="1"/>
    </row>
    <row r="821" ht="15.75" customHeight="1">
      <c r="A821" s="36"/>
      <c r="B821" s="37"/>
      <c r="C821" s="37"/>
      <c r="D821" s="37"/>
      <c r="E821" s="37"/>
      <c r="F821" s="37"/>
      <c r="G821" s="37"/>
      <c r="H821" s="1"/>
    </row>
    <row r="822" ht="15.75" customHeight="1">
      <c r="A822" s="36"/>
      <c r="B822" s="37"/>
      <c r="C822" s="37"/>
      <c r="D822" s="37"/>
      <c r="E822" s="37"/>
      <c r="F822" s="37"/>
      <c r="G822" s="37"/>
      <c r="H822" s="1"/>
    </row>
    <row r="823" ht="15.75" customHeight="1">
      <c r="A823" s="36"/>
      <c r="B823" s="37"/>
      <c r="C823" s="37"/>
      <c r="D823" s="37"/>
      <c r="E823" s="37"/>
      <c r="F823" s="37"/>
      <c r="G823" s="37"/>
      <c r="H823" s="1"/>
    </row>
    <row r="824" ht="15.75" customHeight="1">
      <c r="A824" s="36"/>
      <c r="B824" s="37"/>
      <c r="C824" s="37"/>
      <c r="D824" s="37"/>
      <c r="E824" s="37"/>
      <c r="F824" s="37"/>
      <c r="G824" s="37"/>
      <c r="H824" s="1"/>
    </row>
    <row r="825" ht="15.75" customHeight="1">
      <c r="A825" s="36"/>
      <c r="B825" s="37"/>
      <c r="C825" s="37"/>
      <c r="D825" s="37"/>
      <c r="E825" s="37"/>
      <c r="F825" s="37"/>
      <c r="G825" s="37"/>
      <c r="H825" s="1"/>
    </row>
    <row r="826" ht="15.75" customHeight="1">
      <c r="A826" s="36"/>
      <c r="B826" s="37"/>
      <c r="C826" s="37"/>
      <c r="D826" s="37"/>
      <c r="E826" s="37"/>
      <c r="F826" s="37"/>
      <c r="G826" s="37"/>
      <c r="H826" s="1"/>
    </row>
    <row r="827" ht="15.75" customHeight="1">
      <c r="A827" s="36"/>
      <c r="B827" s="37"/>
      <c r="C827" s="37"/>
      <c r="D827" s="37"/>
      <c r="E827" s="37"/>
      <c r="F827" s="37"/>
      <c r="G827" s="37"/>
      <c r="H827" s="1"/>
    </row>
    <row r="828" ht="15.75" customHeight="1">
      <c r="A828" s="36"/>
      <c r="B828" s="37"/>
      <c r="C828" s="37"/>
      <c r="D828" s="37"/>
      <c r="E828" s="37"/>
      <c r="F828" s="37"/>
      <c r="G828" s="37"/>
      <c r="H828" s="1"/>
    </row>
    <row r="829" ht="15.75" customHeight="1">
      <c r="A829" s="36"/>
      <c r="B829" s="37"/>
      <c r="C829" s="37"/>
      <c r="D829" s="37"/>
      <c r="E829" s="37"/>
      <c r="F829" s="37"/>
      <c r="G829" s="37"/>
      <c r="H829" s="1"/>
    </row>
    <row r="830" ht="15.75" customHeight="1">
      <c r="A830" s="36"/>
      <c r="B830" s="37"/>
      <c r="C830" s="37"/>
      <c r="D830" s="37"/>
      <c r="E830" s="37"/>
      <c r="F830" s="37"/>
      <c r="G830" s="37"/>
      <c r="H830" s="1"/>
    </row>
    <row r="831" ht="15.75" customHeight="1">
      <c r="A831" s="36"/>
      <c r="B831" s="37"/>
      <c r="C831" s="37"/>
      <c r="D831" s="37"/>
      <c r="E831" s="37"/>
      <c r="F831" s="37"/>
      <c r="G831" s="37"/>
      <c r="H831" s="1"/>
    </row>
    <row r="832" ht="15.75" customHeight="1">
      <c r="A832" s="36"/>
      <c r="B832" s="37"/>
      <c r="C832" s="37"/>
      <c r="D832" s="37"/>
      <c r="E832" s="37"/>
      <c r="F832" s="37"/>
      <c r="G832" s="37"/>
      <c r="H832" s="1"/>
    </row>
    <row r="833" ht="15.75" customHeight="1">
      <c r="A833" s="36"/>
      <c r="B833" s="37"/>
      <c r="C833" s="37"/>
      <c r="D833" s="37"/>
      <c r="E833" s="37"/>
      <c r="F833" s="37"/>
      <c r="G833" s="37"/>
      <c r="H833" s="1"/>
    </row>
    <row r="834" ht="15.75" customHeight="1">
      <c r="A834" s="36"/>
      <c r="B834" s="37"/>
      <c r="C834" s="37"/>
      <c r="D834" s="37"/>
      <c r="E834" s="37"/>
      <c r="F834" s="37"/>
      <c r="G834" s="37"/>
      <c r="H834" s="1"/>
    </row>
    <row r="835" ht="15.75" customHeight="1">
      <c r="A835" s="36"/>
      <c r="B835" s="37"/>
      <c r="C835" s="37"/>
      <c r="D835" s="37"/>
      <c r="E835" s="37"/>
      <c r="F835" s="37"/>
      <c r="G835" s="37"/>
      <c r="H835" s="1"/>
    </row>
    <row r="836" ht="15.75" customHeight="1">
      <c r="A836" s="36"/>
      <c r="B836" s="37"/>
      <c r="C836" s="37"/>
      <c r="D836" s="37"/>
      <c r="E836" s="37"/>
      <c r="F836" s="37"/>
      <c r="G836" s="37"/>
      <c r="H836" s="1"/>
    </row>
    <row r="837" ht="15.75" customHeight="1">
      <c r="A837" s="36"/>
      <c r="B837" s="37"/>
      <c r="C837" s="37"/>
      <c r="D837" s="37"/>
      <c r="E837" s="37"/>
      <c r="F837" s="37"/>
      <c r="G837" s="37"/>
      <c r="H837" s="1"/>
    </row>
    <row r="838" ht="15.75" customHeight="1">
      <c r="A838" s="36"/>
      <c r="B838" s="37"/>
      <c r="C838" s="37"/>
      <c r="D838" s="37"/>
      <c r="E838" s="37"/>
      <c r="F838" s="37"/>
      <c r="G838" s="37"/>
      <c r="H838" s="1"/>
    </row>
    <row r="839" ht="15.75" customHeight="1">
      <c r="A839" s="36"/>
      <c r="B839" s="37"/>
      <c r="C839" s="37"/>
      <c r="D839" s="37"/>
      <c r="E839" s="37"/>
      <c r="F839" s="37"/>
      <c r="G839" s="37"/>
      <c r="H839" s="1"/>
    </row>
    <row r="840" ht="15.75" customHeight="1">
      <c r="A840" s="36"/>
      <c r="B840" s="37"/>
      <c r="C840" s="37"/>
      <c r="D840" s="37"/>
      <c r="E840" s="37"/>
      <c r="F840" s="37"/>
      <c r="G840" s="37"/>
      <c r="H840" s="1"/>
    </row>
    <row r="841" ht="15.75" customHeight="1">
      <c r="A841" s="36"/>
      <c r="B841" s="37"/>
      <c r="C841" s="37"/>
      <c r="D841" s="37"/>
      <c r="E841" s="37"/>
      <c r="F841" s="37"/>
      <c r="G841" s="37"/>
      <c r="H841" s="1"/>
    </row>
    <row r="842" ht="15.75" customHeight="1">
      <c r="A842" s="36"/>
      <c r="B842" s="37"/>
      <c r="C842" s="37"/>
      <c r="D842" s="37"/>
      <c r="E842" s="37"/>
      <c r="F842" s="37"/>
      <c r="G842" s="37"/>
      <c r="H842" s="1"/>
    </row>
    <row r="843" ht="15.75" customHeight="1">
      <c r="A843" s="36"/>
      <c r="B843" s="37"/>
      <c r="C843" s="37"/>
      <c r="D843" s="37"/>
      <c r="E843" s="37"/>
      <c r="F843" s="37"/>
      <c r="G843" s="37"/>
      <c r="H843" s="1"/>
    </row>
    <row r="844" ht="15.75" customHeight="1">
      <c r="A844" s="36"/>
      <c r="B844" s="37"/>
      <c r="C844" s="37"/>
      <c r="D844" s="37"/>
      <c r="E844" s="37"/>
      <c r="F844" s="37"/>
      <c r="G844" s="37"/>
      <c r="H844" s="1"/>
    </row>
    <row r="845" ht="15.75" customHeight="1">
      <c r="A845" s="36"/>
      <c r="B845" s="37"/>
      <c r="C845" s="37"/>
      <c r="D845" s="37"/>
      <c r="E845" s="37"/>
      <c r="F845" s="37"/>
      <c r="G845" s="37"/>
      <c r="H845" s="1"/>
    </row>
    <row r="846" ht="15.75" customHeight="1">
      <c r="A846" s="36"/>
      <c r="B846" s="37"/>
      <c r="C846" s="37"/>
      <c r="D846" s="37"/>
      <c r="E846" s="37"/>
      <c r="F846" s="37"/>
      <c r="G846" s="37"/>
      <c r="H846" s="1"/>
    </row>
    <row r="847" ht="15.75" customHeight="1">
      <c r="A847" s="36"/>
      <c r="B847" s="37"/>
      <c r="C847" s="37"/>
      <c r="D847" s="37"/>
      <c r="E847" s="37"/>
      <c r="F847" s="37"/>
      <c r="G847" s="37"/>
      <c r="H847" s="1"/>
    </row>
    <row r="848" ht="15.75" customHeight="1">
      <c r="A848" s="36"/>
      <c r="B848" s="37"/>
      <c r="C848" s="37"/>
      <c r="D848" s="37"/>
      <c r="E848" s="37"/>
      <c r="F848" s="37"/>
      <c r="G848" s="37"/>
      <c r="H848" s="1"/>
    </row>
    <row r="849" ht="15.75" customHeight="1">
      <c r="A849" s="36"/>
      <c r="B849" s="37"/>
      <c r="C849" s="37"/>
      <c r="D849" s="37"/>
      <c r="E849" s="37"/>
      <c r="F849" s="37"/>
      <c r="G849" s="37"/>
      <c r="H849" s="1"/>
    </row>
    <row r="850" ht="15.75" customHeight="1">
      <c r="A850" s="36"/>
      <c r="B850" s="37"/>
      <c r="C850" s="37"/>
      <c r="D850" s="37"/>
      <c r="E850" s="37"/>
      <c r="F850" s="37"/>
      <c r="G850" s="37"/>
      <c r="H850" s="1"/>
    </row>
    <row r="851" ht="15.75" customHeight="1">
      <c r="A851" s="36"/>
      <c r="B851" s="37"/>
      <c r="C851" s="37"/>
      <c r="D851" s="37"/>
      <c r="E851" s="37"/>
      <c r="F851" s="37"/>
      <c r="G851" s="37"/>
      <c r="H851" s="1"/>
    </row>
    <row r="852" ht="15.75" customHeight="1">
      <c r="A852" s="36"/>
      <c r="B852" s="37"/>
      <c r="C852" s="37"/>
      <c r="D852" s="37"/>
      <c r="E852" s="37"/>
      <c r="F852" s="37"/>
      <c r="G852" s="37"/>
      <c r="H852" s="1"/>
    </row>
    <row r="853" ht="15.75" customHeight="1">
      <c r="A853" s="36"/>
      <c r="B853" s="37"/>
      <c r="C853" s="37"/>
      <c r="D853" s="37"/>
      <c r="E853" s="37"/>
      <c r="F853" s="37"/>
      <c r="G853" s="37"/>
      <c r="H853" s="1"/>
    </row>
    <row r="854" ht="15.75" customHeight="1">
      <c r="A854" s="36"/>
      <c r="B854" s="37"/>
      <c r="C854" s="37"/>
      <c r="D854" s="37"/>
      <c r="E854" s="37"/>
      <c r="F854" s="37"/>
      <c r="G854" s="37"/>
      <c r="H854" s="1"/>
    </row>
    <row r="855" ht="15.75" customHeight="1">
      <c r="A855" s="36"/>
      <c r="B855" s="37"/>
      <c r="C855" s="37"/>
      <c r="D855" s="37"/>
      <c r="E855" s="37"/>
      <c r="F855" s="37"/>
      <c r="G855" s="37"/>
      <c r="H855" s="1"/>
    </row>
    <row r="856" ht="15.75" customHeight="1">
      <c r="A856" s="36"/>
      <c r="B856" s="37"/>
      <c r="C856" s="37"/>
      <c r="D856" s="37"/>
      <c r="E856" s="37"/>
      <c r="F856" s="37"/>
      <c r="G856" s="37"/>
      <c r="H856" s="1"/>
    </row>
    <row r="857" ht="15.75" customHeight="1">
      <c r="A857" s="36"/>
      <c r="B857" s="37"/>
      <c r="C857" s="37"/>
      <c r="D857" s="37"/>
      <c r="E857" s="37"/>
      <c r="F857" s="37"/>
      <c r="G857" s="37"/>
      <c r="H857" s="1"/>
    </row>
    <row r="858" ht="15.75" customHeight="1">
      <c r="A858" s="36"/>
      <c r="B858" s="37"/>
      <c r="C858" s="37"/>
      <c r="D858" s="37"/>
      <c r="E858" s="37"/>
      <c r="F858" s="37"/>
      <c r="G858" s="37"/>
      <c r="H858" s="1"/>
    </row>
    <row r="859" ht="15.75" customHeight="1">
      <c r="A859" s="36"/>
      <c r="B859" s="37"/>
      <c r="C859" s="37"/>
      <c r="D859" s="37"/>
      <c r="E859" s="37"/>
      <c r="F859" s="37"/>
      <c r="G859" s="37"/>
      <c r="H859" s="1"/>
    </row>
    <row r="860" ht="15.75" customHeight="1">
      <c r="A860" s="36"/>
      <c r="B860" s="37"/>
      <c r="C860" s="37"/>
      <c r="D860" s="37"/>
      <c r="E860" s="37"/>
      <c r="F860" s="37"/>
      <c r="G860" s="37"/>
      <c r="H860" s="1"/>
    </row>
    <row r="861" ht="15.75" customHeight="1">
      <c r="A861" s="36"/>
      <c r="B861" s="37"/>
      <c r="C861" s="37"/>
      <c r="D861" s="37"/>
      <c r="E861" s="37"/>
      <c r="F861" s="37"/>
      <c r="G861" s="37"/>
      <c r="H861" s="1"/>
    </row>
    <row r="862" ht="15.75" customHeight="1">
      <c r="A862" s="36"/>
      <c r="B862" s="37"/>
      <c r="C862" s="37"/>
      <c r="D862" s="37"/>
      <c r="E862" s="37"/>
      <c r="F862" s="37"/>
      <c r="G862" s="37"/>
      <c r="H862" s="1"/>
    </row>
    <row r="863" ht="15.75" customHeight="1">
      <c r="A863" s="36"/>
      <c r="B863" s="37"/>
      <c r="C863" s="37"/>
      <c r="D863" s="37"/>
      <c r="E863" s="37"/>
      <c r="F863" s="37"/>
      <c r="G863" s="37"/>
      <c r="H863" s="1"/>
    </row>
    <row r="864" ht="15.75" customHeight="1">
      <c r="A864" s="36"/>
      <c r="B864" s="37"/>
      <c r="C864" s="37"/>
      <c r="D864" s="37"/>
      <c r="E864" s="37"/>
      <c r="F864" s="37"/>
      <c r="G864" s="37"/>
      <c r="H864" s="1"/>
    </row>
    <row r="865" ht="15.75" customHeight="1">
      <c r="A865" s="36"/>
      <c r="B865" s="37"/>
      <c r="C865" s="37"/>
      <c r="D865" s="37"/>
      <c r="E865" s="37"/>
      <c r="F865" s="37"/>
      <c r="G865" s="37"/>
      <c r="H865" s="1"/>
    </row>
    <row r="866" ht="15.75" customHeight="1">
      <c r="A866" s="36"/>
      <c r="B866" s="37"/>
      <c r="C866" s="37"/>
      <c r="D866" s="37"/>
      <c r="E866" s="37"/>
      <c r="F866" s="37"/>
      <c r="G866" s="37"/>
      <c r="H866" s="1"/>
    </row>
    <row r="867" ht="15.75" customHeight="1">
      <c r="A867" s="36"/>
      <c r="B867" s="37"/>
      <c r="C867" s="37"/>
      <c r="D867" s="37"/>
      <c r="E867" s="37"/>
      <c r="F867" s="37"/>
      <c r="G867" s="37"/>
      <c r="H867" s="1"/>
    </row>
    <row r="868" ht="15.75" customHeight="1">
      <c r="A868" s="36"/>
      <c r="B868" s="37"/>
      <c r="C868" s="37"/>
      <c r="D868" s="37"/>
      <c r="E868" s="37"/>
      <c r="F868" s="37"/>
      <c r="G868" s="37"/>
      <c r="H868" s="1"/>
    </row>
    <row r="869" ht="15.75" customHeight="1">
      <c r="A869" s="36"/>
      <c r="B869" s="37"/>
      <c r="C869" s="37"/>
      <c r="D869" s="37"/>
      <c r="E869" s="37"/>
      <c r="F869" s="37"/>
      <c r="G869" s="37"/>
      <c r="H869" s="1"/>
    </row>
    <row r="870" ht="15.75" customHeight="1">
      <c r="A870" s="36"/>
      <c r="B870" s="37"/>
      <c r="C870" s="37"/>
      <c r="D870" s="37"/>
      <c r="E870" s="37"/>
      <c r="F870" s="37"/>
      <c r="G870" s="37"/>
      <c r="H870" s="1"/>
    </row>
    <row r="871" ht="15.75" customHeight="1">
      <c r="A871" s="36"/>
      <c r="B871" s="37"/>
      <c r="C871" s="37"/>
      <c r="D871" s="37"/>
      <c r="E871" s="37"/>
      <c r="F871" s="37"/>
      <c r="G871" s="37"/>
      <c r="H871" s="1"/>
    </row>
    <row r="872" ht="15.75" customHeight="1">
      <c r="A872" s="36"/>
      <c r="B872" s="37"/>
      <c r="C872" s="37"/>
      <c r="D872" s="37"/>
      <c r="E872" s="37"/>
      <c r="F872" s="37"/>
      <c r="G872" s="37"/>
      <c r="H872" s="1"/>
    </row>
    <row r="873" ht="15.75" customHeight="1">
      <c r="A873" s="36"/>
      <c r="B873" s="37"/>
      <c r="C873" s="37"/>
      <c r="D873" s="37"/>
      <c r="E873" s="37"/>
      <c r="F873" s="37"/>
      <c r="G873" s="37"/>
      <c r="H873" s="1"/>
    </row>
    <row r="874" ht="15.75" customHeight="1">
      <c r="A874" s="36"/>
      <c r="B874" s="37"/>
      <c r="C874" s="37"/>
      <c r="D874" s="37"/>
      <c r="E874" s="37"/>
      <c r="F874" s="37"/>
      <c r="G874" s="37"/>
      <c r="H874" s="1"/>
    </row>
    <row r="875" ht="15.75" customHeight="1">
      <c r="A875" s="36"/>
      <c r="B875" s="37"/>
      <c r="C875" s="37"/>
      <c r="D875" s="37"/>
      <c r="E875" s="37"/>
      <c r="F875" s="37"/>
      <c r="G875" s="37"/>
      <c r="H875" s="1"/>
    </row>
    <row r="876" ht="15.75" customHeight="1">
      <c r="A876" s="36"/>
      <c r="B876" s="37"/>
      <c r="C876" s="37"/>
      <c r="D876" s="37"/>
      <c r="E876" s="37"/>
      <c r="F876" s="37"/>
      <c r="G876" s="37"/>
      <c r="H876" s="1"/>
    </row>
    <row r="877" ht="15.75" customHeight="1">
      <c r="A877" s="36"/>
      <c r="B877" s="37"/>
      <c r="C877" s="37"/>
      <c r="D877" s="37"/>
      <c r="E877" s="37"/>
      <c r="F877" s="37"/>
      <c r="G877" s="37"/>
      <c r="H877" s="1"/>
    </row>
    <row r="878" ht="15.75" customHeight="1">
      <c r="A878" s="36"/>
      <c r="B878" s="37"/>
      <c r="C878" s="37"/>
      <c r="D878" s="37"/>
      <c r="E878" s="37"/>
      <c r="F878" s="37"/>
      <c r="G878" s="37"/>
      <c r="H878" s="1"/>
    </row>
    <row r="879" ht="15.75" customHeight="1">
      <c r="A879" s="36"/>
      <c r="B879" s="37"/>
      <c r="C879" s="37"/>
      <c r="D879" s="37"/>
      <c r="E879" s="37"/>
      <c r="F879" s="37"/>
      <c r="G879" s="37"/>
      <c r="H879" s="1"/>
    </row>
    <row r="880" ht="15.75" customHeight="1">
      <c r="A880" s="36"/>
      <c r="B880" s="37"/>
      <c r="C880" s="37"/>
      <c r="D880" s="37"/>
      <c r="E880" s="37"/>
      <c r="F880" s="37"/>
      <c r="G880" s="37"/>
      <c r="H880" s="1"/>
    </row>
    <row r="881" ht="15.75" customHeight="1">
      <c r="A881" s="36"/>
      <c r="B881" s="37"/>
      <c r="C881" s="37"/>
      <c r="D881" s="37"/>
      <c r="E881" s="37"/>
      <c r="F881" s="37"/>
      <c r="G881" s="37"/>
      <c r="H881" s="1"/>
    </row>
    <row r="882" ht="15.75" customHeight="1">
      <c r="A882" s="36"/>
      <c r="B882" s="37"/>
      <c r="C882" s="37"/>
      <c r="D882" s="37"/>
      <c r="E882" s="37"/>
      <c r="F882" s="37"/>
      <c r="G882" s="37"/>
      <c r="H882" s="1"/>
    </row>
    <row r="883" ht="15.75" customHeight="1">
      <c r="A883" s="36"/>
      <c r="B883" s="37"/>
      <c r="C883" s="37"/>
      <c r="D883" s="37"/>
      <c r="E883" s="37"/>
      <c r="F883" s="37"/>
      <c r="G883" s="37"/>
      <c r="H883" s="1"/>
    </row>
    <row r="884" ht="15.75" customHeight="1">
      <c r="A884" s="36"/>
      <c r="B884" s="37"/>
      <c r="C884" s="37"/>
      <c r="D884" s="37"/>
      <c r="E884" s="37"/>
      <c r="F884" s="37"/>
      <c r="G884" s="37"/>
      <c r="H884" s="1"/>
    </row>
    <row r="885" ht="15.75" customHeight="1">
      <c r="A885" s="36"/>
      <c r="B885" s="37"/>
      <c r="C885" s="37"/>
      <c r="D885" s="37"/>
      <c r="E885" s="37"/>
      <c r="F885" s="37"/>
      <c r="G885" s="37"/>
      <c r="H885" s="1"/>
    </row>
    <row r="886" ht="15.75" customHeight="1">
      <c r="A886" s="36"/>
      <c r="B886" s="37"/>
      <c r="C886" s="37"/>
      <c r="D886" s="37"/>
      <c r="E886" s="37"/>
      <c r="F886" s="37"/>
      <c r="G886" s="37"/>
      <c r="H886" s="1"/>
    </row>
    <row r="887" ht="15.75" customHeight="1">
      <c r="A887" s="36"/>
      <c r="B887" s="37"/>
      <c r="C887" s="37"/>
      <c r="D887" s="37"/>
      <c r="E887" s="37"/>
      <c r="F887" s="37"/>
      <c r="G887" s="37"/>
      <c r="H887" s="1"/>
    </row>
    <row r="888" ht="15.75" customHeight="1">
      <c r="A888" s="36"/>
      <c r="B888" s="37"/>
      <c r="C888" s="37"/>
      <c r="D888" s="37"/>
      <c r="E888" s="37"/>
      <c r="F888" s="37"/>
      <c r="G888" s="37"/>
      <c r="H888" s="1"/>
    </row>
    <row r="889" ht="15.75" customHeight="1">
      <c r="A889" s="36"/>
      <c r="B889" s="37"/>
      <c r="C889" s="37"/>
      <c r="D889" s="37"/>
      <c r="E889" s="37"/>
      <c r="F889" s="37"/>
      <c r="G889" s="37"/>
      <c r="H889" s="1"/>
    </row>
    <row r="890" ht="15.75" customHeight="1">
      <c r="A890" s="36"/>
      <c r="B890" s="37"/>
      <c r="C890" s="37"/>
      <c r="D890" s="37"/>
      <c r="E890" s="37"/>
      <c r="F890" s="37"/>
      <c r="G890" s="37"/>
      <c r="H890" s="1"/>
    </row>
    <row r="891" ht="15.75" customHeight="1">
      <c r="A891" s="36"/>
      <c r="B891" s="37"/>
      <c r="C891" s="37"/>
      <c r="D891" s="37"/>
      <c r="E891" s="37"/>
      <c r="F891" s="37"/>
      <c r="G891" s="37"/>
      <c r="H891" s="1"/>
    </row>
    <row r="892" ht="15.75" customHeight="1">
      <c r="A892" s="36"/>
      <c r="B892" s="37"/>
      <c r="C892" s="37"/>
      <c r="D892" s="37"/>
      <c r="E892" s="37"/>
      <c r="F892" s="37"/>
      <c r="G892" s="37"/>
      <c r="H892" s="1"/>
    </row>
    <row r="893" ht="15.75" customHeight="1">
      <c r="A893" s="36"/>
      <c r="B893" s="37"/>
      <c r="C893" s="37"/>
      <c r="D893" s="37"/>
      <c r="E893" s="37"/>
      <c r="F893" s="37"/>
      <c r="G893" s="37"/>
      <c r="H893" s="1"/>
    </row>
    <row r="894" ht="15.75" customHeight="1">
      <c r="A894" s="36"/>
      <c r="B894" s="37"/>
      <c r="C894" s="37"/>
      <c r="D894" s="37"/>
      <c r="E894" s="37"/>
      <c r="F894" s="37"/>
      <c r="G894" s="37"/>
      <c r="H894" s="1"/>
    </row>
    <row r="895" ht="15.75" customHeight="1">
      <c r="A895" s="36"/>
      <c r="B895" s="37"/>
      <c r="C895" s="37"/>
      <c r="D895" s="37"/>
      <c r="E895" s="37"/>
      <c r="F895" s="37"/>
      <c r="G895" s="37"/>
      <c r="H895" s="1"/>
    </row>
    <row r="896" ht="15.75" customHeight="1">
      <c r="A896" s="36"/>
      <c r="B896" s="37"/>
      <c r="C896" s="37"/>
      <c r="D896" s="37"/>
      <c r="E896" s="37"/>
      <c r="F896" s="37"/>
      <c r="G896" s="37"/>
      <c r="H896" s="1"/>
    </row>
    <row r="897" ht="15.75" customHeight="1">
      <c r="A897" s="36"/>
      <c r="B897" s="37"/>
      <c r="C897" s="37"/>
      <c r="D897" s="37"/>
      <c r="E897" s="37"/>
      <c r="F897" s="37"/>
      <c r="G897" s="37"/>
      <c r="H897" s="1"/>
    </row>
    <row r="898" ht="15.75" customHeight="1">
      <c r="A898" s="36"/>
      <c r="B898" s="37"/>
      <c r="C898" s="37"/>
      <c r="D898" s="37"/>
      <c r="E898" s="37"/>
      <c r="F898" s="37"/>
      <c r="G898" s="37"/>
      <c r="H898" s="1"/>
    </row>
    <row r="899" ht="15.75" customHeight="1">
      <c r="A899" s="36"/>
      <c r="B899" s="37"/>
      <c r="C899" s="37"/>
      <c r="D899" s="37"/>
      <c r="E899" s="37"/>
      <c r="F899" s="37"/>
      <c r="G899" s="37"/>
      <c r="H899" s="1"/>
    </row>
    <row r="900" ht="15.75" customHeight="1">
      <c r="A900" s="36"/>
      <c r="B900" s="37"/>
      <c r="C900" s="37"/>
      <c r="D900" s="37"/>
      <c r="E900" s="37"/>
      <c r="F900" s="37"/>
      <c r="G900" s="37"/>
      <c r="H900" s="1"/>
    </row>
    <row r="901" ht="15.75" customHeight="1">
      <c r="A901" s="36"/>
      <c r="B901" s="37"/>
      <c r="C901" s="37"/>
      <c r="D901" s="37"/>
      <c r="E901" s="37"/>
      <c r="F901" s="37"/>
      <c r="G901" s="37"/>
      <c r="H901" s="1"/>
    </row>
    <row r="902" ht="15.75" customHeight="1">
      <c r="A902" s="36"/>
      <c r="B902" s="37"/>
      <c r="C902" s="37"/>
      <c r="D902" s="37"/>
      <c r="E902" s="37"/>
      <c r="F902" s="37"/>
      <c r="G902" s="37"/>
      <c r="H902" s="1"/>
    </row>
    <row r="903" ht="15.75" customHeight="1">
      <c r="A903" s="36"/>
      <c r="B903" s="37"/>
      <c r="C903" s="37"/>
      <c r="D903" s="37"/>
      <c r="E903" s="37"/>
      <c r="F903" s="37"/>
      <c r="G903" s="37"/>
      <c r="H903" s="1"/>
    </row>
    <row r="904" ht="15.75" customHeight="1">
      <c r="A904" s="36"/>
      <c r="B904" s="37"/>
      <c r="C904" s="37"/>
      <c r="D904" s="37"/>
      <c r="E904" s="37"/>
      <c r="F904" s="37"/>
      <c r="G904" s="37"/>
      <c r="H904" s="1"/>
    </row>
    <row r="905" ht="15.75" customHeight="1">
      <c r="A905" s="36"/>
      <c r="B905" s="37"/>
      <c r="C905" s="37"/>
      <c r="D905" s="37"/>
      <c r="E905" s="37"/>
      <c r="F905" s="37"/>
      <c r="G905" s="37"/>
      <c r="H905" s="1"/>
    </row>
    <row r="906" ht="15.75" customHeight="1">
      <c r="A906" s="36"/>
      <c r="B906" s="37"/>
      <c r="C906" s="37"/>
      <c r="D906" s="37"/>
      <c r="E906" s="37"/>
      <c r="F906" s="37"/>
      <c r="G906" s="37"/>
      <c r="H906" s="1"/>
    </row>
    <row r="907" ht="15.75" customHeight="1">
      <c r="A907" s="36"/>
      <c r="B907" s="37"/>
      <c r="C907" s="37"/>
      <c r="D907" s="37"/>
      <c r="E907" s="37"/>
      <c r="F907" s="37"/>
      <c r="G907" s="37"/>
      <c r="H907" s="1"/>
    </row>
    <row r="908" ht="15.75" customHeight="1">
      <c r="A908" s="36"/>
      <c r="B908" s="37"/>
      <c r="C908" s="37"/>
      <c r="D908" s="37"/>
      <c r="E908" s="37"/>
      <c r="F908" s="37"/>
      <c r="G908" s="37"/>
      <c r="H908" s="1"/>
    </row>
    <row r="909" ht="15.75" customHeight="1">
      <c r="A909" s="36"/>
      <c r="B909" s="37"/>
      <c r="C909" s="37"/>
      <c r="D909" s="37"/>
      <c r="E909" s="37"/>
      <c r="F909" s="37"/>
      <c r="G909" s="37"/>
      <c r="H909" s="1"/>
    </row>
    <row r="910" ht="15.75" customHeight="1">
      <c r="A910" s="36"/>
      <c r="B910" s="37"/>
      <c r="C910" s="37"/>
      <c r="D910" s="37"/>
      <c r="E910" s="37"/>
      <c r="F910" s="37"/>
      <c r="G910" s="37"/>
      <c r="H910" s="1"/>
    </row>
    <row r="911" ht="15.75" customHeight="1">
      <c r="A911" s="36"/>
      <c r="B911" s="37"/>
      <c r="C911" s="37"/>
      <c r="D911" s="37"/>
      <c r="E911" s="37"/>
      <c r="F911" s="37"/>
      <c r="G911" s="37"/>
      <c r="H911" s="1"/>
    </row>
    <row r="912" ht="15.75" customHeight="1">
      <c r="A912" s="36"/>
      <c r="B912" s="37"/>
      <c r="C912" s="37"/>
      <c r="D912" s="37"/>
      <c r="E912" s="37"/>
      <c r="F912" s="37"/>
      <c r="G912" s="37"/>
      <c r="H912" s="1"/>
    </row>
    <row r="913" ht="15.75" customHeight="1">
      <c r="A913" s="36"/>
      <c r="B913" s="37"/>
      <c r="C913" s="37"/>
      <c r="D913" s="37"/>
      <c r="E913" s="37"/>
      <c r="F913" s="37"/>
      <c r="G913" s="37"/>
      <c r="H913" s="1"/>
    </row>
    <row r="914" ht="15.75" customHeight="1">
      <c r="A914" s="36"/>
      <c r="B914" s="37"/>
      <c r="C914" s="37"/>
      <c r="D914" s="37"/>
      <c r="E914" s="37"/>
      <c r="F914" s="37"/>
      <c r="G914" s="37"/>
      <c r="H914" s="1"/>
    </row>
    <row r="915" ht="15.75" customHeight="1">
      <c r="A915" s="36"/>
      <c r="B915" s="37"/>
      <c r="C915" s="37"/>
      <c r="D915" s="37"/>
      <c r="E915" s="37"/>
      <c r="F915" s="37"/>
      <c r="G915" s="37"/>
      <c r="H915" s="1"/>
    </row>
    <row r="916" ht="15.75" customHeight="1">
      <c r="A916" s="36"/>
      <c r="B916" s="37"/>
      <c r="C916" s="37"/>
      <c r="D916" s="37"/>
      <c r="E916" s="37"/>
      <c r="F916" s="37"/>
      <c r="G916" s="37"/>
      <c r="H916" s="1"/>
    </row>
    <row r="917" ht="15.75" customHeight="1">
      <c r="A917" s="36"/>
      <c r="B917" s="37"/>
      <c r="C917" s="37"/>
      <c r="D917" s="37"/>
      <c r="E917" s="37"/>
      <c r="F917" s="37"/>
      <c r="G917" s="37"/>
      <c r="H917" s="1"/>
    </row>
    <row r="918" ht="15.75" customHeight="1">
      <c r="A918" s="36"/>
      <c r="B918" s="37"/>
      <c r="C918" s="37"/>
      <c r="D918" s="37"/>
      <c r="E918" s="37"/>
      <c r="F918" s="37"/>
      <c r="G918" s="37"/>
      <c r="H918" s="1"/>
    </row>
    <row r="919" ht="15.75" customHeight="1">
      <c r="A919" s="36"/>
      <c r="B919" s="37"/>
      <c r="C919" s="37"/>
      <c r="D919" s="37"/>
      <c r="E919" s="37"/>
      <c r="F919" s="37"/>
      <c r="G919" s="37"/>
      <c r="H919" s="1"/>
    </row>
    <row r="920" ht="15.75" customHeight="1">
      <c r="A920" s="36"/>
      <c r="B920" s="37"/>
      <c r="C920" s="37"/>
      <c r="D920" s="37"/>
      <c r="E920" s="37"/>
      <c r="F920" s="37"/>
      <c r="G920" s="37"/>
      <c r="H920" s="1"/>
    </row>
    <row r="921" ht="15.75" customHeight="1">
      <c r="A921" s="36"/>
      <c r="B921" s="37"/>
      <c r="C921" s="37"/>
      <c r="D921" s="37"/>
      <c r="E921" s="37"/>
      <c r="F921" s="37"/>
      <c r="G921" s="37"/>
      <c r="H921" s="1"/>
    </row>
    <row r="922" ht="15.75" customHeight="1">
      <c r="A922" s="36"/>
      <c r="B922" s="37"/>
      <c r="C922" s="37"/>
      <c r="D922" s="37"/>
      <c r="E922" s="37"/>
      <c r="F922" s="37"/>
      <c r="G922" s="37"/>
      <c r="H922" s="1"/>
    </row>
    <row r="923" ht="15.75" customHeight="1">
      <c r="A923" s="36"/>
      <c r="B923" s="37"/>
      <c r="C923" s="37"/>
      <c r="D923" s="37"/>
      <c r="E923" s="37"/>
      <c r="F923" s="37"/>
      <c r="G923" s="37"/>
      <c r="H923" s="1"/>
    </row>
    <row r="924" ht="15.75" customHeight="1">
      <c r="A924" s="36"/>
      <c r="B924" s="37"/>
      <c r="C924" s="37"/>
      <c r="D924" s="37"/>
      <c r="E924" s="37"/>
      <c r="F924" s="37"/>
      <c r="G924" s="37"/>
      <c r="H924" s="1"/>
    </row>
    <row r="925" ht="15.75" customHeight="1">
      <c r="A925" s="36"/>
      <c r="B925" s="37"/>
      <c r="C925" s="37"/>
      <c r="D925" s="37"/>
      <c r="E925" s="37"/>
      <c r="F925" s="37"/>
      <c r="G925" s="37"/>
      <c r="H925" s="1"/>
    </row>
    <row r="926" ht="15.75" customHeight="1">
      <c r="A926" s="36"/>
      <c r="B926" s="37"/>
      <c r="C926" s="37"/>
      <c r="D926" s="37"/>
      <c r="E926" s="37"/>
      <c r="F926" s="37"/>
      <c r="G926" s="37"/>
      <c r="H926" s="1"/>
    </row>
    <row r="927" ht="15.75" customHeight="1">
      <c r="A927" s="36"/>
      <c r="B927" s="37"/>
      <c r="C927" s="37"/>
      <c r="D927" s="37"/>
      <c r="E927" s="37"/>
      <c r="F927" s="37"/>
      <c r="G927" s="37"/>
      <c r="H927" s="1"/>
    </row>
    <row r="928" ht="15.75" customHeight="1">
      <c r="A928" s="36"/>
      <c r="B928" s="37"/>
      <c r="C928" s="37"/>
      <c r="D928" s="37"/>
      <c r="E928" s="37"/>
      <c r="F928" s="37"/>
      <c r="G928" s="37"/>
      <c r="H928" s="1"/>
    </row>
    <row r="929" ht="15.75" customHeight="1">
      <c r="A929" s="36"/>
      <c r="B929" s="37"/>
      <c r="C929" s="37"/>
      <c r="D929" s="37"/>
      <c r="E929" s="37"/>
      <c r="F929" s="37"/>
      <c r="G929" s="37"/>
      <c r="H929" s="1"/>
    </row>
    <row r="930" ht="15.75" customHeight="1">
      <c r="A930" s="36"/>
      <c r="B930" s="37"/>
      <c r="C930" s="37"/>
      <c r="D930" s="37"/>
      <c r="E930" s="37"/>
      <c r="F930" s="37"/>
      <c r="G930" s="37"/>
      <c r="H930" s="1"/>
    </row>
    <row r="931" ht="15.75" customHeight="1">
      <c r="A931" s="36"/>
      <c r="B931" s="37"/>
      <c r="C931" s="37"/>
      <c r="D931" s="37"/>
      <c r="E931" s="37"/>
      <c r="F931" s="37"/>
      <c r="G931" s="37"/>
      <c r="H931" s="1"/>
    </row>
    <row r="932" ht="15.75" customHeight="1">
      <c r="A932" s="36"/>
      <c r="B932" s="37"/>
      <c r="C932" s="37"/>
      <c r="D932" s="37"/>
      <c r="E932" s="37"/>
      <c r="F932" s="37"/>
      <c r="G932" s="37"/>
      <c r="H932" s="1"/>
    </row>
    <row r="933" ht="15.75" customHeight="1">
      <c r="A933" s="36"/>
      <c r="B933" s="37"/>
      <c r="C933" s="37"/>
      <c r="D933" s="37"/>
      <c r="E933" s="37"/>
      <c r="F933" s="37"/>
      <c r="G933" s="37"/>
      <c r="H933" s="1"/>
    </row>
    <row r="934" ht="15.75" customHeight="1">
      <c r="A934" s="36"/>
      <c r="B934" s="37"/>
      <c r="C934" s="37"/>
      <c r="D934" s="37"/>
      <c r="E934" s="37"/>
      <c r="F934" s="37"/>
      <c r="G934" s="37"/>
      <c r="H934" s="1"/>
    </row>
    <row r="935" ht="15.75" customHeight="1">
      <c r="A935" s="36"/>
      <c r="B935" s="37"/>
      <c r="C935" s="37"/>
      <c r="D935" s="37"/>
      <c r="E935" s="37"/>
      <c r="F935" s="37"/>
      <c r="G935" s="37"/>
      <c r="H935" s="1"/>
    </row>
    <row r="936" ht="15.75" customHeight="1">
      <c r="A936" s="36"/>
      <c r="B936" s="37"/>
      <c r="C936" s="37"/>
      <c r="D936" s="37"/>
      <c r="E936" s="37"/>
      <c r="F936" s="37"/>
      <c r="G936" s="37"/>
      <c r="H936" s="1"/>
    </row>
    <row r="937" ht="15.75" customHeight="1">
      <c r="A937" s="36"/>
      <c r="B937" s="37"/>
      <c r="C937" s="37"/>
      <c r="D937" s="37"/>
      <c r="E937" s="37"/>
      <c r="F937" s="37"/>
      <c r="G937" s="37"/>
      <c r="H937" s="1"/>
    </row>
    <row r="938" ht="15.75" customHeight="1">
      <c r="A938" s="36"/>
      <c r="B938" s="37"/>
      <c r="C938" s="37"/>
      <c r="D938" s="37"/>
      <c r="E938" s="37"/>
      <c r="F938" s="37"/>
      <c r="G938" s="37"/>
      <c r="H938" s="1"/>
    </row>
    <row r="939" ht="15.75" customHeight="1">
      <c r="A939" s="36"/>
      <c r="B939" s="37"/>
      <c r="C939" s="37"/>
      <c r="D939" s="37"/>
      <c r="E939" s="37"/>
      <c r="F939" s="37"/>
      <c r="G939" s="37"/>
      <c r="H939" s="1"/>
    </row>
    <row r="940" ht="15.75" customHeight="1">
      <c r="A940" s="36"/>
      <c r="B940" s="37"/>
      <c r="C940" s="37"/>
      <c r="D940" s="37"/>
      <c r="E940" s="37"/>
      <c r="F940" s="37"/>
      <c r="G940" s="37"/>
      <c r="H940" s="1"/>
    </row>
    <row r="941" ht="15.75" customHeight="1">
      <c r="A941" s="36"/>
      <c r="B941" s="37"/>
      <c r="C941" s="37"/>
      <c r="D941" s="37"/>
      <c r="E941" s="37"/>
      <c r="F941" s="37"/>
      <c r="G941" s="37"/>
      <c r="H941" s="1"/>
    </row>
    <row r="942" ht="15.75" customHeight="1">
      <c r="A942" s="36"/>
      <c r="B942" s="37"/>
      <c r="C942" s="37"/>
      <c r="D942" s="37"/>
      <c r="E942" s="37"/>
      <c r="F942" s="37"/>
      <c r="G942" s="37"/>
      <c r="H942" s="1"/>
    </row>
    <row r="943" ht="15.75" customHeight="1">
      <c r="A943" s="36"/>
      <c r="B943" s="37"/>
      <c r="C943" s="37"/>
      <c r="D943" s="37"/>
      <c r="E943" s="37"/>
      <c r="F943" s="37"/>
      <c r="G943" s="37"/>
      <c r="H943" s="1"/>
    </row>
    <row r="944" ht="15.75" customHeight="1">
      <c r="A944" s="36"/>
      <c r="B944" s="37"/>
      <c r="C944" s="37"/>
      <c r="D944" s="37"/>
      <c r="E944" s="37"/>
      <c r="F944" s="37"/>
      <c r="G944" s="37"/>
      <c r="H944" s="1"/>
    </row>
    <row r="945" ht="15.75" customHeight="1">
      <c r="A945" s="36"/>
      <c r="B945" s="37"/>
      <c r="C945" s="37"/>
      <c r="D945" s="37"/>
      <c r="E945" s="37"/>
      <c r="F945" s="37"/>
      <c r="G945" s="37"/>
      <c r="H945" s="1"/>
    </row>
    <row r="946" ht="15.75" customHeight="1">
      <c r="A946" s="36"/>
      <c r="B946" s="37"/>
      <c r="C946" s="37"/>
      <c r="D946" s="37"/>
      <c r="E946" s="37"/>
      <c r="F946" s="37"/>
      <c r="G946" s="37"/>
      <c r="H946" s="1"/>
    </row>
    <row r="947" ht="15.75" customHeight="1">
      <c r="A947" s="36"/>
      <c r="B947" s="37"/>
      <c r="C947" s="37"/>
      <c r="D947" s="37"/>
      <c r="E947" s="37"/>
      <c r="F947" s="37"/>
      <c r="G947" s="37"/>
      <c r="H947" s="1"/>
    </row>
    <row r="948" ht="15.75" customHeight="1">
      <c r="A948" s="36"/>
      <c r="B948" s="37"/>
      <c r="C948" s="37"/>
      <c r="D948" s="37"/>
      <c r="E948" s="37"/>
      <c r="F948" s="37"/>
      <c r="G948" s="37"/>
      <c r="H948" s="1"/>
    </row>
    <row r="949" ht="15.75" customHeight="1">
      <c r="A949" s="36"/>
      <c r="B949" s="37"/>
      <c r="C949" s="37"/>
      <c r="D949" s="37"/>
      <c r="E949" s="37"/>
      <c r="F949" s="37"/>
      <c r="G949" s="37"/>
      <c r="H949" s="1"/>
    </row>
    <row r="950" ht="15.75" customHeight="1">
      <c r="A950" s="36"/>
      <c r="B950" s="37"/>
      <c r="C950" s="37"/>
      <c r="D950" s="37"/>
      <c r="E950" s="37"/>
      <c r="F950" s="37"/>
      <c r="G950" s="37"/>
      <c r="H950" s="1"/>
    </row>
    <row r="951" ht="15.75" customHeight="1">
      <c r="A951" s="36"/>
      <c r="B951" s="37"/>
      <c r="C951" s="37"/>
      <c r="D951" s="37"/>
      <c r="E951" s="37"/>
      <c r="F951" s="37"/>
      <c r="G951" s="37"/>
      <c r="H951" s="1"/>
    </row>
    <row r="952" ht="15.75" customHeight="1">
      <c r="A952" s="36"/>
      <c r="B952" s="37"/>
      <c r="C952" s="37"/>
      <c r="D952" s="37"/>
      <c r="E952" s="37"/>
      <c r="F952" s="37"/>
      <c r="G952" s="37"/>
      <c r="H952" s="1"/>
    </row>
    <row r="953" ht="15.75" customHeight="1">
      <c r="A953" s="36"/>
      <c r="B953" s="37"/>
      <c r="C953" s="37"/>
      <c r="D953" s="37"/>
      <c r="E953" s="37"/>
      <c r="F953" s="37"/>
      <c r="G953" s="37"/>
      <c r="H953" s="1"/>
    </row>
    <row r="954" ht="15.75" customHeight="1">
      <c r="A954" s="36"/>
      <c r="B954" s="37"/>
      <c r="C954" s="37"/>
      <c r="D954" s="37"/>
      <c r="E954" s="37"/>
      <c r="F954" s="37"/>
      <c r="G954" s="37"/>
      <c r="H954" s="1"/>
    </row>
    <row r="955" ht="15.75" customHeight="1">
      <c r="A955" s="36"/>
      <c r="B955" s="37"/>
      <c r="C955" s="37"/>
      <c r="D955" s="37"/>
      <c r="E955" s="37"/>
      <c r="F955" s="37"/>
      <c r="G955" s="37"/>
      <c r="H955" s="1"/>
    </row>
    <row r="956" ht="15.75" customHeight="1">
      <c r="A956" s="36"/>
      <c r="B956" s="37"/>
      <c r="C956" s="37"/>
      <c r="D956" s="37"/>
      <c r="E956" s="37"/>
      <c r="F956" s="37"/>
      <c r="G956" s="37"/>
      <c r="H956" s="1"/>
    </row>
    <row r="957" ht="15.75" customHeight="1">
      <c r="A957" s="36"/>
      <c r="B957" s="37"/>
      <c r="C957" s="37"/>
      <c r="D957" s="37"/>
      <c r="E957" s="37"/>
      <c r="F957" s="37"/>
      <c r="G957" s="37"/>
      <c r="H957" s="1"/>
    </row>
    <row r="958" ht="15.75" customHeight="1">
      <c r="A958" s="36"/>
      <c r="B958" s="37"/>
      <c r="C958" s="37"/>
      <c r="D958" s="37"/>
      <c r="E958" s="37"/>
      <c r="F958" s="37"/>
      <c r="G958" s="37"/>
      <c r="H958" s="1"/>
    </row>
    <row r="959" ht="15.75" customHeight="1">
      <c r="A959" s="36"/>
      <c r="B959" s="37"/>
      <c r="C959" s="37"/>
      <c r="D959" s="37"/>
      <c r="E959" s="37"/>
      <c r="F959" s="37"/>
      <c r="G959" s="37"/>
      <c r="H959" s="1"/>
    </row>
    <row r="960" ht="15.75" customHeight="1">
      <c r="A960" s="36"/>
      <c r="B960" s="37"/>
      <c r="C960" s="37"/>
      <c r="D960" s="37"/>
      <c r="E960" s="37"/>
      <c r="F960" s="37"/>
      <c r="G960" s="37"/>
      <c r="H960" s="1"/>
    </row>
    <row r="961" ht="15.75" customHeight="1">
      <c r="A961" s="36"/>
      <c r="B961" s="37"/>
      <c r="C961" s="37"/>
      <c r="D961" s="37"/>
      <c r="E961" s="37"/>
      <c r="F961" s="37"/>
      <c r="G961" s="37"/>
      <c r="H961" s="1"/>
    </row>
    <row r="962" ht="15.75" customHeight="1">
      <c r="A962" s="36"/>
      <c r="B962" s="37"/>
      <c r="C962" s="37"/>
      <c r="D962" s="37"/>
      <c r="E962" s="37"/>
      <c r="F962" s="37"/>
      <c r="G962" s="37"/>
      <c r="H962" s="1"/>
    </row>
    <row r="963" ht="15.75" customHeight="1">
      <c r="A963" s="36"/>
      <c r="B963" s="37"/>
      <c r="C963" s="37"/>
      <c r="D963" s="37"/>
      <c r="E963" s="37"/>
      <c r="F963" s="37"/>
      <c r="G963" s="37"/>
      <c r="H963" s="1"/>
    </row>
    <row r="964" ht="15.75" customHeight="1">
      <c r="A964" s="36"/>
      <c r="B964" s="37"/>
      <c r="C964" s="37"/>
      <c r="D964" s="37"/>
      <c r="E964" s="37"/>
      <c r="F964" s="37"/>
      <c r="G964" s="37"/>
      <c r="H964" s="1"/>
    </row>
    <row r="965" ht="15.75" customHeight="1">
      <c r="A965" s="36"/>
      <c r="B965" s="37"/>
      <c r="C965" s="37"/>
      <c r="D965" s="37"/>
      <c r="E965" s="37"/>
      <c r="F965" s="37"/>
      <c r="G965" s="37"/>
      <c r="H965" s="1"/>
    </row>
    <row r="966" ht="15.75" customHeight="1">
      <c r="A966" s="36"/>
      <c r="B966" s="37"/>
      <c r="C966" s="37"/>
      <c r="D966" s="37"/>
      <c r="E966" s="37"/>
      <c r="F966" s="37"/>
      <c r="G966" s="37"/>
      <c r="H966" s="1"/>
    </row>
    <row r="967" ht="15.75" customHeight="1">
      <c r="A967" s="36"/>
      <c r="B967" s="37"/>
      <c r="C967" s="37"/>
      <c r="D967" s="37"/>
      <c r="E967" s="37"/>
      <c r="F967" s="37"/>
      <c r="G967" s="37"/>
      <c r="H967" s="1"/>
    </row>
    <row r="968" ht="15.75" customHeight="1">
      <c r="A968" s="36"/>
      <c r="B968" s="37"/>
      <c r="C968" s="37"/>
      <c r="D968" s="37"/>
      <c r="E968" s="37"/>
      <c r="F968" s="37"/>
      <c r="G968" s="37"/>
      <c r="H968" s="1"/>
    </row>
    <row r="969" ht="15.75" customHeight="1">
      <c r="A969" s="36"/>
      <c r="B969" s="37"/>
      <c r="C969" s="37"/>
      <c r="D969" s="37"/>
      <c r="E969" s="37"/>
      <c r="F969" s="37"/>
      <c r="G969" s="37"/>
      <c r="H969" s="1"/>
    </row>
    <row r="970" ht="15.75" customHeight="1">
      <c r="A970" s="36"/>
      <c r="B970" s="37"/>
      <c r="C970" s="37"/>
      <c r="D970" s="37"/>
      <c r="E970" s="37"/>
      <c r="F970" s="37"/>
      <c r="G970" s="37"/>
      <c r="H970" s="1"/>
    </row>
    <row r="971" ht="15.75" customHeight="1">
      <c r="A971" s="36"/>
      <c r="B971" s="37"/>
      <c r="C971" s="37"/>
      <c r="D971" s="37"/>
      <c r="E971" s="37"/>
      <c r="F971" s="37"/>
      <c r="G971" s="37"/>
      <c r="H971" s="1"/>
    </row>
    <row r="972" ht="15.75" customHeight="1">
      <c r="A972" s="36"/>
      <c r="B972" s="37"/>
      <c r="C972" s="37"/>
      <c r="D972" s="37"/>
      <c r="E972" s="37"/>
      <c r="F972" s="37"/>
      <c r="G972" s="37"/>
      <c r="H972" s="1"/>
    </row>
    <row r="973" ht="15.75" customHeight="1">
      <c r="A973" s="36"/>
      <c r="B973" s="37"/>
      <c r="C973" s="37"/>
      <c r="D973" s="37"/>
      <c r="E973" s="37"/>
      <c r="F973" s="37"/>
      <c r="G973" s="37"/>
      <c r="H973" s="1"/>
    </row>
    <row r="974" ht="15.75" customHeight="1">
      <c r="A974" s="36"/>
      <c r="B974" s="37"/>
      <c r="C974" s="37"/>
      <c r="D974" s="37"/>
      <c r="E974" s="37"/>
      <c r="F974" s="37"/>
      <c r="G974" s="37"/>
      <c r="H974" s="1"/>
    </row>
    <row r="975" ht="15.75" customHeight="1">
      <c r="A975" s="36"/>
      <c r="B975" s="37"/>
      <c r="C975" s="37"/>
      <c r="D975" s="37"/>
      <c r="E975" s="37"/>
      <c r="F975" s="37"/>
      <c r="G975" s="37"/>
      <c r="H975" s="1"/>
    </row>
    <row r="976" ht="15.75" customHeight="1">
      <c r="A976" s="36"/>
      <c r="B976" s="37"/>
      <c r="C976" s="37"/>
      <c r="D976" s="37"/>
      <c r="E976" s="37"/>
      <c r="F976" s="37"/>
      <c r="G976" s="37"/>
      <c r="H976" s="1"/>
    </row>
    <row r="977" ht="15.75" customHeight="1">
      <c r="A977" s="36"/>
      <c r="B977" s="37"/>
      <c r="C977" s="37"/>
      <c r="D977" s="37"/>
      <c r="E977" s="37"/>
      <c r="F977" s="37"/>
      <c r="G977" s="37"/>
      <c r="H977" s="1"/>
    </row>
    <row r="978" ht="15.75" customHeight="1">
      <c r="A978" s="36"/>
      <c r="B978" s="37"/>
      <c r="C978" s="37"/>
      <c r="D978" s="37"/>
      <c r="E978" s="37"/>
      <c r="F978" s="37"/>
      <c r="G978" s="37"/>
      <c r="H978" s="1"/>
    </row>
    <row r="979" ht="15.75" customHeight="1">
      <c r="A979" s="36"/>
      <c r="B979" s="37"/>
      <c r="C979" s="37"/>
      <c r="D979" s="37"/>
      <c r="E979" s="37"/>
      <c r="F979" s="37"/>
      <c r="G979" s="37"/>
      <c r="H979" s="1"/>
    </row>
    <row r="980" ht="15.75" customHeight="1">
      <c r="A980" s="36"/>
      <c r="B980" s="37"/>
      <c r="C980" s="37"/>
      <c r="D980" s="37"/>
      <c r="E980" s="37"/>
      <c r="F980" s="37"/>
      <c r="G980" s="37"/>
      <c r="H980" s="1"/>
    </row>
    <row r="981" ht="15.75" customHeight="1">
      <c r="A981" s="36"/>
      <c r="B981" s="37"/>
      <c r="C981" s="37"/>
      <c r="D981" s="37"/>
      <c r="E981" s="37"/>
      <c r="F981" s="37"/>
      <c r="G981" s="37"/>
      <c r="H981" s="1"/>
    </row>
    <row r="982" ht="15.75" customHeight="1">
      <c r="A982" s="36"/>
      <c r="B982" s="37"/>
      <c r="C982" s="37"/>
      <c r="D982" s="37"/>
      <c r="E982" s="37"/>
      <c r="F982" s="37"/>
      <c r="G982" s="37"/>
      <c r="H982" s="1"/>
    </row>
    <row r="983" ht="15.75" customHeight="1">
      <c r="A983" s="36"/>
      <c r="B983" s="37"/>
      <c r="C983" s="37"/>
      <c r="D983" s="37"/>
      <c r="E983" s="37"/>
      <c r="F983" s="37"/>
      <c r="G983" s="37"/>
      <c r="H983" s="1"/>
    </row>
    <row r="984" ht="15.75" customHeight="1">
      <c r="A984" s="36"/>
      <c r="B984" s="37"/>
      <c r="C984" s="37"/>
      <c r="D984" s="37"/>
      <c r="E984" s="37"/>
      <c r="F984" s="37"/>
      <c r="G984" s="37"/>
      <c r="H984" s="1"/>
    </row>
    <row r="985" ht="15.75" customHeight="1">
      <c r="A985" s="36"/>
      <c r="B985" s="37"/>
      <c r="C985" s="37"/>
      <c r="D985" s="37"/>
      <c r="E985" s="37"/>
      <c r="F985" s="37"/>
      <c r="G985" s="37"/>
      <c r="H985" s="1"/>
    </row>
    <row r="986" ht="15.75" customHeight="1">
      <c r="A986" s="36"/>
      <c r="B986" s="37"/>
      <c r="C986" s="37"/>
      <c r="D986" s="37"/>
      <c r="E986" s="37"/>
      <c r="F986" s="37"/>
      <c r="G986" s="37"/>
      <c r="H986" s="1"/>
    </row>
    <row r="987" ht="15.75" customHeight="1">
      <c r="A987" s="36"/>
      <c r="B987" s="37"/>
      <c r="C987" s="37"/>
      <c r="D987" s="37"/>
      <c r="E987" s="37"/>
      <c r="F987" s="37"/>
      <c r="G987" s="37"/>
      <c r="H987" s="1"/>
    </row>
    <row r="988" ht="15.75" customHeight="1">
      <c r="A988" s="36"/>
      <c r="B988" s="37"/>
      <c r="C988" s="37"/>
      <c r="D988" s="37"/>
      <c r="E988" s="37"/>
      <c r="F988" s="37"/>
      <c r="G988" s="37"/>
      <c r="H988" s="1"/>
    </row>
    <row r="989" ht="15.75" customHeight="1">
      <c r="A989" s="36"/>
      <c r="B989" s="37"/>
      <c r="C989" s="37"/>
      <c r="D989" s="37"/>
      <c r="E989" s="37"/>
      <c r="F989" s="37"/>
      <c r="G989" s="37"/>
      <c r="H989" s="1"/>
    </row>
    <row r="990" ht="15.75" customHeight="1">
      <c r="A990" s="36"/>
      <c r="B990" s="37"/>
      <c r="C990" s="37"/>
      <c r="D990" s="37"/>
      <c r="E990" s="37"/>
      <c r="F990" s="37"/>
      <c r="G990" s="37"/>
      <c r="H990" s="1"/>
    </row>
    <row r="991" ht="15.75" customHeight="1">
      <c r="A991" s="36"/>
      <c r="B991" s="37"/>
      <c r="C991" s="37"/>
      <c r="D991" s="37"/>
      <c r="E991" s="37"/>
      <c r="F991" s="37"/>
      <c r="G991" s="37"/>
      <c r="H991" s="1"/>
    </row>
    <row r="992" ht="15.75" customHeight="1">
      <c r="A992" s="36"/>
      <c r="B992" s="37"/>
      <c r="C992" s="37"/>
      <c r="D992" s="37"/>
      <c r="E992" s="37"/>
      <c r="F992" s="37"/>
      <c r="G992" s="37"/>
      <c r="H992" s="1"/>
    </row>
    <row r="993" ht="15.75" customHeight="1">
      <c r="A993" s="36"/>
      <c r="B993" s="37"/>
      <c r="C993" s="37"/>
      <c r="D993" s="37"/>
      <c r="E993" s="37"/>
      <c r="F993" s="37"/>
      <c r="G993" s="37"/>
      <c r="H993" s="1"/>
    </row>
    <row r="994" ht="15.75" customHeight="1">
      <c r="A994" s="36"/>
      <c r="B994" s="37"/>
      <c r="C994" s="37"/>
      <c r="D994" s="37"/>
      <c r="E994" s="37"/>
      <c r="F994" s="37"/>
      <c r="G994" s="37"/>
      <c r="H994" s="1"/>
    </row>
    <row r="995" ht="15.75" customHeight="1">
      <c r="A995" s="36"/>
      <c r="B995" s="37"/>
      <c r="C995" s="37"/>
      <c r="D995" s="37"/>
      <c r="E995" s="37"/>
      <c r="F995" s="37"/>
      <c r="G995" s="37"/>
      <c r="H995" s="1"/>
    </row>
    <row r="996" ht="15.75" customHeight="1">
      <c r="A996" s="36"/>
      <c r="B996" s="37"/>
      <c r="C996" s="37"/>
      <c r="D996" s="37"/>
      <c r="E996" s="37"/>
      <c r="F996" s="37"/>
      <c r="G996" s="37"/>
      <c r="H996" s="1"/>
    </row>
    <row r="997" ht="15.75" customHeight="1">
      <c r="A997" s="36"/>
      <c r="B997" s="37"/>
      <c r="C997" s="37"/>
      <c r="D997" s="37"/>
      <c r="E997" s="37"/>
      <c r="F997" s="37"/>
      <c r="G997" s="37"/>
      <c r="H997" s="1"/>
    </row>
    <row r="998" ht="15.75" customHeight="1">
      <c r="A998" s="36"/>
      <c r="B998" s="37"/>
      <c r="C998" s="37"/>
      <c r="D998" s="37"/>
      <c r="E998" s="37"/>
      <c r="F998" s="37"/>
      <c r="G998" s="37"/>
      <c r="H998" s="1"/>
    </row>
    <row r="999" ht="15.75" customHeight="1">
      <c r="A999" s="36"/>
      <c r="B999" s="37"/>
      <c r="C999" s="37"/>
      <c r="D999" s="37"/>
      <c r="E999" s="37"/>
      <c r="F999" s="37"/>
      <c r="G999" s="37"/>
      <c r="H999" s="1"/>
    </row>
    <row r="1000" ht="15.75" customHeight="1">
      <c r="A1000" s="36"/>
      <c r="B1000" s="37"/>
      <c r="C1000" s="37"/>
      <c r="D1000" s="37"/>
      <c r="E1000" s="37"/>
      <c r="F1000" s="37"/>
      <c r="G1000" s="37"/>
      <c r="H1000" s="1"/>
    </row>
  </sheetData>
  <mergeCells count="6">
    <mergeCell ref="A2:H2"/>
    <mergeCell ref="A4:H4"/>
    <mergeCell ref="A5:H5"/>
    <mergeCell ref="A6:H6"/>
    <mergeCell ref="A7:H7"/>
    <mergeCell ref="A62:H6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17.43"/>
    <col customWidth="1" min="3" max="3" width="12.14"/>
    <col customWidth="1" min="4" max="5" width="14.71"/>
    <col customWidth="1" min="6" max="6" width="16.43"/>
    <col customWidth="1" min="7" max="7" width="19.14"/>
    <col customWidth="1" min="8" max="8" width="8.71"/>
    <col customWidth="1" min="9" max="9" width="20.71"/>
    <col customWidth="1" min="10" max="26" width="8.0"/>
  </cols>
  <sheetData>
    <row r="1">
      <c r="A1" s="36"/>
      <c r="B1" s="37"/>
      <c r="C1" s="37"/>
      <c r="D1" s="37"/>
      <c r="E1" s="37"/>
      <c r="F1" s="1"/>
      <c r="G1" s="1"/>
    </row>
    <row r="2">
      <c r="A2" s="38" t="s">
        <v>2302</v>
      </c>
      <c r="B2" s="39"/>
      <c r="C2" s="39"/>
      <c r="D2" s="39"/>
      <c r="E2" s="39"/>
      <c r="F2" s="39"/>
      <c r="G2" s="39"/>
      <c r="H2" s="40"/>
      <c r="I2" s="42"/>
      <c r="J2" s="42"/>
      <c r="K2" s="42"/>
      <c r="L2" s="42"/>
      <c r="M2" s="42"/>
      <c r="N2" s="42"/>
      <c r="O2" s="42"/>
      <c r="P2" s="42"/>
      <c r="Q2" s="42"/>
      <c r="R2" s="42"/>
      <c r="S2" s="42"/>
      <c r="T2" s="42"/>
      <c r="U2" s="42"/>
      <c r="V2" s="42"/>
      <c r="W2" s="42"/>
      <c r="X2" s="42"/>
      <c r="Y2" s="42"/>
      <c r="Z2" s="42"/>
    </row>
    <row r="3">
      <c r="A3" s="186"/>
      <c r="B3" s="186"/>
      <c r="C3" s="186"/>
      <c r="D3" s="186"/>
      <c r="E3" s="186"/>
      <c r="F3" s="186"/>
      <c r="G3" s="41"/>
      <c r="H3" s="42"/>
      <c r="I3" s="42"/>
      <c r="J3" s="42"/>
      <c r="K3" s="42"/>
      <c r="L3" s="42"/>
      <c r="M3" s="42"/>
      <c r="N3" s="42"/>
      <c r="O3" s="42"/>
      <c r="P3" s="42"/>
      <c r="Q3" s="42"/>
      <c r="R3" s="42"/>
      <c r="S3" s="42"/>
      <c r="T3" s="42"/>
      <c r="U3" s="42"/>
      <c r="V3" s="42"/>
      <c r="W3" s="42"/>
      <c r="X3" s="42"/>
      <c r="Y3" s="42"/>
      <c r="Z3" s="42"/>
    </row>
    <row r="4">
      <c r="A4" s="43" t="s">
        <v>2292</v>
      </c>
      <c r="B4" s="39"/>
      <c r="C4" s="39"/>
      <c r="D4" s="39"/>
      <c r="E4" s="39"/>
      <c r="F4" s="39"/>
      <c r="G4" s="39"/>
      <c r="H4" s="40"/>
      <c r="I4" s="42"/>
      <c r="J4" s="42"/>
      <c r="K4" s="42"/>
      <c r="L4" s="42"/>
      <c r="M4" s="42"/>
      <c r="N4" s="42"/>
      <c r="O4" s="42"/>
      <c r="P4" s="42"/>
      <c r="Q4" s="42"/>
      <c r="R4" s="42"/>
      <c r="S4" s="42"/>
      <c r="T4" s="42"/>
      <c r="U4" s="42"/>
      <c r="V4" s="42"/>
      <c r="W4" s="42"/>
      <c r="X4" s="42"/>
      <c r="Y4" s="42"/>
      <c r="Z4" s="42"/>
    </row>
    <row r="5">
      <c r="A5" s="43" t="s">
        <v>2303</v>
      </c>
      <c r="B5" s="39"/>
      <c r="C5" s="39"/>
      <c r="D5" s="39"/>
      <c r="E5" s="39"/>
      <c r="F5" s="39"/>
      <c r="G5" s="39"/>
      <c r="H5" s="40"/>
      <c r="I5" s="42"/>
      <c r="J5" s="42"/>
      <c r="K5" s="42"/>
      <c r="L5" s="42"/>
      <c r="M5" s="42"/>
      <c r="N5" s="42"/>
      <c r="O5" s="42"/>
      <c r="P5" s="42"/>
      <c r="Q5" s="42"/>
      <c r="R5" s="42"/>
      <c r="S5" s="42"/>
      <c r="T5" s="42"/>
      <c r="U5" s="42"/>
      <c r="V5" s="42"/>
      <c r="W5" s="42"/>
      <c r="X5" s="42"/>
      <c r="Y5" s="42"/>
      <c r="Z5" s="42"/>
    </row>
    <row r="6" ht="51.75" customHeight="1">
      <c r="A6" s="43" t="s">
        <v>2304</v>
      </c>
      <c r="B6" s="39"/>
      <c r="C6" s="39"/>
      <c r="D6" s="39"/>
      <c r="E6" s="39"/>
      <c r="F6" s="39"/>
      <c r="G6" s="39"/>
      <c r="H6" s="40"/>
      <c r="I6" s="42"/>
      <c r="J6" s="42"/>
      <c r="K6" s="42"/>
      <c r="L6" s="42"/>
      <c r="M6" s="42"/>
      <c r="N6" s="42"/>
      <c r="O6" s="42"/>
      <c r="P6" s="42"/>
      <c r="Q6" s="42"/>
      <c r="R6" s="42"/>
      <c r="S6" s="42"/>
      <c r="T6" s="42"/>
      <c r="U6" s="42"/>
      <c r="V6" s="42"/>
      <c r="W6" s="42"/>
      <c r="X6" s="42"/>
      <c r="Y6" s="42"/>
      <c r="Z6" s="42"/>
    </row>
    <row r="7" ht="157.5" customHeight="1">
      <c r="A7" s="44" t="s">
        <v>2305</v>
      </c>
      <c r="B7" s="39"/>
      <c r="C7" s="39"/>
      <c r="D7" s="39"/>
      <c r="E7" s="39"/>
      <c r="F7" s="39"/>
      <c r="G7" s="39"/>
      <c r="H7" s="40"/>
      <c r="I7" s="42"/>
      <c r="J7" s="42"/>
      <c r="K7" s="42"/>
      <c r="L7" s="42"/>
      <c r="M7" s="42"/>
      <c r="N7" s="42"/>
      <c r="O7" s="42"/>
      <c r="P7" s="42"/>
      <c r="Q7" s="42"/>
      <c r="R7" s="42"/>
      <c r="S7" s="42"/>
      <c r="T7" s="42"/>
      <c r="U7" s="42"/>
      <c r="V7" s="42"/>
      <c r="W7" s="42"/>
      <c r="X7" s="42"/>
      <c r="Y7" s="42"/>
      <c r="Z7" s="42"/>
    </row>
    <row r="8" ht="17.25" customHeight="1">
      <c r="A8" s="44" t="s">
        <v>2306</v>
      </c>
      <c r="B8" s="39"/>
      <c r="C8" s="39"/>
      <c r="D8" s="39"/>
      <c r="E8" s="39"/>
      <c r="F8" s="39"/>
      <c r="G8" s="39"/>
      <c r="H8" s="40"/>
      <c r="I8" s="42"/>
      <c r="J8" s="42"/>
      <c r="K8" s="42"/>
      <c r="L8" s="42"/>
      <c r="M8" s="42"/>
      <c r="N8" s="42"/>
      <c r="O8" s="42"/>
      <c r="P8" s="42"/>
      <c r="Q8" s="42"/>
      <c r="R8" s="42"/>
      <c r="S8" s="42"/>
      <c r="T8" s="42"/>
      <c r="U8" s="42"/>
      <c r="V8" s="42"/>
      <c r="W8" s="42"/>
      <c r="X8" s="42"/>
      <c r="Y8" s="42"/>
      <c r="Z8" s="42"/>
    </row>
    <row r="9">
      <c r="A9" s="45"/>
      <c r="B9" s="46"/>
      <c r="C9" s="46"/>
      <c r="D9" s="46"/>
      <c r="E9" s="46"/>
      <c r="F9" s="45"/>
      <c r="G9" s="41"/>
      <c r="H9" s="42"/>
      <c r="I9" s="42"/>
      <c r="J9" s="42"/>
      <c r="K9" s="42"/>
      <c r="L9" s="42"/>
      <c r="M9" s="42"/>
      <c r="N9" s="42"/>
      <c r="O9" s="42"/>
      <c r="P9" s="42"/>
      <c r="Q9" s="42"/>
      <c r="R9" s="42"/>
      <c r="S9" s="42"/>
      <c r="T9" s="42"/>
      <c r="U9" s="42"/>
      <c r="V9" s="42"/>
      <c r="W9" s="42"/>
      <c r="X9" s="42"/>
      <c r="Y9" s="42"/>
      <c r="Z9" s="42"/>
    </row>
    <row r="10" ht="51.0" customHeight="1">
      <c r="A10" s="229" t="s">
        <v>2296</v>
      </c>
      <c r="B10" s="229" t="s">
        <v>9</v>
      </c>
      <c r="C10" s="229" t="s">
        <v>2297</v>
      </c>
      <c r="D10" s="229" t="s">
        <v>2298</v>
      </c>
      <c r="E10" s="229" t="s">
        <v>2299</v>
      </c>
      <c r="F10" s="229" t="s">
        <v>2300</v>
      </c>
      <c r="G10" s="47" t="s">
        <v>116</v>
      </c>
      <c r="H10" s="47" t="s">
        <v>2301</v>
      </c>
      <c r="I10" s="49" t="s">
        <v>118</v>
      </c>
    </row>
    <row r="11">
      <c r="A11" s="52"/>
      <c r="B11" s="60"/>
      <c r="C11" s="60"/>
      <c r="D11" s="199"/>
      <c r="E11" s="199"/>
      <c r="F11" s="199"/>
      <c r="G11" s="199"/>
      <c r="H11" s="209"/>
      <c r="I11" s="62"/>
    </row>
    <row r="12">
      <c r="A12" s="52"/>
      <c r="B12" s="60"/>
      <c r="C12" s="60"/>
      <c r="D12" s="199"/>
      <c r="E12" s="199"/>
      <c r="F12" s="199"/>
      <c r="G12" s="199"/>
      <c r="H12" s="209"/>
      <c r="I12" s="62"/>
    </row>
    <row r="13">
      <c r="A13" s="52"/>
      <c r="B13" s="60"/>
      <c r="C13" s="60"/>
      <c r="D13" s="199"/>
      <c r="E13" s="199"/>
      <c r="F13" s="199"/>
      <c r="G13" s="199"/>
      <c r="H13" s="209"/>
      <c r="I13" s="62"/>
    </row>
    <row r="14">
      <c r="A14" s="52"/>
      <c r="B14" s="60"/>
      <c r="C14" s="60"/>
      <c r="D14" s="199"/>
      <c r="E14" s="199"/>
      <c r="F14" s="199"/>
      <c r="G14" s="199"/>
      <c r="H14" s="209"/>
      <c r="I14" s="62"/>
    </row>
    <row r="15">
      <c r="A15" s="52"/>
      <c r="B15" s="60"/>
      <c r="C15" s="60"/>
      <c r="D15" s="199"/>
      <c r="E15" s="199"/>
      <c r="F15" s="199"/>
      <c r="G15" s="199"/>
      <c r="H15" s="209"/>
      <c r="I15" s="62"/>
    </row>
    <row r="16">
      <c r="A16" s="52"/>
      <c r="B16" s="60"/>
      <c r="C16" s="60"/>
      <c r="D16" s="199"/>
      <c r="E16" s="199"/>
      <c r="F16" s="199"/>
      <c r="G16" s="199"/>
      <c r="H16" s="209"/>
      <c r="I16" s="62"/>
    </row>
    <row r="17">
      <c r="A17" s="52"/>
      <c r="B17" s="60"/>
      <c r="C17" s="60"/>
      <c r="D17" s="199"/>
      <c r="E17" s="199"/>
      <c r="F17" s="199"/>
      <c r="G17" s="199"/>
      <c r="H17" s="209"/>
      <c r="I17" s="62"/>
    </row>
    <row r="18">
      <c r="A18" s="52"/>
      <c r="B18" s="60"/>
      <c r="C18" s="60"/>
      <c r="D18" s="199"/>
      <c r="E18" s="199"/>
      <c r="F18" s="199"/>
      <c r="G18" s="199"/>
      <c r="H18" s="209"/>
      <c r="I18" s="62"/>
    </row>
    <row r="19">
      <c r="A19" s="52"/>
      <c r="B19" s="60"/>
      <c r="C19" s="60"/>
      <c r="D19" s="199"/>
      <c r="E19" s="199"/>
      <c r="F19" s="199"/>
      <c r="G19" s="199"/>
      <c r="H19" s="209"/>
      <c r="I19" s="62"/>
    </row>
    <row r="20">
      <c r="A20" s="52"/>
      <c r="B20" s="60"/>
      <c r="C20" s="60"/>
      <c r="D20" s="199"/>
      <c r="E20" s="199"/>
      <c r="F20" s="199"/>
      <c r="G20" s="199"/>
      <c r="H20" s="209"/>
      <c r="I20" s="62"/>
    </row>
    <row r="21" ht="15.75" customHeight="1">
      <c r="A21" s="52"/>
      <c r="B21" s="60"/>
      <c r="C21" s="60"/>
      <c r="D21" s="199"/>
      <c r="E21" s="199"/>
      <c r="F21" s="199"/>
      <c r="G21" s="199"/>
      <c r="H21" s="209"/>
      <c r="I21" s="62"/>
    </row>
    <row r="22" ht="15.75" customHeight="1">
      <c r="A22" s="52"/>
      <c r="B22" s="60"/>
      <c r="C22" s="60"/>
      <c r="D22" s="199"/>
      <c r="E22" s="199"/>
      <c r="F22" s="199"/>
      <c r="G22" s="199"/>
      <c r="H22" s="209"/>
      <c r="I22" s="62"/>
    </row>
    <row r="23" ht="15.75" customHeight="1">
      <c r="A23" s="52"/>
      <c r="B23" s="60"/>
      <c r="C23" s="60"/>
      <c r="D23" s="199"/>
      <c r="E23" s="199"/>
      <c r="F23" s="199"/>
      <c r="G23" s="199"/>
      <c r="H23" s="209"/>
      <c r="I23" s="62"/>
    </row>
    <row r="24" ht="15.75" customHeight="1">
      <c r="A24" s="52"/>
      <c r="B24" s="60"/>
      <c r="C24" s="60"/>
      <c r="D24" s="199"/>
      <c r="E24" s="199"/>
      <c r="F24" s="199"/>
      <c r="G24" s="199"/>
      <c r="H24" s="209"/>
      <c r="I24" s="62"/>
    </row>
    <row r="25" ht="15.75" customHeight="1">
      <c r="A25" s="52"/>
      <c r="B25" s="60"/>
      <c r="C25" s="60"/>
      <c r="D25" s="199"/>
      <c r="E25" s="199"/>
      <c r="F25" s="199"/>
      <c r="G25" s="199"/>
      <c r="H25" s="209"/>
      <c r="I25" s="62"/>
    </row>
    <row r="26" ht="15.75" customHeight="1">
      <c r="A26" s="52"/>
      <c r="B26" s="60"/>
      <c r="C26" s="60"/>
      <c r="D26" s="199"/>
      <c r="E26" s="199"/>
      <c r="F26" s="199"/>
      <c r="G26" s="199"/>
      <c r="H26" s="209"/>
      <c r="I26" s="62"/>
    </row>
    <row r="27" ht="15.75" customHeight="1">
      <c r="A27" s="52"/>
      <c r="B27" s="60"/>
      <c r="C27" s="60"/>
      <c r="D27" s="199"/>
      <c r="E27" s="199"/>
      <c r="F27" s="199"/>
      <c r="G27" s="199"/>
      <c r="H27" s="209"/>
      <c r="I27" s="62"/>
    </row>
    <row r="28" ht="15.75" customHeight="1">
      <c r="A28" s="52"/>
      <c r="B28" s="60"/>
      <c r="C28" s="60"/>
      <c r="D28" s="199"/>
      <c r="E28" s="199"/>
      <c r="F28" s="199"/>
      <c r="G28" s="199"/>
      <c r="H28" s="209"/>
      <c r="I28" s="62"/>
    </row>
    <row r="29" ht="15.75" customHeight="1">
      <c r="A29" s="52"/>
      <c r="B29" s="60"/>
      <c r="C29" s="60"/>
      <c r="D29" s="199"/>
      <c r="E29" s="199"/>
      <c r="F29" s="199"/>
      <c r="G29" s="199"/>
      <c r="H29" s="209"/>
      <c r="I29" s="62"/>
    </row>
    <row r="30" ht="15.75" customHeight="1">
      <c r="A30" s="52"/>
      <c r="B30" s="60"/>
      <c r="C30" s="60"/>
      <c r="D30" s="199"/>
      <c r="E30" s="199"/>
      <c r="F30" s="199"/>
      <c r="G30" s="199"/>
      <c r="H30" s="209"/>
      <c r="I30" s="62"/>
    </row>
    <row r="31" ht="15.75" customHeight="1">
      <c r="A31" s="52"/>
      <c r="B31" s="60"/>
      <c r="C31" s="60"/>
      <c r="D31" s="199"/>
      <c r="E31" s="199"/>
      <c r="F31" s="199"/>
      <c r="G31" s="199"/>
      <c r="H31" s="209"/>
      <c r="I31" s="62"/>
    </row>
    <row r="32" ht="15.75" customHeight="1">
      <c r="A32" s="52"/>
      <c r="B32" s="60"/>
      <c r="C32" s="60"/>
      <c r="D32" s="199"/>
      <c r="E32" s="199"/>
      <c r="F32" s="199"/>
      <c r="G32" s="199"/>
      <c r="H32" s="209"/>
      <c r="I32" s="62"/>
    </row>
    <row r="33" ht="15.75" customHeight="1">
      <c r="A33" s="52"/>
      <c r="B33" s="60"/>
      <c r="C33" s="60"/>
      <c r="D33" s="199"/>
      <c r="E33" s="199"/>
      <c r="F33" s="199"/>
      <c r="G33" s="199"/>
      <c r="H33" s="209"/>
      <c r="I33" s="62"/>
    </row>
    <row r="34" ht="15.75" customHeight="1">
      <c r="A34" s="52"/>
      <c r="B34" s="60"/>
      <c r="C34" s="60"/>
      <c r="D34" s="199"/>
      <c r="E34" s="199"/>
      <c r="F34" s="199"/>
      <c r="G34" s="199"/>
      <c r="H34" s="209"/>
      <c r="I34" s="62"/>
    </row>
    <row r="35" ht="15.75" customHeight="1">
      <c r="A35" s="52"/>
      <c r="B35" s="60"/>
      <c r="C35" s="60"/>
      <c r="D35" s="199"/>
      <c r="E35" s="199"/>
      <c r="F35" s="199"/>
      <c r="G35" s="199"/>
      <c r="H35" s="209"/>
      <c r="I35" s="62"/>
    </row>
    <row r="36" ht="15.75" customHeight="1">
      <c r="A36" s="52"/>
      <c r="B36" s="60"/>
      <c r="C36" s="60"/>
      <c r="D36" s="199"/>
      <c r="E36" s="199"/>
      <c r="F36" s="199"/>
      <c r="G36" s="199"/>
      <c r="H36" s="209"/>
      <c r="I36" s="62"/>
    </row>
    <row r="37" ht="15.75" customHeight="1">
      <c r="A37" s="52"/>
      <c r="B37" s="60"/>
      <c r="C37" s="60"/>
      <c r="D37" s="199"/>
      <c r="E37" s="199"/>
      <c r="F37" s="199"/>
      <c r="G37" s="199"/>
      <c r="H37" s="209"/>
      <c r="I37" s="62"/>
    </row>
    <row r="38" ht="15.75" customHeight="1">
      <c r="A38" s="52"/>
      <c r="B38" s="60"/>
      <c r="C38" s="60"/>
      <c r="D38" s="199"/>
      <c r="E38" s="199"/>
      <c r="F38" s="199"/>
      <c r="G38" s="199"/>
      <c r="H38" s="209"/>
      <c r="I38" s="62"/>
    </row>
    <row r="39" ht="15.75" customHeight="1">
      <c r="A39" s="52"/>
      <c r="B39" s="60"/>
      <c r="C39" s="60"/>
      <c r="D39" s="199"/>
      <c r="E39" s="199"/>
      <c r="F39" s="199"/>
      <c r="G39" s="199"/>
      <c r="H39" s="209"/>
      <c r="I39" s="62"/>
    </row>
    <row r="40" ht="15.75" customHeight="1">
      <c r="A40" s="52"/>
      <c r="B40" s="60"/>
      <c r="C40" s="60"/>
      <c r="D40" s="199"/>
      <c r="E40" s="199"/>
      <c r="F40" s="199"/>
      <c r="G40" s="199"/>
      <c r="H40" s="209"/>
      <c r="I40" s="62"/>
    </row>
    <row r="41" ht="15.75" customHeight="1">
      <c r="A41" s="52"/>
      <c r="B41" s="60"/>
      <c r="C41" s="60"/>
      <c r="D41" s="199"/>
      <c r="E41" s="199"/>
      <c r="F41" s="199"/>
      <c r="G41" s="199"/>
      <c r="H41" s="209"/>
      <c r="I41" s="62"/>
    </row>
    <row r="42" ht="15.75" customHeight="1">
      <c r="A42" s="52"/>
      <c r="B42" s="60"/>
      <c r="C42" s="60"/>
      <c r="D42" s="199"/>
      <c r="E42" s="199"/>
      <c r="F42" s="199"/>
      <c r="G42" s="199"/>
      <c r="H42" s="209"/>
      <c r="I42" s="62"/>
    </row>
    <row r="43" ht="15.75" customHeight="1">
      <c r="A43" s="52"/>
      <c r="B43" s="60"/>
      <c r="C43" s="60"/>
      <c r="D43" s="199"/>
      <c r="E43" s="199"/>
      <c r="F43" s="199"/>
      <c r="G43" s="199"/>
      <c r="H43" s="209"/>
      <c r="I43" s="62"/>
    </row>
    <row r="44" ht="15.75" customHeight="1">
      <c r="A44" s="52"/>
      <c r="B44" s="60"/>
      <c r="C44" s="60"/>
      <c r="D44" s="199"/>
      <c r="E44" s="199"/>
      <c r="F44" s="199"/>
      <c r="G44" s="199"/>
      <c r="H44" s="209"/>
      <c r="I44" s="62"/>
    </row>
    <row r="45" ht="15.75" customHeight="1">
      <c r="A45" s="52"/>
      <c r="B45" s="60"/>
      <c r="C45" s="60"/>
      <c r="D45" s="199"/>
      <c r="E45" s="199"/>
      <c r="F45" s="199"/>
      <c r="G45" s="199"/>
      <c r="H45" s="209"/>
      <c r="I45" s="62"/>
    </row>
    <row r="46" ht="15.75" customHeight="1">
      <c r="A46" s="52"/>
      <c r="B46" s="60"/>
      <c r="C46" s="60"/>
      <c r="D46" s="199"/>
      <c r="E46" s="199"/>
      <c r="F46" s="199"/>
      <c r="G46" s="199"/>
      <c r="H46" s="209"/>
      <c r="I46" s="62"/>
    </row>
    <row r="47" ht="15.75" customHeight="1">
      <c r="A47" s="52"/>
      <c r="B47" s="60"/>
      <c r="C47" s="60"/>
      <c r="D47" s="199"/>
      <c r="E47" s="199"/>
      <c r="F47" s="199"/>
      <c r="G47" s="199"/>
      <c r="H47" s="209"/>
      <c r="I47" s="62"/>
    </row>
    <row r="48" ht="15.75" customHeight="1">
      <c r="A48" s="52"/>
      <c r="B48" s="60"/>
      <c r="C48" s="60"/>
      <c r="D48" s="199"/>
      <c r="E48" s="199"/>
      <c r="F48" s="199"/>
      <c r="G48" s="199"/>
      <c r="H48" s="209"/>
      <c r="I48" s="62"/>
    </row>
    <row r="49" ht="15.75" customHeight="1">
      <c r="A49" s="52"/>
      <c r="B49" s="60"/>
      <c r="C49" s="60"/>
      <c r="D49" s="199"/>
      <c r="E49" s="199"/>
      <c r="F49" s="199"/>
      <c r="G49" s="199"/>
      <c r="H49" s="209"/>
      <c r="I49" s="62"/>
    </row>
    <row r="50" ht="15.75" customHeight="1">
      <c r="A50" s="52"/>
      <c r="B50" s="60"/>
      <c r="C50" s="60"/>
      <c r="D50" s="199"/>
      <c r="E50" s="199"/>
      <c r="F50" s="199"/>
      <c r="G50" s="199"/>
      <c r="H50" s="209"/>
      <c r="I50" s="62"/>
    </row>
    <row r="51" ht="15.75" customHeight="1">
      <c r="A51" s="52"/>
      <c r="B51" s="60"/>
      <c r="C51" s="60"/>
      <c r="D51" s="199"/>
      <c r="E51" s="199"/>
      <c r="F51" s="199"/>
      <c r="G51" s="199"/>
      <c r="H51" s="209"/>
      <c r="I51" s="62"/>
    </row>
    <row r="52" ht="15.75" customHeight="1">
      <c r="A52" s="52"/>
      <c r="B52" s="60"/>
      <c r="C52" s="60"/>
      <c r="D52" s="199"/>
      <c r="E52" s="199"/>
      <c r="F52" s="199"/>
      <c r="G52" s="199"/>
      <c r="H52" s="209"/>
      <c r="I52" s="62"/>
    </row>
    <row r="53" ht="15.75" customHeight="1">
      <c r="A53" s="52"/>
      <c r="B53" s="60"/>
      <c r="C53" s="60"/>
      <c r="D53" s="199"/>
      <c r="E53" s="199"/>
      <c r="F53" s="199"/>
      <c r="G53" s="199"/>
      <c r="H53" s="209"/>
      <c r="I53" s="62"/>
    </row>
    <row r="54" ht="15.75" customHeight="1">
      <c r="A54" s="52"/>
      <c r="B54" s="60"/>
      <c r="C54" s="60"/>
      <c r="D54" s="199"/>
      <c r="E54" s="199"/>
      <c r="F54" s="199"/>
      <c r="G54" s="199"/>
      <c r="H54" s="209"/>
      <c r="I54" s="62"/>
    </row>
    <row r="55" ht="15.75" customHeight="1">
      <c r="A55" s="52"/>
      <c r="B55" s="60"/>
      <c r="C55" s="60"/>
      <c r="D55" s="199"/>
      <c r="E55" s="199"/>
      <c r="F55" s="199"/>
      <c r="G55" s="199"/>
      <c r="H55" s="209"/>
      <c r="I55" s="62"/>
    </row>
    <row r="56" ht="15.75" customHeight="1">
      <c r="A56" s="135"/>
      <c r="B56" s="136"/>
      <c r="C56" s="407"/>
      <c r="D56" s="477"/>
      <c r="E56" s="477"/>
      <c r="F56" s="477"/>
      <c r="G56" s="478"/>
      <c r="H56" s="479"/>
      <c r="I56" s="62"/>
    </row>
    <row r="57" ht="15.75" customHeight="1">
      <c r="A57" s="135"/>
      <c r="B57" s="136"/>
      <c r="C57" s="407"/>
      <c r="D57" s="199"/>
      <c r="E57" s="199"/>
      <c r="F57" s="199"/>
      <c r="G57" s="480"/>
      <c r="H57" s="209"/>
      <c r="I57" s="62"/>
    </row>
    <row r="58" ht="15.75" customHeight="1">
      <c r="A58" s="135"/>
      <c r="B58" s="136"/>
      <c r="C58" s="407"/>
      <c r="D58" s="199"/>
      <c r="E58" s="199"/>
      <c r="F58" s="199"/>
      <c r="G58" s="480"/>
      <c r="H58" s="209"/>
      <c r="I58" s="62"/>
    </row>
    <row r="59" ht="15.75" customHeight="1">
      <c r="A59" s="135"/>
      <c r="B59" s="136"/>
      <c r="C59" s="407"/>
      <c r="D59" s="407"/>
      <c r="E59" s="407"/>
      <c r="F59" s="407"/>
      <c r="G59" s="481"/>
      <c r="H59" s="482"/>
      <c r="I59" s="62"/>
    </row>
    <row r="60" ht="15.75" customHeight="1">
      <c r="A60" s="135"/>
      <c r="B60" s="136"/>
      <c r="C60" s="407"/>
      <c r="D60" s="407"/>
      <c r="E60" s="407"/>
      <c r="F60" s="407"/>
      <c r="G60" s="481"/>
      <c r="H60" s="482"/>
      <c r="I60" s="62"/>
    </row>
    <row r="61" ht="15.75" customHeight="1">
      <c r="A61" s="88" t="s">
        <v>88</v>
      </c>
      <c r="B61" s="37"/>
      <c r="C61" s="37"/>
      <c r="D61" s="37"/>
      <c r="E61" s="37"/>
      <c r="F61" s="37"/>
      <c r="G61" s="46"/>
      <c r="H61" s="472">
        <f>SUM(H11:H60)</f>
        <v>0</v>
      </c>
    </row>
    <row r="62" ht="15.75" customHeight="1">
      <c r="A62" s="36"/>
      <c r="B62" s="37"/>
      <c r="C62" s="37"/>
      <c r="D62" s="37"/>
      <c r="E62" s="37"/>
      <c r="F62" s="37"/>
      <c r="G62" s="37"/>
      <c r="H62" s="1"/>
    </row>
    <row r="63" ht="15.75" customHeight="1">
      <c r="A63" s="473" t="s">
        <v>178</v>
      </c>
      <c r="B63" s="91"/>
      <c r="C63" s="91"/>
      <c r="D63" s="91"/>
      <c r="E63" s="91"/>
      <c r="F63" s="91"/>
      <c r="G63" s="91"/>
      <c r="H63" s="92"/>
    </row>
    <row r="64" ht="15.75" customHeight="1">
      <c r="A64" s="36"/>
      <c r="B64" s="37"/>
      <c r="C64" s="37"/>
      <c r="D64" s="37"/>
      <c r="E64" s="37"/>
      <c r="F64" s="37"/>
      <c r="G64" s="37"/>
      <c r="H64" s="1"/>
    </row>
    <row r="65" ht="15.75" customHeight="1">
      <c r="A65" s="36"/>
      <c r="B65" s="37"/>
      <c r="C65" s="37"/>
      <c r="D65" s="37"/>
      <c r="E65" s="37"/>
      <c r="F65" s="1"/>
      <c r="G65" s="1"/>
    </row>
    <row r="66" ht="15.75" customHeight="1">
      <c r="A66" s="36"/>
      <c r="B66" s="37"/>
      <c r="C66" s="37"/>
      <c r="D66" s="37"/>
      <c r="E66" s="37"/>
      <c r="F66" s="1"/>
      <c r="G66" s="1"/>
    </row>
    <row r="67" ht="15.75" customHeight="1">
      <c r="A67" s="36"/>
      <c r="B67" s="37"/>
      <c r="C67" s="37"/>
      <c r="D67" s="37"/>
      <c r="E67" s="37"/>
      <c r="F67" s="1"/>
      <c r="G67" s="1"/>
    </row>
    <row r="68" ht="15.75" customHeight="1">
      <c r="A68" s="36"/>
      <c r="B68" s="37"/>
      <c r="C68" s="37"/>
      <c r="D68" s="37"/>
      <c r="E68" s="37"/>
      <c r="F68" s="1"/>
      <c r="G68" s="1"/>
    </row>
    <row r="69" ht="15.75" customHeight="1">
      <c r="A69" s="36"/>
      <c r="B69" s="37"/>
      <c r="C69" s="37"/>
      <c r="D69" s="37"/>
      <c r="E69" s="37"/>
      <c r="F69" s="1"/>
      <c r="G69" s="1"/>
    </row>
    <row r="70" ht="15.75" customHeight="1">
      <c r="A70" s="36"/>
      <c r="B70" s="37"/>
      <c r="C70" s="37"/>
      <c r="D70" s="37"/>
      <c r="E70" s="37"/>
      <c r="F70" s="1"/>
      <c r="G70" s="1"/>
    </row>
    <row r="71" ht="15.75" customHeight="1">
      <c r="A71" s="36"/>
      <c r="B71" s="37"/>
      <c r="C71" s="37"/>
      <c r="D71" s="37"/>
      <c r="E71" s="37"/>
      <c r="F71" s="1"/>
      <c r="G71" s="1"/>
    </row>
    <row r="72" ht="15.75" customHeight="1">
      <c r="A72" s="36"/>
      <c r="B72" s="37"/>
      <c r="C72" s="37"/>
      <c r="D72" s="37"/>
      <c r="E72" s="37"/>
      <c r="F72" s="1"/>
      <c r="G72" s="1"/>
    </row>
    <row r="73" ht="15.75" customHeight="1">
      <c r="A73" s="36"/>
      <c r="B73" s="37"/>
      <c r="C73" s="37"/>
      <c r="D73" s="37"/>
      <c r="E73" s="37"/>
      <c r="F73" s="1"/>
      <c r="G73" s="1"/>
    </row>
    <row r="74" ht="15.75" customHeight="1">
      <c r="A74" s="36"/>
      <c r="B74" s="37"/>
      <c r="C74" s="37"/>
      <c r="D74" s="37"/>
      <c r="E74" s="37"/>
      <c r="F74" s="1"/>
      <c r="G74" s="1"/>
    </row>
    <row r="75" ht="15.75" customHeight="1">
      <c r="A75" s="36"/>
      <c r="B75" s="37"/>
      <c r="C75" s="37"/>
      <c r="D75" s="37"/>
      <c r="E75" s="37"/>
      <c r="F75" s="1"/>
      <c r="G75" s="1"/>
    </row>
    <row r="76" ht="15.75" customHeight="1">
      <c r="A76" s="36"/>
      <c r="B76" s="37"/>
      <c r="C76" s="37"/>
      <c r="D76" s="37"/>
      <c r="E76" s="37"/>
      <c r="F76" s="1"/>
      <c r="G76" s="1"/>
    </row>
    <row r="77" ht="15.75" customHeight="1">
      <c r="A77" s="36"/>
      <c r="B77" s="37"/>
      <c r="C77" s="37"/>
      <c r="D77" s="37"/>
      <c r="E77" s="37"/>
      <c r="F77" s="1"/>
      <c r="G77" s="1"/>
    </row>
    <row r="78" ht="15.75" customHeight="1">
      <c r="A78" s="36"/>
      <c r="B78" s="37"/>
      <c r="C78" s="37"/>
      <c r="D78" s="37"/>
      <c r="E78" s="37"/>
      <c r="F78" s="1"/>
      <c r="G78" s="1"/>
    </row>
    <row r="79" ht="15.75" customHeight="1">
      <c r="A79" s="36"/>
      <c r="B79" s="37"/>
      <c r="C79" s="37"/>
      <c r="D79" s="37"/>
      <c r="E79" s="37"/>
      <c r="F79" s="1"/>
      <c r="G79" s="1"/>
    </row>
    <row r="80" ht="15.75" customHeight="1">
      <c r="A80" s="36"/>
      <c r="B80" s="37"/>
      <c r="C80" s="37"/>
      <c r="D80" s="37"/>
      <c r="E80" s="37"/>
      <c r="F80" s="1"/>
      <c r="G80" s="1"/>
    </row>
    <row r="81" ht="15.75" customHeight="1">
      <c r="A81" s="36"/>
      <c r="B81" s="37"/>
      <c r="C81" s="37"/>
      <c r="D81" s="37"/>
      <c r="E81" s="37"/>
      <c r="F81" s="1"/>
      <c r="G81" s="1"/>
    </row>
    <row r="82" ht="15.75" customHeight="1">
      <c r="A82" s="36"/>
      <c r="B82" s="37"/>
      <c r="C82" s="37"/>
      <c r="D82" s="37"/>
      <c r="E82" s="37"/>
      <c r="F82" s="1"/>
      <c r="G82" s="1"/>
    </row>
    <row r="83" ht="15.75" customHeight="1">
      <c r="A83" s="36"/>
      <c r="B83" s="37"/>
      <c r="C83" s="37"/>
      <c r="D83" s="37"/>
      <c r="E83" s="37"/>
      <c r="F83" s="1"/>
      <c r="G83" s="1"/>
    </row>
    <row r="84" ht="15.75" customHeight="1">
      <c r="A84" s="36"/>
      <c r="B84" s="37"/>
      <c r="C84" s="37"/>
      <c r="D84" s="37"/>
      <c r="E84" s="37"/>
      <c r="F84" s="1"/>
      <c r="G84" s="1"/>
    </row>
    <row r="85" ht="15.75" customHeight="1">
      <c r="A85" s="36"/>
      <c r="B85" s="37"/>
      <c r="C85" s="37"/>
      <c r="D85" s="37"/>
      <c r="E85" s="37"/>
      <c r="F85" s="1"/>
      <c r="G85" s="1"/>
    </row>
    <row r="86" ht="15.75" customHeight="1">
      <c r="A86" s="36"/>
      <c r="B86" s="37"/>
      <c r="C86" s="37"/>
      <c r="D86" s="37"/>
      <c r="E86" s="37"/>
      <c r="F86" s="1"/>
      <c r="G86" s="1"/>
    </row>
    <row r="87" ht="15.75" customHeight="1">
      <c r="A87" s="36"/>
      <c r="B87" s="37"/>
      <c r="C87" s="37"/>
      <c r="D87" s="37"/>
      <c r="E87" s="37"/>
      <c r="F87" s="1"/>
      <c r="G87" s="1"/>
    </row>
    <row r="88" ht="15.75" customHeight="1">
      <c r="A88" s="36"/>
      <c r="B88" s="37"/>
      <c r="C88" s="37"/>
      <c r="D88" s="37"/>
      <c r="E88" s="37"/>
      <c r="F88" s="1"/>
      <c r="G88" s="1"/>
    </row>
    <row r="89" ht="15.75" customHeight="1">
      <c r="A89" s="36"/>
      <c r="B89" s="37"/>
      <c r="C89" s="37"/>
      <c r="D89" s="37"/>
      <c r="E89" s="37"/>
      <c r="F89" s="1"/>
      <c r="G89" s="1"/>
    </row>
    <row r="90" ht="15.75" customHeight="1">
      <c r="A90" s="36"/>
      <c r="B90" s="37"/>
      <c r="C90" s="37"/>
      <c r="D90" s="37"/>
      <c r="E90" s="37"/>
      <c r="F90" s="1"/>
      <c r="G90" s="1"/>
    </row>
    <row r="91" ht="15.75" customHeight="1">
      <c r="A91" s="36"/>
      <c r="B91" s="37"/>
      <c r="C91" s="37"/>
      <c r="D91" s="37"/>
      <c r="E91" s="37"/>
      <c r="F91" s="1"/>
      <c r="G91" s="1"/>
    </row>
    <row r="92" ht="15.75" customHeight="1">
      <c r="A92" s="36"/>
      <c r="B92" s="37"/>
      <c r="C92" s="37"/>
      <c r="D92" s="37"/>
      <c r="E92" s="37"/>
      <c r="F92" s="1"/>
      <c r="G92" s="1"/>
    </row>
    <row r="93" ht="15.75" customHeight="1">
      <c r="A93" s="36"/>
      <c r="B93" s="37"/>
      <c r="C93" s="37"/>
      <c r="D93" s="37"/>
      <c r="E93" s="37"/>
      <c r="F93" s="1"/>
      <c r="G93" s="1"/>
    </row>
    <row r="94" ht="15.75" customHeight="1">
      <c r="A94" s="36"/>
      <c r="B94" s="37"/>
      <c r="C94" s="37"/>
      <c r="D94" s="37"/>
      <c r="E94" s="37"/>
      <c r="F94" s="1"/>
      <c r="G94" s="1"/>
    </row>
    <row r="95" ht="15.75" customHeight="1">
      <c r="A95" s="36"/>
      <c r="B95" s="37"/>
      <c r="C95" s="37"/>
      <c r="D95" s="37"/>
      <c r="E95" s="37"/>
      <c r="F95" s="1"/>
      <c r="G95" s="1"/>
    </row>
    <row r="96" ht="15.75" customHeight="1">
      <c r="A96" s="36"/>
      <c r="B96" s="37"/>
      <c r="C96" s="37"/>
      <c r="D96" s="37"/>
      <c r="E96" s="37"/>
      <c r="F96" s="1"/>
      <c r="G96" s="1"/>
    </row>
    <row r="97" ht="15.75" customHeight="1">
      <c r="A97" s="36"/>
      <c r="B97" s="37"/>
      <c r="C97" s="37"/>
      <c r="D97" s="37"/>
      <c r="E97" s="37"/>
      <c r="F97" s="1"/>
      <c r="G97" s="1"/>
    </row>
    <row r="98" ht="15.75" customHeight="1">
      <c r="A98" s="36"/>
      <c r="B98" s="37"/>
      <c r="C98" s="37"/>
      <c r="D98" s="37"/>
      <c r="E98" s="37"/>
      <c r="F98" s="1"/>
      <c r="G98" s="1"/>
    </row>
    <row r="99" ht="15.75" customHeight="1">
      <c r="A99" s="36"/>
      <c r="B99" s="37"/>
      <c r="C99" s="37"/>
      <c r="D99" s="37"/>
      <c r="E99" s="37"/>
      <c r="F99" s="1"/>
      <c r="G99" s="1"/>
    </row>
    <row r="100" ht="15.75" customHeight="1">
      <c r="A100" s="36"/>
      <c r="B100" s="37"/>
      <c r="C100" s="37"/>
      <c r="D100" s="37"/>
      <c r="E100" s="37"/>
      <c r="F100" s="1"/>
      <c r="G100" s="1"/>
    </row>
    <row r="101" ht="15.75" customHeight="1">
      <c r="A101" s="36"/>
      <c r="B101" s="37"/>
      <c r="C101" s="37"/>
      <c r="D101" s="37"/>
      <c r="E101" s="37"/>
      <c r="F101" s="1"/>
      <c r="G101" s="1"/>
    </row>
    <row r="102" ht="15.75" customHeight="1">
      <c r="A102" s="36"/>
      <c r="B102" s="37"/>
      <c r="C102" s="37"/>
      <c r="D102" s="37"/>
      <c r="E102" s="37"/>
      <c r="F102" s="1"/>
      <c r="G102" s="1"/>
    </row>
    <row r="103" ht="15.75" customHeight="1">
      <c r="A103" s="36"/>
      <c r="B103" s="37"/>
      <c r="C103" s="37"/>
      <c r="D103" s="37"/>
      <c r="E103" s="37"/>
      <c r="F103" s="1"/>
      <c r="G103" s="1"/>
    </row>
    <row r="104" ht="15.75" customHeight="1">
      <c r="A104" s="36"/>
      <c r="B104" s="37"/>
      <c r="C104" s="37"/>
      <c r="D104" s="37"/>
      <c r="E104" s="37"/>
      <c r="F104" s="1"/>
      <c r="G104" s="1"/>
    </row>
    <row r="105" ht="15.75" customHeight="1">
      <c r="A105" s="36"/>
      <c r="B105" s="37"/>
      <c r="C105" s="37"/>
      <c r="D105" s="37"/>
      <c r="E105" s="37"/>
      <c r="F105" s="1"/>
      <c r="G105" s="1"/>
    </row>
    <row r="106" ht="15.75" customHeight="1">
      <c r="A106" s="36"/>
      <c r="B106" s="37"/>
      <c r="C106" s="37"/>
      <c r="D106" s="37"/>
      <c r="E106" s="37"/>
      <c r="F106" s="1"/>
      <c r="G106" s="1"/>
    </row>
    <row r="107" ht="15.75" customHeight="1">
      <c r="A107" s="36"/>
      <c r="B107" s="37"/>
      <c r="C107" s="37"/>
      <c r="D107" s="37"/>
      <c r="E107" s="37"/>
      <c r="F107" s="1"/>
      <c r="G107" s="1"/>
    </row>
    <row r="108" ht="15.75" customHeight="1">
      <c r="A108" s="36"/>
      <c r="B108" s="37"/>
      <c r="C108" s="37"/>
      <c r="D108" s="37"/>
      <c r="E108" s="37"/>
      <c r="F108" s="1"/>
      <c r="G108" s="1"/>
    </row>
    <row r="109" ht="15.75" customHeight="1">
      <c r="A109" s="36"/>
      <c r="B109" s="37"/>
      <c r="C109" s="37"/>
      <c r="D109" s="37"/>
      <c r="E109" s="37"/>
      <c r="F109" s="1"/>
      <c r="G109" s="1"/>
    </row>
    <row r="110" ht="15.75" customHeight="1">
      <c r="A110" s="36"/>
      <c r="B110" s="37"/>
      <c r="C110" s="37"/>
      <c r="D110" s="37"/>
      <c r="E110" s="37"/>
      <c r="F110" s="1"/>
      <c r="G110" s="1"/>
    </row>
    <row r="111" ht="15.75" customHeight="1">
      <c r="A111" s="36"/>
      <c r="B111" s="37"/>
      <c r="C111" s="37"/>
      <c r="D111" s="37"/>
      <c r="E111" s="37"/>
      <c r="F111" s="1"/>
      <c r="G111" s="1"/>
    </row>
    <row r="112" ht="15.75" customHeight="1">
      <c r="A112" s="36"/>
      <c r="B112" s="37"/>
      <c r="C112" s="37"/>
      <c r="D112" s="37"/>
      <c r="E112" s="37"/>
      <c r="F112" s="1"/>
      <c r="G112" s="1"/>
    </row>
    <row r="113" ht="15.75" customHeight="1">
      <c r="A113" s="36"/>
      <c r="B113" s="37"/>
      <c r="C113" s="37"/>
      <c r="D113" s="37"/>
      <c r="E113" s="37"/>
      <c r="F113" s="1"/>
      <c r="G113" s="1"/>
    </row>
    <row r="114" ht="15.75" customHeight="1">
      <c r="A114" s="36"/>
      <c r="B114" s="37"/>
      <c r="C114" s="37"/>
      <c r="D114" s="37"/>
      <c r="E114" s="37"/>
      <c r="F114" s="1"/>
      <c r="G114" s="1"/>
    </row>
    <row r="115" ht="15.75" customHeight="1">
      <c r="A115" s="36"/>
      <c r="B115" s="37"/>
      <c r="C115" s="37"/>
      <c r="D115" s="37"/>
      <c r="E115" s="37"/>
      <c r="F115" s="1"/>
      <c r="G115" s="1"/>
    </row>
    <row r="116" ht="15.75" customHeight="1">
      <c r="A116" s="36"/>
      <c r="B116" s="37"/>
      <c r="C116" s="37"/>
      <c r="D116" s="37"/>
      <c r="E116" s="37"/>
      <c r="F116" s="1"/>
      <c r="G116" s="1"/>
    </row>
    <row r="117" ht="15.75" customHeight="1">
      <c r="A117" s="36"/>
      <c r="B117" s="37"/>
      <c r="C117" s="37"/>
      <c r="D117" s="37"/>
      <c r="E117" s="37"/>
      <c r="F117" s="1"/>
      <c r="G117" s="1"/>
    </row>
    <row r="118" ht="15.75" customHeight="1">
      <c r="A118" s="36"/>
      <c r="B118" s="37"/>
      <c r="C118" s="37"/>
      <c r="D118" s="37"/>
      <c r="E118" s="37"/>
      <c r="F118" s="1"/>
      <c r="G118" s="1"/>
    </row>
    <row r="119" ht="15.75" customHeight="1">
      <c r="A119" s="36"/>
      <c r="B119" s="37"/>
      <c r="C119" s="37"/>
      <c r="D119" s="37"/>
      <c r="E119" s="37"/>
      <c r="F119" s="1"/>
      <c r="G119" s="1"/>
    </row>
    <row r="120" ht="15.75" customHeight="1">
      <c r="A120" s="36"/>
      <c r="B120" s="37"/>
      <c r="C120" s="37"/>
      <c r="D120" s="37"/>
      <c r="E120" s="37"/>
      <c r="F120" s="1"/>
      <c r="G120" s="1"/>
    </row>
    <row r="121" ht="15.75" customHeight="1">
      <c r="A121" s="36"/>
      <c r="B121" s="37"/>
      <c r="C121" s="37"/>
      <c r="D121" s="37"/>
      <c r="E121" s="37"/>
      <c r="F121" s="1"/>
      <c r="G121" s="1"/>
    </row>
    <row r="122" ht="15.75" customHeight="1">
      <c r="A122" s="36"/>
      <c r="B122" s="37"/>
      <c r="C122" s="37"/>
      <c r="D122" s="37"/>
      <c r="E122" s="37"/>
      <c r="F122" s="1"/>
      <c r="G122" s="1"/>
    </row>
    <row r="123" ht="15.75" customHeight="1">
      <c r="A123" s="36"/>
      <c r="B123" s="37"/>
      <c r="C123" s="37"/>
      <c r="D123" s="37"/>
      <c r="E123" s="37"/>
      <c r="F123" s="1"/>
      <c r="G123" s="1"/>
    </row>
    <row r="124" ht="15.75" customHeight="1">
      <c r="A124" s="36"/>
      <c r="B124" s="37"/>
      <c r="C124" s="37"/>
      <c r="D124" s="37"/>
      <c r="E124" s="37"/>
      <c r="F124" s="1"/>
      <c r="G124" s="1"/>
    </row>
    <row r="125" ht="15.75" customHeight="1">
      <c r="A125" s="36"/>
      <c r="B125" s="37"/>
      <c r="C125" s="37"/>
      <c r="D125" s="37"/>
      <c r="E125" s="37"/>
      <c r="F125" s="1"/>
      <c r="G125" s="1"/>
    </row>
    <row r="126" ht="15.75" customHeight="1">
      <c r="A126" s="36"/>
      <c r="B126" s="37"/>
      <c r="C126" s="37"/>
      <c r="D126" s="37"/>
      <c r="E126" s="37"/>
      <c r="F126" s="1"/>
      <c r="G126" s="1"/>
    </row>
    <row r="127" ht="15.75" customHeight="1">
      <c r="A127" s="36"/>
      <c r="B127" s="37"/>
      <c r="C127" s="37"/>
      <c r="D127" s="37"/>
      <c r="E127" s="37"/>
      <c r="F127" s="1"/>
      <c r="G127" s="1"/>
    </row>
    <row r="128" ht="15.75" customHeight="1">
      <c r="A128" s="36"/>
      <c r="B128" s="37"/>
      <c r="C128" s="37"/>
      <c r="D128" s="37"/>
      <c r="E128" s="37"/>
      <c r="F128" s="1"/>
      <c r="G128" s="1"/>
    </row>
    <row r="129" ht="15.75" customHeight="1">
      <c r="A129" s="36"/>
      <c r="B129" s="37"/>
      <c r="C129" s="37"/>
      <c r="D129" s="37"/>
      <c r="E129" s="37"/>
      <c r="F129" s="1"/>
      <c r="G129" s="1"/>
    </row>
    <row r="130" ht="15.75" customHeight="1">
      <c r="A130" s="36"/>
      <c r="B130" s="37"/>
      <c r="C130" s="37"/>
      <c r="D130" s="37"/>
      <c r="E130" s="37"/>
      <c r="F130" s="1"/>
      <c r="G130" s="1"/>
    </row>
    <row r="131" ht="15.75" customHeight="1">
      <c r="A131" s="36"/>
      <c r="B131" s="37"/>
      <c r="C131" s="37"/>
      <c r="D131" s="37"/>
      <c r="E131" s="37"/>
      <c r="F131" s="1"/>
      <c r="G131" s="1"/>
    </row>
    <row r="132" ht="15.75" customHeight="1">
      <c r="A132" s="36"/>
      <c r="B132" s="37"/>
      <c r="C132" s="37"/>
      <c r="D132" s="37"/>
      <c r="E132" s="37"/>
      <c r="F132" s="1"/>
      <c r="G132" s="1"/>
    </row>
    <row r="133" ht="15.75" customHeight="1">
      <c r="A133" s="36"/>
      <c r="B133" s="37"/>
      <c r="C133" s="37"/>
      <c r="D133" s="37"/>
      <c r="E133" s="37"/>
      <c r="F133" s="1"/>
      <c r="G133" s="1"/>
    </row>
    <row r="134" ht="15.75" customHeight="1">
      <c r="A134" s="36"/>
      <c r="B134" s="37"/>
      <c r="C134" s="37"/>
      <c r="D134" s="37"/>
      <c r="E134" s="37"/>
      <c r="F134" s="1"/>
      <c r="G134" s="1"/>
    </row>
    <row r="135" ht="15.75" customHeight="1">
      <c r="A135" s="36"/>
      <c r="B135" s="37"/>
      <c r="C135" s="37"/>
      <c r="D135" s="37"/>
      <c r="E135" s="37"/>
      <c r="F135" s="1"/>
      <c r="G135" s="1"/>
    </row>
    <row r="136" ht="15.75" customHeight="1">
      <c r="A136" s="36"/>
      <c r="B136" s="37"/>
      <c r="C136" s="37"/>
      <c r="D136" s="37"/>
      <c r="E136" s="37"/>
      <c r="F136" s="1"/>
      <c r="G136" s="1"/>
    </row>
    <row r="137" ht="15.75" customHeight="1">
      <c r="A137" s="36"/>
      <c r="B137" s="37"/>
      <c r="C137" s="37"/>
      <c r="D137" s="37"/>
      <c r="E137" s="37"/>
      <c r="F137" s="1"/>
      <c r="G137" s="1"/>
    </row>
    <row r="138" ht="15.75" customHeight="1">
      <c r="A138" s="36"/>
      <c r="B138" s="37"/>
      <c r="C138" s="37"/>
      <c r="D138" s="37"/>
      <c r="E138" s="37"/>
      <c r="F138" s="1"/>
      <c r="G138" s="1"/>
    </row>
    <row r="139" ht="15.75" customHeight="1">
      <c r="A139" s="36"/>
      <c r="B139" s="37"/>
      <c r="C139" s="37"/>
      <c r="D139" s="37"/>
      <c r="E139" s="37"/>
      <c r="F139" s="1"/>
      <c r="G139" s="1"/>
    </row>
    <row r="140" ht="15.75" customHeight="1">
      <c r="A140" s="36"/>
      <c r="B140" s="37"/>
      <c r="C140" s="37"/>
      <c r="D140" s="37"/>
      <c r="E140" s="37"/>
      <c r="F140" s="1"/>
      <c r="G140" s="1"/>
    </row>
    <row r="141" ht="15.75" customHeight="1">
      <c r="A141" s="36"/>
      <c r="B141" s="37"/>
      <c r="C141" s="37"/>
      <c r="D141" s="37"/>
      <c r="E141" s="37"/>
      <c r="F141" s="1"/>
      <c r="G141" s="1"/>
    </row>
    <row r="142" ht="15.75" customHeight="1">
      <c r="A142" s="36"/>
      <c r="B142" s="37"/>
      <c r="C142" s="37"/>
      <c r="D142" s="37"/>
      <c r="E142" s="37"/>
      <c r="F142" s="1"/>
      <c r="G142" s="1"/>
    </row>
    <row r="143" ht="15.75" customHeight="1">
      <c r="A143" s="36"/>
      <c r="B143" s="37"/>
      <c r="C143" s="37"/>
      <c r="D143" s="37"/>
      <c r="E143" s="37"/>
      <c r="F143" s="1"/>
      <c r="G143" s="1"/>
    </row>
    <row r="144" ht="15.75" customHeight="1">
      <c r="A144" s="36"/>
      <c r="B144" s="37"/>
      <c r="C144" s="37"/>
      <c r="D144" s="37"/>
      <c r="E144" s="37"/>
      <c r="F144" s="1"/>
      <c r="G144" s="1"/>
    </row>
    <row r="145" ht="15.75" customHeight="1">
      <c r="A145" s="36"/>
      <c r="B145" s="37"/>
      <c r="C145" s="37"/>
      <c r="D145" s="37"/>
      <c r="E145" s="37"/>
      <c r="F145" s="1"/>
      <c r="G145" s="1"/>
    </row>
    <row r="146" ht="15.75" customHeight="1">
      <c r="A146" s="36"/>
      <c r="B146" s="37"/>
      <c r="C146" s="37"/>
      <c r="D146" s="37"/>
      <c r="E146" s="37"/>
      <c r="F146" s="1"/>
      <c r="G146" s="1"/>
    </row>
    <row r="147" ht="15.75" customHeight="1">
      <c r="A147" s="36"/>
      <c r="B147" s="37"/>
      <c r="C147" s="37"/>
      <c r="D147" s="37"/>
      <c r="E147" s="37"/>
      <c r="F147" s="1"/>
      <c r="G147" s="1"/>
    </row>
    <row r="148" ht="15.75" customHeight="1">
      <c r="A148" s="36"/>
      <c r="B148" s="37"/>
      <c r="C148" s="37"/>
      <c r="D148" s="37"/>
      <c r="E148" s="37"/>
      <c r="F148" s="1"/>
      <c r="G148" s="1"/>
    </row>
    <row r="149" ht="15.75" customHeight="1">
      <c r="A149" s="36"/>
      <c r="B149" s="37"/>
      <c r="C149" s="37"/>
      <c r="D149" s="37"/>
      <c r="E149" s="37"/>
      <c r="F149" s="1"/>
      <c r="G149" s="1"/>
    </row>
    <row r="150" ht="15.75" customHeight="1">
      <c r="A150" s="36"/>
      <c r="B150" s="37"/>
      <c r="C150" s="37"/>
      <c r="D150" s="37"/>
      <c r="E150" s="37"/>
      <c r="F150" s="1"/>
      <c r="G150" s="1"/>
    </row>
    <row r="151" ht="15.75" customHeight="1">
      <c r="A151" s="36"/>
      <c r="B151" s="37"/>
      <c r="C151" s="37"/>
      <c r="D151" s="37"/>
      <c r="E151" s="37"/>
      <c r="F151" s="1"/>
      <c r="G151" s="1"/>
    </row>
    <row r="152" ht="15.75" customHeight="1">
      <c r="A152" s="36"/>
      <c r="B152" s="37"/>
      <c r="C152" s="37"/>
      <c r="D152" s="37"/>
      <c r="E152" s="37"/>
      <c r="F152" s="1"/>
      <c r="G152" s="1"/>
    </row>
    <row r="153" ht="15.75" customHeight="1">
      <c r="A153" s="36"/>
      <c r="B153" s="37"/>
      <c r="C153" s="37"/>
      <c r="D153" s="37"/>
      <c r="E153" s="37"/>
      <c r="F153" s="1"/>
      <c r="G153" s="1"/>
    </row>
    <row r="154" ht="15.75" customHeight="1">
      <c r="A154" s="36"/>
      <c r="B154" s="37"/>
      <c r="C154" s="37"/>
      <c r="D154" s="37"/>
      <c r="E154" s="37"/>
      <c r="F154" s="1"/>
      <c r="G154" s="1"/>
    </row>
    <row r="155" ht="15.75" customHeight="1">
      <c r="A155" s="36"/>
      <c r="B155" s="37"/>
      <c r="C155" s="37"/>
      <c r="D155" s="37"/>
      <c r="E155" s="37"/>
      <c r="F155" s="1"/>
      <c r="G155" s="1"/>
    </row>
    <row r="156" ht="15.75" customHeight="1">
      <c r="A156" s="36"/>
      <c r="B156" s="37"/>
      <c r="C156" s="37"/>
      <c r="D156" s="37"/>
      <c r="E156" s="37"/>
      <c r="F156" s="1"/>
      <c r="G156" s="1"/>
    </row>
    <row r="157" ht="15.75" customHeight="1">
      <c r="A157" s="36"/>
      <c r="B157" s="37"/>
      <c r="C157" s="37"/>
      <c r="D157" s="37"/>
      <c r="E157" s="37"/>
      <c r="F157" s="1"/>
      <c r="G157" s="1"/>
    </row>
    <row r="158" ht="15.75" customHeight="1">
      <c r="A158" s="36"/>
      <c r="B158" s="37"/>
      <c r="C158" s="37"/>
      <c r="D158" s="37"/>
      <c r="E158" s="37"/>
      <c r="F158" s="1"/>
      <c r="G158" s="1"/>
    </row>
    <row r="159" ht="15.75" customHeight="1">
      <c r="A159" s="36"/>
      <c r="B159" s="37"/>
      <c r="C159" s="37"/>
      <c r="D159" s="37"/>
      <c r="E159" s="37"/>
      <c r="F159" s="1"/>
      <c r="G159" s="1"/>
    </row>
    <row r="160" ht="15.75" customHeight="1">
      <c r="A160" s="36"/>
      <c r="B160" s="37"/>
      <c r="C160" s="37"/>
      <c r="D160" s="37"/>
      <c r="E160" s="37"/>
      <c r="F160" s="1"/>
      <c r="G160" s="1"/>
    </row>
    <row r="161" ht="15.75" customHeight="1">
      <c r="A161" s="36"/>
      <c r="B161" s="37"/>
      <c r="C161" s="37"/>
      <c r="D161" s="37"/>
      <c r="E161" s="37"/>
      <c r="F161" s="1"/>
      <c r="G161" s="1"/>
    </row>
    <row r="162" ht="15.75" customHeight="1">
      <c r="A162" s="36"/>
      <c r="B162" s="37"/>
      <c r="C162" s="37"/>
      <c r="D162" s="37"/>
      <c r="E162" s="37"/>
      <c r="F162" s="1"/>
      <c r="G162" s="1"/>
    </row>
    <row r="163" ht="15.75" customHeight="1">
      <c r="A163" s="36"/>
      <c r="B163" s="37"/>
      <c r="C163" s="37"/>
      <c r="D163" s="37"/>
      <c r="E163" s="37"/>
      <c r="F163" s="1"/>
      <c r="G163" s="1"/>
    </row>
    <row r="164" ht="15.75" customHeight="1">
      <c r="A164" s="36"/>
      <c r="B164" s="37"/>
      <c r="C164" s="37"/>
      <c r="D164" s="37"/>
      <c r="E164" s="37"/>
      <c r="F164" s="1"/>
      <c r="G164" s="1"/>
    </row>
    <row r="165" ht="15.75" customHeight="1">
      <c r="A165" s="36"/>
      <c r="B165" s="37"/>
      <c r="C165" s="37"/>
      <c r="D165" s="37"/>
      <c r="E165" s="37"/>
      <c r="F165" s="1"/>
      <c r="G165" s="1"/>
    </row>
    <row r="166" ht="15.75" customHeight="1">
      <c r="A166" s="36"/>
      <c r="B166" s="37"/>
      <c r="C166" s="37"/>
      <c r="D166" s="37"/>
      <c r="E166" s="37"/>
      <c r="F166" s="1"/>
      <c r="G166" s="1"/>
    </row>
    <row r="167" ht="15.75" customHeight="1">
      <c r="A167" s="36"/>
      <c r="B167" s="37"/>
      <c r="C167" s="37"/>
      <c r="D167" s="37"/>
      <c r="E167" s="37"/>
      <c r="F167" s="1"/>
      <c r="G167" s="1"/>
    </row>
    <row r="168" ht="15.75" customHeight="1">
      <c r="A168" s="36"/>
      <c r="B168" s="37"/>
      <c r="C168" s="37"/>
      <c r="D168" s="37"/>
      <c r="E168" s="37"/>
      <c r="F168" s="1"/>
      <c r="G168" s="1"/>
    </row>
    <row r="169" ht="15.75" customHeight="1">
      <c r="A169" s="36"/>
      <c r="B169" s="37"/>
      <c r="C169" s="37"/>
      <c r="D169" s="37"/>
      <c r="E169" s="37"/>
      <c r="F169" s="1"/>
      <c r="G169" s="1"/>
    </row>
    <row r="170" ht="15.75" customHeight="1">
      <c r="A170" s="36"/>
      <c r="B170" s="37"/>
      <c r="C170" s="37"/>
      <c r="D170" s="37"/>
      <c r="E170" s="37"/>
      <c r="F170" s="1"/>
      <c r="G170" s="1"/>
    </row>
    <row r="171" ht="15.75" customHeight="1">
      <c r="A171" s="36"/>
      <c r="B171" s="37"/>
      <c r="C171" s="37"/>
      <c r="D171" s="37"/>
      <c r="E171" s="37"/>
      <c r="F171" s="1"/>
      <c r="G171" s="1"/>
    </row>
    <row r="172" ht="15.75" customHeight="1">
      <c r="A172" s="36"/>
      <c r="B172" s="37"/>
      <c r="C172" s="37"/>
      <c r="D172" s="37"/>
      <c r="E172" s="37"/>
      <c r="F172" s="1"/>
      <c r="G172" s="1"/>
    </row>
    <row r="173" ht="15.75" customHeight="1">
      <c r="A173" s="36"/>
      <c r="B173" s="37"/>
      <c r="C173" s="37"/>
      <c r="D173" s="37"/>
      <c r="E173" s="37"/>
      <c r="F173" s="1"/>
      <c r="G173" s="1"/>
    </row>
    <row r="174" ht="15.75" customHeight="1">
      <c r="A174" s="36"/>
      <c r="B174" s="37"/>
      <c r="C174" s="37"/>
      <c r="D174" s="37"/>
      <c r="E174" s="37"/>
      <c r="F174" s="1"/>
      <c r="G174" s="1"/>
    </row>
    <row r="175" ht="15.75" customHeight="1">
      <c r="A175" s="36"/>
      <c r="B175" s="37"/>
      <c r="C175" s="37"/>
      <c r="D175" s="37"/>
      <c r="E175" s="37"/>
      <c r="F175" s="1"/>
      <c r="G175" s="1"/>
    </row>
    <row r="176" ht="15.75" customHeight="1">
      <c r="A176" s="36"/>
      <c r="B176" s="37"/>
      <c r="C176" s="37"/>
      <c r="D176" s="37"/>
      <c r="E176" s="37"/>
      <c r="F176" s="1"/>
      <c r="G176" s="1"/>
    </row>
    <row r="177" ht="15.75" customHeight="1">
      <c r="A177" s="36"/>
      <c r="B177" s="37"/>
      <c r="C177" s="37"/>
      <c r="D177" s="37"/>
      <c r="E177" s="37"/>
      <c r="F177" s="1"/>
      <c r="G177" s="1"/>
    </row>
    <row r="178" ht="15.75" customHeight="1">
      <c r="A178" s="36"/>
      <c r="B178" s="37"/>
      <c r="C178" s="37"/>
      <c r="D178" s="37"/>
      <c r="E178" s="37"/>
      <c r="F178" s="1"/>
      <c r="G178" s="1"/>
    </row>
    <row r="179" ht="15.75" customHeight="1">
      <c r="A179" s="36"/>
      <c r="B179" s="37"/>
      <c r="C179" s="37"/>
      <c r="D179" s="37"/>
      <c r="E179" s="37"/>
      <c r="F179" s="1"/>
      <c r="G179" s="1"/>
    </row>
    <row r="180" ht="15.75" customHeight="1">
      <c r="A180" s="36"/>
      <c r="B180" s="37"/>
      <c r="C180" s="37"/>
      <c r="D180" s="37"/>
      <c r="E180" s="37"/>
      <c r="F180" s="1"/>
      <c r="G180" s="1"/>
    </row>
    <row r="181" ht="15.75" customHeight="1">
      <c r="A181" s="36"/>
      <c r="B181" s="37"/>
      <c r="C181" s="37"/>
      <c r="D181" s="37"/>
      <c r="E181" s="37"/>
      <c r="F181" s="1"/>
      <c r="G181" s="1"/>
    </row>
    <row r="182" ht="15.75" customHeight="1">
      <c r="A182" s="36"/>
      <c r="B182" s="37"/>
      <c r="C182" s="37"/>
      <c r="D182" s="37"/>
      <c r="E182" s="37"/>
      <c r="F182" s="1"/>
      <c r="G182" s="1"/>
    </row>
    <row r="183" ht="15.75" customHeight="1">
      <c r="A183" s="36"/>
      <c r="B183" s="37"/>
      <c r="C183" s="37"/>
      <c r="D183" s="37"/>
      <c r="E183" s="37"/>
      <c r="F183" s="1"/>
      <c r="G183" s="1"/>
    </row>
    <row r="184" ht="15.75" customHeight="1">
      <c r="A184" s="36"/>
      <c r="B184" s="37"/>
      <c r="C184" s="37"/>
      <c r="D184" s="37"/>
      <c r="E184" s="37"/>
      <c r="F184" s="1"/>
      <c r="G184" s="1"/>
    </row>
    <row r="185" ht="15.75" customHeight="1">
      <c r="A185" s="36"/>
      <c r="B185" s="37"/>
      <c r="C185" s="37"/>
      <c r="D185" s="37"/>
      <c r="E185" s="37"/>
      <c r="F185" s="1"/>
      <c r="G185" s="1"/>
    </row>
    <row r="186" ht="15.75" customHeight="1">
      <c r="A186" s="36"/>
      <c r="B186" s="37"/>
      <c r="C186" s="37"/>
      <c r="D186" s="37"/>
      <c r="E186" s="37"/>
      <c r="F186" s="1"/>
      <c r="G186" s="1"/>
    </row>
    <row r="187" ht="15.75" customHeight="1">
      <c r="A187" s="36"/>
      <c r="B187" s="37"/>
      <c r="C187" s="37"/>
      <c r="D187" s="37"/>
      <c r="E187" s="37"/>
      <c r="F187" s="1"/>
      <c r="G187" s="1"/>
    </row>
    <row r="188" ht="15.75" customHeight="1">
      <c r="A188" s="36"/>
      <c r="B188" s="37"/>
      <c r="C188" s="37"/>
      <c r="D188" s="37"/>
      <c r="E188" s="37"/>
      <c r="F188" s="1"/>
      <c r="G188" s="1"/>
    </row>
    <row r="189" ht="15.75" customHeight="1">
      <c r="A189" s="36"/>
      <c r="B189" s="37"/>
      <c r="C189" s="37"/>
      <c r="D189" s="37"/>
      <c r="E189" s="37"/>
      <c r="F189" s="1"/>
      <c r="G189" s="1"/>
    </row>
    <row r="190" ht="15.75" customHeight="1">
      <c r="A190" s="36"/>
      <c r="B190" s="37"/>
      <c r="C190" s="37"/>
      <c r="D190" s="37"/>
      <c r="E190" s="37"/>
      <c r="F190" s="1"/>
      <c r="G190" s="1"/>
    </row>
    <row r="191" ht="15.75" customHeight="1">
      <c r="A191" s="36"/>
      <c r="B191" s="37"/>
      <c r="C191" s="37"/>
      <c r="D191" s="37"/>
      <c r="E191" s="37"/>
      <c r="F191" s="1"/>
      <c r="G191" s="1"/>
    </row>
    <row r="192" ht="15.75" customHeight="1">
      <c r="A192" s="36"/>
      <c r="B192" s="37"/>
      <c r="C192" s="37"/>
      <c r="D192" s="37"/>
      <c r="E192" s="37"/>
      <c r="F192" s="1"/>
      <c r="G192" s="1"/>
    </row>
    <row r="193" ht="15.75" customHeight="1">
      <c r="A193" s="36"/>
      <c r="B193" s="37"/>
      <c r="C193" s="37"/>
      <c r="D193" s="37"/>
      <c r="E193" s="37"/>
      <c r="F193" s="1"/>
      <c r="G193" s="1"/>
    </row>
    <row r="194" ht="15.75" customHeight="1">
      <c r="A194" s="36"/>
      <c r="B194" s="37"/>
      <c r="C194" s="37"/>
      <c r="D194" s="37"/>
      <c r="E194" s="37"/>
      <c r="F194" s="1"/>
      <c r="G194" s="1"/>
    </row>
    <row r="195" ht="15.75" customHeight="1">
      <c r="A195" s="36"/>
      <c r="B195" s="37"/>
      <c r="C195" s="37"/>
      <c r="D195" s="37"/>
      <c r="E195" s="37"/>
      <c r="F195" s="1"/>
      <c r="G195" s="1"/>
    </row>
    <row r="196" ht="15.75" customHeight="1">
      <c r="A196" s="36"/>
      <c r="B196" s="37"/>
      <c r="C196" s="37"/>
      <c r="D196" s="37"/>
      <c r="E196" s="37"/>
      <c r="F196" s="1"/>
      <c r="G196" s="1"/>
    </row>
    <row r="197" ht="15.75" customHeight="1">
      <c r="A197" s="36"/>
      <c r="B197" s="37"/>
      <c r="C197" s="37"/>
      <c r="D197" s="37"/>
      <c r="E197" s="37"/>
      <c r="F197" s="1"/>
      <c r="G197" s="1"/>
    </row>
    <row r="198" ht="15.75" customHeight="1">
      <c r="A198" s="36"/>
      <c r="B198" s="37"/>
      <c r="C198" s="37"/>
      <c r="D198" s="37"/>
      <c r="E198" s="37"/>
      <c r="F198" s="1"/>
      <c r="G198" s="1"/>
    </row>
    <row r="199" ht="15.75" customHeight="1">
      <c r="A199" s="36"/>
      <c r="B199" s="37"/>
      <c r="C199" s="37"/>
      <c r="D199" s="37"/>
      <c r="E199" s="37"/>
      <c r="F199" s="1"/>
      <c r="G199" s="1"/>
    </row>
    <row r="200" ht="15.75" customHeight="1">
      <c r="A200" s="36"/>
      <c r="B200" s="37"/>
      <c r="C200" s="37"/>
      <c r="D200" s="37"/>
      <c r="E200" s="37"/>
      <c r="F200" s="1"/>
      <c r="G200" s="1"/>
    </row>
    <row r="201" ht="15.75" customHeight="1">
      <c r="A201" s="36"/>
      <c r="B201" s="37"/>
      <c r="C201" s="37"/>
      <c r="D201" s="37"/>
      <c r="E201" s="37"/>
      <c r="F201" s="1"/>
      <c r="G201" s="1"/>
    </row>
    <row r="202" ht="15.75" customHeight="1">
      <c r="A202" s="36"/>
      <c r="B202" s="37"/>
      <c r="C202" s="37"/>
      <c r="D202" s="37"/>
      <c r="E202" s="37"/>
      <c r="F202" s="1"/>
      <c r="G202" s="1"/>
    </row>
    <row r="203" ht="15.75" customHeight="1">
      <c r="A203" s="36"/>
      <c r="B203" s="37"/>
      <c r="C203" s="37"/>
      <c r="D203" s="37"/>
      <c r="E203" s="37"/>
      <c r="F203" s="1"/>
      <c r="G203" s="1"/>
    </row>
    <row r="204" ht="15.75" customHeight="1">
      <c r="A204" s="36"/>
      <c r="B204" s="37"/>
      <c r="C204" s="37"/>
      <c r="D204" s="37"/>
      <c r="E204" s="37"/>
      <c r="F204" s="1"/>
      <c r="G204" s="1"/>
    </row>
    <row r="205" ht="15.75" customHeight="1">
      <c r="A205" s="36"/>
      <c r="B205" s="37"/>
      <c r="C205" s="37"/>
      <c r="D205" s="37"/>
      <c r="E205" s="37"/>
      <c r="F205" s="1"/>
      <c r="G205" s="1"/>
    </row>
    <row r="206" ht="15.75" customHeight="1">
      <c r="A206" s="36"/>
      <c r="B206" s="37"/>
      <c r="C206" s="37"/>
      <c r="D206" s="37"/>
      <c r="E206" s="37"/>
      <c r="F206" s="1"/>
      <c r="G206" s="1"/>
    </row>
    <row r="207" ht="15.75" customHeight="1">
      <c r="A207" s="36"/>
      <c r="B207" s="37"/>
      <c r="C207" s="37"/>
      <c r="D207" s="37"/>
      <c r="E207" s="37"/>
      <c r="F207" s="1"/>
      <c r="G207" s="1"/>
    </row>
    <row r="208" ht="15.75" customHeight="1">
      <c r="A208" s="36"/>
      <c r="B208" s="37"/>
      <c r="C208" s="37"/>
      <c r="D208" s="37"/>
      <c r="E208" s="37"/>
      <c r="F208" s="1"/>
      <c r="G208" s="1"/>
    </row>
    <row r="209" ht="15.75" customHeight="1">
      <c r="A209" s="36"/>
      <c r="B209" s="37"/>
      <c r="C209" s="37"/>
      <c r="D209" s="37"/>
      <c r="E209" s="37"/>
      <c r="F209" s="1"/>
      <c r="G209" s="1"/>
    </row>
    <row r="210" ht="15.75" customHeight="1">
      <c r="A210" s="36"/>
      <c r="B210" s="37"/>
      <c r="C210" s="37"/>
      <c r="D210" s="37"/>
      <c r="E210" s="37"/>
      <c r="F210" s="1"/>
      <c r="G210" s="1"/>
    </row>
    <row r="211" ht="15.75" customHeight="1">
      <c r="A211" s="36"/>
      <c r="B211" s="37"/>
      <c r="C211" s="37"/>
      <c r="D211" s="37"/>
      <c r="E211" s="37"/>
      <c r="F211" s="1"/>
      <c r="G211" s="1"/>
    </row>
    <row r="212" ht="15.75" customHeight="1">
      <c r="A212" s="36"/>
      <c r="B212" s="37"/>
      <c r="C212" s="37"/>
      <c r="D212" s="37"/>
      <c r="E212" s="37"/>
      <c r="F212" s="1"/>
      <c r="G212" s="1"/>
    </row>
    <row r="213" ht="15.75" customHeight="1">
      <c r="A213" s="36"/>
      <c r="B213" s="37"/>
      <c r="C213" s="37"/>
      <c r="D213" s="37"/>
      <c r="E213" s="37"/>
      <c r="F213" s="1"/>
      <c r="G213" s="1"/>
    </row>
    <row r="214" ht="15.75" customHeight="1">
      <c r="A214" s="36"/>
      <c r="B214" s="37"/>
      <c r="C214" s="37"/>
      <c r="D214" s="37"/>
      <c r="E214" s="37"/>
      <c r="F214" s="1"/>
      <c r="G214" s="1"/>
    </row>
    <row r="215" ht="15.75" customHeight="1">
      <c r="A215" s="36"/>
      <c r="B215" s="37"/>
      <c r="C215" s="37"/>
      <c r="D215" s="37"/>
      <c r="E215" s="37"/>
      <c r="F215" s="1"/>
      <c r="G215" s="1"/>
    </row>
    <row r="216" ht="15.75" customHeight="1">
      <c r="A216" s="36"/>
      <c r="B216" s="37"/>
      <c r="C216" s="37"/>
      <c r="D216" s="37"/>
      <c r="E216" s="37"/>
      <c r="F216" s="1"/>
      <c r="G216" s="1"/>
    </row>
    <row r="217" ht="15.75" customHeight="1">
      <c r="A217" s="36"/>
      <c r="B217" s="37"/>
      <c r="C217" s="37"/>
      <c r="D217" s="37"/>
      <c r="E217" s="37"/>
      <c r="F217" s="1"/>
      <c r="G217" s="1"/>
    </row>
    <row r="218" ht="15.75" customHeight="1">
      <c r="A218" s="36"/>
      <c r="B218" s="37"/>
      <c r="C218" s="37"/>
      <c r="D218" s="37"/>
      <c r="E218" s="37"/>
      <c r="F218" s="1"/>
      <c r="G218" s="1"/>
    </row>
    <row r="219" ht="15.75" customHeight="1">
      <c r="A219" s="36"/>
      <c r="B219" s="37"/>
      <c r="C219" s="37"/>
      <c r="D219" s="37"/>
      <c r="E219" s="37"/>
      <c r="F219" s="1"/>
      <c r="G219" s="1"/>
    </row>
    <row r="220" ht="15.75" customHeight="1">
      <c r="A220" s="36"/>
      <c r="B220" s="37"/>
      <c r="C220" s="37"/>
      <c r="D220" s="37"/>
      <c r="E220" s="37"/>
      <c r="F220" s="1"/>
      <c r="G220" s="1"/>
    </row>
    <row r="221" ht="15.75" customHeight="1">
      <c r="A221" s="36"/>
      <c r="B221" s="37"/>
      <c r="C221" s="37"/>
      <c r="D221" s="37"/>
      <c r="E221" s="37"/>
      <c r="F221" s="1"/>
      <c r="G221" s="1"/>
    </row>
    <row r="222" ht="15.75" customHeight="1">
      <c r="A222" s="36"/>
      <c r="B222" s="37"/>
      <c r="C222" s="37"/>
      <c r="D222" s="37"/>
      <c r="E222" s="37"/>
      <c r="F222" s="1"/>
      <c r="G222" s="1"/>
    </row>
    <row r="223" ht="15.75" customHeight="1">
      <c r="A223" s="36"/>
      <c r="B223" s="37"/>
      <c r="C223" s="37"/>
      <c r="D223" s="37"/>
      <c r="E223" s="37"/>
      <c r="F223" s="1"/>
      <c r="G223" s="1"/>
    </row>
    <row r="224" ht="15.75" customHeight="1">
      <c r="A224" s="36"/>
      <c r="B224" s="37"/>
      <c r="C224" s="37"/>
      <c r="D224" s="37"/>
      <c r="E224" s="37"/>
      <c r="F224" s="1"/>
      <c r="G224" s="1"/>
    </row>
    <row r="225" ht="15.75" customHeight="1">
      <c r="A225" s="36"/>
      <c r="B225" s="37"/>
      <c r="C225" s="37"/>
      <c r="D225" s="37"/>
      <c r="E225" s="37"/>
      <c r="F225" s="1"/>
      <c r="G225" s="1"/>
    </row>
    <row r="226" ht="15.75" customHeight="1">
      <c r="A226" s="36"/>
      <c r="B226" s="37"/>
      <c r="C226" s="37"/>
      <c r="D226" s="37"/>
      <c r="E226" s="37"/>
      <c r="F226" s="1"/>
      <c r="G226" s="1"/>
    </row>
    <row r="227" ht="15.75" customHeight="1">
      <c r="A227" s="36"/>
      <c r="B227" s="37"/>
      <c r="C227" s="37"/>
      <c r="D227" s="37"/>
      <c r="E227" s="37"/>
      <c r="F227" s="1"/>
      <c r="G227" s="1"/>
    </row>
    <row r="228" ht="15.75" customHeight="1">
      <c r="A228" s="36"/>
      <c r="B228" s="37"/>
      <c r="C228" s="37"/>
      <c r="D228" s="37"/>
      <c r="E228" s="37"/>
      <c r="F228" s="1"/>
      <c r="G228" s="1"/>
    </row>
    <row r="229" ht="15.75" customHeight="1">
      <c r="A229" s="36"/>
      <c r="B229" s="37"/>
      <c r="C229" s="37"/>
      <c r="D229" s="37"/>
      <c r="E229" s="37"/>
      <c r="F229" s="1"/>
      <c r="G229" s="1"/>
    </row>
    <row r="230" ht="15.75" customHeight="1">
      <c r="A230" s="36"/>
      <c r="B230" s="37"/>
      <c r="C230" s="37"/>
      <c r="D230" s="37"/>
      <c r="E230" s="37"/>
      <c r="F230" s="1"/>
      <c r="G230" s="1"/>
    </row>
    <row r="231" ht="15.75" customHeight="1">
      <c r="A231" s="36"/>
      <c r="B231" s="37"/>
      <c r="C231" s="37"/>
      <c r="D231" s="37"/>
      <c r="E231" s="37"/>
      <c r="F231" s="1"/>
      <c r="G231" s="1"/>
    </row>
    <row r="232" ht="15.75" customHeight="1">
      <c r="A232" s="36"/>
      <c r="B232" s="37"/>
      <c r="C232" s="37"/>
      <c r="D232" s="37"/>
      <c r="E232" s="37"/>
      <c r="F232" s="1"/>
      <c r="G232" s="1"/>
    </row>
    <row r="233" ht="15.75" customHeight="1">
      <c r="A233" s="36"/>
      <c r="B233" s="37"/>
      <c r="C233" s="37"/>
      <c r="D233" s="37"/>
      <c r="E233" s="37"/>
      <c r="F233" s="1"/>
      <c r="G233" s="1"/>
    </row>
    <row r="234" ht="15.75" customHeight="1">
      <c r="A234" s="36"/>
      <c r="B234" s="37"/>
      <c r="C234" s="37"/>
      <c r="D234" s="37"/>
      <c r="E234" s="37"/>
      <c r="F234" s="1"/>
      <c r="G234" s="1"/>
    </row>
    <row r="235" ht="15.75" customHeight="1">
      <c r="A235" s="36"/>
      <c r="B235" s="37"/>
      <c r="C235" s="37"/>
      <c r="D235" s="37"/>
      <c r="E235" s="37"/>
      <c r="F235" s="1"/>
      <c r="G235" s="1"/>
    </row>
    <row r="236" ht="15.75" customHeight="1">
      <c r="A236" s="36"/>
      <c r="B236" s="37"/>
      <c r="C236" s="37"/>
      <c r="D236" s="37"/>
      <c r="E236" s="37"/>
      <c r="F236" s="1"/>
      <c r="G236" s="1"/>
    </row>
    <row r="237" ht="15.75" customHeight="1">
      <c r="A237" s="36"/>
      <c r="B237" s="37"/>
      <c r="C237" s="37"/>
      <c r="D237" s="37"/>
      <c r="E237" s="37"/>
      <c r="F237" s="1"/>
      <c r="G237" s="1"/>
    </row>
    <row r="238" ht="15.75" customHeight="1">
      <c r="A238" s="36"/>
      <c r="B238" s="37"/>
      <c r="C238" s="37"/>
      <c r="D238" s="37"/>
      <c r="E238" s="37"/>
      <c r="F238" s="1"/>
      <c r="G238" s="1"/>
    </row>
    <row r="239" ht="15.75" customHeight="1">
      <c r="A239" s="36"/>
      <c r="B239" s="37"/>
      <c r="C239" s="37"/>
      <c r="D239" s="37"/>
      <c r="E239" s="37"/>
      <c r="F239" s="1"/>
      <c r="G239" s="1"/>
    </row>
    <row r="240" ht="15.75" customHeight="1">
      <c r="A240" s="36"/>
      <c r="B240" s="37"/>
      <c r="C240" s="37"/>
      <c r="D240" s="37"/>
      <c r="E240" s="37"/>
      <c r="F240" s="1"/>
      <c r="G240" s="1"/>
    </row>
    <row r="241" ht="15.75" customHeight="1">
      <c r="A241" s="36"/>
      <c r="B241" s="37"/>
      <c r="C241" s="37"/>
      <c r="D241" s="37"/>
      <c r="E241" s="37"/>
      <c r="F241" s="1"/>
      <c r="G241" s="1"/>
    </row>
    <row r="242" ht="15.75" customHeight="1">
      <c r="A242" s="36"/>
      <c r="B242" s="37"/>
      <c r="C242" s="37"/>
      <c r="D242" s="37"/>
      <c r="E242" s="37"/>
      <c r="F242" s="1"/>
      <c r="G242" s="1"/>
    </row>
    <row r="243" ht="15.75" customHeight="1">
      <c r="A243" s="36"/>
      <c r="B243" s="37"/>
      <c r="C243" s="37"/>
      <c r="D243" s="37"/>
      <c r="E243" s="37"/>
      <c r="F243" s="1"/>
      <c r="G243" s="1"/>
    </row>
    <row r="244" ht="15.75" customHeight="1">
      <c r="A244" s="36"/>
      <c r="B244" s="37"/>
      <c r="C244" s="37"/>
      <c r="D244" s="37"/>
      <c r="E244" s="37"/>
      <c r="F244" s="1"/>
      <c r="G244" s="1"/>
    </row>
    <row r="245" ht="15.75" customHeight="1">
      <c r="A245" s="36"/>
      <c r="B245" s="37"/>
      <c r="C245" s="37"/>
      <c r="D245" s="37"/>
      <c r="E245" s="37"/>
      <c r="F245" s="1"/>
      <c r="G245" s="1"/>
    </row>
    <row r="246" ht="15.75" customHeight="1">
      <c r="A246" s="36"/>
      <c r="B246" s="37"/>
      <c r="C246" s="37"/>
      <c r="D246" s="37"/>
      <c r="E246" s="37"/>
      <c r="F246" s="1"/>
      <c r="G246" s="1"/>
    </row>
    <row r="247" ht="15.75" customHeight="1">
      <c r="A247" s="36"/>
      <c r="B247" s="37"/>
      <c r="C247" s="37"/>
      <c r="D247" s="37"/>
      <c r="E247" s="37"/>
      <c r="F247" s="1"/>
      <c r="G247" s="1"/>
    </row>
    <row r="248" ht="15.75" customHeight="1">
      <c r="A248" s="36"/>
      <c r="B248" s="37"/>
      <c r="C248" s="37"/>
      <c r="D248" s="37"/>
      <c r="E248" s="37"/>
      <c r="F248" s="1"/>
      <c r="G248" s="1"/>
    </row>
    <row r="249" ht="15.75" customHeight="1">
      <c r="A249" s="36"/>
      <c r="B249" s="37"/>
      <c r="C249" s="37"/>
      <c r="D249" s="37"/>
      <c r="E249" s="37"/>
      <c r="F249" s="1"/>
      <c r="G249" s="1"/>
    </row>
    <row r="250" ht="15.75" customHeight="1">
      <c r="A250" s="36"/>
      <c r="B250" s="37"/>
      <c r="C250" s="37"/>
      <c r="D250" s="37"/>
      <c r="E250" s="37"/>
      <c r="F250" s="1"/>
      <c r="G250" s="1"/>
    </row>
    <row r="251" ht="15.75" customHeight="1">
      <c r="A251" s="36"/>
      <c r="B251" s="37"/>
      <c r="C251" s="37"/>
      <c r="D251" s="37"/>
      <c r="E251" s="37"/>
      <c r="F251" s="1"/>
      <c r="G251" s="1"/>
    </row>
    <row r="252" ht="15.75" customHeight="1">
      <c r="A252" s="36"/>
      <c r="B252" s="37"/>
      <c r="C252" s="37"/>
      <c r="D252" s="37"/>
      <c r="E252" s="37"/>
      <c r="F252" s="1"/>
      <c r="G252" s="1"/>
    </row>
    <row r="253" ht="15.75" customHeight="1">
      <c r="A253" s="36"/>
      <c r="B253" s="37"/>
      <c r="C253" s="37"/>
      <c r="D253" s="37"/>
      <c r="E253" s="37"/>
      <c r="F253" s="1"/>
      <c r="G253" s="1"/>
    </row>
    <row r="254" ht="15.75" customHeight="1">
      <c r="A254" s="36"/>
      <c r="B254" s="37"/>
      <c r="C254" s="37"/>
      <c r="D254" s="37"/>
      <c r="E254" s="37"/>
      <c r="F254" s="1"/>
      <c r="G254" s="1"/>
    </row>
    <row r="255" ht="15.75" customHeight="1">
      <c r="A255" s="36"/>
      <c r="B255" s="37"/>
      <c r="C255" s="37"/>
      <c r="D255" s="37"/>
      <c r="E255" s="37"/>
      <c r="F255" s="1"/>
      <c r="G255" s="1"/>
    </row>
    <row r="256" ht="15.75" customHeight="1">
      <c r="A256" s="36"/>
      <c r="B256" s="37"/>
      <c r="C256" s="37"/>
      <c r="D256" s="37"/>
      <c r="E256" s="37"/>
      <c r="F256" s="1"/>
      <c r="G256" s="1"/>
    </row>
    <row r="257" ht="15.75" customHeight="1">
      <c r="A257" s="36"/>
      <c r="B257" s="37"/>
      <c r="C257" s="37"/>
      <c r="D257" s="37"/>
      <c r="E257" s="37"/>
      <c r="F257" s="1"/>
      <c r="G257" s="1"/>
    </row>
    <row r="258" ht="15.75" customHeight="1">
      <c r="A258" s="36"/>
      <c r="B258" s="37"/>
      <c r="C258" s="37"/>
      <c r="D258" s="37"/>
      <c r="E258" s="37"/>
      <c r="F258" s="1"/>
      <c r="G258" s="1"/>
    </row>
    <row r="259" ht="15.75" customHeight="1">
      <c r="A259" s="36"/>
      <c r="B259" s="37"/>
      <c r="C259" s="37"/>
      <c r="D259" s="37"/>
      <c r="E259" s="37"/>
      <c r="F259" s="1"/>
      <c r="G259" s="1"/>
    </row>
    <row r="260" ht="15.75" customHeight="1">
      <c r="A260" s="36"/>
      <c r="B260" s="37"/>
      <c r="C260" s="37"/>
      <c r="D260" s="37"/>
      <c r="E260" s="37"/>
      <c r="F260" s="1"/>
      <c r="G260" s="1"/>
    </row>
    <row r="261" ht="15.75" customHeight="1">
      <c r="A261" s="36"/>
      <c r="B261" s="37"/>
      <c r="C261" s="37"/>
      <c r="D261" s="37"/>
      <c r="E261" s="37"/>
      <c r="F261" s="1"/>
      <c r="G261" s="1"/>
    </row>
    <row r="262" ht="15.75" customHeight="1">
      <c r="A262" s="36"/>
      <c r="B262" s="37"/>
      <c r="C262" s="37"/>
      <c r="D262" s="37"/>
      <c r="E262" s="37"/>
      <c r="F262" s="1"/>
      <c r="G262" s="1"/>
    </row>
    <row r="263" ht="15.75" customHeight="1">
      <c r="A263" s="36"/>
      <c r="B263" s="37"/>
      <c r="C263" s="37"/>
      <c r="D263" s="37"/>
      <c r="E263" s="37"/>
      <c r="F263" s="1"/>
      <c r="G263" s="1"/>
    </row>
    <row r="264" ht="15.75" customHeight="1">
      <c r="A264" s="36"/>
      <c r="B264" s="37"/>
      <c r="C264" s="37"/>
      <c r="D264" s="37"/>
      <c r="E264" s="37"/>
      <c r="F264" s="1"/>
      <c r="G264" s="1"/>
    </row>
    <row r="265" ht="15.75" customHeight="1">
      <c r="A265" s="36"/>
      <c r="B265" s="37"/>
      <c r="C265" s="37"/>
      <c r="D265" s="37"/>
      <c r="E265" s="37"/>
      <c r="F265" s="1"/>
      <c r="G265" s="1"/>
    </row>
    <row r="266" ht="15.75" customHeight="1">
      <c r="A266" s="36"/>
      <c r="B266" s="37"/>
      <c r="C266" s="37"/>
      <c r="D266" s="37"/>
      <c r="E266" s="37"/>
      <c r="F266" s="1"/>
      <c r="G266" s="1"/>
    </row>
    <row r="267" ht="15.75" customHeight="1">
      <c r="A267" s="36"/>
      <c r="B267" s="37"/>
      <c r="C267" s="37"/>
      <c r="D267" s="37"/>
      <c r="E267" s="37"/>
      <c r="F267" s="1"/>
      <c r="G267" s="1"/>
    </row>
    <row r="268" ht="15.75" customHeight="1">
      <c r="A268" s="36"/>
      <c r="B268" s="37"/>
      <c r="C268" s="37"/>
      <c r="D268" s="37"/>
      <c r="E268" s="37"/>
      <c r="F268" s="1"/>
      <c r="G268" s="1"/>
    </row>
    <row r="269" ht="15.75" customHeight="1">
      <c r="A269" s="36"/>
      <c r="B269" s="37"/>
      <c r="C269" s="37"/>
      <c r="D269" s="37"/>
      <c r="E269" s="37"/>
      <c r="F269" s="1"/>
      <c r="G269" s="1"/>
    </row>
    <row r="270" ht="15.75" customHeight="1">
      <c r="A270" s="36"/>
      <c r="B270" s="37"/>
      <c r="C270" s="37"/>
      <c r="D270" s="37"/>
      <c r="E270" s="37"/>
      <c r="F270" s="1"/>
      <c r="G270" s="1"/>
    </row>
    <row r="271" ht="15.75" customHeight="1">
      <c r="A271" s="36"/>
      <c r="B271" s="37"/>
      <c r="C271" s="37"/>
      <c r="D271" s="37"/>
      <c r="E271" s="37"/>
      <c r="F271" s="1"/>
      <c r="G271" s="1"/>
    </row>
    <row r="272" ht="15.75" customHeight="1">
      <c r="A272" s="36"/>
      <c r="B272" s="37"/>
      <c r="C272" s="37"/>
      <c r="D272" s="37"/>
      <c r="E272" s="37"/>
      <c r="F272" s="1"/>
      <c r="G272" s="1"/>
    </row>
    <row r="273" ht="15.75" customHeight="1">
      <c r="A273" s="36"/>
      <c r="B273" s="37"/>
      <c r="C273" s="37"/>
      <c r="D273" s="37"/>
      <c r="E273" s="37"/>
      <c r="F273" s="1"/>
      <c r="G273" s="1"/>
    </row>
    <row r="274" ht="15.75" customHeight="1">
      <c r="A274" s="36"/>
      <c r="B274" s="37"/>
      <c r="C274" s="37"/>
      <c r="D274" s="37"/>
      <c r="E274" s="37"/>
      <c r="F274" s="1"/>
      <c r="G274" s="1"/>
    </row>
    <row r="275" ht="15.75" customHeight="1">
      <c r="A275" s="36"/>
      <c r="B275" s="37"/>
      <c r="C275" s="37"/>
      <c r="D275" s="37"/>
      <c r="E275" s="37"/>
      <c r="F275" s="1"/>
      <c r="G275" s="1"/>
    </row>
    <row r="276" ht="15.75" customHeight="1">
      <c r="A276" s="36"/>
      <c r="B276" s="37"/>
      <c r="C276" s="37"/>
      <c r="D276" s="37"/>
      <c r="E276" s="37"/>
      <c r="F276" s="1"/>
      <c r="G276" s="1"/>
    </row>
    <row r="277" ht="15.75" customHeight="1">
      <c r="A277" s="36"/>
      <c r="B277" s="37"/>
      <c r="C277" s="37"/>
      <c r="D277" s="37"/>
      <c r="E277" s="37"/>
      <c r="F277" s="1"/>
      <c r="G277" s="1"/>
    </row>
    <row r="278" ht="15.75" customHeight="1">
      <c r="A278" s="36"/>
      <c r="B278" s="37"/>
      <c r="C278" s="37"/>
      <c r="D278" s="37"/>
      <c r="E278" s="37"/>
      <c r="F278" s="1"/>
      <c r="G278" s="1"/>
    </row>
    <row r="279" ht="15.75" customHeight="1">
      <c r="A279" s="36"/>
      <c r="B279" s="37"/>
      <c r="C279" s="37"/>
      <c r="D279" s="37"/>
      <c r="E279" s="37"/>
      <c r="F279" s="1"/>
      <c r="G279" s="1"/>
    </row>
    <row r="280" ht="15.75" customHeight="1">
      <c r="A280" s="36"/>
      <c r="B280" s="37"/>
      <c r="C280" s="37"/>
      <c r="D280" s="37"/>
      <c r="E280" s="37"/>
      <c r="F280" s="1"/>
      <c r="G280" s="1"/>
    </row>
    <row r="281" ht="15.75" customHeight="1">
      <c r="A281" s="36"/>
      <c r="B281" s="37"/>
      <c r="C281" s="37"/>
      <c r="D281" s="37"/>
      <c r="E281" s="37"/>
      <c r="F281" s="1"/>
      <c r="G281" s="1"/>
    </row>
    <row r="282" ht="15.75" customHeight="1">
      <c r="A282" s="36"/>
      <c r="B282" s="37"/>
      <c r="C282" s="37"/>
      <c r="D282" s="37"/>
      <c r="E282" s="37"/>
      <c r="F282" s="1"/>
      <c r="G282" s="1"/>
    </row>
    <row r="283" ht="15.75" customHeight="1">
      <c r="A283" s="36"/>
      <c r="B283" s="37"/>
      <c r="C283" s="37"/>
      <c r="D283" s="37"/>
      <c r="E283" s="37"/>
      <c r="F283" s="1"/>
      <c r="G283" s="1"/>
    </row>
    <row r="284" ht="15.75" customHeight="1">
      <c r="A284" s="36"/>
      <c r="B284" s="37"/>
      <c r="C284" s="37"/>
      <c r="D284" s="37"/>
      <c r="E284" s="37"/>
      <c r="F284" s="1"/>
      <c r="G284" s="1"/>
    </row>
    <row r="285" ht="15.75" customHeight="1">
      <c r="A285" s="36"/>
      <c r="B285" s="37"/>
      <c r="C285" s="37"/>
      <c r="D285" s="37"/>
      <c r="E285" s="37"/>
      <c r="F285" s="1"/>
      <c r="G285" s="1"/>
    </row>
    <row r="286" ht="15.75" customHeight="1">
      <c r="A286" s="36"/>
      <c r="B286" s="37"/>
      <c r="C286" s="37"/>
      <c r="D286" s="37"/>
      <c r="E286" s="37"/>
      <c r="F286" s="1"/>
      <c r="G286" s="1"/>
    </row>
    <row r="287" ht="15.75" customHeight="1">
      <c r="A287" s="36"/>
      <c r="B287" s="37"/>
      <c r="C287" s="37"/>
      <c r="D287" s="37"/>
      <c r="E287" s="37"/>
      <c r="F287" s="1"/>
      <c r="G287" s="1"/>
    </row>
    <row r="288" ht="15.75" customHeight="1">
      <c r="A288" s="36"/>
      <c r="B288" s="37"/>
      <c r="C288" s="37"/>
      <c r="D288" s="37"/>
      <c r="E288" s="37"/>
      <c r="F288" s="1"/>
      <c r="G288" s="1"/>
    </row>
    <row r="289" ht="15.75" customHeight="1">
      <c r="A289" s="36"/>
      <c r="B289" s="37"/>
      <c r="C289" s="37"/>
      <c r="D289" s="37"/>
      <c r="E289" s="37"/>
      <c r="F289" s="1"/>
      <c r="G289" s="1"/>
    </row>
    <row r="290" ht="15.75" customHeight="1">
      <c r="A290" s="36"/>
      <c r="B290" s="37"/>
      <c r="C290" s="37"/>
      <c r="D290" s="37"/>
      <c r="E290" s="37"/>
      <c r="F290" s="1"/>
      <c r="G290" s="1"/>
    </row>
    <row r="291" ht="15.75" customHeight="1">
      <c r="A291" s="36"/>
      <c r="B291" s="37"/>
      <c r="C291" s="37"/>
      <c r="D291" s="37"/>
      <c r="E291" s="37"/>
      <c r="F291" s="1"/>
      <c r="G291" s="1"/>
    </row>
    <row r="292" ht="15.75" customHeight="1">
      <c r="A292" s="36"/>
      <c r="B292" s="37"/>
      <c r="C292" s="37"/>
      <c r="D292" s="37"/>
      <c r="E292" s="37"/>
      <c r="F292" s="1"/>
      <c r="G292" s="1"/>
    </row>
    <row r="293" ht="15.75" customHeight="1">
      <c r="A293" s="36"/>
      <c r="B293" s="37"/>
      <c r="C293" s="37"/>
      <c r="D293" s="37"/>
      <c r="E293" s="37"/>
      <c r="F293" s="1"/>
      <c r="G293" s="1"/>
    </row>
    <row r="294" ht="15.75" customHeight="1">
      <c r="A294" s="36"/>
      <c r="B294" s="37"/>
      <c r="C294" s="37"/>
      <c r="D294" s="37"/>
      <c r="E294" s="37"/>
      <c r="F294" s="1"/>
      <c r="G294" s="1"/>
    </row>
    <row r="295" ht="15.75" customHeight="1">
      <c r="A295" s="36"/>
      <c r="B295" s="37"/>
      <c r="C295" s="37"/>
      <c r="D295" s="37"/>
      <c r="E295" s="37"/>
      <c r="F295" s="1"/>
      <c r="G295" s="1"/>
    </row>
    <row r="296" ht="15.75" customHeight="1">
      <c r="A296" s="36"/>
      <c r="B296" s="37"/>
      <c r="C296" s="37"/>
      <c r="D296" s="37"/>
      <c r="E296" s="37"/>
      <c r="F296" s="1"/>
      <c r="G296" s="1"/>
    </row>
    <row r="297" ht="15.75" customHeight="1">
      <c r="A297" s="36"/>
      <c r="B297" s="37"/>
      <c r="C297" s="37"/>
      <c r="D297" s="37"/>
      <c r="E297" s="37"/>
      <c r="F297" s="1"/>
      <c r="G297" s="1"/>
    </row>
    <row r="298" ht="15.75" customHeight="1">
      <c r="A298" s="36"/>
      <c r="B298" s="37"/>
      <c r="C298" s="37"/>
      <c r="D298" s="37"/>
      <c r="E298" s="37"/>
      <c r="F298" s="1"/>
      <c r="G298" s="1"/>
    </row>
    <row r="299" ht="15.75" customHeight="1">
      <c r="A299" s="36"/>
      <c r="B299" s="37"/>
      <c r="C299" s="37"/>
      <c r="D299" s="37"/>
      <c r="E299" s="37"/>
      <c r="F299" s="1"/>
      <c r="G299" s="1"/>
    </row>
    <row r="300" ht="15.75" customHeight="1">
      <c r="A300" s="36"/>
      <c r="B300" s="37"/>
      <c r="C300" s="37"/>
      <c r="D300" s="37"/>
      <c r="E300" s="37"/>
      <c r="F300" s="1"/>
      <c r="G300" s="1"/>
    </row>
    <row r="301" ht="15.75" customHeight="1">
      <c r="A301" s="36"/>
      <c r="B301" s="37"/>
      <c r="C301" s="37"/>
      <c r="D301" s="37"/>
      <c r="E301" s="37"/>
      <c r="F301" s="1"/>
      <c r="G301" s="1"/>
    </row>
    <row r="302" ht="15.75" customHeight="1">
      <c r="A302" s="36"/>
      <c r="B302" s="37"/>
      <c r="C302" s="37"/>
      <c r="D302" s="37"/>
      <c r="E302" s="37"/>
      <c r="F302" s="1"/>
      <c r="G302" s="1"/>
    </row>
    <row r="303" ht="15.75" customHeight="1">
      <c r="A303" s="36"/>
      <c r="B303" s="37"/>
      <c r="C303" s="37"/>
      <c r="D303" s="37"/>
      <c r="E303" s="37"/>
      <c r="F303" s="1"/>
      <c r="G303" s="1"/>
    </row>
    <row r="304" ht="15.75" customHeight="1">
      <c r="A304" s="36"/>
      <c r="B304" s="37"/>
      <c r="C304" s="37"/>
      <c r="D304" s="37"/>
      <c r="E304" s="37"/>
      <c r="F304" s="1"/>
      <c r="G304" s="1"/>
    </row>
    <row r="305" ht="15.75" customHeight="1">
      <c r="A305" s="36"/>
      <c r="B305" s="37"/>
      <c r="C305" s="37"/>
      <c r="D305" s="37"/>
      <c r="E305" s="37"/>
      <c r="F305" s="1"/>
      <c r="G305" s="1"/>
    </row>
    <row r="306" ht="15.75" customHeight="1">
      <c r="A306" s="36"/>
      <c r="B306" s="37"/>
      <c r="C306" s="37"/>
      <c r="D306" s="37"/>
      <c r="E306" s="37"/>
      <c r="F306" s="1"/>
      <c r="G306" s="1"/>
    </row>
    <row r="307" ht="15.75" customHeight="1">
      <c r="A307" s="36"/>
      <c r="B307" s="37"/>
      <c r="C307" s="37"/>
      <c r="D307" s="37"/>
      <c r="E307" s="37"/>
      <c r="F307" s="1"/>
      <c r="G307" s="1"/>
    </row>
    <row r="308" ht="15.75" customHeight="1">
      <c r="A308" s="36"/>
      <c r="B308" s="37"/>
      <c r="C308" s="37"/>
      <c r="D308" s="37"/>
      <c r="E308" s="37"/>
      <c r="F308" s="1"/>
      <c r="G308" s="1"/>
    </row>
    <row r="309" ht="15.75" customHeight="1">
      <c r="A309" s="36"/>
      <c r="B309" s="37"/>
      <c r="C309" s="37"/>
      <c r="D309" s="37"/>
      <c r="E309" s="37"/>
      <c r="F309" s="1"/>
      <c r="G309" s="1"/>
    </row>
    <row r="310" ht="15.75" customHeight="1">
      <c r="A310" s="36"/>
      <c r="B310" s="37"/>
      <c r="C310" s="37"/>
      <c r="D310" s="37"/>
      <c r="E310" s="37"/>
      <c r="F310" s="1"/>
      <c r="G310" s="1"/>
    </row>
    <row r="311" ht="15.75" customHeight="1">
      <c r="A311" s="36"/>
      <c r="B311" s="37"/>
      <c r="C311" s="37"/>
      <c r="D311" s="37"/>
      <c r="E311" s="37"/>
      <c r="F311" s="1"/>
      <c r="G311" s="1"/>
    </row>
    <row r="312" ht="15.75" customHeight="1">
      <c r="A312" s="36"/>
      <c r="B312" s="37"/>
      <c r="C312" s="37"/>
      <c r="D312" s="37"/>
      <c r="E312" s="37"/>
      <c r="F312" s="1"/>
      <c r="G312" s="1"/>
    </row>
    <row r="313" ht="15.75" customHeight="1">
      <c r="A313" s="36"/>
      <c r="B313" s="37"/>
      <c r="C313" s="37"/>
      <c r="D313" s="37"/>
      <c r="E313" s="37"/>
      <c r="F313" s="1"/>
      <c r="G313" s="1"/>
    </row>
    <row r="314" ht="15.75" customHeight="1">
      <c r="A314" s="36"/>
      <c r="B314" s="37"/>
      <c r="C314" s="37"/>
      <c r="D314" s="37"/>
      <c r="E314" s="37"/>
      <c r="F314" s="1"/>
      <c r="G314" s="1"/>
    </row>
    <row r="315" ht="15.75" customHeight="1">
      <c r="A315" s="36"/>
      <c r="B315" s="37"/>
      <c r="C315" s="37"/>
      <c r="D315" s="37"/>
      <c r="E315" s="37"/>
      <c r="F315" s="1"/>
      <c r="G315" s="1"/>
    </row>
    <row r="316" ht="15.75" customHeight="1">
      <c r="A316" s="36"/>
      <c r="B316" s="37"/>
      <c r="C316" s="37"/>
      <c r="D316" s="37"/>
      <c r="E316" s="37"/>
      <c r="F316" s="1"/>
      <c r="G316" s="1"/>
    </row>
    <row r="317" ht="15.75" customHeight="1">
      <c r="A317" s="36"/>
      <c r="B317" s="37"/>
      <c r="C317" s="37"/>
      <c r="D317" s="37"/>
      <c r="E317" s="37"/>
      <c r="F317" s="1"/>
      <c r="G317" s="1"/>
    </row>
    <row r="318" ht="15.75" customHeight="1">
      <c r="A318" s="36"/>
      <c r="B318" s="37"/>
      <c r="C318" s="37"/>
      <c r="D318" s="37"/>
      <c r="E318" s="37"/>
      <c r="F318" s="1"/>
      <c r="G318" s="1"/>
    </row>
    <row r="319" ht="15.75" customHeight="1">
      <c r="A319" s="36"/>
      <c r="B319" s="37"/>
      <c r="C319" s="37"/>
      <c r="D319" s="37"/>
      <c r="E319" s="37"/>
      <c r="F319" s="1"/>
      <c r="G319" s="1"/>
    </row>
    <row r="320" ht="15.75" customHeight="1">
      <c r="A320" s="36"/>
      <c r="B320" s="37"/>
      <c r="C320" s="37"/>
      <c r="D320" s="37"/>
      <c r="E320" s="37"/>
      <c r="F320" s="1"/>
      <c r="G320" s="1"/>
    </row>
    <row r="321" ht="15.75" customHeight="1">
      <c r="A321" s="36"/>
      <c r="B321" s="37"/>
      <c r="C321" s="37"/>
      <c r="D321" s="37"/>
      <c r="E321" s="37"/>
      <c r="F321" s="1"/>
      <c r="G321" s="1"/>
    </row>
    <row r="322" ht="15.75" customHeight="1">
      <c r="A322" s="36"/>
      <c r="B322" s="37"/>
      <c r="C322" s="37"/>
      <c r="D322" s="37"/>
      <c r="E322" s="37"/>
      <c r="F322" s="1"/>
      <c r="G322" s="1"/>
    </row>
    <row r="323" ht="15.75" customHeight="1">
      <c r="A323" s="36"/>
      <c r="B323" s="37"/>
      <c r="C323" s="37"/>
      <c r="D323" s="37"/>
      <c r="E323" s="37"/>
      <c r="F323" s="1"/>
      <c r="G323" s="1"/>
    </row>
    <row r="324" ht="15.75" customHeight="1">
      <c r="A324" s="36"/>
      <c r="B324" s="37"/>
      <c r="C324" s="37"/>
      <c r="D324" s="37"/>
      <c r="E324" s="37"/>
      <c r="F324" s="1"/>
      <c r="G324" s="1"/>
    </row>
    <row r="325" ht="15.75" customHeight="1">
      <c r="A325" s="36"/>
      <c r="B325" s="37"/>
      <c r="C325" s="37"/>
      <c r="D325" s="37"/>
      <c r="E325" s="37"/>
      <c r="F325" s="1"/>
      <c r="G325" s="1"/>
    </row>
    <row r="326" ht="15.75" customHeight="1">
      <c r="A326" s="36"/>
      <c r="B326" s="37"/>
      <c r="C326" s="37"/>
      <c r="D326" s="37"/>
      <c r="E326" s="37"/>
      <c r="F326" s="1"/>
      <c r="G326" s="1"/>
    </row>
    <row r="327" ht="15.75" customHeight="1">
      <c r="A327" s="36"/>
      <c r="B327" s="37"/>
      <c r="C327" s="37"/>
      <c r="D327" s="37"/>
      <c r="E327" s="37"/>
      <c r="F327" s="1"/>
      <c r="G327" s="1"/>
    </row>
    <row r="328" ht="15.75" customHeight="1">
      <c r="A328" s="36"/>
      <c r="B328" s="37"/>
      <c r="C328" s="37"/>
      <c r="D328" s="37"/>
      <c r="E328" s="37"/>
      <c r="F328" s="1"/>
      <c r="G328" s="1"/>
    </row>
    <row r="329" ht="15.75" customHeight="1">
      <c r="A329" s="36"/>
      <c r="B329" s="37"/>
      <c r="C329" s="37"/>
      <c r="D329" s="37"/>
      <c r="E329" s="37"/>
      <c r="F329" s="1"/>
      <c r="G329" s="1"/>
    </row>
    <row r="330" ht="15.75" customHeight="1">
      <c r="A330" s="36"/>
      <c r="B330" s="37"/>
      <c r="C330" s="37"/>
      <c r="D330" s="37"/>
      <c r="E330" s="37"/>
      <c r="F330" s="1"/>
      <c r="G330" s="1"/>
    </row>
    <row r="331" ht="15.75" customHeight="1">
      <c r="A331" s="36"/>
      <c r="B331" s="37"/>
      <c r="C331" s="37"/>
      <c r="D331" s="37"/>
      <c r="E331" s="37"/>
      <c r="F331" s="1"/>
      <c r="G331" s="1"/>
    </row>
    <row r="332" ht="15.75" customHeight="1">
      <c r="A332" s="36"/>
      <c r="B332" s="37"/>
      <c r="C332" s="37"/>
      <c r="D332" s="37"/>
      <c r="E332" s="37"/>
      <c r="F332" s="1"/>
      <c r="G332" s="1"/>
    </row>
    <row r="333" ht="15.75" customHeight="1">
      <c r="A333" s="36"/>
      <c r="B333" s="37"/>
      <c r="C333" s="37"/>
      <c r="D333" s="37"/>
      <c r="E333" s="37"/>
      <c r="F333" s="1"/>
      <c r="G333" s="1"/>
    </row>
    <row r="334" ht="15.75" customHeight="1">
      <c r="A334" s="36"/>
      <c r="B334" s="37"/>
      <c r="C334" s="37"/>
      <c r="D334" s="37"/>
      <c r="E334" s="37"/>
      <c r="F334" s="1"/>
      <c r="G334" s="1"/>
    </row>
    <row r="335" ht="15.75" customHeight="1">
      <c r="A335" s="36"/>
      <c r="B335" s="37"/>
      <c r="C335" s="37"/>
      <c r="D335" s="37"/>
      <c r="E335" s="37"/>
      <c r="F335" s="1"/>
      <c r="G335" s="1"/>
    </row>
    <row r="336" ht="15.75" customHeight="1">
      <c r="A336" s="36"/>
      <c r="B336" s="37"/>
      <c r="C336" s="37"/>
      <c r="D336" s="37"/>
      <c r="E336" s="37"/>
      <c r="F336" s="1"/>
      <c r="G336" s="1"/>
    </row>
    <row r="337" ht="15.75" customHeight="1">
      <c r="A337" s="36"/>
      <c r="B337" s="37"/>
      <c r="C337" s="37"/>
      <c r="D337" s="37"/>
      <c r="E337" s="37"/>
      <c r="F337" s="1"/>
      <c r="G337" s="1"/>
    </row>
    <row r="338" ht="15.75" customHeight="1">
      <c r="A338" s="36"/>
      <c r="B338" s="37"/>
      <c r="C338" s="37"/>
      <c r="D338" s="37"/>
      <c r="E338" s="37"/>
      <c r="F338" s="1"/>
      <c r="G338" s="1"/>
    </row>
    <row r="339" ht="15.75" customHeight="1">
      <c r="A339" s="36"/>
      <c r="B339" s="37"/>
      <c r="C339" s="37"/>
      <c r="D339" s="37"/>
      <c r="E339" s="37"/>
      <c r="F339" s="1"/>
      <c r="G339" s="1"/>
    </row>
    <row r="340" ht="15.75" customHeight="1">
      <c r="A340" s="36"/>
      <c r="B340" s="37"/>
      <c r="C340" s="37"/>
      <c r="D340" s="37"/>
      <c r="E340" s="37"/>
      <c r="F340" s="1"/>
      <c r="G340" s="1"/>
    </row>
    <row r="341" ht="15.75" customHeight="1">
      <c r="A341" s="36"/>
      <c r="B341" s="37"/>
      <c r="C341" s="37"/>
      <c r="D341" s="37"/>
      <c r="E341" s="37"/>
      <c r="F341" s="1"/>
      <c r="G341" s="1"/>
    </row>
    <row r="342" ht="15.75" customHeight="1">
      <c r="A342" s="36"/>
      <c r="B342" s="37"/>
      <c r="C342" s="37"/>
      <c r="D342" s="37"/>
      <c r="E342" s="37"/>
      <c r="F342" s="1"/>
      <c r="G342" s="1"/>
    </row>
    <row r="343" ht="15.75" customHeight="1">
      <c r="A343" s="36"/>
      <c r="B343" s="37"/>
      <c r="C343" s="37"/>
      <c r="D343" s="37"/>
      <c r="E343" s="37"/>
      <c r="F343" s="1"/>
      <c r="G343" s="1"/>
    </row>
    <row r="344" ht="15.75" customHeight="1">
      <c r="A344" s="36"/>
      <c r="B344" s="37"/>
      <c r="C344" s="37"/>
      <c r="D344" s="37"/>
      <c r="E344" s="37"/>
      <c r="F344" s="1"/>
      <c r="G344" s="1"/>
    </row>
    <row r="345" ht="15.75" customHeight="1">
      <c r="A345" s="36"/>
      <c r="B345" s="37"/>
      <c r="C345" s="37"/>
      <c r="D345" s="37"/>
      <c r="E345" s="37"/>
      <c r="F345" s="1"/>
      <c r="G345" s="1"/>
    </row>
    <row r="346" ht="15.75" customHeight="1">
      <c r="A346" s="36"/>
      <c r="B346" s="37"/>
      <c r="C346" s="37"/>
      <c r="D346" s="37"/>
      <c r="E346" s="37"/>
      <c r="F346" s="1"/>
      <c r="G346" s="1"/>
    </row>
    <row r="347" ht="15.75" customHeight="1">
      <c r="A347" s="36"/>
      <c r="B347" s="37"/>
      <c r="C347" s="37"/>
      <c r="D347" s="37"/>
      <c r="E347" s="37"/>
      <c r="F347" s="1"/>
      <c r="G347" s="1"/>
    </row>
    <row r="348" ht="15.75" customHeight="1">
      <c r="A348" s="36"/>
      <c r="B348" s="37"/>
      <c r="C348" s="37"/>
      <c r="D348" s="37"/>
      <c r="E348" s="37"/>
      <c r="F348" s="1"/>
      <c r="G348" s="1"/>
    </row>
    <row r="349" ht="15.75" customHeight="1">
      <c r="A349" s="36"/>
      <c r="B349" s="37"/>
      <c r="C349" s="37"/>
      <c r="D349" s="37"/>
      <c r="E349" s="37"/>
      <c r="F349" s="1"/>
      <c r="G349" s="1"/>
    </row>
    <row r="350" ht="15.75" customHeight="1">
      <c r="A350" s="36"/>
      <c r="B350" s="37"/>
      <c r="C350" s="37"/>
      <c r="D350" s="37"/>
      <c r="E350" s="37"/>
      <c r="F350" s="1"/>
      <c r="G350" s="1"/>
    </row>
    <row r="351" ht="15.75" customHeight="1">
      <c r="A351" s="36"/>
      <c r="B351" s="37"/>
      <c r="C351" s="37"/>
      <c r="D351" s="37"/>
      <c r="E351" s="37"/>
      <c r="F351" s="1"/>
      <c r="G351" s="1"/>
    </row>
    <row r="352" ht="15.75" customHeight="1">
      <c r="A352" s="36"/>
      <c r="B352" s="37"/>
      <c r="C352" s="37"/>
      <c r="D352" s="37"/>
      <c r="E352" s="37"/>
      <c r="F352" s="1"/>
      <c r="G352" s="1"/>
    </row>
    <row r="353" ht="15.75" customHeight="1">
      <c r="A353" s="36"/>
      <c r="B353" s="37"/>
      <c r="C353" s="37"/>
      <c r="D353" s="37"/>
      <c r="E353" s="37"/>
      <c r="F353" s="1"/>
      <c r="G353" s="1"/>
    </row>
    <row r="354" ht="15.75" customHeight="1">
      <c r="A354" s="36"/>
      <c r="B354" s="37"/>
      <c r="C354" s="37"/>
      <c r="D354" s="37"/>
      <c r="E354" s="37"/>
      <c r="F354" s="1"/>
      <c r="G354" s="1"/>
    </row>
    <row r="355" ht="15.75" customHeight="1">
      <c r="A355" s="36"/>
      <c r="B355" s="37"/>
      <c r="C355" s="37"/>
      <c r="D355" s="37"/>
      <c r="E355" s="37"/>
      <c r="F355" s="1"/>
      <c r="G355" s="1"/>
    </row>
    <row r="356" ht="15.75" customHeight="1">
      <c r="A356" s="36"/>
      <c r="B356" s="37"/>
      <c r="C356" s="37"/>
      <c r="D356" s="37"/>
      <c r="E356" s="37"/>
      <c r="F356" s="1"/>
      <c r="G356" s="1"/>
    </row>
    <row r="357" ht="15.75" customHeight="1">
      <c r="A357" s="36"/>
      <c r="B357" s="37"/>
      <c r="C357" s="37"/>
      <c r="D357" s="37"/>
      <c r="E357" s="37"/>
      <c r="F357" s="1"/>
      <c r="G357" s="1"/>
    </row>
    <row r="358" ht="15.75" customHeight="1">
      <c r="A358" s="36"/>
      <c r="B358" s="37"/>
      <c r="C358" s="37"/>
      <c r="D358" s="37"/>
      <c r="E358" s="37"/>
      <c r="F358" s="1"/>
      <c r="G358" s="1"/>
    </row>
    <row r="359" ht="15.75" customHeight="1">
      <c r="A359" s="36"/>
      <c r="B359" s="37"/>
      <c r="C359" s="37"/>
      <c r="D359" s="37"/>
      <c r="E359" s="37"/>
      <c r="F359" s="1"/>
      <c r="G359" s="1"/>
    </row>
    <row r="360" ht="15.75" customHeight="1">
      <c r="A360" s="36"/>
      <c r="B360" s="37"/>
      <c r="C360" s="37"/>
      <c r="D360" s="37"/>
      <c r="E360" s="37"/>
      <c r="F360" s="1"/>
      <c r="G360" s="1"/>
    </row>
    <row r="361" ht="15.75" customHeight="1">
      <c r="A361" s="36"/>
      <c r="B361" s="37"/>
      <c r="C361" s="37"/>
      <c r="D361" s="37"/>
      <c r="E361" s="37"/>
      <c r="F361" s="1"/>
      <c r="G361" s="1"/>
    </row>
    <row r="362" ht="15.75" customHeight="1">
      <c r="A362" s="36"/>
      <c r="B362" s="37"/>
      <c r="C362" s="37"/>
      <c r="D362" s="37"/>
      <c r="E362" s="37"/>
      <c r="F362" s="1"/>
      <c r="G362" s="1"/>
    </row>
    <row r="363" ht="15.75" customHeight="1">
      <c r="A363" s="36"/>
      <c r="B363" s="37"/>
      <c r="C363" s="37"/>
      <c r="D363" s="37"/>
      <c r="E363" s="37"/>
      <c r="F363" s="1"/>
      <c r="G363" s="1"/>
    </row>
    <row r="364" ht="15.75" customHeight="1">
      <c r="A364" s="36"/>
      <c r="B364" s="37"/>
      <c r="C364" s="37"/>
      <c r="D364" s="37"/>
      <c r="E364" s="37"/>
      <c r="F364" s="1"/>
      <c r="G364" s="1"/>
    </row>
    <row r="365" ht="15.75" customHeight="1">
      <c r="A365" s="36"/>
      <c r="B365" s="37"/>
      <c r="C365" s="37"/>
      <c r="D365" s="37"/>
      <c r="E365" s="37"/>
      <c r="F365" s="1"/>
      <c r="G365" s="1"/>
    </row>
    <row r="366" ht="15.75" customHeight="1">
      <c r="A366" s="36"/>
      <c r="B366" s="37"/>
      <c r="C366" s="37"/>
      <c r="D366" s="37"/>
      <c r="E366" s="37"/>
      <c r="F366" s="1"/>
      <c r="G366" s="1"/>
    </row>
    <row r="367" ht="15.75" customHeight="1">
      <c r="A367" s="36"/>
      <c r="B367" s="37"/>
      <c r="C367" s="37"/>
      <c r="D367" s="37"/>
      <c r="E367" s="37"/>
      <c r="F367" s="1"/>
      <c r="G367" s="1"/>
    </row>
    <row r="368" ht="15.75" customHeight="1">
      <c r="A368" s="36"/>
      <c r="B368" s="37"/>
      <c r="C368" s="37"/>
      <c r="D368" s="37"/>
      <c r="E368" s="37"/>
      <c r="F368" s="1"/>
      <c r="G368" s="1"/>
    </row>
    <row r="369" ht="15.75" customHeight="1">
      <c r="A369" s="36"/>
      <c r="B369" s="37"/>
      <c r="C369" s="37"/>
      <c r="D369" s="37"/>
      <c r="E369" s="37"/>
      <c r="F369" s="1"/>
      <c r="G369" s="1"/>
    </row>
    <row r="370" ht="15.75" customHeight="1">
      <c r="A370" s="36"/>
      <c r="B370" s="37"/>
      <c r="C370" s="37"/>
      <c r="D370" s="37"/>
      <c r="E370" s="37"/>
      <c r="F370" s="1"/>
      <c r="G370" s="1"/>
    </row>
    <row r="371" ht="15.75" customHeight="1">
      <c r="A371" s="36"/>
      <c r="B371" s="37"/>
      <c r="C371" s="37"/>
      <c r="D371" s="37"/>
      <c r="E371" s="37"/>
      <c r="F371" s="1"/>
      <c r="G371" s="1"/>
    </row>
    <row r="372" ht="15.75" customHeight="1">
      <c r="A372" s="36"/>
      <c r="B372" s="37"/>
      <c r="C372" s="37"/>
      <c r="D372" s="37"/>
      <c r="E372" s="37"/>
      <c r="F372" s="1"/>
      <c r="G372" s="1"/>
    </row>
    <row r="373" ht="15.75" customHeight="1">
      <c r="A373" s="36"/>
      <c r="B373" s="37"/>
      <c r="C373" s="37"/>
      <c r="D373" s="37"/>
      <c r="E373" s="37"/>
      <c r="F373" s="1"/>
      <c r="G373" s="1"/>
    </row>
    <row r="374" ht="15.75" customHeight="1">
      <c r="A374" s="36"/>
      <c r="B374" s="37"/>
      <c r="C374" s="37"/>
      <c r="D374" s="37"/>
      <c r="E374" s="37"/>
      <c r="F374" s="1"/>
      <c r="G374" s="1"/>
    </row>
    <row r="375" ht="15.75" customHeight="1">
      <c r="A375" s="36"/>
      <c r="B375" s="37"/>
      <c r="C375" s="37"/>
      <c r="D375" s="37"/>
      <c r="E375" s="37"/>
      <c r="F375" s="1"/>
      <c r="G375" s="1"/>
    </row>
    <row r="376" ht="15.75" customHeight="1">
      <c r="A376" s="36"/>
      <c r="B376" s="37"/>
      <c r="C376" s="37"/>
      <c r="D376" s="37"/>
      <c r="E376" s="37"/>
      <c r="F376" s="1"/>
      <c r="G376" s="1"/>
    </row>
    <row r="377" ht="15.75" customHeight="1">
      <c r="A377" s="36"/>
      <c r="B377" s="37"/>
      <c r="C377" s="37"/>
      <c r="D377" s="37"/>
      <c r="E377" s="37"/>
      <c r="F377" s="1"/>
      <c r="G377" s="1"/>
    </row>
    <row r="378" ht="15.75" customHeight="1">
      <c r="A378" s="36"/>
      <c r="B378" s="37"/>
      <c r="C378" s="37"/>
      <c r="D378" s="37"/>
      <c r="E378" s="37"/>
      <c r="F378" s="1"/>
      <c r="G378" s="1"/>
    </row>
    <row r="379" ht="15.75" customHeight="1">
      <c r="A379" s="36"/>
      <c r="B379" s="37"/>
      <c r="C379" s="37"/>
      <c r="D379" s="37"/>
      <c r="E379" s="37"/>
      <c r="F379" s="1"/>
      <c r="G379" s="1"/>
    </row>
    <row r="380" ht="15.75" customHeight="1">
      <c r="A380" s="36"/>
      <c r="B380" s="37"/>
      <c r="C380" s="37"/>
      <c r="D380" s="37"/>
      <c r="E380" s="37"/>
      <c r="F380" s="1"/>
      <c r="G380" s="1"/>
    </row>
    <row r="381" ht="15.75" customHeight="1">
      <c r="A381" s="36"/>
      <c r="B381" s="37"/>
      <c r="C381" s="37"/>
      <c r="D381" s="37"/>
      <c r="E381" s="37"/>
      <c r="F381" s="1"/>
      <c r="G381" s="1"/>
    </row>
    <row r="382" ht="15.75" customHeight="1">
      <c r="A382" s="36"/>
      <c r="B382" s="37"/>
      <c r="C382" s="37"/>
      <c r="D382" s="37"/>
      <c r="E382" s="37"/>
      <c r="F382" s="1"/>
      <c r="G382" s="1"/>
    </row>
    <row r="383" ht="15.75" customHeight="1">
      <c r="A383" s="36"/>
      <c r="B383" s="37"/>
      <c r="C383" s="37"/>
      <c r="D383" s="37"/>
      <c r="E383" s="37"/>
      <c r="F383" s="1"/>
      <c r="G383" s="1"/>
    </row>
    <row r="384" ht="15.75" customHeight="1">
      <c r="A384" s="36"/>
      <c r="B384" s="37"/>
      <c r="C384" s="37"/>
      <c r="D384" s="37"/>
      <c r="E384" s="37"/>
      <c r="F384" s="1"/>
      <c r="G384" s="1"/>
    </row>
    <row r="385" ht="15.75" customHeight="1">
      <c r="A385" s="36"/>
      <c r="B385" s="37"/>
      <c r="C385" s="37"/>
      <c r="D385" s="37"/>
      <c r="E385" s="37"/>
      <c r="F385" s="1"/>
      <c r="G385" s="1"/>
    </row>
    <row r="386" ht="15.75" customHeight="1">
      <c r="A386" s="36"/>
      <c r="B386" s="37"/>
      <c r="C386" s="37"/>
      <c r="D386" s="37"/>
      <c r="E386" s="37"/>
      <c r="F386" s="1"/>
      <c r="G386" s="1"/>
    </row>
    <row r="387" ht="15.75" customHeight="1">
      <c r="A387" s="36"/>
      <c r="B387" s="37"/>
      <c r="C387" s="37"/>
      <c r="D387" s="37"/>
      <c r="E387" s="37"/>
      <c r="F387" s="1"/>
      <c r="G387" s="1"/>
    </row>
    <row r="388" ht="15.75" customHeight="1">
      <c r="A388" s="36"/>
      <c r="B388" s="37"/>
      <c r="C388" s="37"/>
      <c r="D388" s="37"/>
      <c r="E388" s="37"/>
      <c r="F388" s="1"/>
      <c r="G388" s="1"/>
    </row>
    <row r="389" ht="15.75" customHeight="1">
      <c r="A389" s="36"/>
      <c r="B389" s="37"/>
      <c r="C389" s="37"/>
      <c r="D389" s="37"/>
      <c r="E389" s="37"/>
      <c r="F389" s="1"/>
      <c r="G389" s="1"/>
    </row>
    <row r="390" ht="15.75" customHeight="1">
      <c r="A390" s="36"/>
      <c r="B390" s="37"/>
      <c r="C390" s="37"/>
      <c r="D390" s="37"/>
      <c r="E390" s="37"/>
      <c r="F390" s="1"/>
      <c r="G390" s="1"/>
    </row>
    <row r="391" ht="15.75" customHeight="1">
      <c r="A391" s="36"/>
      <c r="B391" s="37"/>
      <c r="C391" s="37"/>
      <c r="D391" s="37"/>
      <c r="E391" s="37"/>
      <c r="F391" s="1"/>
      <c r="G391" s="1"/>
    </row>
    <row r="392" ht="15.75" customHeight="1">
      <c r="A392" s="36"/>
      <c r="B392" s="37"/>
      <c r="C392" s="37"/>
      <c r="D392" s="37"/>
      <c r="E392" s="37"/>
      <c r="F392" s="1"/>
      <c r="G392" s="1"/>
    </row>
    <row r="393" ht="15.75" customHeight="1">
      <c r="A393" s="36"/>
      <c r="B393" s="37"/>
      <c r="C393" s="37"/>
      <c r="D393" s="37"/>
      <c r="E393" s="37"/>
      <c r="F393" s="1"/>
      <c r="G393" s="1"/>
    </row>
    <row r="394" ht="15.75" customHeight="1">
      <c r="A394" s="36"/>
      <c r="B394" s="37"/>
      <c r="C394" s="37"/>
      <c r="D394" s="37"/>
      <c r="E394" s="37"/>
      <c r="F394" s="1"/>
      <c r="G394" s="1"/>
    </row>
    <row r="395" ht="15.75" customHeight="1">
      <c r="A395" s="36"/>
      <c r="B395" s="37"/>
      <c r="C395" s="37"/>
      <c r="D395" s="37"/>
      <c r="E395" s="37"/>
      <c r="F395" s="1"/>
      <c r="G395" s="1"/>
    </row>
    <row r="396" ht="15.75" customHeight="1">
      <c r="A396" s="36"/>
      <c r="B396" s="37"/>
      <c r="C396" s="37"/>
      <c r="D396" s="37"/>
      <c r="E396" s="37"/>
      <c r="F396" s="1"/>
      <c r="G396" s="1"/>
    </row>
    <row r="397" ht="15.75" customHeight="1">
      <c r="A397" s="36"/>
      <c r="B397" s="37"/>
      <c r="C397" s="37"/>
      <c r="D397" s="37"/>
      <c r="E397" s="37"/>
      <c r="F397" s="1"/>
      <c r="G397" s="1"/>
    </row>
    <row r="398" ht="15.75" customHeight="1">
      <c r="A398" s="36"/>
      <c r="B398" s="37"/>
      <c r="C398" s="37"/>
      <c r="D398" s="37"/>
      <c r="E398" s="37"/>
      <c r="F398" s="1"/>
      <c r="G398" s="1"/>
    </row>
    <row r="399" ht="15.75" customHeight="1">
      <c r="A399" s="36"/>
      <c r="B399" s="37"/>
      <c r="C399" s="37"/>
      <c r="D399" s="37"/>
      <c r="E399" s="37"/>
      <c r="F399" s="1"/>
      <c r="G399" s="1"/>
    </row>
    <row r="400" ht="15.75" customHeight="1">
      <c r="A400" s="36"/>
      <c r="B400" s="37"/>
      <c r="C400" s="37"/>
      <c r="D400" s="37"/>
      <c r="E400" s="37"/>
      <c r="F400" s="1"/>
      <c r="G400" s="1"/>
    </row>
    <row r="401" ht="15.75" customHeight="1">
      <c r="A401" s="36"/>
      <c r="B401" s="37"/>
      <c r="C401" s="37"/>
      <c r="D401" s="37"/>
      <c r="E401" s="37"/>
      <c r="F401" s="1"/>
      <c r="G401" s="1"/>
    </row>
    <row r="402" ht="15.75" customHeight="1">
      <c r="A402" s="36"/>
      <c r="B402" s="37"/>
      <c r="C402" s="37"/>
      <c r="D402" s="37"/>
      <c r="E402" s="37"/>
      <c r="F402" s="1"/>
      <c r="G402" s="1"/>
    </row>
    <row r="403" ht="15.75" customHeight="1">
      <c r="A403" s="36"/>
      <c r="B403" s="37"/>
      <c r="C403" s="37"/>
      <c r="D403" s="37"/>
      <c r="E403" s="37"/>
      <c r="F403" s="1"/>
      <c r="G403" s="1"/>
    </row>
    <row r="404" ht="15.75" customHeight="1">
      <c r="A404" s="36"/>
      <c r="B404" s="37"/>
      <c r="C404" s="37"/>
      <c r="D404" s="37"/>
      <c r="E404" s="37"/>
      <c r="F404" s="1"/>
      <c r="G404" s="1"/>
    </row>
    <row r="405" ht="15.75" customHeight="1">
      <c r="A405" s="36"/>
      <c r="B405" s="37"/>
      <c r="C405" s="37"/>
      <c r="D405" s="37"/>
      <c r="E405" s="37"/>
      <c r="F405" s="1"/>
      <c r="G405" s="1"/>
    </row>
    <row r="406" ht="15.75" customHeight="1">
      <c r="A406" s="36"/>
      <c r="B406" s="37"/>
      <c r="C406" s="37"/>
      <c r="D406" s="37"/>
      <c r="E406" s="37"/>
      <c r="F406" s="1"/>
      <c r="G406" s="1"/>
    </row>
    <row r="407" ht="15.75" customHeight="1">
      <c r="A407" s="36"/>
      <c r="B407" s="37"/>
      <c r="C407" s="37"/>
      <c r="D407" s="37"/>
      <c r="E407" s="37"/>
      <c r="F407" s="1"/>
      <c r="G407" s="1"/>
    </row>
    <row r="408" ht="15.75" customHeight="1">
      <c r="A408" s="36"/>
      <c r="B408" s="37"/>
      <c r="C408" s="37"/>
      <c r="D408" s="37"/>
      <c r="E408" s="37"/>
      <c r="F408" s="1"/>
      <c r="G408" s="1"/>
    </row>
    <row r="409" ht="15.75" customHeight="1">
      <c r="A409" s="36"/>
      <c r="B409" s="37"/>
      <c r="C409" s="37"/>
      <c r="D409" s="37"/>
      <c r="E409" s="37"/>
      <c r="F409" s="1"/>
      <c r="G409" s="1"/>
    </row>
    <row r="410" ht="15.75" customHeight="1">
      <c r="A410" s="36"/>
      <c r="B410" s="37"/>
      <c r="C410" s="37"/>
      <c r="D410" s="37"/>
      <c r="E410" s="37"/>
      <c r="F410" s="1"/>
      <c r="G410" s="1"/>
    </row>
    <row r="411" ht="15.75" customHeight="1">
      <c r="A411" s="36"/>
      <c r="B411" s="37"/>
      <c r="C411" s="37"/>
      <c r="D411" s="37"/>
      <c r="E411" s="37"/>
      <c r="F411" s="1"/>
      <c r="G411" s="1"/>
    </row>
    <row r="412" ht="15.75" customHeight="1">
      <c r="A412" s="36"/>
      <c r="B412" s="37"/>
      <c r="C412" s="37"/>
      <c r="D412" s="37"/>
      <c r="E412" s="37"/>
      <c r="F412" s="1"/>
      <c r="G412" s="1"/>
    </row>
    <row r="413" ht="15.75" customHeight="1">
      <c r="A413" s="36"/>
      <c r="B413" s="37"/>
      <c r="C413" s="37"/>
      <c r="D413" s="37"/>
      <c r="E413" s="37"/>
      <c r="F413" s="1"/>
      <c r="G413" s="1"/>
    </row>
    <row r="414" ht="15.75" customHeight="1">
      <c r="A414" s="36"/>
      <c r="B414" s="37"/>
      <c r="C414" s="37"/>
      <c r="D414" s="37"/>
      <c r="E414" s="37"/>
      <c r="F414" s="1"/>
      <c r="G414" s="1"/>
    </row>
    <row r="415" ht="15.75" customHeight="1">
      <c r="A415" s="36"/>
      <c r="B415" s="37"/>
      <c r="C415" s="37"/>
      <c r="D415" s="37"/>
      <c r="E415" s="37"/>
      <c r="F415" s="1"/>
      <c r="G415" s="1"/>
    </row>
    <row r="416" ht="15.75" customHeight="1">
      <c r="A416" s="36"/>
      <c r="B416" s="37"/>
      <c r="C416" s="37"/>
      <c r="D416" s="37"/>
      <c r="E416" s="37"/>
      <c r="F416" s="1"/>
      <c r="G416" s="1"/>
    </row>
    <row r="417" ht="15.75" customHeight="1">
      <c r="A417" s="36"/>
      <c r="B417" s="37"/>
      <c r="C417" s="37"/>
      <c r="D417" s="37"/>
      <c r="E417" s="37"/>
      <c r="F417" s="1"/>
      <c r="G417" s="1"/>
    </row>
    <row r="418" ht="15.75" customHeight="1">
      <c r="A418" s="36"/>
      <c r="B418" s="37"/>
      <c r="C418" s="37"/>
      <c r="D418" s="37"/>
      <c r="E418" s="37"/>
      <c r="F418" s="1"/>
      <c r="G418" s="1"/>
    </row>
    <row r="419" ht="15.75" customHeight="1">
      <c r="A419" s="36"/>
      <c r="B419" s="37"/>
      <c r="C419" s="37"/>
      <c r="D419" s="37"/>
      <c r="E419" s="37"/>
      <c r="F419" s="1"/>
      <c r="G419" s="1"/>
    </row>
    <row r="420" ht="15.75" customHeight="1">
      <c r="A420" s="36"/>
      <c r="B420" s="37"/>
      <c r="C420" s="37"/>
      <c r="D420" s="37"/>
      <c r="E420" s="37"/>
      <c r="F420" s="1"/>
      <c r="G420" s="1"/>
    </row>
    <row r="421" ht="15.75" customHeight="1">
      <c r="A421" s="36"/>
      <c r="B421" s="37"/>
      <c r="C421" s="37"/>
      <c r="D421" s="37"/>
      <c r="E421" s="37"/>
      <c r="F421" s="1"/>
      <c r="G421" s="1"/>
    </row>
    <row r="422" ht="15.75" customHeight="1">
      <c r="A422" s="36"/>
      <c r="B422" s="37"/>
      <c r="C422" s="37"/>
      <c r="D422" s="37"/>
      <c r="E422" s="37"/>
      <c r="F422" s="1"/>
      <c r="G422" s="1"/>
    </row>
    <row r="423" ht="15.75" customHeight="1">
      <c r="A423" s="36"/>
      <c r="B423" s="37"/>
      <c r="C423" s="37"/>
      <c r="D423" s="37"/>
      <c r="E423" s="37"/>
      <c r="F423" s="1"/>
      <c r="G423" s="1"/>
    </row>
    <row r="424" ht="15.75" customHeight="1">
      <c r="A424" s="36"/>
      <c r="B424" s="37"/>
      <c r="C424" s="37"/>
      <c r="D424" s="37"/>
      <c r="E424" s="37"/>
      <c r="F424" s="1"/>
      <c r="G424" s="1"/>
    </row>
    <row r="425" ht="15.75" customHeight="1">
      <c r="A425" s="36"/>
      <c r="B425" s="37"/>
      <c r="C425" s="37"/>
      <c r="D425" s="37"/>
      <c r="E425" s="37"/>
      <c r="F425" s="1"/>
      <c r="G425" s="1"/>
    </row>
    <row r="426" ht="15.75" customHeight="1">
      <c r="A426" s="36"/>
      <c r="B426" s="37"/>
      <c r="C426" s="37"/>
      <c r="D426" s="37"/>
      <c r="E426" s="37"/>
      <c r="F426" s="1"/>
      <c r="G426" s="1"/>
    </row>
    <row r="427" ht="15.75" customHeight="1">
      <c r="A427" s="36"/>
      <c r="B427" s="37"/>
      <c r="C427" s="37"/>
      <c r="D427" s="37"/>
      <c r="E427" s="37"/>
      <c r="F427" s="1"/>
      <c r="G427" s="1"/>
    </row>
    <row r="428" ht="15.75" customHeight="1">
      <c r="A428" s="36"/>
      <c r="B428" s="37"/>
      <c r="C428" s="37"/>
      <c r="D428" s="37"/>
      <c r="E428" s="37"/>
      <c r="F428" s="1"/>
      <c r="G428" s="1"/>
    </row>
    <row r="429" ht="15.75" customHeight="1">
      <c r="A429" s="36"/>
      <c r="B429" s="37"/>
      <c r="C429" s="37"/>
      <c r="D429" s="37"/>
      <c r="E429" s="37"/>
      <c r="F429" s="1"/>
      <c r="G429" s="1"/>
    </row>
    <row r="430" ht="15.75" customHeight="1">
      <c r="A430" s="36"/>
      <c r="B430" s="37"/>
      <c r="C430" s="37"/>
      <c r="D430" s="37"/>
      <c r="E430" s="37"/>
      <c r="F430" s="1"/>
      <c r="G430" s="1"/>
    </row>
    <row r="431" ht="15.75" customHeight="1">
      <c r="A431" s="36"/>
      <c r="B431" s="37"/>
      <c r="C431" s="37"/>
      <c r="D431" s="37"/>
      <c r="E431" s="37"/>
      <c r="F431" s="1"/>
      <c r="G431" s="1"/>
    </row>
    <row r="432" ht="15.75" customHeight="1">
      <c r="A432" s="36"/>
      <c r="B432" s="37"/>
      <c r="C432" s="37"/>
      <c r="D432" s="37"/>
      <c r="E432" s="37"/>
      <c r="F432" s="1"/>
      <c r="G432" s="1"/>
    </row>
    <row r="433" ht="15.75" customHeight="1">
      <c r="A433" s="36"/>
      <c r="B433" s="37"/>
      <c r="C433" s="37"/>
      <c r="D433" s="37"/>
      <c r="E433" s="37"/>
      <c r="F433" s="1"/>
      <c r="G433" s="1"/>
    </row>
    <row r="434" ht="15.75" customHeight="1">
      <c r="A434" s="36"/>
      <c r="B434" s="37"/>
      <c r="C434" s="37"/>
      <c r="D434" s="37"/>
      <c r="E434" s="37"/>
      <c r="F434" s="1"/>
      <c r="G434" s="1"/>
    </row>
    <row r="435" ht="15.75" customHeight="1">
      <c r="A435" s="36"/>
      <c r="B435" s="37"/>
      <c r="C435" s="37"/>
      <c r="D435" s="37"/>
      <c r="E435" s="37"/>
      <c r="F435" s="1"/>
      <c r="G435" s="1"/>
    </row>
    <row r="436" ht="15.75" customHeight="1">
      <c r="A436" s="36"/>
      <c r="B436" s="37"/>
      <c r="C436" s="37"/>
      <c r="D436" s="37"/>
      <c r="E436" s="37"/>
      <c r="F436" s="1"/>
      <c r="G436" s="1"/>
    </row>
    <row r="437" ht="15.75" customHeight="1">
      <c r="A437" s="36"/>
      <c r="B437" s="37"/>
      <c r="C437" s="37"/>
      <c r="D437" s="37"/>
      <c r="E437" s="37"/>
      <c r="F437" s="1"/>
      <c r="G437" s="1"/>
    </row>
    <row r="438" ht="15.75" customHeight="1">
      <c r="A438" s="36"/>
      <c r="B438" s="37"/>
      <c r="C438" s="37"/>
      <c r="D438" s="37"/>
      <c r="E438" s="37"/>
      <c r="F438" s="1"/>
      <c r="G438" s="1"/>
    </row>
    <row r="439" ht="15.75" customHeight="1">
      <c r="A439" s="36"/>
      <c r="B439" s="37"/>
      <c r="C439" s="37"/>
      <c r="D439" s="37"/>
      <c r="E439" s="37"/>
      <c r="F439" s="1"/>
      <c r="G439" s="1"/>
    </row>
    <row r="440" ht="15.75" customHeight="1">
      <c r="A440" s="36"/>
      <c r="B440" s="37"/>
      <c r="C440" s="37"/>
      <c r="D440" s="37"/>
      <c r="E440" s="37"/>
      <c r="F440" s="1"/>
      <c r="G440" s="1"/>
    </row>
    <row r="441" ht="15.75" customHeight="1">
      <c r="A441" s="36"/>
      <c r="B441" s="37"/>
      <c r="C441" s="37"/>
      <c r="D441" s="37"/>
      <c r="E441" s="37"/>
      <c r="F441" s="1"/>
      <c r="G441" s="1"/>
    </row>
    <row r="442" ht="15.75" customHeight="1">
      <c r="A442" s="36"/>
      <c r="B442" s="37"/>
      <c r="C442" s="37"/>
      <c r="D442" s="37"/>
      <c r="E442" s="37"/>
      <c r="F442" s="1"/>
      <c r="G442" s="1"/>
    </row>
    <row r="443" ht="15.75" customHeight="1">
      <c r="A443" s="36"/>
      <c r="B443" s="37"/>
      <c r="C443" s="37"/>
      <c r="D443" s="37"/>
      <c r="E443" s="37"/>
      <c r="F443" s="1"/>
      <c r="G443" s="1"/>
    </row>
    <row r="444" ht="15.75" customHeight="1">
      <c r="A444" s="36"/>
      <c r="B444" s="37"/>
      <c r="C444" s="37"/>
      <c r="D444" s="37"/>
      <c r="E444" s="37"/>
      <c r="F444" s="1"/>
      <c r="G444" s="1"/>
    </row>
    <row r="445" ht="15.75" customHeight="1">
      <c r="A445" s="36"/>
      <c r="B445" s="37"/>
      <c r="C445" s="37"/>
      <c r="D445" s="37"/>
      <c r="E445" s="37"/>
      <c r="F445" s="1"/>
      <c r="G445" s="1"/>
    </row>
    <row r="446" ht="15.75" customHeight="1">
      <c r="A446" s="36"/>
      <c r="B446" s="37"/>
      <c r="C446" s="37"/>
      <c r="D446" s="37"/>
      <c r="E446" s="37"/>
      <c r="F446" s="1"/>
      <c r="G446" s="1"/>
    </row>
    <row r="447" ht="15.75" customHeight="1">
      <c r="A447" s="36"/>
      <c r="B447" s="37"/>
      <c r="C447" s="37"/>
      <c r="D447" s="37"/>
      <c r="E447" s="37"/>
      <c r="F447" s="1"/>
      <c r="G447" s="1"/>
    </row>
    <row r="448" ht="15.75" customHeight="1">
      <c r="A448" s="36"/>
      <c r="B448" s="37"/>
      <c r="C448" s="37"/>
      <c r="D448" s="37"/>
      <c r="E448" s="37"/>
      <c r="F448" s="1"/>
      <c r="G448" s="1"/>
    </row>
    <row r="449" ht="15.75" customHeight="1">
      <c r="A449" s="36"/>
      <c r="B449" s="37"/>
      <c r="C449" s="37"/>
      <c r="D449" s="37"/>
      <c r="E449" s="37"/>
      <c r="F449" s="1"/>
      <c r="G449" s="1"/>
    </row>
    <row r="450" ht="15.75" customHeight="1">
      <c r="A450" s="36"/>
      <c r="B450" s="37"/>
      <c r="C450" s="37"/>
      <c r="D450" s="37"/>
      <c r="E450" s="37"/>
      <c r="F450" s="1"/>
      <c r="G450" s="1"/>
    </row>
    <row r="451" ht="15.75" customHeight="1">
      <c r="A451" s="36"/>
      <c r="B451" s="37"/>
      <c r="C451" s="37"/>
      <c r="D451" s="37"/>
      <c r="E451" s="37"/>
      <c r="F451" s="1"/>
      <c r="G451" s="1"/>
    </row>
    <row r="452" ht="15.75" customHeight="1">
      <c r="A452" s="36"/>
      <c r="B452" s="37"/>
      <c r="C452" s="37"/>
      <c r="D452" s="37"/>
      <c r="E452" s="37"/>
      <c r="F452" s="1"/>
      <c r="G452" s="1"/>
    </row>
    <row r="453" ht="15.75" customHeight="1">
      <c r="A453" s="36"/>
      <c r="B453" s="37"/>
      <c r="C453" s="37"/>
      <c r="D453" s="37"/>
      <c r="E453" s="37"/>
      <c r="F453" s="1"/>
      <c r="G453" s="1"/>
    </row>
    <row r="454" ht="15.75" customHeight="1">
      <c r="A454" s="36"/>
      <c r="B454" s="37"/>
      <c r="C454" s="37"/>
      <c r="D454" s="37"/>
      <c r="E454" s="37"/>
      <c r="F454" s="1"/>
      <c r="G454" s="1"/>
    </row>
    <row r="455" ht="15.75" customHeight="1">
      <c r="A455" s="36"/>
      <c r="B455" s="37"/>
      <c r="C455" s="37"/>
      <c r="D455" s="37"/>
      <c r="E455" s="37"/>
      <c r="F455" s="1"/>
      <c r="G455" s="1"/>
    </row>
    <row r="456" ht="15.75" customHeight="1">
      <c r="A456" s="36"/>
      <c r="B456" s="37"/>
      <c r="C456" s="37"/>
      <c r="D456" s="37"/>
      <c r="E456" s="37"/>
      <c r="F456" s="1"/>
      <c r="G456" s="1"/>
    </row>
    <row r="457" ht="15.75" customHeight="1">
      <c r="A457" s="36"/>
      <c r="B457" s="37"/>
      <c r="C457" s="37"/>
      <c r="D457" s="37"/>
      <c r="E457" s="37"/>
      <c r="F457" s="1"/>
      <c r="G457" s="1"/>
    </row>
    <row r="458" ht="15.75" customHeight="1">
      <c r="A458" s="36"/>
      <c r="B458" s="37"/>
      <c r="C458" s="37"/>
      <c r="D458" s="37"/>
      <c r="E458" s="37"/>
      <c r="F458" s="1"/>
      <c r="G458" s="1"/>
    </row>
    <row r="459" ht="15.75" customHeight="1">
      <c r="A459" s="36"/>
      <c r="B459" s="37"/>
      <c r="C459" s="37"/>
      <c r="D459" s="37"/>
      <c r="E459" s="37"/>
      <c r="F459" s="1"/>
      <c r="G459" s="1"/>
    </row>
    <row r="460" ht="15.75" customHeight="1">
      <c r="A460" s="36"/>
      <c r="B460" s="37"/>
      <c r="C460" s="37"/>
      <c r="D460" s="37"/>
      <c r="E460" s="37"/>
      <c r="F460" s="1"/>
      <c r="G460" s="1"/>
    </row>
    <row r="461" ht="15.75" customHeight="1">
      <c r="A461" s="36"/>
      <c r="B461" s="37"/>
      <c r="C461" s="37"/>
      <c r="D461" s="37"/>
      <c r="E461" s="37"/>
      <c r="F461" s="1"/>
      <c r="G461" s="1"/>
    </row>
    <row r="462" ht="15.75" customHeight="1">
      <c r="A462" s="36"/>
      <c r="B462" s="37"/>
      <c r="C462" s="37"/>
      <c r="D462" s="37"/>
      <c r="E462" s="37"/>
      <c r="F462" s="1"/>
      <c r="G462" s="1"/>
    </row>
    <row r="463" ht="15.75" customHeight="1">
      <c r="A463" s="36"/>
      <c r="B463" s="37"/>
      <c r="C463" s="37"/>
      <c r="D463" s="37"/>
      <c r="E463" s="37"/>
      <c r="F463" s="1"/>
      <c r="G463" s="1"/>
    </row>
    <row r="464" ht="15.75" customHeight="1">
      <c r="A464" s="36"/>
      <c r="B464" s="37"/>
      <c r="C464" s="37"/>
      <c r="D464" s="37"/>
      <c r="E464" s="37"/>
      <c r="F464" s="1"/>
      <c r="G464" s="1"/>
    </row>
    <row r="465" ht="15.75" customHeight="1">
      <c r="A465" s="36"/>
      <c r="B465" s="37"/>
      <c r="C465" s="37"/>
      <c r="D465" s="37"/>
      <c r="E465" s="37"/>
      <c r="F465" s="1"/>
      <c r="G465" s="1"/>
    </row>
    <row r="466" ht="15.75" customHeight="1">
      <c r="A466" s="36"/>
      <c r="B466" s="37"/>
      <c r="C466" s="37"/>
      <c r="D466" s="37"/>
      <c r="E466" s="37"/>
      <c r="F466" s="1"/>
      <c r="G466" s="1"/>
    </row>
    <row r="467" ht="15.75" customHeight="1">
      <c r="A467" s="36"/>
      <c r="B467" s="37"/>
      <c r="C467" s="37"/>
      <c r="D467" s="37"/>
      <c r="E467" s="37"/>
      <c r="F467" s="1"/>
      <c r="G467" s="1"/>
    </row>
    <row r="468" ht="15.75" customHeight="1">
      <c r="A468" s="36"/>
      <c r="B468" s="37"/>
      <c r="C468" s="37"/>
      <c r="D468" s="37"/>
      <c r="E468" s="37"/>
      <c r="F468" s="1"/>
      <c r="G468" s="1"/>
    </row>
    <row r="469" ht="15.75" customHeight="1">
      <c r="A469" s="36"/>
      <c r="B469" s="37"/>
      <c r="C469" s="37"/>
      <c r="D469" s="37"/>
      <c r="E469" s="37"/>
      <c r="F469" s="1"/>
      <c r="G469" s="1"/>
    </row>
    <row r="470" ht="15.75" customHeight="1">
      <c r="A470" s="36"/>
      <c r="B470" s="37"/>
      <c r="C470" s="37"/>
      <c r="D470" s="37"/>
      <c r="E470" s="37"/>
      <c r="F470" s="1"/>
      <c r="G470" s="1"/>
    </row>
    <row r="471" ht="15.75" customHeight="1">
      <c r="A471" s="36"/>
      <c r="B471" s="37"/>
      <c r="C471" s="37"/>
      <c r="D471" s="37"/>
      <c r="E471" s="37"/>
      <c r="F471" s="1"/>
      <c r="G471" s="1"/>
    </row>
    <row r="472" ht="15.75" customHeight="1">
      <c r="A472" s="36"/>
      <c r="B472" s="37"/>
      <c r="C472" s="37"/>
      <c r="D472" s="37"/>
      <c r="E472" s="37"/>
      <c r="F472" s="1"/>
      <c r="G472" s="1"/>
    </row>
    <row r="473" ht="15.75" customHeight="1">
      <c r="A473" s="36"/>
      <c r="B473" s="37"/>
      <c r="C473" s="37"/>
      <c r="D473" s="37"/>
      <c r="E473" s="37"/>
      <c r="F473" s="1"/>
      <c r="G473" s="1"/>
    </row>
    <row r="474" ht="15.75" customHeight="1">
      <c r="A474" s="36"/>
      <c r="B474" s="37"/>
      <c r="C474" s="37"/>
      <c r="D474" s="37"/>
      <c r="E474" s="37"/>
      <c r="F474" s="1"/>
      <c r="G474" s="1"/>
    </row>
    <row r="475" ht="15.75" customHeight="1">
      <c r="A475" s="36"/>
      <c r="B475" s="37"/>
      <c r="C475" s="37"/>
      <c r="D475" s="37"/>
      <c r="E475" s="37"/>
      <c r="F475" s="1"/>
      <c r="G475" s="1"/>
    </row>
    <row r="476" ht="15.75" customHeight="1">
      <c r="A476" s="36"/>
      <c r="B476" s="37"/>
      <c r="C476" s="37"/>
      <c r="D476" s="37"/>
      <c r="E476" s="37"/>
      <c r="F476" s="1"/>
      <c r="G476" s="1"/>
    </row>
    <row r="477" ht="15.75" customHeight="1">
      <c r="A477" s="36"/>
      <c r="B477" s="37"/>
      <c r="C477" s="37"/>
      <c r="D477" s="37"/>
      <c r="E477" s="37"/>
      <c r="F477" s="1"/>
      <c r="G477" s="1"/>
    </row>
    <row r="478" ht="15.75" customHeight="1">
      <c r="A478" s="36"/>
      <c r="B478" s="37"/>
      <c r="C478" s="37"/>
      <c r="D478" s="37"/>
      <c r="E478" s="37"/>
      <c r="F478" s="1"/>
      <c r="G478" s="1"/>
    </row>
    <row r="479" ht="15.75" customHeight="1">
      <c r="A479" s="36"/>
      <c r="B479" s="37"/>
      <c r="C479" s="37"/>
      <c r="D479" s="37"/>
      <c r="E479" s="37"/>
      <c r="F479" s="1"/>
      <c r="G479" s="1"/>
    </row>
    <row r="480" ht="15.75" customHeight="1">
      <c r="A480" s="36"/>
      <c r="B480" s="37"/>
      <c r="C480" s="37"/>
      <c r="D480" s="37"/>
      <c r="E480" s="37"/>
      <c r="F480" s="1"/>
      <c r="G480" s="1"/>
    </row>
    <row r="481" ht="15.75" customHeight="1">
      <c r="A481" s="36"/>
      <c r="B481" s="37"/>
      <c r="C481" s="37"/>
      <c r="D481" s="37"/>
      <c r="E481" s="37"/>
      <c r="F481" s="1"/>
      <c r="G481" s="1"/>
    </row>
    <row r="482" ht="15.75" customHeight="1">
      <c r="A482" s="36"/>
      <c r="B482" s="37"/>
      <c r="C482" s="37"/>
      <c r="D482" s="37"/>
      <c r="E482" s="37"/>
      <c r="F482" s="1"/>
      <c r="G482" s="1"/>
    </row>
    <row r="483" ht="15.75" customHeight="1">
      <c r="A483" s="36"/>
      <c r="B483" s="37"/>
      <c r="C483" s="37"/>
      <c r="D483" s="37"/>
      <c r="E483" s="37"/>
      <c r="F483" s="1"/>
      <c r="G483" s="1"/>
    </row>
    <row r="484" ht="15.75" customHeight="1">
      <c r="A484" s="36"/>
      <c r="B484" s="37"/>
      <c r="C484" s="37"/>
      <c r="D484" s="37"/>
      <c r="E484" s="37"/>
      <c r="F484" s="1"/>
      <c r="G484" s="1"/>
    </row>
    <row r="485" ht="15.75" customHeight="1">
      <c r="A485" s="36"/>
      <c r="B485" s="37"/>
      <c r="C485" s="37"/>
      <c r="D485" s="37"/>
      <c r="E485" s="37"/>
      <c r="F485" s="1"/>
      <c r="G485" s="1"/>
    </row>
    <row r="486" ht="15.75" customHeight="1">
      <c r="A486" s="36"/>
      <c r="B486" s="37"/>
      <c r="C486" s="37"/>
      <c r="D486" s="37"/>
      <c r="E486" s="37"/>
      <c r="F486" s="1"/>
      <c r="G486" s="1"/>
    </row>
    <row r="487" ht="15.75" customHeight="1">
      <c r="A487" s="36"/>
      <c r="B487" s="37"/>
      <c r="C487" s="37"/>
      <c r="D487" s="37"/>
      <c r="E487" s="37"/>
      <c r="F487" s="1"/>
      <c r="G487" s="1"/>
    </row>
    <row r="488" ht="15.75" customHeight="1">
      <c r="A488" s="36"/>
      <c r="B488" s="37"/>
      <c r="C488" s="37"/>
      <c r="D488" s="37"/>
      <c r="E488" s="37"/>
      <c r="F488" s="1"/>
      <c r="G488" s="1"/>
    </row>
    <row r="489" ht="15.75" customHeight="1">
      <c r="A489" s="36"/>
      <c r="B489" s="37"/>
      <c r="C489" s="37"/>
      <c r="D489" s="37"/>
      <c r="E489" s="37"/>
      <c r="F489" s="1"/>
      <c r="G489" s="1"/>
    </row>
    <row r="490" ht="15.75" customHeight="1">
      <c r="A490" s="36"/>
      <c r="B490" s="37"/>
      <c r="C490" s="37"/>
      <c r="D490" s="37"/>
      <c r="E490" s="37"/>
      <c r="F490" s="1"/>
      <c r="G490" s="1"/>
    </row>
    <row r="491" ht="15.75" customHeight="1">
      <c r="A491" s="36"/>
      <c r="B491" s="37"/>
      <c r="C491" s="37"/>
      <c r="D491" s="37"/>
      <c r="E491" s="37"/>
      <c r="F491" s="1"/>
      <c r="G491" s="1"/>
    </row>
    <row r="492" ht="15.75" customHeight="1">
      <c r="A492" s="36"/>
      <c r="B492" s="37"/>
      <c r="C492" s="37"/>
      <c r="D492" s="37"/>
      <c r="E492" s="37"/>
      <c r="F492" s="1"/>
      <c r="G492" s="1"/>
    </row>
    <row r="493" ht="15.75" customHeight="1">
      <c r="A493" s="36"/>
      <c r="B493" s="37"/>
      <c r="C493" s="37"/>
      <c r="D493" s="37"/>
      <c r="E493" s="37"/>
      <c r="F493" s="1"/>
      <c r="G493" s="1"/>
    </row>
    <row r="494" ht="15.75" customHeight="1">
      <c r="A494" s="36"/>
      <c r="B494" s="37"/>
      <c r="C494" s="37"/>
      <c r="D494" s="37"/>
      <c r="E494" s="37"/>
      <c r="F494" s="1"/>
      <c r="G494" s="1"/>
    </row>
    <row r="495" ht="15.75" customHeight="1">
      <c r="A495" s="36"/>
      <c r="B495" s="37"/>
      <c r="C495" s="37"/>
      <c r="D495" s="37"/>
      <c r="E495" s="37"/>
      <c r="F495" s="1"/>
      <c r="G495" s="1"/>
    </row>
    <row r="496" ht="15.75" customHeight="1">
      <c r="A496" s="36"/>
      <c r="B496" s="37"/>
      <c r="C496" s="37"/>
      <c r="D496" s="37"/>
      <c r="E496" s="37"/>
      <c r="F496" s="1"/>
      <c r="G496" s="1"/>
    </row>
    <row r="497" ht="15.75" customHeight="1">
      <c r="A497" s="36"/>
      <c r="B497" s="37"/>
      <c r="C497" s="37"/>
      <c r="D497" s="37"/>
      <c r="E497" s="37"/>
      <c r="F497" s="1"/>
      <c r="G497" s="1"/>
    </row>
    <row r="498" ht="15.75" customHeight="1">
      <c r="A498" s="36"/>
      <c r="B498" s="37"/>
      <c r="C498" s="37"/>
      <c r="D498" s="37"/>
      <c r="E498" s="37"/>
      <c r="F498" s="1"/>
      <c r="G498" s="1"/>
    </row>
    <row r="499" ht="15.75" customHeight="1">
      <c r="A499" s="36"/>
      <c r="B499" s="37"/>
      <c r="C499" s="37"/>
      <c r="D499" s="37"/>
      <c r="E499" s="37"/>
      <c r="F499" s="1"/>
      <c r="G499" s="1"/>
    </row>
    <row r="500" ht="15.75" customHeight="1">
      <c r="A500" s="36"/>
      <c r="B500" s="37"/>
      <c r="C500" s="37"/>
      <c r="D500" s="37"/>
      <c r="E500" s="37"/>
      <c r="F500" s="1"/>
      <c r="G500" s="1"/>
    </row>
    <row r="501" ht="15.75" customHeight="1">
      <c r="A501" s="36"/>
      <c r="B501" s="37"/>
      <c r="C501" s="37"/>
      <c r="D501" s="37"/>
      <c r="E501" s="37"/>
      <c r="F501" s="1"/>
      <c r="G501" s="1"/>
    </row>
    <row r="502" ht="15.75" customHeight="1">
      <c r="A502" s="36"/>
      <c r="B502" s="37"/>
      <c r="C502" s="37"/>
      <c r="D502" s="37"/>
      <c r="E502" s="37"/>
      <c r="F502" s="1"/>
      <c r="G502" s="1"/>
    </row>
    <row r="503" ht="15.75" customHeight="1">
      <c r="A503" s="36"/>
      <c r="B503" s="37"/>
      <c r="C503" s="37"/>
      <c r="D503" s="37"/>
      <c r="E503" s="37"/>
      <c r="F503" s="1"/>
      <c r="G503" s="1"/>
    </row>
    <row r="504" ht="15.75" customHeight="1">
      <c r="A504" s="36"/>
      <c r="B504" s="37"/>
      <c r="C504" s="37"/>
      <c r="D504" s="37"/>
      <c r="E504" s="37"/>
      <c r="F504" s="1"/>
      <c r="G504" s="1"/>
    </row>
    <row r="505" ht="15.75" customHeight="1">
      <c r="A505" s="36"/>
      <c r="B505" s="37"/>
      <c r="C505" s="37"/>
      <c r="D505" s="37"/>
      <c r="E505" s="37"/>
      <c r="F505" s="1"/>
      <c r="G505" s="1"/>
    </row>
    <row r="506" ht="15.75" customHeight="1">
      <c r="A506" s="36"/>
      <c r="B506" s="37"/>
      <c r="C506" s="37"/>
      <c r="D506" s="37"/>
      <c r="E506" s="37"/>
      <c r="F506" s="1"/>
      <c r="G506" s="1"/>
    </row>
    <row r="507" ht="15.75" customHeight="1">
      <c r="A507" s="36"/>
      <c r="B507" s="37"/>
      <c r="C507" s="37"/>
      <c r="D507" s="37"/>
      <c r="E507" s="37"/>
      <c r="F507" s="1"/>
      <c r="G507" s="1"/>
    </row>
    <row r="508" ht="15.75" customHeight="1">
      <c r="A508" s="36"/>
      <c r="B508" s="37"/>
      <c r="C508" s="37"/>
      <c r="D508" s="37"/>
      <c r="E508" s="37"/>
      <c r="F508" s="1"/>
      <c r="G508" s="1"/>
    </row>
    <row r="509" ht="15.75" customHeight="1">
      <c r="A509" s="36"/>
      <c r="B509" s="37"/>
      <c r="C509" s="37"/>
      <c r="D509" s="37"/>
      <c r="E509" s="37"/>
      <c r="F509" s="1"/>
      <c r="G509" s="1"/>
    </row>
    <row r="510" ht="15.75" customHeight="1">
      <c r="A510" s="36"/>
      <c r="B510" s="37"/>
      <c r="C510" s="37"/>
      <c r="D510" s="37"/>
      <c r="E510" s="37"/>
      <c r="F510" s="1"/>
      <c r="G510" s="1"/>
    </row>
    <row r="511" ht="15.75" customHeight="1">
      <c r="A511" s="36"/>
      <c r="B511" s="37"/>
      <c r="C511" s="37"/>
      <c r="D511" s="37"/>
      <c r="E511" s="37"/>
      <c r="F511" s="1"/>
      <c r="G511" s="1"/>
    </row>
    <row r="512" ht="15.75" customHeight="1">
      <c r="A512" s="36"/>
      <c r="B512" s="37"/>
      <c r="C512" s="37"/>
      <c r="D512" s="37"/>
      <c r="E512" s="37"/>
      <c r="F512" s="1"/>
      <c r="G512" s="1"/>
    </row>
    <row r="513" ht="15.75" customHeight="1">
      <c r="A513" s="36"/>
      <c r="B513" s="37"/>
      <c r="C513" s="37"/>
      <c r="D513" s="37"/>
      <c r="E513" s="37"/>
      <c r="F513" s="1"/>
      <c r="G513" s="1"/>
    </row>
    <row r="514" ht="15.75" customHeight="1">
      <c r="A514" s="36"/>
      <c r="B514" s="37"/>
      <c r="C514" s="37"/>
      <c r="D514" s="37"/>
      <c r="E514" s="37"/>
      <c r="F514" s="1"/>
      <c r="G514" s="1"/>
    </row>
    <row r="515" ht="15.75" customHeight="1">
      <c r="A515" s="36"/>
      <c r="B515" s="37"/>
      <c r="C515" s="37"/>
      <c r="D515" s="37"/>
      <c r="E515" s="37"/>
      <c r="F515" s="1"/>
      <c r="G515" s="1"/>
    </row>
    <row r="516" ht="15.75" customHeight="1">
      <c r="A516" s="36"/>
      <c r="B516" s="37"/>
      <c r="C516" s="37"/>
      <c r="D516" s="37"/>
      <c r="E516" s="37"/>
      <c r="F516" s="1"/>
      <c r="G516" s="1"/>
    </row>
    <row r="517" ht="15.75" customHeight="1">
      <c r="A517" s="36"/>
      <c r="B517" s="37"/>
      <c r="C517" s="37"/>
      <c r="D517" s="37"/>
      <c r="E517" s="37"/>
      <c r="F517" s="1"/>
      <c r="G517" s="1"/>
    </row>
    <row r="518" ht="15.75" customHeight="1">
      <c r="A518" s="36"/>
      <c r="B518" s="37"/>
      <c r="C518" s="37"/>
      <c r="D518" s="37"/>
      <c r="E518" s="37"/>
      <c r="F518" s="1"/>
      <c r="G518" s="1"/>
    </row>
    <row r="519" ht="15.75" customHeight="1">
      <c r="A519" s="36"/>
      <c r="B519" s="37"/>
      <c r="C519" s="37"/>
      <c r="D519" s="37"/>
      <c r="E519" s="37"/>
      <c r="F519" s="1"/>
      <c r="G519" s="1"/>
    </row>
    <row r="520" ht="15.75" customHeight="1">
      <c r="A520" s="36"/>
      <c r="B520" s="37"/>
      <c r="C520" s="37"/>
      <c r="D520" s="37"/>
      <c r="E520" s="37"/>
      <c r="F520" s="1"/>
      <c r="G520" s="1"/>
    </row>
    <row r="521" ht="15.75" customHeight="1">
      <c r="A521" s="36"/>
      <c r="B521" s="37"/>
      <c r="C521" s="37"/>
      <c r="D521" s="37"/>
      <c r="E521" s="37"/>
      <c r="F521" s="1"/>
      <c r="G521" s="1"/>
    </row>
    <row r="522" ht="15.75" customHeight="1">
      <c r="A522" s="36"/>
      <c r="B522" s="37"/>
      <c r="C522" s="37"/>
      <c r="D522" s="37"/>
      <c r="E522" s="37"/>
      <c r="F522" s="1"/>
      <c r="G522" s="1"/>
    </row>
    <row r="523" ht="15.75" customHeight="1">
      <c r="A523" s="36"/>
      <c r="B523" s="37"/>
      <c r="C523" s="37"/>
      <c r="D523" s="37"/>
      <c r="E523" s="37"/>
      <c r="F523" s="1"/>
      <c r="G523" s="1"/>
    </row>
    <row r="524" ht="15.75" customHeight="1">
      <c r="A524" s="36"/>
      <c r="B524" s="37"/>
      <c r="C524" s="37"/>
      <c r="D524" s="37"/>
      <c r="E524" s="37"/>
      <c r="F524" s="1"/>
      <c r="G524" s="1"/>
    </row>
    <row r="525" ht="15.75" customHeight="1">
      <c r="A525" s="36"/>
      <c r="B525" s="37"/>
      <c r="C525" s="37"/>
      <c r="D525" s="37"/>
      <c r="E525" s="37"/>
      <c r="F525" s="1"/>
      <c r="G525" s="1"/>
    </row>
    <row r="526" ht="15.75" customHeight="1">
      <c r="A526" s="36"/>
      <c r="B526" s="37"/>
      <c r="C526" s="37"/>
      <c r="D526" s="37"/>
      <c r="E526" s="37"/>
      <c r="F526" s="1"/>
      <c r="G526" s="1"/>
    </row>
    <row r="527" ht="15.75" customHeight="1">
      <c r="A527" s="36"/>
      <c r="B527" s="37"/>
      <c r="C527" s="37"/>
      <c r="D527" s="37"/>
      <c r="E527" s="37"/>
      <c r="F527" s="1"/>
      <c r="G527" s="1"/>
    </row>
    <row r="528" ht="15.75" customHeight="1">
      <c r="A528" s="36"/>
      <c r="B528" s="37"/>
      <c r="C528" s="37"/>
      <c r="D528" s="37"/>
      <c r="E528" s="37"/>
      <c r="F528" s="1"/>
      <c r="G528" s="1"/>
    </row>
    <row r="529" ht="15.75" customHeight="1">
      <c r="A529" s="36"/>
      <c r="B529" s="37"/>
      <c r="C529" s="37"/>
      <c r="D529" s="37"/>
      <c r="E529" s="37"/>
      <c r="F529" s="1"/>
      <c r="G529" s="1"/>
    </row>
    <row r="530" ht="15.75" customHeight="1">
      <c r="A530" s="36"/>
      <c r="B530" s="37"/>
      <c r="C530" s="37"/>
      <c r="D530" s="37"/>
      <c r="E530" s="37"/>
      <c r="F530" s="1"/>
      <c r="G530" s="1"/>
    </row>
    <row r="531" ht="15.75" customHeight="1">
      <c r="A531" s="36"/>
      <c r="B531" s="37"/>
      <c r="C531" s="37"/>
      <c r="D531" s="37"/>
      <c r="E531" s="37"/>
      <c r="F531" s="1"/>
      <c r="G531" s="1"/>
    </row>
    <row r="532" ht="15.75" customHeight="1">
      <c r="A532" s="36"/>
      <c r="B532" s="37"/>
      <c r="C532" s="37"/>
      <c r="D532" s="37"/>
      <c r="E532" s="37"/>
      <c r="F532" s="1"/>
      <c r="G532" s="1"/>
    </row>
    <row r="533" ht="15.75" customHeight="1">
      <c r="A533" s="36"/>
      <c r="B533" s="37"/>
      <c r="C533" s="37"/>
      <c r="D533" s="37"/>
      <c r="E533" s="37"/>
      <c r="F533" s="1"/>
      <c r="G533" s="1"/>
    </row>
    <row r="534" ht="15.75" customHeight="1">
      <c r="A534" s="36"/>
      <c r="B534" s="37"/>
      <c r="C534" s="37"/>
      <c r="D534" s="37"/>
      <c r="E534" s="37"/>
      <c r="F534" s="1"/>
      <c r="G534" s="1"/>
    </row>
    <row r="535" ht="15.75" customHeight="1">
      <c r="A535" s="36"/>
      <c r="B535" s="37"/>
      <c r="C535" s="37"/>
      <c r="D535" s="37"/>
      <c r="E535" s="37"/>
      <c r="F535" s="1"/>
      <c r="G535" s="1"/>
    </row>
    <row r="536" ht="15.75" customHeight="1">
      <c r="A536" s="36"/>
      <c r="B536" s="37"/>
      <c r="C536" s="37"/>
      <c r="D536" s="37"/>
      <c r="E536" s="37"/>
      <c r="F536" s="1"/>
      <c r="G536" s="1"/>
    </row>
    <row r="537" ht="15.75" customHeight="1">
      <c r="A537" s="36"/>
      <c r="B537" s="37"/>
      <c r="C537" s="37"/>
      <c r="D537" s="37"/>
      <c r="E537" s="37"/>
      <c r="F537" s="1"/>
      <c r="G537" s="1"/>
    </row>
    <row r="538" ht="15.75" customHeight="1">
      <c r="A538" s="36"/>
      <c r="B538" s="37"/>
      <c r="C538" s="37"/>
      <c r="D538" s="37"/>
      <c r="E538" s="37"/>
      <c r="F538" s="1"/>
      <c r="G538" s="1"/>
    </row>
    <row r="539" ht="15.75" customHeight="1">
      <c r="A539" s="36"/>
      <c r="B539" s="37"/>
      <c r="C539" s="37"/>
      <c r="D539" s="37"/>
      <c r="E539" s="37"/>
      <c r="F539" s="1"/>
      <c r="G539" s="1"/>
    </row>
    <row r="540" ht="15.75" customHeight="1">
      <c r="A540" s="36"/>
      <c r="B540" s="37"/>
      <c r="C540" s="37"/>
      <c r="D540" s="37"/>
      <c r="E540" s="37"/>
      <c r="F540" s="1"/>
      <c r="G540" s="1"/>
    </row>
    <row r="541" ht="15.75" customHeight="1">
      <c r="A541" s="36"/>
      <c r="B541" s="37"/>
      <c r="C541" s="37"/>
      <c r="D541" s="37"/>
      <c r="E541" s="37"/>
      <c r="F541" s="1"/>
      <c r="G541" s="1"/>
    </row>
    <row r="542" ht="15.75" customHeight="1">
      <c r="A542" s="36"/>
      <c r="B542" s="37"/>
      <c r="C542" s="37"/>
      <c r="D542" s="37"/>
      <c r="E542" s="37"/>
      <c r="F542" s="1"/>
      <c r="G542" s="1"/>
    </row>
    <row r="543" ht="15.75" customHeight="1">
      <c r="A543" s="36"/>
      <c r="B543" s="37"/>
      <c r="C543" s="37"/>
      <c r="D543" s="37"/>
      <c r="E543" s="37"/>
      <c r="F543" s="1"/>
      <c r="G543" s="1"/>
    </row>
    <row r="544" ht="15.75" customHeight="1">
      <c r="A544" s="36"/>
      <c r="B544" s="37"/>
      <c r="C544" s="37"/>
      <c r="D544" s="37"/>
      <c r="E544" s="37"/>
      <c r="F544" s="1"/>
      <c r="G544" s="1"/>
    </row>
    <row r="545" ht="15.75" customHeight="1">
      <c r="A545" s="36"/>
      <c r="B545" s="37"/>
      <c r="C545" s="37"/>
      <c r="D545" s="37"/>
      <c r="E545" s="37"/>
      <c r="F545" s="1"/>
      <c r="G545" s="1"/>
    </row>
    <row r="546" ht="15.75" customHeight="1">
      <c r="A546" s="36"/>
      <c r="B546" s="37"/>
      <c r="C546" s="37"/>
      <c r="D546" s="37"/>
      <c r="E546" s="37"/>
      <c r="F546" s="1"/>
      <c r="G546" s="1"/>
    </row>
    <row r="547" ht="15.75" customHeight="1">
      <c r="A547" s="36"/>
      <c r="B547" s="37"/>
      <c r="C547" s="37"/>
      <c r="D547" s="37"/>
      <c r="E547" s="37"/>
      <c r="F547" s="1"/>
      <c r="G547" s="1"/>
    </row>
    <row r="548" ht="15.75" customHeight="1">
      <c r="A548" s="36"/>
      <c r="B548" s="37"/>
      <c r="C548" s="37"/>
      <c r="D548" s="37"/>
      <c r="E548" s="37"/>
      <c r="F548" s="1"/>
      <c r="G548" s="1"/>
    </row>
    <row r="549" ht="15.75" customHeight="1">
      <c r="A549" s="36"/>
      <c r="B549" s="37"/>
      <c r="C549" s="37"/>
      <c r="D549" s="37"/>
      <c r="E549" s="37"/>
      <c r="F549" s="1"/>
      <c r="G549" s="1"/>
    </row>
    <row r="550" ht="15.75" customHeight="1">
      <c r="A550" s="36"/>
      <c r="B550" s="37"/>
      <c r="C550" s="37"/>
      <c r="D550" s="37"/>
      <c r="E550" s="37"/>
      <c r="F550" s="1"/>
      <c r="G550" s="1"/>
    </row>
    <row r="551" ht="15.75" customHeight="1">
      <c r="A551" s="36"/>
      <c r="B551" s="37"/>
      <c r="C551" s="37"/>
      <c r="D551" s="37"/>
      <c r="E551" s="37"/>
      <c r="F551" s="1"/>
      <c r="G551" s="1"/>
    </row>
    <row r="552" ht="15.75" customHeight="1">
      <c r="A552" s="36"/>
      <c r="B552" s="37"/>
      <c r="C552" s="37"/>
      <c r="D552" s="37"/>
      <c r="E552" s="37"/>
      <c r="F552" s="1"/>
      <c r="G552" s="1"/>
    </row>
    <row r="553" ht="15.75" customHeight="1">
      <c r="A553" s="36"/>
      <c r="B553" s="37"/>
      <c r="C553" s="37"/>
      <c r="D553" s="37"/>
      <c r="E553" s="37"/>
      <c r="F553" s="1"/>
      <c r="G553" s="1"/>
    </row>
    <row r="554" ht="15.75" customHeight="1">
      <c r="A554" s="36"/>
      <c r="B554" s="37"/>
      <c r="C554" s="37"/>
      <c r="D554" s="37"/>
      <c r="E554" s="37"/>
      <c r="F554" s="1"/>
      <c r="G554" s="1"/>
    </row>
    <row r="555" ht="15.75" customHeight="1">
      <c r="A555" s="36"/>
      <c r="B555" s="37"/>
      <c r="C555" s="37"/>
      <c r="D555" s="37"/>
      <c r="E555" s="37"/>
      <c r="F555" s="1"/>
      <c r="G555" s="1"/>
    </row>
    <row r="556" ht="15.75" customHeight="1">
      <c r="A556" s="36"/>
      <c r="B556" s="37"/>
      <c r="C556" s="37"/>
      <c r="D556" s="37"/>
      <c r="E556" s="37"/>
      <c r="F556" s="1"/>
      <c r="G556" s="1"/>
    </row>
    <row r="557" ht="15.75" customHeight="1">
      <c r="A557" s="36"/>
      <c r="B557" s="37"/>
      <c r="C557" s="37"/>
      <c r="D557" s="37"/>
      <c r="E557" s="37"/>
      <c r="F557" s="1"/>
      <c r="G557" s="1"/>
    </row>
    <row r="558" ht="15.75" customHeight="1">
      <c r="A558" s="36"/>
      <c r="B558" s="37"/>
      <c r="C558" s="37"/>
      <c r="D558" s="37"/>
      <c r="E558" s="37"/>
      <c r="F558" s="1"/>
      <c r="G558" s="1"/>
    </row>
    <row r="559" ht="15.75" customHeight="1">
      <c r="A559" s="36"/>
      <c r="B559" s="37"/>
      <c r="C559" s="37"/>
      <c r="D559" s="37"/>
      <c r="E559" s="37"/>
      <c r="F559" s="1"/>
      <c r="G559" s="1"/>
    </row>
    <row r="560" ht="15.75" customHeight="1">
      <c r="A560" s="36"/>
      <c r="B560" s="37"/>
      <c r="C560" s="37"/>
      <c r="D560" s="37"/>
      <c r="E560" s="37"/>
      <c r="F560" s="1"/>
      <c r="G560" s="1"/>
    </row>
    <row r="561" ht="15.75" customHeight="1">
      <c r="A561" s="36"/>
      <c r="B561" s="37"/>
      <c r="C561" s="37"/>
      <c r="D561" s="37"/>
      <c r="E561" s="37"/>
      <c r="F561" s="1"/>
      <c r="G561" s="1"/>
    </row>
    <row r="562" ht="15.75" customHeight="1">
      <c r="A562" s="36"/>
      <c r="B562" s="37"/>
      <c r="C562" s="37"/>
      <c r="D562" s="37"/>
      <c r="E562" s="37"/>
      <c r="F562" s="1"/>
      <c r="G562" s="1"/>
    </row>
    <row r="563" ht="15.75" customHeight="1">
      <c r="A563" s="36"/>
      <c r="B563" s="37"/>
      <c r="C563" s="37"/>
      <c r="D563" s="37"/>
      <c r="E563" s="37"/>
      <c r="F563" s="1"/>
      <c r="G563" s="1"/>
    </row>
    <row r="564" ht="15.75" customHeight="1">
      <c r="A564" s="36"/>
      <c r="B564" s="37"/>
      <c r="C564" s="37"/>
      <c r="D564" s="37"/>
      <c r="E564" s="37"/>
      <c r="F564" s="1"/>
      <c r="G564" s="1"/>
    </row>
    <row r="565" ht="15.75" customHeight="1">
      <c r="A565" s="36"/>
      <c r="B565" s="37"/>
      <c r="C565" s="37"/>
      <c r="D565" s="37"/>
      <c r="E565" s="37"/>
      <c r="F565" s="1"/>
      <c r="G565" s="1"/>
    </row>
    <row r="566" ht="15.75" customHeight="1">
      <c r="A566" s="36"/>
      <c r="B566" s="37"/>
      <c r="C566" s="37"/>
      <c r="D566" s="37"/>
      <c r="E566" s="37"/>
      <c r="F566" s="1"/>
      <c r="G566" s="1"/>
    </row>
    <row r="567" ht="15.75" customHeight="1">
      <c r="A567" s="36"/>
      <c r="B567" s="37"/>
      <c r="C567" s="37"/>
      <c r="D567" s="37"/>
      <c r="E567" s="37"/>
      <c r="F567" s="1"/>
      <c r="G567" s="1"/>
    </row>
    <row r="568" ht="15.75" customHeight="1">
      <c r="A568" s="36"/>
      <c r="B568" s="37"/>
      <c r="C568" s="37"/>
      <c r="D568" s="37"/>
      <c r="E568" s="37"/>
      <c r="F568" s="1"/>
      <c r="G568" s="1"/>
    </row>
    <row r="569" ht="15.75" customHeight="1">
      <c r="A569" s="36"/>
      <c r="B569" s="37"/>
      <c r="C569" s="37"/>
      <c r="D569" s="37"/>
      <c r="E569" s="37"/>
      <c r="F569" s="1"/>
      <c r="G569" s="1"/>
    </row>
    <row r="570" ht="15.75" customHeight="1">
      <c r="A570" s="36"/>
      <c r="B570" s="37"/>
      <c r="C570" s="37"/>
      <c r="D570" s="37"/>
      <c r="E570" s="37"/>
      <c r="F570" s="1"/>
      <c r="G570" s="1"/>
    </row>
    <row r="571" ht="15.75" customHeight="1">
      <c r="A571" s="36"/>
      <c r="B571" s="37"/>
      <c r="C571" s="37"/>
      <c r="D571" s="37"/>
      <c r="E571" s="37"/>
      <c r="F571" s="1"/>
      <c r="G571" s="1"/>
    </row>
    <row r="572" ht="15.75" customHeight="1">
      <c r="A572" s="36"/>
      <c r="B572" s="37"/>
      <c r="C572" s="37"/>
      <c r="D572" s="37"/>
      <c r="E572" s="37"/>
      <c r="F572" s="1"/>
      <c r="G572" s="1"/>
    </row>
    <row r="573" ht="15.75" customHeight="1">
      <c r="A573" s="36"/>
      <c r="B573" s="37"/>
      <c r="C573" s="37"/>
      <c r="D573" s="37"/>
      <c r="E573" s="37"/>
      <c r="F573" s="1"/>
      <c r="G573" s="1"/>
    </row>
    <row r="574" ht="15.75" customHeight="1">
      <c r="A574" s="36"/>
      <c r="B574" s="37"/>
      <c r="C574" s="37"/>
      <c r="D574" s="37"/>
      <c r="E574" s="37"/>
      <c r="F574" s="1"/>
      <c r="G574" s="1"/>
    </row>
    <row r="575" ht="15.75" customHeight="1">
      <c r="A575" s="36"/>
      <c r="B575" s="37"/>
      <c r="C575" s="37"/>
      <c r="D575" s="37"/>
      <c r="E575" s="37"/>
      <c r="F575" s="1"/>
      <c r="G575" s="1"/>
    </row>
    <row r="576" ht="15.75" customHeight="1">
      <c r="A576" s="36"/>
      <c r="B576" s="37"/>
      <c r="C576" s="37"/>
      <c r="D576" s="37"/>
      <c r="E576" s="37"/>
      <c r="F576" s="1"/>
      <c r="G576" s="1"/>
    </row>
    <row r="577" ht="15.75" customHeight="1">
      <c r="A577" s="36"/>
      <c r="B577" s="37"/>
      <c r="C577" s="37"/>
      <c r="D577" s="37"/>
      <c r="E577" s="37"/>
      <c r="F577" s="1"/>
      <c r="G577" s="1"/>
    </row>
    <row r="578" ht="15.75" customHeight="1">
      <c r="A578" s="36"/>
      <c r="B578" s="37"/>
      <c r="C578" s="37"/>
      <c r="D578" s="37"/>
      <c r="E578" s="37"/>
      <c r="F578" s="1"/>
      <c r="G578" s="1"/>
    </row>
    <row r="579" ht="15.75" customHeight="1">
      <c r="A579" s="36"/>
      <c r="B579" s="37"/>
      <c r="C579" s="37"/>
      <c r="D579" s="37"/>
      <c r="E579" s="37"/>
      <c r="F579" s="1"/>
      <c r="G579" s="1"/>
    </row>
    <row r="580" ht="15.75" customHeight="1">
      <c r="A580" s="36"/>
      <c r="B580" s="37"/>
      <c r="C580" s="37"/>
      <c r="D580" s="37"/>
      <c r="E580" s="37"/>
      <c r="F580" s="1"/>
      <c r="G580" s="1"/>
    </row>
    <row r="581" ht="15.75" customHeight="1">
      <c r="A581" s="36"/>
      <c r="B581" s="37"/>
      <c r="C581" s="37"/>
      <c r="D581" s="37"/>
      <c r="E581" s="37"/>
      <c r="F581" s="1"/>
      <c r="G581" s="1"/>
    </row>
    <row r="582" ht="15.75" customHeight="1">
      <c r="A582" s="36"/>
      <c r="B582" s="37"/>
      <c r="C582" s="37"/>
      <c r="D582" s="37"/>
      <c r="E582" s="37"/>
      <c r="F582" s="1"/>
      <c r="G582" s="1"/>
    </row>
    <row r="583" ht="15.75" customHeight="1">
      <c r="A583" s="36"/>
      <c r="B583" s="37"/>
      <c r="C583" s="37"/>
      <c r="D583" s="37"/>
      <c r="E583" s="37"/>
      <c r="F583" s="1"/>
      <c r="G583" s="1"/>
    </row>
    <row r="584" ht="15.75" customHeight="1">
      <c r="A584" s="36"/>
      <c r="B584" s="37"/>
      <c r="C584" s="37"/>
      <c r="D584" s="37"/>
      <c r="E584" s="37"/>
      <c r="F584" s="1"/>
      <c r="G584" s="1"/>
    </row>
    <row r="585" ht="15.75" customHeight="1">
      <c r="A585" s="36"/>
      <c r="B585" s="37"/>
      <c r="C585" s="37"/>
      <c r="D585" s="37"/>
      <c r="E585" s="37"/>
      <c r="F585" s="1"/>
      <c r="G585" s="1"/>
    </row>
    <row r="586" ht="15.75" customHeight="1">
      <c r="A586" s="36"/>
      <c r="B586" s="37"/>
      <c r="C586" s="37"/>
      <c r="D586" s="37"/>
      <c r="E586" s="37"/>
      <c r="F586" s="1"/>
      <c r="G586" s="1"/>
    </row>
    <row r="587" ht="15.75" customHeight="1">
      <c r="A587" s="36"/>
      <c r="B587" s="37"/>
      <c r="C587" s="37"/>
      <c r="D587" s="37"/>
      <c r="E587" s="37"/>
      <c r="F587" s="1"/>
      <c r="G587" s="1"/>
    </row>
    <row r="588" ht="15.75" customHeight="1">
      <c r="A588" s="36"/>
      <c r="B588" s="37"/>
      <c r="C588" s="37"/>
      <c r="D588" s="37"/>
      <c r="E588" s="37"/>
      <c r="F588" s="1"/>
      <c r="G588" s="1"/>
    </row>
    <row r="589" ht="15.75" customHeight="1">
      <c r="A589" s="36"/>
      <c r="B589" s="37"/>
      <c r="C589" s="37"/>
      <c r="D589" s="37"/>
      <c r="E589" s="37"/>
      <c r="F589" s="1"/>
      <c r="G589" s="1"/>
    </row>
    <row r="590" ht="15.75" customHeight="1">
      <c r="A590" s="36"/>
      <c r="B590" s="37"/>
      <c r="C590" s="37"/>
      <c r="D590" s="37"/>
      <c r="E590" s="37"/>
      <c r="F590" s="1"/>
      <c r="G590" s="1"/>
    </row>
    <row r="591" ht="15.75" customHeight="1">
      <c r="A591" s="36"/>
      <c r="B591" s="37"/>
      <c r="C591" s="37"/>
      <c r="D591" s="37"/>
      <c r="E591" s="37"/>
      <c r="F591" s="1"/>
      <c r="G591" s="1"/>
    </row>
    <row r="592" ht="15.75" customHeight="1">
      <c r="A592" s="36"/>
      <c r="B592" s="37"/>
      <c r="C592" s="37"/>
      <c r="D592" s="37"/>
      <c r="E592" s="37"/>
      <c r="F592" s="1"/>
      <c r="G592" s="1"/>
    </row>
    <row r="593" ht="15.75" customHeight="1">
      <c r="A593" s="36"/>
      <c r="B593" s="37"/>
      <c r="C593" s="37"/>
      <c r="D593" s="37"/>
      <c r="E593" s="37"/>
      <c r="F593" s="1"/>
      <c r="G593" s="1"/>
    </row>
    <row r="594" ht="15.75" customHeight="1">
      <c r="A594" s="36"/>
      <c r="B594" s="37"/>
      <c r="C594" s="37"/>
      <c r="D594" s="37"/>
      <c r="E594" s="37"/>
      <c r="F594" s="1"/>
      <c r="G594" s="1"/>
    </row>
    <row r="595" ht="15.75" customHeight="1">
      <c r="A595" s="36"/>
      <c r="B595" s="37"/>
      <c r="C595" s="37"/>
      <c r="D595" s="37"/>
      <c r="E595" s="37"/>
      <c r="F595" s="1"/>
      <c r="G595" s="1"/>
    </row>
    <row r="596" ht="15.75" customHeight="1">
      <c r="A596" s="36"/>
      <c r="B596" s="37"/>
      <c r="C596" s="37"/>
      <c r="D596" s="37"/>
      <c r="E596" s="37"/>
      <c r="F596" s="1"/>
      <c r="G596" s="1"/>
    </row>
    <row r="597" ht="15.75" customHeight="1">
      <c r="A597" s="36"/>
      <c r="B597" s="37"/>
      <c r="C597" s="37"/>
      <c r="D597" s="37"/>
      <c r="E597" s="37"/>
      <c r="F597" s="1"/>
      <c r="G597" s="1"/>
    </row>
    <row r="598" ht="15.75" customHeight="1">
      <c r="A598" s="36"/>
      <c r="B598" s="37"/>
      <c r="C598" s="37"/>
      <c r="D598" s="37"/>
      <c r="E598" s="37"/>
      <c r="F598" s="1"/>
      <c r="G598" s="1"/>
    </row>
    <row r="599" ht="15.75" customHeight="1">
      <c r="A599" s="36"/>
      <c r="B599" s="37"/>
      <c r="C599" s="37"/>
      <c r="D599" s="37"/>
      <c r="E599" s="37"/>
      <c r="F599" s="1"/>
      <c r="G599" s="1"/>
    </row>
    <row r="600" ht="15.75" customHeight="1">
      <c r="A600" s="36"/>
      <c r="B600" s="37"/>
      <c r="C600" s="37"/>
      <c r="D600" s="37"/>
      <c r="E600" s="37"/>
      <c r="F600" s="1"/>
      <c r="G600" s="1"/>
    </row>
    <row r="601" ht="15.75" customHeight="1">
      <c r="A601" s="36"/>
      <c r="B601" s="37"/>
      <c r="C601" s="37"/>
      <c r="D601" s="37"/>
      <c r="E601" s="37"/>
      <c r="F601" s="1"/>
      <c r="G601" s="1"/>
    </row>
    <row r="602" ht="15.75" customHeight="1">
      <c r="A602" s="36"/>
      <c r="B602" s="37"/>
      <c r="C602" s="37"/>
      <c r="D602" s="37"/>
      <c r="E602" s="37"/>
      <c r="F602" s="1"/>
      <c r="G602" s="1"/>
    </row>
    <row r="603" ht="15.75" customHeight="1">
      <c r="A603" s="36"/>
      <c r="B603" s="37"/>
      <c r="C603" s="37"/>
      <c r="D603" s="37"/>
      <c r="E603" s="37"/>
      <c r="F603" s="1"/>
      <c r="G603" s="1"/>
    </row>
    <row r="604" ht="15.75" customHeight="1">
      <c r="A604" s="36"/>
      <c r="B604" s="37"/>
      <c r="C604" s="37"/>
      <c r="D604" s="37"/>
      <c r="E604" s="37"/>
      <c r="F604" s="1"/>
      <c r="G604" s="1"/>
    </row>
    <row r="605" ht="15.75" customHeight="1">
      <c r="A605" s="36"/>
      <c r="B605" s="37"/>
      <c r="C605" s="37"/>
      <c r="D605" s="37"/>
      <c r="E605" s="37"/>
      <c r="F605" s="1"/>
      <c r="G605" s="1"/>
    </row>
    <row r="606" ht="15.75" customHeight="1">
      <c r="A606" s="36"/>
      <c r="B606" s="37"/>
      <c r="C606" s="37"/>
      <c r="D606" s="37"/>
      <c r="E606" s="37"/>
      <c r="F606" s="1"/>
      <c r="G606" s="1"/>
    </row>
    <row r="607" ht="15.75" customHeight="1">
      <c r="A607" s="36"/>
      <c r="B607" s="37"/>
      <c r="C607" s="37"/>
      <c r="D607" s="37"/>
      <c r="E607" s="37"/>
      <c r="F607" s="1"/>
      <c r="G607" s="1"/>
    </row>
    <row r="608" ht="15.75" customHeight="1">
      <c r="A608" s="36"/>
      <c r="B608" s="37"/>
      <c r="C608" s="37"/>
      <c r="D608" s="37"/>
      <c r="E608" s="37"/>
      <c r="F608" s="1"/>
      <c r="G608" s="1"/>
    </row>
    <row r="609" ht="15.75" customHeight="1">
      <c r="A609" s="36"/>
      <c r="B609" s="37"/>
      <c r="C609" s="37"/>
      <c r="D609" s="37"/>
      <c r="E609" s="37"/>
      <c r="F609" s="1"/>
      <c r="G609" s="1"/>
    </row>
    <row r="610" ht="15.75" customHeight="1">
      <c r="A610" s="36"/>
      <c r="B610" s="37"/>
      <c r="C610" s="37"/>
      <c r="D610" s="37"/>
      <c r="E610" s="37"/>
      <c r="F610" s="1"/>
      <c r="G610" s="1"/>
    </row>
    <row r="611" ht="15.75" customHeight="1">
      <c r="A611" s="36"/>
      <c r="B611" s="37"/>
      <c r="C611" s="37"/>
      <c r="D611" s="37"/>
      <c r="E611" s="37"/>
      <c r="F611" s="1"/>
      <c r="G611" s="1"/>
    </row>
    <row r="612" ht="15.75" customHeight="1">
      <c r="A612" s="36"/>
      <c r="B612" s="37"/>
      <c r="C612" s="37"/>
      <c r="D612" s="37"/>
      <c r="E612" s="37"/>
      <c r="F612" s="1"/>
      <c r="G612" s="1"/>
    </row>
    <row r="613" ht="15.75" customHeight="1">
      <c r="A613" s="36"/>
      <c r="B613" s="37"/>
      <c r="C613" s="37"/>
      <c r="D613" s="37"/>
      <c r="E613" s="37"/>
      <c r="F613" s="1"/>
      <c r="G613" s="1"/>
    </row>
    <row r="614" ht="15.75" customHeight="1">
      <c r="A614" s="36"/>
      <c r="B614" s="37"/>
      <c r="C614" s="37"/>
      <c r="D614" s="37"/>
      <c r="E614" s="37"/>
      <c r="F614" s="1"/>
      <c r="G614" s="1"/>
    </row>
    <row r="615" ht="15.75" customHeight="1">
      <c r="A615" s="36"/>
      <c r="B615" s="37"/>
      <c r="C615" s="37"/>
      <c r="D615" s="37"/>
      <c r="E615" s="37"/>
      <c r="F615" s="1"/>
      <c r="G615" s="1"/>
    </row>
    <row r="616" ht="15.75" customHeight="1">
      <c r="A616" s="36"/>
      <c r="B616" s="37"/>
      <c r="C616" s="37"/>
      <c r="D616" s="37"/>
      <c r="E616" s="37"/>
      <c r="F616" s="1"/>
      <c r="G616" s="1"/>
    </row>
    <row r="617" ht="15.75" customHeight="1">
      <c r="A617" s="36"/>
      <c r="B617" s="37"/>
      <c r="C617" s="37"/>
      <c r="D617" s="37"/>
      <c r="E617" s="37"/>
      <c r="F617" s="1"/>
      <c r="G617" s="1"/>
    </row>
    <row r="618" ht="15.75" customHeight="1">
      <c r="A618" s="36"/>
      <c r="B618" s="37"/>
      <c r="C618" s="37"/>
      <c r="D618" s="37"/>
      <c r="E618" s="37"/>
      <c r="F618" s="1"/>
      <c r="G618" s="1"/>
    </row>
    <row r="619" ht="15.75" customHeight="1">
      <c r="A619" s="36"/>
      <c r="B619" s="37"/>
      <c r="C619" s="37"/>
      <c r="D619" s="37"/>
      <c r="E619" s="37"/>
      <c r="F619" s="1"/>
      <c r="G619" s="1"/>
    </row>
    <row r="620" ht="15.75" customHeight="1">
      <c r="A620" s="36"/>
      <c r="B620" s="37"/>
      <c r="C620" s="37"/>
      <c r="D620" s="37"/>
      <c r="E620" s="37"/>
      <c r="F620" s="1"/>
      <c r="G620" s="1"/>
    </row>
    <row r="621" ht="15.75" customHeight="1">
      <c r="A621" s="36"/>
      <c r="B621" s="37"/>
      <c r="C621" s="37"/>
      <c r="D621" s="37"/>
      <c r="E621" s="37"/>
      <c r="F621" s="1"/>
      <c r="G621" s="1"/>
    </row>
    <row r="622" ht="15.75" customHeight="1">
      <c r="A622" s="36"/>
      <c r="B622" s="37"/>
      <c r="C622" s="37"/>
      <c r="D622" s="37"/>
      <c r="E622" s="37"/>
      <c r="F622" s="1"/>
      <c r="G622" s="1"/>
    </row>
    <row r="623" ht="15.75" customHeight="1">
      <c r="A623" s="36"/>
      <c r="B623" s="37"/>
      <c r="C623" s="37"/>
      <c r="D623" s="37"/>
      <c r="E623" s="37"/>
      <c r="F623" s="1"/>
      <c r="G623" s="1"/>
    </row>
    <row r="624" ht="15.75" customHeight="1">
      <c r="A624" s="36"/>
      <c r="B624" s="37"/>
      <c r="C624" s="37"/>
      <c r="D624" s="37"/>
      <c r="E624" s="37"/>
      <c r="F624" s="1"/>
      <c r="G624" s="1"/>
    </row>
    <row r="625" ht="15.75" customHeight="1">
      <c r="A625" s="36"/>
      <c r="B625" s="37"/>
      <c r="C625" s="37"/>
      <c r="D625" s="37"/>
      <c r="E625" s="37"/>
      <c r="F625" s="1"/>
      <c r="G625" s="1"/>
    </row>
    <row r="626" ht="15.75" customHeight="1">
      <c r="A626" s="36"/>
      <c r="B626" s="37"/>
      <c r="C626" s="37"/>
      <c r="D626" s="37"/>
      <c r="E626" s="37"/>
      <c r="F626" s="1"/>
      <c r="G626" s="1"/>
    </row>
    <row r="627" ht="15.75" customHeight="1">
      <c r="A627" s="36"/>
      <c r="B627" s="37"/>
      <c r="C627" s="37"/>
      <c r="D627" s="37"/>
      <c r="E627" s="37"/>
      <c r="F627" s="1"/>
      <c r="G627" s="1"/>
    </row>
    <row r="628" ht="15.75" customHeight="1">
      <c r="A628" s="36"/>
      <c r="B628" s="37"/>
      <c r="C628" s="37"/>
      <c r="D628" s="37"/>
      <c r="E628" s="37"/>
      <c r="F628" s="1"/>
      <c r="G628" s="1"/>
    </row>
    <row r="629" ht="15.75" customHeight="1">
      <c r="A629" s="36"/>
      <c r="B629" s="37"/>
      <c r="C629" s="37"/>
      <c r="D629" s="37"/>
      <c r="E629" s="37"/>
      <c r="F629" s="1"/>
      <c r="G629" s="1"/>
    </row>
    <row r="630" ht="15.75" customHeight="1">
      <c r="A630" s="36"/>
      <c r="B630" s="37"/>
      <c r="C630" s="37"/>
      <c r="D630" s="37"/>
      <c r="E630" s="37"/>
      <c r="F630" s="1"/>
      <c r="G630" s="1"/>
    </row>
    <row r="631" ht="15.75" customHeight="1">
      <c r="A631" s="36"/>
      <c r="B631" s="37"/>
      <c r="C631" s="37"/>
      <c r="D631" s="37"/>
      <c r="E631" s="37"/>
      <c r="F631" s="1"/>
      <c r="G631" s="1"/>
    </row>
    <row r="632" ht="15.75" customHeight="1">
      <c r="A632" s="36"/>
      <c r="B632" s="37"/>
      <c r="C632" s="37"/>
      <c r="D632" s="37"/>
      <c r="E632" s="37"/>
      <c r="F632" s="1"/>
      <c r="G632" s="1"/>
    </row>
    <row r="633" ht="15.75" customHeight="1">
      <c r="A633" s="36"/>
      <c r="B633" s="37"/>
      <c r="C633" s="37"/>
      <c r="D633" s="37"/>
      <c r="E633" s="37"/>
      <c r="F633" s="1"/>
      <c r="G633" s="1"/>
    </row>
    <row r="634" ht="15.75" customHeight="1">
      <c r="A634" s="36"/>
      <c r="B634" s="37"/>
      <c r="C634" s="37"/>
      <c r="D634" s="37"/>
      <c r="E634" s="37"/>
      <c r="F634" s="1"/>
      <c r="G634" s="1"/>
    </row>
    <row r="635" ht="15.75" customHeight="1">
      <c r="A635" s="36"/>
      <c r="B635" s="37"/>
      <c r="C635" s="37"/>
      <c r="D635" s="37"/>
      <c r="E635" s="37"/>
      <c r="F635" s="1"/>
      <c r="G635" s="1"/>
    </row>
    <row r="636" ht="15.75" customHeight="1">
      <c r="A636" s="36"/>
      <c r="B636" s="37"/>
      <c r="C636" s="37"/>
      <c r="D636" s="37"/>
      <c r="E636" s="37"/>
      <c r="F636" s="1"/>
      <c r="G636" s="1"/>
    </row>
    <row r="637" ht="15.75" customHeight="1">
      <c r="A637" s="36"/>
      <c r="B637" s="37"/>
      <c r="C637" s="37"/>
      <c r="D637" s="37"/>
      <c r="E637" s="37"/>
      <c r="F637" s="1"/>
      <c r="G637" s="1"/>
    </row>
    <row r="638" ht="15.75" customHeight="1">
      <c r="A638" s="36"/>
      <c r="B638" s="37"/>
      <c r="C638" s="37"/>
      <c r="D638" s="37"/>
      <c r="E638" s="37"/>
      <c r="F638" s="1"/>
      <c r="G638" s="1"/>
    </row>
    <row r="639" ht="15.75" customHeight="1">
      <c r="A639" s="36"/>
      <c r="B639" s="37"/>
      <c r="C639" s="37"/>
      <c r="D639" s="37"/>
      <c r="E639" s="37"/>
      <c r="F639" s="1"/>
      <c r="G639" s="1"/>
    </row>
    <row r="640" ht="15.75" customHeight="1">
      <c r="A640" s="36"/>
      <c r="B640" s="37"/>
      <c r="C640" s="37"/>
      <c r="D640" s="37"/>
      <c r="E640" s="37"/>
      <c r="F640" s="1"/>
      <c r="G640" s="1"/>
    </row>
    <row r="641" ht="15.75" customHeight="1">
      <c r="A641" s="36"/>
      <c r="B641" s="37"/>
      <c r="C641" s="37"/>
      <c r="D641" s="37"/>
      <c r="E641" s="37"/>
      <c r="F641" s="1"/>
      <c r="G641" s="1"/>
    </row>
    <row r="642" ht="15.75" customHeight="1">
      <c r="A642" s="36"/>
      <c r="B642" s="37"/>
      <c r="C642" s="37"/>
      <c r="D642" s="37"/>
      <c r="E642" s="37"/>
      <c r="F642" s="1"/>
      <c r="G642" s="1"/>
    </row>
    <row r="643" ht="15.75" customHeight="1">
      <c r="A643" s="36"/>
      <c r="B643" s="37"/>
      <c r="C643" s="37"/>
      <c r="D643" s="37"/>
      <c r="E643" s="37"/>
      <c r="F643" s="1"/>
      <c r="G643" s="1"/>
    </row>
    <row r="644" ht="15.75" customHeight="1">
      <c r="A644" s="36"/>
      <c r="B644" s="37"/>
      <c r="C644" s="37"/>
      <c r="D644" s="37"/>
      <c r="E644" s="37"/>
      <c r="F644" s="1"/>
      <c r="G644" s="1"/>
    </row>
    <row r="645" ht="15.75" customHeight="1">
      <c r="A645" s="36"/>
      <c r="B645" s="37"/>
      <c r="C645" s="37"/>
      <c r="D645" s="37"/>
      <c r="E645" s="37"/>
      <c r="F645" s="1"/>
      <c r="G645" s="1"/>
    </row>
    <row r="646" ht="15.75" customHeight="1">
      <c r="A646" s="36"/>
      <c r="B646" s="37"/>
      <c r="C646" s="37"/>
      <c r="D646" s="37"/>
      <c r="E646" s="37"/>
      <c r="F646" s="1"/>
      <c r="G646" s="1"/>
    </row>
    <row r="647" ht="15.75" customHeight="1">
      <c r="A647" s="36"/>
      <c r="B647" s="37"/>
      <c r="C647" s="37"/>
      <c r="D647" s="37"/>
      <c r="E647" s="37"/>
      <c r="F647" s="1"/>
      <c r="G647" s="1"/>
    </row>
    <row r="648" ht="15.75" customHeight="1">
      <c r="A648" s="36"/>
      <c r="B648" s="37"/>
      <c r="C648" s="37"/>
      <c r="D648" s="37"/>
      <c r="E648" s="37"/>
      <c r="F648" s="1"/>
      <c r="G648" s="1"/>
    </row>
    <row r="649" ht="15.75" customHeight="1">
      <c r="A649" s="36"/>
      <c r="B649" s="37"/>
      <c r="C649" s="37"/>
      <c r="D649" s="37"/>
      <c r="E649" s="37"/>
      <c r="F649" s="1"/>
      <c r="G649" s="1"/>
    </row>
    <row r="650" ht="15.75" customHeight="1">
      <c r="A650" s="36"/>
      <c r="B650" s="37"/>
      <c r="C650" s="37"/>
      <c r="D650" s="37"/>
      <c r="E650" s="37"/>
      <c r="F650" s="1"/>
      <c r="G650" s="1"/>
    </row>
    <row r="651" ht="15.75" customHeight="1">
      <c r="A651" s="36"/>
      <c r="B651" s="37"/>
      <c r="C651" s="37"/>
      <c r="D651" s="37"/>
      <c r="E651" s="37"/>
      <c r="F651" s="1"/>
      <c r="G651" s="1"/>
    </row>
    <row r="652" ht="15.75" customHeight="1">
      <c r="A652" s="36"/>
      <c r="B652" s="37"/>
      <c r="C652" s="37"/>
      <c r="D652" s="37"/>
      <c r="E652" s="37"/>
      <c r="F652" s="1"/>
      <c r="G652" s="1"/>
    </row>
    <row r="653" ht="15.75" customHeight="1">
      <c r="A653" s="36"/>
      <c r="B653" s="37"/>
      <c r="C653" s="37"/>
      <c r="D653" s="37"/>
      <c r="E653" s="37"/>
      <c r="F653" s="1"/>
      <c r="G653" s="1"/>
    </row>
    <row r="654" ht="15.75" customHeight="1">
      <c r="A654" s="36"/>
      <c r="B654" s="37"/>
      <c r="C654" s="37"/>
      <c r="D654" s="37"/>
      <c r="E654" s="37"/>
      <c r="F654" s="1"/>
      <c r="G654" s="1"/>
    </row>
    <row r="655" ht="15.75" customHeight="1">
      <c r="A655" s="36"/>
      <c r="B655" s="37"/>
      <c r="C655" s="37"/>
      <c r="D655" s="37"/>
      <c r="E655" s="37"/>
      <c r="F655" s="1"/>
      <c r="G655" s="1"/>
    </row>
    <row r="656" ht="15.75" customHeight="1">
      <c r="A656" s="36"/>
      <c r="B656" s="37"/>
      <c r="C656" s="37"/>
      <c r="D656" s="37"/>
      <c r="E656" s="37"/>
      <c r="F656" s="1"/>
      <c r="G656" s="1"/>
    </row>
    <row r="657" ht="15.75" customHeight="1">
      <c r="A657" s="36"/>
      <c r="B657" s="37"/>
      <c r="C657" s="37"/>
      <c r="D657" s="37"/>
      <c r="E657" s="37"/>
      <c r="F657" s="1"/>
      <c r="G657" s="1"/>
    </row>
    <row r="658" ht="15.75" customHeight="1">
      <c r="A658" s="36"/>
      <c r="B658" s="37"/>
      <c r="C658" s="37"/>
      <c r="D658" s="37"/>
      <c r="E658" s="37"/>
      <c r="F658" s="1"/>
      <c r="G658" s="1"/>
    </row>
    <row r="659" ht="15.75" customHeight="1">
      <c r="A659" s="36"/>
      <c r="B659" s="37"/>
      <c r="C659" s="37"/>
      <c r="D659" s="37"/>
      <c r="E659" s="37"/>
      <c r="F659" s="1"/>
      <c r="G659" s="1"/>
    </row>
    <row r="660" ht="15.75" customHeight="1">
      <c r="A660" s="36"/>
      <c r="B660" s="37"/>
      <c r="C660" s="37"/>
      <c r="D660" s="37"/>
      <c r="E660" s="37"/>
      <c r="F660" s="1"/>
      <c r="G660" s="1"/>
    </row>
    <row r="661" ht="15.75" customHeight="1">
      <c r="A661" s="36"/>
      <c r="B661" s="37"/>
      <c r="C661" s="37"/>
      <c r="D661" s="37"/>
      <c r="E661" s="37"/>
      <c r="F661" s="1"/>
      <c r="G661" s="1"/>
    </row>
    <row r="662" ht="15.75" customHeight="1">
      <c r="A662" s="36"/>
      <c r="B662" s="37"/>
      <c r="C662" s="37"/>
      <c r="D662" s="37"/>
      <c r="E662" s="37"/>
      <c r="F662" s="1"/>
      <c r="G662" s="1"/>
    </row>
    <row r="663" ht="15.75" customHeight="1">
      <c r="A663" s="36"/>
      <c r="B663" s="37"/>
      <c r="C663" s="37"/>
      <c r="D663" s="37"/>
      <c r="E663" s="37"/>
      <c r="F663" s="1"/>
      <c r="G663" s="1"/>
    </row>
    <row r="664" ht="15.75" customHeight="1">
      <c r="A664" s="36"/>
      <c r="B664" s="37"/>
      <c r="C664" s="37"/>
      <c r="D664" s="37"/>
      <c r="E664" s="37"/>
      <c r="F664" s="1"/>
      <c r="G664" s="1"/>
    </row>
    <row r="665" ht="15.75" customHeight="1">
      <c r="A665" s="36"/>
      <c r="B665" s="37"/>
      <c r="C665" s="37"/>
      <c r="D665" s="37"/>
      <c r="E665" s="37"/>
      <c r="F665" s="1"/>
      <c r="G665" s="1"/>
    </row>
    <row r="666" ht="15.75" customHeight="1">
      <c r="A666" s="36"/>
      <c r="B666" s="37"/>
      <c r="C666" s="37"/>
      <c r="D666" s="37"/>
      <c r="E666" s="37"/>
      <c r="F666" s="1"/>
      <c r="G666" s="1"/>
    </row>
    <row r="667" ht="15.75" customHeight="1">
      <c r="A667" s="36"/>
      <c r="B667" s="37"/>
      <c r="C667" s="37"/>
      <c r="D667" s="37"/>
      <c r="E667" s="37"/>
      <c r="F667" s="1"/>
      <c r="G667" s="1"/>
    </row>
    <row r="668" ht="15.75" customHeight="1">
      <c r="A668" s="36"/>
      <c r="B668" s="37"/>
      <c r="C668" s="37"/>
      <c r="D668" s="37"/>
      <c r="E668" s="37"/>
      <c r="F668" s="1"/>
      <c r="G668" s="1"/>
    </row>
    <row r="669" ht="15.75" customHeight="1">
      <c r="A669" s="36"/>
      <c r="B669" s="37"/>
      <c r="C669" s="37"/>
      <c r="D669" s="37"/>
      <c r="E669" s="37"/>
      <c r="F669" s="1"/>
      <c r="G669" s="1"/>
    </row>
    <row r="670" ht="15.75" customHeight="1">
      <c r="A670" s="36"/>
      <c r="B670" s="37"/>
      <c r="C670" s="37"/>
      <c r="D670" s="37"/>
      <c r="E670" s="37"/>
      <c r="F670" s="1"/>
      <c r="G670" s="1"/>
    </row>
    <row r="671" ht="15.75" customHeight="1">
      <c r="A671" s="36"/>
      <c r="B671" s="37"/>
      <c r="C671" s="37"/>
      <c r="D671" s="37"/>
      <c r="E671" s="37"/>
      <c r="F671" s="1"/>
      <c r="G671" s="1"/>
    </row>
    <row r="672" ht="15.75" customHeight="1">
      <c r="A672" s="36"/>
      <c r="B672" s="37"/>
      <c r="C672" s="37"/>
      <c r="D672" s="37"/>
      <c r="E672" s="37"/>
      <c r="F672" s="1"/>
      <c r="G672" s="1"/>
    </row>
    <row r="673" ht="15.75" customHeight="1">
      <c r="A673" s="36"/>
      <c r="B673" s="37"/>
      <c r="C673" s="37"/>
      <c r="D673" s="37"/>
      <c r="E673" s="37"/>
      <c r="F673" s="1"/>
      <c r="G673" s="1"/>
    </row>
    <row r="674" ht="15.75" customHeight="1">
      <c r="A674" s="36"/>
      <c r="B674" s="37"/>
      <c r="C674" s="37"/>
      <c r="D674" s="37"/>
      <c r="E674" s="37"/>
      <c r="F674" s="1"/>
      <c r="G674" s="1"/>
    </row>
    <row r="675" ht="15.75" customHeight="1">
      <c r="A675" s="36"/>
      <c r="B675" s="37"/>
      <c r="C675" s="37"/>
      <c r="D675" s="37"/>
      <c r="E675" s="37"/>
      <c r="F675" s="1"/>
      <c r="G675" s="1"/>
    </row>
    <row r="676" ht="15.75" customHeight="1">
      <c r="A676" s="36"/>
      <c r="B676" s="37"/>
      <c r="C676" s="37"/>
      <c r="D676" s="37"/>
      <c r="E676" s="37"/>
      <c r="F676" s="1"/>
      <c r="G676" s="1"/>
    </row>
    <row r="677" ht="15.75" customHeight="1">
      <c r="A677" s="36"/>
      <c r="B677" s="37"/>
      <c r="C677" s="37"/>
      <c r="D677" s="37"/>
      <c r="E677" s="37"/>
      <c r="F677" s="1"/>
      <c r="G677" s="1"/>
    </row>
    <row r="678" ht="15.75" customHeight="1">
      <c r="A678" s="36"/>
      <c r="B678" s="37"/>
      <c r="C678" s="37"/>
      <c r="D678" s="37"/>
      <c r="E678" s="37"/>
      <c r="F678" s="1"/>
      <c r="G678" s="1"/>
    </row>
    <row r="679" ht="15.75" customHeight="1">
      <c r="A679" s="36"/>
      <c r="B679" s="37"/>
      <c r="C679" s="37"/>
      <c r="D679" s="37"/>
      <c r="E679" s="37"/>
      <c r="F679" s="1"/>
      <c r="G679" s="1"/>
    </row>
    <row r="680" ht="15.75" customHeight="1">
      <c r="A680" s="36"/>
      <c r="B680" s="37"/>
      <c r="C680" s="37"/>
      <c r="D680" s="37"/>
      <c r="E680" s="37"/>
      <c r="F680" s="1"/>
      <c r="G680" s="1"/>
    </row>
    <row r="681" ht="15.75" customHeight="1">
      <c r="A681" s="36"/>
      <c r="B681" s="37"/>
      <c r="C681" s="37"/>
      <c r="D681" s="37"/>
      <c r="E681" s="37"/>
      <c r="F681" s="1"/>
      <c r="G681" s="1"/>
    </row>
    <row r="682" ht="15.75" customHeight="1">
      <c r="A682" s="36"/>
      <c r="B682" s="37"/>
      <c r="C682" s="37"/>
      <c r="D682" s="37"/>
      <c r="E682" s="37"/>
      <c r="F682" s="1"/>
      <c r="G682" s="1"/>
    </row>
    <row r="683" ht="15.75" customHeight="1">
      <c r="A683" s="36"/>
      <c r="B683" s="37"/>
      <c r="C683" s="37"/>
      <c r="D683" s="37"/>
      <c r="E683" s="37"/>
      <c r="F683" s="1"/>
      <c r="G683" s="1"/>
    </row>
    <row r="684" ht="15.75" customHeight="1">
      <c r="A684" s="36"/>
      <c r="B684" s="37"/>
      <c r="C684" s="37"/>
      <c r="D684" s="37"/>
      <c r="E684" s="37"/>
      <c r="F684" s="1"/>
      <c r="G684" s="1"/>
    </row>
    <row r="685" ht="15.75" customHeight="1">
      <c r="A685" s="36"/>
      <c r="B685" s="37"/>
      <c r="C685" s="37"/>
      <c r="D685" s="37"/>
      <c r="E685" s="37"/>
      <c r="F685" s="1"/>
      <c r="G685" s="1"/>
    </row>
    <row r="686" ht="15.75" customHeight="1">
      <c r="A686" s="36"/>
      <c r="B686" s="37"/>
      <c r="C686" s="37"/>
      <c r="D686" s="37"/>
      <c r="E686" s="37"/>
      <c r="F686" s="1"/>
      <c r="G686" s="1"/>
    </row>
    <row r="687" ht="15.75" customHeight="1">
      <c r="A687" s="36"/>
      <c r="B687" s="37"/>
      <c r="C687" s="37"/>
      <c r="D687" s="37"/>
      <c r="E687" s="37"/>
      <c r="F687" s="1"/>
      <c r="G687" s="1"/>
    </row>
    <row r="688" ht="15.75" customHeight="1">
      <c r="A688" s="36"/>
      <c r="B688" s="37"/>
      <c r="C688" s="37"/>
      <c r="D688" s="37"/>
      <c r="E688" s="37"/>
      <c r="F688" s="1"/>
      <c r="G688" s="1"/>
    </row>
    <row r="689" ht="15.75" customHeight="1">
      <c r="A689" s="36"/>
      <c r="B689" s="37"/>
      <c r="C689" s="37"/>
      <c r="D689" s="37"/>
      <c r="E689" s="37"/>
      <c r="F689" s="1"/>
      <c r="G689" s="1"/>
    </row>
    <row r="690" ht="15.75" customHeight="1">
      <c r="A690" s="36"/>
      <c r="B690" s="37"/>
      <c r="C690" s="37"/>
      <c r="D690" s="37"/>
      <c r="E690" s="37"/>
      <c r="F690" s="1"/>
      <c r="G690" s="1"/>
    </row>
    <row r="691" ht="15.75" customHeight="1">
      <c r="A691" s="36"/>
      <c r="B691" s="37"/>
      <c r="C691" s="37"/>
      <c r="D691" s="37"/>
      <c r="E691" s="37"/>
      <c r="F691" s="1"/>
      <c r="G691" s="1"/>
    </row>
    <row r="692" ht="15.75" customHeight="1">
      <c r="A692" s="36"/>
      <c r="B692" s="37"/>
      <c r="C692" s="37"/>
      <c r="D692" s="37"/>
      <c r="E692" s="37"/>
      <c r="F692" s="1"/>
      <c r="G692" s="1"/>
    </row>
    <row r="693" ht="15.75" customHeight="1">
      <c r="A693" s="36"/>
      <c r="B693" s="37"/>
      <c r="C693" s="37"/>
      <c r="D693" s="37"/>
      <c r="E693" s="37"/>
      <c r="F693" s="1"/>
      <c r="G693" s="1"/>
    </row>
    <row r="694" ht="15.75" customHeight="1">
      <c r="A694" s="36"/>
      <c r="B694" s="37"/>
      <c r="C694" s="37"/>
      <c r="D694" s="37"/>
      <c r="E694" s="37"/>
      <c r="F694" s="1"/>
      <c r="G694" s="1"/>
    </row>
    <row r="695" ht="15.75" customHeight="1">
      <c r="A695" s="36"/>
      <c r="B695" s="37"/>
      <c r="C695" s="37"/>
      <c r="D695" s="37"/>
      <c r="E695" s="37"/>
      <c r="F695" s="1"/>
      <c r="G695" s="1"/>
    </row>
    <row r="696" ht="15.75" customHeight="1">
      <c r="A696" s="36"/>
      <c r="B696" s="37"/>
      <c r="C696" s="37"/>
      <c r="D696" s="37"/>
      <c r="E696" s="37"/>
      <c r="F696" s="1"/>
      <c r="G696" s="1"/>
    </row>
    <row r="697" ht="15.75" customHeight="1">
      <c r="A697" s="36"/>
      <c r="B697" s="37"/>
      <c r="C697" s="37"/>
      <c r="D697" s="37"/>
      <c r="E697" s="37"/>
      <c r="F697" s="1"/>
      <c r="G697" s="1"/>
    </row>
    <row r="698" ht="15.75" customHeight="1">
      <c r="A698" s="36"/>
      <c r="B698" s="37"/>
      <c r="C698" s="37"/>
      <c r="D698" s="37"/>
      <c r="E698" s="37"/>
      <c r="F698" s="1"/>
      <c r="G698" s="1"/>
    </row>
    <row r="699" ht="15.75" customHeight="1">
      <c r="A699" s="36"/>
      <c r="B699" s="37"/>
      <c r="C699" s="37"/>
      <c r="D699" s="37"/>
      <c r="E699" s="37"/>
      <c r="F699" s="1"/>
      <c r="G699" s="1"/>
    </row>
    <row r="700" ht="15.75" customHeight="1">
      <c r="A700" s="36"/>
      <c r="B700" s="37"/>
      <c r="C700" s="37"/>
      <c r="D700" s="37"/>
      <c r="E700" s="37"/>
      <c r="F700" s="1"/>
      <c r="G700" s="1"/>
    </row>
    <row r="701" ht="15.75" customHeight="1">
      <c r="A701" s="36"/>
      <c r="B701" s="37"/>
      <c r="C701" s="37"/>
      <c r="D701" s="37"/>
      <c r="E701" s="37"/>
      <c r="F701" s="1"/>
      <c r="G701" s="1"/>
    </row>
    <row r="702" ht="15.75" customHeight="1">
      <c r="A702" s="36"/>
      <c r="B702" s="37"/>
      <c r="C702" s="37"/>
      <c r="D702" s="37"/>
      <c r="E702" s="37"/>
      <c r="F702" s="1"/>
      <c r="G702" s="1"/>
    </row>
    <row r="703" ht="15.75" customHeight="1">
      <c r="A703" s="36"/>
      <c r="B703" s="37"/>
      <c r="C703" s="37"/>
      <c r="D703" s="37"/>
      <c r="E703" s="37"/>
      <c r="F703" s="1"/>
      <c r="G703" s="1"/>
    </row>
    <row r="704" ht="15.75" customHeight="1">
      <c r="A704" s="36"/>
      <c r="B704" s="37"/>
      <c r="C704" s="37"/>
      <c r="D704" s="37"/>
      <c r="E704" s="37"/>
      <c r="F704" s="1"/>
      <c r="G704" s="1"/>
    </row>
    <row r="705" ht="15.75" customHeight="1">
      <c r="A705" s="36"/>
      <c r="B705" s="37"/>
      <c r="C705" s="37"/>
      <c r="D705" s="37"/>
      <c r="E705" s="37"/>
      <c r="F705" s="1"/>
      <c r="G705" s="1"/>
    </row>
    <row r="706" ht="15.75" customHeight="1">
      <c r="A706" s="36"/>
      <c r="B706" s="37"/>
      <c r="C706" s="37"/>
      <c r="D706" s="37"/>
      <c r="E706" s="37"/>
      <c r="F706" s="1"/>
      <c r="G706" s="1"/>
    </row>
    <row r="707" ht="15.75" customHeight="1">
      <c r="A707" s="36"/>
      <c r="B707" s="37"/>
      <c r="C707" s="37"/>
      <c r="D707" s="37"/>
      <c r="E707" s="37"/>
      <c r="F707" s="1"/>
      <c r="G707" s="1"/>
    </row>
    <row r="708" ht="15.75" customHeight="1">
      <c r="A708" s="36"/>
      <c r="B708" s="37"/>
      <c r="C708" s="37"/>
      <c r="D708" s="37"/>
      <c r="E708" s="37"/>
      <c r="F708" s="1"/>
      <c r="G708" s="1"/>
    </row>
    <row r="709" ht="15.75" customHeight="1">
      <c r="A709" s="36"/>
      <c r="B709" s="37"/>
      <c r="C709" s="37"/>
      <c r="D709" s="37"/>
      <c r="E709" s="37"/>
      <c r="F709" s="1"/>
      <c r="G709" s="1"/>
    </row>
    <row r="710" ht="15.75" customHeight="1">
      <c r="A710" s="36"/>
      <c r="B710" s="37"/>
      <c r="C710" s="37"/>
      <c r="D710" s="37"/>
      <c r="E710" s="37"/>
      <c r="F710" s="1"/>
      <c r="G710" s="1"/>
    </row>
    <row r="711" ht="15.75" customHeight="1">
      <c r="A711" s="36"/>
      <c r="B711" s="37"/>
      <c r="C711" s="37"/>
      <c r="D711" s="37"/>
      <c r="E711" s="37"/>
      <c r="F711" s="1"/>
      <c r="G711" s="1"/>
    </row>
    <row r="712" ht="15.75" customHeight="1">
      <c r="A712" s="36"/>
      <c r="B712" s="37"/>
      <c r="C712" s="37"/>
      <c r="D712" s="37"/>
      <c r="E712" s="37"/>
      <c r="F712" s="1"/>
      <c r="G712" s="1"/>
    </row>
    <row r="713" ht="15.75" customHeight="1">
      <c r="A713" s="36"/>
      <c r="B713" s="37"/>
      <c r="C713" s="37"/>
      <c r="D713" s="37"/>
      <c r="E713" s="37"/>
      <c r="F713" s="1"/>
      <c r="G713" s="1"/>
    </row>
    <row r="714" ht="15.75" customHeight="1">
      <c r="A714" s="36"/>
      <c r="B714" s="37"/>
      <c r="C714" s="37"/>
      <c r="D714" s="37"/>
      <c r="E714" s="37"/>
      <c r="F714" s="1"/>
      <c r="G714" s="1"/>
    </row>
    <row r="715" ht="15.75" customHeight="1">
      <c r="A715" s="36"/>
      <c r="B715" s="37"/>
      <c r="C715" s="37"/>
      <c r="D715" s="37"/>
      <c r="E715" s="37"/>
      <c r="F715" s="1"/>
      <c r="G715" s="1"/>
    </row>
    <row r="716" ht="15.75" customHeight="1">
      <c r="A716" s="36"/>
      <c r="B716" s="37"/>
      <c r="C716" s="37"/>
      <c r="D716" s="37"/>
      <c r="E716" s="37"/>
      <c r="F716" s="1"/>
      <c r="G716" s="1"/>
    </row>
    <row r="717" ht="15.75" customHeight="1">
      <c r="A717" s="36"/>
      <c r="B717" s="37"/>
      <c r="C717" s="37"/>
      <c r="D717" s="37"/>
      <c r="E717" s="37"/>
      <c r="F717" s="1"/>
      <c r="G717" s="1"/>
    </row>
    <row r="718" ht="15.75" customHeight="1">
      <c r="A718" s="36"/>
      <c r="B718" s="37"/>
      <c r="C718" s="37"/>
      <c r="D718" s="37"/>
      <c r="E718" s="37"/>
      <c r="F718" s="1"/>
      <c r="G718" s="1"/>
    </row>
    <row r="719" ht="15.75" customHeight="1">
      <c r="A719" s="36"/>
      <c r="B719" s="37"/>
      <c r="C719" s="37"/>
      <c r="D719" s="37"/>
      <c r="E719" s="37"/>
      <c r="F719" s="1"/>
      <c r="G719" s="1"/>
    </row>
    <row r="720" ht="15.75" customHeight="1">
      <c r="A720" s="36"/>
      <c r="B720" s="37"/>
      <c r="C720" s="37"/>
      <c r="D720" s="37"/>
      <c r="E720" s="37"/>
      <c r="F720" s="1"/>
      <c r="G720" s="1"/>
    </row>
    <row r="721" ht="15.75" customHeight="1">
      <c r="A721" s="36"/>
      <c r="B721" s="37"/>
      <c r="C721" s="37"/>
      <c r="D721" s="37"/>
      <c r="E721" s="37"/>
      <c r="F721" s="1"/>
      <c r="G721" s="1"/>
    </row>
    <row r="722" ht="15.75" customHeight="1">
      <c r="A722" s="36"/>
      <c r="B722" s="37"/>
      <c r="C722" s="37"/>
      <c r="D722" s="37"/>
      <c r="E722" s="37"/>
      <c r="F722" s="1"/>
      <c r="G722" s="1"/>
    </row>
    <row r="723" ht="15.75" customHeight="1">
      <c r="A723" s="36"/>
      <c r="B723" s="37"/>
      <c r="C723" s="37"/>
      <c r="D723" s="37"/>
      <c r="E723" s="37"/>
      <c r="F723" s="1"/>
      <c r="G723" s="1"/>
    </row>
    <row r="724" ht="15.75" customHeight="1">
      <c r="A724" s="36"/>
      <c r="B724" s="37"/>
      <c r="C724" s="37"/>
      <c r="D724" s="37"/>
      <c r="E724" s="37"/>
      <c r="F724" s="1"/>
      <c r="G724" s="1"/>
    </row>
    <row r="725" ht="15.75" customHeight="1">
      <c r="A725" s="36"/>
      <c r="B725" s="37"/>
      <c r="C725" s="37"/>
      <c r="D725" s="37"/>
      <c r="E725" s="37"/>
      <c r="F725" s="1"/>
      <c r="G725" s="1"/>
    </row>
    <row r="726" ht="15.75" customHeight="1">
      <c r="A726" s="36"/>
      <c r="B726" s="37"/>
      <c r="C726" s="37"/>
      <c r="D726" s="37"/>
      <c r="E726" s="37"/>
      <c r="F726" s="1"/>
      <c r="G726" s="1"/>
    </row>
    <row r="727" ht="15.75" customHeight="1">
      <c r="A727" s="36"/>
      <c r="B727" s="37"/>
      <c r="C727" s="37"/>
      <c r="D727" s="37"/>
      <c r="E727" s="37"/>
      <c r="F727" s="1"/>
      <c r="G727" s="1"/>
    </row>
    <row r="728" ht="15.75" customHeight="1">
      <c r="A728" s="36"/>
      <c r="B728" s="37"/>
      <c r="C728" s="37"/>
      <c r="D728" s="37"/>
      <c r="E728" s="37"/>
      <c r="F728" s="1"/>
      <c r="G728" s="1"/>
    </row>
    <row r="729" ht="15.75" customHeight="1">
      <c r="A729" s="36"/>
      <c r="B729" s="37"/>
      <c r="C729" s="37"/>
      <c r="D729" s="37"/>
      <c r="E729" s="37"/>
      <c r="F729" s="1"/>
      <c r="G729" s="1"/>
    </row>
    <row r="730" ht="15.75" customHeight="1">
      <c r="A730" s="36"/>
      <c r="B730" s="37"/>
      <c r="C730" s="37"/>
      <c r="D730" s="37"/>
      <c r="E730" s="37"/>
      <c r="F730" s="1"/>
      <c r="G730" s="1"/>
    </row>
    <row r="731" ht="15.75" customHeight="1">
      <c r="A731" s="36"/>
      <c r="B731" s="37"/>
      <c r="C731" s="37"/>
      <c r="D731" s="37"/>
      <c r="E731" s="37"/>
      <c r="F731" s="1"/>
      <c r="G731" s="1"/>
    </row>
    <row r="732" ht="15.75" customHeight="1">
      <c r="A732" s="36"/>
      <c r="B732" s="37"/>
      <c r="C732" s="37"/>
      <c r="D732" s="37"/>
      <c r="E732" s="37"/>
      <c r="F732" s="1"/>
      <c r="G732" s="1"/>
    </row>
    <row r="733" ht="15.75" customHeight="1">
      <c r="A733" s="36"/>
      <c r="B733" s="37"/>
      <c r="C733" s="37"/>
      <c r="D733" s="37"/>
      <c r="E733" s="37"/>
      <c r="F733" s="1"/>
      <c r="G733" s="1"/>
    </row>
    <row r="734" ht="15.75" customHeight="1">
      <c r="A734" s="36"/>
      <c r="B734" s="37"/>
      <c r="C734" s="37"/>
      <c r="D734" s="37"/>
      <c r="E734" s="37"/>
      <c r="F734" s="1"/>
      <c r="G734" s="1"/>
    </row>
    <row r="735" ht="15.75" customHeight="1">
      <c r="A735" s="36"/>
      <c r="B735" s="37"/>
      <c r="C735" s="37"/>
      <c r="D735" s="37"/>
      <c r="E735" s="37"/>
      <c r="F735" s="1"/>
      <c r="G735" s="1"/>
    </row>
    <row r="736" ht="15.75" customHeight="1">
      <c r="A736" s="36"/>
      <c r="B736" s="37"/>
      <c r="C736" s="37"/>
      <c r="D736" s="37"/>
      <c r="E736" s="37"/>
      <c r="F736" s="1"/>
      <c r="G736" s="1"/>
    </row>
    <row r="737" ht="15.75" customHeight="1">
      <c r="A737" s="36"/>
      <c r="B737" s="37"/>
      <c r="C737" s="37"/>
      <c r="D737" s="37"/>
      <c r="E737" s="37"/>
      <c r="F737" s="1"/>
      <c r="G737" s="1"/>
    </row>
    <row r="738" ht="15.75" customHeight="1">
      <c r="A738" s="36"/>
      <c r="B738" s="37"/>
      <c r="C738" s="37"/>
      <c r="D738" s="37"/>
      <c r="E738" s="37"/>
      <c r="F738" s="1"/>
      <c r="G738" s="1"/>
    </row>
    <row r="739" ht="15.75" customHeight="1">
      <c r="A739" s="36"/>
      <c r="B739" s="37"/>
      <c r="C739" s="37"/>
      <c r="D739" s="37"/>
      <c r="E739" s="37"/>
      <c r="F739" s="1"/>
      <c r="G739" s="1"/>
    </row>
    <row r="740" ht="15.75" customHeight="1">
      <c r="A740" s="36"/>
      <c r="B740" s="37"/>
      <c r="C740" s="37"/>
      <c r="D740" s="37"/>
      <c r="E740" s="37"/>
      <c r="F740" s="1"/>
      <c r="G740" s="1"/>
    </row>
    <row r="741" ht="15.75" customHeight="1">
      <c r="A741" s="36"/>
      <c r="B741" s="37"/>
      <c r="C741" s="37"/>
      <c r="D741" s="37"/>
      <c r="E741" s="37"/>
      <c r="F741" s="1"/>
      <c r="G741" s="1"/>
    </row>
    <row r="742" ht="15.75" customHeight="1">
      <c r="A742" s="36"/>
      <c r="B742" s="37"/>
      <c r="C742" s="37"/>
      <c r="D742" s="37"/>
      <c r="E742" s="37"/>
      <c r="F742" s="1"/>
      <c r="G742" s="1"/>
    </row>
    <row r="743" ht="15.75" customHeight="1">
      <c r="A743" s="36"/>
      <c r="B743" s="37"/>
      <c r="C743" s="37"/>
      <c r="D743" s="37"/>
      <c r="E743" s="37"/>
      <c r="F743" s="1"/>
      <c r="G743" s="1"/>
    </row>
    <row r="744" ht="15.75" customHeight="1">
      <c r="A744" s="36"/>
      <c r="B744" s="37"/>
      <c r="C744" s="37"/>
      <c r="D744" s="37"/>
      <c r="E744" s="37"/>
      <c r="F744" s="1"/>
      <c r="G744" s="1"/>
    </row>
    <row r="745" ht="15.75" customHeight="1">
      <c r="A745" s="36"/>
      <c r="B745" s="37"/>
      <c r="C745" s="37"/>
      <c r="D745" s="37"/>
      <c r="E745" s="37"/>
      <c r="F745" s="1"/>
      <c r="G745" s="1"/>
    </row>
    <row r="746" ht="15.75" customHeight="1">
      <c r="A746" s="36"/>
      <c r="B746" s="37"/>
      <c r="C746" s="37"/>
      <c r="D746" s="37"/>
      <c r="E746" s="37"/>
      <c r="F746" s="1"/>
      <c r="G746" s="1"/>
    </row>
    <row r="747" ht="15.75" customHeight="1">
      <c r="A747" s="36"/>
      <c r="B747" s="37"/>
      <c r="C747" s="37"/>
      <c r="D747" s="37"/>
      <c r="E747" s="37"/>
      <c r="F747" s="1"/>
      <c r="G747" s="1"/>
    </row>
    <row r="748" ht="15.75" customHeight="1">
      <c r="A748" s="36"/>
      <c r="B748" s="37"/>
      <c r="C748" s="37"/>
      <c r="D748" s="37"/>
      <c r="E748" s="37"/>
      <c r="F748" s="1"/>
      <c r="G748" s="1"/>
    </row>
    <row r="749" ht="15.75" customHeight="1">
      <c r="A749" s="36"/>
      <c r="B749" s="37"/>
      <c r="C749" s="37"/>
      <c r="D749" s="37"/>
      <c r="E749" s="37"/>
      <c r="F749" s="1"/>
      <c r="G749" s="1"/>
    </row>
    <row r="750" ht="15.75" customHeight="1">
      <c r="A750" s="36"/>
      <c r="B750" s="37"/>
      <c r="C750" s="37"/>
      <c r="D750" s="37"/>
      <c r="E750" s="37"/>
      <c r="F750" s="1"/>
      <c r="G750" s="1"/>
    </row>
    <row r="751" ht="15.75" customHeight="1">
      <c r="A751" s="36"/>
      <c r="B751" s="37"/>
      <c r="C751" s="37"/>
      <c r="D751" s="37"/>
      <c r="E751" s="37"/>
      <c r="F751" s="1"/>
      <c r="G751" s="1"/>
    </row>
    <row r="752" ht="15.75" customHeight="1">
      <c r="A752" s="36"/>
      <c r="B752" s="37"/>
      <c r="C752" s="37"/>
      <c r="D752" s="37"/>
      <c r="E752" s="37"/>
      <c r="F752" s="1"/>
      <c r="G752" s="1"/>
    </row>
    <row r="753" ht="15.75" customHeight="1">
      <c r="A753" s="36"/>
      <c r="B753" s="37"/>
      <c r="C753" s="37"/>
      <c r="D753" s="37"/>
      <c r="E753" s="37"/>
      <c r="F753" s="1"/>
      <c r="G753" s="1"/>
    </row>
    <row r="754" ht="15.75" customHeight="1">
      <c r="A754" s="36"/>
      <c r="B754" s="37"/>
      <c r="C754" s="37"/>
      <c r="D754" s="37"/>
      <c r="E754" s="37"/>
      <c r="F754" s="1"/>
      <c r="G754" s="1"/>
    </row>
    <row r="755" ht="15.75" customHeight="1">
      <c r="A755" s="36"/>
      <c r="B755" s="37"/>
      <c r="C755" s="37"/>
      <c r="D755" s="37"/>
      <c r="E755" s="37"/>
      <c r="F755" s="1"/>
      <c r="G755" s="1"/>
    </row>
    <row r="756" ht="15.75" customHeight="1">
      <c r="A756" s="36"/>
      <c r="B756" s="37"/>
      <c r="C756" s="37"/>
      <c r="D756" s="37"/>
      <c r="E756" s="37"/>
      <c r="F756" s="1"/>
      <c r="G756" s="1"/>
    </row>
    <row r="757" ht="15.75" customHeight="1">
      <c r="A757" s="36"/>
      <c r="B757" s="37"/>
      <c r="C757" s="37"/>
      <c r="D757" s="37"/>
      <c r="E757" s="37"/>
      <c r="F757" s="1"/>
      <c r="G757" s="1"/>
    </row>
    <row r="758" ht="15.75" customHeight="1">
      <c r="A758" s="36"/>
      <c r="B758" s="37"/>
      <c r="C758" s="37"/>
      <c r="D758" s="37"/>
      <c r="E758" s="37"/>
      <c r="F758" s="1"/>
      <c r="G758" s="1"/>
    </row>
    <row r="759" ht="15.75" customHeight="1">
      <c r="A759" s="36"/>
      <c r="B759" s="37"/>
      <c r="C759" s="37"/>
      <c r="D759" s="37"/>
      <c r="E759" s="37"/>
      <c r="F759" s="1"/>
      <c r="G759" s="1"/>
    </row>
    <row r="760" ht="15.75" customHeight="1">
      <c r="A760" s="36"/>
      <c r="B760" s="37"/>
      <c r="C760" s="37"/>
      <c r="D760" s="37"/>
      <c r="E760" s="37"/>
      <c r="F760" s="1"/>
      <c r="G760" s="1"/>
    </row>
    <row r="761" ht="15.75" customHeight="1">
      <c r="A761" s="36"/>
      <c r="B761" s="37"/>
      <c r="C761" s="37"/>
      <c r="D761" s="37"/>
      <c r="E761" s="37"/>
      <c r="F761" s="1"/>
      <c r="G761" s="1"/>
    </row>
    <row r="762" ht="15.75" customHeight="1">
      <c r="A762" s="36"/>
      <c r="B762" s="37"/>
      <c r="C762" s="37"/>
      <c r="D762" s="37"/>
      <c r="E762" s="37"/>
      <c r="F762" s="1"/>
      <c r="G762" s="1"/>
    </row>
    <row r="763" ht="15.75" customHeight="1">
      <c r="A763" s="36"/>
      <c r="B763" s="37"/>
      <c r="C763" s="37"/>
      <c r="D763" s="37"/>
      <c r="E763" s="37"/>
      <c r="F763" s="1"/>
      <c r="G763" s="1"/>
    </row>
    <row r="764" ht="15.75" customHeight="1">
      <c r="A764" s="36"/>
      <c r="B764" s="37"/>
      <c r="C764" s="37"/>
      <c r="D764" s="37"/>
      <c r="E764" s="37"/>
      <c r="F764" s="1"/>
      <c r="G764" s="1"/>
    </row>
    <row r="765" ht="15.75" customHeight="1">
      <c r="A765" s="36"/>
      <c r="B765" s="37"/>
      <c r="C765" s="37"/>
      <c r="D765" s="37"/>
      <c r="E765" s="37"/>
      <c r="F765" s="1"/>
      <c r="G765" s="1"/>
    </row>
    <row r="766" ht="15.75" customHeight="1">
      <c r="A766" s="36"/>
      <c r="B766" s="37"/>
      <c r="C766" s="37"/>
      <c r="D766" s="37"/>
      <c r="E766" s="37"/>
      <c r="F766" s="1"/>
      <c r="G766" s="1"/>
    </row>
    <row r="767" ht="15.75" customHeight="1">
      <c r="A767" s="36"/>
      <c r="B767" s="37"/>
      <c r="C767" s="37"/>
      <c r="D767" s="37"/>
      <c r="E767" s="37"/>
      <c r="F767" s="1"/>
      <c r="G767" s="1"/>
    </row>
    <row r="768" ht="15.75" customHeight="1">
      <c r="A768" s="36"/>
      <c r="B768" s="37"/>
      <c r="C768" s="37"/>
      <c r="D768" s="37"/>
      <c r="E768" s="37"/>
      <c r="F768" s="1"/>
      <c r="G768" s="1"/>
    </row>
    <row r="769" ht="15.75" customHeight="1">
      <c r="A769" s="36"/>
      <c r="B769" s="37"/>
      <c r="C769" s="37"/>
      <c r="D769" s="37"/>
      <c r="E769" s="37"/>
      <c r="F769" s="1"/>
      <c r="G769" s="1"/>
    </row>
    <row r="770" ht="15.75" customHeight="1">
      <c r="A770" s="36"/>
      <c r="B770" s="37"/>
      <c r="C770" s="37"/>
      <c r="D770" s="37"/>
      <c r="E770" s="37"/>
      <c r="F770" s="1"/>
      <c r="G770" s="1"/>
    </row>
    <row r="771" ht="15.75" customHeight="1">
      <c r="A771" s="36"/>
      <c r="B771" s="37"/>
      <c r="C771" s="37"/>
      <c r="D771" s="37"/>
      <c r="E771" s="37"/>
      <c r="F771" s="1"/>
      <c r="G771" s="1"/>
    </row>
    <row r="772" ht="15.75" customHeight="1">
      <c r="A772" s="36"/>
      <c r="B772" s="37"/>
      <c r="C772" s="37"/>
      <c r="D772" s="37"/>
      <c r="E772" s="37"/>
      <c r="F772" s="1"/>
      <c r="G772" s="1"/>
    </row>
    <row r="773" ht="15.75" customHeight="1">
      <c r="A773" s="36"/>
      <c r="B773" s="37"/>
      <c r="C773" s="37"/>
      <c r="D773" s="37"/>
      <c r="E773" s="37"/>
      <c r="F773" s="1"/>
      <c r="G773" s="1"/>
    </row>
    <row r="774" ht="15.75" customHeight="1">
      <c r="A774" s="36"/>
      <c r="B774" s="37"/>
      <c r="C774" s="37"/>
      <c r="D774" s="37"/>
      <c r="E774" s="37"/>
      <c r="F774" s="1"/>
      <c r="G774" s="1"/>
    </row>
    <row r="775" ht="15.75" customHeight="1">
      <c r="A775" s="36"/>
      <c r="B775" s="37"/>
      <c r="C775" s="37"/>
      <c r="D775" s="37"/>
      <c r="E775" s="37"/>
      <c r="F775" s="1"/>
      <c r="G775" s="1"/>
    </row>
    <row r="776" ht="15.75" customHeight="1">
      <c r="A776" s="36"/>
      <c r="B776" s="37"/>
      <c r="C776" s="37"/>
      <c r="D776" s="37"/>
      <c r="E776" s="37"/>
      <c r="F776" s="1"/>
      <c r="G776" s="1"/>
    </row>
    <row r="777" ht="15.75" customHeight="1">
      <c r="A777" s="36"/>
      <c r="B777" s="37"/>
      <c r="C777" s="37"/>
      <c r="D777" s="37"/>
      <c r="E777" s="37"/>
      <c r="F777" s="1"/>
      <c r="G777" s="1"/>
    </row>
    <row r="778" ht="15.75" customHeight="1">
      <c r="A778" s="36"/>
      <c r="B778" s="37"/>
      <c r="C778" s="37"/>
      <c r="D778" s="37"/>
      <c r="E778" s="37"/>
      <c r="F778" s="1"/>
      <c r="G778" s="1"/>
    </row>
    <row r="779" ht="15.75" customHeight="1">
      <c r="A779" s="36"/>
      <c r="B779" s="37"/>
      <c r="C779" s="37"/>
      <c r="D779" s="37"/>
      <c r="E779" s="37"/>
      <c r="F779" s="1"/>
      <c r="G779" s="1"/>
    </row>
    <row r="780" ht="15.75" customHeight="1">
      <c r="A780" s="36"/>
      <c r="B780" s="37"/>
      <c r="C780" s="37"/>
      <c r="D780" s="37"/>
      <c r="E780" s="37"/>
      <c r="F780" s="1"/>
      <c r="G780" s="1"/>
    </row>
    <row r="781" ht="15.75" customHeight="1">
      <c r="A781" s="36"/>
      <c r="B781" s="37"/>
      <c r="C781" s="37"/>
      <c r="D781" s="37"/>
      <c r="E781" s="37"/>
      <c r="F781" s="1"/>
      <c r="G781" s="1"/>
    </row>
    <row r="782" ht="15.75" customHeight="1">
      <c r="A782" s="36"/>
      <c r="B782" s="37"/>
      <c r="C782" s="37"/>
      <c r="D782" s="37"/>
      <c r="E782" s="37"/>
      <c r="F782" s="1"/>
      <c r="G782" s="1"/>
    </row>
    <row r="783" ht="15.75" customHeight="1">
      <c r="A783" s="36"/>
      <c r="B783" s="37"/>
      <c r="C783" s="37"/>
      <c r="D783" s="37"/>
      <c r="E783" s="37"/>
      <c r="F783" s="1"/>
      <c r="G783" s="1"/>
    </row>
    <row r="784" ht="15.75" customHeight="1">
      <c r="A784" s="36"/>
      <c r="B784" s="37"/>
      <c r="C784" s="37"/>
      <c r="D784" s="37"/>
      <c r="E784" s="37"/>
      <c r="F784" s="1"/>
      <c r="G784" s="1"/>
    </row>
    <row r="785" ht="15.75" customHeight="1">
      <c r="A785" s="36"/>
      <c r="B785" s="37"/>
      <c r="C785" s="37"/>
      <c r="D785" s="37"/>
      <c r="E785" s="37"/>
      <c r="F785" s="1"/>
      <c r="G785" s="1"/>
    </row>
    <row r="786" ht="15.75" customHeight="1">
      <c r="A786" s="36"/>
      <c r="B786" s="37"/>
      <c r="C786" s="37"/>
      <c r="D786" s="37"/>
      <c r="E786" s="37"/>
      <c r="F786" s="1"/>
      <c r="G786" s="1"/>
    </row>
    <row r="787" ht="15.75" customHeight="1">
      <c r="A787" s="36"/>
      <c r="B787" s="37"/>
      <c r="C787" s="37"/>
      <c r="D787" s="37"/>
      <c r="E787" s="37"/>
      <c r="F787" s="1"/>
      <c r="G787" s="1"/>
    </row>
    <row r="788" ht="15.75" customHeight="1">
      <c r="A788" s="36"/>
      <c r="B788" s="37"/>
      <c r="C788" s="37"/>
      <c r="D788" s="37"/>
      <c r="E788" s="37"/>
      <c r="F788" s="1"/>
      <c r="G788" s="1"/>
    </row>
    <row r="789" ht="15.75" customHeight="1">
      <c r="A789" s="36"/>
      <c r="B789" s="37"/>
      <c r="C789" s="37"/>
      <c r="D789" s="37"/>
      <c r="E789" s="37"/>
      <c r="F789" s="1"/>
      <c r="G789" s="1"/>
    </row>
    <row r="790" ht="15.75" customHeight="1">
      <c r="A790" s="36"/>
      <c r="B790" s="37"/>
      <c r="C790" s="37"/>
      <c r="D790" s="37"/>
      <c r="E790" s="37"/>
      <c r="F790" s="1"/>
      <c r="G790" s="1"/>
    </row>
    <row r="791" ht="15.75" customHeight="1">
      <c r="A791" s="36"/>
      <c r="B791" s="37"/>
      <c r="C791" s="37"/>
      <c r="D791" s="37"/>
      <c r="E791" s="37"/>
      <c r="F791" s="1"/>
      <c r="G791" s="1"/>
    </row>
    <row r="792" ht="15.75" customHeight="1">
      <c r="A792" s="36"/>
      <c r="B792" s="37"/>
      <c r="C792" s="37"/>
      <c r="D792" s="37"/>
      <c r="E792" s="37"/>
      <c r="F792" s="1"/>
      <c r="G792" s="1"/>
    </row>
    <row r="793" ht="15.75" customHeight="1">
      <c r="A793" s="36"/>
      <c r="B793" s="37"/>
      <c r="C793" s="37"/>
      <c r="D793" s="37"/>
      <c r="E793" s="37"/>
      <c r="F793" s="1"/>
      <c r="G793" s="1"/>
    </row>
    <row r="794" ht="15.75" customHeight="1">
      <c r="A794" s="36"/>
      <c r="B794" s="37"/>
      <c r="C794" s="37"/>
      <c r="D794" s="37"/>
      <c r="E794" s="37"/>
      <c r="F794" s="1"/>
      <c r="G794" s="1"/>
    </row>
    <row r="795" ht="15.75" customHeight="1">
      <c r="A795" s="36"/>
      <c r="B795" s="37"/>
      <c r="C795" s="37"/>
      <c r="D795" s="37"/>
      <c r="E795" s="37"/>
      <c r="F795" s="1"/>
      <c r="G795" s="1"/>
    </row>
    <row r="796" ht="15.75" customHeight="1">
      <c r="A796" s="36"/>
      <c r="B796" s="37"/>
      <c r="C796" s="37"/>
      <c r="D796" s="37"/>
      <c r="E796" s="37"/>
      <c r="F796" s="1"/>
      <c r="G796" s="1"/>
    </row>
    <row r="797" ht="15.75" customHeight="1">
      <c r="A797" s="36"/>
      <c r="B797" s="37"/>
      <c r="C797" s="37"/>
      <c r="D797" s="37"/>
      <c r="E797" s="37"/>
      <c r="F797" s="1"/>
      <c r="G797" s="1"/>
    </row>
    <row r="798" ht="15.75" customHeight="1">
      <c r="A798" s="36"/>
      <c r="B798" s="37"/>
      <c r="C798" s="37"/>
      <c r="D798" s="37"/>
      <c r="E798" s="37"/>
      <c r="F798" s="1"/>
      <c r="G798" s="1"/>
    </row>
    <row r="799" ht="15.75" customHeight="1">
      <c r="A799" s="36"/>
      <c r="B799" s="37"/>
      <c r="C799" s="37"/>
      <c r="D799" s="37"/>
      <c r="E799" s="37"/>
      <c r="F799" s="1"/>
      <c r="G799" s="1"/>
    </row>
    <row r="800" ht="15.75" customHeight="1">
      <c r="A800" s="36"/>
      <c r="B800" s="37"/>
      <c r="C800" s="37"/>
      <c r="D800" s="37"/>
      <c r="E800" s="37"/>
      <c r="F800" s="1"/>
      <c r="G800" s="1"/>
    </row>
    <row r="801" ht="15.75" customHeight="1">
      <c r="A801" s="36"/>
      <c r="B801" s="37"/>
      <c r="C801" s="37"/>
      <c r="D801" s="37"/>
      <c r="E801" s="37"/>
      <c r="F801" s="1"/>
      <c r="G801" s="1"/>
    </row>
    <row r="802" ht="15.75" customHeight="1">
      <c r="A802" s="36"/>
      <c r="B802" s="37"/>
      <c r="C802" s="37"/>
      <c r="D802" s="37"/>
      <c r="E802" s="37"/>
      <c r="F802" s="1"/>
      <c r="G802" s="1"/>
    </row>
    <row r="803" ht="15.75" customHeight="1">
      <c r="A803" s="36"/>
      <c r="B803" s="37"/>
      <c r="C803" s="37"/>
      <c r="D803" s="37"/>
      <c r="E803" s="37"/>
      <c r="F803" s="1"/>
      <c r="G803" s="1"/>
    </row>
    <row r="804" ht="15.75" customHeight="1">
      <c r="A804" s="36"/>
      <c r="B804" s="37"/>
      <c r="C804" s="37"/>
      <c r="D804" s="37"/>
      <c r="E804" s="37"/>
      <c r="F804" s="1"/>
      <c r="G804" s="1"/>
    </row>
    <row r="805" ht="15.75" customHeight="1">
      <c r="A805" s="36"/>
      <c r="B805" s="37"/>
      <c r="C805" s="37"/>
      <c r="D805" s="37"/>
      <c r="E805" s="37"/>
      <c r="F805" s="1"/>
      <c r="G805" s="1"/>
    </row>
    <row r="806" ht="15.75" customHeight="1">
      <c r="A806" s="36"/>
      <c r="B806" s="37"/>
      <c r="C806" s="37"/>
      <c r="D806" s="37"/>
      <c r="E806" s="37"/>
      <c r="F806" s="1"/>
      <c r="G806" s="1"/>
    </row>
    <row r="807" ht="15.75" customHeight="1">
      <c r="A807" s="36"/>
      <c r="B807" s="37"/>
      <c r="C807" s="37"/>
      <c r="D807" s="37"/>
      <c r="E807" s="37"/>
      <c r="F807" s="1"/>
      <c r="G807" s="1"/>
    </row>
    <row r="808" ht="15.75" customHeight="1">
      <c r="A808" s="36"/>
      <c r="B808" s="37"/>
      <c r="C808" s="37"/>
      <c r="D808" s="37"/>
      <c r="E808" s="37"/>
      <c r="F808" s="1"/>
      <c r="G808" s="1"/>
    </row>
    <row r="809" ht="15.75" customHeight="1">
      <c r="A809" s="36"/>
      <c r="B809" s="37"/>
      <c r="C809" s="37"/>
      <c r="D809" s="37"/>
      <c r="E809" s="37"/>
      <c r="F809" s="1"/>
      <c r="G809" s="1"/>
    </row>
    <row r="810" ht="15.75" customHeight="1">
      <c r="A810" s="36"/>
      <c r="B810" s="37"/>
      <c r="C810" s="37"/>
      <c r="D810" s="37"/>
      <c r="E810" s="37"/>
      <c r="F810" s="1"/>
      <c r="G810" s="1"/>
    </row>
    <row r="811" ht="15.75" customHeight="1">
      <c r="A811" s="36"/>
      <c r="B811" s="37"/>
      <c r="C811" s="37"/>
      <c r="D811" s="37"/>
      <c r="E811" s="37"/>
      <c r="F811" s="1"/>
      <c r="G811" s="1"/>
    </row>
    <row r="812" ht="15.75" customHeight="1">
      <c r="A812" s="36"/>
      <c r="B812" s="37"/>
      <c r="C812" s="37"/>
      <c r="D812" s="37"/>
      <c r="E812" s="37"/>
      <c r="F812" s="1"/>
      <c r="G812" s="1"/>
    </row>
    <row r="813" ht="15.75" customHeight="1">
      <c r="A813" s="36"/>
      <c r="B813" s="37"/>
      <c r="C813" s="37"/>
      <c r="D813" s="37"/>
      <c r="E813" s="37"/>
      <c r="F813" s="1"/>
      <c r="G813" s="1"/>
    </row>
    <row r="814" ht="15.75" customHeight="1">
      <c r="A814" s="36"/>
      <c r="B814" s="37"/>
      <c r="C814" s="37"/>
      <c r="D814" s="37"/>
      <c r="E814" s="37"/>
      <c r="F814" s="1"/>
      <c r="G814" s="1"/>
    </row>
    <row r="815" ht="15.75" customHeight="1">
      <c r="A815" s="36"/>
      <c r="B815" s="37"/>
      <c r="C815" s="37"/>
      <c r="D815" s="37"/>
      <c r="E815" s="37"/>
      <c r="F815" s="1"/>
      <c r="G815" s="1"/>
    </row>
    <row r="816" ht="15.75" customHeight="1">
      <c r="A816" s="36"/>
      <c r="B816" s="37"/>
      <c r="C816" s="37"/>
      <c r="D816" s="37"/>
      <c r="E816" s="37"/>
      <c r="F816" s="1"/>
      <c r="G816" s="1"/>
    </row>
    <row r="817" ht="15.75" customHeight="1">
      <c r="A817" s="36"/>
      <c r="B817" s="37"/>
      <c r="C817" s="37"/>
      <c r="D817" s="37"/>
      <c r="E817" s="37"/>
      <c r="F817" s="1"/>
      <c r="G817" s="1"/>
    </row>
    <row r="818" ht="15.75" customHeight="1">
      <c r="A818" s="36"/>
      <c r="B818" s="37"/>
      <c r="C818" s="37"/>
      <c r="D818" s="37"/>
      <c r="E818" s="37"/>
      <c r="F818" s="1"/>
      <c r="G818" s="1"/>
    </row>
    <row r="819" ht="15.75" customHeight="1">
      <c r="A819" s="36"/>
      <c r="B819" s="37"/>
      <c r="C819" s="37"/>
      <c r="D819" s="37"/>
      <c r="E819" s="37"/>
      <c r="F819" s="1"/>
      <c r="G819" s="1"/>
    </row>
    <row r="820" ht="15.75" customHeight="1">
      <c r="A820" s="36"/>
      <c r="B820" s="37"/>
      <c r="C820" s="37"/>
      <c r="D820" s="37"/>
      <c r="E820" s="37"/>
      <c r="F820" s="1"/>
      <c r="G820" s="1"/>
    </row>
    <row r="821" ht="15.75" customHeight="1">
      <c r="A821" s="36"/>
      <c r="B821" s="37"/>
      <c r="C821" s="37"/>
      <c r="D821" s="37"/>
      <c r="E821" s="37"/>
      <c r="F821" s="1"/>
      <c r="G821" s="1"/>
    </row>
    <row r="822" ht="15.75" customHeight="1">
      <c r="A822" s="36"/>
      <c r="B822" s="37"/>
      <c r="C822" s="37"/>
      <c r="D822" s="37"/>
      <c r="E822" s="37"/>
      <c r="F822" s="1"/>
      <c r="G822" s="1"/>
    </row>
    <row r="823" ht="15.75" customHeight="1">
      <c r="A823" s="36"/>
      <c r="B823" s="37"/>
      <c r="C823" s="37"/>
      <c r="D823" s="37"/>
      <c r="E823" s="37"/>
      <c r="F823" s="1"/>
      <c r="G823" s="1"/>
    </row>
    <row r="824" ht="15.75" customHeight="1">
      <c r="A824" s="36"/>
      <c r="B824" s="37"/>
      <c r="C824" s="37"/>
      <c r="D824" s="37"/>
      <c r="E824" s="37"/>
      <c r="F824" s="1"/>
      <c r="G824" s="1"/>
    </row>
    <row r="825" ht="15.75" customHeight="1">
      <c r="A825" s="36"/>
      <c r="B825" s="37"/>
      <c r="C825" s="37"/>
      <c r="D825" s="37"/>
      <c r="E825" s="37"/>
      <c r="F825" s="1"/>
      <c r="G825" s="1"/>
    </row>
    <row r="826" ht="15.75" customHeight="1">
      <c r="A826" s="36"/>
      <c r="B826" s="37"/>
      <c r="C826" s="37"/>
      <c r="D826" s="37"/>
      <c r="E826" s="37"/>
      <c r="F826" s="1"/>
      <c r="G826" s="1"/>
    </row>
    <row r="827" ht="15.75" customHeight="1">
      <c r="A827" s="36"/>
      <c r="B827" s="37"/>
      <c r="C827" s="37"/>
      <c r="D827" s="37"/>
      <c r="E827" s="37"/>
      <c r="F827" s="1"/>
      <c r="G827" s="1"/>
    </row>
    <row r="828" ht="15.75" customHeight="1">
      <c r="A828" s="36"/>
      <c r="B828" s="37"/>
      <c r="C828" s="37"/>
      <c r="D828" s="37"/>
      <c r="E828" s="37"/>
      <c r="F828" s="1"/>
      <c r="G828" s="1"/>
    </row>
    <row r="829" ht="15.75" customHeight="1">
      <c r="A829" s="36"/>
      <c r="B829" s="37"/>
      <c r="C829" s="37"/>
      <c r="D829" s="37"/>
      <c r="E829" s="37"/>
      <c r="F829" s="1"/>
      <c r="G829" s="1"/>
    </row>
    <row r="830" ht="15.75" customHeight="1">
      <c r="A830" s="36"/>
      <c r="B830" s="37"/>
      <c r="C830" s="37"/>
      <c r="D830" s="37"/>
      <c r="E830" s="37"/>
      <c r="F830" s="1"/>
      <c r="G830" s="1"/>
    </row>
    <row r="831" ht="15.75" customHeight="1">
      <c r="A831" s="36"/>
      <c r="B831" s="37"/>
      <c r="C831" s="37"/>
      <c r="D831" s="37"/>
      <c r="E831" s="37"/>
      <c r="F831" s="1"/>
      <c r="G831" s="1"/>
    </row>
    <row r="832" ht="15.75" customHeight="1">
      <c r="A832" s="36"/>
      <c r="B832" s="37"/>
      <c r="C832" s="37"/>
      <c r="D832" s="37"/>
      <c r="E832" s="37"/>
      <c r="F832" s="1"/>
      <c r="G832" s="1"/>
    </row>
    <row r="833" ht="15.75" customHeight="1">
      <c r="A833" s="36"/>
      <c r="B833" s="37"/>
      <c r="C833" s="37"/>
      <c r="D833" s="37"/>
      <c r="E833" s="37"/>
      <c r="F833" s="1"/>
      <c r="G833" s="1"/>
    </row>
    <row r="834" ht="15.75" customHeight="1">
      <c r="A834" s="36"/>
      <c r="B834" s="37"/>
      <c r="C834" s="37"/>
      <c r="D834" s="37"/>
      <c r="E834" s="37"/>
      <c r="F834" s="1"/>
      <c r="G834" s="1"/>
    </row>
    <row r="835" ht="15.75" customHeight="1">
      <c r="A835" s="36"/>
      <c r="B835" s="37"/>
      <c r="C835" s="37"/>
      <c r="D835" s="37"/>
      <c r="E835" s="37"/>
      <c r="F835" s="1"/>
      <c r="G835" s="1"/>
    </row>
    <row r="836" ht="15.75" customHeight="1">
      <c r="A836" s="36"/>
      <c r="B836" s="37"/>
      <c r="C836" s="37"/>
      <c r="D836" s="37"/>
      <c r="E836" s="37"/>
      <c r="F836" s="1"/>
      <c r="G836" s="1"/>
    </row>
    <row r="837" ht="15.75" customHeight="1">
      <c r="A837" s="36"/>
      <c r="B837" s="37"/>
      <c r="C837" s="37"/>
      <c r="D837" s="37"/>
      <c r="E837" s="37"/>
      <c r="F837" s="1"/>
      <c r="G837" s="1"/>
    </row>
    <row r="838" ht="15.75" customHeight="1">
      <c r="A838" s="36"/>
      <c r="B838" s="37"/>
      <c r="C838" s="37"/>
      <c r="D838" s="37"/>
      <c r="E838" s="37"/>
      <c r="F838" s="1"/>
      <c r="G838" s="1"/>
    </row>
    <row r="839" ht="15.75" customHeight="1">
      <c r="A839" s="36"/>
      <c r="B839" s="37"/>
      <c r="C839" s="37"/>
      <c r="D839" s="37"/>
      <c r="E839" s="37"/>
      <c r="F839" s="1"/>
      <c r="G839" s="1"/>
    </row>
    <row r="840" ht="15.75" customHeight="1">
      <c r="A840" s="36"/>
      <c r="B840" s="37"/>
      <c r="C840" s="37"/>
      <c r="D840" s="37"/>
      <c r="E840" s="37"/>
      <c r="F840" s="1"/>
      <c r="G840" s="1"/>
    </row>
    <row r="841" ht="15.75" customHeight="1">
      <c r="A841" s="36"/>
      <c r="B841" s="37"/>
      <c r="C841" s="37"/>
      <c r="D841" s="37"/>
      <c r="E841" s="37"/>
      <c r="F841" s="1"/>
      <c r="G841" s="1"/>
    </row>
    <row r="842" ht="15.75" customHeight="1">
      <c r="A842" s="36"/>
      <c r="B842" s="37"/>
      <c r="C842" s="37"/>
      <c r="D842" s="37"/>
      <c r="E842" s="37"/>
      <c r="F842" s="1"/>
      <c r="G842" s="1"/>
    </row>
    <row r="843" ht="15.75" customHeight="1">
      <c r="A843" s="36"/>
      <c r="B843" s="37"/>
      <c r="C843" s="37"/>
      <c r="D843" s="37"/>
      <c r="E843" s="37"/>
      <c r="F843" s="1"/>
      <c r="G843" s="1"/>
    </row>
    <row r="844" ht="15.75" customHeight="1">
      <c r="A844" s="36"/>
      <c r="B844" s="37"/>
      <c r="C844" s="37"/>
      <c r="D844" s="37"/>
      <c r="E844" s="37"/>
      <c r="F844" s="1"/>
      <c r="G844" s="1"/>
    </row>
    <row r="845" ht="15.75" customHeight="1">
      <c r="A845" s="36"/>
      <c r="B845" s="37"/>
      <c r="C845" s="37"/>
      <c r="D845" s="37"/>
      <c r="E845" s="37"/>
      <c r="F845" s="1"/>
      <c r="G845" s="1"/>
    </row>
    <row r="846" ht="15.75" customHeight="1">
      <c r="A846" s="36"/>
      <c r="B846" s="37"/>
      <c r="C846" s="37"/>
      <c r="D846" s="37"/>
      <c r="E846" s="37"/>
      <c r="F846" s="1"/>
      <c r="G846" s="1"/>
    </row>
    <row r="847" ht="15.75" customHeight="1">
      <c r="A847" s="36"/>
      <c r="B847" s="37"/>
      <c r="C847" s="37"/>
      <c r="D847" s="37"/>
      <c r="E847" s="37"/>
      <c r="F847" s="1"/>
      <c r="G847" s="1"/>
    </row>
    <row r="848" ht="15.75" customHeight="1">
      <c r="A848" s="36"/>
      <c r="B848" s="37"/>
      <c r="C848" s="37"/>
      <c r="D848" s="37"/>
      <c r="E848" s="37"/>
      <c r="F848" s="1"/>
      <c r="G848" s="1"/>
    </row>
    <row r="849" ht="15.75" customHeight="1">
      <c r="A849" s="36"/>
      <c r="B849" s="37"/>
      <c r="C849" s="37"/>
      <c r="D849" s="37"/>
      <c r="E849" s="37"/>
      <c r="F849" s="1"/>
      <c r="G849" s="1"/>
    </row>
    <row r="850" ht="15.75" customHeight="1">
      <c r="A850" s="36"/>
      <c r="B850" s="37"/>
      <c r="C850" s="37"/>
      <c r="D850" s="37"/>
      <c r="E850" s="37"/>
      <c r="F850" s="1"/>
      <c r="G850" s="1"/>
    </row>
    <row r="851" ht="15.75" customHeight="1">
      <c r="A851" s="36"/>
      <c r="B851" s="37"/>
      <c r="C851" s="37"/>
      <c r="D851" s="37"/>
      <c r="E851" s="37"/>
      <c r="F851" s="1"/>
      <c r="G851" s="1"/>
    </row>
    <row r="852" ht="15.75" customHeight="1">
      <c r="A852" s="36"/>
      <c r="B852" s="37"/>
      <c r="C852" s="37"/>
      <c r="D852" s="37"/>
      <c r="E852" s="37"/>
      <c r="F852" s="1"/>
      <c r="G852" s="1"/>
    </row>
    <row r="853" ht="15.75" customHeight="1">
      <c r="A853" s="36"/>
      <c r="B853" s="37"/>
      <c r="C853" s="37"/>
      <c r="D853" s="37"/>
      <c r="E853" s="37"/>
      <c r="F853" s="1"/>
      <c r="G853" s="1"/>
    </row>
    <row r="854" ht="15.75" customHeight="1">
      <c r="A854" s="36"/>
      <c r="B854" s="37"/>
      <c r="C854" s="37"/>
      <c r="D854" s="37"/>
      <c r="E854" s="37"/>
      <c r="F854" s="1"/>
      <c r="G854" s="1"/>
    </row>
    <row r="855" ht="15.75" customHeight="1">
      <c r="A855" s="36"/>
      <c r="B855" s="37"/>
      <c r="C855" s="37"/>
      <c r="D855" s="37"/>
      <c r="E855" s="37"/>
      <c r="F855" s="1"/>
      <c r="G855" s="1"/>
    </row>
    <row r="856" ht="15.75" customHeight="1">
      <c r="A856" s="36"/>
      <c r="B856" s="37"/>
      <c r="C856" s="37"/>
      <c r="D856" s="37"/>
      <c r="E856" s="37"/>
      <c r="F856" s="1"/>
      <c r="G856" s="1"/>
    </row>
    <row r="857" ht="15.75" customHeight="1">
      <c r="A857" s="36"/>
      <c r="B857" s="37"/>
      <c r="C857" s="37"/>
      <c r="D857" s="37"/>
      <c r="E857" s="37"/>
      <c r="F857" s="1"/>
      <c r="G857" s="1"/>
    </row>
    <row r="858" ht="15.75" customHeight="1">
      <c r="A858" s="36"/>
      <c r="B858" s="37"/>
      <c r="C858" s="37"/>
      <c r="D858" s="37"/>
      <c r="E858" s="37"/>
      <c r="F858" s="1"/>
      <c r="G858" s="1"/>
    </row>
    <row r="859" ht="15.75" customHeight="1">
      <c r="A859" s="36"/>
      <c r="B859" s="37"/>
      <c r="C859" s="37"/>
      <c r="D859" s="37"/>
      <c r="E859" s="37"/>
      <c r="F859" s="1"/>
      <c r="G859" s="1"/>
    </row>
    <row r="860" ht="15.75" customHeight="1">
      <c r="A860" s="36"/>
      <c r="B860" s="37"/>
      <c r="C860" s="37"/>
      <c r="D860" s="37"/>
      <c r="E860" s="37"/>
      <c r="F860" s="1"/>
      <c r="G860" s="1"/>
    </row>
    <row r="861" ht="15.75" customHeight="1">
      <c r="A861" s="36"/>
      <c r="B861" s="37"/>
      <c r="C861" s="37"/>
      <c r="D861" s="37"/>
      <c r="E861" s="37"/>
      <c r="F861" s="1"/>
      <c r="G861" s="1"/>
    </row>
    <row r="862" ht="15.75" customHeight="1">
      <c r="A862" s="36"/>
      <c r="B862" s="37"/>
      <c r="C862" s="37"/>
      <c r="D862" s="37"/>
      <c r="E862" s="37"/>
      <c r="F862" s="1"/>
      <c r="G862" s="1"/>
    </row>
    <row r="863" ht="15.75" customHeight="1">
      <c r="A863" s="36"/>
      <c r="B863" s="37"/>
      <c r="C863" s="37"/>
      <c r="D863" s="37"/>
      <c r="E863" s="37"/>
      <c r="F863" s="1"/>
      <c r="G863" s="1"/>
    </row>
    <row r="864" ht="15.75" customHeight="1">
      <c r="A864" s="36"/>
      <c r="B864" s="37"/>
      <c r="C864" s="37"/>
      <c r="D864" s="37"/>
      <c r="E864" s="37"/>
      <c r="F864" s="1"/>
      <c r="G864" s="1"/>
    </row>
    <row r="865" ht="15.75" customHeight="1">
      <c r="A865" s="36"/>
      <c r="B865" s="37"/>
      <c r="C865" s="37"/>
      <c r="D865" s="37"/>
      <c r="E865" s="37"/>
      <c r="F865" s="1"/>
      <c r="G865" s="1"/>
    </row>
    <row r="866" ht="15.75" customHeight="1">
      <c r="A866" s="36"/>
      <c r="B866" s="37"/>
      <c r="C866" s="37"/>
      <c r="D866" s="37"/>
      <c r="E866" s="37"/>
      <c r="F866" s="1"/>
      <c r="G866" s="1"/>
    </row>
    <row r="867" ht="15.75" customHeight="1">
      <c r="A867" s="36"/>
      <c r="B867" s="37"/>
      <c r="C867" s="37"/>
      <c r="D867" s="37"/>
      <c r="E867" s="37"/>
      <c r="F867" s="1"/>
      <c r="G867" s="1"/>
    </row>
    <row r="868" ht="15.75" customHeight="1">
      <c r="A868" s="36"/>
      <c r="B868" s="37"/>
      <c r="C868" s="37"/>
      <c r="D868" s="37"/>
      <c r="E868" s="37"/>
      <c r="F868" s="1"/>
      <c r="G868" s="1"/>
    </row>
    <row r="869" ht="15.75" customHeight="1">
      <c r="A869" s="36"/>
      <c r="B869" s="37"/>
      <c r="C869" s="37"/>
      <c r="D869" s="37"/>
      <c r="E869" s="37"/>
      <c r="F869" s="1"/>
      <c r="G869" s="1"/>
    </row>
    <row r="870" ht="15.75" customHeight="1">
      <c r="A870" s="36"/>
      <c r="B870" s="37"/>
      <c r="C870" s="37"/>
      <c r="D870" s="37"/>
      <c r="E870" s="37"/>
      <c r="F870" s="1"/>
      <c r="G870" s="1"/>
    </row>
    <row r="871" ht="15.75" customHeight="1">
      <c r="A871" s="36"/>
      <c r="B871" s="37"/>
      <c r="C871" s="37"/>
      <c r="D871" s="37"/>
      <c r="E871" s="37"/>
      <c r="F871" s="1"/>
      <c r="G871" s="1"/>
    </row>
    <row r="872" ht="15.75" customHeight="1">
      <c r="A872" s="36"/>
      <c r="B872" s="37"/>
      <c r="C872" s="37"/>
      <c r="D872" s="37"/>
      <c r="E872" s="37"/>
      <c r="F872" s="1"/>
      <c r="G872" s="1"/>
    </row>
    <row r="873" ht="15.75" customHeight="1">
      <c r="A873" s="36"/>
      <c r="B873" s="37"/>
      <c r="C873" s="37"/>
      <c r="D873" s="37"/>
      <c r="E873" s="37"/>
      <c r="F873" s="1"/>
      <c r="G873" s="1"/>
    </row>
    <row r="874" ht="15.75" customHeight="1">
      <c r="A874" s="36"/>
      <c r="B874" s="37"/>
      <c r="C874" s="37"/>
      <c r="D874" s="37"/>
      <c r="E874" s="37"/>
      <c r="F874" s="1"/>
      <c r="G874" s="1"/>
    </row>
    <row r="875" ht="15.75" customHeight="1">
      <c r="A875" s="36"/>
      <c r="B875" s="37"/>
      <c r="C875" s="37"/>
      <c r="D875" s="37"/>
      <c r="E875" s="37"/>
      <c r="F875" s="1"/>
      <c r="G875" s="1"/>
    </row>
    <row r="876" ht="15.75" customHeight="1">
      <c r="A876" s="36"/>
      <c r="B876" s="37"/>
      <c r="C876" s="37"/>
      <c r="D876" s="37"/>
      <c r="E876" s="37"/>
      <c r="F876" s="1"/>
      <c r="G876" s="1"/>
    </row>
    <row r="877" ht="15.75" customHeight="1">
      <c r="A877" s="36"/>
      <c r="B877" s="37"/>
      <c r="C877" s="37"/>
      <c r="D877" s="37"/>
      <c r="E877" s="37"/>
      <c r="F877" s="1"/>
      <c r="G877" s="1"/>
    </row>
    <row r="878" ht="15.75" customHeight="1">
      <c r="A878" s="36"/>
      <c r="B878" s="37"/>
      <c r="C878" s="37"/>
      <c r="D878" s="37"/>
      <c r="E878" s="37"/>
      <c r="F878" s="1"/>
      <c r="G878" s="1"/>
    </row>
    <row r="879" ht="15.75" customHeight="1">
      <c r="A879" s="36"/>
      <c r="B879" s="37"/>
      <c r="C879" s="37"/>
      <c r="D879" s="37"/>
      <c r="E879" s="37"/>
      <c r="F879" s="1"/>
      <c r="G879" s="1"/>
    </row>
    <row r="880" ht="15.75" customHeight="1">
      <c r="A880" s="36"/>
      <c r="B880" s="37"/>
      <c r="C880" s="37"/>
      <c r="D880" s="37"/>
      <c r="E880" s="37"/>
      <c r="F880" s="1"/>
      <c r="G880" s="1"/>
    </row>
    <row r="881" ht="15.75" customHeight="1">
      <c r="A881" s="36"/>
      <c r="B881" s="37"/>
      <c r="C881" s="37"/>
      <c r="D881" s="37"/>
      <c r="E881" s="37"/>
      <c r="F881" s="1"/>
      <c r="G881" s="1"/>
    </row>
    <row r="882" ht="15.75" customHeight="1">
      <c r="A882" s="36"/>
      <c r="B882" s="37"/>
      <c r="C882" s="37"/>
      <c r="D882" s="37"/>
      <c r="E882" s="37"/>
      <c r="F882" s="1"/>
      <c r="G882" s="1"/>
    </row>
    <row r="883" ht="15.75" customHeight="1">
      <c r="A883" s="36"/>
      <c r="B883" s="37"/>
      <c r="C883" s="37"/>
      <c r="D883" s="37"/>
      <c r="E883" s="37"/>
      <c r="F883" s="1"/>
      <c r="G883" s="1"/>
    </row>
    <row r="884" ht="15.75" customHeight="1">
      <c r="A884" s="36"/>
      <c r="B884" s="37"/>
      <c r="C884" s="37"/>
      <c r="D884" s="37"/>
      <c r="E884" s="37"/>
      <c r="F884" s="1"/>
      <c r="G884" s="1"/>
    </row>
    <row r="885" ht="15.75" customHeight="1">
      <c r="A885" s="36"/>
      <c r="B885" s="37"/>
      <c r="C885" s="37"/>
      <c r="D885" s="37"/>
      <c r="E885" s="37"/>
      <c r="F885" s="1"/>
      <c r="G885" s="1"/>
    </row>
    <row r="886" ht="15.75" customHeight="1">
      <c r="A886" s="36"/>
      <c r="B886" s="37"/>
      <c r="C886" s="37"/>
      <c r="D886" s="37"/>
      <c r="E886" s="37"/>
      <c r="F886" s="1"/>
      <c r="G886" s="1"/>
    </row>
    <row r="887" ht="15.75" customHeight="1">
      <c r="A887" s="36"/>
      <c r="B887" s="37"/>
      <c r="C887" s="37"/>
      <c r="D887" s="37"/>
      <c r="E887" s="37"/>
      <c r="F887" s="1"/>
      <c r="G887" s="1"/>
    </row>
    <row r="888" ht="15.75" customHeight="1">
      <c r="A888" s="36"/>
      <c r="B888" s="37"/>
      <c r="C888" s="37"/>
      <c r="D888" s="37"/>
      <c r="E888" s="37"/>
      <c r="F888" s="1"/>
      <c r="G888" s="1"/>
    </row>
    <row r="889" ht="15.75" customHeight="1">
      <c r="A889" s="36"/>
      <c r="B889" s="37"/>
      <c r="C889" s="37"/>
      <c r="D889" s="37"/>
      <c r="E889" s="37"/>
      <c r="F889" s="1"/>
      <c r="G889" s="1"/>
    </row>
    <row r="890" ht="15.75" customHeight="1">
      <c r="A890" s="36"/>
      <c r="B890" s="37"/>
      <c r="C890" s="37"/>
      <c r="D890" s="37"/>
      <c r="E890" s="37"/>
      <c r="F890" s="1"/>
      <c r="G890" s="1"/>
    </row>
    <row r="891" ht="15.75" customHeight="1">
      <c r="A891" s="36"/>
      <c r="B891" s="37"/>
      <c r="C891" s="37"/>
      <c r="D891" s="37"/>
      <c r="E891" s="37"/>
      <c r="F891" s="1"/>
      <c r="G891" s="1"/>
    </row>
    <row r="892" ht="15.75" customHeight="1">
      <c r="A892" s="36"/>
      <c r="B892" s="37"/>
      <c r="C892" s="37"/>
      <c r="D892" s="37"/>
      <c r="E892" s="37"/>
      <c r="F892" s="1"/>
      <c r="G892" s="1"/>
    </row>
    <row r="893" ht="15.75" customHeight="1">
      <c r="A893" s="36"/>
      <c r="B893" s="37"/>
      <c r="C893" s="37"/>
      <c r="D893" s="37"/>
      <c r="E893" s="37"/>
      <c r="F893" s="1"/>
      <c r="G893" s="1"/>
    </row>
    <row r="894" ht="15.75" customHeight="1">
      <c r="A894" s="36"/>
      <c r="B894" s="37"/>
      <c r="C894" s="37"/>
      <c r="D894" s="37"/>
      <c r="E894" s="37"/>
      <c r="F894" s="1"/>
      <c r="G894" s="1"/>
    </row>
    <row r="895" ht="15.75" customHeight="1">
      <c r="A895" s="36"/>
      <c r="B895" s="37"/>
      <c r="C895" s="37"/>
      <c r="D895" s="37"/>
      <c r="E895" s="37"/>
      <c r="F895" s="1"/>
      <c r="G895" s="1"/>
    </row>
    <row r="896" ht="15.75" customHeight="1">
      <c r="A896" s="36"/>
      <c r="B896" s="37"/>
      <c r="C896" s="37"/>
      <c r="D896" s="37"/>
      <c r="E896" s="37"/>
      <c r="F896" s="1"/>
      <c r="G896" s="1"/>
    </row>
    <row r="897" ht="15.75" customHeight="1">
      <c r="A897" s="36"/>
      <c r="B897" s="37"/>
      <c r="C897" s="37"/>
      <c r="D897" s="37"/>
      <c r="E897" s="37"/>
      <c r="F897" s="1"/>
      <c r="G897" s="1"/>
    </row>
    <row r="898" ht="15.75" customHeight="1">
      <c r="A898" s="36"/>
      <c r="B898" s="37"/>
      <c r="C898" s="37"/>
      <c r="D898" s="37"/>
      <c r="E898" s="37"/>
      <c r="F898" s="1"/>
      <c r="G898" s="1"/>
    </row>
    <row r="899" ht="15.75" customHeight="1">
      <c r="A899" s="36"/>
      <c r="B899" s="37"/>
      <c r="C899" s="37"/>
      <c r="D899" s="37"/>
      <c r="E899" s="37"/>
      <c r="F899" s="1"/>
      <c r="G899" s="1"/>
    </row>
    <row r="900" ht="15.75" customHeight="1">
      <c r="A900" s="36"/>
      <c r="B900" s="37"/>
      <c r="C900" s="37"/>
      <c r="D900" s="37"/>
      <c r="E900" s="37"/>
      <c r="F900" s="1"/>
      <c r="G900" s="1"/>
    </row>
    <row r="901" ht="15.75" customHeight="1">
      <c r="A901" s="36"/>
      <c r="B901" s="37"/>
      <c r="C901" s="37"/>
      <c r="D901" s="37"/>
      <c r="E901" s="37"/>
      <c r="F901" s="1"/>
      <c r="G901" s="1"/>
    </row>
    <row r="902" ht="15.75" customHeight="1">
      <c r="A902" s="36"/>
      <c r="B902" s="37"/>
      <c r="C902" s="37"/>
      <c r="D902" s="37"/>
      <c r="E902" s="37"/>
      <c r="F902" s="1"/>
      <c r="G902" s="1"/>
    </row>
    <row r="903" ht="15.75" customHeight="1">
      <c r="A903" s="36"/>
      <c r="B903" s="37"/>
      <c r="C903" s="37"/>
      <c r="D903" s="37"/>
      <c r="E903" s="37"/>
      <c r="F903" s="1"/>
      <c r="G903" s="1"/>
    </row>
    <row r="904" ht="15.75" customHeight="1">
      <c r="A904" s="36"/>
      <c r="B904" s="37"/>
      <c r="C904" s="37"/>
      <c r="D904" s="37"/>
      <c r="E904" s="37"/>
      <c r="F904" s="1"/>
      <c r="G904" s="1"/>
    </row>
    <row r="905" ht="15.75" customHeight="1">
      <c r="A905" s="36"/>
      <c r="B905" s="37"/>
      <c r="C905" s="37"/>
      <c r="D905" s="37"/>
      <c r="E905" s="37"/>
      <c r="F905" s="1"/>
      <c r="G905" s="1"/>
    </row>
    <row r="906" ht="15.75" customHeight="1">
      <c r="A906" s="36"/>
      <c r="B906" s="37"/>
      <c r="C906" s="37"/>
      <c r="D906" s="37"/>
      <c r="E906" s="37"/>
      <c r="F906" s="1"/>
      <c r="G906" s="1"/>
    </row>
    <row r="907" ht="15.75" customHeight="1">
      <c r="A907" s="36"/>
      <c r="B907" s="37"/>
      <c r="C907" s="37"/>
      <c r="D907" s="37"/>
      <c r="E907" s="37"/>
      <c r="F907" s="1"/>
      <c r="G907" s="1"/>
    </row>
    <row r="908" ht="15.75" customHeight="1">
      <c r="A908" s="36"/>
      <c r="B908" s="37"/>
      <c r="C908" s="37"/>
      <c r="D908" s="37"/>
      <c r="E908" s="37"/>
      <c r="F908" s="1"/>
      <c r="G908" s="1"/>
    </row>
    <row r="909" ht="15.75" customHeight="1">
      <c r="A909" s="36"/>
      <c r="B909" s="37"/>
      <c r="C909" s="37"/>
      <c r="D909" s="37"/>
      <c r="E909" s="37"/>
      <c r="F909" s="1"/>
      <c r="G909" s="1"/>
    </row>
    <row r="910" ht="15.75" customHeight="1">
      <c r="A910" s="36"/>
      <c r="B910" s="37"/>
      <c r="C910" s="37"/>
      <c r="D910" s="37"/>
      <c r="E910" s="37"/>
      <c r="F910" s="1"/>
      <c r="G910" s="1"/>
    </row>
    <row r="911" ht="15.75" customHeight="1">
      <c r="A911" s="36"/>
      <c r="B911" s="37"/>
      <c r="C911" s="37"/>
      <c r="D911" s="37"/>
      <c r="E911" s="37"/>
      <c r="F911" s="1"/>
      <c r="G911" s="1"/>
    </row>
    <row r="912" ht="15.75" customHeight="1">
      <c r="A912" s="36"/>
      <c r="B912" s="37"/>
      <c r="C912" s="37"/>
      <c r="D912" s="37"/>
      <c r="E912" s="37"/>
      <c r="F912" s="1"/>
      <c r="G912" s="1"/>
    </row>
    <row r="913" ht="15.75" customHeight="1">
      <c r="A913" s="36"/>
      <c r="B913" s="37"/>
      <c r="C913" s="37"/>
      <c r="D913" s="37"/>
      <c r="E913" s="37"/>
      <c r="F913" s="1"/>
      <c r="G913" s="1"/>
    </row>
    <row r="914" ht="15.75" customHeight="1">
      <c r="A914" s="36"/>
      <c r="B914" s="37"/>
      <c r="C914" s="37"/>
      <c r="D914" s="37"/>
      <c r="E914" s="37"/>
      <c r="F914" s="1"/>
      <c r="G914" s="1"/>
    </row>
    <row r="915" ht="15.75" customHeight="1">
      <c r="A915" s="36"/>
      <c r="B915" s="37"/>
      <c r="C915" s="37"/>
      <c r="D915" s="37"/>
      <c r="E915" s="37"/>
      <c r="F915" s="1"/>
      <c r="G915" s="1"/>
    </row>
    <row r="916" ht="15.75" customHeight="1">
      <c r="A916" s="36"/>
      <c r="B916" s="37"/>
      <c r="C916" s="37"/>
      <c r="D916" s="37"/>
      <c r="E916" s="37"/>
      <c r="F916" s="1"/>
      <c r="G916" s="1"/>
    </row>
    <row r="917" ht="15.75" customHeight="1">
      <c r="A917" s="36"/>
      <c r="B917" s="37"/>
      <c r="C917" s="37"/>
      <c r="D917" s="37"/>
      <c r="E917" s="37"/>
      <c r="F917" s="1"/>
      <c r="G917" s="1"/>
    </row>
    <row r="918" ht="15.75" customHeight="1">
      <c r="A918" s="36"/>
      <c r="B918" s="37"/>
      <c r="C918" s="37"/>
      <c r="D918" s="37"/>
      <c r="E918" s="37"/>
      <c r="F918" s="1"/>
      <c r="G918" s="1"/>
    </row>
    <row r="919" ht="15.75" customHeight="1">
      <c r="A919" s="36"/>
      <c r="B919" s="37"/>
      <c r="C919" s="37"/>
      <c r="D919" s="37"/>
      <c r="E919" s="37"/>
      <c r="F919" s="1"/>
      <c r="G919" s="1"/>
    </row>
    <row r="920" ht="15.75" customHeight="1">
      <c r="A920" s="36"/>
      <c r="B920" s="37"/>
      <c r="C920" s="37"/>
      <c r="D920" s="37"/>
      <c r="E920" s="37"/>
      <c r="F920" s="1"/>
      <c r="G920" s="1"/>
    </row>
    <row r="921" ht="15.75" customHeight="1">
      <c r="A921" s="36"/>
      <c r="B921" s="37"/>
      <c r="C921" s="37"/>
      <c r="D921" s="37"/>
      <c r="E921" s="37"/>
      <c r="F921" s="1"/>
      <c r="G921" s="1"/>
    </row>
    <row r="922" ht="15.75" customHeight="1">
      <c r="A922" s="36"/>
      <c r="B922" s="37"/>
      <c r="C922" s="37"/>
      <c r="D922" s="37"/>
      <c r="E922" s="37"/>
      <c r="F922" s="1"/>
      <c r="G922" s="1"/>
    </row>
    <row r="923" ht="15.75" customHeight="1">
      <c r="A923" s="36"/>
      <c r="B923" s="37"/>
      <c r="C923" s="37"/>
      <c r="D923" s="37"/>
      <c r="E923" s="37"/>
      <c r="F923" s="1"/>
      <c r="G923" s="1"/>
    </row>
    <row r="924" ht="15.75" customHeight="1">
      <c r="A924" s="36"/>
      <c r="B924" s="37"/>
      <c r="C924" s="37"/>
      <c r="D924" s="37"/>
      <c r="E924" s="37"/>
      <c r="F924" s="1"/>
      <c r="G924" s="1"/>
    </row>
    <row r="925" ht="15.75" customHeight="1">
      <c r="A925" s="36"/>
      <c r="B925" s="37"/>
      <c r="C925" s="37"/>
      <c r="D925" s="37"/>
      <c r="E925" s="37"/>
      <c r="F925" s="1"/>
      <c r="G925" s="1"/>
    </row>
    <row r="926" ht="15.75" customHeight="1">
      <c r="A926" s="36"/>
      <c r="B926" s="37"/>
      <c r="C926" s="37"/>
      <c r="D926" s="37"/>
      <c r="E926" s="37"/>
      <c r="F926" s="1"/>
      <c r="G926" s="1"/>
    </row>
    <row r="927" ht="15.75" customHeight="1">
      <c r="A927" s="36"/>
      <c r="B927" s="37"/>
      <c r="C927" s="37"/>
      <c r="D927" s="37"/>
      <c r="E927" s="37"/>
      <c r="F927" s="1"/>
      <c r="G927" s="1"/>
    </row>
    <row r="928" ht="15.75" customHeight="1">
      <c r="A928" s="36"/>
      <c r="B928" s="37"/>
      <c r="C928" s="37"/>
      <c r="D928" s="37"/>
      <c r="E928" s="37"/>
      <c r="F928" s="1"/>
      <c r="G928" s="1"/>
    </row>
    <row r="929" ht="15.75" customHeight="1">
      <c r="A929" s="36"/>
      <c r="B929" s="37"/>
      <c r="C929" s="37"/>
      <c r="D929" s="37"/>
      <c r="E929" s="37"/>
      <c r="F929" s="1"/>
      <c r="G929" s="1"/>
    </row>
    <row r="930" ht="15.75" customHeight="1">
      <c r="A930" s="36"/>
      <c r="B930" s="37"/>
      <c r="C930" s="37"/>
      <c r="D930" s="37"/>
      <c r="E930" s="37"/>
      <c r="F930" s="1"/>
      <c r="G930" s="1"/>
    </row>
    <row r="931" ht="15.75" customHeight="1">
      <c r="A931" s="36"/>
      <c r="B931" s="37"/>
      <c r="C931" s="37"/>
      <c r="D931" s="37"/>
      <c r="E931" s="37"/>
      <c r="F931" s="1"/>
      <c r="G931" s="1"/>
    </row>
    <row r="932" ht="15.75" customHeight="1">
      <c r="A932" s="36"/>
      <c r="B932" s="37"/>
      <c r="C932" s="37"/>
      <c r="D932" s="37"/>
      <c r="E932" s="37"/>
      <c r="F932" s="1"/>
      <c r="G932" s="1"/>
    </row>
    <row r="933" ht="15.75" customHeight="1">
      <c r="A933" s="36"/>
      <c r="B933" s="37"/>
      <c r="C933" s="37"/>
      <c r="D933" s="37"/>
      <c r="E933" s="37"/>
      <c r="F933" s="1"/>
      <c r="G933" s="1"/>
    </row>
    <row r="934" ht="15.75" customHeight="1">
      <c r="A934" s="36"/>
      <c r="B934" s="37"/>
      <c r="C934" s="37"/>
      <c r="D934" s="37"/>
      <c r="E934" s="37"/>
      <c r="F934" s="1"/>
      <c r="G934" s="1"/>
    </row>
    <row r="935" ht="15.75" customHeight="1">
      <c r="A935" s="36"/>
      <c r="B935" s="37"/>
      <c r="C935" s="37"/>
      <c r="D935" s="37"/>
      <c r="E935" s="37"/>
      <c r="F935" s="1"/>
      <c r="G935" s="1"/>
    </row>
    <row r="936" ht="15.75" customHeight="1">
      <c r="A936" s="36"/>
      <c r="B936" s="37"/>
      <c r="C936" s="37"/>
      <c r="D936" s="37"/>
      <c r="E936" s="37"/>
      <c r="F936" s="1"/>
      <c r="G936" s="1"/>
    </row>
    <row r="937" ht="15.75" customHeight="1">
      <c r="A937" s="36"/>
      <c r="B937" s="37"/>
      <c r="C937" s="37"/>
      <c r="D937" s="37"/>
      <c r="E937" s="37"/>
      <c r="F937" s="1"/>
      <c r="G937" s="1"/>
    </row>
    <row r="938" ht="15.75" customHeight="1">
      <c r="A938" s="36"/>
      <c r="B938" s="37"/>
      <c r="C938" s="37"/>
      <c r="D938" s="37"/>
      <c r="E938" s="37"/>
      <c r="F938" s="1"/>
      <c r="G938" s="1"/>
    </row>
    <row r="939" ht="15.75" customHeight="1">
      <c r="A939" s="36"/>
      <c r="B939" s="37"/>
      <c r="C939" s="37"/>
      <c r="D939" s="37"/>
      <c r="E939" s="37"/>
      <c r="F939" s="1"/>
      <c r="G939" s="1"/>
    </row>
    <row r="940" ht="15.75" customHeight="1">
      <c r="A940" s="36"/>
      <c r="B940" s="37"/>
      <c r="C940" s="37"/>
      <c r="D940" s="37"/>
      <c r="E940" s="37"/>
      <c r="F940" s="1"/>
      <c r="G940" s="1"/>
    </row>
    <row r="941" ht="15.75" customHeight="1">
      <c r="A941" s="36"/>
      <c r="B941" s="37"/>
      <c r="C941" s="37"/>
      <c r="D941" s="37"/>
      <c r="E941" s="37"/>
      <c r="F941" s="1"/>
      <c r="G941" s="1"/>
    </row>
    <row r="942" ht="15.75" customHeight="1">
      <c r="A942" s="36"/>
      <c r="B942" s="37"/>
      <c r="C942" s="37"/>
      <c r="D942" s="37"/>
      <c r="E942" s="37"/>
      <c r="F942" s="1"/>
      <c r="G942" s="1"/>
    </row>
    <row r="943" ht="15.75" customHeight="1">
      <c r="A943" s="36"/>
      <c r="B943" s="37"/>
      <c r="C943" s="37"/>
      <c r="D943" s="37"/>
      <c r="E943" s="37"/>
      <c r="F943" s="1"/>
      <c r="G943" s="1"/>
    </row>
    <row r="944" ht="15.75" customHeight="1">
      <c r="A944" s="36"/>
      <c r="B944" s="37"/>
      <c r="C944" s="37"/>
      <c r="D944" s="37"/>
      <c r="E944" s="37"/>
      <c r="F944" s="1"/>
      <c r="G944" s="1"/>
    </row>
    <row r="945" ht="15.75" customHeight="1">
      <c r="A945" s="36"/>
      <c r="B945" s="37"/>
      <c r="C945" s="37"/>
      <c r="D945" s="37"/>
      <c r="E945" s="37"/>
      <c r="F945" s="1"/>
      <c r="G945" s="1"/>
    </row>
    <row r="946" ht="15.75" customHeight="1">
      <c r="A946" s="36"/>
      <c r="B946" s="37"/>
      <c r="C946" s="37"/>
      <c r="D946" s="37"/>
      <c r="E946" s="37"/>
      <c r="F946" s="1"/>
      <c r="G946" s="1"/>
    </row>
    <row r="947" ht="15.75" customHeight="1">
      <c r="A947" s="36"/>
      <c r="B947" s="37"/>
      <c r="C947" s="37"/>
      <c r="D947" s="37"/>
      <c r="E947" s="37"/>
      <c r="F947" s="1"/>
      <c r="G947" s="1"/>
    </row>
    <row r="948" ht="15.75" customHeight="1">
      <c r="A948" s="36"/>
      <c r="B948" s="37"/>
      <c r="C948" s="37"/>
      <c r="D948" s="37"/>
      <c r="E948" s="37"/>
      <c r="F948" s="1"/>
      <c r="G948" s="1"/>
    </row>
    <row r="949" ht="15.75" customHeight="1">
      <c r="A949" s="36"/>
      <c r="B949" s="37"/>
      <c r="C949" s="37"/>
      <c r="D949" s="37"/>
      <c r="E949" s="37"/>
      <c r="F949" s="1"/>
      <c r="G949" s="1"/>
    </row>
    <row r="950" ht="15.75" customHeight="1">
      <c r="A950" s="36"/>
      <c r="B950" s="37"/>
      <c r="C950" s="37"/>
      <c r="D950" s="37"/>
      <c r="E950" s="37"/>
      <c r="F950" s="1"/>
      <c r="G950" s="1"/>
    </row>
    <row r="951" ht="15.75" customHeight="1">
      <c r="A951" s="36"/>
      <c r="B951" s="37"/>
      <c r="C951" s="37"/>
      <c r="D951" s="37"/>
      <c r="E951" s="37"/>
      <c r="F951" s="1"/>
      <c r="G951" s="1"/>
    </row>
    <row r="952" ht="15.75" customHeight="1">
      <c r="A952" s="36"/>
      <c r="B952" s="37"/>
      <c r="C952" s="37"/>
      <c r="D952" s="37"/>
      <c r="E952" s="37"/>
      <c r="F952" s="1"/>
      <c r="G952" s="1"/>
    </row>
    <row r="953" ht="15.75" customHeight="1">
      <c r="A953" s="36"/>
      <c r="B953" s="37"/>
      <c r="C953" s="37"/>
      <c r="D953" s="37"/>
      <c r="E953" s="37"/>
      <c r="F953" s="1"/>
      <c r="G953" s="1"/>
    </row>
    <row r="954" ht="15.75" customHeight="1">
      <c r="A954" s="36"/>
      <c r="B954" s="37"/>
      <c r="C954" s="37"/>
      <c r="D954" s="37"/>
      <c r="E954" s="37"/>
      <c r="F954" s="1"/>
      <c r="G954" s="1"/>
    </row>
    <row r="955" ht="15.75" customHeight="1">
      <c r="A955" s="36"/>
      <c r="B955" s="37"/>
      <c r="C955" s="37"/>
      <c r="D955" s="37"/>
      <c r="E955" s="37"/>
      <c r="F955" s="1"/>
      <c r="G955" s="1"/>
    </row>
    <row r="956" ht="15.75" customHeight="1">
      <c r="A956" s="36"/>
      <c r="B956" s="37"/>
      <c r="C956" s="37"/>
      <c r="D956" s="37"/>
      <c r="E956" s="37"/>
      <c r="F956" s="1"/>
      <c r="G956" s="1"/>
    </row>
    <row r="957" ht="15.75" customHeight="1">
      <c r="A957" s="36"/>
      <c r="B957" s="37"/>
      <c r="C957" s="37"/>
      <c r="D957" s="37"/>
      <c r="E957" s="37"/>
      <c r="F957" s="1"/>
      <c r="G957" s="1"/>
    </row>
    <row r="958" ht="15.75" customHeight="1">
      <c r="A958" s="36"/>
      <c r="B958" s="37"/>
      <c r="C958" s="37"/>
      <c r="D958" s="37"/>
      <c r="E958" s="37"/>
      <c r="F958" s="1"/>
      <c r="G958" s="1"/>
    </row>
    <row r="959" ht="15.75" customHeight="1">
      <c r="A959" s="36"/>
      <c r="B959" s="37"/>
      <c r="C959" s="37"/>
      <c r="D959" s="37"/>
      <c r="E959" s="37"/>
      <c r="F959" s="1"/>
      <c r="G959" s="1"/>
    </row>
    <row r="960" ht="15.75" customHeight="1">
      <c r="A960" s="36"/>
      <c r="B960" s="37"/>
      <c r="C960" s="37"/>
      <c r="D960" s="37"/>
      <c r="E960" s="37"/>
      <c r="F960" s="1"/>
      <c r="G960" s="1"/>
    </row>
    <row r="961" ht="15.75" customHeight="1">
      <c r="A961" s="36"/>
      <c r="B961" s="37"/>
      <c r="C961" s="37"/>
      <c r="D961" s="37"/>
      <c r="E961" s="37"/>
      <c r="F961" s="1"/>
      <c r="G961" s="1"/>
    </row>
    <row r="962" ht="15.75" customHeight="1">
      <c r="A962" s="36"/>
      <c r="B962" s="37"/>
      <c r="C962" s="37"/>
      <c r="D962" s="37"/>
      <c r="E962" s="37"/>
      <c r="F962" s="1"/>
      <c r="G962" s="1"/>
    </row>
    <row r="963" ht="15.75" customHeight="1">
      <c r="A963" s="36"/>
      <c r="B963" s="37"/>
      <c r="C963" s="37"/>
      <c r="D963" s="37"/>
      <c r="E963" s="37"/>
      <c r="F963" s="1"/>
      <c r="G963" s="1"/>
    </row>
    <row r="964" ht="15.75" customHeight="1">
      <c r="A964" s="36"/>
      <c r="B964" s="37"/>
      <c r="C964" s="37"/>
      <c r="D964" s="37"/>
      <c r="E964" s="37"/>
      <c r="F964" s="1"/>
      <c r="G964" s="1"/>
    </row>
    <row r="965" ht="15.75" customHeight="1">
      <c r="A965" s="36"/>
      <c r="B965" s="37"/>
      <c r="C965" s="37"/>
      <c r="D965" s="37"/>
      <c r="E965" s="37"/>
      <c r="F965" s="1"/>
      <c r="G965" s="1"/>
    </row>
    <row r="966" ht="15.75" customHeight="1">
      <c r="A966" s="36"/>
      <c r="B966" s="37"/>
      <c r="C966" s="37"/>
      <c r="D966" s="37"/>
      <c r="E966" s="37"/>
      <c r="F966" s="1"/>
      <c r="G966" s="1"/>
    </row>
    <row r="967" ht="15.75" customHeight="1">
      <c r="A967" s="36"/>
      <c r="B967" s="37"/>
      <c r="C967" s="37"/>
      <c r="D967" s="37"/>
      <c r="E967" s="37"/>
      <c r="F967" s="1"/>
      <c r="G967" s="1"/>
    </row>
    <row r="968" ht="15.75" customHeight="1">
      <c r="A968" s="36"/>
      <c r="B968" s="37"/>
      <c r="C968" s="37"/>
      <c r="D968" s="37"/>
      <c r="E968" s="37"/>
      <c r="F968" s="1"/>
      <c r="G968" s="1"/>
    </row>
    <row r="969" ht="15.75" customHeight="1">
      <c r="A969" s="36"/>
      <c r="B969" s="37"/>
      <c r="C969" s="37"/>
      <c r="D969" s="37"/>
      <c r="E969" s="37"/>
      <c r="F969" s="1"/>
      <c r="G969" s="1"/>
    </row>
    <row r="970" ht="15.75" customHeight="1">
      <c r="A970" s="36"/>
      <c r="B970" s="37"/>
      <c r="C970" s="37"/>
      <c r="D970" s="37"/>
      <c r="E970" s="37"/>
      <c r="F970" s="1"/>
      <c r="G970" s="1"/>
    </row>
    <row r="971" ht="15.75" customHeight="1">
      <c r="A971" s="36"/>
      <c r="B971" s="37"/>
      <c r="C971" s="37"/>
      <c r="D971" s="37"/>
      <c r="E971" s="37"/>
      <c r="F971" s="1"/>
      <c r="G971" s="1"/>
    </row>
    <row r="972" ht="15.75" customHeight="1">
      <c r="A972" s="36"/>
      <c r="B972" s="37"/>
      <c r="C972" s="37"/>
      <c r="D972" s="37"/>
      <c r="E972" s="37"/>
      <c r="F972" s="1"/>
      <c r="G972" s="1"/>
    </row>
    <row r="973" ht="15.75" customHeight="1">
      <c r="A973" s="36"/>
      <c r="B973" s="37"/>
      <c r="C973" s="37"/>
      <c r="D973" s="37"/>
      <c r="E973" s="37"/>
      <c r="F973" s="1"/>
      <c r="G973" s="1"/>
    </row>
    <row r="974" ht="15.75" customHeight="1">
      <c r="A974" s="36"/>
      <c r="B974" s="37"/>
      <c r="C974" s="37"/>
      <c r="D974" s="37"/>
      <c r="E974" s="37"/>
      <c r="F974" s="1"/>
      <c r="G974" s="1"/>
    </row>
    <row r="975" ht="15.75" customHeight="1">
      <c r="A975" s="36"/>
      <c r="B975" s="37"/>
      <c r="C975" s="37"/>
      <c r="D975" s="37"/>
      <c r="E975" s="37"/>
      <c r="F975" s="1"/>
      <c r="G975" s="1"/>
    </row>
    <row r="976" ht="15.75" customHeight="1">
      <c r="A976" s="36"/>
      <c r="B976" s="37"/>
      <c r="C976" s="37"/>
      <c r="D976" s="37"/>
      <c r="E976" s="37"/>
      <c r="F976" s="1"/>
      <c r="G976" s="1"/>
    </row>
    <row r="977" ht="15.75" customHeight="1">
      <c r="A977" s="36"/>
      <c r="B977" s="37"/>
      <c r="C977" s="37"/>
      <c r="D977" s="37"/>
      <c r="E977" s="37"/>
      <c r="F977" s="1"/>
      <c r="G977" s="1"/>
    </row>
    <row r="978" ht="15.75" customHeight="1">
      <c r="A978" s="36"/>
      <c r="B978" s="37"/>
      <c r="C978" s="37"/>
      <c r="D978" s="37"/>
      <c r="E978" s="37"/>
      <c r="F978" s="1"/>
      <c r="G978" s="1"/>
    </row>
    <row r="979" ht="15.75" customHeight="1">
      <c r="A979" s="36"/>
      <c r="B979" s="37"/>
      <c r="C979" s="37"/>
      <c r="D979" s="37"/>
      <c r="E979" s="37"/>
      <c r="F979" s="1"/>
      <c r="G979" s="1"/>
    </row>
    <row r="980" ht="15.75" customHeight="1">
      <c r="A980" s="36"/>
      <c r="B980" s="37"/>
      <c r="C980" s="37"/>
      <c r="D980" s="37"/>
      <c r="E980" s="37"/>
      <c r="F980" s="1"/>
      <c r="G980" s="1"/>
    </row>
    <row r="981" ht="15.75" customHeight="1">
      <c r="A981" s="36"/>
      <c r="B981" s="37"/>
      <c r="C981" s="37"/>
      <c r="D981" s="37"/>
      <c r="E981" s="37"/>
      <c r="F981" s="1"/>
      <c r="G981" s="1"/>
    </row>
    <row r="982" ht="15.75" customHeight="1">
      <c r="A982" s="36"/>
      <c r="B982" s="37"/>
      <c r="C982" s="37"/>
      <c r="D982" s="37"/>
      <c r="E982" s="37"/>
      <c r="F982" s="1"/>
      <c r="G982" s="1"/>
    </row>
    <row r="983" ht="15.75" customHeight="1">
      <c r="A983" s="36"/>
      <c r="B983" s="37"/>
      <c r="C983" s="37"/>
      <c r="D983" s="37"/>
      <c r="E983" s="37"/>
      <c r="F983" s="1"/>
      <c r="G983" s="1"/>
    </row>
    <row r="984" ht="15.75" customHeight="1">
      <c r="A984" s="36"/>
      <c r="B984" s="37"/>
      <c r="C984" s="37"/>
      <c r="D984" s="37"/>
      <c r="E984" s="37"/>
      <c r="F984" s="1"/>
      <c r="G984" s="1"/>
    </row>
    <row r="985" ht="15.75" customHeight="1">
      <c r="A985" s="36"/>
      <c r="B985" s="37"/>
      <c r="C985" s="37"/>
      <c r="D985" s="37"/>
      <c r="E985" s="37"/>
      <c r="F985" s="1"/>
      <c r="G985" s="1"/>
    </row>
    <row r="986" ht="15.75" customHeight="1">
      <c r="A986" s="36"/>
      <c r="B986" s="37"/>
      <c r="C986" s="37"/>
      <c r="D986" s="37"/>
      <c r="E986" s="37"/>
      <c r="F986" s="1"/>
      <c r="G986" s="1"/>
    </row>
    <row r="987" ht="15.75" customHeight="1">
      <c r="A987" s="36"/>
      <c r="B987" s="37"/>
      <c r="C987" s="37"/>
      <c r="D987" s="37"/>
      <c r="E987" s="37"/>
      <c r="F987" s="1"/>
      <c r="G987" s="1"/>
    </row>
    <row r="988" ht="15.75" customHeight="1">
      <c r="A988" s="36"/>
      <c r="B988" s="37"/>
      <c r="C988" s="37"/>
      <c r="D988" s="37"/>
      <c r="E988" s="37"/>
      <c r="F988" s="1"/>
      <c r="G988" s="1"/>
    </row>
    <row r="989" ht="15.75" customHeight="1">
      <c r="A989" s="36"/>
      <c r="B989" s="37"/>
      <c r="C989" s="37"/>
      <c r="D989" s="37"/>
      <c r="E989" s="37"/>
      <c r="F989" s="1"/>
      <c r="G989" s="1"/>
    </row>
    <row r="990" ht="15.75" customHeight="1">
      <c r="A990" s="36"/>
      <c r="B990" s="37"/>
      <c r="C990" s="37"/>
      <c r="D990" s="37"/>
      <c r="E990" s="37"/>
      <c r="F990" s="1"/>
      <c r="G990" s="1"/>
    </row>
    <row r="991" ht="15.75" customHeight="1">
      <c r="A991" s="36"/>
      <c r="B991" s="37"/>
      <c r="C991" s="37"/>
      <c r="D991" s="37"/>
      <c r="E991" s="37"/>
      <c r="F991" s="1"/>
      <c r="G991" s="1"/>
    </row>
    <row r="992" ht="15.75" customHeight="1">
      <c r="A992" s="36"/>
      <c r="B992" s="37"/>
      <c r="C992" s="37"/>
      <c r="D992" s="37"/>
      <c r="E992" s="37"/>
      <c r="F992" s="1"/>
      <c r="G992" s="1"/>
    </row>
    <row r="993" ht="15.75" customHeight="1">
      <c r="A993" s="36"/>
      <c r="B993" s="37"/>
      <c r="C993" s="37"/>
      <c r="D993" s="37"/>
      <c r="E993" s="37"/>
      <c r="F993" s="1"/>
      <c r="G993" s="1"/>
    </row>
    <row r="994" ht="15.75" customHeight="1">
      <c r="A994" s="36"/>
      <c r="B994" s="37"/>
      <c r="C994" s="37"/>
      <c r="D994" s="37"/>
      <c r="E994" s="37"/>
      <c r="F994" s="1"/>
      <c r="G994" s="1"/>
    </row>
    <row r="995" ht="15.75" customHeight="1">
      <c r="A995" s="36"/>
      <c r="B995" s="37"/>
      <c r="C995" s="37"/>
      <c r="D995" s="37"/>
      <c r="E995" s="37"/>
      <c r="F995" s="1"/>
      <c r="G995" s="1"/>
    </row>
    <row r="996" ht="15.75" customHeight="1">
      <c r="A996" s="36"/>
      <c r="B996" s="37"/>
      <c r="C996" s="37"/>
      <c r="D996" s="37"/>
      <c r="E996" s="37"/>
      <c r="F996" s="1"/>
      <c r="G996" s="1"/>
    </row>
    <row r="997" ht="15.75" customHeight="1">
      <c r="A997" s="36"/>
      <c r="B997" s="37"/>
      <c r="C997" s="37"/>
      <c r="D997" s="37"/>
      <c r="E997" s="37"/>
      <c r="F997" s="1"/>
      <c r="G997" s="1"/>
    </row>
    <row r="998" ht="15.75" customHeight="1">
      <c r="A998" s="36"/>
      <c r="B998" s="37"/>
      <c r="C998" s="37"/>
      <c r="D998" s="37"/>
      <c r="E998" s="37"/>
      <c r="F998" s="1"/>
      <c r="G998" s="1"/>
    </row>
    <row r="999" ht="15.75" customHeight="1">
      <c r="A999" s="36"/>
      <c r="B999" s="37"/>
      <c r="C999" s="37"/>
      <c r="D999" s="37"/>
      <c r="E999" s="37"/>
      <c r="F999" s="1"/>
      <c r="G999" s="1"/>
    </row>
    <row r="1000" ht="15.75" customHeight="1">
      <c r="A1000" s="36"/>
      <c r="B1000" s="37"/>
      <c r="C1000" s="37"/>
      <c r="D1000" s="37"/>
      <c r="E1000" s="37"/>
      <c r="F1000" s="1"/>
      <c r="G1000" s="1"/>
    </row>
  </sheetData>
  <mergeCells count="7">
    <mergeCell ref="A2:H2"/>
    <mergeCell ref="A4:H4"/>
    <mergeCell ref="A5:H5"/>
    <mergeCell ref="A6:H6"/>
    <mergeCell ref="A7:H7"/>
    <mergeCell ref="A8:H8"/>
    <mergeCell ref="A63:H6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1.71"/>
    <col customWidth="1" min="3" max="3" width="22.43"/>
    <col customWidth="1" min="4" max="4" width="23.71"/>
    <col customWidth="1" min="5" max="5" width="23.43"/>
    <col customWidth="1" min="6" max="6" width="12.14"/>
    <col customWidth="1" min="7" max="7" width="8.71"/>
    <col customWidth="1" min="8" max="8" width="21.14"/>
    <col customWidth="1" min="9" max="26" width="8.0"/>
  </cols>
  <sheetData>
    <row r="1">
      <c r="A1" s="36"/>
      <c r="B1" s="37"/>
      <c r="C1" s="37"/>
      <c r="D1" s="37"/>
      <c r="E1" s="1"/>
    </row>
    <row r="2" ht="15.75" customHeight="1">
      <c r="A2" s="38" t="s">
        <v>2307</v>
      </c>
      <c r="B2" s="39"/>
      <c r="C2" s="39"/>
      <c r="D2" s="39"/>
      <c r="E2" s="39"/>
      <c r="F2" s="39"/>
      <c r="G2" s="40"/>
    </row>
    <row r="3">
      <c r="A3" s="105"/>
      <c r="B3" s="105"/>
      <c r="C3" s="105"/>
      <c r="D3" s="105"/>
      <c r="E3" s="105"/>
    </row>
    <row r="4">
      <c r="A4" s="43" t="s">
        <v>2308</v>
      </c>
      <c r="B4" s="39"/>
      <c r="C4" s="39"/>
      <c r="D4" s="39"/>
      <c r="E4" s="39"/>
      <c r="F4" s="39"/>
      <c r="G4" s="40"/>
    </row>
    <row r="5">
      <c r="A5" s="43" t="s">
        <v>2309</v>
      </c>
      <c r="B5" s="39"/>
      <c r="C5" s="39"/>
      <c r="D5" s="39"/>
      <c r="E5" s="39"/>
      <c r="F5" s="39"/>
      <c r="G5" s="40"/>
    </row>
    <row r="6">
      <c r="A6" s="106" t="s">
        <v>2310</v>
      </c>
      <c r="B6" s="39"/>
      <c r="C6" s="39"/>
      <c r="D6" s="39"/>
      <c r="E6" s="39"/>
      <c r="F6" s="39"/>
      <c r="G6" s="40"/>
    </row>
    <row r="7" ht="80.25" customHeight="1">
      <c r="A7" s="188" t="s">
        <v>2311</v>
      </c>
      <c r="B7" s="39"/>
      <c r="C7" s="39"/>
      <c r="D7" s="39"/>
      <c r="E7" s="39"/>
      <c r="F7" s="39"/>
      <c r="G7" s="40"/>
    </row>
    <row r="8">
      <c r="A8" s="45"/>
      <c r="B8" s="46"/>
      <c r="C8" s="46"/>
      <c r="D8" s="46"/>
      <c r="E8" s="45"/>
    </row>
    <row r="9" ht="55.5" customHeight="1">
      <c r="A9" s="228" t="s">
        <v>8</v>
      </c>
      <c r="B9" s="109" t="s">
        <v>9</v>
      </c>
      <c r="C9" s="228" t="s">
        <v>2312</v>
      </c>
      <c r="D9" s="483" t="s">
        <v>2313</v>
      </c>
      <c r="E9" s="229" t="s">
        <v>2314</v>
      </c>
      <c r="F9" s="228" t="s">
        <v>116</v>
      </c>
      <c r="G9" s="228" t="s">
        <v>117</v>
      </c>
      <c r="H9" s="49" t="s">
        <v>118</v>
      </c>
    </row>
    <row r="10" ht="25.5" customHeight="1">
      <c r="A10" s="52" t="s">
        <v>637</v>
      </c>
      <c r="B10" s="52" t="s">
        <v>38</v>
      </c>
      <c r="C10" s="52" t="s">
        <v>2315</v>
      </c>
      <c r="D10" s="484" t="s">
        <v>2316</v>
      </c>
      <c r="E10" s="54" t="s">
        <v>2317</v>
      </c>
      <c r="F10" s="271">
        <v>200.0</v>
      </c>
      <c r="G10" s="52">
        <v>200.0</v>
      </c>
      <c r="H10" s="62" t="s">
        <v>194</v>
      </c>
    </row>
    <row r="11" ht="30.0" customHeight="1">
      <c r="A11" s="52" t="s">
        <v>128</v>
      </c>
      <c r="B11" s="52" t="s">
        <v>38</v>
      </c>
      <c r="C11" s="52" t="s">
        <v>2318</v>
      </c>
      <c r="D11" s="57" t="s">
        <v>2319</v>
      </c>
      <c r="E11" s="71" t="s">
        <v>2320</v>
      </c>
      <c r="F11" s="271">
        <v>50.0</v>
      </c>
      <c r="G11" s="485">
        <v>50.0</v>
      </c>
      <c r="H11" s="62" t="s">
        <v>128</v>
      </c>
    </row>
    <row r="12" ht="51.0" customHeight="1">
      <c r="A12" s="52" t="s">
        <v>128</v>
      </c>
      <c r="B12" s="52" t="s">
        <v>38</v>
      </c>
      <c r="C12" s="68" t="s">
        <v>2321</v>
      </c>
      <c r="D12" s="52" t="s">
        <v>2322</v>
      </c>
      <c r="E12" s="165" t="s">
        <v>2323</v>
      </c>
      <c r="F12" s="271">
        <v>50.0</v>
      </c>
      <c r="G12" s="485">
        <v>50.0</v>
      </c>
      <c r="H12" s="62" t="s">
        <v>128</v>
      </c>
    </row>
    <row r="13" ht="45.0" customHeight="1">
      <c r="A13" s="148" t="s">
        <v>128</v>
      </c>
      <c r="B13" s="148" t="s">
        <v>38</v>
      </c>
      <c r="C13" s="52" t="s">
        <v>2324</v>
      </c>
      <c r="D13" s="484" t="s">
        <v>2325</v>
      </c>
      <c r="E13" s="165" t="s">
        <v>2326</v>
      </c>
      <c r="F13" s="271">
        <v>50.0</v>
      </c>
      <c r="G13" s="485">
        <v>50.0</v>
      </c>
      <c r="H13" s="62" t="s">
        <v>128</v>
      </c>
    </row>
    <row r="14" ht="45.0" customHeight="1">
      <c r="A14" s="191" t="s">
        <v>223</v>
      </c>
      <c r="B14" s="191" t="s">
        <v>38</v>
      </c>
      <c r="C14" s="191" t="s">
        <v>2327</v>
      </c>
      <c r="D14" s="198" t="s">
        <v>2328</v>
      </c>
      <c r="E14" s="196" t="s">
        <v>2329</v>
      </c>
      <c r="F14" s="486">
        <v>50.0</v>
      </c>
      <c r="G14" s="191">
        <f>F14</f>
        <v>50</v>
      </c>
      <c r="H14" s="62" t="s">
        <v>223</v>
      </c>
      <c r="I14" s="247"/>
      <c r="J14" s="247"/>
      <c r="K14" s="247"/>
      <c r="L14" s="247"/>
      <c r="M14" s="247"/>
      <c r="N14" s="247"/>
      <c r="O14" s="247"/>
      <c r="P14" s="247"/>
      <c r="Q14" s="247"/>
      <c r="R14" s="247"/>
      <c r="S14" s="247"/>
      <c r="T14" s="247"/>
      <c r="U14" s="247"/>
      <c r="V14" s="247"/>
      <c r="W14" s="247"/>
      <c r="X14" s="247"/>
      <c r="Y14" s="247"/>
      <c r="Z14" s="247"/>
    </row>
    <row r="15" ht="51.0" customHeight="1">
      <c r="A15" s="52" t="s">
        <v>532</v>
      </c>
      <c r="B15" s="52" t="s">
        <v>38</v>
      </c>
      <c r="C15" s="52" t="s">
        <v>2330</v>
      </c>
      <c r="D15" s="484" t="s">
        <v>2331</v>
      </c>
      <c r="E15" s="54" t="s">
        <v>2332</v>
      </c>
      <c r="F15" s="271">
        <v>400.0</v>
      </c>
      <c r="G15" s="52">
        <v>200.0</v>
      </c>
      <c r="H15" s="62" t="s">
        <v>532</v>
      </c>
    </row>
    <row r="16" ht="89.25" customHeight="1">
      <c r="A16" s="52" t="s">
        <v>230</v>
      </c>
      <c r="B16" s="52" t="s">
        <v>38</v>
      </c>
      <c r="C16" s="52" t="s">
        <v>2333</v>
      </c>
      <c r="D16" s="484" t="s">
        <v>2334</v>
      </c>
      <c r="E16" s="58" t="s">
        <v>2335</v>
      </c>
      <c r="F16" s="271">
        <v>400.0</v>
      </c>
      <c r="G16" s="52">
        <v>100.0</v>
      </c>
      <c r="H16" s="62" t="s">
        <v>230</v>
      </c>
    </row>
    <row r="17" ht="25.5" customHeight="1">
      <c r="A17" s="52" t="s">
        <v>2336</v>
      </c>
      <c r="B17" s="52" t="s">
        <v>38</v>
      </c>
      <c r="C17" s="52" t="s">
        <v>2315</v>
      </c>
      <c r="D17" s="484" t="s">
        <v>2316</v>
      </c>
      <c r="E17" s="54" t="s">
        <v>2317</v>
      </c>
      <c r="F17" s="271">
        <v>200.0</v>
      </c>
      <c r="G17" s="52">
        <v>200.0</v>
      </c>
      <c r="H17" s="62" t="s">
        <v>425</v>
      </c>
    </row>
    <row r="18" ht="45.0" customHeight="1">
      <c r="A18" s="52" t="s">
        <v>2337</v>
      </c>
      <c r="B18" s="52" t="s">
        <v>38</v>
      </c>
      <c r="C18" s="52" t="s">
        <v>2338</v>
      </c>
      <c r="D18" s="484" t="s">
        <v>2339</v>
      </c>
      <c r="E18" s="71" t="s">
        <v>2340</v>
      </c>
      <c r="F18" s="60">
        <v>50.0</v>
      </c>
      <c r="G18" s="52">
        <v>50.0</v>
      </c>
      <c r="H18" s="62" t="s">
        <v>167</v>
      </c>
    </row>
    <row r="19" ht="60.0" customHeight="1">
      <c r="A19" s="52" t="s">
        <v>2337</v>
      </c>
      <c r="B19" s="52" t="s">
        <v>38</v>
      </c>
      <c r="C19" s="52" t="s">
        <v>2341</v>
      </c>
      <c r="D19" s="95" t="s">
        <v>2342</v>
      </c>
      <c r="E19" s="165" t="s">
        <v>2343</v>
      </c>
      <c r="F19" s="60">
        <v>50.0</v>
      </c>
      <c r="G19" s="52">
        <v>50.0</v>
      </c>
      <c r="H19" s="62" t="s">
        <v>167</v>
      </c>
    </row>
    <row r="20" ht="47.25" customHeight="1">
      <c r="A20" s="148" t="s">
        <v>2337</v>
      </c>
      <c r="B20" s="148" t="s">
        <v>38</v>
      </c>
      <c r="C20" s="487" t="s">
        <v>2344</v>
      </c>
      <c r="D20" s="484" t="s">
        <v>2345</v>
      </c>
      <c r="E20" s="165" t="s">
        <v>2346</v>
      </c>
      <c r="F20" s="60">
        <v>50.0</v>
      </c>
      <c r="G20" s="52">
        <v>50.0</v>
      </c>
      <c r="H20" s="62" t="s">
        <v>167</v>
      </c>
    </row>
    <row r="21" ht="293.25" customHeight="1">
      <c r="A21" s="485" t="s">
        <v>2347</v>
      </c>
      <c r="B21" s="60" t="s">
        <v>38</v>
      </c>
      <c r="C21" s="52" t="s">
        <v>2348</v>
      </c>
      <c r="D21" s="484" t="s">
        <v>2349</v>
      </c>
      <c r="E21" s="54" t="s">
        <v>2350</v>
      </c>
      <c r="F21" s="271">
        <v>400.0</v>
      </c>
      <c r="G21" s="52">
        <v>100.0</v>
      </c>
      <c r="H21" s="62" t="s">
        <v>173</v>
      </c>
    </row>
    <row r="22" ht="76.5" customHeight="1">
      <c r="A22" s="52" t="s">
        <v>2351</v>
      </c>
      <c r="B22" s="60" t="s">
        <v>38</v>
      </c>
      <c r="C22" s="37" t="s">
        <v>2352</v>
      </c>
      <c r="D22" s="484" t="s">
        <v>2353</v>
      </c>
      <c r="E22" s="452" t="s">
        <v>2354</v>
      </c>
      <c r="F22" s="60">
        <v>50.0</v>
      </c>
      <c r="G22" s="60">
        <v>50.0</v>
      </c>
      <c r="H22" s="62" t="s">
        <v>173</v>
      </c>
    </row>
    <row r="23" ht="38.25" customHeight="1">
      <c r="A23" s="52" t="s">
        <v>2351</v>
      </c>
      <c r="B23" s="60" t="s">
        <v>38</v>
      </c>
      <c r="C23" s="135" t="s">
        <v>2355</v>
      </c>
      <c r="D23" s="484" t="s">
        <v>2356</v>
      </c>
      <c r="E23" s="484" t="s">
        <v>2356</v>
      </c>
      <c r="F23" s="60">
        <v>50.0</v>
      </c>
      <c r="G23" s="60">
        <v>50.0</v>
      </c>
      <c r="H23" s="62" t="s">
        <v>173</v>
      </c>
    </row>
    <row r="24" ht="15.75" customHeight="1">
      <c r="A24" s="52"/>
      <c r="B24" s="52"/>
      <c r="C24" s="52"/>
      <c r="D24" s="484"/>
      <c r="E24" s="54"/>
      <c r="F24" s="271"/>
      <c r="G24" s="209"/>
      <c r="H24" s="62"/>
    </row>
    <row r="25" ht="15.75" customHeight="1">
      <c r="A25" s="52"/>
      <c r="B25" s="52"/>
      <c r="C25" s="52"/>
      <c r="D25" s="484"/>
      <c r="E25" s="54"/>
      <c r="F25" s="271"/>
      <c r="G25" s="209"/>
      <c r="H25" s="62"/>
    </row>
    <row r="26" ht="15.75" customHeight="1">
      <c r="A26" s="52"/>
      <c r="B26" s="52"/>
      <c r="C26" s="52"/>
      <c r="D26" s="484"/>
      <c r="E26" s="54"/>
      <c r="F26" s="271"/>
      <c r="G26" s="209"/>
      <c r="H26" s="62"/>
    </row>
    <row r="27" ht="15.75" customHeight="1">
      <c r="A27" s="52"/>
      <c r="B27" s="52"/>
      <c r="C27" s="52"/>
      <c r="D27" s="484"/>
      <c r="E27" s="54"/>
      <c r="F27" s="271"/>
      <c r="G27" s="209"/>
      <c r="H27" s="62"/>
    </row>
    <row r="28" ht="15.75" customHeight="1">
      <c r="A28" s="52"/>
      <c r="B28" s="52"/>
      <c r="C28" s="52"/>
      <c r="D28" s="484"/>
      <c r="E28" s="54"/>
      <c r="F28" s="271"/>
      <c r="G28" s="209"/>
      <c r="H28" s="62"/>
    </row>
    <row r="29" ht="15.75" customHeight="1">
      <c r="A29" s="52"/>
      <c r="B29" s="52"/>
      <c r="C29" s="52"/>
      <c r="D29" s="484"/>
      <c r="E29" s="54"/>
      <c r="F29" s="271"/>
      <c r="G29" s="209"/>
      <c r="H29" s="62"/>
    </row>
    <row r="30" ht="15.75" customHeight="1">
      <c r="A30" s="52"/>
      <c r="B30" s="52"/>
      <c r="C30" s="52"/>
      <c r="D30" s="484"/>
      <c r="E30" s="54"/>
      <c r="F30" s="271"/>
      <c r="G30" s="209"/>
      <c r="H30" s="62"/>
    </row>
    <row r="31" ht="15.75" customHeight="1">
      <c r="A31" s="52"/>
      <c r="B31" s="52"/>
      <c r="C31" s="52"/>
      <c r="D31" s="484"/>
      <c r="E31" s="54"/>
      <c r="F31" s="271"/>
      <c r="G31" s="209"/>
      <c r="H31" s="62"/>
    </row>
    <row r="32" ht="15.75" customHeight="1">
      <c r="A32" s="52"/>
      <c r="B32" s="52"/>
      <c r="C32" s="52"/>
      <c r="D32" s="484"/>
      <c r="E32" s="54"/>
      <c r="F32" s="271"/>
      <c r="G32" s="209"/>
      <c r="H32" s="62"/>
    </row>
    <row r="33" ht="15.75" customHeight="1">
      <c r="A33" s="52"/>
      <c r="B33" s="52"/>
      <c r="C33" s="52"/>
      <c r="D33" s="484"/>
      <c r="E33" s="54"/>
      <c r="F33" s="271"/>
      <c r="G33" s="209"/>
      <c r="H33" s="62"/>
    </row>
    <row r="34" ht="15.75" customHeight="1">
      <c r="A34" s="52"/>
      <c r="B34" s="52"/>
      <c r="C34" s="52"/>
      <c r="D34" s="484"/>
      <c r="E34" s="54"/>
      <c r="F34" s="271"/>
      <c r="G34" s="209"/>
      <c r="H34" s="62"/>
    </row>
    <row r="35" ht="15.75" customHeight="1">
      <c r="A35" s="52"/>
      <c r="B35" s="52"/>
      <c r="C35" s="52"/>
      <c r="D35" s="484"/>
      <c r="E35" s="54"/>
      <c r="F35" s="271"/>
      <c r="G35" s="209"/>
      <c r="H35" s="62"/>
    </row>
    <row r="36" ht="15.75" customHeight="1">
      <c r="A36" s="52"/>
      <c r="B36" s="52"/>
      <c r="C36" s="52"/>
      <c r="D36" s="484"/>
      <c r="E36" s="54"/>
      <c r="F36" s="271"/>
      <c r="G36" s="209"/>
      <c r="H36" s="62"/>
    </row>
    <row r="37" ht="15.75" customHeight="1">
      <c r="A37" s="52"/>
      <c r="B37" s="52"/>
      <c r="C37" s="52"/>
      <c r="D37" s="484"/>
      <c r="E37" s="54"/>
      <c r="F37" s="271"/>
      <c r="G37" s="209"/>
      <c r="H37" s="62"/>
    </row>
    <row r="38" ht="15.75" customHeight="1">
      <c r="A38" s="52"/>
      <c r="B38" s="52"/>
      <c r="C38" s="52"/>
      <c r="D38" s="484"/>
      <c r="E38" s="54"/>
      <c r="F38" s="271"/>
      <c r="G38" s="209"/>
      <c r="H38" s="62"/>
    </row>
    <row r="39" ht="15.75" customHeight="1">
      <c r="A39" s="52"/>
      <c r="B39" s="52"/>
      <c r="C39" s="52"/>
      <c r="D39" s="484"/>
      <c r="E39" s="54"/>
      <c r="F39" s="271"/>
      <c r="G39" s="209"/>
      <c r="H39" s="62"/>
    </row>
    <row r="40" ht="15.75" customHeight="1">
      <c r="A40" s="52"/>
      <c r="B40" s="52"/>
      <c r="C40" s="52"/>
      <c r="D40" s="484"/>
      <c r="E40" s="54"/>
      <c r="F40" s="271"/>
      <c r="G40" s="209"/>
      <c r="H40" s="62"/>
    </row>
    <row r="41" ht="15.75" customHeight="1">
      <c r="A41" s="52"/>
      <c r="B41" s="52"/>
      <c r="C41" s="52"/>
      <c r="D41" s="484"/>
      <c r="E41" s="54"/>
      <c r="F41" s="271"/>
      <c r="G41" s="209"/>
      <c r="H41" s="62"/>
    </row>
    <row r="42" ht="15.75" customHeight="1">
      <c r="A42" s="52"/>
      <c r="B42" s="52"/>
      <c r="C42" s="52"/>
      <c r="D42" s="484"/>
      <c r="E42" s="54"/>
      <c r="F42" s="271"/>
      <c r="G42" s="209"/>
      <c r="H42" s="62"/>
    </row>
    <row r="43" ht="15.75" customHeight="1">
      <c r="A43" s="52"/>
      <c r="B43" s="52"/>
      <c r="C43" s="52"/>
      <c r="D43" s="484"/>
      <c r="E43" s="54"/>
      <c r="F43" s="271"/>
      <c r="G43" s="209"/>
      <c r="H43" s="62"/>
    </row>
    <row r="44" ht="15.75" customHeight="1">
      <c r="A44" s="52"/>
      <c r="B44" s="52"/>
      <c r="C44" s="52"/>
      <c r="D44" s="484"/>
      <c r="E44" s="54"/>
      <c r="F44" s="271"/>
      <c r="G44" s="209"/>
      <c r="H44" s="62"/>
    </row>
    <row r="45" ht="15.75" customHeight="1">
      <c r="A45" s="52"/>
      <c r="B45" s="52"/>
      <c r="C45" s="52"/>
      <c r="D45" s="484"/>
      <c r="E45" s="54"/>
      <c r="F45" s="271"/>
      <c r="G45" s="209"/>
      <c r="H45" s="62"/>
    </row>
    <row r="46" ht="15.75" customHeight="1">
      <c r="A46" s="52"/>
      <c r="B46" s="52"/>
      <c r="C46" s="52"/>
      <c r="D46" s="484"/>
      <c r="E46" s="54"/>
      <c r="F46" s="271"/>
      <c r="G46" s="209"/>
      <c r="H46" s="62"/>
    </row>
    <row r="47" ht="15.75" customHeight="1">
      <c r="A47" s="52"/>
      <c r="B47" s="52"/>
      <c r="C47" s="52"/>
      <c r="D47" s="484"/>
      <c r="E47" s="54"/>
      <c r="F47" s="271"/>
      <c r="G47" s="209"/>
      <c r="H47" s="62"/>
    </row>
    <row r="48" ht="15.75" customHeight="1">
      <c r="A48" s="52"/>
      <c r="B48" s="52"/>
      <c r="C48" s="52"/>
      <c r="D48" s="484"/>
      <c r="E48" s="54"/>
      <c r="F48" s="271"/>
      <c r="G48" s="209"/>
      <c r="H48" s="62"/>
    </row>
    <row r="49" ht="15.75" customHeight="1">
      <c r="A49" s="52"/>
      <c r="B49" s="52"/>
      <c r="C49" s="52"/>
      <c r="D49" s="484"/>
      <c r="E49" s="54"/>
      <c r="F49" s="271"/>
      <c r="G49" s="209"/>
      <c r="H49" s="62"/>
    </row>
    <row r="50" ht="15.75" customHeight="1">
      <c r="A50" s="52"/>
      <c r="B50" s="52"/>
      <c r="C50" s="52"/>
      <c r="D50" s="484"/>
      <c r="E50" s="54"/>
      <c r="F50" s="271"/>
      <c r="G50" s="209"/>
      <c r="H50" s="62"/>
    </row>
    <row r="51" ht="15.75" customHeight="1">
      <c r="A51" s="52"/>
      <c r="B51" s="52"/>
      <c r="C51" s="52"/>
      <c r="D51" s="484"/>
      <c r="E51" s="54"/>
      <c r="F51" s="271"/>
      <c r="G51" s="209"/>
      <c r="H51" s="62"/>
    </row>
    <row r="52" ht="15.75" customHeight="1">
      <c r="A52" s="52"/>
      <c r="B52" s="52"/>
      <c r="C52" s="52"/>
      <c r="D52" s="484"/>
      <c r="E52" s="54"/>
      <c r="F52" s="271"/>
      <c r="G52" s="209"/>
      <c r="H52" s="62"/>
    </row>
    <row r="53" ht="15.75" customHeight="1">
      <c r="A53" s="52"/>
      <c r="B53" s="52"/>
      <c r="C53" s="52"/>
      <c r="D53" s="484"/>
      <c r="E53" s="54"/>
      <c r="F53" s="271"/>
      <c r="G53" s="209"/>
      <c r="H53" s="62"/>
    </row>
    <row r="54" ht="15.75" customHeight="1">
      <c r="A54" s="52"/>
      <c r="B54" s="52"/>
      <c r="C54" s="52"/>
      <c r="D54" s="484"/>
      <c r="E54" s="54"/>
      <c r="F54" s="271"/>
      <c r="G54" s="209"/>
      <c r="H54" s="62"/>
    </row>
    <row r="55" ht="15.75" customHeight="1">
      <c r="A55" s="52"/>
      <c r="B55" s="52"/>
      <c r="C55" s="52"/>
      <c r="D55" s="484"/>
      <c r="E55" s="54"/>
      <c r="F55" s="271"/>
      <c r="G55" s="209"/>
      <c r="H55" s="62"/>
    </row>
    <row r="56" ht="15.75" customHeight="1">
      <c r="A56" s="52"/>
      <c r="B56" s="52"/>
      <c r="C56" s="52"/>
      <c r="D56" s="484"/>
      <c r="E56" s="60"/>
      <c r="F56" s="60"/>
      <c r="G56" s="209"/>
      <c r="H56" s="62"/>
    </row>
    <row r="57" ht="15.75" customHeight="1">
      <c r="A57" s="148"/>
      <c r="B57" s="148"/>
      <c r="C57" s="135"/>
      <c r="D57" s="488"/>
      <c r="E57" s="165"/>
      <c r="F57" s="60"/>
      <c r="G57" s="209"/>
      <c r="H57" s="62"/>
    </row>
    <row r="58" ht="15.75" customHeight="1">
      <c r="A58" s="52"/>
      <c r="B58" s="52"/>
      <c r="C58" s="52"/>
      <c r="D58" s="484"/>
      <c r="E58" s="60"/>
      <c r="F58" s="60"/>
      <c r="G58" s="209"/>
      <c r="H58" s="62"/>
    </row>
    <row r="59" ht="15.75" customHeight="1">
      <c r="A59" s="52"/>
      <c r="B59" s="60"/>
      <c r="C59" s="52"/>
      <c r="D59" s="74"/>
      <c r="E59" s="60"/>
      <c r="F59" s="61"/>
      <c r="G59" s="209"/>
      <c r="H59" s="62"/>
    </row>
    <row r="60" ht="15.75" customHeight="1">
      <c r="A60" s="52"/>
      <c r="B60" s="60"/>
      <c r="C60" s="52"/>
      <c r="D60" s="74"/>
      <c r="E60" s="60"/>
      <c r="F60" s="61"/>
      <c r="G60" s="209"/>
      <c r="H60" s="62"/>
    </row>
    <row r="61" ht="15.75" customHeight="1">
      <c r="A61" s="88" t="s">
        <v>88</v>
      </c>
      <c r="B61" s="37"/>
      <c r="C61" s="37"/>
      <c r="D61" s="37"/>
      <c r="E61" s="37"/>
      <c r="F61" s="46"/>
      <c r="G61" s="472">
        <f>SUM(G10:G60)</f>
        <v>1250</v>
      </c>
    </row>
    <row r="62" ht="15.75" customHeight="1">
      <c r="A62" s="36"/>
      <c r="B62" s="37"/>
      <c r="C62" s="37"/>
      <c r="D62" s="37"/>
      <c r="E62" s="37"/>
      <c r="F62" s="37"/>
      <c r="G62" s="1"/>
    </row>
    <row r="63" ht="15.75" customHeight="1">
      <c r="A63" s="473" t="s">
        <v>178</v>
      </c>
      <c r="B63" s="91"/>
      <c r="C63" s="91"/>
      <c r="D63" s="91"/>
      <c r="E63" s="91"/>
      <c r="F63" s="91"/>
      <c r="G63" s="92"/>
    </row>
    <row r="64" ht="15.75" customHeight="1">
      <c r="A64" s="36"/>
      <c r="B64" s="37"/>
      <c r="C64" s="37"/>
      <c r="D64" s="37"/>
      <c r="E64" s="1"/>
    </row>
    <row r="65" ht="15.75" customHeight="1">
      <c r="A65" s="36"/>
      <c r="B65" s="37"/>
      <c r="C65" s="37"/>
      <c r="D65" s="37"/>
      <c r="E65" s="1"/>
    </row>
    <row r="66" ht="15.75" customHeight="1">
      <c r="A66" s="36"/>
      <c r="B66" s="37"/>
      <c r="C66" s="37"/>
      <c r="D66" s="37"/>
      <c r="E66" s="1"/>
    </row>
    <row r="67" ht="15.75" customHeight="1">
      <c r="A67" s="36"/>
      <c r="B67" s="37"/>
      <c r="C67" s="37"/>
      <c r="D67" s="37"/>
      <c r="E67" s="1"/>
    </row>
    <row r="68" ht="15.75" customHeight="1">
      <c r="A68" s="36"/>
      <c r="B68" s="37"/>
      <c r="C68" s="37"/>
      <c r="D68" s="37"/>
      <c r="E68" s="1"/>
    </row>
    <row r="69" ht="15.75" customHeight="1">
      <c r="A69" s="36"/>
      <c r="B69" s="37"/>
      <c r="C69" s="37"/>
      <c r="D69" s="37"/>
      <c r="E69" s="1"/>
    </row>
    <row r="70" ht="15.75" customHeight="1">
      <c r="A70" s="36"/>
      <c r="B70" s="37"/>
      <c r="C70" s="37"/>
      <c r="D70" s="37"/>
      <c r="E70" s="1"/>
    </row>
    <row r="71" ht="15.75" customHeight="1">
      <c r="A71" s="36"/>
      <c r="B71" s="37"/>
      <c r="C71" s="37"/>
      <c r="D71" s="37"/>
      <c r="E71" s="1"/>
    </row>
    <row r="72" ht="15.75" customHeight="1">
      <c r="A72" s="36"/>
      <c r="B72" s="37"/>
      <c r="C72" s="37"/>
      <c r="D72" s="37"/>
      <c r="E72" s="1"/>
    </row>
    <row r="73" ht="15.75" customHeight="1">
      <c r="A73" s="36"/>
      <c r="B73" s="37"/>
      <c r="C73" s="37"/>
      <c r="D73" s="37"/>
      <c r="E73" s="1"/>
    </row>
    <row r="74" ht="15.75" customHeight="1">
      <c r="A74" s="36"/>
      <c r="B74" s="37"/>
      <c r="C74" s="37"/>
      <c r="D74" s="37"/>
      <c r="E74" s="1"/>
    </row>
    <row r="75" ht="15.75" customHeight="1">
      <c r="A75" s="36"/>
      <c r="B75" s="37"/>
      <c r="C75" s="37"/>
      <c r="D75" s="37"/>
      <c r="E75" s="1"/>
    </row>
    <row r="76" ht="15.75" customHeight="1">
      <c r="A76" s="36"/>
      <c r="B76" s="37"/>
      <c r="C76" s="37"/>
      <c r="D76" s="37"/>
      <c r="E76" s="1"/>
    </row>
    <row r="77" ht="15.75" customHeight="1">
      <c r="A77" s="36"/>
      <c r="B77" s="37"/>
      <c r="C77" s="37"/>
      <c r="D77" s="37"/>
      <c r="E77" s="1"/>
    </row>
    <row r="78" ht="15.75" customHeight="1">
      <c r="A78" s="36"/>
      <c r="B78" s="37"/>
      <c r="C78" s="37"/>
      <c r="D78" s="37"/>
      <c r="E78" s="1"/>
    </row>
    <row r="79" ht="15.75" customHeight="1">
      <c r="A79" s="36"/>
      <c r="B79" s="37"/>
      <c r="C79" s="37"/>
      <c r="D79" s="37"/>
      <c r="E79" s="1"/>
    </row>
    <row r="80" ht="15.75" customHeight="1">
      <c r="A80" s="36"/>
      <c r="B80" s="37"/>
      <c r="C80" s="37"/>
      <c r="D80" s="37"/>
      <c r="E80" s="1"/>
    </row>
    <row r="81" ht="15.75" customHeight="1">
      <c r="A81" s="36"/>
      <c r="B81" s="37"/>
      <c r="C81" s="37"/>
      <c r="D81" s="37"/>
      <c r="E81" s="1"/>
    </row>
    <row r="82" ht="15.75" customHeight="1">
      <c r="A82" s="36"/>
      <c r="B82" s="37"/>
      <c r="C82" s="37"/>
      <c r="D82" s="37"/>
      <c r="E82" s="1"/>
    </row>
    <row r="83" ht="15.75" customHeight="1">
      <c r="A83" s="36"/>
      <c r="B83" s="37"/>
      <c r="C83" s="37"/>
      <c r="D83" s="37"/>
      <c r="E83" s="1"/>
    </row>
    <row r="84" ht="15.75" customHeight="1">
      <c r="A84" s="36"/>
      <c r="B84" s="37"/>
      <c r="C84" s="37"/>
      <c r="D84" s="37"/>
      <c r="E84" s="1"/>
    </row>
    <row r="85" ht="15.75" customHeight="1">
      <c r="A85" s="36"/>
      <c r="B85" s="37"/>
      <c r="C85" s="37"/>
      <c r="D85" s="37"/>
      <c r="E85" s="1"/>
    </row>
    <row r="86" ht="15.75" customHeight="1">
      <c r="A86" s="36"/>
      <c r="B86" s="37"/>
      <c r="C86" s="37"/>
      <c r="D86" s="37"/>
      <c r="E86" s="1"/>
    </row>
    <row r="87" ht="15.75" customHeight="1">
      <c r="A87" s="36"/>
      <c r="B87" s="37"/>
      <c r="C87" s="37"/>
      <c r="D87" s="37"/>
      <c r="E87" s="1"/>
    </row>
    <row r="88" ht="15.75" customHeight="1">
      <c r="A88" s="36"/>
      <c r="B88" s="37"/>
      <c r="C88" s="37"/>
      <c r="D88" s="37"/>
      <c r="E88" s="1"/>
    </row>
    <row r="89" ht="15.75" customHeight="1">
      <c r="A89" s="36"/>
      <c r="B89" s="37"/>
      <c r="C89" s="37"/>
      <c r="D89" s="37"/>
      <c r="E89" s="1"/>
    </row>
    <row r="90" ht="15.75" customHeight="1">
      <c r="A90" s="36"/>
      <c r="B90" s="37"/>
      <c r="C90" s="37"/>
      <c r="D90" s="37"/>
      <c r="E90" s="1"/>
    </row>
    <row r="91" ht="15.75" customHeight="1">
      <c r="A91" s="36"/>
      <c r="B91" s="37"/>
      <c r="C91" s="37"/>
      <c r="D91" s="37"/>
      <c r="E91" s="1"/>
    </row>
    <row r="92" ht="15.75" customHeight="1">
      <c r="A92" s="36"/>
      <c r="B92" s="37"/>
      <c r="C92" s="37"/>
      <c r="D92" s="37"/>
      <c r="E92" s="1"/>
    </row>
    <row r="93" ht="15.75" customHeight="1">
      <c r="A93" s="36"/>
      <c r="B93" s="37"/>
      <c r="C93" s="37"/>
      <c r="D93" s="37"/>
      <c r="E93" s="1"/>
    </row>
    <row r="94" ht="15.75" customHeight="1">
      <c r="A94" s="36"/>
      <c r="B94" s="37"/>
      <c r="C94" s="37"/>
      <c r="D94" s="37"/>
      <c r="E94" s="1"/>
    </row>
    <row r="95" ht="15.75" customHeight="1">
      <c r="A95" s="36"/>
      <c r="B95" s="37"/>
      <c r="C95" s="37"/>
      <c r="D95" s="37"/>
      <c r="E95" s="1"/>
    </row>
    <row r="96" ht="15.75" customHeight="1">
      <c r="A96" s="36"/>
      <c r="B96" s="37"/>
      <c r="C96" s="37"/>
      <c r="D96" s="37"/>
      <c r="E96" s="1"/>
    </row>
    <row r="97" ht="15.75" customHeight="1">
      <c r="A97" s="36"/>
      <c r="B97" s="37"/>
      <c r="C97" s="37"/>
      <c r="D97" s="37"/>
      <c r="E97" s="1"/>
    </row>
    <row r="98" ht="15.75" customHeight="1">
      <c r="A98" s="36"/>
      <c r="B98" s="37"/>
      <c r="C98" s="37"/>
      <c r="D98" s="37"/>
      <c r="E98" s="1"/>
    </row>
    <row r="99" ht="15.75" customHeight="1">
      <c r="A99" s="36"/>
      <c r="B99" s="37"/>
      <c r="C99" s="37"/>
      <c r="D99" s="37"/>
      <c r="E99" s="1"/>
    </row>
    <row r="100" ht="15.75" customHeight="1">
      <c r="A100" s="36"/>
      <c r="B100" s="37"/>
      <c r="C100" s="37"/>
      <c r="D100" s="37"/>
      <c r="E100" s="1"/>
    </row>
    <row r="101" ht="15.75" customHeight="1">
      <c r="A101" s="36"/>
      <c r="B101" s="37"/>
      <c r="C101" s="37"/>
      <c r="D101" s="37"/>
      <c r="E101" s="1"/>
    </row>
    <row r="102" ht="15.75" customHeight="1">
      <c r="A102" s="36"/>
      <c r="B102" s="37"/>
      <c r="C102" s="37"/>
      <c r="D102" s="37"/>
      <c r="E102" s="1"/>
    </row>
    <row r="103" ht="15.75" customHeight="1">
      <c r="A103" s="36"/>
      <c r="B103" s="37"/>
      <c r="C103" s="37"/>
      <c r="D103" s="37"/>
      <c r="E103" s="1"/>
    </row>
    <row r="104" ht="15.75" customHeight="1">
      <c r="A104" s="36"/>
      <c r="B104" s="37"/>
      <c r="C104" s="37"/>
      <c r="D104" s="37"/>
      <c r="E104" s="1"/>
    </row>
    <row r="105" ht="15.75" customHeight="1">
      <c r="A105" s="36"/>
      <c r="B105" s="37"/>
      <c r="C105" s="37"/>
      <c r="D105" s="37"/>
      <c r="E105" s="1"/>
    </row>
    <row r="106" ht="15.75" customHeight="1">
      <c r="A106" s="36"/>
      <c r="B106" s="37"/>
      <c r="C106" s="37"/>
      <c r="D106" s="37"/>
      <c r="E106" s="1"/>
    </row>
    <row r="107" ht="15.75" customHeight="1">
      <c r="A107" s="36"/>
      <c r="B107" s="37"/>
      <c r="C107" s="37"/>
      <c r="D107" s="37"/>
      <c r="E107" s="1"/>
    </row>
    <row r="108" ht="15.75" customHeight="1">
      <c r="A108" s="36"/>
      <c r="B108" s="37"/>
      <c r="C108" s="37"/>
      <c r="D108" s="37"/>
      <c r="E108" s="1"/>
    </row>
    <row r="109" ht="15.75" customHeight="1">
      <c r="A109" s="36"/>
      <c r="B109" s="37"/>
      <c r="C109" s="37"/>
      <c r="D109" s="37"/>
      <c r="E109" s="1"/>
    </row>
    <row r="110" ht="15.75" customHeight="1">
      <c r="A110" s="36"/>
      <c r="B110" s="37"/>
      <c r="C110" s="37"/>
      <c r="D110" s="37"/>
      <c r="E110" s="1"/>
    </row>
    <row r="111" ht="15.75" customHeight="1">
      <c r="A111" s="36"/>
      <c r="B111" s="37"/>
      <c r="C111" s="37"/>
      <c r="D111" s="37"/>
      <c r="E111" s="1"/>
    </row>
    <row r="112" ht="15.75" customHeight="1">
      <c r="A112" s="36"/>
      <c r="B112" s="37"/>
      <c r="C112" s="37"/>
      <c r="D112" s="37"/>
      <c r="E112" s="1"/>
    </row>
    <row r="113" ht="15.75" customHeight="1">
      <c r="A113" s="36"/>
      <c r="B113" s="37"/>
      <c r="C113" s="37"/>
      <c r="D113" s="37"/>
      <c r="E113" s="1"/>
    </row>
    <row r="114" ht="15.75" customHeight="1">
      <c r="A114" s="36"/>
      <c r="B114" s="37"/>
      <c r="C114" s="37"/>
      <c r="D114" s="37"/>
      <c r="E114" s="1"/>
    </row>
    <row r="115" ht="15.75" customHeight="1">
      <c r="A115" s="36"/>
      <c r="B115" s="37"/>
      <c r="C115" s="37"/>
      <c r="D115" s="37"/>
      <c r="E115" s="1"/>
    </row>
    <row r="116" ht="15.75" customHeight="1">
      <c r="A116" s="36"/>
      <c r="B116" s="37"/>
      <c r="C116" s="37"/>
      <c r="D116" s="37"/>
      <c r="E116" s="1"/>
    </row>
    <row r="117" ht="15.75" customHeight="1">
      <c r="A117" s="36"/>
      <c r="B117" s="37"/>
      <c r="C117" s="37"/>
      <c r="D117" s="37"/>
      <c r="E117" s="1"/>
    </row>
    <row r="118" ht="15.75" customHeight="1">
      <c r="A118" s="36"/>
      <c r="B118" s="37"/>
      <c r="C118" s="37"/>
      <c r="D118" s="37"/>
      <c r="E118" s="1"/>
    </row>
    <row r="119" ht="15.75" customHeight="1">
      <c r="A119" s="36"/>
      <c r="B119" s="37"/>
      <c r="C119" s="37"/>
      <c r="D119" s="37"/>
      <c r="E119" s="1"/>
    </row>
    <row r="120" ht="15.75" customHeight="1">
      <c r="A120" s="36"/>
      <c r="B120" s="37"/>
      <c r="C120" s="37"/>
      <c r="D120" s="37"/>
      <c r="E120" s="1"/>
    </row>
    <row r="121" ht="15.75" customHeight="1">
      <c r="A121" s="36"/>
      <c r="B121" s="37"/>
      <c r="C121" s="37"/>
      <c r="D121" s="37"/>
      <c r="E121" s="1"/>
    </row>
    <row r="122" ht="15.75" customHeight="1">
      <c r="A122" s="36"/>
      <c r="B122" s="37"/>
      <c r="C122" s="37"/>
      <c r="D122" s="37"/>
      <c r="E122" s="1"/>
    </row>
    <row r="123" ht="15.75" customHeight="1">
      <c r="A123" s="36"/>
      <c r="B123" s="37"/>
      <c r="C123" s="37"/>
      <c r="D123" s="37"/>
      <c r="E123" s="1"/>
    </row>
    <row r="124" ht="15.75" customHeight="1">
      <c r="A124" s="36"/>
      <c r="B124" s="37"/>
      <c r="C124" s="37"/>
      <c r="D124" s="37"/>
      <c r="E124" s="1"/>
    </row>
    <row r="125" ht="15.75" customHeight="1">
      <c r="A125" s="36"/>
      <c r="B125" s="37"/>
      <c r="C125" s="37"/>
      <c r="D125" s="37"/>
      <c r="E125" s="1"/>
    </row>
    <row r="126" ht="15.75" customHeight="1">
      <c r="A126" s="36"/>
      <c r="B126" s="37"/>
      <c r="C126" s="37"/>
      <c r="D126" s="37"/>
      <c r="E126" s="1"/>
    </row>
    <row r="127" ht="15.75" customHeight="1">
      <c r="A127" s="36"/>
      <c r="B127" s="37"/>
      <c r="C127" s="37"/>
      <c r="D127" s="37"/>
      <c r="E127" s="1"/>
    </row>
    <row r="128" ht="15.75" customHeight="1">
      <c r="A128" s="36"/>
      <c r="B128" s="37"/>
      <c r="C128" s="37"/>
      <c r="D128" s="37"/>
      <c r="E128" s="1"/>
    </row>
    <row r="129" ht="15.75" customHeight="1">
      <c r="A129" s="36"/>
      <c r="B129" s="37"/>
      <c r="C129" s="37"/>
      <c r="D129" s="37"/>
      <c r="E129" s="1"/>
    </row>
    <row r="130" ht="15.75" customHeight="1">
      <c r="A130" s="36"/>
      <c r="B130" s="37"/>
      <c r="C130" s="37"/>
      <c r="D130" s="37"/>
      <c r="E130" s="1"/>
    </row>
    <row r="131" ht="15.75" customHeight="1">
      <c r="A131" s="36"/>
      <c r="B131" s="37"/>
      <c r="C131" s="37"/>
      <c r="D131" s="37"/>
      <c r="E131" s="1"/>
    </row>
    <row r="132" ht="15.75" customHeight="1">
      <c r="A132" s="36"/>
      <c r="B132" s="37"/>
      <c r="C132" s="37"/>
      <c r="D132" s="37"/>
      <c r="E132" s="1"/>
    </row>
    <row r="133" ht="15.75" customHeight="1">
      <c r="A133" s="36"/>
      <c r="B133" s="37"/>
      <c r="C133" s="37"/>
      <c r="D133" s="37"/>
      <c r="E133" s="1"/>
    </row>
    <row r="134" ht="15.75" customHeight="1">
      <c r="A134" s="36"/>
      <c r="B134" s="37"/>
      <c r="C134" s="37"/>
      <c r="D134" s="37"/>
      <c r="E134" s="1"/>
    </row>
    <row r="135" ht="15.75" customHeight="1">
      <c r="A135" s="36"/>
      <c r="B135" s="37"/>
      <c r="C135" s="37"/>
      <c r="D135" s="37"/>
      <c r="E135" s="1"/>
    </row>
    <row r="136" ht="15.75" customHeight="1">
      <c r="A136" s="36"/>
      <c r="B136" s="37"/>
      <c r="C136" s="37"/>
      <c r="D136" s="37"/>
      <c r="E136" s="1"/>
    </row>
    <row r="137" ht="15.75" customHeight="1">
      <c r="A137" s="36"/>
      <c r="B137" s="37"/>
      <c r="C137" s="37"/>
      <c r="D137" s="37"/>
      <c r="E137" s="1"/>
    </row>
    <row r="138" ht="15.75" customHeight="1">
      <c r="A138" s="36"/>
      <c r="B138" s="37"/>
      <c r="C138" s="37"/>
      <c r="D138" s="37"/>
      <c r="E138" s="1"/>
    </row>
    <row r="139" ht="15.75" customHeight="1">
      <c r="A139" s="36"/>
      <c r="B139" s="37"/>
      <c r="C139" s="37"/>
      <c r="D139" s="37"/>
      <c r="E139" s="1"/>
    </row>
    <row r="140" ht="15.75" customHeight="1">
      <c r="A140" s="36"/>
      <c r="B140" s="37"/>
      <c r="C140" s="37"/>
      <c r="D140" s="37"/>
      <c r="E140" s="1"/>
    </row>
    <row r="141" ht="15.75" customHeight="1">
      <c r="A141" s="36"/>
      <c r="B141" s="37"/>
      <c r="C141" s="37"/>
      <c r="D141" s="37"/>
      <c r="E141" s="1"/>
    </row>
    <row r="142" ht="15.75" customHeight="1">
      <c r="A142" s="36"/>
      <c r="B142" s="37"/>
      <c r="C142" s="37"/>
      <c r="D142" s="37"/>
      <c r="E142" s="1"/>
    </row>
    <row r="143" ht="15.75" customHeight="1">
      <c r="A143" s="36"/>
      <c r="B143" s="37"/>
      <c r="C143" s="37"/>
      <c r="D143" s="37"/>
      <c r="E143" s="1"/>
    </row>
    <row r="144" ht="15.75" customHeight="1">
      <c r="A144" s="36"/>
      <c r="B144" s="37"/>
      <c r="C144" s="37"/>
      <c r="D144" s="37"/>
      <c r="E144" s="1"/>
    </row>
    <row r="145" ht="15.75" customHeight="1">
      <c r="A145" s="36"/>
      <c r="B145" s="37"/>
      <c r="C145" s="37"/>
      <c r="D145" s="37"/>
      <c r="E145" s="1"/>
    </row>
    <row r="146" ht="15.75" customHeight="1">
      <c r="A146" s="36"/>
      <c r="B146" s="37"/>
      <c r="C146" s="37"/>
      <c r="D146" s="37"/>
      <c r="E146" s="1"/>
    </row>
    <row r="147" ht="15.75" customHeight="1">
      <c r="A147" s="36"/>
      <c r="B147" s="37"/>
      <c r="C147" s="37"/>
      <c r="D147" s="37"/>
      <c r="E147" s="1"/>
    </row>
    <row r="148" ht="15.75" customHeight="1">
      <c r="A148" s="36"/>
      <c r="B148" s="37"/>
      <c r="C148" s="37"/>
      <c r="D148" s="37"/>
      <c r="E148" s="1"/>
    </row>
    <row r="149" ht="15.75" customHeight="1">
      <c r="A149" s="36"/>
      <c r="B149" s="37"/>
      <c r="C149" s="37"/>
      <c r="D149" s="37"/>
      <c r="E149" s="1"/>
    </row>
    <row r="150" ht="15.75" customHeight="1">
      <c r="A150" s="36"/>
      <c r="B150" s="37"/>
      <c r="C150" s="37"/>
      <c r="D150" s="37"/>
      <c r="E150" s="1"/>
    </row>
    <row r="151" ht="15.75" customHeight="1">
      <c r="A151" s="36"/>
      <c r="B151" s="37"/>
      <c r="C151" s="37"/>
      <c r="D151" s="37"/>
      <c r="E151" s="1"/>
    </row>
    <row r="152" ht="15.75" customHeight="1">
      <c r="A152" s="36"/>
      <c r="B152" s="37"/>
      <c r="C152" s="37"/>
      <c r="D152" s="37"/>
      <c r="E152" s="1"/>
    </row>
    <row r="153" ht="15.75" customHeight="1">
      <c r="A153" s="36"/>
      <c r="B153" s="37"/>
      <c r="C153" s="37"/>
      <c r="D153" s="37"/>
      <c r="E153" s="1"/>
    </row>
    <row r="154" ht="15.75" customHeight="1">
      <c r="A154" s="36"/>
      <c r="B154" s="37"/>
      <c r="C154" s="37"/>
      <c r="D154" s="37"/>
      <c r="E154" s="1"/>
    </row>
    <row r="155" ht="15.75" customHeight="1">
      <c r="A155" s="36"/>
      <c r="B155" s="37"/>
      <c r="C155" s="37"/>
      <c r="D155" s="37"/>
      <c r="E155" s="1"/>
    </row>
    <row r="156" ht="15.75" customHeight="1">
      <c r="A156" s="36"/>
      <c r="B156" s="37"/>
      <c r="C156" s="37"/>
      <c r="D156" s="37"/>
      <c r="E156" s="1"/>
    </row>
    <row r="157" ht="15.75" customHeight="1">
      <c r="A157" s="36"/>
      <c r="B157" s="37"/>
      <c r="C157" s="37"/>
      <c r="D157" s="37"/>
      <c r="E157" s="1"/>
    </row>
    <row r="158" ht="15.75" customHeight="1">
      <c r="A158" s="36"/>
      <c r="B158" s="37"/>
      <c r="C158" s="37"/>
      <c r="D158" s="37"/>
      <c r="E158" s="1"/>
    </row>
    <row r="159" ht="15.75" customHeight="1">
      <c r="A159" s="36"/>
      <c r="B159" s="37"/>
      <c r="C159" s="37"/>
      <c r="D159" s="37"/>
      <c r="E159" s="1"/>
    </row>
    <row r="160" ht="15.75" customHeight="1">
      <c r="A160" s="36"/>
      <c r="B160" s="37"/>
      <c r="C160" s="37"/>
      <c r="D160" s="37"/>
      <c r="E160" s="1"/>
    </row>
    <row r="161" ht="15.75" customHeight="1">
      <c r="A161" s="36"/>
      <c r="B161" s="37"/>
      <c r="C161" s="37"/>
      <c r="D161" s="37"/>
      <c r="E161" s="1"/>
    </row>
    <row r="162" ht="15.75" customHeight="1">
      <c r="A162" s="36"/>
      <c r="B162" s="37"/>
      <c r="C162" s="37"/>
      <c r="D162" s="37"/>
      <c r="E162" s="1"/>
    </row>
    <row r="163" ht="15.75" customHeight="1">
      <c r="A163" s="36"/>
      <c r="B163" s="37"/>
      <c r="C163" s="37"/>
      <c r="D163" s="37"/>
      <c r="E163" s="1"/>
    </row>
    <row r="164" ht="15.75" customHeight="1">
      <c r="A164" s="36"/>
      <c r="B164" s="37"/>
      <c r="C164" s="37"/>
      <c r="D164" s="37"/>
      <c r="E164" s="1"/>
    </row>
    <row r="165" ht="15.75" customHeight="1">
      <c r="A165" s="36"/>
      <c r="B165" s="37"/>
      <c r="C165" s="37"/>
      <c r="D165" s="37"/>
      <c r="E165" s="1"/>
    </row>
    <row r="166" ht="15.75" customHeight="1">
      <c r="A166" s="36"/>
      <c r="B166" s="37"/>
      <c r="C166" s="37"/>
      <c r="D166" s="37"/>
      <c r="E166" s="1"/>
    </row>
    <row r="167" ht="15.75" customHeight="1">
      <c r="A167" s="36"/>
      <c r="B167" s="37"/>
      <c r="C167" s="37"/>
      <c r="D167" s="37"/>
      <c r="E167" s="1"/>
    </row>
    <row r="168" ht="15.75" customHeight="1">
      <c r="A168" s="36"/>
      <c r="B168" s="37"/>
      <c r="C168" s="37"/>
      <c r="D168" s="37"/>
      <c r="E168" s="1"/>
    </row>
    <row r="169" ht="15.75" customHeight="1">
      <c r="A169" s="36"/>
      <c r="B169" s="37"/>
      <c r="C169" s="37"/>
      <c r="D169" s="37"/>
      <c r="E169" s="1"/>
    </row>
    <row r="170" ht="15.75" customHeight="1">
      <c r="A170" s="36"/>
      <c r="B170" s="37"/>
      <c r="C170" s="37"/>
      <c r="D170" s="37"/>
      <c r="E170" s="1"/>
    </row>
    <row r="171" ht="15.75" customHeight="1">
      <c r="A171" s="36"/>
      <c r="B171" s="37"/>
      <c r="C171" s="37"/>
      <c r="D171" s="37"/>
      <c r="E171" s="1"/>
    </row>
    <row r="172" ht="15.75" customHeight="1">
      <c r="A172" s="36"/>
      <c r="B172" s="37"/>
      <c r="C172" s="37"/>
      <c r="D172" s="37"/>
      <c r="E172" s="1"/>
    </row>
    <row r="173" ht="15.75" customHeight="1">
      <c r="A173" s="36"/>
      <c r="B173" s="37"/>
      <c r="C173" s="37"/>
      <c r="D173" s="37"/>
      <c r="E173" s="1"/>
    </row>
    <row r="174" ht="15.75" customHeight="1">
      <c r="A174" s="36"/>
      <c r="B174" s="37"/>
      <c r="C174" s="37"/>
      <c r="D174" s="37"/>
      <c r="E174" s="1"/>
    </row>
    <row r="175" ht="15.75" customHeight="1">
      <c r="A175" s="36"/>
      <c r="B175" s="37"/>
      <c r="C175" s="37"/>
      <c r="D175" s="37"/>
      <c r="E175" s="1"/>
    </row>
    <row r="176" ht="15.75" customHeight="1">
      <c r="A176" s="36"/>
      <c r="B176" s="37"/>
      <c r="C176" s="37"/>
      <c r="D176" s="37"/>
      <c r="E176" s="1"/>
    </row>
    <row r="177" ht="15.75" customHeight="1">
      <c r="A177" s="36"/>
      <c r="B177" s="37"/>
      <c r="C177" s="37"/>
      <c r="D177" s="37"/>
      <c r="E177" s="1"/>
    </row>
    <row r="178" ht="15.75" customHeight="1">
      <c r="A178" s="36"/>
      <c r="B178" s="37"/>
      <c r="C178" s="37"/>
      <c r="D178" s="37"/>
      <c r="E178" s="1"/>
    </row>
    <row r="179" ht="15.75" customHeight="1">
      <c r="A179" s="36"/>
      <c r="B179" s="37"/>
      <c r="C179" s="37"/>
      <c r="D179" s="37"/>
      <c r="E179" s="1"/>
    </row>
    <row r="180" ht="15.75" customHeight="1">
      <c r="A180" s="36"/>
      <c r="B180" s="37"/>
      <c r="C180" s="37"/>
      <c r="D180" s="37"/>
      <c r="E180" s="1"/>
    </row>
    <row r="181" ht="15.75" customHeight="1">
      <c r="A181" s="36"/>
      <c r="B181" s="37"/>
      <c r="C181" s="37"/>
      <c r="D181" s="37"/>
      <c r="E181" s="1"/>
    </row>
    <row r="182" ht="15.75" customHeight="1">
      <c r="A182" s="36"/>
      <c r="B182" s="37"/>
      <c r="C182" s="37"/>
      <c r="D182" s="37"/>
      <c r="E182" s="1"/>
    </row>
    <row r="183" ht="15.75" customHeight="1">
      <c r="A183" s="36"/>
      <c r="B183" s="37"/>
      <c r="C183" s="37"/>
      <c r="D183" s="37"/>
      <c r="E183" s="1"/>
    </row>
    <row r="184" ht="15.75" customHeight="1">
      <c r="A184" s="36"/>
      <c r="B184" s="37"/>
      <c r="C184" s="37"/>
      <c r="D184" s="37"/>
      <c r="E184" s="1"/>
    </row>
    <row r="185" ht="15.75" customHeight="1">
      <c r="A185" s="36"/>
      <c r="B185" s="37"/>
      <c r="C185" s="37"/>
      <c r="D185" s="37"/>
      <c r="E185" s="1"/>
    </row>
    <row r="186" ht="15.75" customHeight="1">
      <c r="A186" s="36"/>
      <c r="B186" s="37"/>
      <c r="C186" s="37"/>
      <c r="D186" s="37"/>
      <c r="E186" s="1"/>
    </row>
    <row r="187" ht="15.75" customHeight="1">
      <c r="A187" s="36"/>
      <c r="B187" s="37"/>
      <c r="C187" s="37"/>
      <c r="D187" s="37"/>
      <c r="E187" s="1"/>
    </row>
    <row r="188" ht="15.75" customHeight="1">
      <c r="A188" s="36"/>
      <c r="B188" s="37"/>
      <c r="C188" s="37"/>
      <c r="D188" s="37"/>
      <c r="E188" s="1"/>
    </row>
    <row r="189" ht="15.75" customHeight="1">
      <c r="A189" s="36"/>
      <c r="B189" s="37"/>
      <c r="C189" s="37"/>
      <c r="D189" s="37"/>
      <c r="E189" s="1"/>
    </row>
    <row r="190" ht="15.75" customHeight="1">
      <c r="A190" s="36"/>
      <c r="B190" s="37"/>
      <c r="C190" s="37"/>
      <c r="D190" s="37"/>
      <c r="E190" s="1"/>
    </row>
    <row r="191" ht="15.75" customHeight="1">
      <c r="A191" s="36"/>
      <c r="B191" s="37"/>
      <c r="C191" s="37"/>
      <c r="D191" s="37"/>
      <c r="E191" s="1"/>
    </row>
    <row r="192" ht="15.75" customHeight="1">
      <c r="A192" s="36"/>
      <c r="B192" s="37"/>
      <c r="C192" s="37"/>
      <c r="D192" s="37"/>
      <c r="E192" s="1"/>
    </row>
    <row r="193" ht="15.75" customHeight="1">
      <c r="A193" s="36"/>
      <c r="B193" s="37"/>
      <c r="C193" s="37"/>
      <c r="D193" s="37"/>
      <c r="E193" s="1"/>
    </row>
    <row r="194" ht="15.75" customHeight="1">
      <c r="A194" s="36"/>
      <c r="B194" s="37"/>
      <c r="C194" s="37"/>
      <c r="D194" s="37"/>
      <c r="E194" s="1"/>
    </row>
    <row r="195" ht="15.75" customHeight="1">
      <c r="A195" s="36"/>
      <c r="B195" s="37"/>
      <c r="C195" s="37"/>
      <c r="D195" s="37"/>
      <c r="E195" s="1"/>
    </row>
    <row r="196" ht="15.75" customHeight="1">
      <c r="A196" s="36"/>
      <c r="B196" s="37"/>
      <c r="C196" s="37"/>
      <c r="D196" s="37"/>
      <c r="E196" s="1"/>
    </row>
    <row r="197" ht="15.75" customHeight="1">
      <c r="A197" s="36"/>
      <c r="B197" s="37"/>
      <c r="C197" s="37"/>
      <c r="D197" s="37"/>
      <c r="E197" s="1"/>
    </row>
    <row r="198" ht="15.75" customHeight="1">
      <c r="A198" s="36"/>
      <c r="B198" s="37"/>
      <c r="C198" s="37"/>
      <c r="D198" s="37"/>
      <c r="E198" s="1"/>
    </row>
    <row r="199" ht="15.75" customHeight="1">
      <c r="A199" s="36"/>
      <c r="B199" s="37"/>
      <c r="C199" s="37"/>
      <c r="D199" s="37"/>
      <c r="E199" s="1"/>
    </row>
    <row r="200" ht="15.75" customHeight="1">
      <c r="A200" s="36"/>
      <c r="B200" s="37"/>
      <c r="C200" s="37"/>
      <c r="D200" s="37"/>
      <c r="E200" s="1"/>
    </row>
    <row r="201" ht="15.75" customHeight="1">
      <c r="A201" s="36"/>
      <c r="B201" s="37"/>
      <c r="C201" s="37"/>
      <c r="D201" s="37"/>
      <c r="E201" s="1"/>
    </row>
    <row r="202" ht="15.75" customHeight="1">
      <c r="A202" s="36"/>
      <c r="B202" s="37"/>
      <c r="C202" s="37"/>
      <c r="D202" s="37"/>
      <c r="E202" s="1"/>
    </row>
    <row r="203" ht="15.75" customHeight="1">
      <c r="A203" s="36"/>
      <c r="B203" s="37"/>
      <c r="C203" s="37"/>
      <c r="D203" s="37"/>
      <c r="E203" s="1"/>
    </row>
    <row r="204" ht="15.75" customHeight="1">
      <c r="A204" s="36"/>
      <c r="B204" s="37"/>
      <c r="C204" s="37"/>
      <c r="D204" s="37"/>
      <c r="E204" s="1"/>
    </row>
    <row r="205" ht="15.75" customHeight="1">
      <c r="A205" s="36"/>
      <c r="B205" s="37"/>
      <c r="C205" s="37"/>
      <c r="D205" s="37"/>
      <c r="E205" s="1"/>
    </row>
    <row r="206" ht="15.75" customHeight="1">
      <c r="A206" s="36"/>
      <c r="B206" s="37"/>
      <c r="C206" s="37"/>
      <c r="D206" s="37"/>
      <c r="E206" s="1"/>
    </row>
    <row r="207" ht="15.75" customHeight="1">
      <c r="A207" s="36"/>
      <c r="B207" s="37"/>
      <c r="C207" s="37"/>
      <c r="D207" s="37"/>
      <c r="E207" s="1"/>
    </row>
    <row r="208" ht="15.75" customHeight="1">
      <c r="A208" s="36"/>
      <c r="B208" s="37"/>
      <c r="C208" s="37"/>
      <c r="D208" s="37"/>
      <c r="E208" s="1"/>
    </row>
    <row r="209" ht="15.75" customHeight="1">
      <c r="A209" s="36"/>
      <c r="B209" s="37"/>
      <c r="C209" s="37"/>
      <c r="D209" s="37"/>
      <c r="E209" s="1"/>
    </row>
    <row r="210" ht="15.75" customHeight="1">
      <c r="A210" s="36"/>
      <c r="B210" s="37"/>
      <c r="C210" s="37"/>
      <c r="D210" s="37"/>
      <c r="E210" s="1"/>
    </row>
    <row r="211" ht="15.75" customHeight="1">
      <c r="A211" s="36"/>
      <c r="B211" s="37"/>
      <c r="C211" s="37"/>
      <c r="D211" s="37"/>
      <c r="E211" s="1"/>
    </row>
    <row r="212" ht="15.75" customHeight="1">
      <c r="A212" s="36"/>
      <c r="B212" s="37"/>
      <c r="C212" s="37"/>
      <c r="D212" s="37"/>
      <c r="E212" s="1"/>
    </row>
    <row r="213" ht="15.75" customHeight="1">
      <c r="A213" s="36"/>
      <c r="B213" s="37"/>
      <c r="C213" s="37"/>
      <c r="D213" s="37"/>
      <c r="E213" s="1"/>
    </row>
    <row r="214" ht="15.75" customHeight="1">
      <c r="A214" s="36"/>
      <c r="B214" s="37"/>
      <c r="C214" s="37"/>
      <c r="D214" s="37"/>
      <c r="E214" s="1"/>
    </row>
    <row r="215" ht="15.75" customHeight="1">
      <c r="A215" s="36"/>
      <c r="B215" s="37"/>
      <c r="C215" s="37"/>
      <c r="D215" s="37"/>
      <c r="E215" s="1"/>
    </row>
    <row r="216" ht="15.75" customHeight="1">
      <c r="A216" s="36"/>
      <c r="B216" s="37"/>
      <c r="C216" s="37"/>
      <c r="D216" s="37"/>
      <c r="E216" s="1"/>
    </row>
    <row r="217" ht="15.75" customHeight="1">
      <c r="A217" s="36"/>
      <c r="B217" s="37"/>
      <c r="C217" s="37"/>
      <c r="D217" s="37"/>
      <c r="E217" s="1"/>
    </row>
    <row r="218" ht="15.75" customHeight="1">
      <c r="A218" s="36"/>
      <c r="B218" s="37"/>
      <c r="C218" s="37"/>
      <c r="D218" s="37"/>
      <c r="E218" s="1"/>
    </row>
    <row r="219" ht="15.75" customHeight="1">
      <c r="A219" s="36"/>
      <c r="B219" s="37"/>
      <c r="C219" s="37"/>
      <c r="D219" s="37"/>
      <c r="E219" s="1"/>
    </row>
    <row r="220" ht="15.75" customHeight="1">
      <c r="A220" s="36"/>
      <c r="B220" s="37"/>
      <c r="C220" s="37"/>
      <c r="D220" s="37"/>
      <c r="E220" s="1"/>
    </row>
    <row r="221" ht="15.75" customHeight="1">
      <c r="A221" s="36"/>
      <c r="B221" s="37"/>
      <c r="C221" s="37"/>
      <c r="D221" s="37"/>
      <c r="E221" s="1"/>
    </row>
    <row r="222" ht="15.75" customHeight="1">
      <c r="A222" s="36"/>
      <c r="B222" s="37"/>
      <c r="C222" s="37"/>
      <c r="D222" s="37"/>
      <c r="E222" s="1"/>
    </row>
    <row r="223" ht="15.75" customHeight="1">
      <c r="A223" s="36"/>
      <c r="B223" s="37"/>
      <c r="C223" s="37"/>
      <c r="D223" s="37"/>
      <c r="E223" s="1"/>
    </row>
    <row r="224" ht="15.75" customHeight="1">
      <c r="A224" s="36"/>
      <c r="B224" s="37"/>
      <c r="C224" s="37"/>
      <c r="D224" s="37"/>
      <c r="E224" s="1"/>
    </row>
    <row r="225" ht="15.75" customHeight="1">
      <c r="A225" s="36"/>
      <c r="B225" s="37"/>
      <c r="C225" s="37"/>
      <c r="D225" s="37"/>
      <c r="E225" s="1"/>
    </row>
    <row r="226" ht="15.75" customHeight="1">
      <c r="A226" s="36"/>
      <c r="B226" s="37"/>
      <c r="C226" s="37"/>
      <c r="D226" s="37"/>
      <c r="E226" s="1"/>
    </row>
    <row r="227" ht="15.75" customHeight="1">
      <c r="A227" s="36"/>
      <c r="B227" s="37"/>
      <c r="C227" s="37"/>
      <c r="D227" s="37"/>
      <c r="E227" s="1"/>
    </row>
    <row r="228" ht="15.75" customHeight="1">
      <c r="A228" s="36"/>
      <c r="B228" s="37"/>
      <c r="C228" s="37"/>
      <c r="D228" s="37"/>
      <c r="E228" s="1"/>
    </row>
    <row r="229" ht="15.75" customHeight="1">
      <c r="A229" s="36"/>
      <c r="B229" s="37"/>
      <c r="C229" s="37"/>
      <c r="D229" s="37"/>
      <c r="E229" s="1"/>
    </row>
    <row r="230" ht="15.75" customHeight="1">
      <c r="A230" s="36"/>
      <c r="B230" s="37"/>
      <c r="C230" s="37"/>
      <c r="D230" s="37"/>
      <c r="E230" s="1"/>
    </row>
    <row r="231" ht="15.75" customHeight="1">
      <c r="A231" s="36"/>
      <c r="B231" s="37"/>
      <c r="C231" s="37"/>
      <c r="D231" s="37"/>
      <c r="E231" s="1"/>
    </row>
    <row r="232" ht="15.75" customHeight="1">
      <c r="A232" s="36"/>
      <c r="B232" s="37"/>
      <c r="C232" s="37"/>
      <c r="D232" s="37"/>
      <c r="E232" s="1"/>
    </row>
    <row r="233" ht="15.75" customHeight="1">
      <c r="A233" s="36"/>
      <c r="B233" s="37"/>
      <c r="C233" s="37"/>
      <c r="D233" s="37"/>
      <c r="E233" s="1"/>
    </row>
    <row r="234" ht="15.75" customHeight="1">
      <c r="A234" s="36"/>
      <c r="B234" s="37"/>
      <c r="C234" s="37"/>
      <c r="D234" s="37"/>
      <c r="E234" s="1"/>
    </row>
    <row r="235" ht="15.75" customHeight="1">
      <c r="A235" s="36"/>
      <c r="B235" s="37"/>
      <c r="C235" s="37"/>
      <c r="D235" s="37"/>
      <c r="E235" s="1"/>
    </row>
    <row r="236" ht="15.75" customHeight="1">
      <c r="A236" s="36"/>
      <c r="B236" s="37"/>
      <c r="C236" s="37"/>
      <c r="D236" s="37"/>
      <c r="E236" s="1"/>
    </row>
    <row r="237" ht="15.75" customHeight="1">
      <c r="A237" s="36"/>
      <c r="B237" s="37"/>
      <c r="C237" s="37"/>
      <c r="D237" s="37"/>
      <c r="E237" s="1"/>
    </row>
    <row r="238" ht="15.75" customHeight="1">
      <c r="A238" s="36"/>
      <c r="B238" s="37"/>
      <c r="C238" s="37"/>
      <c r="D238" s="37"/>
      <c r="E238" s="1"/>
    </row>
    <row r="239" ht="15.75" customHeight="1">
      <c r="A239" s="36"/>
      <c r="B239" s="37"/>
      <c r="C239" s="37"/>
      <c r="D239" s="37"/>
      <c r="E239" s="1"/>
    </row>
    <row r="240" ht="15.75" customHeight="1">
      <c r="A240" s="36"/>
      <c r="B240" s="37"/>
      <c r="C240" s="37"/>
      <c r="D240" s="37"/>
      <c r="E240" s="1"/>
    </row>
    <row r="241" ht="15.75" customHeight="1">
      <c r="A241" s="36"/>
      <c r="B241" s="37"/>
      <c r="C241" s="37"/>
      <c r="D241" s="37"/>
      <c r="E241" s="1"/>
    </row>
    <row r="242" ht="15.75" customHeight="1">
      <c r="A242" s="36"/>
      <c r="B242" s="37"/>
      <c r="C242" s="37"/>
      <c r="D242" s="37"/>
      <c r="E242" s="1"/>
    </row>
    <row r="243" ht="15.75" customHeight="1">
      <c r="A243" s="36"/>
      <c r="B243" s="37"/>
      <c r="C243" s="37"/>
      <c r="D243" s="37"/>
      <c r="E243" s="1"/>
    </row>
    <row r="244" ht="15.75" customHeight="1">
      <c r="A244" s="36"/>
      <c r="B244" s="37"/>
      <c r="C244" s="37"/>
      <c r="D244" s="37"/>
      <c r="E244" s="1"/>
    </row>
    <row r="245" ht="15.75" customHeight="1">
      <c r="A245" s="36"/>
      <c r="B245" s="37"/>
      <c r="C245" s="37"/>
      <c r="D245" s="37"/>
      <c r="E245" s="1"/>
    </row>
    <row r="246" ht="15.75" customHeight="1">
      <c r="A246" s="36"/>
      <c r="B246" s="37"/>
      <c r="C246" s="37"/>
      <c r="D246" s="37"/>
      <c r="E246" s="1"/>
    </row>
    <row r="247" ht="15.75" customHeight="1">
      <c r="A247" s="36"/>
      <c r="B247" s="37"/>
      <c r="C247" s="37"/>
      <c r="D247" s="37"/>
      <c r="E247" s="1"/>
    </row>
    <row r="248" ht="15.75" customHeight="1">
      <c r="A248" s="36"/>
      <c r="B248" s="37"/>
      <c r="C248" s="37"/>
      <c r="D248" s="37"/>
      <c r="E248" s="1"/>
    </row>
    <row r="249" ht="15.75" customHeight="1">
      <c r="A249" s="36"/>
      <c r="B249" s="37"/>
      <c r="C249" s="37"/>
      <c r="D249" s="37"/>
      <c r="E249" s="1"/>
    </row>
    <row r="250" ht="15.75" customHeight="1">
      <c r="A250" s="36"/>
      <c r="B250" s="37"/>
      <c r="C250" s="37"/>
      <c r="D250" s="37"/>
      <c r="E250" s="1"/>
    </row>
    <row r="251" ht="15.75" customHeight="1">
      <c r="A251" s="36"/>
      <c r="B251" s="37"/>
      <c r="C251" s="37"/>
      <c r="D251" s="37"/>
      <c r="E251" s="1"/>
    </row>
    <row r="252" ht="15.75" customHeight="1">
      <c r="A252" s="36"/>
      <c r="B252" s="37"/>
      <c r="C252" s="37"/>
      <c r="D252" s="37"/>
      <c r="E252" s="1"/>
    </row>
    <row r="253" ht="15.75" customHeight="1">
      <c r="A253" s="36"/>
      <c r="B253" s="37"/>
      <c r="C253" s="37"/>
      <c r="D253" s="37"/>
      <c r="E253" s="1"/>
    </row>
    <row r="254" ht="15.75" customHeight="1">
      <c r="A254" s="36"/>
      <c r="B254" s="37"/>
      <c r="C254" s="37"/>
      <c r="D254" s="37"/>
      <c r="E254" s="1"/>
    </row>
    <row r="255" ht="15.75" customHeight="1">
      <c r="A255" s="36"/>
      <c r="B255" s="37"/>
      <c r="C255" s="37"/>
      <c r="D255" s="37"/>
      <c r="E255" s="1"/>
    </row>
    <row r="256" ht="15.75" customHeight="1">
      <c r="A256" s="36"/>
      <c r="B256" s="37"/>
      <c r="C256" s="37"/>
      <c r="D256" s="37"/>
      <c r="E256" s="1"/>
    </row>
    <row r="257" ht="15.75" customHeight="1">
      <c r="A257" s="36"/>
      <c r="B257" s="37"/>
      <c r="C257" s="37"/>
      <c r="D257" s="37"/>
      <c r="E257" s="1"/>
    </row>
    <row r="258" ht="15.75" customHeight="1">
      <c r="A258" s="36"/>
      <c r="B258" s="37"/>
      <c r="C258" s="37"/>
      <c r="D258" s="37"/>
      <c r="E258" s="1"/>
    </row>
    <row r="259" ht="15.75" customHeight="1">
      <c r="A259" s="36"/>
      <c r="B259" s="37"/>
      <c r="C259" s="37"/>
      <c r="D259" s="37"/>
      <c r="E259" s="1"/>
    </row>
    <row r="260" ht="15.75" customHeight="1">
      <c r="A260" s="36"/>
      <c r="B260" s="37"/>
      <c r="C260" s="37"/>
      <c r="D260" s="37"/>
      <c r="E260" s="1"/>
    </row>
    <row r="261" ht="15.75" customHeight="1">
      <c r="A261" s="36"/>
      <c r="B261" s="37"/>
      <c r="C261" s="37"/>
      <c r="D261" s="37"/>
      <c r="E261" s="1"/>
    </row>
    <row r="262" ht="15.75" customHeight="1">
      <c r="A262" s="36"/>
      <c r="B262" s="37"/>
      <c r="C262" s="37"/>
      <c r="D262" s="37"/>
      <c r="E262" s="1"/>
    </row>
    <row r="263" ht="15.75" customHeight="1">
      <c r="A263" s="36"/>
      <c r="B263" s="37"/>
      <c r="C263" s="37"/>
      <c r="D263" s="37"/>
      <c r="E263" s="1"/>
    </row>
    <row r="264" ht="15.75" customHeight="1">
      <c r="A264" s="36"/>
      <c r="B264" s="37"/>
      <c r="C264" s="37"/>
      <c r="D264" s="37"/>
      <c r="E264" s="1"/>
    </row>
    <row r="265" ht="15.75" customHeight="1">
      <c r="A265" s="36"/>
      <c r="B265" s="37"/>
      <c r="C265" s="37"/>
      <c r="D265" s="37"/>
      <c r="E265" s="1"/>
    </row>
    <row r="266" ht="15.75" customHeight="1">
      <c r="A266" s="36"/>
      <c r="B266" s="37"/>
      <c r="C266" s="37"/>
      <c r="D266" s="37"/>
      <c r="E266" s="1"/>
    </row>
    <row r="267" ht="15.75" customHeight="1">
      <c r="A267" s="36"/>
      <c r="B267" s="37"/>
      <c r="C267" s="37"/>
      <c r="D267" s="37"/>
      <c r="E267" s="1"/>
    </row>
    <row r="268" ht="15.75" customHeight="1">
      <c r="A268" s="36"/>
      <c r="B268" s="37"/>
      <c r="C268" s="37"/>
      <c r="D268" s="37"/>
      <c r="E268" s="1"/>
    </row>
    <row r="269" ht="15.75" customHeight="1">
      <c r="A269" s="36"/>
      <c r="B269" s="37"/>
      <c r="C269" s="37"/>
      <c r="D269" s="37"/>
      <c r="E269" s="1"/>
    </row>
    <row r="270" ht="15.75" customHeight="1">
      <c r="A270" s="36"/>
      <c r="B270" s="37"/>
      <c r="C270" s="37"/>
      <c r="D270" s="37"/>
      <c r="E270" s="1"/>
    </row>
    <row r="271" ht="15.75" customHeight="1">
      <c r="A271" s="36"/>
      <c r="B271" s="37"/>
      <c r="C271" s="37"/>
      <c r="D271" s="37"/>
      <c r="E271" s="1"/>
    </row>
    <row r="272" ht="15.75" customHeight="1">
      <c r="A272" s="36"/>
      <c r="B272" s="37"/>
      <c r="C272" s="37"/>
      <c r="D272" s="37"/>
      <c r="E272" s="1"/>
    </row>
    <row r="273" ht="15.75" customHeight="1">
      <c r="A273" s="36"/>
      <c r="B273" s="37"/>
      <c r="C273" s="37"/>
      <c r="D273" s="37"/>
      <c r="E273" s="1"/>
    </row>
    <row r="274" ht="15.75" customHeight="1">
      <c r="A274" s="36"/>
      <c r="B274" s="37"/>
      <c r="C274" s="37"/>
      <c r="D274" s="37"/>
      <c r="E274" s="1"/>
    </row>
    <row r="275" ht="15.75" customHeight="1">
      <c r="A275" s="36"/>
      <c r="B275" s="37"/>
      <c r="C275" s="37"/>
      <c r="D275" s="37"/>
      <c r="E275" s="1"/>
    </row>
    <row r="276" ht="15.75" customHeight="1">
      <c r="A276" s="36"/>
      <c r="B276" s="37"/>
      <c r="C276" s="37"/>
      <c r="D276" s="37"/>
      <c r="E276" s="1"/>
    </row>
    <row r="277" ht="15.75" customHeight="1">
      <c r="A277" s="36"/>
      <c r="B277" s="37"/>
      <c r="C277" s="37"/>
      <c r="D277" s="37"/>
      <c r="E277" s="1"/>
    </row>
    <row r="278" ht="15.75" customHeight="1">
      <c r="A278" s="36"/>
      <c r="B278" s="37"/>
      <c r="C278" s="37"/>
      <c r="D278" s="37"/>
      <c r="E278" s="1"/>
    </row>
    <row r="279" ht="15.75" customHeight="1">
      <c r="A279" s="36"/>
      <c r="B279" s="37"/>
      <c r="C279" s="37"/>
      <c r="D279" s="37"/>
      <c r="E279" s="1"/>
    </row>
    <row r="280" ht="15.75" customHeight="1">
      <c r="A280" s="36"/>
      <c r="B280" s="37"/>
      <c r="C280" s="37"/>
      <c r="D280" s="37"/>
      <c r="E280" s="1"/>
    </row>
    <row r="281" ht="15.75" customHeight="1">
      <c r="A281" s="36"/>
      <c r="B281" s="37"/>
      <c r="C281" s="37"/>
      <c r="D281" s="37"/>
      <c r="E281" s="1"/>
    </row>
    <row r="282" ht="15.75" customHeight="1">
      <c r="A282" s="36"/>
      <c r="B282" s="37"/>
      <c r="C282" s="37"/>
      <c r="D282" s="37"/>
      <c r="E282" s="1"/>
    </row>
    <row r="283" ht="15.75" customHeight="1">
      <c r="A283" s="36"/>
      <c r="B283" s="37"/>
      <c r="C283" s="37"/>
      <c r="D283" s="37"/>
      <c r="E283" s="1"/>
    </row>
    <row r="284" ht="15.75" customHeight="1">
      <c r="A284" s="36"/>
      <c r="B284" s="37"/>
      <c r="C284" s="37"/>
      <c r="D284" s="37"/>
      <c r="E284" s="1"/>
    </row>
    <row r="285" ht="15.75" customHeight="1">
      <c r="A285" s="36"/>
      <c r="B285" s="37"/>
      <c r="C285" s="37"/>
      <c r="D285" s="37"/>
      <c r="E285" s="1"/>
    </row>
    <row r="286" ht="15.75" customHeight="1">
      <c r="A286" s="36"/>
      <c r="B286" s="37"/>
      <c r="C286" s="37"/>
      <c r="D286" s="37"/>
      <c r="E286" s="1"/>
    </row>
    <row r="287" ht="15.75" customHeight="1">
      <c r="A287" s="36"/>
      <c r="B287" s="37"/>
      <c r="C287" s="37"/>
      <c r="D287" s="37"/>
      <c r="E287" s="1"/>
    </row>
    <row r="288" ht="15.75" customHeight="1">
      <c r="A288" s="36"/>
      <c r="B288" s="37"/>
      <c r="C288" s="37"/>
      <c r="D288" s="37"/>
      <c r="E288" s="1"/>
    </row>
    <row r="289" ht="15.75" customHeight="1">
      <c r="A289" s="36"/>
      <c r="B289" s="37"/>
      <c r="C289" s="37"/>
      <c r="D289" s="37"/>
      <c r="E289" s="1"/>
    </row>
    <row r="290" ht="15.75" customHeight="1">
      <c r="A290" s="36"/>
      <c r="B290" s="37"/>
      <c r="C290" s="37"/>
      <c r="D290" s="37"/>
      <c r="E290" s="1"/>
    </row>
    <row r="291" ht="15.75" customHeight="1">
      <c r="A291" s="36"/>
      <c r="B291" s="37"/>
      <c r="C291" s="37"/>
      <c r="D291" s="37"/>
      <c r="E291" s="1"/>
    </row>
    <row r="292" ht="15.75" customHeight="1">
      <c r="A292" s="36"/>
      <c r="B292" s="37"/>
      <c r="C292" s="37"/>
      <c r="D292" s="37"/>
      <c r="E292" s="1"/>
    </row>
    <row r="293" ht="15.75" customHeight="1">
      <c r="A293" s="36"/>
      <c r="B293" s="37"/>
      <c r="C293" s="37"/>
      <c r="D293" s="37"/>
      <c r="E293" s="1"/>
    </row>
    <row r="294" ht="15.75" customHeight="1">
      <c r="A294" s="36"/>
      <c r="B294" s="37"/>
      <c r="C294" s="37"/>
      <c r="D294" s="37"/>
      <c r="E294" s="1"/>
    </row>
    <row r="295" ht="15.75" customHeight="1">
      <c r="A295" s="36"/>
      <c r="B295" s="37"/>
      <c r="C295" s="37"/>
      <c r="D295" s="37"/>
      <c r="E295" s="1"/>
    </row>
    <row r="296" ht="15.75" customHeight="1">
      <c r="A296" s="36"/>
      <c r="B296" s="37"/>
      <c r="C296" s="37"/>
      <c r="D296" s="37"/>
      <c r="E296" s="1"/>
    </row>
    <row r="297" ht="15.75" customHeight="1">
      <c r="A297" s="36"/>
      <c r="B297" s="37"/>
      <c r="C297" s="37"/>
      <c r="D297" s="37"/>
      <c r="E297" s="1"/>
    </row>
    <row r="298" ht="15.75" customHeight="1">
      <c r="A298" s="36"/>
      <c r="B298" s="37"/>
      <c r="C298" s="37"/>
      <c r="D298" s="37"/>
      <c r="E298" s="1"/>
    </row>
    <row r="299" ht="15.75" customHeight="1">
      <c r="A299" s="36"/>
      <c r="B299" s="37"/>
      <c r="C299" s="37"/>
      <c r="D299" s="37"/>
      <c r="E299" s="1"/>
    </row>
    <row r="300" ht="15.75" customHeight="1">
      <c r="A300" s="36"/>
      <c r="B300" s="37"/>
      <c r="C300" s="37"/>
      <c r="D300" s="37"/>
      <c r="E300" s="1"/>
    </row>
    <row r="301" ht="15.75" customHeight="1">
      <c r="A301" s="36"/>
      <c r="B301" s="37"/>
      <c r="C301" s="37"/>
      <c r="D301" s="37"/>
      <c r="E301" s="1"/>
    </row>
    <row r="302" ht="15.75" customHeight="1">
      <c r="A302" s="36"/>
      <c r="B302" s="37"/>
      <c r="C302" s="37"/>
      <c r="D302" s="37"/>
      <c r="E302" s="1"/>
    </row>
    <row r="303" ht="15.75" customHeight="1">
      <c r="A303" s="36"/>
      <c r="B303" s="37"/>
      <c r="C303" s="37"/>
      <c r="D303" s="37"/>
      <c r="E303" s="1"/>
    </row>
    <row r="304" ht="15.75" customHeight="1">
      <c r="A304" s="36"/>
      <c r="B304" s="37"/>
      <c r="C304" s="37"/>
      <c r="D304" s="37"/>
      <c r="E304" s="1"/>
    </row>
    <row r="305" ht="15.75" customHeight="1">
      <c r="A305" s="36"/>
      <c r="B305" s="37"/>
      <c r="C305" s="37"/>
      <c r="D305" s="37"/>
      <c r="E305" s="1"/>
    </row>
    <row r="306" ht="15.75" customHeight="1">
      <c r="A306" s="36"/>
      <c r="B306" s="37"/>
      <c r="C306" s="37"/>
      <c r="D306" s="37"/>
      <c r="E306" s="1"/>
    </row>
    <row r="307" ht="15.75" customHeight="1">
      <c r="A307" s="36"/>
      <c r="B307" s="37"/>
      <c r="C307" s="37"/>
      <c r="D307" s="37"/>
      <c r="E307" s="1"/>
    </row>
    <row r="308" ht="15.75" customHeight="1">
      <c r="A308" s="36"/>
      <c r="B308" s="37"/>
      <c r="C308" s="37"/>
      <c r="D308" s="37"/>
      <c r="E308" s="1"/>
    </row>
    <row r="309" ht="15.75" customHeight="1">
      <c r="A309" s="36"/>
      <c r="B309" s="37"/>
      <c r="C309" s="37"/>
      <c r="D309" s="37"/>
      <c r="E309" s="1"/>
    </row>
    <row r="310" ht="15.75" customHeight="1">
      <c r="A310" s="36"/>
      <c r="B310" s="37"/>
      <c r="C310" s="37"/>
      <c r="D310" s="37"/>
      <c r="E310" s="1"/>
    </row>
    <row r="311" ht="15.75" customHeight="1">
      <c r="A311" s="36"/>
      <c r="B311" s="37"/>
      <c r="C311" s="37"/>
      <c r="D311" s="37"/>
      <c r="E311" s="1"/>
    </row>
    <row r="312" ht="15.75" customHeight="1">
      <c r="A312" s="36"/>
      <c r="B312" s="37"/>
      <c r="C312" s="37"/>
      <c r="D312" s="37"/>
      <c r="E312" s="1"/>
    </row>
    <row r="313" ht="15.75" customHeight="1">
      <c r="A313" s="36"/>
      <c r="B313" s="37"/>
      <c r="C313" s="37"/>
      <c r="D313" s="37"/>
      <c r="E313" s="1"/>
    </row>
    <row r="314" ht="15.75" customHeight="1">
      <c r="A314" s="36"/>
      <c r="B314" s="37"/>
      <c r="C314" s="37"/>
      <c r="D314" s="37"/>
      <c r="E314" s="1"/>
    </row>
    <row r="315" ht="15.75" customHeight="1">
      <c r="A315" s="36"/>
      <c r="B315" s="37"/>
      <c r="C315" s="37"/>
      <c r="D315" s="37"/>
      <c r="E315" s="1"/>
    </row>
    <row r="316" ht="15.75" customHeight="1">
      <c r="A316" s="36"/>
      <c r="B316" s="37"/>
      <c r="C316" s="37"/>
      <c r="D316" s="37"/>
      <c r="E316" s="1"/>
    </row>
    <row r="317" ht="15.75" customHeight="1">
      <c r="A317" s="36"/>
      <c r="B317" s="37"/>
      <c r="C317" s="37"/>
      <c r="D317" s="37"/>
      <c r="E317" s="1"/>
    </row>
    <row r="318" ht="15.75" customHeight="1">
      <c r="A318" s="36"/>
      <c r="B318" s="37"/>
      <c r="C318" s="37"/>
      <c r="D318" s="37"/>
      <c r="E318" s="1"/>
    </row>
    <row r="319" ht="15.75" customHeight="1">
      <c r="A319" s="36"/>
      <c r="B319" s="37"/>
      <c r="C319" s="37"/>
      <c r="D319" s="37"/>
      <c r="E319" s="1"/>
    </row>
    <row r="320" ht="15.75" customHeight="1">
      <c r="A320" s="36"/>
      <c r="B320" s="37"/>
      <c r="C320" s="37"/>
      <c r="D320" s="37"/>
      <c r="E320" s="1"/>
    </row>
    <row r="321" ht="15.75" customHeight="1">
      <c r="A321" s="36"/>
      <c r="B321" s="37"/>
      <c r="C321" s="37"/>
      <c r="D321" s="37"/>
      <c r="E321" s="1"/>
    </row>
    <row r="322" ht="15.75" customHeight="1">
      <c r="A322" s="36"/>
      <c r="B322" s="37"/>
      <c r="C322" s="37"/>
      <c r="D322" s="37"/>
      <c r="E322" s="1"/>
    </row>
    <row r="323" ht="15.75" customHeight="1">
      <c r="A323" s="36"/>
      <c r="B323" s="37"/>
      <c r="C323" s="37"/>
      <c r="D323" s="37"/>
      <c r="E323" s="1"/>
    </row>
    <row r="324" ht="15.75" customHeight="1">
      <c r="A324" s="36"/>
      <c r="B324" s="37"/>
      <c r="C324" s="37"/>
      <c r="D324" s="37"/>
      <c r="E324" s="1"/>
    </row>
    <row r="325" ht="15.75" customHeight="1">
      <c r="A325" s="36"/>
      <c r="B325" s="37"/>
      <c r="C325" s="37"/>
      <c r="D325" s="37"/>
      <c r="E325" s="1"/>
    </row>
    <row r="326" ht="15.75" customHeight="1">
      <c r="A326" s="36"/>
      <c r="B326" s="37"/>
      <c r="C326" s="37"/>
      <c r="D326" s="37"/>
      <c r="E326" s="1"/>
    </row>
    <row r="327" ht="15.75" customHeight="1">
      <c r="A327" s="36"/>
      <c r="B327" s="37"/>
      <c r="C327" s="37"/>
      <c r="D327" s="37"/>
      <c r="E327" s="1"/>
    </row>
    <row r="328" ht="15.75" customHeight="1">
      <c r="A328" s="36"/>
      <c r="B328" s="37"/>
      <c r="C328" s="37"/>
      <c r="D328" s="37"/>
      <c r="E328" s="1"/>
    </row>
    <row r="329" ht="15.75" customHeight="1">
      <c r="A329" s="36"/>
      <c r="B329" s="37"/>
      <c r="C329" s="37"/>
      <c r="D329" s="37"/>
      <c r="E329" s="1"/>
    </row>
    <row r="330" ht="15.75" customHeight="1">
      <c r="A330" s="36"/>
      <c r="B330" s="37"/>
      <c r="C330" s="37"/>
      <c r="D330" s="37"/>
      <c r="E330" s="1"/>
    </row>
    <row r="331" ht="15.75" customHeight="1">
      <c r="A331" s="36"/>
      <c r="B331" s="37"/>
      <c r="C331" s="37"/>
      <c r="D331" s="37"/>
      <c r="E331" s="1"/>
    </row>
    <row r="332" ht="15.75" customHeight="1">
      <c r="A332" s="36"/>
      <c r="B332" s="37"/>
      <c r="C332" s="37"/>
      <c r="D332" s="37"/>
      <c r="E332" s="1"/>
    </row>
    <row r="333" ht="15.75" customHeight="1">
      <c r="A333" s="36"/>
      <c r="B333" s="37"/>
      <c r="C333" s="37"/>
      <c r="D333" s="37"/>
      <c r="E333" s="1"/>
    </row>
    <row r="334" ht="15.75" customHeight="1">
      <c r="A334" s="36"/>
      <c r="B334" s="37"/>
      <c r="C334" s="37"/>
      <c r="D334" s="37"/>
      <c r="E334" s="1"/>
    </row>
    <row r="335" ht="15.75" customHeight="1">
      <c r="A335" s="36"/>
      <c r="B335" s="37"/>
      <c r="C335" s="37"/>
      <c r="D335" s="37"/>
      <c r="E335" s="1"/>
    </row>
    <row r="336" ht="15.75" customHeight="1">
      <c r="A336" s="36"/>
      <c r="B336" s="37"/>
      <c r="C336" s="37"/>
      <c r="D336" s="37"/>
      <c r="E336" s="1"/>
    </row>
    <row r="337" ht="15.75" customHeight="1">
      <c r="A337" s="36"/>
      <c r="B337" s="37"/>
      <c r="C337" s="37"/>
      <c r="D337" s="37"/>
      <c r="E337" s="1"/>
    </row>
    <row r="338" ht="15.75" customHeight="1">
      <c r="A338" s="36"/>
      <c r="B338" s="37"/>
      <c r="C338" s="37"/>
      <c r="D338" s="37"/>
      <c r="E338" s="1"/>
    </row>
    <row r="339" ht="15.75" customHeight="1">
      <c r="A339" s="36"/>
      <c r="B339" s="37"/>
      <c r="C339" s="37"/>
      <c r="D339" s="37"/>
      <c r="E339" s="1"/>
    </row>
    <row r="340" ht="15.75" customHeight="1">
      <c r="A340" s="36"/>
      <c r="B340" s="37"/>
      <c r="C340" s="37"/>
      <c r="D340" s="37"/>
      <c r="E340" s="1"/>
    </row>
    <row r="341" ht="15.75" customHeight="1">
      <c r="A341" s="36"/>
      <c r="B341" s="37"/>
      <c r="C341" s="37"/>
      <c r="D341" s="37"/>
      <c r="E341" s="1"/>
    </row>
    <row r="342" ht="15.75" customHeight="1">
      <c r="A342" s="36"/>
      <c r="B342" s="37"/>
      <c r="C342" s="37"/>
      <c r="D342" s="37"/>
      <c r="E342" s="1"/>
    </row>
    <row r="343" ht="15.75" customHeight="1">
      <c r="A343" s="36"/>
      <c r="B343" s="37"/>
      <c r="C343" s="37"/>
      <c r="D343" s="37"/>
      <c r="E343" s="1"/>
    </row>
    <row r="344" ht="15.75" customHeight="1">
      <c r="A344" s="36"/>
      <c r="B344" s="37"/>
      <c r="C344" s="37"/>
      <c r="D344" s="37"/>
      <c r="E344" s="1"/>
    </row>
    <row r="345" ht="15.75" customHeight="1">
      <c r="A345" s="36"/>
      <c r="B345" s="37"/>
      <c r="C345" s="37"/>
      <c r="D345" s="37"/>
      <c r="E345" s="1"/>
    </row>
    <row r="346" ht="15.75" customHeight="1">
      <c r="A346" s="36"/>
      <c r="B346" s="37"/>
      <c r="C346" s="37"/>
      <c r="D346" s="37"/>
      <c r="E346" s="1"/>
    </row>
    <row r="347" ht="15.75" customHeight="1">
      <c r="A347" s="36"/>
      <c r="B347" s="37"/>
      <c r="C347" s="37"/>
      <c r="D347" s="37"/>
      <c r="E347" s="1"/>
    </row>
    <row r="348" ht="15.75" customHeight="1">
      <c r="A348" s="36"/>
      <c r="B348" s="37"/>
      <c r="C348" s="37"/>
      <c r="D348" s="37"/>
      <c r="E348" s="1"/>
    </row>
    <row r="349" ht="15.75" customHeight="1">
      <c r="A349" s="36"/>
      <c r="B349" s="37"/>
      <c r="C349" s="37"/>
      <c r="D349" s="37"/>
      <c r="E349" s="1"/>
    </row>
    <row r="350" ht="15.75" customHeight="1">
      <c r="A350" s="36"/>
      <c r="B350" s="37"/>
      <c r="C350" s="37"/>
      <c r="D350" s="37"/>
      <c r="E350" s="1"/>
    </row>
    <row r="351" ht="15.75" customHeight="1">
      <c r="A351" s="36"/>
      <c r="B351" s="37"/>
      <c r="C351" s="37"/>
      <c r="D351" s="37"/>
      <c r="E351" s="1"/>
    </row>
    <row r="352" ht="15.75" customHeight="1">
      <c r="A352" s="36"/>
      <c r="B352" s="37"/>
      <c r="C352" s="37"/>
      <c r="D352" s="37"/>
      <c r="E352" s="1"/>
    </row>
    <row r="353" ht="15.75" customHeight="1">
      <c r="A353" s="36"/>
      <c r="B353" s="37"/>
      <c r="C353" s="37"/>
      <c r="D353" s="37"/>
      <c r="E353" s="1"/>
    </row>
    <row r="354" ht="15.75" customHeight="1">
      <c r="A354" s="36"/>
      <c r="B354" s="37"/>
      <c r="C354" s="37"/>
      <c r="D354" s="37"/>
      <c r="E354" s="1"/>
    </row>
    <row r="355" ht="15.75" customHeight="1">
      <c r="A355" s="36"/>
      <c r="B355" s="37"/>
      <c r="C355" s="37"/>
      <c r="D355" s="37"/>
      <c r="E355" s="1"/>
    </row>
    <row r="356" ht="15.75" customHeight="1">
      <c r="A356" s="36"/>
      <c r="B356" s="37"/>
      <c r="C356" s="37"/>
      <c r="D356" s="37"/>
      <c r="E356" s="1"/>
    </row>
    <row r="357" ht="15.75" customHeight="1">
      <c r="A357" s="36"/>
      <c r="B357" s="37"/>
      <c r="C357" s="37"/>
      <c r="D357" s="37"/>
      <c r="E357" s="1"/>
    </row>
    <row r="358" ht="15.75" customHeight="1">
      <c r="A358" s="36"/>
      <c r="B358" s="37"/>
      <c r="C358" s="37"/>
      <c r="D358" s="37"/>
      <c r="E358" s="1"/>
    </row>
    <row r="359" ht="15.75" customHeight="1">
      <c r="A359" s="36"/>
      <c r="B359" s="37"/>
      <c r="C359" s="37"/>
      <c r="D359" s="37"/>
      <c r="E359" s="1"/>
    </row>
    <row r="360" ht="15.75" customHeight="1">
      <c r="A360" s="36"/>
      <c r="B360" s="37"/>
      <c r="C360" s="37"/>
      <c r="D360" s="37"/>
      <c r="E360" s="1"/>
    </row>
    <row r="361" ht="15.75" customHeight="1">
      <c r="A361" s="36"/>
      <c r="B361" s="37"/>
      <c r="C361" s="37"/>
      <c r="D361" s="37"/>
      <c r="E361" s="1"/>
    </row>
    <row r="362" ht="15.75" customHeight="1">
      <c r="A362" s="36"/>
      <c r="B362" s="37"/>
      <c r="C362" s="37"/>
      <c r="D362" s="37"/>
      <c r="E362" s="1"/>
    </row>
    <row r="363" ht="15.75" customHeight="1">
      <c r="A363" s="36"/>
      <c r="B363" s="37"/>
      <c r="C363" s="37"/>
      <c r="D363" s="37"/>
      <c r="E363" s="1"/>
    </row>
    <row r="364" ht="15.75" customHeight="1">
      <c r="A364" s="36"/>
      <c r="B364" s="37"/>
      <c r="C364" s="37"/>
      <c r="D364" s="37"/>
      <c r="E364" s="1"/>
    </row>
    <row r="365" ht="15.75" customHeight="1">
      <c r="A365" s="36"/>
      <c r="B365" s="37"/>
      <c r="C365" s="37"/>
      <c r="D365" s="37"/>
      <c r="E365" s="1"/>
    </row>
    <row r="366" ht="15.75" customHeight="1">
      <c r="A366" s="36"/>
      <c r="B366" s="37"/>
      <c r="C366" s="37"/>
      <c r="D366" s="37"/>
      <c r="E366" s="1"/>
    </row>
    <row r="367" ht="15.75" customHeight="1">
      <c r="A367" s="36"/>
      <c r="B367" s="37"/>
      <c r="C367" s="37"/>
      <c r="D367" s="37"/>
      <c r="E367" s="1"/>
    </row>
    <row r="368" ht="15.75" customHeight="1">
      <c r="A368" s="36"/>
      <c r="B368" s="37"/>
      <c r="C368" s="37"/>
      <c r="D368" s="37"/>
      <c r="E368" s="1"/>
    </row>
    <row r="369" ht="15.75" customHeight="1">
      <c r="A369" s="36"/>
      <c r="B369" s="37"/>
      <c r="C369" s="37"/>
      <c r="D369" s="37"/>
      <c r="E369" s="1"/>
    </row>
    <row r="370" ht="15.75" customHeight="1">
      <c r="A370" s="36"/>
      <c r="B370" s="37"/>
      <c r="C370" s="37"/>
      <c r="D370" s="37"/>
      <c r="E370" s="1"/>
    </row>
    <row r="371" ht="15.75" customHeight="1">
      <c r="A371" s="36"/>
      <c r="B371" s="37"/>
      <c r="C371" s="37"/>
      <c r="D371" s="37"/>
      <c r="E371" s="1"/>
    </row>
    <row r="372" ht="15.75" customHeight="1">
      <c r="A372" s="36"/>
      <c r="B372" s="37"/>
      <c r="C372" s="37"/>
      <c r="D372" s="37"/>
      <c r="E372" s="1"/>
    </row>
    <row r="373" ht="15.75" customHeight="1">
      <c r="A373" s="36"/>
      <c r="B373" s="37"/>
      <c r="C373" s="37"/>
      <c r="D373" s="37"/>
      <c r="E373" s="1"/>
    </row>
    <row r="374" ht="15.75" customHeight="1">
      <c r="A374" s="36"/>
      <c r="B374" s="37"/>
      <c r="C374" s="37"/>
      <c r="D374" s="37"/>
      <c r="E374" s="1"/>
    </row>
    <row r="375" ht="15.75" customHeight="1">
      <c r="A375" s="36"/>
      <c r="B375" s="37"/>
      <c r="C375" s="37"/>
      <c r="D375" s="37"/>
      <c r="E375" s="1"/>
    </row>
    <row r="376" ht="15.75" customHeight="1">
      <c r="A376" s="36"/>
      <c r="B376" s="37"/>
      <c r="C376" s="37"/>
      <c r="D376" s="37"/>
      <c r="E376" s="1"/>
    </row>
    <row r="377" ht="15.75" customHeight="1">
      <c r="A377" s="36"/>
      <c r="B377" s="37"/>
      <c r="C377" s="37"/>
      <c r="D377" s="37"/>
      <c r="E377" s="1"/>
    </row>
    <row r="378" ht="15.75" customHeight="1">
      <c r="A378" s="36"/>
      <c r="B378" s="37"/>
      <c r="C378" s="37"/>
      <c r="D378" s="37"/>
      <c r="E378" s="1"/>
    </row>
    <row r="379" ht="15.75" customHeight="1">
      <c r="A379" s="36"/>
      <c r="B379" s="37"/>
      <c r="C379" s="37"/>
      <c r="D379" s="37"/>
      <c r="E379" s="1"/>
    </row>
    <row r="380" ht="15.75" customHeight="1">
      <c r="A380" s="36"/>
      <c r="B380" s="37"/>
      <c r="C380" s="37"/>
      <c r="D380" s="37"/>
      <c r="E380" s="1"/>
    </row>
    <row r="381" ht="15.75" customHeight="1">
      <c r="A381" s="36"/>
      <c r="B381" s="37"/>
      <c r="C381" s="37"/>
      <c r="D381" s="37"/>
      <c r="E381" s="1"/>
    </row>
    <row r="382" ht="15.75" customHeight="1">
      <c r="A382" s="36"/>
      <c r="B382" s="37"/>
      <c r="C382" s="37"/>
      <c r="D382" s="37"/>
      <c r="E382" s="1"/>
    </row>
    <row r="383" ht="15.75" customHeight="1">
      <c r="A383" s="36"/>
      <c r="B383" s="37"/>
      <c r="C383" s="37"/>
      <c r="D383" s="37"/>
      <c r="E383" s="1"/>
    </row>
    <row r="384" ht="15.75" customHeight="1">
      <c r="A384" s="36"/>
      <c r="B384" s="37"/>
      <c r="C384" s="37"/>
      <c r="D384" s="37"/>
      <c r="E384" s="1"/>
    </row>
    <row r="385" ht="15.75" customHeight="1">
      <c r="A385" s="36"/>
      <c r="B385" s="37"/>
      <c r="C385" s="37"/>
      <c r="D385" s="37"/>
      <c r="E385" s="1"/>
    </row>
    <row r="386" ht="15.75" customHeight="1">
      <c r="A386" s="36"/>
      <c r="B386" s="37"/>
      <c r="C386" s="37"/>
      <c r="D386" s="37"/>
      <c r="E386" s="1"/>
    </row>
    <row r="387" ht="15.75" customHeight="1">
      <c r="A387" s="36"/>
      <c r="B387" s="37"/>
      <c r="C387" s="37"/>
      <c r="D387" s="37"/>
      <c r="E387" s="1"/>
    </row>
    <row r="388" ht="15.75" customHeight="1">
      <c r="A388" s="36"/>
      <c r="B388" s="37"/>
      <c r="C388" s="37"/>
      <c r="D388" s="37"/>
      <c r="E388" s="1"/>
    </row>
    <row r="389" ht="15.75" customHeight="1">
      <c r="A389" s="36"/>
      <c r="B389" s="37"/>
      <c r="C389" s="37"/>
      <c r="D389" s="37"/>
      <c r="E389" s="1"/>
    </row>
    <row r="390" ht="15.75" customHeight="1">
      <c r="A390" s="36"/>
      <c r="B390" s="37"/>
      <c r="C390" s="37"/>
      <c r="D390" s="37"/>
      <c r="E390" s="1"/>
    </row>
    <row r="391" ht="15.75" customHeight="1">
      <c r="A391" s="36"/>
      <c r="B391" s="37"/>
      <c r="C391" s="37"/>
      <c r="D391" s="37"/>
      <c r="E391" s="1"/>
    </row>
    <row r="392" ht="15.75" customHeight="1">
      <c r="A392" s="36"/>
      <c r="B392" s="37"/>
      <c r="C392" s="37"/>
      <c r="D392" s="37"/>
      <c r="E392" s="1"/>
    </row>
    <row r="393" ht="15.75" customHeight="1">
      <c r="A393" s="36"/>
      <c r="B393" s="37"/>
      <c r="C393" s="37"/>
      <c r="D393" s="37"/>
      <c r="E393" s="1"/>
    </row>
    <row r="394" ht="15.75" customHeight="1">
      <c r="A394" s="36"/>
      <c r="B394" s="37"/>
      <c r="C394" s="37"/>
      <c r="D394" s="37"/>
      <c r="E394" s="1"/>
    </row>
    <row r="395" ht="15.75" customHeight="1">
      <c r="A395" s="36"/>
      <c r="B395" s="37"/>
      <c r="C395" s="37"/>
      <c r="D395" s="37"/>
      <c r="E395" s="1"/>
    </row>
    <row r="396" ht="15.75" customHeight="1">
      <c r="A396" s="36"/>
      <c r="B396" s="37"/>
      <c r="C396" s="37"/>
      <c r="D396" s="37"/>
      <c r="E396" s="1"/>
    </row>
    <row r="397" ht="15.75" customHeight="1">
      <c r="A397" s="36"/>
      <c r="B397" s="37"/>
      <c r="C397" s="37"/>
      <c r="D397" s="37"/>
      <c r="E397" s="1"/>
    </row>
    <row r="398" ht="15.75" customHeight="1">
      <c r="A398" s="36"/>
      <c r="B398" s="37"/>
      <c r="C398" s="37"/>
      <c r="D398" s="37"/>
      <c r="E398" s="1"/>
    </row>
    <row r="399" ht="15.75" customHeight="1">
      <c r="A399" s="36"/>
      <c r="B399" s="37"/>
      <c r="C399" s="37"/>
      <c r="D399" s="37"/>
      <c r="E399" s="1"/>
    </row>
    <row r="400" ht="15.75" customHeight="1">
      <c r="A400" s="36"/>
      <c r="B400" s="37"/>
      <c r="C400" s="37"/>
      <c r="D400" s="37"/>
      <c r="E400" s="1"/>
    </row>
    <row r="401" ht="15.75" customHeight="1">
      <c r="A401" s="36"/>
      <c r="B401" s="37"/>
      <c r="C401" s="37"/>
      <c r="D401" s="37"/>
      <c r="E401" s="1"/>
    </row>
    <row r="402" ht="15.75" customHeight="1">
      <c r="A402" s="36"/>
      <c r="B402" s="37"/>
      <c r="C402" s="37"/>
      <c r="D402" s="37"/>
      <c r="E402" s="1"/>
    </row>
    <row r="403" ht="15.75" customHeight="1">
      <c r="A403" s="36"/>
      <c r="B403" s="37"/>
      <c r="C403" s="37"/>
      <c r="D403" s="37"/>
      <c r="E403" s="1"/>
    </row>
    <row r="404" ht="15.75" customHeight="1">
      <c r="A404" s="36"/>
      <c r="B404" s="37"/>
      <c r="C404" s="37"/>
      <c r="D404" s="37"/>
      <c r="E404" s="1"/>
    </row>
    <row r="405" ht="15.75" customHeight="1">
      <c r="A405" s="36"/>
      <c r="B405" s="37"/>
      <c r="C405" s="37"/>
      <c r="D405" s="37"/>
      <c r="E405" s="1"/>
    </row>
    <row r="406" ht="15.75" customHeight="1">
      <c r="A406" s="36"/>
      <c r="B406" s="37"/>
      <c r="C406" s="37"/>
      <c r="D406" s="37"/>
      <c r="E406" s="1"/>
    </row>
    <row r="407" ht="15.75" customHeight="1">
      <c r="A407" s="36"/>
      <c r="B407" s="37"/>
      <c r="C407" s="37"/>
      <c r="D407" s="37"/>
      <c r="E407" s="1"/>
    </row>
    <row r="408" ht="15.75" customHeight="1">
      <c r="A408" s="36"/>
      <c r="B408" s="37"/>
      <c r="C408" s="37"/>
      <c r="D408" s="37"/>
      <c r="E408" s="1"/>
    </row>
    <row r="409" ht="15.75" customHeight="1">
      <c r="A409" s="36"/>
      <c r="B409" s="37"/>
      <c r="C409" s="37"/>
      <c r="D409" s="37"/>
      <c r="E409" s="1"/>
    </row>
    <row r="410" ht="15.75" customHeight="1">
      <c r="A410" s="36"/>
      <c r="B410" s="37"/>
      <c r="C410" s="37"/>
      <c r="D410" s="37"/>
      <c r="E410" s="1"/>
    </row>
    <row r="411" ht="15.75" customHeight="1">
      <c r="A411" s="36"/>
      <c r="B411" s="37"/>
      <c r="C411" s="37"/>
      <c r="D411" s="37"/>
      <c r="E411" s="1"/>
    </row>
    <row r="412" ht="15.75" customHeight="1">
      <c r="A412" s="36"/>
      <c r="B412" s="37"/>
      <c r="C412" s="37"/>
      <c r="D412" s="37"/>
      <c r="E412" s="1"/>
    </row>
    <row r="413" ht="15.75" customHeight="1">
      <c r="A413" s="36"/>
      <c r="B413" s="37"/>
      <c r="C413" s="37"/>
      <c r="D413" s="37"/>
      <c r="E413" s="1"/>
    </row>
    <row r="414" ht="15.75" customHeight="1">
      <c r="A414" s="36"/>
      <c r="B414" s="37"/>
      <c r="C414" s="37"/>
      <c r="D414" s="37"/>
      <c r="E414" s="1"/>
    </row>
    <row r="415" ht="15.75" customHeight="1">
      <c r="A415" s="36"/>
      <c r="B415" s="37"/>
      <c r="C415" s="37"/>
      <c r="D415" s="37"/>
      <c r="E415" s="1"/>
    </row>
    <row r="416" ht="15.75" customHeight="1">
      <c r="A416" s="36"/>
      <c r="B416" s="37"/>
      <c r="C416" s="37"/>
      <c r="D416" s="37"/>
      <c r="E416" s="1"/>
    </row>
    <row r="417" ht="15.75" customHeight="1">
      <c r="A417" s="36"/>
      <c r="B417" s="37"/>
      <c r="C417" s="37"/>
      <c r="D417" s="37"/>
      <c r="E417" s="1"/>
    </row>
    <row r="418" ht="15.75" customHeight="1">
      <c r="A418" s="36"/>
      <c r="B418" s="37"/>
      <c r="C418" s="37"/>
      <c r="D418" s="37"/>
      <c r="E418" s="1"/>
    </row>
    <row r="419" ht="15.75" customHeight="1">
      <c r="A419" s="36"/>
      <c r="B419" s="37"/>
      <c r="C419" s="37"/>
      <c r="D419" s="37"/>
      <c r="E419" s="1"/>
    </row>
    <row r="420" ht="15.75" customHeight="1">
      <c r="A420" s="36"/>
      <c r="B420" s="37"/>
      <c r="C420" s="37"/>
      <c r="D420" s="37"/>
      <c r="E420" s="1"/>
    </row>
    <row r="421" ht="15.75" customHeight="1">
      <c r="A421" s="36"/>
      <c r="B421" s="37"/>
      <c r="C421" s="37"/>
      <c r="D421" s="37"/>
      <c r="E421" s="1"/>
    </row>
    <row r="422" ht="15.75" customHeight="1">
      <c r="A422" s="36"/>
      <c r="B422" s="37"/>
      <c r="C422" s="37"/>
      <c r="D422" s="37"/>
      <c r="E422" s="1"/>
    </row>
    <row r="423" ht="15.75" customHeight="1">
      <c r="A423" s="36"/>
      <c r="B423" s="37"/>
      <c r="C423" s="37"/>
      <c r="D423" s="37"/>
      <c r="E423" s="1"/>
    </row>
    <row r="424" ht="15.75" customHeight="1">
      <c r="A424" s="36"/>
      <c r="B424" s="37"/>
      <c r="C424" s="37"/>
      <c r="D424" s="37"/>
      <c r="E424" s="1"/>
    </row>
    <row r="425" ht="15.75" customHeight="1">
      <c r="A425" s="36"/>
      <c r="B425" s="37"/>
      <c r="C425" s="37"/>
      <c r="D425" s="37"/>
      <c r="E425" s="1"/>
    </row>
    <row r="426" ht="15.75" customHeight="1">
      <c r="A426" s="36"/>
      <c r="B426" s="37"/>
      <c r="C426" s="37"/>
      <c r="D426" s="37"/>
      <c r="E426" s="1"/>
    </row>
    <row r="427" ht="15.75" customHeight="1">
      <c r="A427" s="36"/>
      <c r="B427" s="37"/>
      <c r="C427" s="37"/>
      <c r="D427" s="37"/>
      <c r="E427" s="1"/>
    </row>
    <row r="428" ht="15.75" customHeight="1">
      <c r="A428" s="36"/>
      <c r="B428" s="37"/>
      <c r="C428" s="37"/>
      <c r="D428" s="37"/>
      <c r="E428" s="1"/>
    </row>
    <row r="429" ht="15.75" customHeight="1">
      <c r="A429" s="36"/>
      <c r="B429" s="37"/>
      <c r="C429" s="37"/>
      <c r="D429" s="37"/>
      <c r="E429" s="1"/>
    </row>
    <row r="430" ht="15.75" customHeight="1">
      <c r="A430" s="36"/>
      <c r="B430" s="37"/>
      <c r="C430" s="37"/>
      <c r="D430" s="37"/>
      <c r="E430" s="1"/>
    </row>
    <row r="431" ht="15.75" customHeight="1">
      <c r="A431" s="36"/>
      <c r="B431" s="37"/>
      <c r="C431" s="37"/>
      <c r="D431" s="37"/>
      <c r="E431" s="1"/>
    </row>
    <row r="432" ht="15.75" customHeight="1">
      <c r="A432" s="36"/>
      <c r="B432" s="37"/>
      <c r="C432" s="37"/>
      <c r="D432" s="37"/>
      <c r="E432" s="1"/>
    </row>
    <row r="433" ht="15.75" customHeight="1">
      <c r="A433" s="36"/>
      <c r="B433" s="37"/>
      <c r="C433" s="37"/>
      <c r="D433" s="37"/>
      <c r="E433" s="1"/>
    </row>
    <row r="434" ht="15.75" customHeight="1">
      <c r="A434" s="36"/>
      <c r="B434" s="37"/>
      <c r="C434" s="37"/>
      <c r="D434" s="37"/>
      <c r="E434" s="1"/>
    </row>
    <row r="435" ht="15.75" customHeight="1">
      <c r="A435" s="36"/>
      <c r="B435" s="37"/>
      <c r="C435" s="37"/>
      <c r="D435" s="37"/>
      <c r="E435" s="1"/>
    </row>
    <row r="436" ht="15.75" customHeight="1">
      <c r="A436" s="36"/>
      <c r="B436" s="37"/>
      <c r="C436" s="37"/>
      <c r="D436" s="37"/>
      <c r="E436" s="1"/>
    </row>
    <row r="437" ht="15.75" customHeight="1">
      <c r="A437" s="36"/>
      <c r="B437" s="37"/>
      <c r="C437" s="37"/>
      <c r="D437" s="37"/>
      <c r="E437" s="1"/>
    </row>
    <row r="438" ht="15.75" customHeight="1">
      <c r="A438" s="36"/>
      <c r="B438" s="37"/>
      <c r="C438" s="37"/>
      <c r="D438" s="37"/>
      <c r="E438" s="1"/>
    </row>
    <row r="439" ht="15.75" customHeight="1">
      <c r="A439" s="36"/>
      <c r="B439" s="37"/>
      <c r="C439" s="37"/>
      <c r="D439" s="37"/>
      <c r="E439" s="1"/>
    </row>
    <row r="440" ht="15.75" customHeight="1">
      <c r="A440" s="36"/>
      <c r="B440" s="37"/>
      <c r="C440" s="37"/>
      <c r="D440" s="37"/>
      <c r="E440" s="1"/>
    </row>
    <row r="441" ht="15.75" customHeight="1">
      <c r="A441" s="36"/>
      <c r="B441" s="37"/>
      <c r="C441" s="37"/>
      <c r="D441" s="37"/>
      <c r="E441" s="1"/>
    </row>
    <row r="442" ht="15.75" customHeight="1">
      <c r="A442" s="36"/>
      <c r="B442" s="37"/>
      <c r="C442" s="37"/>
      <c r="D442" s="37"/>
      <c r="E442" s="1"/>
    </row>
    <row r="443" ht="15.75" customHeight="1">
      <c r="A443" s="36"/>
      <c r="B443" s="37"/>
      <c r="C443" s="37"/>
      <c r="D443" s="37"/>
      <c r="E443" s="1"/>
    </row>
    <row r="444" ht="15.75" customHeight="1">
      <c r="A444" s="36"/>
      <c r="B444" s="37"/>
      <c r="C444" s="37"/>
      <c r="D444" s="37"/>
      <c r="E444" s="1"/>
    </row>
    <row r="445" ht="15.75" customHeight="1">
      <c r="A445" s="36"/>
      <c r="B445" s="37"/>
      <c r="C445" s="37"/>
      <c r="D445" s="37"/>
      <c r="E445" s="1"/>
    </row>
    <row r="446" ht="15.75" customHeight="1">
      <c r="A446" s="36"/>
      <c r="B446" s="37"/>
      <c r="C446" s="37"/>
      <c r="D446" s="37"/>
      <c r="E446" s="1"/>
    </row>
    <row r="447" ht="15.75" customHeight="1">
      <c r="A447" s="36"/>
      <c r="B447" s="37"/>
      <c r="C447" s="37"/>
      <c r="D447" s="37"/>
      <c r="E447" s="1"/>
    </row>
    <row r="448" ht="15.75" customHeight="1">
      <c r="A448" s="36"/>
      <c r="B448" s="37"/>
      <c r="C448" s="37"/>
      <c r="D448" s="37"/>
      <c r="E448" s="1"/>
    </row>
    <row r="449" ht="15.75" customHeight="1">
      <c r="A449" s="36"/>
      <c r="B449" s="37"/>
      <c r="C449" s="37"/>
      <c r="D449" s="37"/>
      <c r="E449" s="1"/>
    </row>
    <row r="450" ht="15.75" customHeight="1">
      <c r="A450" s="36"/>
      <c r="B450" s="37"/>
      <c r="C450" s="37"/>
      <c r="D450" s="37"/>
      <c r="E450" s="1"/>
    </row>
    <row r="451" ht="15.75" customHeight="1">
      <c r="A451" s="36"/>
      <c r="B451" s="37"/>
      <c r="C451" s="37"/>
      <c r="D451" s="37"/>
      <c r="E451" s="1"/>
    </row>
    <row r="452" ht="15.75" customHeight="1">
      <c r="A452" s="36"/>
      <c r="B452" s="37"/>
      <c r="C452" s="37"/>
      <c r="D452" s="37"/>
      <c r="E452" s="1"/>
    </row>
    <row r="453" ht="15.75" customHeight="1">
      <c r="A453" s="36"/>
      <c r="B453" s="37"/>
      <c r="C453" s="37"/>
      <c r="D453" s="37"/>
      <c r="E453" s="1"/>
    </row>
    <row r="454" ht="15.75" customHeight="1">
      <c r="A454" s="36"/>
      <c r="B454" s="37"/>
      <c r="C454" s="37"/>
      <c r="D454" s="37"/>
      <c r="E454" s="1"/>
    </row>
    <row r="455" ht="15.75" customHeight="1">
      <c r="A455" s="36"/>
      <c r="B455" s="37"/>
      <c r="C455" s="37"/>
      <c r="D455" s="37"/>
      <c r="E455" s="1"/>
    </row>
    <row r="456" ht="15.75" customHeight="1">
      <c r="A456" s="36"/>
      <c r="B456" s="37"/>
      <c r="C456" s="37"/>
      <c r="D456" s="37"/>
      <c r="E456" s="1"/>
    </row>
    <row r="457" ht="15.75" customHeight="1">
      <c r="A457" s="36"/>
      <c r="B457" s="37"/>
      <c r="C457" s="37"/>
      <c r="D457" s="37"/>
      <c r="E457" s="1"/>
    </row>
    <row r="458" ht="15.75" customHeight="1">
      <c r="A458" s="36"/>
      <c r="B458" s="37"/>
      <c r="C458" s="37"/>
      <c r="D458" s="37"/>
      <c r="E458" s="1"/>
    </row>
    <row r="459" ht="15.75" customHeight="1">
      <c r="A459" s="36"/>
      <c r="B459" s="37"/>
      <c r="C459" s="37"/>
      <c r="D459" s="37"/>
      <c r="E459" s="1"/>
    </row>
    <row r="460" ht="15.75" customHeight="1">
      <c r="A460" s="36"/>
      <c r="B460" s="37"/>
      <c r="C460" s="37"/>
      <c r="D460" s="37"/>
      <c r="E460" s="1"/>
    </row>
    <row r="461" ht="15.75" customHeight="1">
      <c r="A461" s="36"/>
      <c r="B461" s="37"/>
      <c r="C461" s="37"/>
      <c r="D461" s="37"/>
      <c r="E461" s="1"/>
    </row>
    <row r="462" ht="15.75" customHeight="1">
      <c r="A462" s="36"/>
      <c r="B462" s="37"/>
      <c r="C462" s="37"/>
      <c r="D462" s="37"/>
      <c r="E462" s="1"/>
    </row>
    <row r="463" ht="15.75" customHeight="1">
      <c r="A463" s="36"/>
      <c r="B463" s="37"/>
      <c r="C463" s="37"/>
      <c r="D463" s="37"/>
      <c r="E463" s="1"/>
    </row>
    <row r="464" ht="15.75" customHeight="1">
      <c r="A464" s="36"/>
      <c r="B464" s="37"/>
      <c r="C464" s="37"/>
      <c r="D464" s="37"/>
      <c r="E464" s="1"/>
    </row>
    <row r="465" ht="15.75" customHeight="1">
      <c r="A465" s="36"/>
      <c r="B465" s="37"/>
      <c r="C465" s="37"/>
      <c r="D465" s="37"/>
      <c r="E465" s="1"/>
    </row>
    <row r="466" ht="15.75" customHeight="1">
      <c r="A466" s="36"/>
      <c r="B466" s="37"/>
      <c r="C466" s="37"/>
      <c r="D466" s="37"/>
      <c r="E466" s="1"/>
    </row>
    <row r="467" ht="15.75" customHeight="1">
      <c r="A467" s="36"/>
      <c r="B467" s="37"/>
      <c r="C467" s="37"/>
      <c r="D467" s="37"/>
      <c r="E467" s="1"/>
    </row>
    <row r="468" ht="15.75" customHeight="1">
      <c r="A468" s="36"/>
      <c r="B468" s="37"/>
      <c r="C468" s="37"/>
      <c r="D468" s="37"/>
      <c r="E468" s="1"/>
    </row>
    <row r="469" ht="15.75" customHeight="1">
      <c r="A469" s="36"/>
      <c r="B469" s="37"/>
      <c r="C469" s="37"/>
      <c r="D469" s="37"/>
      <c r="E469" s="1"/>
    </row>
    <row r="470" ht="15.75" customHeight="1">
      <c r="A470" s="36"/>
      <c r="B470" s="37"/>
      <c r="C470" s="37"/>
      <c r="D470" s="37"/>
      <c r="E470" s="1"/>
    </row>
    <row r="471" ht="15.75" customHeight="1">
      <c r="A471" s="36"/>
      <c r="B471" s="37"/>
      <c r="C471" s="37"/>
      <c r="D471" s="37"/>
      <c r="E471" s="1"/>
    </row>
    <row r="472" ht="15.75" customHeight="1">
      <c r="A472" s="36"/>
      <c r="B472" s="37"/>
      <c r="C472" s="37"/>
      <c r="D472" s="37"/>
      <c r="E472" s="1"/>
    </row>
    <row r="473" ht="15.75" customHeight="1">
      <c r="A473" s="36"/>
      <c r="B473" s="37"/>
      <c r="C473" s="37"/>
      <c r="D473" s="37"/>
      <c r="E473" s="1"/>
    </row>
    <row r="474" ht="15.75" customHeight="1">
      <c r="A474" s="36"/>
      <c r="B474" s="37"/>
      <c r="C474" s="37"/>
      <c r="D474" s="37"/>
      <c r="E474" s="1"/>
    </row>
    <row r="475" ht="15.75" customHeight="1">
      <c r="A475" s="36"/>
      <c r="B475" s="37"/>
      <c r="C475" s="37"/>
      <c r="D475" s="37"/>
      <c r="E475" s="1"/>
    </row>
    <row r="476" ht="15.75" customHeight="1">
      <c r="A476" s="36"/>
      <c r="B476" s="37"/>
      <c r="C476" s="37"/>
      <c r="D476" s="37"/>
      <c r="E476" s="1"/>
    </row>
    <row r="477" ht="15.75" customHeight="1">
      <c r="A477" s="36"/>
      <c r="B477" s="37"/>
      <c r="C477" s="37"/>
      <c r="D477" s="37"/>
      <c r="E477" s="1"/>
    </row>
    <row r="478" ht="15.75" customHeight="1">
      <c r="A478" s="36"/>
      <c r="B478" s="37"/>
      <c r="C478" s="37"/>
      <c r="D478" s="37"/>
      <c r="E478" s="1"/>
    </row>
    <row r="479" ht="15.75" customHeight="1">
      <c r="A479" s="36"/>
      <c r="B479" s="37"/>
      <c r="C479" s="37"/>
      <c r="D479" s="37"/>
      <c r="E479" s="1"/>
    </row>
    <row r="480" ht="15.75" customHeight="1">
      <c r="A480" s="36"/>
      <c r="B480" s="37"/>
      <c r="C480" s="37"/>
      <c r="D480" s="37"/>
      <c r="E480" s="1"/>
    </row>
    <row r="481" ht="15.75" customHeight="1">
      <c r="A481" s="36"/>
      <c r="B481" s="37"/>
      <c r="C481" s="37"/>
      <c r="D481" s="37"/>
      <c r="E481" s="1"/>
    </row>
    <row r="482" ht="15.75" customHeight="1">
      <c r="A482" s="36"/>
      <c r="B482" s="37"/>
      <c r="C482" s="37"/>
      <c r="D482" s="37"/>
      <c r="E482" s="1"/>
    </row>
    <row r="483" ht="15.75" customHeight="1">
      <c r="A483" s="36"/>
      <c r="B483" s="37"/>
      <c r="C483" s="37"/>
      <c r="D483" s="37"/>
      <c r="E483" s="1"/>
    </row>
    <row r="484" ht="15.75" customHeight="1">
      <c r="A484" s="36"/>
      <c r="B484" s="37"/>
      <c r="C484" s="37"/>
      <c r="D484" s="37"/>
      <c r="E484" s="1"/>
    </row>
    <row r="485" ht="15.75" customHeight="1">
      <c r="A485" s="36"/>
      <c r="B485" s="37"/>
      <c r="C485" s="37"/>
      <c r="D485" s="37"/>
      <c r="E485" s="1"/>
    </row>
    <row r="486" ht="15.75" customHeight="1">
      <c r="A486" s="36"/>
      <c r="B486" s="37"/>
      <c r="C486" s="37"/>
      <c r="D486" s="37"/>
      <c r="E486" s="1"/>
    </row>
    <row r="487" ht="15.75" customHeight="1">
      <c r="A487" s="36"/>
      <c r="B487" s="37"/>
      <c r="C487" s="37"/>
      <c r="D487" s="37"/>
      <c r="E487" s="1"/>
    </row>
    <row r="488" ht="15.75" customHeight="1">
      <c r="A488" s="36"/>
      <c r="B488" s="37"/>
      <c r="C488" s="37"/>
      <c r="D488" s="37"/>
      <c r="E488" s="1"/>
    </row>
    <row r="489" ht="15.75" customHeight="1">
      <c r="A489" s="36"/>
      <c r="B489" s="37"/>
      <c r="C489" s="37"/>
      <c r="D489" s="37"/>
      <c r="E489" s="1"/>
    </row>
    <row r="490" ht="15.75" customHeight="1">
      <c r="A490" s="36"/>
      <c r="B490" s="37"/>
      <c r="C490" s="37"/>
      <c r="D490" s="37"/>
      <c r="E490" s="1"/>
    </row>
    <row r="491" ht="15.75" customHeight="1">
      <c r="A491" s="36"/>
      <c r="B491" s="37"/>
      <c r="C491" s="37"/>
      <c r="D491" s="37"/>
      <c r="E491" s="1"/>
    </row>
    <row r="492" ht="15.75" customHeight="1">
      <c r="A492" s="36"/>
      <c r="B492" s="37"/>
      <c r="C492" s="37"/>
      <c r="D492" s="37"/>
      <c r="E492" s="1"/>
    </row>
    <row r="493" ht="15.75" customHeight="1">
      <c r="A493" s="36"/>
      <c r="B493" s="37"/>
      <c r="C493" s="37"/>
      <c r="D493" s="37"/>
      <c r="E493" s="1"/>
    </row>
    <row r="494" ht="15.75" customHeight="1">
      <c r="A494" s="36"/>
      <c r="B494" s="37"/>
      <c r="C494" s="37"/>
      <c r="D494" s="37"/>
      <c r="E494" s="1"/>
    </row>
    <row r="495" ht="15.75" customHeight="1">
      <c r="A495" s="36"/>
      <c r="B495" s="37"/>
      <c r="C495" s="37"/>
      <c r="D495" s="37"/>
      <c r="E495" s="1"/>
    </row>
    <row r="496" ht="15.75" customHeight="1">
      <c r="A496" s="36"/>
      <c r="B496" s="37"/>
      <c r="C496" s="37"/>
      <c r="D496" s="37"/>
      <c r="E496" s="1"/>
    </row>
    <row r="497" ht="15.75" customHeight="1">
      <c r="A497" s="36"/>
      <c r="B497" s="37"/>
      <c r="C497" s="37"/>
      <c r="D497" s="37"/>
      <c r="E497" s="1"/>
    </row>
    <row r="498" ht="15.75" customHeight="1">
      <c r="A498" s="36"/>
      <c r="B498" s="37"/>
      <c r="C498" s="37"/>
      <c r="D498" s="37"/>
      <c r="E498" s="1"/>
    </row>
    <row r="499" ht="15.75" customHeight="1">
      <c r="A499" s="36"/>
      <c r="B499" s="37"/>
      <c r="C499" s="37"/>
      <c r="D499" s="37"/>
      <c r="E499" s="1"/>
    </row>
    <row r="500" ht="15.75" customHeight="1">
      <c r="A500" s="36"/>
      <c r="B500" s="37"/>
      <c r="C500" s="37"/>
      <c r="D500" s="37"/>
      <c r="E500" s="1"/>
    </row>
    <row r="501" ht="15.75" customHeight="1">
      <c r="A501" s="36"/>
      <c r="B501" s="37"/>
      <c r="C501" s="37"/>
      <c r="D501" s="37"/>
      <c r="E501" s="1"/>
    </row>
    <row r="502" ht="15.75" customHeight="1">
      <c r="A502" s="36"/>
      <c r="B502" s="37"/>
      <c r="C502" s="37"/>
      <c r="D502" s="37"/>
      <c r="E502" s="1"/>
    </row>
    <row r="503" ht="15.75" customHeight="1">
      <c r="A503" s="36"/>
      <c r="B503" s="37"/>
      <c r="C503" s="37"/>
      <c r="D503" s="37"/>
      <c r="E503" s="1"/>
    </row>
    <row r="504" ht="15.75" customHeight="1">
      <c r="A504" s="36"/>
      <c r="B504" s="37"/>
      <c r="C504" s="37"/>
      <c r="D504" s="37"/>
      <c r="E504" s="1"/>
    </row>
    <row r="505" ht="15.75" customHeight="1">
      <c r="A505" s="36"/>
      <c r="B505" s="37"/>
      <c r="C505" s="37"/>
      <c r="D505" s="37"/>
      <c r="E505" s="1"/>
    </row>
    <row r="506" ht="15.75" customHeight="1">
      <c r="A506" s="36"/>
      <c r="B506" s="37"/>
      <c r="C506" s="37"/>
      <c r="D506" s="37"/>
      <c r="E506" s="1"/>
    </row>
    <row r="507" ht="15.75" customHeight="1">
      <c r="A507" s="36"/>
      <c r="B507" s="37"/>
      <c r="C507" s="37"/>
      <c r="D507" s="37"/>
      <c r="E507" s="1"/>
    </row>
    <row r="508" ht="15.75" customHeight="1">
      <c r="A508" s="36"/>
      <c r="B508" s="37"/>
      <c r="C508" s="37"/>
      <c r="D508" s="37"/>
      <c r="E508" s="1"/>
    </row>
    <row r="509" ht="15.75" customHeight="1">
      <c r="A509" s="36"/>
      <c r="B509" s="37"/>
      <c r="C509" s="37"/>
      <c r="D509" s="37"/>
      <c r="E509" s="1"/>
    </row>
    <row r="510" ht="15.75" customHeight="1">
      <c r="A510" s="36"/>
      <c r="B510" s="37"/>
      <c r="C510" s="37"/>
      <c r="D510" s="37"/>
      <c r="E510" s="1"/>
    </row>
    <row r="511" ht="15.75" customHeight="1">
      <c r="A511" s="36"/>
      <c r="B511" s="37"/>
      <c r="C511" s="37"/>
      <c r="D511" s="37"/>
      <c r="E511" s="1"/>
    </row>
    <row r="512" ht="15.75" customHeight="1">
      <c r="A512" s="36"/>
      <c r="B512" s="37"/>
      <c r="C512" s="37"/>
      <c r="D512" s="37"/>
      <c r="E512" s="1"/>
    </row>
    <row r="513" ht="15.75" customHeight="1">
      <c r="A513" s="36"/>
      <c r="B513" s="37"/>
      <c r="C513" s="37"/>
      <c r="D513" s="37"/>
      <c r="E513" s="1"/>
    </row>
    <row r="514" ht="15.75" customHeight="1">
      <c r="A514" s="36"/>
      <c r="B514" s="37"/>
      <c r="C514" s="37"/>
      <c r="D514" s="37"/>
      <c r="E514" s="1"/>
    </row>
    <row r="515" ht="15.75" customHeight="1">
      <c r="A515" s="36"/>
      <c r="B515" s="37"/>
      <c r="C515" s="37"/>
      <c r="D515" s="37"/>
      <c r="E515" s="1"/>
    </row>
    <row r="516" ht="15.75" customHeight="1">
      <c r="A516" s="36"/>
      <c r="B516" s="37"/>
      <c r="C516" s="37"/>
      <c r="D516" s="37"/>
      <c r="E516" s="1"/>
    </row>
    <row r="517" ht="15.75" customHeight="1">
      <c r="A517" s="36"/>
      <c r="B517" s="37"/>
      <c r="C517" s="37"/>
      <c r="D517" s="37"/>
      <c r="E517" s="1"/>
    </row>
    <row r="518" ht="15.75" customHeight="1">
      <c r="A518" s="36"/>
      <c r="B518" s="37"/>
      <c r="C518" s="37"/>
      <c r="D518" s="37"/>
      <c r="E518" s="1"/>
    </row>
    <row r="519" ht="15.75" customHeight="1">
      <c r="A519" s="36"/>
      <c r="B519" s="37"/>
      <c r="C519" s="37"/>
      <c r="D519" s="37"/>
      <c r="E519" s="1"/>
    </row>
    <row r="520" ht="15.75" customHeight="1">
      <c r="A520" s="36"/>
      <c r="B520" s="37"/>
      <c r="C520" s="37"/>
      <c r="D520" s="37"/>
      <c r="E520" s="1"/>
    </row>
    <row r="521" ht="15.75" customHeight="1">
      <c r="A521" s="36"/>
      <c r="B521" s="37"/>
      <c r="C521" s="37"/>
      <c r="D521" s="37"/>
      <c r="E521" s="1"/>
    </row>
    <row r="522" ht="15.75" customHeight="1">
      <c r="A522" s="36"/>
      <c r="B522" s="37"/>
      <c r="C522" s="37"/>
      <c r="D522" s="37"/>
      <c r="E522" s="1"/>
    </row>
    <row r="523" ht="15.75" customHeight="1">
      <c r="A523" s="36"/>
      <c r="B523" s="37"/>
      <c r="C523" s="37"/>
      <c r="D523" s="37"/>
      <c r="E523" s="1"/>
    </row>
    <row r="524" ht="15.75" customHeight="1">
      <c r="A524" s="36"/>
      <c r="B524" s="37"/>
      <c r="C524" s="37"/>
      <c r="D524" s="37"/>
      <c r="E524" s="1"/>
    </row>
    <row r="525" ht="15.75" customHeight="1">
      <c r="A525" s="36"/>
      <c r="B525" s="37"/>
      <c r="C525" s="37"/>
      <c r="D525" s="37"/>
      <c r="E525" s="1"/>
    </row>
    <row r="526" ht="15.75" customHeight="1">
      <c r="A526" s="36"/>
      <c r="B526" s="37"/>
      <c r="C526" s="37"/>
      <c r="D526" s="37"/>
      <c r="E526" s="1"/>
    </row>
    <row r="527" ht="15.75" customHeight="1">
      <c r="A527" s="36"/>
      <c r="B527" s="37"/>
      <c r="C527" s="37"/>
      <c r="D527" s="37"/>
      <c r="E527" s="1"/>
    </row>
    <row r="528" ht="15.75" customHeight="1">
      <c r="A528" s="36"/>
      <c r="B528" s="37"/>
      <c r="C528" s="37"/>
      <c r="D528" s="37"/>
      <c r="E528" s="1"/>
    </row>
    <row r="529" ht="15.75" customHeight="1">
      <c r="A529" s="36"/>
      <c r="B529" s="37"/>
      <c r="C529" s="37"/>
      <c r="D529" s="37"/>
      <c r="E529" s="1"/>
    </row>
    <row r="530" ht="15.75" customHeight="1">
      <c r="A530" s="36"/>
      <c r="B530" s="37"/>
      <c r="C530" s="37"/>
      <c r="D530" s="37"/>
      <c r="E530" s="1"/>
    </row>
    <row r="531" ht="15.75" customHeight="1">
      <c r="A531" s="36"/>
      <c r="B531" s="37"/>
      <c r="C531" s="37"/>
      <c r="D531" s="37"/>
      <c r="E531" s="1"/>
    </row>
    <row r="532" ht="15.75" customHeight="1">
      <c r="A532" s="36"/>
      <c r="B532" s="37"/>
      <c r="C532" s="37"/>
      <c r="D532" s="37"/>
      <c r="E532" s="1"/>
    </row>
    <row r="533" ht="15.75" customHeight="1">
      <c r="A533" s="36"/>
      <c r="B533" s="37"/>
      <c r="C533" s="37"/>
      <c r="D533" s="37"/>
      <c r="E533" s="1"/>
    </row>
    <row r="534" ht="15.75" customHeight="1">
      <c r="A534" s="36"/>
      <c r="B534" s="37"/>
      <c r="C534" s="37"/>
      <c r="D534" s="37"/>
      <c r="E534" s="1"/>
    </row>
    <row r="535" ht="15.75" customHeight="1">
      <c r="A535" s="36"/>
      <c r="B535" s="37"/>
      <c r="C535" s="37"/>
      <c r="D535" s="37"/>
      <c r="E535" s="1"/>
    </row>
    <row r="536" ht="15.75" customHeight="1">
      <c r="A536" s="36"/>
      <c r="B536" s="37"/>
      <c r="C536" s="37"/>
      <c r="D536" s="37"/>
      <c r="E536" s="1"/>
    </row>
    <row r="537" ht="15.75" customHeight="1">
      <c r="A537" s="36"/>
      <c r="B537" s="37"/>
      <c r="C537" s="37"/>
      <c r="D537" s="37"/>
      <c r="E537" s="1"/>
    </row>
    <row r="538" ht="15.75" customHeight="1">
      <c r="A538" s="36"/>
      <c r="B538" s="37"/>
      <c r="C538" s="37"/>
      <c r="D538" s="37"/>
      <c r="E538" s="1"/>
    </row>
    <row r="539" ht="15.75" customHeight="1">
      <c r="A539" s="36"/>
      <c r="B539" s="37"/>
      <c r="C539" s="37"/>
      <c r="D539" s="37"/>
      <c r="E539" s="1"/>
    </row>
    <row r="540" ht="15.75" customHeight="1">
      <c r="A540" s="36"/>
      <c r="B540" s="37"/>
      <c r="C540" s="37"/>
      <c r="D540" s="37"/>
      <c r="E540" s="1"/>
    </row>
    <row r="541" ht="15.75" customHeight="1">
      <c r="A541" s="36"/>
      <c r="B541" s="37"/>
      <c r="C541" s="37"/>
      <c r="D541" s="37"/>
      <c r="E541" s="1"/>
    </row>
    <row r="542" ht="15.75" customHeight="1">
      <c r="A542" s="36"/>
      <c r="B542" s="37"/>
      <c r="C542" s="37"/>
      <c r="D542" s="37"/>
      <c r="E542" s="1"/>
    </row>
    <row r="543" ht="15.75" customHeight="1">
      <c r="A543" s="36"/>
      <c r="B543" s="37"/>
      <c r="C543" s="37"/>
      <c r="D543" s="37"/>
      <c r="E543" s="1"/>
    </row>
    <row r="544" ht="15.75" customHeight="1">
      <c r="A544" s="36"/>
      <c r="B544" s="37"/>
      <c r="C544" s="37"/>
      <c r="D544" s="37"/>
      <c r="E544" s="1"/>
    </row>
    <row r="545" ht="15.75" customHeight="1">
      <c r="A545" s="36"/>
      <c r="B545" s="37"/>
      <c r="C545" s="37"/>
      <c r="D545" s="37"/>
      <c r="E545" s="1"/>
    </row>
    <row r="546" ht="15.75" customHeight="1">
      <c r="A546" s="36"/>
      <c r="B546" s="37"/>
      <c r="C546" s="37"/>
      <c r="D546" s="37"/>
      <c r="E546" s="1"/>
    </row>
    <row r="547" ht="15.75" customHeight="1">
      <c r="A547" s="36"/>
      <c r="B547" s="37"/>
      <c r="C547" s="37"/>
      <c r="D547" s="37"/>
      <c r="E547" s="1"/>
    </row>
    <row r="548" ht="15.75" customHeight="1">
      <c r="A548" s="36"/>
      <c r="B548" s="37"/>
      <c r="C548" s="37"/>
      <c r="D548" s="37"/>
      <c r="E548" s="1"/>
    </row>
    <row r="549" ht="15.75" customHeight="1">
      <c r="A549" s="36"/>
      <c r="B549" s="37"/>
      <c r="C549" s="37"/>
      <c r="D549" s="37"/>
      <c r="E549" s="1"/>
    </row>
    <row r="550" ht="15.75" customHeight="1">
      <c r="A550" s="36"/>
      <c r="B550" s="37"/>
      <c r="C550" s="37"/>
      <c r="D550" s="37"/>
      <c r="E550" s="1"/>
    </row>
    <row r="551" ht="15.75" customHeight="1">
      <c r="A551" s="36"/>
      <c r="B551" s="37"/>
      <c r="C551" s="37"/>
      <c r="D551" s="37"/>
      <c r="E551" s="1"/>
    </row>
    <row r="552" ht="15.75" customHeight="1">
      <c r="A552" s="36"/>
      <c r="B552" s="37"/>
      <c r="C552" s="37"/>
      <c r="D552" s="37"/>
      <c r="E552" s="1"/>
    </row>
    <row r="553" ht="15.75" customHeight="1">
      <c r="A553" s="36"/>
      <c r="B553" s="37"/>
      <c r="C553" s="37"/>
      <c r="D553" s="37"/>
      <c r="E553" s="1"/>
    </row>
    <row r="554" ht="15.75" customHeight="1">
      <c r="A554" s="36"/>
      <c r="B554" s="37"/>
      <c r="C554" s="37"/>
      <c r="D554" s="37"/>
      <c r="E554" s="1"/>
    </row>
    <row r="555" ht="15.75" customHeight="1">
      <c r="A555" s="36"/>
      <c r="B555" s="37"/>
      <c r="C555" s="37"/>
      <c r="D555" s="37"/>
      <c r="E555" s="1"/>
    </row>
    <row r="556" ht="15.75" customHeight="1">
      <c r="A556" s="36"/>
      <c r="B556" s="37"/>
      <c r="C556" s="37"/>
      <c r="D556" s="37"/>
      <c r="E556" s="1"/>
    </row>
    <row r="557" ht="15.75" customHeight="1">
      <c r="A557" s="36"/>
      <c r="B557" s="37"/>
      <c r="C557" s="37"/>
      <c r="D557" s="37"/>
      <c r="E557" s="1"/>
    </row>
    <row r="558" ht="15.75" customHeight="1">
      <c r="A558" s="36"/>
      <c r="B558" s="37"/>
      <c r="C558" s="37"/>
      <c r="D558" s="37"/>
      <c r="E558" s="1"/>
    </row>
    <row r="559" ht="15.75" customHeight="1">
      <c r="A559" s="36"/>
      <c r="B559" s="37"/>
      <c r="C559" s="37"/>
      <c r="D559" s="37"/>
      <c r="E559" s="1"/>
    </row>
    <row r="560" ht="15.75" customHeight="1">
      <c r="A560" s="36"/>
      <c r="B560" s="37"/>
      <c r="C560" s="37"/>
      <c r="D560" s="37"/>
      <c r="E560" s="1"/>
    </row>
    <row r="561" ht="15.75" customHeight="1">
      <c r="A561" s="36"/>
      <c r="B561" s="37"/>
      <c r="C561" s="37"/>
      <c r="D561" s="37"/>
      <c r="E561" s="1"/>
    </row>
    <row r="562" ht="15.75" customHeight="1">
      <c r="A562" s="36"/>
      <c r="B562" s="37"/>
      <c r="C562" s="37"/>
      <c r="D562" s="37"/>
      <c r="E562" s="1"/>
    </row>
    <row r="563" ht="15.75" customHeight="1">
      <c r="A563" s="36"/>
      <c r="B563" s="37"/>
      <c r="C563" s="37"/>
      <c r="D563" s="37"/>
      <c r="E563" s="1"/>
    </row>
    <row r="564" ht="15.75" customHeight="1">
      <c r="A564" s="36"/>
      <c r="B564" s="37"/>
      <c r="C564" s="37"/>
      <c r="D564" s="37"/>
      <c r="E564" s="1"/>
    </row>
    <row r="565" ht="15.75" customHeight="1">
      <c r="A565" s="36"/>
      <c r="B565" s="37"/>
      <c r="C565" s="37"/>
      <c r="D565" s="37"/>
      <c r="E565" s="1"/>
    </row>
    <row r="566" ht="15.75" customHeight="1">
      <c r="A566" s="36"/>
      <c r="B566" s="37"/>
      <c r="C566" s="37"/>
      <c r="D566" s="37"/>
      <c r="E566" s="1"/>
    </row>
    <row r="567" ht="15.75" customHeight="1">
      <c r="A567" s="36"/>
      <c r="B567" s="37"/>
      <c r="C567" s="37"/>
      <c r="D567" s="37"/>
      <c r="E567" s="1"/>
    </row>
    <row r="568" ht="15.75" customHeight="1">
      <c r="A568" s="36"/>
      <c r="B568" s="37"/>
      <c r="C568" s="37"/>
      <c r="D568" s="37"/>
      <c r="E568" s="1"/>
    </row>
    <row r="569" ht="15.75" customHeight="1">
      <c r="A569" s="36"/>
      <c r="B569" s="37"/>
      <c r="C569" s="37"/>
      <c r="D569" s="37"/>
      <c r="E569" s="1"/>
    </row>
    <row r="570" ht="15.75" customHeight="1">
      <c r="A570" s="36"/>
      <c r="B570" s="37"/>
      <c r="C570" s="37"/>
      <c r="D570" s="37"/>
      <c r="E570" s="1"/>
    </row>
    <row r="571" ht="15.75" customHeight="1">
      <c r="A571" s="36"/>
      <c r="B571" s="37"/>
      <c r="C571" s="37"/>
      <c r="D571" s="37"/>
      <c r="E571" s="1"/>
    </row>
    <row r="572" ht="15.75" customHeight="1">
      <c r="A572" s="36"/>
      <c r="B572" s="37"/>
      <c r="C572" s="37"/>
      <c r="D572" s="37"/>
      <c r="E572" s="1"/>
    </row>
    <row r="573" ht="15.75" customHeight="1">
      <c r="A573" s="36"/>
      <c r="B573" s="37"/>
      <c r="C573" s="37"/>
      <c r="D573" s="37"/>
      <c r="E573" s="1"/>
    </row>
    <row r="574" ht="15.75" customHeight="1">
      <c r="A574" s="36"/>
      <c r="B574" s="37"/>
      <c r="C574" s="37"/>
      <c r="D574" s="37"/>
      <c r="E574" s="1"/>
    </row>
    <row r="575" ht="15.75" customHeight="1">
      <c r="A575" s="36"/>
      <c r="B575" s="37"/>
      <c r="C575" s="37"/>
      <c r="D575" s="37"/>
      <c r="E575" s="1"/>
    </row>
    <row r="576" ht="15.75" customHeight="1">
      <c r="A576" s="36"/>
      <c r="B576" s="37"/>
      <c r="C576" s="37"/>
      <c r="D576" s="37"/>
      <c r="E576" s="1"/>
    </row>
    <row r="577" ht="15.75" customHeight="1">
      <c r="A577" s="36"/>
      <c r="B577" s="37"/>
      <c r="C577" s="37"/>
      <c r="D577" s="37"/>
      <c r="E577" s="1"/>
    </row>
    <row r="578" ht="15.75" customHeight="1">
      <c r="A578" s="36"/>
      <c r="B578" s="37"/>
      <c r="C578" s="37"/>
      <c r="D578" s="37"/>
      <c r="E578" s="1"/>
    </row>
    <row r="579" ht="15.75" customHeight="1">
      <c r="A579" s="36"/>
      <c r="B579" s="37"/>
      <c r="C579" s="37"/>
      <c r="D579" s="37"/>
      <c r="E579" s="1"/>
    </row>
    <row r="580" ht="15.75" customHeight="1">
      <c r="A580" s="36"/>
      <c r="B580" s="37"/>
      <c r="C580" s="37"/>
      <c r="D580" s="37"/>
      <c r="E580" s="1"/>
    </row>
    <row r="581" ht="15.75" customHeight="1">
      <c r="A581" s="36"/>
      <c r="B581" s="37"/>
      <c r="C581" s="37"/>
      <c r="D581" s="37"/>
      <c r="E581" s="1"/>
    </row>
    <row r="582" ht="15.75" customHeight="1">
      <c r="A582" s="36"/>
      <c r="B582" s="37"/>
      <c r="C582" s="37"/>
      <c r="D582" s="37"/>
      <c r="E582" s="1"/>
    </row>
    <row r="583" ht="15.75" customHeight="1">
      <c r="A583" s="36"/>
      <c r="B583" s="37"/>
      <c r="C583" s="37"/>
      <c r="D583" s="37"/>
      <c r="E583" s="1"/>
    </row>
    <row r="584" ht="15.75" customHeight="1">
      <c r="A584" s="36"/>
      <c r="B584" s="37"/>
      <c r="C584" s="37"/>
      <c r="D584" s="37"/>
      <c r="E584" s="1"/>
    </row>
    <row r="585" ht="15.75" customHeight="1">
      <c r="A585" s="36"/>
      <c r="B585" s="37"/>
      <c r="C585" s="37"/>
      <c r="D585" s="37"/>
      <c r="E585" s="1"/>
    </row>
    <row r="586" ht="15.75" customHeight="1">
      <c r="A586" s="36"/>
      <c r="B586" s="37"/>
      <c r="C586" s="37"/>
      <c r="D586" s="37"/>
      <c r="E586" s="1"/>
    </row>
    <row r="587" ht="15.75" customHeight="1">
      <c r="A587" s="36"/>
      <c r="B587" s="37"/>
      <c r="C587" s="37"/>
      <c r="D587" s="37"/>
      <c r="E587" s="1"/>
    </row>
    <row r="588" ht="15.75" customHeight="1">
      <c r="A588" s="36"/>
      <c r="B588" s="37"/>
      <c r="C588" s="37"/>
      <c r="D588" s="37"/>
      <c r="E588" s="1"/>
    </row>
    <row r="589" ht="15.75" customHeight="1">
      <c r="A589" s="36"/>
      <c r="B589" s="37"/>
      <c r="C589" s="37"/>
      <c r="D589" s="37"/>
      <c r="E589" s="1"/>
    </row>
    <row r="590" ht="15.75" customHeight="1">
      <c r="A590" s="36"/>
      <c r="B590" s="37"/>
      <c r="C590" s="37"/>
      <c r="D590" s="37"/>
      <c r="E590" s="1"/>
    </row>
    <row r="591" ht="15.75" customHeight="1">
      <c r="A591" s="36"/>
      <c r="B591" s="37"/>
      <c r="C591" s="37"/>
      <c r="D591" s="37"/>
      <c r="E591" s="1"/>
    </row>
    <row r="592" ht="15.75" customHeight="1">
      <c r="A592" s="36"/>
      <c r="B592" s="37"/>
      <c r="C592" s="37"/>
      <c r="D592" s="37"/>
      <c r="E592" s="1"/>
    </row>
    <row r="593" ht="15.75" customHeight="1">
      <c r="A593" s="36"/>
      <c r="B593" s="37"/>
      <c r="C593" s="37"/>
      <c r="D593" s="37"/>
      <c r="E593" s="1"/>
    </row>
    <row r="594" ht="15.75" customHeight="1">
      <c r="A594" s="36"/>
      <c r="B594" s="37"/>
      <c r="C594" s="37"/>
      <c r="D594" s="37"/>
      <c r="E594" s="1"/>
    </row>
    <row r="595" ht="15.75" customHeight="1">
      <c r="A595" s="36"/>
      <c r="B595" s="37"/>
      <c r="C595" s="37"/>
      <c r="D595" s="37"/>
      <c r="E595" s="1"/>
    </row>
    <row r="596" ht="15.75" customHeight="1">
      <c r="A596" s="36"/>
      <c r="B596" s="37"/>
      <c r="C596" s="37"/>
      <c r="D596" s="37"/>
      <c r="E596" s="1"/>
    </row>
    <row r="597" ht="15.75" customHeight="1">
      <c r="A597" s="36"/>
      <c r="B597" s="37"/>
      <c r="C597" s="37"/>
      <c r="D597" s="37"/>
      <c r="E597" s="1"/>
    </row>
    <row r="598" ht="15.75" customHeight="1">
      <c r="A598" s="36"/>
      <c r="B598" s="37"/>
      <c r="C598" s="37"/>
      <c r="D598" s="37"/>
      <c r="E598" s="1"/>
    </row>
    <row r="599" ht="15.75" customHeight="1">
      <c r="A599" s="36"/>
      <c r="B599" s="37"/>
      <c r="C599" s="37"/>
      <c r="D599" s="37"/>
      <c r="E599" s="1"/>
    </row>
    <row r="600" ht="15.75" customHeight="1">
      <c r="A600" s="36"/>
      <c r="B600" s="37"/>
      <c r="C600" s="37"/>
      <c r="D600" s="37"/>
      <c r="E600" s="1"/>
    </row>
    <row r="601" ht="15.75" customHeight="1">
      <c r="A601" s="36"/>
      <c r="B601" s="37"/>
      <c r="C601" s="37"/>
      <c r="D601" s="37"/>
      <c r="E601" s="1"/>
    </row>
    <row r="602" ht="15.75" customHeight="1">
      <c r="A602" s="36"/>
      <c r="B602" s="37"/>
      <c r="C602" s="37"/>
      <c r="D602" s="37"/>
      <c r="E602" s="1"/>
    </row>
    <row r="603" ht="15.75" customHeight="1">
      <c r="A603" s="36"/>
      <c r="B603" s="37"/>
      <c r="C603" s="37"/>
      <c r="D603" s="37"/>
      <c r="E603" s="1"/>
    </row>
    <row r="604" ht="15.75" customHeight="1">
      <c r="A604" s="36"/>
      <c r="B604" s="37"/>
      <c r="C604" s="37"/>
      <c r="D604" s="37"/>
      <c r="E604" s="1"/>
    </row>
    <row r="605" ht="15.75" customHeight="1">
      <c r="A605" s="36"/>
      <c r="B605" s="37"/>
      <c r="C605" s="37"/>
      <c r="D605" s="37"/>
      <c r="E605" s="1"/>
    </row>
    <row r="606" ht="15.75" customHeight="1">
      <c r="A606" s="36"/>
      <c r="B606" s="37"/>
      <c r="C606" s="37"/>
      <c r="D606" s="37"/>
      <c r="E606" s="1"/>
    </row>
    <row r="607" ht="15.75" customHeight="1">
      <c r="A607" s="36"/>
      <c r="B607" s="37"/>
      <c r="C607" s="37"/>
      <c r="D607" s="37"/>
      <c r="E607" s="1"/>
    </row>
    <row r="608" ht="15.75" customHeight="1">
      <c r="A608" s="36"/>
      <c r="B608" s="37"/>
      <c r="C608" s="37"/>
      <c r="D608" s="37"/>
      <c r="E608" s="1"/>
    </row>
    <row r="609" ht="15.75" customHeight="1">
      <c r="A609" s="36"/>
      <c r="B609" s="37"/>
      <c r="C609" s="37"/>
      <c r="D609" s="37"/>
      <c r="E609" s="1"/>
    </row>
    <row r="610" ht="15.75" customHeight="1">
      <c r="A610" s="36"/>
      <c r="B610" s="37"/>
      <c r="C610" s="37"/>
      <c r="D610" s="37"/>
      <c r="E610" s="1"/>
    </row>
    <row r="611" ht="15.75" customHeight="1">
      <c r="A611" s="36"/>
      <c r="B611" s="37"/>
      <c r="C611" s="37"/>
      <c r="D611" s="37"/>
      <c r="E611" s="1"/>
    </row>
    <row r="612" ht="15.75" customHeight="1">
      <c r="A612" s="36"/>
      <c r="B612" s="37"/>
      <c r="C612" s="37"/>
      <c r="D612" s="37"/>
      <c r="E612" s="1"/>
    </row>
    <row r="613" ht="15.75" customHeight="1">
      <c r="A613" s="36"/>
      <c r="B613" s="37"/>
      <c r="C613" s="37"/>
      <c r="D613" s="37"/>
      <c r="E613" s="1"/>
    </row>
    <row r="614" ht="15.75" customHeight="1">
      <c r="A614" s="36"/>
      <c r="B614" s="37"/>
      <c r="C614" s="37"/>
      <c r="D614" s="37"/>
      <c r="E614" s="1"/>
    </row>
    <row r="615" ht="15.75" customHeight="1">
      <c r="A615" s="36"/>
      <c r="B615" s="37"/>
      <c r="C615" s="37"/>
      <c r="D615" s="37"/>
      <c r="E615" s="1"/>
    </row>
    <row r="616" ht="15.75" customHeight="1">
      <c r="A616" s="36"/>
      <c r="B616" s="37"/>
      <c r="C616" s="37"/>
      <c r="D616" s="37"/>
      <c r="E616" s="1"/>
    </row>
    <row r="617" ht="15.75" customHeight="1">
      <c r="A617" s="36"/>
      <c r="B617" s="37"/>
      <c r="C617" s="37"/>
      <c r="D617" s="37"/>
      <c r="E617" s="1"/>
    </row>
    <row r="618" ht="15.75" customHeight="1">
      <c r="A618" s="36"/>
      <c r="B618" s="37"/>
      <c r="C618" s="37"/>
      <c r="D618" s="37"/>
      <c r="E618" s="1"/>
    </row>
    <row r="619" ht="15.75" customHeight="1">
      <c r="A619" s="36"/>
      <c r="B619" s="37"/>
      <c r="C619" s="37"/>
      <c r="D619" s="37"/>
      <c r="E619" s="1"/>
    </row>
    <row r="620" ht="15.75" customHeight="1">
      <c r="A620" s="36"/>
      <c r="B620" s="37"/>
      <c r="C620" s="37"/>
      <c r="D620" s="37"/>
      <c r="E620" s="1"/>
    </row>
    <row r="621" ht="15.75" customHeight="1">
      <c r="A621" s="36"/>
      <c r="B621" s="37"/>
      <c r="C621" s="37"/>
      <c r="D621" s="37"/>
      <c r="E621" s="1"/>
    </row>
    <row r="622" ht="15.75" customHeight="1">
      <c r="A622" s="36"/>
      <c r="B622" s="37"/>
      <c r="C622" s="37"/>
      <c r="D622" s="37"/>
      <c r="E622" s="1"/>
    </row>
    <row r="623" ht="15.75" customHeight="1">
      <c r="A623" s="36"/>
      <c r="B623" s="37"/>
      <c r="C623" s="37"/>
      <c r="D623" s="37"/>
      <c r="E623" s="1"/>
    </row>
    <row r="624" ht="15.75" customHeight="1">
      <c r="A624" s="36"/>
      <c r="B624" s="37"/>
      <c r="C624" s="37"/>
      <c r="D624" s="37"/>
      <c r="E624" s="1"/>
    </row>
    <row r="625" ht="15.75" customHeight="1">
      <c r="A625" s="36"/>
      <c r="B625" s="37"/>
      <c r="C625" s="37"/>
      <c r="D625" s="37"/>
      <c r="E625" s="1"/>
    </row>
    <row r="626" ht="15.75" customHeight="1">
      <c r="A626" s="36"/>
      <c r="B626" s="37"/>
      <c r="C626" s="37"/>
      <c r="D626" s="37"/>
      <c r="E626" s="1"/>
    </row>
    <row r="627" ht="15.75" customHeight="1">
      <c r="A627" s="36"/>
      <c r="B627" s="37"/>
      <c r="C627" s="37"/>
      <c r="D627" s="37"/>
      <c r="E627" s="1"/>
    </row>
    <row r="628" ht="15.75" customHeight="1">
      <c r="A628" s="36"/>
      <c r="B628" s="37"/>
      <c r="C628" s="37"/>
      <c r="D628" s="37"/>
      <c r="E628" s="1"/>
    </row>
    <row r="629" ht="15.75" customHeight="1">
      <c r="A629" s="36"/>
      <c r="B629" s="37"/>
      <c r="C629" s="37"/>
      <c r="D629" s="37"/>
      <c r="E629" s="1"/>
    </row>
    <row r="630" ht="15.75" customHeight="1">
      <c r="A630" s="36"/>
      <c r="B630" s="37"/>
      <c r="C630" s="37"/>
      <c r="D630" s="37"/>
      <c r="E630" s="1"/>
    </row>
    <row r="631" ht="15.75" customHeight="1">
      <c r="A631" s="36"/>
      <c r="B631" s="37"/>
      <c r="C631" s="37"/>
      <c r="D631" s="37"/>
      <c r="E631" s="1"/>
    </row>
    <row r="632" ht="15.75" customHeight="1">
      <c r="A632" s="36"/>
      <c r="B632" s="37"/>
      <c r="C632" s="37"/>
      <c r="D632" s="37"/>
      <c r="E632" s="1"/>
    </row>
    <row r="633" ht="15.75" customHeight="1">
      <c r="A633" s="36"/>
      <c r="B633" s="37"/>
      <c r="C633" s="37"/>
      <c r="D633" s="37"/>
      <c r="E633" s="1"/>
    </row>
    <row r="634" ht="15.75" customHeight="1">
      <c r="A634" s="36"/>
      <c r="B634" s="37"/>
      <c r="C634" s="37"/>
      <c r="D634" s="37"/>
      <c r="E634" s="1"/>
    </row>
    <row r="635" ht="15.75" customHeight="1">
      <c r="A635" s="36"/>
      <c r="B635" s="37"/>
      <c r="C635" s="37"/>
      <c r="D635" s="37"/>
      <c r="E635" s="1"/>
    </row>
    <row r="636" ht="15.75" customHeight="1">
      <c r="A636" s="36"/>
      <c r="B636" s="37"/>
      <c r="C636" s="37"/>
      <c r="D636" s="37"/>
      <c r="E636" s="1"/>
    </row>
    <row r="637" ht="15.75" customHeight="1">
      <c r="A637" s="36"/>
      <c r="B637" s="37"/>
      <c r="C637" s="37"/>
      <c r="D637" s="37"/>
      <c r="E637" s="1"/>
    </row>
    <row r="638" ht="15.75" customHeight="1">
      <c r="A638" s="36"/>
      <c r="B638" s="37"/>
      <c r="C638" s="37"/>
      <c r="D638" s="37"/>
      <c r="E638" s="1"/>
    </row>
    <row r="639" ht="15.75" customHeight="1">
      <c r="A639" s="36"/>
      <c r="B639" s="37"/>
      <c r="C639" s="37"/>
      <c r="D639" s="37"/>
      <c r="E639" s="1"/>
    </row>
    <row r="640" ht="15.75" customHeight="1">
      <c r="A640" s="36"/>
      <c r="B640" s="37"/>
      <c r="C640" s="37"/>
      <c r="D640" s="37"/>
      <c r="E640" s="1"/>
    </row>
    <row r="641" ht="15.75" customHeight="1">
      <c r="A641" s="36"/>
      <c r="B641" s="37"/>
      <c r="C641" s="37"/>
      <c r="D641" s="37"/>
      <c r="E641" s="1"/>
    </row>
    <row r="642" ht="15.75" customHeight="1">
      <c r="A642" s="36"/>
      <c r="B642" s="37"/>
      <c r="C642" s="37"/>
      <c r="D642" s="37"/>
      <c r="E642" s="1"/>
    </row>
    <row r="643" ht="15.75" customHeight="1">
      <c r="A643" s="36"/>
      <c r="B643" s="37"/>
      <c r="C643" s="37"/>
      <c r="D643" s="37"/>
      <c r="E643" s="1"/>
    </row>
    <row r="644" ht="15.75" customHeight="1">
      <c r="A644" s="36"/>
      <c r="B644" s="37"/>
      <c r="C644" s="37"/>
      <c r="D644" s="37"/>
      <c r="E644" s="1"/>
    </row>
    <row r="645" ht="15.75" customHeight="1">
      <c r="A645" s="36"/>
      <c r="B645" s="37"/>
      <c r="C645" s="37"/>
      <c r="D645" s="37"/>
      <c r="E645" s="1"/>
    </row>
    <row r="646" ht="15.75" customHeight="1">
      <c r="A646" s="36"/>
      <c r="B646" s="37"/>
      <c r="C646" s="37"/>
      <c r="D646" s="37"/>
      <c r="E646" s="1"/>
    </row>
    <row r="647" ht="15.75" customHeight="1">
      <c r="A647" s="36"/>
      <c r="B647" s="37"/>
      <c r="C647" s="37"/>
      <c r="D647" s="37"/>
      <c r="E647" s="1"/>
    </row>
    <row r="648" ht="15.75" customHeight="1">
      <c r="A648" s="36"/>
      <c r="B648" s="37"/>
      <c r="C648" s="37"/>
      <c r="D648" s="37"/>
      <c r="E648" s="1"/>
    </row>
    <row r="649" ht="15.75" customHeight="1">
      <c r="A649" s="36"/>
      <c r="B649" s="37"/>
      <c r="C649" s="37"/>
      <c r="D649" s="37"/>
      <c r="E649" s="1"/>
    </row>
    <row r="650" ht="15.75" customHeight="1">
      <c r="A650" s="36"/>
      <c r="B650" s="37"/>
      <c r="C650" s="37"/>
      <c r="D650" s="37"/>
      <c r="E650" s="1"/>
    </row>
    <row r="651" ht="15.75" customHeight="1">
      <c r="A651" s="36"/>
      <c r="B651" s="37"/>
      <c r="C651" s="37"/>
      <c r="D651" s="37"/>
      <c r="E651" s="1"/>
    </row>
    <row r="652" ht="15.75" customHeight="1">
      <c r="A652" s="36"/>
      <c r="B652" s="37"/>
      <c r="C652" s="37"/>
      <c r="D652" s="37"/>
      <c r="E652" s="1"/>
    </row>
    <row r="653" ht="15.75" customHeight="1">
      <c r="A653" s="36"/>
      <c r="B653" s="37"/>
      <c r="C653" s="37"/>
      <c r="D653" s="37"/>
      <c r="E653" s="1"/>
    </row>
    <row r="654" ht="15.75" customHeight="1">
      <c r="A654" s="36"/>
      <c r="B654" s="37"/>
      <c r="C654" s="37"/>
      <c r="D654" s="37"/>
      <c r="E654" s="1"/>
    </row>
    <row r="655" ht="15.75" customHeight="1">
      <c r="A655" s="36"/>
      <c r="B655" s="37"/>
      <c r="C655" s="37"/>
      <c r="D655" s="37"/>
      <c r="E655" s="1"/>
    </row>
    <row r="656" ht="15.75" customHeight="1">
      <c r="A656" s="36"/>
      <c r="B656" s="37"/>
      <c r="C656" s="37"/>
      <c r="D656" s="37"/>
      <c r="E656" s="1"/>
    </row>
    <row r="657" ht="15.75" customHeight="1">
      <c r="A657" s="36"/>
      <c r="B657" s="37"/>
      <c r="C657" s="37"/>
      <c r="D657" s="37"/>
      <c r="E657" s="1"/>
    </row>
    <row r="658" ht="15.75" customHeight="1">
      <c r="A658" s="36"/>
      <c r="B658" s="37"/>
      <c r="C658" s="37"/>
      <c r="D658" s="37"/>
      <c r="E658" s="1"/>
    </row>
    <row r="659" ht="15.75" customHeight="1">
      <c r="A659" s="36"/>
      <c r="B659" s="37"/>
      <c r="C659" s="37"/>
      <c r="D659" s="37"/>
      <c r="E659" s="1"/>
    </row>
    <row r="660" ht="15.75" customHeight="1">
      <c r="A660" s="36"/>
      <c r="B660" s="37"/>
      <c r="C660" s="37"/>
      <c r="D660" s="37"/>
      <c r="E660" s="1"/>
    </row>
    <row r="661" ht="15.75" customHeight="1">
      <c r="A661" s="36"/>
      <c r="B661" s="37"/>
      <c r="C661" s="37"/>
      <c r="D661" s="37"/>
      <c r="E661" s="1"/>
    </row>
    <row r="662" ht="15.75" customHeight="1">
      <c r="A662" s="36"/>
      <c r="B662" s="37"/>
      <c r="C662" s="37"/>
      <c r="D662" s="37"/>
      <c r="E662" s="1"/>
    </row>
    <row r="663" ht="15.75" customHeight="1">
      <c r="A663" s="36"/>
      <c r="B663" s="37"/>
      <c r="C663" s="37"/>
      <c r="D663" s="37"/>
      <c r="E663" s="1"/>
    </row>
    <row r="664" ht="15.75" customHeight="1">
      <c r="A664" s="36"/>
      <c r="B664" s="37"/>
      <c r="C664" s="37"/>
      <c r="D664" s="37"/>
      <c r="E664" s="1"/>
    </row>
    <row r="665" ht="15.75" customHeight="1">
      <c r="A665" s="36"/>
      <c r="B665" s="37"/>
      <c r="C665" s="37"/>
      <c r="D665" s="37"/>
      <c r="E665" s="1"/>
    </row>
    <row r="666" ht="15.75" customHeight="1">
      <c r="A666" s="36"/>
      <c r="B666" s="37"/>
      <c r="C666" s="37"/>
      <c r="D666" s="37"/>
      <c r="E666" s="1"/>
    </row>
    <row r="667" ht="15.75" customHeight="1">
      <c r="A667" s="36"/>
      <c r="B667" s="37"/>
      <c r="C667" s="37"/>
      <c r="D667" s="37"/>
      <c r="E667" s="1"/>
    </row>
    <row r="668" ht="15.75" customHeight="1">
      <c r="A668" s="36"/>
      <c r="B668" s="37"/>
      <c r="C668" s="37"/>
      <c r="D668" s="37"/>
      <c r="E668" s="1"/>
    </row>
    <row r="669" ht="15.75" customHeight="1">
      <c r="A669" s="36"/>
      <c r="B669" s="37"/>
      <c r="C669" s="37"/>
      <c r="D669" s="37"/>
      <c r="E669" s="1"/>
    </row>
    <row r="670" ht="15.75" customHeight="1">
      <c r="A670" s="36"/>
      <c r="B670" s="37"/>
      <c r="C670" s="37"/>
      <c r="D670" s="37"/>
      <c r="E670" s="1"/>
    </row>
    <row r="671" ht="15.75" customHeight="1">
      <c r="A671" s="36"/>
      <c r="B671" s="37"/>
      <c r="C671" s="37"/>
      <c r="D671" s="37"/>
      <c r="E671" s="1"/>
    </row>
    <row r="672" ht="15.75" customHeight="1">
      <c r="A672" s="36"/>
      <c r="B672" s="37"/>
      <c r="C672" s="37"/>
      <c r="D672" s="37"/>
      <c r="E672" s="1"/>
    </row>
    <row r="673" ht="15.75" customHeight="1">
      <c r="A673" s="36"/>
      <c r="B673" s="37"/>
      <c r="C673" s="37"/>
      <c r="D673" s="37"/>
      <c r="E673" s="1"/>
    </row>
    <row r="674" ht="15.75" customHeight="1">
      <c r="A674" s="36"/>
      <c r="B674" s="37"/>
      <c r="C674" s="37"/>
      <c r="D674" s="37"/>
      <c r="E674" s="1"/>
    </row>
    <row r="675" ht="15.75" customHeight="1">
      <c r="A675" s="36"/>
      <c r="B675" s="37"/>
      <c r="C675" s="37"/>
      <c r="D675" s="37"/>
      <c r="E675" s="1"/>
    </row>
    <row r="676" ht="15.75" customHeight="1">
      <c r="A676" s="36"/>
      <c r="B676" s="37"/>
      <c r="C676" s="37"/>
      <c r="D676" s="37"/>
      <c r="E676" s="1"/>
    </row>
    <row r="677" ht="15.75" customHeight="1">
      <c r="A677" s="36"/>
      <c r="B677" s="37"/>
      <c r="C677" s="37"/>
      <c r="D677" s="37"/>
      <c r="E677" s="1"/>
    </row>
    <row r="678" ht="15.75" customHeight="1">
      <c r="A678" s="36"/>
      <c r="B678" s="37"/>
      <c r="C678" s="37"/>
      <c r="D678" s="37"/>
      <c r="E678" s="1"/>
    </row>
    <row r="679" ht="15.75" customHeight="1">
      <c r="A679" s="36"/>
      <c r="B679" s="37"/>
      <c r="C679" s="37"/>
      <c r="D679" s="37"/>
      <c r="E679" s="1"/>
    </row>
    <row r="680" ht="15.75" customHeight="1">
      <c r="A680" s="36"/>
      <c r="B680" s="37"/>
      <c r="C680" s="37"/>
      <c r="D680" s="37"/>
      <c r="E680" s="1"/>
    </row>
    <row r="681" ht="15.75" customHeight="1">
      <c r="A681" s="36"/>
      <c r="B681" s="37"/>
      <c r="C681" s="37"/>
      <c r="D681" s="37"/>
      <c r="E681" s="1"/>
    </row>
    <row r="682" ht="15.75" customHeight="1">
      <c r="A682" s="36"/>
      <c r="B682" s="37"/>
      <c r="C682" s="37"/>
      <c r="D682" s="37"/>
      <c r="E682" s="1"/>
    </row>
    <row r="683" ht="15.75" customHeight="1">
      <c r="A683" s="36"/>
      <c r="B683" s="37"/>
      <c r="C683" s="37"/>
      <c r="D683" s="37"/>
      <c r="E683" s="1"/>
    </row>
    <row r="684" ht="15.75" customHeight="1">
      <c r="A684" s="36"/>
      <c r="B684" s="37"/>
      <c r="C684" s="37"/>
      <c r="D684" s="37"/>
      <c r="E684" s="1"/>
    </row>
    <row r="685" ht="15.75" customHeight="1">
      <c r="A685" s="36"/>
      <c r="B685" s="37"/>
      <c r="C685" s="37"/>
      <c r="D685" s="37"/>
      <c r="E685" s="1"/>
    </row>
    <row r="686" ht="15.75" customHeight="1">
      <c r="A686" s="36"/>
      <c r="B686" s="37"/>
      <c r="C686" s="37"/>
      <c r="D686" s="37"/>
      <c r="E686" s="1"/>
    </row>
    <row r="687" ht="15.75" customHeight="1">
      <c r="A687" s="36"/>
      <c r="B687" s="37"/>
      <c r="C687" s="37"/>
      <c r="D687" s="37"/>
      <c r="E687" s="1"/>
    </row>
    <row r="688" ht="15.75" customHeight="1">
      <c r="A688" s="36"/>
      <c r="B688" s="37"/>
      <c r="C688" s="37"/>
      <c r="D688" s="37"/>
      <c r="E688" s="1"/>
    </row>
    <row r="689" ht="15.75" customHeight="1">
      <c r="A689" s="36"/>
      <c r="B689" s="37"/>
      <c r="C689" s="37"/>
      <c r="D689" s="37"/>
      <c r="E689" s="1"/>
    </row>
    <row r="690" ht="15.75" customHeight="1">
      <c r="A690" s="36"/>
      <c r="B690" s="37"/>
      <c r="C690" s="37"/>
      <c r="D690" s="37"/>
      <c r="E690" s="1"/>
    </row>
    <row r="691" ht="15.75" customHeight="1">
      <c r="A691" s="36"/>
      <c r="B691" s="37"/>
      <c r="C691" s="37"/>
      <c r="D691" s="37"/>
      <c r="E691" s="1"/>
    </row>
    <row r="692" ht="15.75" customHeight="1">
      <c r="A692" s="36"/>
      <c r="B692" s="37"/>
      <c r="C692" s="37"/>
      <c r="D692" s="37"/>
      <c r="E692" s="1"/>
    </row>
    <row r="693" ht="15.75" customHeight="1">
      <c r="A693" s="36"/>
      <c r="B693" s="37"/>
      <c r="C693" s="37"/>
      <c r="D693" s="37"/>
      <c r="E693" s="1"/>
    </row>
    <row r="694" ht="15.75" customHeight="1">
      <c r="A694" s="36"/>
      <c r="B694" s="37"/>
      <c r="C694" s="37"/>
      <c r="D694" s="37"/>
      <c r="E694" s="1"/>
    </row>
    <row r="695" ht="15.75" customHeight="1">
      <c r="A695" s="36"/>
      <c r="B695" s="37"/>
      <c r="C695" s="37"/>
      <c r="D695" s="37"/>
      <c r="E695" s="1"/>
    </row>
    <row r="696" ht="15.75" customHeight="1">
      <c r="A696" s="36"/>
      <c r="B696" s="37"/>
      <c r="C696" s="37"/>
      <c r="D696" s="37"/>
      <c r="E696" s="1"/>
    </row>
    <row r="697" ht="15.75" customHeight="1">
      <c r="A697" s="36"/>
      <c r="B697" s="37"/>
      <c r="C697" s="37"/>
      <c r="D697" s="37"/>
      <c r="E697" s="1"/>
    </row>
    <row r="698" ht="15.75" customHeight="1">
      <c r="A698" s="36"/>
      <c r="B698" s="37"/>
      <c r="C698" s="37"/>
      <c r="D698" s="37"/>
      <c r="E698" s="1"/>
    </row>
    <row r="699" ht="15.75" customHeight="1">
      <c r="A699" s="36"/>
      <c r="B699" s="37"/>
      <c r="C699" s="37"/>
      <c r="D699" s="37"/>
      <c r="E699" s="1"/>
    </row>
    <row r="700" ht="15.75" customHeight="1">
      <c r="A700" s="36"/>
      <c r="B700" s="37"/>
      <c r="C700" s="37"/>
      <c r="D700" s="37"/>
      <c r="E700" s="1"/>
    </row>
    <row r="701" ht="15.75" customHeight="1">
      <c r="A701" s="36"/>
      <c r="B701" s="37"/>
      <c r="C701" s="37"/>
      <c r="D701" s="37"/>
      <c r="E701" s="1"/>
    </row>
    <row r="702" ht="15.75" customHeight="1">
      <c r="A702" s="36"/>
      <c r="B702" s="37"/>
      <c r="C702" s="37"/>
      <c r="D702" s="37"/>
      <c r="E702" s="1"/>
    </row>
    <row r="703" ht="15.75" customHeight="1">
      <c r="A703" s="36"/>
      <c r="B703" s="37"/>
      <c r="C703" s="37"/>
      <c r="D703" s="37"/>
      <c r="E703" s="1"/>
    </row>
    <row r="704" ht="15.75" customHeight="1">
      <c r="A704" s="36"/>
      <c r="B704" s="37"/>
      <c r="C704" s="37"/>
      <c r="D704" s="37"/>
      <c r="E704" s="1"/>
    </row>
    <row r="705" ht="15.75" customHeight="1">
      <c r="A705" s="36"/>
      <c r="B705" s="37"/>
      <c r="C705" s="37"/>
      <c r="D705" s="37"/>
      <c r="E705" s="1"/>
    </row>
    <row r="706" ht="15.75" customHeight="1">
      <c r="A706" s="36"/>
      <c r="B706" s="37"/>
      <c r="C706" s="37"/>
      <c r="D706" s="37"/>
      <c r="E706" s="1"/>
    </row>
    <row r="707" ht="15.75" customHeight="1">
      <c r="A707" s="36"/>
      <c r="B707" s="37"/>
      <c r="C707" s="37"/>
      <c r="D707" s="37"/>
      <c r="E707" s="1"/>
    </row>
    <row r="708" ht="15.75" customHeight="1">
      <c r="A708" s="36"/>
      <c r="B708" s="37"/>
      <c r="C708" s="37"/>
      <c r="D708" s="37"/>
      <c r="E708" s="1"/>
    </row>
    <row r="709" ht="15.75" customHeight="1">
      <c r="A709" s="36"/>
      <c r="B709" s="37"/>
      <c r="C709" s="37"/>
      <c r="D709" s="37"/>
      <c r="E709" s="1"/>
    </row>
    <row r="710" ht="15.75" customHeight="1">
      <c r="A710" s="36"/>
      <c r="B710" s="37"/>
      <c r="C710" s="37"/>
      <c r="D710" s="37"/>
      <c r="E710" s="1"/>
    </row>
    <row r="711" ht="15.75" customHeight="1">
      <c r="A711" s="36"/>
      <c r="B711" s="37"/>
      <c r="C711" s="37"/>
      <c r="D711" s="37"/>
      <c r="E711" s="1"/>
    </row>
    <row r="712" ht="15.75" customHeight="1">
      <c r="A712" s="36"/>
      <c r="B712" s="37"/>
      <c r="C712" s="37"/>
      <c r="D712" s="37"/>
      <c r="E712" s="1"/>
    </row>
    <row r="713" ht="15.75" customHeight="1">
      <c r="A713" s="36"/>
      <c r="B713" s="37"/>
      <c r="C713" s="37"/>
      <c r="D713" s="37"/>
      <c r="E713" s="1"/>
    </row>
    <row r="714" ht="15.75" customHeight="1">
      <c r="A714" s="36"/>
      <c r="B714" s="37"/>
      <c r="C714" s="37"/>
      <c r="D714" s="37"/>
      <c r="E714" s="1"/>
    </row>
    <row r="715" ht="15.75" customHeight="1">
      <c r="A715" s="36"/>
      <c r="B715" s="37"/>
      <c r="C715" s="37"/>
      <c r="D715" s="37"/>
      <c r="E715" s="1"/>
    </row>
    <row r="716" ht="15.75" customHeight="1">
      <c r="A716" s="36"/>
      <c r="B716" s="37"/>
      <c r="C716" s="37"/>
      <c r="D716" s="37"/>
      <c r="E716" s="1"/>
    </row>
    <row r="717" ht="15.75" customHeight="1">
      <c r="A717" s="36"/>
      <c r="B717" s="37"/>
      <c r="C717" s="37"/>
      <c r="D717" s="37"/>
      <c r="E717" s="1"/>
    </row>
    <row r="718" ht="15.75" customHeight="1">
      <c r="A718" s="36"/>
      <c r="B718" s="37"/>
      <c r="C718" s="37"/>
      <c r="D718" s="37"/>
      <c r="E718" s="1"/>
    </row>
    <row r="719" ht="15.75" customHeight="1">
      <c r="A719" s="36"/>
      <c r="B719" s="37"/>
      <c r="C719" s="37"/>
      <c r="D719" s="37"/>
      <c r="E719" s="1"/>
    </row>
    <row r="720" ht="15.75" customHeight="1">
      <c r="A720" s="36"/>
      <c r="B720" s="37"/>
      <c r="C720" s="37"/>
      <c r="D720" s="37"/>
      <c r="E720" s="1"/>
    </row>
    <row r="721" ht="15.75" customHeight="1">
      <c r="A721" s="36"/>
      <c r="B721" s="37"/>
      <c r="C721" s="37"/>
      <c r="D721" s="37"/>
      <c r="E721" s="1"/>
    </row>
    <row r="722" ht="15.75" customHeight="1">
      <c r="A722" s="36"/>
      <c r="B722" s="37"/>
      <c r="C722" s="37"/>
      <c r="D722" s="37"/>
      <c r="E722" s="1"/>
    </row>
    <row r="723" ht="15.75" customHeight="1">
      <c r="A723" s="36"/>
      <c r="B723" s="37"/>
      <c r="C723" s="37"/>
      <c r="D723" s="37"/>
      <c r="E723" s="1"/>
    </row>
    <row r="724" ht="15.75" customHeight="1">
      <c r="A724" s="36"/>
      <c r="B724" s="37"/>
      <c r="C724" s="37"/>
      <c r="D724" s="37"/>
      <c r="E724" s="1"/>
    </row>
    <row r="725" ht="15.75" customHeight="1">
      <c r="A725" s="36"/>
      <c r="B725" s="37"/>
      <c r="C725" s="37"/>
      <c r="D725" s="37"/>
      <c r="E725" s="1"/>
    </row>
    <row r="726" ht="15.75" customHeight="1">
      <c r="A726" s="36"/>
      <c r="B726" s="37"/>
      <c r="C726" s="37"/>
      <c r="D726" s="37"/>
      <c r="E726" s="1"/>
    </row>
    <row r="727" ht="15.75" customHeight="1">
      <c r="A727" s="36"/>
      <c r="B727" s="37"/>
      <c r="C727" s="37"/>
      <c r="D727" s="37"/>
      <c r="E727" s="1"/>
    </row>
    <row r="728" ht="15.75" customHeight="1">
      <c r="A728" s="36"/>
      <c r="B728" s="37"/>
      <c r="C728" s="37"/>
      <c r="D728" s="37"/>
      <c r="E728" s="1"/>
    </row>
    <row r="729" ht="15.75" customHeight="1">
      <c r="A729" s="36"/>
      <c r="B729" s="37"/>
      <c r="C729" s="37"/>
      <c r="D729" s="37"/>
      <c r="E729" s="1"/>
    </row>
    <row r="730" ht="15.75" customHeight="1">
      <c r="A730" s="36"/>
      <c r="B730" s="37"/>
      <c r="C730" s="37"/>
      <c r="D730" s="37"/>
      <c r="E730" s="1"/>
    </row>
    <row r="731" ht="15.75" customHeight="1">
      <c r="A731" s="36"/>
      <c r="B731" s="37"/>
      <c r="C731" s="37"/>
      <c r="D731" s="37"/>
      <c r="E731" s="1"/>
    </row>
    <row r="732" ht="15.75" customHeight="1">
      <c r="A732" s="36"/>
      <c r="B732" s="37"/>
      <c r="C732" s="37"/>
      <c r="D732" s="37"/>
      <c r="E732" s="1"/>
    </row>
    <row r="733" ht="15.75" customHeight="1">
      <c r="A733" s="36"/>
      <c r="B733" s="37"/>
      <c r="C733" s="37"/>
      <c r="D733" s="37"/>
      <c r="E733" s="1"/>
    </row>
    <row r="734" ht="15.75" customHeight="1">
      <c r="A734" s="36"/>
      <c r="B734" s="37"/>
      <c r="C734" s="37"/>
      <c r="D734" s="37"/>
      <c r="E734" s="1"/>
    </row>
    <row r="735" ht="15.75" customHeight="1">
      <c r="A735" s="36"/>
      <c r="B735" s="37"/>
      <c r="C735" s="37"/>
      <c r="D735" s="37"/>
      <c r="E735" s="1"/>
    </row>
    <row r="736" ht="15.75" customHeight="1">
      <c r="A736" s="36"/>
      <c r="B736" s="37"/>
      <c r="C736" s="37"/>
      <c r="D736" s="37"/>
      <c r="E736" s="1"/>
    </row>
    <row r="737" ht="15.75" customHeight="1">
      <c r="A737" s="36"/>
      <c r="B737" s="37"/>
      <c r="C737" s="37"/>
      <c r="D737" s="37"/>
      <c r="E737" s="1"/>
    </row>
    <row r="738" ht="15.75" customHeight="1">
      <c r="A738" s="36"/>
      <c r="B738" s="37"/>
      <c r="C738" s="37"/>
      <c r="D738" s="37"/>
      <c r="E738" s="1"/>
    </row>
    <row r="739" ht="15.75" customHeight="1">
      <c r="A739" s="36"/>
      <c r="B739" s="37"/>
      <c r="C739" s="37"/>
      <c r="D739" s="37"/>
      <c r="E739" s="1"/>
    </row>
    <row r="740" ht="15.75" customHeight="1">
      <c r="A740" s="36"/>
      <c r="B740" s="37"/>
      <c r="C740" s="37"/>
      <c r="D740" s="37"/>
      <c r="E740" s="1"/>
    </row>
    <row r="741" ht="15.75" customHeight="1">
      <c r="A741" s="36"/>
      <c r="B741" s="37"/>
      <c r="C741" s="37"/>
      <c r="D741" s="37"/>
      <c r="E741" s="1"/>
    </row>
    <row r="742" ht="15.75" customHeight="1">
      <c r="A742" s="36"/>
      <c r="B742" s="37"/>
      <c r="C742" s="37"/>
      <c r="D742" s="37"/>
      <c r="E742" s="1"/>
    </row>
    <row r="743" ht="15.75" customHeight="1">
      <c r="A743" s="36"/>
      <c r="B743" s="37"/>
      <c r="C743" s="37"/>
      <c r="D743" s="37"/>
      <c r="E743" s="1"/>
    </row>
    <row r="744" ht="15.75" customHeight="1">
      <c r="A744" s="36"/>
      <c r="B744" s="37"/>
      <c r="C744" s="37"/>
      <c r="D744" s="37"/>
      <c r="E744" s="1"/>
    </row>
    <row r="745" ht="15.75" customHeight="1">
      <c r="A745" s="36"/>
      <c r="B745" s="37"/>
      <c r="C745" s="37"/>
      <c r="D745" s="37"/>
      <c r="E745" s="1"/>
    </row>
    <row r="746" ht="15.75" customHeight="1">
      <c r="A746" s="36"/>
      <c r="B746" s="37"/>
      <c r="C746" s="37"/>
      <c r="D746" s="37"/>
      <c r="E746" s="1"/>
    </row>
    <row r="747" ht="15.75" customHeight="1">
      <c r="A747" s="36"/>
      <c r="B747" s="37"/>
      <c r="C747" s="37"/>
      <c r="D747" s="37"/>
      <c r="E747" s="1"/>
    </row>
    <row r="748" ht="15.75" customHeight="1">
      <c r="A748" s="36"/>
      <c r="B748" s="37"/>
      <c r="C748" s="37"/>
      <c r="D748" s="37"/>
      <c r="E748" s="1"/>
    </row>
    <row r="749" ht="15.75" customHeight="1">
      <c r="A749" s="36"/>
      <c r="B749" s="37"/>
      <c r="C749" s="37"/>
      <c r="D749" s="37"/>
      <c r="E749" s="1"/>
    </row>
    <row r="750" ht="15.75" customHeight="1">
      <c r="A750" s="36"/>
      <c r="B750" s="37"/>
      <c r="C750" s="37"/>
      <c r="D750" s="37"/>
      <c r="E750" s="1"/>
    </row>
    <row r="751" ht="15.75" customHeight="1">
      <c r="A751" s="36"/>
      <c r="B751" s="37"/>
      <c r="C751" s="37"/>
      <c r="D751" s="37"/>
      <c r="E751" s="1"/>
    </row>
    <row r="752" ht="15.75" customHeight="1">
      <c r="A752" s="36"/>
      <c r="B752" s="37"/>
      <c r="C752" s="37"/>
      <c r="D752" s="37"/>
      <c r="E752" s="1"/>
    </row>
    <row r="753" ht="15.75" customHeight="1">
      <c r="A753" s="36"/>
      <c r="B753" s="37"/>
      <c r="C753" s="37"/>
      <c r="D753" s="37"/>
      <c r="E753" s="1"/>
    </row>
    <row r="754" ht="15.75" customHeight="1">
      <c r="A754" s="36"/>
      <c r="B754" s="37"/>
      <c r="C754" s="37"/>
      <c r="D754" s="37"/>
      <c r="E754" s="1"/>
    </row>
    <row r="755" ht="15.75" customHeight="1">
      <c r="A755" s="36"/>
      <c r="B755" s="37"/>
      <c r="C755" s="37"/>
      <c r="D755" s="37"/>
      <c r="E755" s="1"/>
    </row>
    <row r="756" ht="15.75" customHeight="1">
      <c r="A756" s="36"/>
      <c r="B756" s="37"/>
      <c r="C756" s="37"/>
      <c r="D756" s="37"/>
      <c r="E756" s="1"/>
    </row>
    <row r="757" ht="15.75" customHeight="1">
      <c r="A757" s="36"/>
      <c r="B757" s="37"/>
      <c r="C757" s="37"/>
      <c r="D757" s="37"/>
      <c r="E757" s="1"/>
    </row>
    <row r="758" ht="15.75" customHeight="1">
      <c r="A758" s="36"/>
      <c r="B758" s="37"/>
      <c r="C758" s="37"/>
      <c r="D758" s="37"/>
      <c r="E758" s="1"/>
    </row>
    <row r="759" ht="15.75" customHeight="1">
      <c r="A759" s="36"/>
      <c r="B759" s="37"/>
      <c r="C759" s="37"/>
      <c r="D759" s="37"/>
      <c r="E759" s="1"/>
    </row>
    <row r="760" ht="15.75" customHeight="1">
      <c r="A760" s="36"/>
      <c r="B760" s="37"/>
      <c r="C760" s="37"/>
      <c r="D760" s="37"/>
      <c r="E760" s="1"/>
    </row>
    <row r="761" ht="15.75" customHeight="1">
      <c r="A761" s="36"/>
      <c r="B761" s="37"/>
      <c r="C761" s="37"/>
      <c r="D761" s="37"/>
      <c r="E761" s="1"/>
    </row>
    <row r="762" ht="15.75" customHeight="1">
      <c r="A762" s="36"/>
      <c r="B762" s="37"/>
      <c r="C762" s="37"/>
      <c r="D762" s="37"/>
      <c r="E762" s="1"/>
    </row>
    <row r="763" ht="15.75" customHeight="1">
      <c r="A763" s="36"/>
      <c r="B763" s="37"/>
      <c r="C763" s="37"/>
      <c r="D763" s="37"/>
      <c r="E763" s="1"/>
    </row>
    <row r="764" ht="15.75" customHeight="1">
      <c r="A764" s="36"/>
      <c r="B764" s="37"/>
      <c r="C764" s="37"/>
      <c r="D764" s="37"/>
      <c r="E764" s="1"/>
    </row>
    <row r="765" ht="15.75" customHeight="1">
      <c r="A765" s="36"/>
      <c r="B765" s="37"/>
      <c r="C765" s="37"/>
      <c r="D765" s="37"/>
      <c r="E765" s="1"/>
    </row>
    <row r="766" ht="15.75" customHeight="1">
      <c r="A766" s="36"/>
      <c r="B766" s="37"/>
      <c r="C766" s="37"/>
      <c r="D766" s="37"/>
      <c r="E766" s="1"/>
    </row>
    <row r="767" ht="15.75" customHeight="1">
      <c r="A767" s="36"/>
      <c r="B767" s="37"/>
      <c r="C767" s="37"/>
      <c r="D767" s="37"/>
      <c r="E767" s="1"/>
    </row>
    <row r="768" ht="15.75" customHeight="1">
      <c r="A768" s="36"/>
      <c r="B768" s="37"/>
      <c r="C768" s="37"/>
      <c r="D768" s="37"/>
      <c r="E768" s="1"/>
    </row>
    <row r="769" ht="15.75" customHeight="1">
      <c r="A769" s="36"/>
      <c r="B769" s="37"/>
      <c r="C769" s="37"/>
      <c r="D769" s="37"/>
      <c r="E769" s="1"/>
    </row>
    <row r="770" ht="15.75" customHeight="1">
      <c r="A770" s="36"/>
      <c r="B770" s="37"/>
      <c r="C770" s="37"/>
      <c r="D770" s="37"/>
      <c r="E770" s="1"/>
    </row>
    <row r="771" ht="15.75" customHeight="1">
      <c r="A771" s="36"/>
      <c r="B771" s="37"/>
      <c r="C771" s="37"/>
      <c r="D771" s="37"/>
      <c r="E771" s="1"/>
    </row>
    <row r="772" ht="15.75" customHeight="1">
      <c r="A772" s="36"/>
      <c r="B772" s="37"/>
      <c r="C772" s="37"/>
      <c r="D772" s="37"/>
      <c r="E772" s="1"/>
    </row>
    <row r="773" ht="15.75" customHeight="1">
      <c r="A773" s="36"/>
      <c r="B773" s="37"/>
      <c r="C773" s="37"/>
      <c r="D773" s="37"/>
      <c r="E773" s="1"/>
    </row>
    <row r="774" ht="15.75" customHeight="1">
      <c r="A774" s="36"/>
      <c r="B774" s="37"/>
      <c r="C774" s="37"/>
      <c r="D774" s="37"/>
      <c r="E774" s="1"/>
    </row>
    <row r="775" ht="15.75" customHeight="1">
      <c r="A775" s="36"/>
      <c r="B775" s="37"/>
      <c r="C775" s="37"/>
      <c r="D775" s="37"/>
      <c r="E775" s="1"/>
    </row>
    <row r="776" ht="15.75" customHeight="1">
      <c r="A776" s="36"/>
      <c r="B776" s="37"/>
      <c r="C776" s="37"/>
      <c r="D776" s="37"/>
      <c r="E776" s="1"/>
    </row>
    <row r="777" ht="15.75" customHeight="1">
      <c r="A777" s="36"/>
      <c r="B777" s="37"/>
      <c r="C777" s="37"/>
      <c r="D777" s="37"/>
      <c r="E777" s="1"/>
    </row>
    <row r="778" ht="15.75" customHeight="1">
      <c r="A778" s="36"/>
      <c r="B778" s="37"/>
      <c r="C778" s="37"/>
      <c r="D778" s="37"/>
      <c r="E778" s="1"/>
    </row>
    <row r="779" ht="15.75" customHeight="1">
      <c r="A779" s="36"/>
      <c r="B779" s="37"/>
      <c r="C779" s="37"/>
      <c r="D779" s="37"/>
      <c r="E779" s="1"/>
    </row>
    <row r="780" ht="15.75" customHeight="1">
      <c r="A780" s="36"/>
      <c r="B780" s="37"/>
      <c r="C780" s="37"/>
      <c r="D780" s="37"/>
      <c r="E780" s="1"/>
    </row>
    <row r="781" ht="15.75" customHeight="1">
      <c r="A781" s="36"/>
      <c r="B781" s="37"/>
      <c r="C781" s="37"/>
      <c r="D781" s="37"/>
      <c r="E781" s="1"/>
    </row>
    <row r="782" ht="15.75" customHeight="1">
      <c r="A782" s="36"/>
      <c r="B782" s="37"/>
      <c r="C782" s="37"/>
      <c r="D782" s="37"/>
      <c r="E782" s="1"/>
    </row>
    <row r="783" ht="15.75" customHeight="1">
      <c r="A783" s="36"/>
      <c r="B783" s="37"/>
      <c r="C783" s="37"/>
      <c r="D783" s="37"/>
      <c r="E783" s="1"/>
    </row>
    <row r="784" ht="15.75" customHeight="1">
      <c r="A784" s="36"/>
      <c r="B784" s="37"/>
      <c r="C784" s="37"/>
      <c r="D784" s="37"/>
      <c r="E784" s="1"/>
    </row>
    <row r="785" ht="15.75" customHeight="1">
      <c r="A785" s="36"/>
      <c r="B785" s="37"/>
      <c r="C785" s="37"/>
      <c r="D785" s="37"/>
      <c r="E785" s="1"/>
    </row>
    <row r="786" ht="15.75" customHeight="1">
      <c r="A786" s="36"/>
      <c r="B786" s="37"/>
      <c r="C786" s="37"/>
      <c r="D786" s="37"/>
      <c r="E786" s="1"/>
    </row>
    <row r="787" ht="15.75" customHeight="1">
      <c r="A787" s="36"/>
      <c r="B787" s="37"/>
      <c r="C787" s="37"/>
      <c r="D787" s="37"/>
      <c r="E787" s="1"/>
    </row>
    <row r="788" ht="15.75" customHeight="1">
      <c r="A788" s="36"/>
      <c r="B788" s="37"/>
      <c r="C788" s="37"/>
      <c r="D788" s="37"/>
      <c r="E788" s="1"/>
    </row>
    <row r="789" ht="15.75" customHeight="1">
      <c r="A789" s="36"/>
      <c r="B789" s="37"/>
      <c r="C789" s="37"/>
      <c r="D789" s="37"/>
      <c r="E789" s="1"/>
    </row>
    <row r="790" ht="15.75" customHeight="1">
      <c r="A790" s="36"/>
      <c r="B790" s="37"/>
      <c r="C790" s="37"/>
      <c r="D790" s="37"/>
      <c r="E790" s="1"/>
    </row>
    <row r="791" ht="15.75" customHeight="1">
      <c r="A791" s="36"/>
      <c r="B791" s="37"/>
      <c r="C791" s="37"/>
      <c r="D791" s="37"/>
      <c r="E791" s="1"/>
    </row>
    <row r="792" ht="15.75" customHeight="1">
      <c r="A792" s="36"/>
      <c r="B792" s="37"/>
      <c r="C792" s="37"/>
      <c r="D792" s="37"/>
      <c r="E792" s="1"/>
    </row>
    <row r="793" ht="15.75" customHeight="1">
      <c r="A793" s="36"/>
      <c r="B793" s="37"/>
      <c r="C793" s="37"/>
      <c r="D793" s="37"/>
      <c r="E793" s="1"/>
    </row>
    <row r="794" ht="15.75" customHeight="1">
      <c r="A794" s="36"/>
      <c r="B794" s="37"/>
      <c r="C794" s="37"/>
      <c r="D794" s="37"/>
      <c r="E794" s="1"/>
    </row>
    <row r="795" ht="15.75" customHeight="1">
      <c r="A795" s="36"/>
      <c r="B795" s="37"/>
      <c r="C795" s="37"/>
      <c r="D795" s="37"/>
      <c r="E795" s="1"/>
    </row>
    <row r="796" ht="15.75" customHeight="1">
      <c r="A796" s="36"/>
      <c r="B796" s="37"/>
      <c r="C796" s="37"/>
      <c r="D796" s="37"/>
      <c r="E796" s="1"/>
    </row>
    <row r="797" ht="15.75" customHeight="1">
      <c r="A797" s="36"/>
      <c r="B797" s="37"/>
      <c r="C797" s="37"/>
      <c r="D797" s="37"/>
      <c r="E797" s="1"/>
    </row>
    <row r="798" ht="15.75" customHeight="1">
      <c r="A798" s="36"/>
      <c r="B798" s="37"/>
      <c r="C798" s="37"/>
      <c r="D798" s="37"/>
      <c r="E798" s="1"/>
    </row>
    <row r="799" ht="15.75" customHeight="1">
      <c r="A799" s="36"/>
      <c r="B799" s="37"/>
      <c r="C799" s="37"/>
      <c r="D799" s="37"/>
      <c r="E799" s="1"/>
    </row>
    <row r="800" ht="15.75" customHeight="1">
      <c r="A800" s="36"/>
      <c r="B800" s="37"/>
      <c r="C800" s="37"/>
      <c r="D800" s="37"/>
      <c r="E800" s="1"/>
    </row>
    <row r="801" ht="15.75" customHeight="1">
      <c r="A801" s="36"/>
      <c r="B801" s="37"/>
      <c r="C801" s="37"/>
      <c r="D801" s="37"/>
      <c r="E801" s="1"/>
    </row>
    <row r="802" ht="15.75" customHeight="1">
      <c r="A802" s="36"/>
      <c r="B802" s="37"/>
      <c r="C802" s="37"/>
      <c r="D802" s="37"/>
      <c r="E802" s="1"/>
    </row>
    <row r="803" ht="15.75" customHeight="1">
      <c r="A803" s="36"/>
      <c r="B803" s="37"/>
      <c r="C803" s="37"/>
      <c r="D803" s="37"/>
      <c r="E803" s="1"/>
    </row>
    <row r="804" ht="15.75" customHeight="1">
      <c r="A804" s="36"/>
      <c r="B804" s="37"/>
      <c r="C804" s="37"/>
      <c r="D804" s="37"/>
      <c r="E804" s="1"/>
    </row>
    <row r="805" ht="15.75" customHeight="1">
      <c r="A805" s="36"/>
      <c r="B805" s="37"/>
      <c r="C805" s="37"/>
      <c r="D805" s="37"/>
      <c r="E805" s="1"/>
    </row>
    <row r="806" ht="15.75" customHeight="1">
      <c r="A806" s="36"/>
      <c r="B806" s="37"/>
      <c r="C806" s="37"/>
      <c r="D806" s="37"/>
      <c r="E806" s="1"/>
    </row>
    <row r="807" ht="15.75" customHeight="1">
      <c r="A807" s="36"/>
      <c r="B807" s="37"/>
      <c r="C807" s="37"/>
      <c r="D807" s="37"/>
      <c r="E807" s="1"/>
    </row>
    <row r="808" ht="15.75" customHeight="1">
      <c r="A808" s="36"/>
      <c r="B808" s="37"/>
      <c r="C808" s="37"/>
      <c r="D808" s="37"/>
      <c r="E808" s="1"/>
    </row>
    <row r="809" ht="15.75" customHeight="1">
      <c r="A809" s="36"/>
      <c r="B809" s="37"/>
      <c r="C809" s="37"/>
      <c r="D809" s="37"/>
      <c r="E809" s="1"/>
    </row>
    <row r="810" ht="15.75" customHeight="1">
      <c r="A810" s="36"/>
      <c r="B810" s="37"/>
      <c r="C810" s="37"/>
      <c r="D810" s="37"/>
      <c r="E810" s="1"/>
    </row>
    <row r="811" ht="15.75" customHeight="1">
      <c r="A811" s="36"/>
      <c r="B811" s="37"/>
      <c r="C811" s="37"/>
      <c r="D811" s="37"/>
      <c r="E811" s="1"/>
    </row>
    <row r="812" ht="15.75" customHeight="1">
      <c r="A812" s="36"/>
      <c r="B812" s="37"/>
      <c r="C812" s="37"/>
      <c r="D812" s="37"/>
      <c r="E812" s="1"/>
    </row>
    <row r="813" ht="15.75" customHeight="1">
      <c r="A813" s="36"/>
      <c r="B813" s="37"/>
      <c r="C813" s="37"/>
      <c r="D813" s="37"/>
      <c r="E813" s="1"/>
    </row>
    <row r="814" ht="15.75" customHeight="1">
      <c r="A814" s="36"/>
      <c r="B814" s="37"/>
      <c r="C814" s="37"/>
      <c r="D814" s="37"/>
      <c r="E814" s="1"/>
    </row>
    <row r="815" ht="15.75" customHeight="1">
      <c r="A815" s="36"/>
      <c r="B815" s="37"/>
      <c r="C815" s="37"/>
      <c r="D815" s="37"/>
      <c r="E815" s="1"/>
    </row>
    <row r="816" ht="15.75" customHeight="1">
      <c r="A816" s="36"/>
      <c r="B816" s="37"/>
      <c r="C816" s="37"/>
      <c r="D816" s="37"/>
      <c r="E816" s="1"/>
    </row>
    <row r="817" ht="15.75" customHeight="1">
      <c r="A817" s="36"/>
      <c r="B817" s="37"/>
      <c r="C817" s="37"/>
      <c r="D817" s="37"/>
      <c r="E817" s="1"/>
    </row>
    <row r="818" ht="15.75" customHeight="1">
      <c r="A818" s="36"/>
      <c r="B818" s="37"/>
      <c r="C818" s="37"/>
      <c r="D818" s="37"/>
      <c r="E818" s="1"/>
    </row>
    <row r="819" ht="15.75" customHeight="1">
      <c r="A819" s="36"/>
      <c r="B819" s="37"/>
      <c r="C819" s="37"/>
      <c r="D819" s="37"/>
      <c r="E819" s="1"/>
    </row>
    <row r="820" ht="15.75" customHeight="1">
      <c r="A820" s="36"/>
      <c r="B820" s="37"/>
      <c r="C820" s="37"/>
      <c r="D820" s="37"/>
      <c r="E820" s="1"/>
    </row>
    <row r="821" ht="15.75" customHeight="1">
      <c r="A821" s="36"/>
      <c r="B821" s="37"/>
      <c r="C821" s="37"/>
      <c r="D821" s="37"/>
      <c r="E821" s="1"/>
    </row>
    <row r="822" ht="15.75" customHeight="1">
      <c r="A822" s="36"/>
      <c r="B822" s="37"/>
      <c r="C822" s="37"/>
      <c r="D822" s="37"/>
      <c r="E822" s="1"/>
    </row>
    <row r="823" ht="15.75" customHeight="1">
      <c r="A823" s="36"/>
      <c r="B823" s="37"/>
      <c r="C823" s="37"/>
      <c r="D823" s="37"/>
      <c r="E823" s="1"/>
    </row>
    <row r="824" ht="15.75" customHeight="1">
      <c r="A824" s="36"/>
      <c r="B824" s="37"/>
      <c r="C824" s="37"/>
      <c r="D824" s="37"/>
      <c r="E824" s="1"/>
    </row>
    <row r="825" ht="15.75" customHeight="1">
      <c r="A825" s="36"/>
      <c r="B825" s="37"/>
      <c r="C825" s="37"/>
      <c r="D825" s="37"/>
      <c r="E825" s="1"/>
    </row>
    <row r="826" ht="15.75" customHeight="1">
      <c r="A826" s="36"/>
      <c r="B826" s="37"/>
      <c r="C826" s="37"/>
      <c r="D826" s="37"/>
      <c r="E826" s="1"/>
    </row>
    <row r="827" ht="15.75" customHeight="1">
      <c r="A827" s="36"/>
      <c r="B827" s="37"/>
      <c r="C827" s="37"/>
      <c r="D827" s="37"/>
      <c r="E827" s="1"/>
    </row>
    <row r="828" ht="15.75" customHeight="1">
      <c r="A828" s="36"/>
      <c r="B828" s="37"/>
      <c r="C828" s="37"/>
      <c r="D828" s="37"/>
      <c r="E828" s="1"/>
    </row>
    <row r="829" ht="15.75" customHeight="1">
      <c r="A829" s="36"/>
      <c r="B829" s="37"/>
      <c r="C829" s="37"/>
      <c r="D829" s="37"/>
      <c r="E829" s="1"/>
    </row>
    <row r="830" ht="15.75" customHeight="1">
      <c r="A830" s="36"/>
      <c r="B830" s="37"/>
      <c r="C830" s="37"/>
      <c r="D830" s="37"/>
      <c r="E830" s="1"/>
    </row>
    <row r="831" ht="15.75" customHeight="1">
      <c r="A831" s="36"/>
      <c r="B831" s="37"/>
      <c r="C831" s="37"/>
      <c r="D831" s="37"/>
      <c r="E831" s="1"/>
    </row>
    <row r="832" ht="15.75" customHeight="1">
      <c r="A832" s="36"/>
      <c r="B832" s="37"/>
      <c r="C832" s="37"/>
      <c r="D832" s="37"/>
      <c r="E832" s="1"/>
    </row>
    <row r="833" ht="15.75" customHeight="1">
      <c r="A833" s="36"/>
      <c r="B833" s="37"/>
      <c r="C833" s="37"/>
      <c r="D833" s="37"/>
      <c r="E833" s="1"/>
    </row>
    <row r="834" ht="15.75" customHeight="1">
      <c r="A834" s="36"/>
      <c r="B834" s="37"/>
      <c r="C834" s="37"/>
      <c r="D834" s="37"/>
      <c r="E834" s="1"/>
    </row>
    <row r="835" ht="15.75" customHeight="1">
      <c r="A835" s="36"/>
      <c r="B835" s="37"/>
      <c r="C835" s="37"/>
      <c r="D835" s="37"/>
      <c r="E835" s="1"/>
    </row>
    <row r="836" ht="15.75" customHeight="1">
      <c r="A836" s="36"/>
      <c r="B836" s="37"/>
      <c r="C836" s="37"/>
      <c r="D836" s="37"/>
      <c r="E836" s="1"/>
    </row>
    <row r="837" ht="15.75" customHeight="1">
      <c r="A837" s="36"/>
      <c r="B837" s="37"/>
      <c r="C837" s="37"/>
      <c r="D837" s="37"/>
      <c r="E837" s="1"/>
    </row>
    <row r="838" ht="15.75" customHeight="1">
      <c r="A838" s="36"/>
      <c r="B838" s="37"/>
      <c r="C838" s="37"/>
      <c r="D838" s="37"/>
      <c r="E838" s="1"/>
    </row>
    <row r="839" ht="15.75" customHeight="1">
      <c r="A839" s="36"/>
      <c r="B839" s="37"/>
      <c r="C839" s="37"/>
      <c r="D839" s="37"/>
      <c r="E839" s="1"/>
    </row>
    <row r="840" ht="15.75" customHeight="1">
      <c r="A840" s="36"/>
      <c r="B840" s="37"/>
      <c r="C840" s="37"/>
      <c r="D840" s="37"/>
      <c r="E840" s="1"/>
    </row>
    <row r="841" ht="15.75" customHeight="1">
      <c r="A841" s="36"/>
      <c r="B841" s="37"/>
      <c r="C841" s="37"/>
      <c r="D841" s="37"/>
      <c r="E841" s="1"/>
    </row>
    <row r="842" ht="15.75" customHeight="1">
      <c r="A842" s="36"/>
      <c r="B842" s="37"/>
      <c r="C842" s="37"/>
      <c r="D842" s="37"/>
      <c r="E842" s="1"/>
    </row>
    <row r="843" ht="15.75" customHeight="1">
      <c r="A843" s="36"/>
      <c r="B843" s="37"/>
      <c r="C843" s="37"/>
      <c r="D843" s="37"/>
      <c r="E843" s="1"/>
    </row>
    <row r="844" ht="15.75" customHeight="1">
      <c r="A844" s="36"/>
      <c r="B844" s="37"/>
      <c r="C844" s="37"/>
      <c r="D844" s="37"/>
      <c r="E844" s="1"/>
    </row>
    <row r="845" ht="15.75" customHeight="1">
      <c r="A845" s="36"/>
      <c r="B845" s="37"/>
      <c r="C845" s="37"/>
      <c r="D845" s="37"/>
      <c r="E845" s="1"/>
    </row>
    <row r="846" ht="15.75" customHeight="1">
      <c r="A846" s="36"/>
      <c r="B846" s="37"/>
      <c r="C846" s="37"/>
      <c r="D846" s="37"/>
      <c r="E846" s="1"/>
    </row>
    <row r="847" ht="15.75" customHeight="1">
      <c r="A847" s="36"/>
      <c r="B847" s="37"/>
      <c r="C847" s="37"/>
      <c r="D847" s="37"/>
      <c r="E847" s="1"/>
    </row>
    <row r="848" ht="15.75" customHeight="1">
      <c r="A848" s="36"/>
      <c r="B848" s="37"/>
      <c r="C848" s="37"/>
      <c r="D848" s="37"/>
      <c r="E848" s="1"/>
    </row>
    <row r="849" ht="15.75" customHeight="1">
      <c r="A849" s="36"/>
      <c r="B849" s="37"/>
      <c r="C849" s="37"/>
      <c r="D849" s="37"/>
      <c r="E849" s="1"/>
    </row>
    <row r="850" ht="15.75" customHeight="1">
      <c r="A850" s="36"/>
      <c r="B850" s="37"/>
      <c r="C850" s="37"/>
      <c r="D850" s="37"/>
      <c r="E850" s="1"/>
    </row>
    <row r="851" ht="15.75" customHeight="1">
      <c r="A851" s="36"/>
      <c r="B851" s="37"/>
      <c r="C851" s="37"/>
      <c r="D851" s="37"/>
      <c r="E851" s="1"/>
    </row>
    <row r="852" ht="15.75" customHeight="1">
      <c r="A852" s="36"/>
      <c r="B852" s="37"/>
      <c r="C852" s="37"/>
      <c r="D852" s="37"/>
      <c r="E852" s="1"/>
    </row>
    <row r="853" ht="15.75" customHeight="1">
      <c r="A853" s="36"/>
      <c r="B853" s="37"/>
      <c r="C853" s="37"/>
      <c r="D853" s="37"/>
      <c r="E853" s="1"/>
    </row>
    <row r="854" ht="15.75" customHeight="1">
      <c r="A854" s="36"/>
      <c r="B854" s="37"/>
      <c r="C854" s="37"/>
      <c r="D854" s="37"/>
      <c r="E854" s="1"/>
    </row>
    <row r="855" ht="15.75" customHeight="1">
      <c r="A855" s="36"/>
      <c r="B855" s="37"/>
      <c r="C855" s="37"/>
      <c r="D855" s="37"/>
      <c r="E855" s="1"/>
    </row>
    <row r="856" ht="15.75" customHeight="1">
      <c r="A856" s="36"/>
      <c r="B856" s="37"/>
      <c r="C856" s="37"/>
      <c r="D856" s="37"/>
      <c r="E856" s="1"/>
    </row>
    <row r="857" ht="15.75" customHeight="1">
      <c r="A857" s="36"/>
      <c r="B857" s="37"/>
      <c r="C857" s="37"/>
      <c r="D857" s="37"/>
      <c r="E857" s="1"/>
    </row>
    <row r="858" ht="15.75" customHeight="1">
      <c r="A858" s="36"/>
      <c r="B858" s="37"/>
      <c r="C858" s="37"/>
      <c r="D858" s="37"/>
      <c r="E858" s="1"/>
    </row>
    <row r="859" ht="15.75" customHeight="1">
      <c r="A859" s="36"/>
      <c r="B859" s="37"/>
      <c r="C859" s="37"/>
      <c r="D859" s="37"/>
      <c r="E859" s="1"/>
    </row>
    <row r="860" ht="15.75" customHeight="1">
      <c r="A860" s="36"/>
      <c r="B860" s="37"/>
      <c r="C860" s="37"/>
      <c r="D860" s="37"/>
      <c r="E860" s="1"/>
    </row>
    <row r="861" ht="15.75" customHeight="1">
      <c r="A861" s="36"/>
      <c r="B861" s="37"/>
      <c r="C861" s="37"/>
      <c r="D861" s="37"/>
      <c r="E861" s="1"/>
    </row>
    <row r="862" ht="15.75" customHeight="1">
      <c r="A862" s="36"/>
      <c r="B862" s="37"/>
      <c r="C862" s="37"/>
      <c r="D862" s="37"/>
      <c r="E862" s="1"/>
    </row>
    <row r="863" ht="15.75" customHeight="1">
      <c r="A863" s="36"/>
      <c r="B863" s="37"/>
      <c r="C863" s="37"/>
      <c r="D863" s="37"/>
      <c r="E863" s="1"/>
    </row>
    <row r="864" ht="15.75" customHeight="1">
      <c r="A864" s="36"/>
      <c r="B864" s="37"/>
      <c r="C864" s="37"/>
      <c r="D864" s="37"/>
      <c r="E864" s="1"/>
    </row>
    <row r="865" ht="15.75" customHeight="1">
      <c r="A865" s="36"/>
      <c r="B865" s="37"/>
      <c r="C865" s="37"/>
      <c r="D865" s="37"/>
      <c r="E865" s="1"/>
    </row>
    <row r="866" ht="15.75" customHeight="1">
      <c r="A866" s="36"/>
      <c r="B866" s="37"/>
      <c r="C866" s="37"/>
      <c r="D866" s="37"/>
      <c r="E866" s="1"/>
    </row>
    <row r="867" ht="15.75" customHeight="1">
      <c r="A867" s="36"/>
      <c r="B867" s="37"/>
      <c r="C867" s="37"/>
      <c r="D867" s="37"/>
      <c r="E867" s="1"/>
    </row>
    <row r="868" ht="15.75" customHeight="1">
      <c r="A868" s="36"/>
      <c r="B868" s="37"/>
      <c r="C868" s="37"/>
      <c r="D868" s="37"/>
      <c r="E868" s="1"/>
    </row>
    <row r="869" ht="15.75" customHeight="1">
      <c r="A869" s="36"/>
      <c r="B869" s="37"/>
      <c r="C869" s="37"/>
      <c r="D869" s="37"/>
      <c r="E869" s="1"/>
    </row>
    <row r="870" ht="15.75" customHeight="1">
      <c r="A870" s="36"/>
      <c r="B870" s="37"/>
      <c r="C870" s="37"/>
      <c r="D870" s="37"/>
      <c r="E870" s="1"/>
    </row>
    <row r="871" ht="15.75" customHeight="1">
      <c r="A871" s="36"/>
      <c r="B871" s="37"/>
      <c r="C871" s="37"/>
      <c r="D871" s="37"/>
      <c r="E871" s="1"/>
    </row>
    <row r="872" ht="15.75" customHeight="1">
      <c r="A872" s="36"/>
      <c r="B872" s="37"/>
      <c r="C872" s="37"/>
      <c r="D872" s="37"/>
      <c r="E872" s="1"/>
    </row>
    <row r="873" ht="15.75" customHeight="1">
      <c r="A873" s="36"/>
      <c r="B873" s="37"/>
      <c r="C873" s="37"/>
      <c r="D873" s="37"/>
      <c r="E873" s="1"/>
    </row>
    <row r="874" ht="15.75" customHeight="1">
      <c r="A874" s="36"/>
      <c r="B874" s="37"/>
      <c r="C874" s="37"/>
      <c r="D874" s="37"/>
      <c r="E874" s="1"/>
    </row>
    <row r="875" ht="15.75" customHeight="1">
      <c r="A875" s="36"/>
      <c r="B875" s="37"/>
      <c r="C875" s="37"/>
      <c r="D875" s="37"/>
      <c r="E875" s="1"/>
    </row>
    <row r="876" ht="15.75" customHeight="1">
      <c r="A876" s="36"/>
      <c r="B876" s="37"/>
      <c r="C876" s="37"/>
      <c r="D876" s="37"/>
      <c r="E876" s="1"/>
    </row>
    <row r="877" ht="15.75" customHeight="1">
      <c r="A877" s="36"/>
      <c r="B877" s="37"/>
      <c r="C877" s="37"/>
      <c r="D877" s="37"/>
      <c r="E877" s="1"/>
    </row>
    <row r="878" ht="15.75" customHeight="1">
      <c r="A878" s="36"/>
      <c r="B878" s="37"/>
      <c r="C878" s="37"/>
      <c r="D878" s="37"/>
      <c r="E878" s="1"/>
    </row>
    <row r="879" ht="15.75" customHeight="1">
      <c r="A879" s="36"/>
      <c r="B879" s="37"/>
      <c r="C879" s="37"/>
      <c r="D879" s="37"/>
      <c r="E879" s="1"/>
    </row>
    <row r="880" ht="15.75" customHeight="1">
      <c r="A880" s="36"/>
      <c r="B880" s="37"/>
      <c r="C880" s="37"/>
      <c r="D880" s="37"/>
      <c r="E880" s="1"/>
    </row>
    <row r="881" ht="15.75" customHeight="1">
      <c r="A881" s="36"/>
      <c r="B881" s="37"/>
      <c r="C881" s="37"/>
      <c r="D881" s="37"/>
      <c r="E881" s="1"/>
    </row>
    <row r="882" ht="15.75" customHeight="1">
      <c r="A882" s="36"/>
      <c r="B882" s="37"/>
      <c r="C882" s="37"/>
      <c r="D882" s="37"/>
      <c r="E882" s="1"/>
    </row>
    <row r="883" ht="15.75" customHeight="1">
      <c r="A883" s="36"/>
      <c r="B883" s="37"/>
      <c r="C883" s="37"/>
      <c r="D883" s="37"/>
      <c r="E883" s="1"/>
    </row>
    <row r="884" ht="15.75" customHeight="1">
      <c r="A884" s="36"/>
      <c r="B884" s="37"/>
      <c r="C884" s="37"/>
      <c r="D884" s="37"/>
      <c r="E884" s="1"/>
    </row>
    <row r="885" ht="15.75" customHeight="1">
      <c r="A885" s="36"/>
      <c r="B885" s="37"/>
      <c r="C885" s="37"/>
      <c r="D885" s="37"/>
      <c r="E885" s="1"/>
    </row>
    <row r="886" ht="15.75" customHeight="1">
      <c r="A886" s="36"/>
      <c r="B886" s="37"/>
      <c r="C886" s="37"/>
      <c r="D886" s="37"/>
      <c r="E886" s="1"/>
    </row>
    <row r="887" ht="15.75" customHeight="1">
      <c r="A887" s="36"/>
      <c r="B887" s="37"/>
      <c r="C887" s="37"/>
      <c r="D887" s="37"/>
      <c r="E887" s="1"/>
    </row>
    <row r="888" ht="15.75" customHeight="1">
      <c r="A888" s="36"/>
      <c r="B888" s="37"/>
      <c r="C888" s="37"/>
      <c r="D888" s="37"/>
      <c r="E888" s="1"/>
    </row>
    <row r="889" ht="15.75" customHeight="1">
      <c r="A889" s="36"/>
      <c r="B889" s="37"/>
      <c r="C889" s="37"/>
      <c r="D889" s="37"/>
      <c r="E889" s="1"/>
    </row>
    <row r="890" ht="15.75" customHeight="1">
      <c r="A890" s="36"/>
      <c r="B890" s="37"/>
      <c r="C890" s="37"/>
      <c r="D890" s="37"/>
      <c r="E890" s="1"/>
    </row>
    <row r="891" ht="15.75" customHeight="1">
      <c r="A891" s="36"/>
      <c r="B891" s="37"/>
      <c r="C891" s="37"/>
      <c r="D891" s="37"/>
      <c r="E891" s="1"/>
    </row>
    <row r="892" ht="15.75" customHeight="1">
      <c r="A892" s="36"/>
      <c r="B892" s="37"/>
      <c r="C892" s="37"/>
      <c r="D892" s="37"/>
      <c r="E892" s="1"/>
    </row>
    <row r="893" ht="15.75" customHeight="1">
      <c r="A893" s="36"/>
      <c r="B893" s="37"/>
      <c r="C893" s="37"/>
      <c r="D893" s="37"/>
      <c r="E893" s="1"/>
    </row>
    <row r="894" ht="15.75" customHeight="1">
      <c r="A894" s="36"/>
      <c r="B894" s="37"/>
      <c r="C894" s="37"/>
      <c r="D894" s="37"/>
      <c r="E894" s="1"/>
    </row>
    <row r="895" ht="15.75" customHeight="1">
      <c r="A895" s="36"/>
      <c r="B895" s="37"/>
      <c r="C895" s="37"/>
      <c r="D895" s="37"/>
      <c r="E895" s="1"/>
    </row>
    <row r="896" ht="15.75" customHeight="1">
      <c r="A896" s="36"/>
      <c r="B896" s="37"/>
      <c r="C896" s="37"/>
      <c r="D896" s="37"/>
      <c r="E896" s="1"/>
    </row>
    <row r="897" ht="15.75" customHeight="1">
      <c r="A897" s="36"/>
      <c r="B897" s="37"/>
      <c r="C897" s="37"/>
      <c r="D897" s="37"/>
      <c r="E897" s="1"/>
    </row>
    <row r="898" ht="15.75" customHeight="1">
      <c r="A898" s="36"/>
      <c r="B898" s="37"/>
      <c r="C898" s="37"/>
      <c r="D898" s="37"/>
      <c r="E898" s="1"/>
    </row>
    <row r="899" ht="15.75" customHeight="1">
      <c r="A899" s="36"/>
      <c r="B899" s="37"/>
      <c r="C899" s="37"/>
      <c r="D899" s="37"/>
      <c r="E899" s="1"/>
    </row>
    <row r="900" ht="15.75" customHeight="1">
      <c r="A900" s="36"/>
      <c r="B900" s="37"/>
      <c r="C900" s="37"/>
      <c r="D900" s="37"/>
      <c r="E900" s="1"/>
    </row>
    <row r="901" ht="15.75" customHeight="1">
      <c r="A901" s="36"/>
      <c r="B901" s="37"/>
      <c r="C901" s="37"/>
      <c r="D901" s="37"/>
      <c r="E901" s="1"/>
    </row>
    <row r="902" ht="15.75" customHeight="1">
      <c r="A902" s="36"/>
      <c r="B902" s="37"/>
      <c r="C902" s="37"/>
      <c r="D902" s="37"/>
      <c r="E902" s="1"/>
    </row>
    <row r="903" ht="15.75" customHeight="1">
      <c r="A903" s="36"/>
      <c r="B903" s="37"/>
      <c r="C903" s="37"/>
      <c r="D903" s="37"/>
      <c r="E903" s="1"/>
    </row>
    <row r="904" ht="15.75" customHeight="1">
      <c r="A904" s="36"/>
      <c r="B904" s="37"/>
      <c r="C904" s="37"/>
      <c r="D904" s="37"/>
      <c r="E904" s="1"/>
    </row>
    <row r="905" ht="15.75" customHeight="1">
      <c r="A905" s="36"/>
      <c r="B905" s="37"/>
      <c r="C905" s="37"/>
      <c r="D905" s="37"/>
      <c r="E905" s="1"/>
    </row>
    <row r="906" ht="15.75" customHeight="1">
      <c r="A906" s="36"/>
      <c r="B906" s="37"/>
      <c r="C906" s="37"/>
      <c r="D906" s="37"/>
      <c r="E906" s="1"/>
    </row>
    <row r="907" ht="15.75" customHeight="1">
      <c r="A907" s="36"/>
      <c r="B907" s="37"/>
      <c r="C907" s="37"/>
      <c r="D907" s="37"/>
      <c r="E907" s="1"/>
    </row>
    <row r="908" ht="15.75" customHeight="1">
      <c r="A908" s="36"/>
      <c r="B908" s="37"/>
      <c r="C908" s="37"/>
      <c r="D908" s="37"/>
      <c r="E908" s="1"/>
    </row>
    <row r="909" ht="15.75" customHeight="1">
      <c r="A909" s="36"/>
      <c r="B909" s="37"/>
      <c r="C909" s="37"/>
      <c r="D909" s="37"/>
      <c r="E909" s="1"/>
    </row>
    <row r="910" ht="15.75" customHeight="1">
      <c r="A910" s="36"/>
      <c r="B910" s="37"/>
      <c r="C910" s="37"/>
      <c r="D910" s="37"/>
      <c r="E910" s="1"/>
    </row>
    <row r="911" ht="15.75" customHeight="1">
      <c r="A911" s="36"/>
      <c r="B911" s="37"/>
      <c r="C911" s="37"/>
      <c r="D911" s="37"/>
      <c r="E911" s="1"/>
    </row>
    <row r="912" ht="15.75" customHeight="1">
      <c r="A912" s="36"/>
      <c r="B912" s="37"/>
      <c r="C912" s="37"/>
      <c r="D912" s="37"/>
      <c r="E912" s="1"/>
    </row>
    <row r="913" ht="15.75" customHeight="1">
      <c r="A913" s="36"/>
      <c r="B913" s="37"/>
      <c r="C913" s="37"/>
      <c r="D913" s="37"/>
      <c r="E913" s="1"/>
    </row>
    <row r="914" ht="15.75" customHeight="1">
      <c r="A914" s="36"/>
      <c r="B914" s="37"/>
      <c r="C914" s="37"/>
      <c r="D914" s="37"/>
      <c r="E914" s="1"/>
    </row>
    <row r="915" ht="15.75" customHeight="1">
      <c r="A915" s="36"/>
      <c r="B915" s="37"/>
      <c r="C915" s="37"/>
      <c r="D915" s="37"/>
      <c r="E915" s="1"/>
    </row>
    <row r="916" ht="15.75" customHeight="1">
      <c r="A916" s="36"/>
      <c r="B916" s="37"/>
      <c r="C916" s="37"/>
      <c r="D916" s="37"/>
      <c r="E916" s="1"/>
    </row>
    <row r="917" ht="15.75" customHeight="1">
      <c r="A917" s="36"/>
      <c r="B917" s="37"/>
      <c r="C917" s="37"/>
      <c r="D917" s="37"/>
      <c r="E917" s="1"/>
    </row>
    <row r="918" ht="15.75" customHeight="1">
      <c r="A918" s="36"/>
      <c r="B918" s="37"/>
      <c r="C918" s="37"/>
      <c r="D918" s="37"/>
      <c r="E918" s="1"/>
    </row>
    <row r="919" ht="15.75" customHeight="1">
      <c r="A919" s="36"/>
      <c r="B919" s="37"/>
      <c r="C919" s="37"/>
      <c r="D919" s="37"/>
      <c r="E919" s="1"/>
    </row>
    <row r="920" ht="15.75" customHeight="1">
      <c r="A920" s="36"/>
      <c r="B920" s="37"/>
      <c r="C920" s="37"/>
      <c r="D920" s="37"/>
      <c r="E920" s="1"/>
    </row>
    <row r="921" ht="15.75" customHeight="1">
      <c r="A921" s="36"/>
      <c r="B921" s="37"/>
      <c r="C921" s="37"/>
      <c r="D921" s="37"/>
      <c r="E921" s="1"/>
    </row>
    <row r="922" ht="15.75" customHeight="1">
      <c r="A922" s="36"/>
      <c r="B922" s="37"/>
      <c r="C922" s="37"/>
      <c r="D922" s="37"/>
      <c r="E922" s="1"/>
    </row>
    <row r="923" ht="15.75" customHeight="1">
      <c r="A923" s="36"/>
      <c r="B923" s="37"/>
      <c r="C923" s="37"/>
      <c r="D923" s="37"/>
      <c r="E923" s="1"/>
    </row>
    <row r="924" ht="15.75" customHeight="1">
      <c r="A924" s="36"/>
      <c r="B924" s="37"/>
      <c r="C924" s="37"/>
      <c r="D924" s="37"/>
      <c r="E924" s="1"/>
    </row>
    <row r="925" ht="15.75" customHeight="1">
      <c r="A925" s="36"/>
      <c r="B925" s="37"/>
      <c r="C925" s="37"/>
      <c r="D925" s="37"/>
      <c r="E925" s="1"/>
    </row>
    <row r="926" ht="15.75" customHeight="1">
      <c r="A926" s="36"/>
      <c r="B926" s="37"/>
      <c r="C926" s="37"/>
      <c r="D926" s="37"/>
      <c r="E926" s="1"/>
    </row>
    <row r="927" ht="15.75" customHeight="1">
      <c r="A927" s="36"/>
      <c r="B927" s="37"/>
      <c r="C927" s="37"/>
      <c r="D927" s="37"/>
      <c r="E927" s="1"/>
    </row>
    <row r="928" ht="15.75" customHeight="1">
      <c r="A928" s="36"/>
      <c r="B928" s="37"/>
      <c r="C928" s="37"/>
      <c r="D928" s="37"/>
      <c r="E928" s="1"/>
    </row>
    <row r="929" ht="15.75" customHeight="1">
      <c r="A929" s="36"/>
      <c r="B929" s="37"/>
      <c r="C929" s="37"/>
      <c r="D929" s="37"/>
      <c r="E929" s="1"/>
    </row>
    <row r="930" ht="15.75" customHeight="1">
      <c r="A930" s="36"/>
      <c r="B930" s="37"/>
      <c r="C930" s="37"/>
      <c r="D930" s="37"/>
      <c r="E930" s="1"/>
    </row>
    <row r="931" ht="15.75" customHeight="1">
      <c r="A931" s="36"/>
      <c r="B931" s="37"/>
      <c r="C931" s="37"/>
      <c r="D931" s="37"/>
      <c r="E931" s="1"/>
    </row>
    <row r="932" ht="15.75" customHeight="1">
      <c r="A932" s="36"/>
      <c r="B932" s="37"/>
      <c r="C932" s="37"/>
      <c r="D932" s="37"/>
      <c r="E932" s="1"/>
    </row>
    <row r="933" ht="15.75" customHeight="1">
      <c r="A933" s="36"/>
      <c r="B933" s="37"/>
      <c r="C933" s="37"/>
      <c r="D933" s="37"/>
      <c r="E933" s="1"/>
    </row>
    <row r="934" ht="15.75" customHeight="1">
      <c r="A934" s="36"/>
      <c r="B934" s="37"/>
      <c r="C934" s="37"/>
      <c r="D934" s="37"/>
      <c r="E934" s="1"/>
    </row>
    <row r="935" ht="15.75" customHeight="1">
      <c r="A935" s="36"/>
      <c r="B935" s="37"/>
      <c r="C935" s="37"/>
      <c r="D935" s="37"/>
      <c r="E935" s="1"/>
    </row>
    <row r="936" ht="15.75" customHeight="1">
      <c r="A936" s="36"/>
      <c r="B936" s="37"/>
      <c r="C936" s="37"/>
      <c r="D936" s="37"/>
      <c r="E936" s="1"/>
    </row>
    <row r="937" ht="15.75" customHeight="1">
      <c r="A937" s="36"/>
      <c r="B937" s="37"/>
      <c r="C937" s="37"/>
      <c r="D937" s="37"/>
      <c r="E937" s="1"/>
    </row>
    <row r="938" ht="15.75" customHeight="1">
      <c r="A938" s="36"/>
      <c r="B938" s="37"/>
      <c r="C938" s="37"/>
      <c r="D938" s="37"/>
      <c r="E938" s="1"/>
    </row>
    <row r="939" ht="15.75" customHeight="1">
      <c r="A939" s="36"/>
      <c r="B939" s="37"/>
      <c r="C939" s="37"/>
      <c r="D939" s="37"/>
      <c r="E939" s="1"/>
    </row>
    <row r="940" ht="15.75" customHeight="1">
      <c r="A940" s="36"/>
      <c r="B940" s="37"/>
      <c r="C940" s="37"/>
      <c r="D940" s="37"/>
      <c r="E940" s="1"/>
    </row>
    <row r="941" ht="15.75" customHeight="1">
      <c r="A941" s="36"/>
      <c r="B941" s="37"/>
      <c r="C941" s="37"/>
      <c r="D941" s="37"/>
      <c r="E941" s="1"/>
    </row>
    <row r="942" ht="15.75" customHeight="1">
      <c r="A942" s="36"/>
      <c r="B942" s="37"/>
      <c r="C942" s="37"/>
      <c r="D942" s="37"/>
      <c r="E942" s="1"/>
    </row>
    <row r="943" ht="15.75" customHeight="1">
      <c r="A943" s="36"/>
      <c r="B943" s="37"/>
      <c r="C943" s="37"/>
      <c r="D943" s="37"/>
      <c r="E943" s="1"/>
    </row>
    <row r="944" ht="15.75" customHeight="1">
      <c r="A944" s="36"/>
      <c r="B944" s="37"/>
      <c r="C944" s="37"/>
      <c r="D944" s="37"/>
      <c r="E944" s="1"/>
    </row>
    <row r="945" ht="15.75" customHeight="1">
      <c r="A945" s="36"/>
      <c r="B945" s="37"/>
      <c r="C945" s="37"/>
      <c r="D945" s="37"/>
      <c r="E945" s="1"/>
    </row>
    <row r="946" ht="15.75" customHeight="1">
      <c r="A946" s="36"/>
      <c r="B946" s="37"/>
      <c r="C946" s="37"/>
      <c r="D946" s="37"/>
      <c r="E946" s="1"/>
    </row>
    <row r="947" ht="15.75" customHeight="1">
      <c r="A947" s="36"/>
      <c r="B947" s="37"/>
      <c r="C947" s="37"/>
      <c r="D947" s="37"/>
      <c r="E947" s="1"/>
    </row>
    <row r="948" ht="15.75" customHeight="1">
      <c r="A948" s="36"/>
      <c r="B948" s="37"/>
      <c r="C948" s="37"/>
      <c r="D948" s="37"/>
      <c r="E948" s="1"/>
    </row>
    <row r="949" ht="15.75" customHeight="1">
      <c r="A949" s="36"/>
      <c r="B949" s="37"/>
      <c r="C949" s="37"/>
      <c r="D949" s="37"/>
      <c r="E949" s="1"/>
    </row>
    <row r="950" ht="15.75" customHeight="1">
      <c r="A950" s="36"/>
      <c r="B950" s="37"/>
      <c r="C950" s="37"/>
      <c r="D950" s="37"/>
      <c r="E950" s="1"/>
    </row>
    <row r="951" ht="15.75" customHeight="1">
      <c r="A951" s="36"/>
      <c r="B951" s="37"/>
      <c r="C951" s="37"/>
      <c r="D951" s="37"/>
      <c r="E951" s="1"/>
    </row>
    <row r="952" ht="15.75" customHeight="1">
      <c r="A952" s="36"/>
      <c r="B952" s="37"/>
      <c r="C952" s="37"/>
      <c r="D952" s="37"/>
      <c r="E952" s="1"/>
    </row>
    <row r="953" ht="15.75" customHeight="1">
      <c r="A953" s="36"/>
      <c r="B953" s="37"/>
      <c r="C953" s="37"/>
      <c r="D953" s="37"/>
      <c r="E953" s="1"/>
    </row>
    <row r="954" ht="15.75" customHeight="1">
      <c r="A954" s="36"/>
      <c r="B954" s="37"/>
      <c r="C954" s="37"/>
      <c r="D954" s="37"/>
      <c r="E954" s="1"/>
    </row>
    <row r="955" ht="15.75" customHeight="1">
      <c r="A955" s="36"/>
      <c r="B955" s="37"/>
      <c r="C955" s="37"/>
      <c r="D955" s="37"/>
      <c r="E955" s="1"/>
    </row>
    <row r="956" ht="15.75" customHeight="1">
      <c r="A956" s="36"/>
      <c r="B956" s="37"/>
      <c r="C956" s="37"/>
      <c r="D956" s="37"/>
      <c r="E956" s="1"/>
    </row>
    <row r="957" ht="15.75" customHeight="1">
      <c r="A957" s="36"/>
      <c r="B957" s="37"/>
      <c r="C957" s="37"/>
      <c r="D957" s="37"/>
      <c r="E957" s="1"/>
    </row>
    <row r="958" ht="15.75" customHeight="1">
      <c r="A958" s="36"/>
      <c r="B958" s="37"/>
      <c r="C958" s="37"/>
      <c r="D958" s="37"/>
      <c r="E958" s="1"/>
    </row>
    <row r="959" ht="15.75" customHeight="1">
      <c r="A959" s="36"/>
      <c r="B959" s="37"/>
      <c r="C959" s="37"/>
      <c r="D959" s="37"/>
      <c r="E959" s="1"/>
    </row>
    <row r="960" ht="15.75" customHeight="1">
      <c r="A960" s="36"/>
      <c r="B960" s="37"/>
      <c r="C960" s="37"/>
      <c r="D960" s="37"/>
      <c r="E960" s="1"/>
    </row>
    <row r="961" ht="15.75" customHeight="1">
      <c r="A961" s="36"/>
      <c r="B961" s="37"/>
      <c r="C961" s="37"/>
      <c r="D961" s="37"/>
      <c r="E961" s="1"/>
    </row>
    <row r="962" ht="15.75" customHeight="1">
      <c r="A962" s="36"/>
      <c r="B962" s="37"/>
      <c r="C962" s="37"/>
      <c r="D962" s="37"/>
      <c r="E962" s="1"/>
    </row>
    <row r="963" ht="15.75" customHeight="1">
      <c r="A963" s="36"/>
      <c r="B963" s="37"/>
      <c r="C963" s="37"/>
      <c r="D963" s="37"/>
      <c r="E963" s="1"/>
    </row>
    <row r="964" ht="15.75" customHeight="1">
      <c r="A964" s="36"/>
      <c r="B964" s="37"/>
      <c r="C964" s="37"/>
      <c r="D964" s="37"/>
      <c r="E964" s="1"/>
    </row>
    <row r="965" ht="15.75" customHeight="1">
      <c r="A965" s="36"/>
      <c r="B965" s="37"/>
      <c r="C965" s="37"/>
      <c r="D965" s="37"/>
      <c r="E965" s="1"/>
    </row>
    <row r="966" ht="15.75" customHeight="1">
      <c r="A966" s="36"/>
      <c r="B966" s="37"/>
      <c r="C966" s="37"/>
      <c r="D966" s="37"/>
      <c r="E966" s="1"/>
    </row>
    <row r="967" ht="15.75" customHeight="1">
      <c r="A967" s="36"/>
      <c r="B967" s="37"/>
      <c r="C967" s="37"/>
      <c r="D967" s="37"/>
      <c r="E967" s="1"/>
    </row>
    <row r="968" ht="15.75" customHeight="1">
      <c r="A968" s="36"/>
      <c r="B968" s="37"/>
      <c r="C968" s="37"/>
      <c r="D968" s="37"/>
      <c r="E968" s="1"/>
    </row>
    <row r="969" ht="15.75" customHeight="1">
      <c r="A969" s="36"/>
      <c r="B969" s="37"/>
      <c r="C969" s="37"/>
      <c r="D969" s="37"/>
      <c r="E969" s="1"/>
    </row>
    <row r="970" ht="15.75" customHeight="1">
      <c r="A970" s="36"/>
      <c r="B970" s="37"/>
      <c r="C970" s="37"/>
      <c r="D970" s="37"/>
      <c r="E970" s="1"/>
    </row>
    <row r="971" ht="15.75" customHeight="1">
      <c r="A971" s="36"/>
      <c r="B971" s="37"/>
      <c r="C971" s="37"/>
      <c r="D971" s="37"/>
      <c r="E971" s="1"/>
    </row>
    <row r="972" ht="15.75" customHeight="1">
      <c r="A972" s="36"/>
      <c r="B972" s="37"/>
      <c r="C972" s="37"/>
      <c r="D972" s="37"/>
      <c r="E972" s="1"/>
    </row>
    <row r="973" ht="15.75" customHeight="1">
      <c r="A973" s="36"/>
      <c r="B973" s="37"/>
      <c r="C973" s="37"/>
      <c r="D973" s="37"/>
      <c r="E973" s="1"/>
    </row>
    <row r="974" ht="15.75" customHeight="1">
      <c r="A974" s="36"/>
      <c r="B974" s="37"/>
      <c r="C974" s="37"/>
      <c r="D974" s="37"/>
      <c r="E974" s="1"/>
    </row>
    <row r="975" ht="15.75" customHeight="1">
      <c r="A975" s="36"/>
      <c r="B975" s="37"/>
      <c r="C975" s="37"/>
      <c r="D975" s="37"/>
      <c r="E975" s="1"/>
    </row>
    <row r="976" ht="15.75" customHeight="1">
      <c r="A976" s="36"/>
      <c r="B976" s="37"/>
      <c r="C976" s="37"/>
      <c r="D976" s="37"/>
      <c r="E976" s="1"/>
    </row>
    <row r="977" ht="15.75" customHeight="1">
      <c r="A977" s="36"/>
      <c r="B977" s="37"/>
      <c r="C977" s="37"/>
      <c r="D977" s="37"/>
      <c r="E977" s="1"/>
    </row>
    <row r="978" ht="15.75" customHeight="1">
      <c r="A978" s="36"/>
      <c r="B978" s="37"/>
      <c r="C978" s="37"/>
      <c r="D978" s="37"/>
      <c r="E978" s="1"/>
    </row>
    <row r="979" ht="15.75" customHeight="1">
      <c r="A979" s="36"/>
      <c r="B979" s="37"/>
      <c r="C979" s="37"/>
      <c r="D979" s="37"/>
      <c r="E979" s="1"/>
    </row>
    <row r="980" ht="15.75" customHeight="1">
      <c r="A980" s="36"/>
      <c r="B980" s="37"/>
      <c r="C980" s="37"/>
      <c r="D980" s="37"/>
      <c r="E980" s="1"/>
    </row>
    <row r="981" ht="15.75" customHeight="1">
      <c r="A981" s="36"/>
      <c r="B981" s="37"/>
      <c r="C981" s="37"/>
      <c r="D981" s="37"/>
      <c r="E981" s="1"/>
    </row>
    <row r="982" ht="15.75" customHeight="1">
      <c r="A982" s="36"/>
      <c r="B982" s="37"/>
      <c r="C982" s="37"/>
      <c r="D982" s="37"/>
      <c r="E982" s="1"/>
    </row>
    <row r="983" ht="15.75" customHeight="1">
      <c r="A983" s="36"/>
      <c r="B983" s="37"/>
      <c r="C983" s="37"/>
      <c r="D983" s="37"/>
      <c r="E983" s="1"/>
    </row>
    <row r="984" ht="15.75" customHeight="1">
      <c r="A984" s="36"/>
      <c r="B984" s="37"/>
      <c r="C984" s="37"/>
      <c r="D984" s="37"/>
      <c r="E984" s="1"/>
    </row>
    <row r="985" ht="15.75" customHeight="1">
      <c r="A985" s="36"/>
      <c r="B985" s="37"/>
      <c r="C985" s="37"/>
      <c r="D985" s="37"/>
      <c r="E985" s="1"/>
    </row>
    <row r="986" ht="15.75" customHeight="1">
      <c r="A986" s="36"/>
      <c r="B986" s="37"/>
      <c r="C986" s="37"/>
      <c r="D986" s="37"/>
      <c r="E986" s="1"/>
    </row>
    <row r="987" ht="15.75" customHeight="1">
      <c r="A987" s="36"/>
      <c r="B987" s="37"/>
      <c r="C987" s="37"/>
      <c r="D987" s="37"/>
      <c r="E987" s="1"/>
    </row>
    <row r="988" ht="15.75" customHeight="1">
      <c r="A988" s="36"/>
      <c r="B988" s="37"/>
      <c r="C988" s="37"/>
      <c r="D988" s="37"/>
      <c r="E988" s="1"/>
    </row>
    <row r="989" ht="15.75" customHeight="1">
      <c r="A989" s="36"/>
      <c r="B989" s="37"/>
      <c r="C989" s="37"/>
      <c r="D989" s="37"/>
      <c r="E989" s="1"/>
    </row>
    <row r="990" ht="15.75" customHeight="1">
      <c r="A990" s="36"/>
      <c r="B990" s="37"/>
      <c r="C990" s="37"/>
      <c r="D990" s="37"/>
      <c r="E990" s="1"/>
    </row>
    <row r="991" ht="15.75" customHeight="1">
      <c r="A991" s="36"/>
      <c r="B991" s="37"/>
      <c r="C991" s="37"/>
      <c r="D991" s="37"/>
      <c r="E991" s="1"/>
    </row>
    <row r="992" ht="15.75" customHeight="1">
      <c r="A992" s="36"/>
      <c r="B992" s="37"/>
      <c r="C992" s="37"/>
      <c r="D992" s="37"/>
      <c r="E992" s="1"/>
    </row>
    <row r="993" ht="15.75" customHeight="1">
      <c r="A993" s="36"/>
      <c r="B993" s="37"/>
      <c r="C993" s="37"/>
      <c r="D993" s="37"/>
      <c r="E993" s="1"/>
    </row>
    <row r="994" ht="15.75" customHeight="1">
      <c r="A994" s="36"/>
      <c r="B994" s="37"/>
      <c r="C994" s="37"/>
      <c r="D994" s="37"/>
      <c r="E994" s="1"/>
    </row>
    <row r="995" ht="15.75" customHeight="1">
      <c r="A995" s="36"/>
      <c r="B995" s="37"/>
      <c r="C995" s="37"/>
      <c r="D995" s="37"/>
      <c r="E995" s="1"/>
    </row>
    <row r="996" ht="15.75" customHeight="1">
      <c r="A996" s="36"/>
      <c r="B996" s="37"/>
      <c r="C996" s="37"/>
      <c r="D996" s="37"/>
      <c r="E996" s="1"/>
    </row>
    <row r="997" ht="15.75" customHeight="1">
      <c r="A997" s="36"/>
      <c r="B997" s="37"/>
      <c r="C997" s="37"/>
      <c r="D997" s="37"/>
      <c r="E997" s="1"/>
    </row>
    <row r="998" ht="15.75" customHeight="1">
      <c r="A998" s="36"/>
      <c r="B998" s="37"/>
      <c r="C998" s="37"/>
      <c r="D998" s="37"/>
      <c r="E998" s="1"/>
    </row>
    <row r="999" ht="15.75" customHeight="1">
      <c r="A999" s="36"/>
      <c r="B999" s="37"/>
      <c r="C999" s="37"/>
      <c r="D999" s="37"/>
      <c r="E999" s="1"/>
    </row>
    <row r="1000" ht="15.75" customHeight="1">
      <c r="A1000" s="36"/>
      <c r="B1000" s="37"/>
      <c r="C1000" s="37"/>
      <c r="D1000" s="37"/>
      <c r="E1000" s="1"/>
    </row>
  </sheetData>
  <mergeCells count="6">
    <mergeCell ref="A2:G2"/>
    <mergeCell ref="A4:G4"/>
    <mergeCell ref="A5:G5"/>
    <mergeCell ref="A6:G6"/>
    <mergeCell ref="A7:G7"/>
    <mergeCell ref="A63:G63"/>
  </mergeCells>
  <hyperlinks>
    <hyperlink r:id="rId1" ref="E11"/>
    <hyperlink r:id="rId2" ref="E12"/>
    <hyperlink r:id="rId3" ref="E13"/>
    <hyperlink r:id="rId4" ref="E14"/>
    <hyperlink r:id="rId5" ref="E16"/>
    <hyperlink r:id="rId6" ref="E18"/>
    <hyperlink r:id="rId7" ref="E19"/>
    <hyperlink r:id="rId8" ref="C20"/>
    <hyperlink r:id="rId9" ref="E22"/>
  </hyperlinks>
  <printOptions/>
  <pageMargins bottom="0.75" footer="0.0" header="0.0" left="0.7" right="0.7" top="0.75"/>
  <pageSetup orientation="landscape"/>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0.71"/>
    <col customWidth="1" min="3" max="3" width="30.0"/>
    <col customWidth="1" min="4" max="4" width="22.71"/>
    <col customWidth="1" min="5" max="5" width="17.71"/>
    <col customWidth="1" min="6" max="6" width="16.14"/>
    <col customWidth="1" min="7" max="7" width="13.71"/>
    <col customWidth="1" min="8" max="8" width="20.71"/>
    <col customWidth="1" min="9" max="26" width="8.0"/>
  </cols>
  <sheetData>
    <row r="1">
      <c r="A1" s="36"/>
      <c r="B1" s="36"/>
      <c r="C1" s="37"/>
      <c r="D1" s="37"/>
      <c r="E1" s="37"/>
      <c r="F1" s="37"/>
      <c r="G1" s="1"/>
    </row>
    <row r="2" ht="15.75" customHeight="1">
      <c r="A2" s="38" t="s">
        <v>2357</v>
      </c>
      <c r="B2" s="39"/>
      <c r="C2" s="39"/>
      <c r="D2" s="39"/>
      <c r="E2" s="39"/>
      <c r="F2" s="39"/>
      <c r="G2" s="40"/>
      <c r="H2" s="42"/>
      <c r="I2" s="42"/>
      <c r="J2" s="42"/>
      <c r="K2" s="42"/>
      <c r="L2" s="42"/>
      <c r="M2" s="42"/>
      <c r="N2" s="42"/>
      <c r="O2" s="42"/>
      <c r="P2" s="42"/>
      <c r="Q2" s="42"/>
      <c r="R2" s="42"/>
      <c r="S2" s="42"/>
      <c r="T2" s="42"/>
      <c r="U2" s="42"/>
      <c r="V2" s="42"/>
      <c r="W2" s="42"/>
      <c r="X2" s="42"/>
      <c r="Y2" s="42"/>
      <c r="Z2" s="42"/>
    </row>
    <row r="3" ht="15.75" customHeight="1">
      <c r="A3" s="186"/>
      <c r="B3" s="186"/>
      <c r="C3" s="186"/>
      <c r="D3" s="186"/>
      <c r="E3" s="186"/>
      <c r="F3" s="186"/>
      <c r="G3" s="186"/>
      <c r="H3" s="42"/>
      <c r="I3" s="42"/>
      <c r="J3" s="42"/>
      <c r="K3" s="42"/>
      <c r="L3" s="42"/>
      <c r="M3" s="42"/>
      <c r="N3" s="42"/>
      <c r="O3" s="42"/>
      <c r="P3" s="42"/>
      <c r="Q3" s="42"/>
      <c r="R3" s="42"/>
      <c r="S3" s="42"/>
      <c r="T3" s="42"/>
      <c r="U3" s="42"/>
      <c r="V3" s="42"/>
      <c r="W3" s="42"/>
      <c r="X3" s="42"/>
      <c r="Y3" s="42"/>
      <c r="Z3" s="42"/>
    </row>
    <row r="4">
      <c r="A4" s="106" t="s">
        <v>2358</v>
      </c>
      <c r="B4" s="39"/>
      <c r="C4" s="39"/>
      <c r="D4" s="39"/>
      <c r="E4" s="39"/>
      <c r="F4" s="39"/>
      <c r="G4" s="40"/>
      <c r="H4" s="42"/>
      <c r="I4" s="42"/>
      <c r="J4" s="42"/>
      <c r="K4" s="42"/>
      <c r="L4" s="42"/>
      <c r="M4" s="42"/>
      <c r="N4" s="42"/>
      <c r="O4" s="42"/>
      <c r="P4" s="42"/>
      <c r="Q4" s="42"/>
      <c r="R4" s="42"/>
      <c r="S4" s="42"/>
      <c r="T4" s="42"/>
      <c r="U4" s="42"/>
      <c r="V4" s="42"/>
      <c r="W4" s="42"/>
      <c r="X4" s="42"/>
      <c r="Y4" s="42"/>
      <c r="Z4" s="42"/>
    </row>
    <row r="5">
      <c r="A5" s="106" t="s">
        <v>2359</v>
      </c>
      <c r="B5" s="39"/>
      <c r="C5" s="39"/>
      <c r="D5" s="39"/>
      <c r="E5" s="39"/>
      <c r="F5" s="39"/>
      <c r="G5" s="40"/>
      <c r="H5" s="42"/>
      <c r="I5" s="42"/>
      <c r="J5" s="42"/>
      <c r="K5" s="42"/>
      <c r="L5" s="42"/>
      <c r="M5" s="42"/>
      <c r="N5" s="42"/>
      <c r="O5" s="42"/>
      <c r="P5" s="42"/>
      <c r="Q5" s="42"/>
      <c r="R5" s="42"/>
      <c r="S5" s="42"/>
      <c r="T5" s="42"/>
      <c r="U5" s="42"/>
      <c r="V5" s="42"/>
      <c r="W5" s="42"/>
      <c r="X5" s="42"/>
      <c r="Y5" s="42"/>
      <c r="Z5" s="42"/>
    </row>
    <row r="6" ht="80.25" customHeight="1">
      <c r="A6" s="188" t="s">
        <v>2360</v>
      </c>
      <c r="B6" s="39"/>
      <c r="C6" s="39"/>
      <c r="D6" s="39"/>
      <c r="E6" s="39"/>
      <c r="F6" s="39"/>
      <c r="G6" s="40"/>
      <c r="H6" s="42"/>
      <c r="I6" s="42"/>
      <c r="J6" s="42"/>
      <c r="K6" s="42"/>
      <c r="L6" s="42"/>
      <c r="M6" s="42"/>
      <c r="N6" s="42"/>
      <c r="O6" s="42"/>
      <c r="P6" s="42"/>
      <c r="Q6" s="42"/>
      <c r="R6" s="42"/>
      <c r="S6" s="42"/>
      <c r="T6" s="42"/>
      <c r="U6" s="42"/>
      <c r="V6" s="42"/>
      <c r="W6" s="42"/>
      <c r="X6" s="42"/>
      <c r="Y6" s="42"/>
      <c r="Z6" s="42"/>
    </row>
    <row r="7" ht="53.25" customHeight="1">
      <c r="A7" s="188" t="s">
        <v>2361</v>
      </c>
      <c r="B7" s="39"/>
      <c r="C7" s="39"/>
      <c r="D7" s="39"/>
      <c r="E7" s="39"/>
      <c r="F7" s="39"/>
      <c r="G7" s="40"/>
      <c r="H7" s="42"/>
      <c r="I7" s="42"/>
      <c r="J7" s="42"/>
      <c r="K7" s="42"/>
      <c r="L7" s="42"/>
      <c r="M7" s="42"/>
      <c r="N7" s="42"/>
      <c r="O7" s="42"/>
      <c r="P7" s="42"/>
      <c r="Q7" s="42"/>
      <c r="R7" s="42"/>
      <c r="S7" s="42"/>
      <c r="T7" s="42"/>
      <c r="U7" s="42"/>
      <c r="V7" s="42"/>
      <c r="W7" s="42"/>
      <c r="X7" s="42"/>
      <c r="Y7" s="42"/>
      <c r="Z7" s="42"/>
    </row>
    <row r="8">
      <c r="A8" s="45"/>
      <c r="B8" s="45"/>
      <c r="C8" s="46"/>
      <c r="D8" s="46"/>
      <c r="E8" s="46"/>
      <c r="F8" s="46"/>
      <c r="G8" s="45"/>
      <c r="H8" s="42"/>
      <c r="I8" s="42"/>
      <c r="J8" s="42"/>
      <c r="K8" s="42"/>
      <c r="L8" s="42"/>
      <c r="M8" s="42"/>
      <c r="N8" s="42"/>
      <c r="O8" s="42"/>
      <c r="P8" s="42"/>
      <c r="Q8" s="42"/>
      <c r="R8" s="42"/>
      <c r="S8" s="42"/>
      <c r="T8" s="42"/>
      <c r="U8" s="42"/>
      <c r="V8" s="42"/>
      <c r="W8" s="42"/>
      <c r="X8" s="42"/>
      <c r="Y8" s="42"/>
      <c r="Z8" s="42"/>
    </row>
    <row r="9" ht="25.5" customHeight="1">
      <c r="A9" s="228" t="s">
        <v>8</v>
      </c>
      <c r="B9" s="109" t="s">
        <v>9</v>
      </c>
      <c r="C9" s="269" t="s">
        <v>2362</v>
      </c>
      <c r="D9" s="269" t="s">
        <v>2363</v>
      </c>
      <c r="E9" s="269" t="s">
        <v>2364</v>
      </c>
      <c r="F9" s="269" t="s">
        <v>116</v>
      </c>
      <c r="G9" s="269" t="s">
        <v>2301</v>
      </c>
      <c r="H9" s="49" t="s">
        <v>118</v>
      </c>
      <c r="I9" s="42"/>
      <c r="J9" s="42"/>
      <c r="K9" s="42"/>
      <c r="L9" s="42"/>
      <c r="M9" s="42"/>
      <c r="N9" s="42"/>
      <c r="O9" s="42"/>
      <c r="P9" s="42"/>
      <c r="Q9" s="42"/>
      <c r="R9" s="42"/>
      <c r="S9" s="42"/>
      <c r="T9" s="42"/>
      <c r="U9" s="42"/>
      <c r="V9" s="42"/>
      <c r="W9" s="42"/>
      <c r="X9" s="42"/>
      <c r="Y9" s="42"/>
      <c r="Z9" s="42"/>
    </row>
    <row r="10" ht="25.5" customHeight="1">
      <c r="A10" s="52" t="s">
        <v>637</v>
      </c>
      <c r="B10" s="60" t="s">
        <v>38</v>
      </c>
      <c r="C10" s="52" t="s">
        <v>2315</v>
      </c>
      <c r="D10" s="484" t="s">
        <v>2317</v>
      </c>
      <c r="E10" s="54" t="s">
        <v>2365</v>
      </c>
      <c r="F10" s="271">
        <v>50.0</v>
      </c>
      <c r="G10" s="128">
        <v>50.0</v>
      </c>
      <c r="H10" s="62" t="s">
        <v>194</v>
      </c>
    </row>
    <row r="11" ht="25.5" customHeight="1">
      <c r="A11" s="52" t="s">
        <v>637</v>
      </c>
      <c r="B11" s="60" t="s">
        <v>38</v>
      </c>
      <c r="C11" s="54" t="s">
        <v>187</v>
      </c>
      <c r="D11" s="489" t="s">
        <v>2366</v>
      </c>
      <c r="E11" s="60" t="s">
        <v>623</v>
      </c>
      <c r="F11" s="76">
        <v>50.0</v>
      </c>
      <c r="G11" s="128">
        <v>50.0</v>
      </c>
      <c r="H11" s="62" t="s">
        <v>194</v>
      </c>
    </row>
    <row r="12" ht="45.0" customHeight="1">
      <c r="A12" s="52" t="s">
        <v>650</v>
      </c>
      <c r="B12" s="60" t="s">
        <v>38</v>
      </c>
      <c r="C12" s="199" t="s">
        <v>2367</v>
      </c>
      <c r="D12" s="302" t="s">
        <v>2368</v>
      </c>
      <c r="E12" s="490">
        <v>43847.0</v>
      </c>
      <c r="F12" s="210">
        <v>50.0</v>
      </c>
      <c r="G12" s="128">
        <v>50.0</v>
      </c>
      <c r="H12" s="62" t="s">
        <v>654</v>
      </c>
    </row>
    <row r="13" ht="45.0" customHeight="1">
      <c r="A13" s="52" t="s">
        <v>650</v>
      </c>
      <c r="B13" s="60" t="s">
        <v>38</v>
      </c>
      <c r="C13" s="199" t="s">
        <v>2367</v>
      </c>
      <c r="D13" s="302" t="s">
        <v>2368</v>
      </c>
      <c r="E13" s="490">
        <v>44086.0</v>
      </c>
      <c r="F13" s="76">
        <v>50.0</v>
      </c>
      <c r="G13" s="128">
        <v>50.0</v>
      </c>
      <c r="H13" s="62" t="s">
        <v>654</v>
      </c>
    </row>
    <row r="14" ht="30.0" customHeight="1">
      <c r="A14" s="199" t="s">
        <v>687</v>
      </c>
      <c r="B14" s="199"/>
      <c r="C14" s="275" t="s">
        <v>2369</v>
      </c>
      <c r="D14" s="302" t="s">
        <v>2370</v>
      </c>
      <c r="E14" s="491">
        <v>43952.0</v>
      </c>
      <c r="F14" s="492">
        <v>50.0</v>
      </c>
      <c r="G14" s="493">
        <f t="shared" ref="G14:G15" si="1">F14</f>
        <v>50</v>
      </c>
      <c r="H14" s="62" t="s">
        <v>203</v>
      </c>
    </row>
    <row r="15" ht="25.5" customHeight="1">
      <c r="A15" s="199" t="s">
        <v>687</v>
      </c>
      <c r="B15" s="199"/>
      <c r="C15" s="199" t="s">
        <v>2371</v>
      </c>
      <c r="D15" s="494" t="s">
        <v>2372</v>
      </c>
      <c r="E15" s="495">
        <v>44169.0</v>
      </c>
      <c r="F15" s="496">
        <v>25.0</v>
      </c>
      <c r="G15" s="493">
        <f t="shared" si="1"/>
        <v>25</v>
      </c>
      <c r="H15" s="62" t="s">
        <v>203</v>
      </c>
    </row>
    <row r="16" ht="25.5" customHeight="1">
      <c r="A16" s="52" t="s">
        <v>128</v>
      </c>
      <c r="B16" s="60" t="s">
        <v>38</v>
      </c>
      <c r="C16" s="497" t="s">
        <v>2373</v>
      </c>
      <c r="D16" s="199" t="s">
        <v>2374</v>
      </c>
      <c r="E16" s="60" t="s">
        <v>2375</v>
      </c>
      <c r="F16" s="210">
        <v>25.0</v>
      </c>
      <c r="G16" s="209">
        <v>25.0</v>
      </c>
      <c r="H16" s="62" t="s">
        <v>128</v>
      </c>
    </row>
    <row r="17" ht="25.5" customHeight="1">
      <c r="A17" s="52" t="s">
        <v>128</v>
      </c>
      <c r="B17" s="60" t="s">
        <v>38</v>
      </c>
      <c r="C17" s="497" t="s">
        <v>2373</v>
      </c>
      <c r="D17" s="199" t="s">
        <v>2374</v>
      </c>
      <c r="E17" s="60" t="s">
        <v>2376</v>
      </c>
      <c r="F17" s="210">
        <v>25.0</v>
      </c>
      <c r="G17" s="209">
        <v>25.0</v>
      </c>
      <c r="H17" s="62" t="s">
        <v>128</v>
      </c>
    </row>
    <row r="18" ht="38.25" customHeight="1">
      <c r="A18" s="52" t="s">
        <v>128</v>
      </c>
      <c r="B18" s="60" t="s">
        <v>38</v>
      </c>
      <c r="C18" s="199" t="s">
        <v>2377</v>
      </c>
      <c r="D18" s="274" t="s">
        <v>2378</v>
      </c>
      <c r="E18" s="60" t="s">
        <v>2379</v>
      </c>
      <c r="F18" s="210">
        <v>25.0</v>
      </c>
      <c r="G18" s="209">
        <v>25.0</v>
      </c>
      <c r="H18" s="62" t="s">
        <v>128</v>
      </c>
    </row>
    <row r="19" ht="38.25" customHeight="1">
      <c r="A19" s="52" t="s">
        <v>128</v>
      </c>
      <c r="B19" s="60" t="s">
        <v>38</v>
      </c>
      <c r="C19" s="199" t="s">
        <v>2377</v>
      </c>
      <c r="D19" s="274" t="s">
        <v>2378</v>
      </c>
      <c r="E19" s="60" t="s">
        <v>2380</v>
      </c>
      <c r="F19" s="210">
        <v>25.0</v>
      </c>
      <c r="G19" s="209">
        <v>25.0</v>
      </c>
      <c r="H19" s="62" t="s">
        <v>128</v>
      </c>
    </row>
    <row r="20" ht="51.0" customHeight="1">
      <c r="A20" s="52" t="s">
        <v>128</v>
      </c>
      <c r="B20" s="60" t="s">
        <v>38</v>
      </c>
      <c r="C20" s="54" t="s">
        <v>334</v>
      </c>
      <c r="D20" s="498" t="s">
        <v>2381</v>
      </c>
      <c r="E20" s="60" t="s">
        <v>2382</v>
      </c>
      <c r="F20" s="210">
        <v>50.0</v>
      </c>
      <c r="G20" s="209">
        <v>50.0</v>
      </c>
      <c r="H20" s="62" t="s">
        <v>128</v>
      </c>
    </row>
    <row r="21" ht="51.0" customHeight="1">
      <c r="A21" s="52" t="s">
        <v>128</v>
      </c>
      <c r="B21" s="60" t="s">
        <v>38</v>
      </c>
      <c r="C21" s="199" t="s">
        <v>2383</v>
      </c>
      <c r="D21" s="274" t="s">
        <v>2384</v>
      </c>
      <c r="E21" s="60" t="s">
        <v>2385</v>
      </c>
      <c r="F21" s="210">
        <v>50.0</v>
      </c>
      <c r="G21" s="209">
        <v>50.0</v>
      </c>
      <c r="H21" s="62" t="s">
        <v>128</v>
      </c>
    </row>
    <row r="22" ht="38.25" customHeight="1">
      <c r="A22" s="52" t="s">
        <v>2386</v>
      </c>
      <c r="B22" s="60" t="s">
        <v>38</v>
      </c>
      <c r="C22" s="199" t="s">
        <v>2387</v>
      </c>
      <c r="D22" s="302" t="s">
        <v>2388</v>
      </c>
      <c r="E22" s="60" t="s">
        <v>2389</v>
      </c>
      <c r="F22" s="210">
        <v>25.0</v>
      </c>
      <c r="G22" s="128">
        <f t="shared" ref="G22:G29" si="2">F22</f>
        <v>25</v>
      </c>
      <c r="H22" s="62" t="s">
        <v>222</v>
      </c>
    </row>
    <row r="23" ht="38.25" customHeight="1">
      <c r="A23" s="52" t="s">
        <v>2386</v>
      </c>
      <c r="B23" s="60" t="s">
        <v>38</v>
      </c>
      <c r="C23" s="199" t="s">
        <v>2387</v>
      </c>
      <c r="D23" s="302" t="s">
        <v>2388</v>
      </c>
      <c r="E23" s="60" t="s">
        <v>2390</v>
      </c>
      <c r="F23" s="210">
        <v>25.0</v>
      </c>
      <c r="G23" s="128">
        <f t="shared" si="2"/>
        <v>25</v>
      </c>
      <c r="H23" s="62" t="s">
        <v>222</v>
      </c>
    </row>
    <row r="24" ht="38.25" customHeight="1">
      <c r="A24" s="52" t="s">
        <v>2386</v>
      </c>
      <c r="B24" s="60" t="s">
        <v>38</v>
      </c>
      <c r="C24" s="199" t="s">
        <v>2387</v>
      </c>
      <c r="D24" s="302" t="s">
        <v>2388</v>
      </c>
      <c r="E24" s="60" t="s">
        <v>2391</v>
      </c>
      <c r="F24" s="210">
        <v>25.0</v>
      </c>
      <c r="G24" s="128">
        <f t="shared" si="2"/>
        <v>25</v>
      </c>
      <c r="H24" s="62" t="s">
        <v>222</v>
      </c>
    </row>
    <row r="25" ht="38.25" customHeight="1">
      <c r="A25" s="52" t="s">
        <v>2392</v>
      </c>
      <c r="B25" s="60" t="s">
        <v>38</v>
      </c>
      <c r="C25" s="199" t="s">
        <v>2387</v>
      </c>
      <c r="D25" s="302" t="s">
        <v>2388</v>
      </c>
      <c r="E25" s="60" t="s">
        <v>2393</v>
      </c>
      <c r="F25" s="210">
        <v>25.0</v>
      </c>
      <c r="G25" s="128">
        <f t="shared" si="2"/>
        <v>25</v>
      </c>
      <c r="H25" s="62" t="s">
        <v>223</v>
      </c>
    </row>
    <row r="26" ht="38.25" customHeight="1">
      <c r="A26" s="52" t="s">
        <v>2392</v>
      </c>
      <c r="B26" s="60" t="s">
        <v>38</v>
      </c>
      <c r="C26" s="199" t="s">
        <v>2387</v>
      </c>
      <c r="D26" s="302" t="s">
        <v>2388</v>
      </c>
      <c r="E26" s="60" t="s">
        <v>2394</v>
      </c>
      <c r="F26" s="210">
        <v>25.0</v>
      </c>
      <c r="G26" s="128">
        <f t="shared" si="2"/>
        <v>25</v>
      </c>
      <c r="H26" s="62" t="s">
        <v>223</v>
      </c>
    </row>
    <row r="27" ht="38.25" customHeight="1">
      <c r="A27" s="52" t="s">
        <v>2392</v>
      </c>
      <c r="B27" s="60" t="s">
        <v>38</v>
      </c>
      <c r="C27" s="199" t="s">
        <v>2387</v>
      </c>
      <c r="D27" s="302" t="s">
        <v>2388</v>
      </c>
      <c r="E27" s="60" t="s">
        <v>2395</v>
      </c>
      <c r="F27" s="210">
        <v>25.0</v>
      </c>
      <c r="G27" s="128">
        <f t="shared" si="2"/>
        <v>25</v>
      </c>
      <c r="H27" s="62" t="s">
        <v>223</v>
      </c>
    </row>
    <row r="28" ht="38.25" customHeight="1">
      <c r="A28" s="52" t="s">
        <v>2392</v>
      </c>
      <c r="B28" s="60" t="s">
        <v>38</v>
      </c>
      <c r="C28" s="199" t="s">
        <v>2387</v>
      </c>
      <c r="D28" s="302" t="s">
        <v>2388</v>
      </c>
      <c r="E28" s="60" t="s">
        <v>2396</v>
      </c>
      <c r="F28" s="210">
        <v>25.0</v>
      </c>
      <c r="G28" s="128">
        <f t="shared" si="2"/>
        <v>25</v>
      </c>
      <c r="H28" s="62" t="s">
        <v>223</v>
      </c>
    </row>
    <row r="29" ht="38.25" customHeight="1">
      <c r="A29" s="52" t="s">
        <v>2392</v>
      </c>
      <c r="B29" s="60" t="s">
        <v>38</v>
      </c>
      <c r="C29" s="199" t="s">
        <v>2387</v>
      </c>
      <c r="D29" s="302" t="s">
        <v>2388</v>
      </c>
      <c r="E29" s="60" t="s">
        <v>2397</v>
      </c>
      <c r="F29" s="210">
        <v>25.0</v>
      </c>
      <c r="G29" s="128">
        <f t="shared" si="2"/>
        <v>25</v>
      </c>
      <c r="H29" s="62" t="s">
        <v>223</v>
      </c>
    </row>
    <row r="30" ht="25.5" customHeight="1">
      <c r="A30" s="52" t="s">
        <v>348</v>
      </c>
      <c r="B30" s="60" t="s">
        <v>38</v>
      </c>
      <c r="C30" s="199" t="s">
        <v>2398</v>
      </c>
      <c r="D30" s="149" t="s">
        <v>2378</v>
      </c>
      <c r="E30" s="490">
        <v>43916.0</v>
      </c>
      <c r="F30" s="76">
        <v>25.0</v>
      </c>
      <c r="G30" s="128">
        <v>25.0</v>
      </c>
      <c r="H30" s="62" t="s">
        <v>355</v>
      </c>
    </row>
    <row r="31" ht="38.25" customHeight="1">
      <c r="A31" s="52" t="s">
        <v>1384</v>
      </c>
      <c r="B31" s="60" t="s">
        <v>38</v>
      </c>
      <c r="C31" s="199" t="s">
        <v>2399</v>
      </c>
      <c r="D31" s="199" t="s">
        <v>2400</v>
      </c>
      <c r="E31" s="490">
        <v>43846.0</v>
      </c>
      <c r="F31" s="210">
        <v>50.0</v>
      </c>
      <c r="G31" s="128">
        <v>50.0</v>
      </c>
      <c r="H31" s="62" t="s">
        <v>1384</v>
      </c>
    </row>
    <row r="32" ht="38.25" customHeight="1">
      <c r="A32" s="52" t="s">
        <v>1384</v>
      </c>
      <c r="B32" s="60" t="s">
        <v>38</v>
      </c>
      <c r="C32" s="199" t="s">
        <v>2401</v>
      </c>
      <c r="D32" s="199" t="s">
        <v>2400</v>
      </c>
      <c r="E32" s="490">
        <v>43878.0</v>
      </c>
      <c r="F32" s="76">
        <v>50.0</v>
      </c>
      <c r="G32" s="128">
        <v>50.0</v>
      </c>
      <c r="H32" s="62" t="s">
        <v>1384</v>
      </c>
    </row>
    <row r="33" ht="63.75" customHeight="1">
      <c r="A33" s="52" t="s">
        <v>1384</v>
      </c>
      <c r="B33" s="60" t="s">
        <v>38</v>
      </c>
      <c r="C33" s="199" t="s">
        <v>2402</v>
      </c>
      <c r="D33" s="199" t="s">
        <v>2403</v>
      </c>
      <c r="E33" s="490">
        <v>43887.0</v>
      </c>
      <c r="F33" s="76">
        <v>50.0</v>
      </c>
      <c r="G33" s="128">
        <v>50.0</v>
      </c>
      <c r="H33" s="62" t="s">
        <v>1384</v>
      </c>
    </row>
    <row r="34" ht="38.25" customHeight="1">
      <c r="A34" s="52" t="s">
        <v>1384</v>
      </c>
      <c r="B34" s="60" t="s">
        <v>38</v>
      </c>
      <c r="C34" s="199" t="s">
        <v>2404</v>
      </c>
      <c r="D34" s="199" t="s">
        <v>2400</v>
      </c>
      <c r="E34" s="490">
        <v>43914.0</v>
      </c>
      <c r="F34" s="76">
        <v>50.0</v>
      </c>
      <c r="G34" s="128">
        <v>50.0</v>
      </c>
      <c r="H34" s="62" t="s">
        <v>1384</v>
      </c>
    </row>
    <row r="35" ht="15.75" customHeight="1">
      <c r="A35" s="52" t="s">
        <v>2405</v>
      </c>
      <c r="B35" s="60" t="s">
        <v>38</v>
      </c>
      <c r="C35" s="497" t="s">
        <v>2406</v>
      </c>
      <c r="D35" s="499" t="s">
        <v>2407</v>
      </c>
      <c r="E35" s="69" t="s">
        <v>2408</v>
      </c>
      <c r="F35" s="210">
        <v>50.0</v>
      </c>
      <c r="G35" s="209">
        <f t="shared" ref="G35:G43" si="3">F35</f>
        <v>50</v>
      </c>
      <c r="H35" s="62" t="s">
        <v>618</v>
      </c>
    </row>
    <row r="36" ht="15.75" customHeight="1">
      <c r="A36" s="52" t="s">
        <v>2405</v>
      </c>
      <c r="B36" s="60" t="s">
        <v>38</v>
      </c>
      <c r="C36" s="497" t="s">
        <v>2409</v>
      </c>
      <c r="D36" s="199" t="s">
        <v>2410</v>
      </c>
      <c r="E36" s="69" t="s">
        <v>2411</v>
      </c>
      <c r="F36" s="210">
        <v>50.0</v>
      </c>
      <c r="G36" s="209">
        <f t="shared" si="3"/>
        <v>50</v>
      </c>
      <c r="H36" s="62" t="s">
        <v>618</v>
      </c>
    </row>
    <row r="37" ht="25.5" customHeight="1">
      <c r="A37" s="52" t="s">
        <v>2405</v>
      </c>
      <c r="B37" s="60" t="s">
        <v>38</v>
      </c>
      <c r="C37" s="497" t="s">
        <v>155</v>
      </c>
      <c r="D37" s="274" t="s">
        <v>2412</v>
      </c>
      <c r="E37" s="60" t="s">
        <v>2413</v>
      </c>
      <c r="F37" s="210">
        <v>50.0</v>
      </c>
      <c r="G37" s="209">
        <f t="shared" si="3"/>
        <v>50</v>
      </c>
      <c r="H37" s="62" t="s">
        <v>618</v>
      </c>
    </row>
    <row r="38" ht="38.25" customHeight="1">
      <c r="A38" s="52" t="s">
        <v>2405</v>
      </c>
      <c r="B38" s="60" t="s">
        <v>38</v>
      </c>
      <c r="C38" s="497" t="s">
        <v>2330</v>
      </c>
      <c r="D38" s="199" t="s">
        <v>2378</v>
      </c>
      <c r="E38" s="60" t="s">
        <v>2414</v>
      </c>
      <c r="F38" s="210">
        <v>25.0</v>
      </c>
      <c r="G38" s="209">
        <f t="shared" si="3"/>
        <v>25</v>
      </c>
      <c r="H38" s="62" t="s">
        <v>618</v>
      </c>
    </row>
    <row r="39" ht="38.25" customHeight="1">
      <c r="A39" s="52" t="s">
        <v>2405</v>
      </c>
      <c r="B39" s="60" t="s">
        <v>38</v>
      </c>
      <c r="C39" s="497" t="s">
        <v>2330</v>
      </c>
      <c r="D39" s="199" t="s">
        <v>2378</v>
      </c>
      <c r="E39" s="60" t="s">
        <v>2415</v>
      </c>
      <c r="F39" s="210">
        <v>25.0</v>
      </c>
      <c r="G39" s="209">
        <f t="shared" si="3"/>
        <v>25</v>
      </c>
      <c r="H39" s="62" t="s">
        <v>618</v>
      </c>
    </row>
    <row r="40" ht="25.5" customHeight="1">
      <c r="A40" s="52" t="s">
        <v>532</v>
      </c>
      <c r="B40" s="60" t="s">
        <v>38</v>
      </c>
      <c r="C40" s="497" t="s">
        <v>2416</v>
      </c>
      <c r="D40" s="199" t="s">
        <v>2417</v>
      </c>
      <c r="E40" s="69" t="s">
        <v>2418</v>
      </c>
      <c r="F40" s="210">
        <v>50.0</v>
      </c>
      <c r="G40" s="209">
        <f t="shared" si="3"/>
        <v>50</v>
      </c>
      <c r="H40" s="62" t="s">
        <v>532</v>
      </c>
    </row>
    <row r="41" ht="25.5" customHeight="1">
      <c r="A41" s="52" t="s">
        <v>532</v>
      </c>
      <c r="B41" s="60" t="s">
        <v>38</v>
      </c>
      <c r="C41" s="497" t="s">
        <v>2416</v>
      </c>
      <c r="D41" s="199" t="s">
        <v>2417</v>
      </c>
      <c r="E41" s="69" t="s">
        <v>2419</v>
      </c>
      <c r="F41" s="210">
        <v>50.0</v>
      </c>
      <c r="G41" s="209">
        <f t="shared" si="3"/>
        <v>50</v>
      </c>
      <c r="H41" s="62" t="s">
        <v>532</v>
      </c>
    </row>
    <row r="42" ht="25.5" customHeight="1">
      <c r="A42" s="52" t="s">
        <v>532</v>
      </c>
      <c r="B42" s="60" t="s">
        <v>38</v>
      </c>
      <c r="C42" s="497" t="s">
        <v>2420</v>
      </c>
      <c r="D42" s="199" t="s">
        <v>2421</v>
      </c>
      <c r="E42" s="60" t="s">
        <v>2414</v>
      </c>
      <c r="F42" s="210">
        <v>50.0</v>
      </c>
      <c r="G42" s="209">
        <f t="shared" si="3"/>
        <v>50</v>
      </c>
      <c r="H42" s="62" t="s">
        <v>532</v>
      </c>
    </row>
    <row r="43" ht="25.5" customHeight="1">
      <c r="A43" s="52" t="s">
        <v>532</v>
      </c>
      <c r="B43" s="60" t="s">
        <v>38</v>
      </c>
      <c r="C43" s="199" t="s">
        <v>155</v>
      </c>
      <c r="D43" s="274" t="s">
        <v>2412</v>
      </c>
      <c r="E43" s="60" t="s">
        <v>2422</v>
      </c>
      <c r="F43" s="210">
        <v>50.0</v>
      </c>
      <c r="G43" s="209">
        <f t="shared" si="3"/>
        <v>50</v>
      </c>
      <c r="H43" s="62" t="s">
        <v>532</v>
      </c>
    </row>
    <row r="44" ht="76.5" customHeight="1">
      <c r="A44" s="52" t="s">
        <v>2423</v>
      </c>
      <c r="B44" s="60" t="s">
        <v>38</v>
      </c>
      <c r="C44" s="199" t="s">
        <v>2424</v>
      </c>
      <c r="D44" s="199" t="s">
        <v>2425</v>
      </c>
      <c r="E44" s="500" t="s">
        <v>2426</v>
      </c>
      <c r="F44" s="210">
        <v>25.0</v>
      </c>
      <c r="G44" s="128">
        <v>25.0</v>
      </c>
      <c r="H44" s="62" t="s">
        <v>1844</v>
      </c>
    </row>
    <row r="45" ht="89.25" customHeight="1">
      <c r="A45" s="52" t="s">
        <v>2427</v>
      </c>
      <c r="B45" s="60" t="s">
        <v>38</v>
      </c>
      <c r="C45" s="199" t="s">
        <v>2428</v>
      </c>
      <c r="D45" s="199" t="s">
        <v>2425</v>
      </c>
      <c r="E45" s="500" t="s">
        <v>2429</v>
      </c>
      <c r="F45" s="210">
        <v>25.0</v>
      </c>
      <c r="G45" s="128">
        <v>25.0</v>
      </c>
      <c r="H45" s="62" t="s">
        <v>1877</v>
      </c>
    </row>
    <row r="46" ht="102.0" customHeight="1">
      <c r="A46" s="52" t="s">
        <v>2427</v>
      </c>
      <c r="B46" s="60" t="s">
        <v>38</v>
      </c>
      <c r="C46" s="199" t="s">
        <v>2430</v>
      </c>
      <c r="D46" s="199" t="s">
        <v>2425</v>
      </c>
      <c r="E46" s="501" t="s">
        <v>2431</v>
      </c>
      <c r="F46" s="210">
        <v>25.0</v>
      </c>
      <c r="G46" s="128">
        <v>25.0</v>
      </c>
      <c r="H46" s="62" t="s">
        <v>1877</v>
      </c>
    </row>
    <row r="47" ht="45.0" customHeight="1">
      <c r="A47" s="52" t="s">
        <v>2432</v>
      </c>
      <c r="B47" s="60" t="s">
        <v>38</v>
      </c>
      <c r="C47" s="199" t="s">
        <v>2330</v>
      </c>
      <c r="D47" s="302" t="s">
        <v>2378</v>
      </c>
      <c r="E47" s="60" t="s">
        <v>2433</v>
      </c>
      <c r="F47" s="210">
        <v>25.0</v>
      </c>
      <c r="G47" s="128">
        <v>25.0</v>
      </c>
      <c r="H47" s="62" t="s">
        <v>668</v>
      </c>
    </row>
    <row r="48" ht="45.0" customHeight="1">
      <c r="A48" s="52" t="s">
        <v>2432</v>
      </c>
      <c r="B48" s="60" t="s">
        <v>38</v>
      </c>
      <c r="C48" s="63" t="s">
        <v>2330</v>
      </c>
      <c r="D48" s="302" t="s">
        <v>2378</v>
      </c>
      <c r="E48" s="60" t="s">
        <v>2434</v>
      </c>
      <c r="F48" s="76">
        <v>25.0</v>
      </c>
      <c r="G48" s="128">
        <v>25.0</v>
      </c>
      <c r="H48" s="62" t="s">
        <v>668</v>
      </c>
    </row>
    <row r="49" ht="25.5" customHeight="1">
      <c r="A49" s="52" t="s">
        <v>2336</v>
      </c>
      <c r="B49" s="60" t="s">
        <v>38</v>
      </c>
      <c r="C49" s="52" t="s">
        <v>2315</v>
      </c>
      <c r="D49" s="484" t="s">
        <v>2317</v>
      </c>
      <c r="E49" s="54" t="s">
        <v>2365</v>
      </c>
      <c r="F49" s="271">
        <v>50.0</v>
      </c>
      <c r="G49" s="128">
        <v>50.0</v>
      </c>
      <c r="H49" s="62" t="s">
        <v>425</v>
      </c>
    </row>
    <row r="50" ht="25.5" customHeight="1">
      <c r="A50" s="52" t="s">
        <v>2336</v>
      </c>
      <c r="B50" s="60" t="s">
        <v>38</v>
      </c>
      <c r="C50" s="54" t="s">
        <v>187</v>
      </c>
      <c r="D50" s="489" t="s">
        <v>2366</v>
      </c>
      <c r="E50" s="60" t="s">
        <v>623</v>
      </c>
      <c r="F50" s="76">
        <v>50.0</v>
      </c>
      <c r="G50" s="128">
        <v>50.0</v>
      </c>
      <c r="H50" s="62" t="s">
        <v>425</v>
      </c>
    </row>
    <row r="51" ht="45.0" customHeight="1">
      <c r="A51" s="52" t="s">
        <v>2336</v>
      </c>
      <c r="B51" s="60" t="s">
        <v>38</v>
      </c>
      <c r="C51" s="199" t="s">
        <v>2435</v>
      </c>
      <c r="D51" s="302" t="s">
        <v>2436</v>
      </c>
      <c r="E51" s="60" t="s">
        <v>662</v>
      </c>
      <c r="F51" s="76">
        <v>25.0</v>
      </c>
      <c r="G51" s="128">
        <v>25.0</v>
      </c>
      <c r="H51" s="62" t="s">
        <v>425</v>
      </c>
    </row>
    <row r="52" ht="30.0" customHeight="1">
      <c r="A52" s="52" t="s">
        <v>671</v>
      </c>
      <c r="B52" s="60" t="s">
        <v>38</v>
      </c>
      <c r="C52" s="199" t="s">
        <v>2437</v>
      </c>
      <c r="D52" s="302" t="s">
        <v>2438</v>
      </c>
      <c r="E52" s="502" t="s">
        <v>2439</v>
      </c>
      <c r="F52" s="210">
        <v>50.0</v>
      </c>
      <c r="G52" s="128">
        <v>50.0</v>
      </c>
      <c r="H52" s="62" t="s">
        <v>146</v>
      </c>
    </row>
    <row r="53" ht="45.0" customHeight="1">
      <c r="A53" s="52" t="s">
        <v>671</v>
      </c>
      <c r="B53" s="60" t="s">
        <v>38</v>
      </c>
      <c r="C53" s="199" t="s">
        <v>2330</v>
      </c>
      <c r="D53" s="302" t="s">
        <v>2378</v>
      </c>
      <c r="E53" s="502" t="s">
        <v>2440</v>
      </c>
      <c r="F53" s="76">
        <v>25.0</v>
      </c>
      <c r="G53" s="128">
        <v>25.0</v>
      </c>
      <c r="H53" s="62" t="s">
        <v>146</v>
      </c>
    </row>
    <row r="54" ht="25.5" customHeight="1">
      <c r="A54" s="52" t="s">
        <v>2441</v>
      </c>
      <c r="B54" s="60" t="s">
        <v>38</v>
      </c>
      <c r="C54" s="199" t="s">
        <v>2442</v>
      </c>
      <c r="D54" s="199" t="s">
        <v>2443</v>
      </c>
      <c r="E54" s="60" t="s">
        <v>2444</v>
      </c>
      <c r="F54" s="210"/>
      <c r="G54" s="128">
        <v>50.0</v>
      </c>
      <c r="H54" s="62" t="s">
        <v>485</v>
      </c>
    </row>
    <row r="55" ht="25.5" customHeight="1">
      <c r="A55" s="52" t="s">
        <v>2441</v>
      </c>
      <c r="B55" s="60" t="s">
        <v>38</v>
      </c>
      <c r="C55" s="199" t="s">
        <v>2445</v>
      </c>
      <c r="D55" s="199" t="s">
        <v>2443</v>
      </c>
      <c r="E55" s="60" t="s">
        <v>2408</v>
      </c>
      <c r="F55" s="76"/>
      <c r="G55" s="128">
        <v>50.0</v>
      </c>
      <c r="H55" s="62" t="s">
        <v>485</v>
      </c>
    </row>
    <row r="56" ht="25.5" customHeight="1">
      <c r="A56" s="52" t="s">
        <v>2441</v>
      </c>
      <c r="B56" s="60" t="s">
        <v>38</v>
      </c>
      <c r="C56" s="199" t="s">
        <v>2442</v>
      </c>
      <c r="D56" s="199" t="s">
        <v>2443</v>
      </c>
      <c r="E56" s="60" t="s">
        <v>2446</v>
      </c>
      <c r="F56" s="76"/>
      <c r="G56" s="128">
        <v>50.0</v>
      </c>
      <c r="H56" s="62" t="s">
        <v>485</v>
      </c>
    </row>
    <row r="57" ht="25.5" customHeight="1">
      <c r="A57" s="52" t="s">
        <v>2441</v>
      </c>
      <c r="B57" s="60" t="s">
        <v>38</v>
      </c>
      <c r="C57" s="199" t="s">
        <v>2442</v>
      </c>
      <c r="D57" s="199" t="s">
        <v>2443</v>
      </c>
      <c r="E57" s="60" t="s">
        <v>2447</v>
      </c>
      <c r="F57" s="76"/>
      <c r="G57" s="128">
        <v>50.0</v>
      </c>
      <c r="H57" s="62" t="s">
        <v>485</v>
      </c>
    </row>
    <row r="58" ht="51.0" customHeight="1">
      <c r="A58" s="352" t="s">
        <v>2337</v>
      </c>
      <c r="B58" s="356" t="s">
        <v>38</v>
      </c>
      <c r="C58" s="355" t="s">
        <v>2448</v>
      </c>
      <c r="D58" s="503" t="s">
        <v>2449</v>
      </c>
      <c r="E58" s="504">
        <v>43927.0</v>
      </c>
      <c r="F58" s="505">
        <v>50.0</v>
      </c>
      <c r="G58" s="506">
        <v>50.0</v>
      </c>
      <c r="H58" s="62" t="s">
        <v>167</v>
      </c>
      <c r="I58" s="247"/>
      <c r="J58" s="247"/>
      <c r="K58" s="247"/>
      <c r="L58" s="247"/>
      <c r="M58" s="247"/>
      <c r="N58" s="247"/>
      <c r="O58" s="247"/>
      <c r="P58" s="247"/>
      <c r="Q58" s="247"/>
      <c r="R58" s="247"/>
      <c r="S58" s="247"/>
      <c r="T58" s="247"/>
      <c r="U58" s="247"/>
      <c r="V58" s="247"/>
      <c r="W58" s="247"/>
      <c r="X58" s="247"/>
      <c r="Y58" s="247"/>
      <c r="Z58" s="247"/>
    </row>
    <row r="59" ht="51.0" customHeight="1">
      <c r="A59" s="352" t="s">
        <v>2337</v>
      </c>
      <c r="B59" s="356" t="s">
        <v>38</v>
      </c>
      <c r="C59" s="353" t="s">
        <v>2448</v>
      </c>
      <c r="D59" s="503" t="s">
        <v>2449</v>
      </c>
      <c r="E59" s="504">
        <v>43970.0</v>
      </c>
      <c r="F59" s="505">
        <v>50.0</v>
      </c>
      <c r="G59" s="506">
        <v>50.0</v>
      </c>
      <c r="H59" s="62" t="s">
        <v>167</v>
      </c>
      <c r="I59" s="247"/>
      <c r="J59" s="247"/>
      <c r="K59" s="247"/>
      <c r="L59" s="247"/>
      <c r="M59" s="247"/>
      <c r="N59" s="247"/>
      <c r="O59" s="247"/>
      <c r="P59" s="247"/>
      <c r="Q59" s="247"/>
      <c r="R59" s="247"/>
      <c r="S59" s="247"/>
      <c r="T59" s="247"/>
      <c r="U59" s="247"/>
      <c r="V59" s="247"/>
      <c r="W59" s="247"/>
      <c r="X59" s="247"/>
      <c r="Y59" s="247"/>
      <c r="Z59" s="247"/>
    </row>
    <row r="60" ht="51.0" customHeight="1">
      <c r="A60" s="352" t="s">
        <v>2337</v>
      </c>
      <c r="B60" s="356" t="s">
        <v>38</v>
      </c>
      <c r="C60" s="353" t="s">
        <v>2448</v>
      </c>
      <c r="D60" s="503" t="s">
        <v>2449</v>
      </c>
      <c r="E60" s="504">
        <v>44112.0</v>
      </c>
      <c r="F60" s="505">
        <v>50.0</v>
      </c>
      <c r="G60" s="506">
        <v>50.0</v>
      </c>
      <c r="H60" s="62" t="s">
        <v>167</v>
      </c>
      <c r="I60" s="247"/>
      <c r="J60" s="247"/>
      <c r="K60" s="247"/>
      <c r="L60" s="247"/>
      <c r="M60" s="247"/>
      <c r="N60" s="247"/>
      <c r="O60" s="247"/>
      <c r="P60" s="247"/>
      <c r="Q60" s="247"/>
      <c r="R60" s="247"/>
      <c r="S60" s="247"/>
      <c r="T60" s="247"/>
      <c r="U60" s="247"/>
      <c r="V60" s="247"/>
      <c r="W60" s="247"/>
      <c r="X60" s="247"/>
      <c r="Y60" s="247"/>
      <c r="Z60" s="247"/>
    </row>
    <row r="61" ht="51.0" customHeight="1">
      <c r="A61" s="352" t="s">
        <v>2337</v>
      </c>
      <c r="B61" s="356" t="s">
        <v>38</v>
      </c>
      <c r="C61" s="353" t="s">
        <v>2448</v>
      </c>
      <c r="D61" s="503" t="s">
        <v>2449</v>
      </c>
      <c r="E61" s="504">
        <v>44144.0</v>
      </c>
      <c r="F61" s="505">
        <v>50.0</v>
      </c>
      <c r="G61" s="506">
        <v>50.0</v>
      </c>
      <c r="H61" s="62" t="s">
        <v>167</v>
      </c>
      <c r="I61" s="247"/>
      <c r="J61" s="247"/>
      <c r="K61" s="247"/>
      <c r="L61" s="247"/>
      <c r="M61" s="247"/>
      <c r="N61" s="247"/>
      <c r="O61" s="247"/>
      <c r="P61" s="247"/>
      <c r="Q61" s="247"/>
      <c r="R61" s="247"/>
      <c r="S61" s="247"/>
      <c r="T61" s="247"/>
      <c r="U61" s="247"/>
      <c r="V61" s="247"/>
      <c r="W61" s="247"/>
      <c r="X61" s="247"/>
      <c r="Y61" s="247"/>
      <c r="Z61" s="247"/>
    </row>
    <row r="62" ht="25.5" customHeight="1">
      <c r="A62" s="52" t="s">
        <v>2351</v>
      </c>
      <c r="B62" s="60" t="s">
        <v>38</v>
      </c>
      <c r="C62" s="60" t="s">
        <v>2450</v>
      </c>
      <c r="D62" s="60" t="s">
        <v>2451</v>
      </c>
      <c r="E62" s="490">
        <v>44042.0</v>
      </c>
      <c r="F62" s="210">
        <v>50.0</v>
      </c>
      <c r="G62" s="128">
        <v>50.0</v>
      </c>
      <c r="H62" s="62" t="s">
        <v>173</v>
      </c>
      <c r="I62" s="247"/>
      <c r="J62" s="247"/>
      <c r="K62" s="247"/>
      <c r="L62" s="247"/>
      <c r="M62" s="247"/>
      <c r="N62" s="247"/>
      <c r="O62" s="247"/>
      <c r="P62" s="247"/>
      <c r="Q62" s="247"/>
      <c r="R62" s="247"/>
      <c r="S62" s="247"/>
      <c r="T62" s="247"/>
      <c r="U62" s="247"/>
      <c r="V62" s="247"/>
      <c r="W62" s="247"/>
      <c r="X62" s="247"/>
      <c r="Y62" s="247"/>
      <c r="Z62" s="247"/>
    </row>
    <row r="63" ht="25.5" customHeight="1">
      <c r="A63" s="52" t="s">
        <v>2351</v>
      </c>
      <c r="B63" s="60" t="s">
        <v>38</v>
      </c>
      <c r="C63" s="60" t="s">
        <v>2452</v>
      </c>
      <c r="D63" s="60" t="s">
        <v>2453</v>
      </c>
      <c r="E63" s="490">
        <v>44151.0</v>
      </c>
      <c r="F63" s="210">
        <v>50.0</v>
      </c>
      <c r="G63" s="128">
        <v>50.0</v>
      </c>
      <c r="H63" s="62" t="s">
        <v>173</v>
      </c>
      <c r="I63" s="247"/>
      <c r="J63" s="247"/>
      <c r="K63" s="247"/>
      <c r="L63" s="247"/>
      <c r="M63" s="247"/>
      <c r="N63" s="247"/>
      <c r="O63" s="247"/>
      <c r="P63" s="247"/>
      <c r="Q63" s="247"/>
      <c r="R63" s="247"/>
      <c r="S63" s="247"/>
      <c r="T63" s="247"/>
      <c r="U63" s="247"/>
      <c r="V63" s="247"/>
      <c r="W63" s="247"/>
      <c r="X63" s="247"/>
      <c r="Y63" s="247"/>
      <c r="Z63" s="247"/>
    </row>
    <row r="64" ht="26.25" customHeight="1">
      <c r="A64" s="52" t="s">
        <v>2351</v>
      </c>
      <c r="B64" s="60" t="s">
        <v>38</v>
      </c>
      <c r="C64" s="507" t="s">
        <v>2454</v>
      </c>
      <c r="D64" s="508" t="s">
        <v>2455</v>
      </c>
      <c r="E64" s="490">
        <v>43878.0</v>
      </c>
      <c r="F64" s="210">
        <v>25.0</v>
      </c>
      <c r="G64" s="128">
        <v>25.0</v>
      </c>
      <c r="H64" s="62" t="s">
        <v>173</v>
      </c>
      <c r="I64" s="247"/>
      <c r="J64" s="247"/>
      <c r="K64" s="247"/>
      <c r="L64" s="247"/>
      <c r="M64" s="247"/>
      <c r="N64" s="247"/>
      <c r="O64" s="247"/>
      <c r="P64" s="247"/>
      <c r="Q64" s="247"/>
      <c r="R64" s="247"/>
      <c r="S64" s="247"/>
      <c r="T64" s="247"/>
      <c r="U64" s="247"/>
      <c r="V64" s="247"/>
      <c r="W64" s="247"/>
      <c r="X64" s="247"/>
      <c r="Y64" s="247"/>
      <c r="Z64" s="247"/>
    </row>
    <row r="65" ht="26.25" customHeight="1">
      <c r="A65" s="52" t="s">
        <v>2351</v>
      </c>
      <c r="B65" s="60" t="s">
        <v>38</v>
      </c>
      <c r="C65" s="509" t="s">
        <v>2456</v>
      </c>
      <c r="D65" s="60" t="s">
        <v>2457</v>
      </c>
      <c r="E65" s="490">
        <v>44174.0</v>
      </c>
      <c r="F65" s="210">
        <v>50.0</v>
      </c>
      <c r="G65" s="128">
        <v>50.0</v>
      </c>
      <c r="H65" s="62" t="s">
        <v>173</v>
      </c>
      <c r="I65" s="247"/>
      <c r="J65" s="247"/>
      <c r="K65" s="247"/>
      <c r="L65" s="247"/>
      <c r="M65" s="247"/>
      <c r="N65" s="247"/>
      <c r="O65" s="247"/>
      <c r="P65" s="247"/>
      <c r="Q65" s="247"/>
      <c r="R65" s="247"/>
      <c r="S65" s="247"/>
      <c r="T65" s="247"/>
      <c r="U65" s="247"/>
      <c r="V65" s="247"/>
      <c r="W65" s="247"/>
      <c r="X65" s="247"/>
      <c r="Y65" s="247"/>
      <c r="Z65" s="247"/>
    </row>
    <row r="66" ht="15.75" customHeight="1">
      <c r="A66" s="52"/>
      <c r="B66" s="60"/>
      <c r="C66" s="199"/>
      <c r="D66" s="199"/>
      <c r="E66" s="60"/>
      <c r="F66" s="76"/>
      <c r="G66" s="128"/>
      <c r="H66" s="62"/>
      <c r="I66" s="247"/>
      <c r="J66" s="247"/>
      <c r="K66" s="247"/>
      <c r="L66" s="247"/>
      <c r="M66" s="247"/>
      <c r="N66" s="247"/>
      <c r="O66" s="247"/>
      <c r="P66" s="247"/>
      <c r="Q66" s="247"/>
      <c r="R66" s="247"/>
      <c r="S66" s="247"/>
      <c r="T66" s="247"/>
      <c r="U66" s="247"/>
      <c r="V66" s="247"/>
      <c r="W66" s="247"/>
      <c r="X66" s="247"/>
      <c r="Y66" s="247"/>
      <c r="Z66" s="247"/>
    </row>
    <row r="67" ht="15.75" customHeight="1">
      <c r="A67" s="52"/>
      <c r="B67" s="60"/>
      <c r="C67" s="199"/>
      <c r="D67" s="199"/>
      <c r="E67" s="60"/>
      <c r="F67" s="76"/>
      <c r="G67" s="128"/>
      <c r="H67" s="62"/>
      <c r="I67" s="247"/>
      <c r="J67" s="247"/>
      <c r="K67" s="247"/>
      <c r="L67" s="247"/>
      <c r="M67" s="247"/>
      <c r="N67" s="247"/>
      <c r="O67" s="247"/>
      <c r="P67" s="247"/>
      <c r="Q67" s="247"/>
      <c r="R67" s="247"/>
      <c r="S67" s="247"/>
      <c r="T67" s="247"/>
      <c r="U67" s="247"/>
      <c r="V67" s="247"/>
      <c r="W67" s="247"/>
      <c r="X67" s="247"/>
      <c r="Y67" s="247"/>
      <c r="Z67" s="247"/>
    </row>
    <row r="68" ht="15.75" customHeight="1">
      <c r="A68" s="52"/>
      <c r="B68" s="60"/>
      <c r="C68" s="199"/>
      <c r="D68" s="199"/>
      <c r="E68" s="60"/>
      <c r="F68" s="76"/>
      <c r="G68" s="209"/>
      <c r="H68" s="62"/>
    </row>
    <row r="69" ht="15.75" customHeight="1">
      <c r="A69" s="46"/>
      <c r="B69" s="46"/>
      <c r="C69" s="510"/>
      <c r="D69" s="510"/>
      <c r="E69" s="510"/>
      <c r="F69" s="510"/>
      <c r="G69" s="511">
        <f>SUM(G10:G68)</f>
        <v>2200</v>
      </c>
    </row>
    <row r="70" ht="15.75" customHeight="1">
      <c r="A70" s="36"/>
      <c r="B70" s="36"/>
      <c r="C70" s="37"/>
      <c r="D70" s="37"/>
      <c r="E70" s="37"/>
      <c r="F70" s="37"/>
      <c r="G70" s="1"/>
    </row>
    <row r="71" ht="15.75" customHeight="1">
      <c r="A71" s="90" t="s">
        <v>178</v>
      </c>
      <c r="B71" s="91"/>
      <c r="C71" s="91"/>
      <c r="D71" s="91"/>
      <c r="E71" s="91"/>
      <c r="F71" s="91"/>
      <c r="G71" s="92"/>
      <c r="H71" s="36"/>
      <c r="I71" s="36"/>
      <c r="J71" s="36"/>
      <c r="K71" s="36"/>
      <c r="L71" s="36"/>
      <c r="M71" s="36"/>
      <c r="N71" s="36"/>
      <c r="O71" s="36"/>
      <c r="P71" s="36"/>
      <c r="Q71" s="36"/>
      <c r="R71" s="36"/>
      <c r="S71" s="36"/>
      <c r="T71" s="36"/>
      <c r="U71" s="36"/>
      <c r="V71" s="36"/>
      <c r="W71" s="36"/>
      <c r="X71" s="36"/>
      <c r="Y71" s="36"/>
      <c r="Z71" s="36"/>
    </row>
    <row r="72" ht="15.75" customHeight="1">
      <c r="A72" s="36"/>
      <c r="B72" s="36"/>
      <c r="C72" s="37"/>
      <c r="D72" s="37"/>
      <c r="E72" s="37"/>
      <c r="F72" s="1"/>
      <c r="G72" s="1"/>
    </row>
    <row r="73" ht="15.75" customHeight="1">
      <c r="A73" s="36"/>
      <c r="B73" s="36"/>
      <c r="C73" s="37"/>
      <c r="D73" s="37"/>
      <c r="E73" s="37"/>
      <c r="F73" s="37"/>
      <c r="G73" s="1"/>
    </row>
    <row r="74" ht="15.75" customHeight="1">
      <c r="A74" s="36"/>
      <c r="B74" s="36"/>
      <c r="C74" s="37"/>
      <c r="D74" s="37"/>
      <c r="E74" s="37"/>
      <c r="F74" s="1"/>
      <c r="G74" s="1"/>
    </row>
    <row r="75" ht="15.75" customHeight="1">
      <c r="A75" s="36"/>
      <c r="B75" s="36"/>
      <c r="C75" s="37"/>
      <c r="D75" s="37"/>
      <c r="E75" s="37"/>
      <c r="F75" s="37"/>
      <c r="G75" s="1"/>
    </row>
    <row r="76" ht="15.75" customHeight="1">
      <c r="A76" s="36"/>
      <c r="B76" s="36"/>
      <c r="C76" s="37"/>
      <c r="D76" s="37"/>
      <c r="E76" s="37"/>
      <c r="F76" s="37"/>
      <c r="G76" s="1"/>
    </row>
    <row r="77" ht="15.75" customHeight="1">
      <c r="A77" s="36"/>
      <c r="B77" s="36"/>
      <c r="C77" s="37"/>
      <c r="D77" s="37"/>
      <c r="E77" s="37"/>
      <c r="F77" s="37"/>
      <c r="G77" s="1"/>
    </row>
    <row r="78" ht="15.75" customHeight="1">
      <c r="A78" s="36"/>
      <c r="B78" s="36"/>
      <c r="C78" s="37"/>
      <c r="D78" s="37"/>
      <c r="E78" s="37"/>
      <c r="F78" s="37"/>
      <c r="G78" s="1"/>
    </row>
    <row r="79" ht="15.75" customHeight="1">
      <c r="A79" s="36"/>
      <c r="B79" s="36"/>
      <c r="C79" s="37"/>
      <c r="D79" s="37"/>
      <c r="E79" s="37"/>
      <c r="F79" s="37"/>
      <c r="G79" s="1"/>
    </row>
    <row r="80" ht="15.75" customHeight="1">
      <c r="A80" s="36"/>
      <c r="B80" s="36"/>
      <c r="C80" s="37"/>
      <c r="D80" s="37"/>
      <c r="E80" s="37"/>
      <c r="F80" s="37"/>
      <c r="G80" s="1"/>
    </row>
    <row r="81" ht="15.75" customHeight="1">
      <c r="A81" s="36"/>
      <c r="B81" s="36"/>
      <c r="C81" s="37"/>
      <c r="D81" s="37"/>
      <c r="E81" s="37"/>
      <c r="F81" s="37"/>
      <c r="G81" s="1"/>
    </row>
    <row r="82" ht="15.75" customHeight="1">
      <c r="A82" s="36"/>
      <c r="B82" s="36"/>
      <c r="C82" s="37"/>
      <c r="D82" s="37"/>
      <c r="E82" s="37"/>
      <c r="F82" s="37"/>
      <c r="G82" s="1"/>
    </row>
    <row r="83" ht="15.75" customHeight="1">
      <c r="A83" s="36"/>
      <c r="B83" s="36"/>
      <c r="C83" s="37"/>
      <c r="D83" s="37"/>
      <c r="E83" s="37"/>
      <c r="F83" s="37"/>
      <c r="G83" s="1"/>
    </row>
    <row r="84" ht="15.75" customHeight="1">
      <c r="A84" s="36"/>
      <c r="B84" s="36"/>
      <c r="C84" s="37"/>
      <c r="D84" s="37"/>
      <c r="E84" s="37"/>
      <c r="F84" s="37"/>
      <c r="G84" s="1"/>
    </row>
    <row r="85" ht="15.75" customHeight="1">
      <c r="A85" s="36"/>
      <c r="B85" s="36"/>
      <c r="C85" s="37"/>
      <c r="D85" s="37"/>
      <c r="E85" s="37"/>
      <c r="F85" s="37"/>
      <c r="G85" s="1"/>
    </row>
    <row r="86" ht="15.75" customHeight="1">
      <c r="A86" s="36"/>
      <c r="B86" s="36"/>
      <c r="C86" s="37"/>
      <c r="D86" s="37"/>
      <c r="E86" s="37"/>
      <c r="F86" s="37"/>
      <c r="G86" s="1"/>
    </row>
    <row r="87" ht="15.75" customHeight="1">
      <c r="A87" s="36"/>
      <c r="B87" s="36"/>
      <c r="C87" s="37"/>
      <c r="D87" s="37"/>
      <c r="E87" s="37"/>
      <c r="F87" s="37"/>
      <c r="G87" s="1"/>
    </row>
    <row r="88" ht="15.75" customHeight="1">
      <c r="A88" s="36"/>
      <c r="B88" s="36"/>
      <c r="C88" s="37"/>
      <c r="D88" s="37"/>
      <c r="E88" s="37"/>
      <c r="F88" s="37"/>
      <c r="G88" s="1"/>
    </row>
    <row r="89" ht="15.75" customHeight="1">
      <c r="A89" s="36"/>
      <c r="B89" s="36"/>
      <c r="C89" s="37"/>
      <c r="D89" s="37"/>
      <c r="E89" s="37"/>
      <c r="F89" s="37"/>
      <c r="G89" s="1"/>
    </row>
    <row r="90" ht="15.75" customHeight="1">
      <c r="A90" s="36"/>
      <c r="B90" s="36"/>
      <c r="C90" s="37"/>
      <c r="D90" s="37"/>
      <c r="E90" s="37"/>
      <c r="F90" s="37"/>
      <c r="G90" s="1"/>
    </row>
    <row r="91" ht="15.75" customHeight="1">
      <c r="A91" s="36"/>
      <c r="B91" s="36"/>
      <c r="C91" s="37"/>
      <c r="D91" s="37"/>
      <c r="E91" s="37"/>
      <c r="F91" s="37"/>
      <c r="G91" s="1"/>
    </row>
    <row r="92" ht="15.75" customHeight="1">
      <c r="A92" s="36"/>
      <c r="B92" s="36"/>
      <c r="C92" s="37"/>
      <c r="D92" s="37"/>
      <c r="E92" s="37"/>
      <c r="F92" s="37"/>
      <c r="G92" s="1"/>
    </row>
    <row r="93" ht="15.75" customHeight="1">
      <c r="A93" s="36"/>
      <c r="B93" s="36"/>
      <c r="C93" s="37"/>
      <c r="D93" s="37"/>
      <c r="E93" s="37"/>
      <c r="F93" s="37"/>
      <c r="G93" s="1"/>
    </row>
    <row r="94" ht="15.75" customHeight="1">
      <c r="A94" s="36"/>
      <c r="B94" s="36"/>
      <c r="C94" s="37"/>
      <c r="D94" s="37"/>
      <c r="E94" s="37"/>
      <c r="F94" s="37"/>
      <c r="G94" s="1"/>
    </row>
    <row r="95" ht="15.75" customHeight="1">
      <c r="A95" s="36"/>
      <c r="B95" s="36"/>
      <c r="C95" s="37"/>
      <c r="D95" s="37"/>
      <c r="E95" s="37"/>
      <c r="F95" s="37"/>
      <c r="G95" s="1"/>
    </row>
    <row r="96" ht="15.75" customHeight="1">
      <c r="A96" s="36"/>
      <c r="B96" s="36"/>
      <c r="C96" s="37"/>
      <c r="D96" s="37"/>
      <c r="E96" s="37"/>
      <c r="F96" s="37"/>
      <c r="G96" s="1"/>
    </row>
    <row r="97" ht="15.75" customHeight="1">
      <c r="A97" s="36"/>
      <c r="B97" s="36"/>
      <c r="C97" s="37"/>
      <c r="D97" s="37"/>
      <c r="E97" s="37"/>
      <c r="F97" s="37"/>
      <c r="G97" s="1"/>
    </row>
    <row r="98" ht="15.75" customHeight="1">
      <c r="A98" s="36"/>
      <c r="B98" s="36"/>
      <c r="C98" s="37"/>
      <c r="D98" s="37"/>
      <c r="E98" s="37"/>
      <c r="F98" s="37"/>
      <c r="G98" s="1"/>
    </row>
    <row r="99" ht="15.75" customHeight="1">
      <c r="A99" s="36"/>
      <c r="B99" s="36"/>
      <c r="C99" s="37"/>
      <c r="D99" s="37"/>
      <c r="E99" s="37"/>
      <c r="F99" s="37"/>
      <c r="G99" s="1"/>
    </row>
    <row r="100" ht="15.75" customHeight="1">
      <c r="A100" s="36"/>
      <c r="B100" s="36"/>
      <c r="C100" s="37"/>
      <c r="D100" s="37"/>
      <c r="E100" s="37"/>
      <c r="F100" s="37"/>
      <c r="G100" s="1"/>
    </row>
    <row r="101" ht="15.75" customHeight="1">
      <c r="A101" s="36"/>
      <c r="B101" s="36"/>
      <c r="C101" s="37"/>
      <c r="D101" s="37"/>
      <c r="E101" s="37"/>
      <c r="F101" s="37"/>
      <c r="G101" s="1"/>
    </row>
    <row r="102" ht="15.75" customHeight="1">
      <c r="A102" s="36"/>
      <c r="B102" s="36"/>
      <c r="C102" s="37"/>
      <c r="D102" s="37"/>
      <c r="E102" s="37"/>
      <c r="F102" s="37"/>
      <c r="G102" s="1"/>
    </row>
    <row r="103" ht="15.75" customHeight="1">
      <c r="A103" s="36"/>
      <c r="B103" s="36"/>
      <c r="C103" s="37"/>
      <c r="D103" s="37"/>
      <c r="E103" s="37"/>
      <c r="F103" s="37"/>
      <c r="G103" s="1"/>
    </row>
    <row r="104" ht="15.75" customHeight="1">
      <c r="A104" s="36"/>
      <c r="B104" s="36"/>
      <c r="C104" s="37"/>
      <c r="D104" s="37"/>
      <c r="E104" s="37"/>
      <c r="F104" s="37"/>
      <c r="G104" s="1"/>
    </row>
    <row r="105" ht="15.75" customHeight="1">
      <c r="A105" s="36"/>
      <c r="B105" s="36"/>
      <c r="C105" s="37"/>
      <c r="D105" s="37"/>
      <c r="E105" s="37"/>
      <c r="F105" s="37"/>
      <c r="G105" s="1"/>
    </row>
    <row r="106" ht="15.75" customHeight="1">
      <c r="A106" s="36"/>
      <c r="B106" s="36"/>
      <c r="C106" s="37"/>
      <c r="D106" s="37"/>
      <c r="E106" s="37"/>
      <c r="F106" s="37"/>
      <c r="G106" s="1"/>
    </row>
    <row r="107" ht="15.75" customHeight="1">
      <c r="A107" s="36"/>
      <c r="B107" s="36"/>
      <c r="C107" s="37"/>
      <c r="D107" s="37"/>
      <c r="E107" s="37"/>
      <c r="F107" s="37"/>
      <c r="G107" s="1"/>
    </row>
    <row r="108" ht="15.75" customHeight="1">
      <c r="A108" s="36"/>
      <c r="B108" s="36"/>
      <c r="C108" s="37"/>
      <c r="D108" s="37"/>
      <c r="E108" s="37"/>
      <c r="F108" s="37"/>
      <c r="G108" s="1"/>
    </row>
    <row r="109" ht="15.75" customHeight="1">
      <c r="A109" s="36"/>
      <c r="B109" s="36"/>
      <c r="C109" s="37"/>
      <c r="D109" s="37"/>
      <c r="E109" s="37"/>
      <c r="F109" s="37"/>
      <c r="G109" s="1"/>
    </row>
    <row r="110" ht="15.75" customHeight="1">
      <c r="A110" s="36"/>
      <c r="B110" s="36"/>
      <c r="C110" s="37"/>
      <c r="D110" s="37"/>
      <c r="E110" s="37"/>
      <c r="F110" s="37"/>
      <c r="G110" s="1"/>
    </row>
    <row r="111" ht="15.75" customHeight="1">
      <c r="A111" s="36"/>
      <c r="B111" s="36"/>
      <c r="C111" s="37"/>
      <c r="D111" s="37"/>
      <c r="E111" s="37"/>
      <c r="F111" s="37"/>
      <c r="G111" s="1"/>
    </row>
    <row r="112" ht="15.75" customHeight="1">
      <c r="A112" s="36"/>
      <c r="B112" s="36"/>
      <c r="C112" s="37"/>
      <c r="D112" s="37"/>
      <c r="E112" s="37"/>
      <c r="F112" s="37"/>
      <c r="G112" s="1"/>
    </row>
    <row r="113" ht="15.75" customHeight="1">
      <c r="A113" s="36"/>
      <c r="B113" s="36"/>
      <c r="C113" s="37"/>
      <c r="D113" s="37"/>
      <c r="E113" s="37"/>
      <c r="F113" s="37"/>
      <c r="G113" s="1"/>
    </row>
    <row r="114" ht="15.75" customHeight="1">
      <c r="A114" s="36"/>
      <c r="B114" s="36"/>
      <c r="C114" s="37"/>
      <c r="D114" s="37"/>
      <c r="E114" s="37"/>
      <c r="F114" s="37"/>
      <c r="G114" s="1"/>
    </row>
    <row r="115" ht="15.75" customHeight="1">
      <c r="A115" s="36"/>
      <c r="B115" s="36"/>
      <c r="C115" s="37"/>
      <c r="D115" s="37"/>
      <c r="E115" s="37"/>
      <c r="F115" s="37"/>
      <c r="G115" s="1"/>
    </row>
    <row r="116" ht="15.75" customHeight="1">
      <c r="A116" s="36"/>
      <c r="B116" s="36"/>
      <c r="C116" s="37"/>
      <c r="D116" s="37"/>
      <c r="E116" s="37"/>
      <c r="F116" s="37"/>
      <c r="G116" s="1"/>
    </row>
    <row r="117" ht="15.75" customHeight="1">
      <c r="A117" s="36"/>
      <c r="B117" s="36"/>
      <c r="C117" s="37"/>
      <c r="D117" s="37"/>
      <c r="E117" s="37"/>
      <c r="F117" s="37"/>
      <c r="G117" s="1"/>
    </row>
    <row r="118" ht="15.75" customHeight="1">
      <c r="A118" s="36"/>
      <c r="B118" s="36"/>
      <c r="C118" s="37"/>
      <c r="D118" s="37"/>
      <c r="E118" s="37"/>
      <c r="F118" s="37"/>
      <c r="G118" s="1"/>
    </row>
    <row r="119" ht="15.75" customHeight="1">
      <c r="A119" s="36"/>
      <c r="B119" s="36"/>
      <c r="C119" s="37"/>
      <c r="D119" s="37"/>
      <c r="E119" s="37"/>
      <c r="F119" s="37"/>
      <c r="G119" s="1"/>
    </row>
    <row r="120" ht="15.75" customHeight="1">
      <c r="A120" s="36"/>
      <c r="B120" s="36"/>
      <c r="C120" s="37"/>
      <c r="D120" s="37"/>
      <c r="E120" s="37"/>
      <c r="F120" s="37"/>
      <c r="G120" s="1"/>
    </row>
    <row r="121" ht="15.75" customHeight="1">
      <c r="A121" s="36"/>
      <c r="B121" s="36"/>
      <c r="C121" s="37"/>
      <c r="D121" s="37"/>
      <c r="E121" s="37"/>
      <c r="F121" s="37"/>
      <c r="G121" s="1"/>
    </row>
    <row r="122" ht="15.75" customHeight="1">
      <c r="A122" s="36"/>
      <c r="B122" s="36"/>
      <c r="C122" s="37"/>
      <c r="D122" s="37"/>
      <c r="E122" s="37"/>
      <c r="F122" s="37"/>
      <c r="G122" s="1"/>
    </row>
    <row r="123" ht="15.75" customHeight="1">
      <c r="A123" s="36"/>
      <c r="B123" s="36"/>
      <c r="C123" s="37"/>
      <c r="D123" s="37"/>
      <c r="E123" s="37"/>
      <c r="F123" s="37"/>
      <c r="G123" s="1"/>
    </row>
    <row r="124" ht="15.75" customHeight="1">
      <c r="A124" s="36"/>
      <c r="B124" s="36"/>
      <c r="C124" s="37"/>
      <c r="D124" s="37"/>
      <c r="E124" s="37"/>
      <c r="F124" s="37"/>
      <c r="G124" s="1"/>
    </row>
    <row r="125" ht="15.75" customHeight="1">
      <c r="A125" s="36"/>
      <c r="B125" s="36"/>
      <c r="C125" s="37"/>
      <c r="D125" s="37"/>
      <c r="E125" s="37"/>
      <c r="F125" s="37"/>
      <c r="G125" s="1"/>
    </row>
    <row r="126" ht="15.75" customHeight="1">
      <c r="A126" s="36"/>
      <c r="B126" s="36"/>
      <c r="C126" s="37"/>
      <c r="D126" s="37"/>
      <c r="E126" s="37"/>
      <c r="F126" s="37"/>
      <c r="G126" s="1"/>
    </row>
    <row r="127" ht="15.75" customHeight="1">
      <c r="A127" s="36"/>
      <c r="B127" s="36"/>
      <c r="C127" s="37"/>
      <c r="D127" s="37"/>
      <c r="E127" s="37"/>
      <c r="F127" s="37"/>
      <c r="G127" s="1"/>
    </row>
    <row r="128" ht="15.75" customHeight="1">
      <c r="A128" s="36"/>
      <c r="B128" s="36"/>
      <c r="C128" s="37"/>
      <c r="D128" s="37"/>
      <c r="E128" s="37"/>
      <c r="F128" s="37"/>
      <c r="G128" s="1"/>
    </row>
    <row r="129" ht="15.75" customHeight="1">
      <c r="A129" s="36"/>
      <c r="B129" s="36"/>
      <c r="C129" s="37"/>
      <c r="D129" s="37"/>
      <c r="E129" s="37"/>
      <c r="F129" s="37"/>
      <c r="G129" s="1"/>
    </row>
    <row r="130" ht="15.75" customHeight="1">
      <c r="A130" s="36"/>
      <c r="B130" s="36"/>
      <c r="C130" s="37"/>
      <c r="D130" s="37"/>
      <c r="E130" s="37"/>
      <c r="F130" s="37"/>
      <c r="G130" s="1"/>
    </row>
    <row r="131" ht="15.75" customHeight="1">
      <c r="A131" s="36"/>
      <c r="B131" s="36"/>
      <c r="C131" s="37"/>
      <c r="D131" s="37"/>
      <c r="E131" s="37"/>
      <c r="F131" s="37"/>
      <c r="G131" s="1"/>
    </row>
    <row r="132" ht="15.75" customHeight="1">
      <c r="A132" s="36"/>
      <c r="B132" s="36"/>
      <c r="C132" s="37"/>
      <c r="D132" s="37"/>
      <c r="E132" s="37"/>
      <c r="F132" s="37"/>
      <c r="G132" s="1"/>
    </row>
    <row r="133" ht="15.75" customHeight="1">
      <c r="A133" s="36"/>
      <c r="B133" s="36"/>
      <c r="C133" s="37"/>
      <c r="D133" s="37"/>
      <c r="E133" s="37"/>
      <c r="F133" s="37"/>
      <c r="G133" s="1"/>
    </row>
    <row r="134" ht="15.75" customHeight="1">
      <c r="A134" s="36"/>
      <c r="B134" s="36"/>
      <c r="C134" s="37"/>
      <c r="D134" s="37"/>
      <c r="E134" s="37"/>
      <c r="F134" s="37"/>
      <c r="G134" s="1"/>
    </row>
    <row r="135" ht="15.75" customHeight="1">
      <c r="A135" s="36"/>
      <c r="B135" s="36"/>
      <c r="C135" s="37"/>
      <c r="D135" s="37"/>
      <c r="E135" s="37"/>
      <c r="F135" s="37"/>
      <c r="G135" s="1"/>
    </row>
    <row r="136" ht="15.75" customHeight="1">
      <c r="A136" s="36"/>
      <c r="B136" s="36"/>
      <c r="C136" s="37"/>
      <c r="D136" s="37"/>
      <c r="E136" s="37"/>
      <c r="F136" s="37"/>
      <c r="G136" s="1"/>
    </row>
    <row r="137" ht="15.75" customHeight="1">
      <c r="A137" s="36"/>
      <c r="B137" s="36"/>
      <c r="C137" s="37"/>
      <c r="D137" s="37"/>
      <c r="E137" s="37"/>
      <c r="F137" s="37"/>
      <c r="G137" s="1"/>
    </row>
    <row r="138" ht="15.75" customHeight="1">
      <c r="A138" s="36"/>
      <c r="B138" s="36"/>
      <c r="C138" s="37"/>
      <c r="D138" s="37"/>
      <c r="E138" s="37"/>
      <c r="F138" s="37"/>
      <c r="G138" s="1"/>
    </row>
    <row r="139" ht="15.75" customHeight="1">
      <c r="A139" s="36"/>
      <c r="B139" s="36"/>
      <c r="C139" s="37"/>
      <c r="D139" s="37"/>
      <c r="E139" s="37"/>
      <c r="F139" s="37"/>
      <c r="G139" s="1"/>
    </row>
    <row r="140" ht="15.75" customHeight="1">
      <c r="A140" s="36"/>
      <c r="B140" s="36"/>
      <c r="C140" s="37"/>
      <c r="D140" s="37"/>
      <c r="E140" s="37"/>
      <c r="F140" s="37"/>
      <c r="G140" s="1"/>
    </row>
    <row r="141" ht="15.75" customHeight="1">
      <c r="A141" s="36"/>
      <c r="B141" s="36"/>
      <c r="C141" s="37"/>
      <c r="D141" s="37"/>
      <c r="E141" s="37"/>
      <c r="F141" s="37"/>
      <c r="G141" s="1"/>
    </row>
    <row r="142" ht="15.75" customHeight="1">
      <c r="A142" s="36"/>
      <c r="B142" s="36"/>
      <c r="C142" s="37"/>
      <c r="D142" s="37"/>
      <c r="E142" s="37"/>
      <c r="F142" s="37"/>
      <c r="G142" s="1"/>
    </row>
    <row r="143" ht="15.75" customHeight="1">
      <c r="A143" s="36"/>
      <c r="B143" s="36"/>
      <c r="C143" s="37"/>
      <c r="D143" s="37"/>
      <c r="E143" s="37"/>
      <c r="F143" s="37"/>
      <c r="G143" s="1"/>
    </row>
    <row r="144" ht="15.75" customHeight="1">
      <c r="A144" s="36"/>
      <c r="B144" s="36"/>
      <c r="C144" s="37"/>
      <c r="D144" s="37"/>
      <c r="E144" s="37"/>
      <c r="F144" s="37"/>
      <c r="G144" s="1"/>
    </row>
    <row r="145" ht="15.75" customHeight="1">
      <c r="A145" s="36"/>
      <c r="B145" s="36"/>
      <c r="C145" s="37"/>
      <c r="D145" s="37"/>
      <c r="E145" s="37"/>
      <c r="F145" s="37"/>
      <c r="G145" s="1"/>
    </row>
    <row r="146" ht="15.75" customHeight="1">
      <c r="A146" s="36"/>
      <c r="B146" s="36"/>
      <c r="C146" s="37"/>
      <c r="D146" s="37"/>
      <c r="E146" s="37"/>
      <c r="F146" s="37"/>
      <c r="G146" s="1"/>
    </row>
    <row r="147" ht="15.75" customHeight="1">
      <c r="A147" s="36"/>
      <c r="B147" s="36"/>
      <c r="C147" s="37"/>
      <c r="D147" s="37"/>
      <c r="E147" s="37"/>
      <c r="F147" s="37"/>
      <c r="G147" s="1"/>
    </row>
    <row r="148" ht="15.75" customHeight="1">
      <c r="A148" s="36"/>
      <c r="B148" s="36"/>
      <c r="C148" s="37"/>
      <c r="D148" s="37"/>
      <c r="E148" s="37"/>
      <c r="F148" s="37"/>
      <c r="G148" s="1"/>
    </row>
    <row r="149" ht="15.75" customHeight="1">
      <c r="A149" s="36"/>
      <c r="B149" s="36"/>
      <c r="C149" s="37"/>
      <c r="D149" s="37"/>
      <c r="E149" s="37"/>
      <c r="F149" s="37"/>
      <c r="G149" s="1"/>
    </row>
    <row r="150" ht="15.75" customHeight="1">
      <c r="A150" s="36"/>
      <c r="B150" s="36"/>
      <c r="C150" s="37"/>
      <c r="D150" s="37"/>
      <c r="E150" s="37"/>
      <c r="F150" s="37"/>
      <c r="G150" s="1"/>
    </row>
    <row r="151" ht="15.75" customHeight="1">
      <c r="A151" s="36"/>
      <c r="B151" s="36"/>
      <c r="C151" s="37"/>
      <c r="D151" s="37"/>
      <c r="E151" s="37"/>
      <c r="F151" s="37"/>
      <c r="G151" s="1"/>
    </row>
    <row r="152" ht="15.75" customHeight="1">
      <c r="A152" s="36"/>
      <c r="B152" s="36"/>
      <c r="C152" s="37"/>
      <c r="D152" s="37"/>
      <c r="E152" s="37"/>
      <c r="F152" s="37"/>
      <c r="G152" s="1"/>
    </row>
    <row r="153" ht="15.75" customHeight="1">
      <c r="A153" s="36"/>
      <c r="B153" s="36"/>
      <c r="C153" s="37"/>
      <c r="D153" s="37"/>
      <c r="E153" s="37"/>
      <c r="F153" s="37"/>
      <c r="G153" s="1"/>
    </row>
    <row r="154" ht="15.75" customHeight="1">
      <c r="A154" s="36"/>
      <c r="B154" s="36"/>
      <c r="C154" s="37"/>
      <c r="D154" s="37"/>
      <c r="E154" s="37"/>
      <c r="F154" s="37"/>
      <c r="G154" s="1"/>
    </row>
    <row r="155" ht="15.75" customHeight="1">
      <c r="A155" s="36"/>
      <c r="B155" s="36"/>
      <c r="C155" s="37"/>
      <c r="D155" s="37"/>
      <c r="E155" s="37"/>
      <c r="F155" s="37"/>
      <c r="G155" s="1"/>
    </row>
    <row r="156" ht="15.75" customHeight="1">
      <c r="A156" s="36"/>
      <c r="B156" s="36"/>
      <c r="C156" s="37"/>
      <c r="D156" s="37"/>
      <c r="E156" s="37"/>
      <c r="F156" s="37"/>
      <c r="G156" s="1"/>
    </row>
    <row r="157" ht="15.75" customHeight="1">
      <c r="A157" s="36"/>
      <c r="B157" s="36"/>
      <c r="C157" s="37"/>
      <c r="D157" s="37"/>
      <c r="E157" s="37"/>
      <c r="F157" s="37"/>
      <c r="G157" s="1"/>
    </row>
    <row r="158" ht="15.75" customHeight="1">
      <c r="A158" s="36"/>
      <c r="B158" s="36"/>
      <c r="C158" s="37"/>
      <c r="D158" s="37"/>
      <c r="E158" s="37"/>
      <c r="F158" s="37"/>
      <c r="G158" s="1"/>
    </row>
    <row r="159" ht="15.75" customHeight="1">
      <c r="A159" s="36"/>
      <c r="B159" s="36"/>
      <c r="C159" s="37"/>
      <c r="D159" s="37"/>
      <c r="E159" s="37"/>
      <c r="F159" s="37"/>
      <c r="G159" s="1"/>
    </row>
    <row r="160" ht="15.75" customHeight="1">
      <c r="A160" s="36"/>
      <c r="B160" s="36"/>
      <c r="C160" s="37"/>
      <c r="D160" s="37"/>
      <c r="E160" s="37"/>
      <c r="F160" s="37"/>
      <c r="G160" s="1"/>
    </row>
    <row r="161" ht="15.75" customHeight="1">
      <c r="A161" s="36"/>
      <c r="B161" s="36"/>
      <c r="C161" s="37"/>
      <c r="D161" s="37"/>
      <c r="E161" s="37"/>
      <c r="F161" s="37"/>
      <c r="G161" s="1"/>
    </row>
    <row r="162" ht="15.75" customHeight="1">
      <c r="A162" s="36"/>
      <c r="B162" s="36"/>
      <c r="C162" s="37"/>
      <c r="D162" s="37"/>
      <c r="E162" s="37"/>
      <c r="F162" s="37"/>
      <c r="G162" s="1"/>
    </row>
    <row r="163" ht="15.75" customHeight="1">
      <c r="A163" s="36"/>
      <c r="B163" s="36"/>
      <c r="C163" s="37"/>
      <c r="D163" s="37"/>
      <c r="E163" s="37"/>
      <c r="F163" s="37"/>
      <c r="G163" s="1"/>
    </row>
    <row r="164" ht="15.75" customHeight="1">
      <c r="A164" s="36"/>
      <c r="B164" s="36"/>
      <c r="C164" s="37"/>
      <c r="D164" s="37"/>
      <c r="E164" s="37"/>
      <c r="F164" s="37"/>
      <c r="G164" s="1"/>
    </row>
    <row r="165" ht="15.75" customHeight="1">
      <c r="A165" s="36"/>
      <c r="B165" s="36"/>
      <c r="C165" s="37"/>
      <c r="D165" s="37"/>
      <c r="E165" s="37"/>
      <c r="F165" s="37"/>
      <c r="G165" s="1"/>
    </row>
    <row r="166" ht="15.75" customHeight="1">
      <c r="A166" s="36"/>
      <c r="B166" s="36"/>
      <c r="C166" s="37"/>
      <c r="D166" s="37"/>
      <c r="E166" s="37"/>
      <c r="F166" s="37"/>
      <c r="G166" s="1"/>
    </row>
    <row r="167" ht="15.75" customHeight="1">
      <c r="A167" s="36"/>
      <c r="B167" s="36"/>
      <c r="C167" s="37"/>
      <c r="D167" s="37"/>
      <c r="E167" s="37"/>
      <c r="F167" s="37"/>
      <c r="G167" s="1"/>
    </row>
    <row r="168" ht="15.75" customHeight="1">
      <c r="A168" s="36"/>
      <c r="B168" s="36"/>
      <c r="C168" s="37"/>
      <c r="D168" s="37"/>
      <c r="E168" s="37"/>
      <c r="F168" s="37"/>
      <c r="G168" s="1"/>
    </row>
    <row r="169" ht="15.75" customHeight="1">
      <c r="A169" s="36"/>
      <c r="B169" s="36"/>
      <c r="C169" s="37"/>
      <c r="D169" s="37"/>
      <c r="E169" s="37"/>
      <c r="F169" s="37"/>
      <c r="G169" s="1"/>
    </row>
    <row r="170" ht="15.75" customHeight="1">
      <c r="A170" s="36"/>
      <c r="B170" s="36"/>
      <c r="C170" s="37"/>
      <c r="D170" s="37"/>
      <c r="E170" s="37"/>
      <c r="F170" s="37"/>
      <c r="G170" s="1"/>
    </row>
    <row r="171" ht="15.75" customHeight="1">
      <c r="A171" s="36"/>
      <c r="B171" s="36"/>
      <c r="C171" s="37"/>
      <c r="D171" s="37"/>
      <c r="E171" s="37"/>
      <c r="F171" s="37"/>
      <c r="G171" s="1"/>
    </row>
    <row r="172" ht="15.75" customHeight="1">
      <c r="A172" s="36"/>
      <c r="B172" s="36"/>
      <c r="C172" s="37"/>
      <c r="D172" s="37"/>
      <c r="E172" s="37"/>
      <c r="F172" s="37"/>
      <c r="G172" s="1"/>
    </row>
    <row r="173" ht="15.75" customHeight="1">
      <c r="A173" s="36"/>
      <c r="B173" s="36"/>
      <c r="C173" s="37"/>
      <c r="D173" s="37"/>
      <c r="E173" s="37"/>
      <c r="F173" s="37"/>
      <c r="G173" s="1"/>
    </row>
    <row r="174" ht="15.75" customHeight="1">
      <c r="A174" s="36"/>
      <c r="B174" s="36"/>
      <c r="C174" s="37"/>
      <c r="D174" s="37"/>
      <c r="E174" s="37"/>
      <c r="F174" s="37"/>
      <c r="G174" s="1"/>
    </row>
    <row r="175" ht="15.75" customHeight="1">
      <c r="A175" s="36"/>
      <c r="B175" s="36"/>
      <c r="C175" s="37"/>
      <c r="D175" s="37"/>
      <c r="E175" s="37"/>
      <c r="F175" s="37"/>
      <c r="G175" s="1"/>
    </row>
    <row r="176" ht="15.75" customHeight="1">
      <c r="A176" s="36"/>
      <c r="B176" s="36"/>
      <c r="C176" s="37"/>
      <c r="D176" s="37"/>
      <c r="E176" s="37"/>
      <c r="F176" s="37"/>
      <c r="G176" s="1"/>
    </row>
    <row r="177" ht="15.75" customHeight="1">
      <c r="A177" s="36"/>
      <c r="B177" s="36"/>
      <c r="C177" s="37"/>
      <c r="D177" s="37"/>
      <c r="E177" s="37"/>
      <c r="F177" s="37"/>
      <c r="G177" s="1"/>
    </row>
    <row r="178" ht="15.75" customHeight="1">
      <c r="A178" s="36"/>
      <c r="B178" s="36"/>
      <c r="C178" s="37"/>
      <c r="D178" s="37"/>
      <c r="E178" s="37"/>
      <c r="F178" s="37"/>
      <c r="G178" s="1"/>
    </row>
    <row r="179" ht="15.75" customHeight="1">
      <c r="A179" s="36"/>
      <c r="B179" s="36"/>
      <c r="C179" s="37"/>
      <c r="D179" s="37"/>
      <c r="E179" s="37"/>
      <c r="F179" s="37"/>
      <c r="G179" s="1"/>
    </row>
    <row r="180" ht="15.75" customHeight="1">
      <c r="A180" s="36"/>
      <c r="B180" s="36"/>
      <c r="C180" s="37"/>
      <c r="D180" s="37"/>
      <c r="E180" s="37"/>
      <c r="F180" s="37"/>
      <c r="G180" s="1"/>
    </row>
    <row r="181" ht="15.75" customHeight="1">
      <c r="A181" s="36"/>
      <c r="B181" s="36"/>
      <c r="C181" s="37"/>
      <c r="D181" s="37"/>
      <c r="E181" s="37"/>
      <c r="F181" s="37"/>
      <c r="G181" s="1"/>
    </row>
    <row r="182" ht="15.75" customHeight="1">
      <c r="A182" s="36"/>
      <c r="B182" s="36"/>
      <c r="C182" s="37"/>
      <c r="D182" s="37"/>
      <c r="E182" s="37"/>
      <c r="F182" s="37"/>
      <c r="G182" s="1"/>
    </row>
    <row r="183" ht="15.75" customHeight="1">
      <c r="A183" s="36"/>
      <c r="B183" s="36"/>
      <c r="C183" s="37"/>
      <c r="D183" s="37"/>
      <c r="E183" s="37"/>
      <c r="F183" s="37"/>
      <c r="G183" s="1"/>
    </row>
    <row r="184" ht="15.75" customHeight="1">
      <c r="A184" s="36"/>
      <c r="B184" s="36"/>
      <c r="C184" s="37"/>
      <c r="D184" s="37"/>
      <c r="E184" s="37"/>
      <c r="F184" s="37"/>
      <c r="G184" s="1"/>
    </row>
    <row r="185" ht="15.75" customHeight="1">
      <c r="A185" s="36"/>
      <c r="B185" s="36"/>
      <c r="C185" s="37"/>
      <c r="D185" s="37"/>
      <c r="E185" s="37"/>
      <c r="F185" s="37"/>
      <c r="G185" s="1"/>
    </row>
    <row r="186" ht="15.75" customHeight="1">
      <c r="A186" s="36"/>
      <c r="B186" s="36"/>
      <c r="C186" s="37"/>
      <c r="D186" s="37"/>
      <c r="E186" s="37"/>
      <c r="F186" s="37"/>
      <c r="G186" s="1"/>
    </row>
    <row r="187" ht="15.75" customHeight="1">
      <c r="A187" s="36"/>
      <c r="B187" s="36"/>
      <c r="C187" s="37"/>
      <c r="D187" s="37"/>
      <c r="E187" s="37"/>
      <c r="F187" s="37"/>
      <c r="G187" s="1"/>
    </row>
    <row r="188" ht="15.75" customHeight="1">
      <c r="A188" s="36"/>
      <c r="B188" s="36"/>
      <c r="C188" s="37"/>
      <c r="D188" s="37"/>
      <c r="E188" s="37"/>
      <c r="F188" s="37"/>
      <c r="G188" s="1"/>
    </row>
    <row r="189" ht="15.75" customHeight="1">
      <c r="A189" s="36"/>
      <c r="B189" s="36"/>
      <c r="C189" s="37"/>
      <c r="D189" s="37"/>
      <c r="E189" s="37"/>
      <c r="F189" s="37"/>
      <c r="G189" s="1"/>
    </row>
    <row r="190" ht="15.75" customHeight="1">
      <c r="A190" s="36"/>
      <c r="B190" s="36"/>
      <c r="C190" s="37"/>
      <c r="D190" s="37"/>
      <c r="E190" s="37"/>
      <c r="F190" s="37"/>
      <c r="G190" s="1"/>
    </row>
    <row r="191" ht="15.75" customHeight="1">
      <c r="A191" s="36"/>
      <c r="B191" s="36"/>
      <c r="C191" s="37"/>
      <c r="D191" s="37"/>
      <c r="E191" s="37"/>
      <c r="F191" s="37"/>
      <c r="G191" s="1"/>
    </row>
    <row r="192" ht="15.75" customHeight="1">
      <c r="A192" s="36"/>
      <c r="B192" s="36"/>
      <c r="C192" s="37"/>
      <c r="D192" s="37"/>
      <c r="E192" s="37"/>
      <c r="F192" s="37"/>
      <c r="G192" s="1"/>
    </row>
    <row r="193" ht="15.75" customHeight="1">
      <c r="A193" s="36"/>
      <c r="B193" s="36"/>
      <c r="C193" s="37"/>
      <c r="D193" s="37"/>
      <c r="E193" s="37"/>
      <c r="F193" s="37"/>
      <c r="G193" s="1"/>
    </row>
    <row r="194" ht="15.75" customHeight="1">
      <c r="A194" s="36"/>
      <c r="B194" s="36"/>
      <c r="C194" s="37"/>
      <c r="D194" s="37"/>
      <c r="E194" s="37"/>
      <c r="F194" s="37"/>
      <c r="G194" s="1"/>
    </row>
    <row r="195" ht="15.75" customHeight="1">
      <c r="A195" s="36"/>
      <c r="B195" s="36"/>
      <c r="C195" s="37"/>
      <c r="D195" s="37"/>
      <c r="E195" s="37"/>
      <c r="F195" s="37"/>
      <c r="G195" s="1"/>
    </row>
    <row r="196" ht="15.75" customHeight="1">
      <c r="A196" s="36"/>
      <c r="B196" s="36"/>
      <c r="C196" s="37"/>
      <c r="D196" s="37"/>
      <c r="E196" s="37"/>
      <c r="F196" s="37"/>
      <c r="G196" s="1"/>
    </row>
    <row r="197" ht="15.75" customHeight="1">
      <c r="A197" s="36"/>
      <c r="B197" s="36"/>
      <c r="C197" s="37"/>
      <c r="D197" s="37"/>
      <c r="E197" s="37"/>
      <c r="F197" s="37"/>
      <c r="G197" s="1"/>
    </row>
    <row r="198" ht="15.75" customHeight="1">
      <c r="A198" s="36"/>
      <c r="B198" s="36"/>
      <c r="C198" s="37"/>
      <c r="D198" s="37"/>
      <c r="E198" s="37"/>
      <c r="F198" s="37"/>
      <c r="G198" s="1"/>
    </row>
    <row r="199" ht="15.75" customHeight="1">
      <c r="A199" s="36"/>
      <c r="B199" s="36"/>
      <c r="C199" s="37"/>
      <c r="D199" s="37"/>
      <c r="E199" s="37"/>
      <c r="F199" s="37"/>
      <c r="G199" s="1"/>
    </row>
    <row r="200" ht="15.75" customHeight="1">
      <c r="A200" s="36"/>
      <c r="B200" s="36"/>
      <c r="C200" s="37"/>
      <c r="D200" s="37"/>
      <c r="E200" s="37"/>
      <c r="F200" s="37"/>
      <c r="G200" s="1"/>
    </row>
    <row r="201" ht="15.75" customHeight="1">
      <c r="A201" s="36"/>
      <c r="B201" s="36"/>
      <c r="C201" s="37"/>
      <c r="D201" s="37"/>
      <c r="E201" s="37"/>
      <c r="F201" s="37"/>
      <c r="G201" s="1"/>
    </row>
    <row r="202" ht="15.75" customHeight="1">
      <c r="A202" s="36"/>
      <c r="B202" s="36"/>
      <c r="C202" s="37"/>
      <c r="D202" s="37"/>
      <c r="E202" s="37"/>
      <c r="F202" s="37"/>
      <c r="G202" s="1"/>
    </row>
    <row r="203" ht="15.75" customHeight="1">
      <c r="A203" s="36"/>
      <c r="B203" s="36"/>
      <c r="C203" s="37"/>
      <c r="D203" s="37"/>
      <c r="E203" s="37"/>
      <c r="F203" s="37"/>
      <c r="G203" s="1"/>
    </row>
    <row r="204" ht="15.75" customHeight="1">
      <c r="A204" s="36"/>
      <c r="B204" s="36"/>
      <c r="C204" s="37"/>
      <c r="D204" s="37"/>
      <c r="E204" s="37"/>
      <c r="F204" s="37"/>
      <c r="G204" s="1"/>
    </row>
    <row r="205" ht="15.75" customHeight="1">
      <c r="A205" s="36"/>
      <c r="B205" s="36"/>
      <c r="C205" s="37"/>
      <c r="D205" s="37"/>
      <c r="E205" s="37"/>
      <c r="F205" s="37"/>
      <c r="G205" s="1"/>
    </row>
    <row r="206" ht="15.75" customHeight="1">
      <c r="A206" s="36"/>
      <c r="B206" s="36"/>
      <c r="C206" s="37"/>
      <c r="D206" s="37"/>
      <c r="E206" s="37"/>
      <c r="F206" s="37"/>
      <c r="G206" s="1"/>
    </row>
    <row r="207" ht="15.75" customHeight="1">
      <c r="A207" s="36"/>
      <c r="B207" s="36"/>
      <c r="C207" s="37"/>
      <c r="D207" s="37"/>
      <c r="E207" s="37"/>
      <c r="F207" s="37"/>
      <c r="G207" s="1"/>
    </row>
    <row r="208" ht="15.75" customHeight="1">
      <c r="A208" s="36"/>
      <c r="B208" s="36"/>
      <c r="C208" s="37"/>
      <c r="D208" s="37"/>
      <c r="E208" s="37"/>
      <c r="F208" s="37"/>
      <c r="G208" s="1"/>
    </row>
    <row r="209" ht="15.75" customHeight="1">
      <c r="A209" s="36"/>
      <c r="B209" s="36"/>
      <c r="C209" s="37"/>
      <c r="D209" s="37"/>
      <c r="E209" s="37"/>
      <c r="F209" s="37"/>
      <c r="G209" s="1"/>
    </row>
    <row r="210" ht="15.75" customHeight="1">
      <c r="A210" s="36"/>
      <c r="B210" s="36"/>
      <c r="C210" s="37"/>
      <c r="D210" s="37"/>
      <c r="E210" s="37"/>
      <c r="F210" s="37"/>
      <c r="G210" s="1"/>
    </row>
    <row r="211" ht="15.75" customHeight="1">
      <c r="A211" s="36"/>
      <c r="B211" s="36"/>
      <c r="C211" s="37"/>
      <c r="D211" s="37"/>
      <c r="E211" s="37"/>
      <c r="F211" s="37"/>
      <c r="G211" s="1"/>
    </row>
    <row r="212" ht="15.75" customHeight="1">
      <c r="A212" s="36"/>
      <c r="B212" s="36"/>
      <c r="C212" s="37"/>
      <c r="D212" s="37"/>
      <c r="E212" s="37"/>
      <c r="F212" s="37"/>
      <c r="G212" s="1"/>
    </row>
    <row r="213" ht="15.75" customHeight="1">
      <c r="A213" s="36"/>
      <c r="B213" s="36"/>
      <c r="C213" s="37"/>
      <c r="D213" s="37"/>
      <c r="E213" s="37"/>
      <c r="F213" s="37"/>
      <c r="G213" s="1"/>
    </row>
    <row r="214" ht="15.75" customHeight="1">
      <c r="A214" s="36"/>
      <c r="B214" s="36"/>
      <c r="C214" s="37"/>
      <c r="D214" s="37"/>
      <c r="E214" s="37"/>
      <c r="F214" s="37"/>
      <c r="G214" s="1"/>
    </row>
    <row r="215" ht="15.75" customHeight="1">
      <c r="A215" s="36"/>
      <c r="B215" s="36"/>
      <c r="C215" s="37"/>
      <c r="D215" s="37"/>
      <c r="E215" s="37"/>
      <c r="F215" s="37"/>
      <c r="G215" s="1"/>
    </row>
    <row r="216" ht="15.75" customHeight="1">
      <c r="A216" s="36"/>
      <c r="B216" s="36"/>
      <c r="C216" s="37"/>
      <c r="D216" s="37"/>
      <c r="E216" s="37"/>
      <c r="F216" s="37"/>
      <c r="G216" s="1"/>
    </row>
    <row r="217" ht="15.75" customHeight="1">
      <c r="A217" s="36"/>
      <c r="B217" s="36"/>
      <c r="C217" s="37"/>
      <c r="D217" s="37"/>
      <c r="E217" s="37"/>
      <c r="F217" s="37"/>
      <c r="G217" s="1"/>
    </row>
    <row r="218" ht="15.75" customHeight="1">
      <c r="A218" s="36"/>
      <c r="B218" s="36"/>
      <c r="C218" s="37"/>
      <c r="D218" s="37"/>
      <c r="E218" s="37"/>
      <c r="F218" s="37"/>
      <c r="G218" s="1"/>
    </row>
    <row r="219" ht="15.75" customHeight="1">
      <c r="A219" s="36"/>
      <c r="B219" s="36"/>
      <c r="C219" s="37"/>
      <c r="D219" s="37"/>
      <c r="E219" s="37"/>
      <c r="F219" s="37"/>
      <c r="G219" s="1"/>
    </row>
    <row r="220" ht="15.75" customHeight="1">
      <c r="A220" s="36"/>
      <c r="B220" s="36"/>
      <c r="C220" s="37"/>
      <c r="D220" s="37"/>
      <c r="E220" s="37"/>
      <c r="F220" s="37"/>
      <c r="G220" s="1"/>
    </row>
    <row r="221" ht="15.75" customHeight="1">
      <c r="A221" s="36"/>
      <c r="B221" s="36"/>
      <c r="C221" s="37"/>
      <c r="D221" s="37"/>
      <c r="E221" s="37"/>
      <c r="F221" s="37"/>
      <c r="G221" s="1"/>
    </row>
    <row r="222" ht="15.75" customHeight="1">
      <c r="A222" s="36"/>
      <c r="B222" s="36"/>
      <c r="C222" s="37"/>
      <c r="D222" s="37"/>
      <c r="E222" s="37"/>
      <c r="F222" s="37"/>
      <c r="G222" s="1"/>
    </row>
    <row r="223" ht="15.75" customHeight="1">
      <c r="A223" s="36"/>
      <c r="B223" s="36"/>
      <c r="C223" s="37"/>
      <c r="D223" s="37"/>
      <c r="E223" s="37"/>
      <c r="F223" s="37"/>
      <c r="G223" s="1"/>
    </row>
    <row r="224" ht="15.75" customHeight="1">
      <c r="A224" s="36"/>
      <c r="B224" s="36"/>
      <c r="C224" s="37"/>
      <c r="D224" s="37"/>
      <c r="E224" s="37"/>
      <c r="F224" s="37"/>
      <c r="G224" s="1"/>
    </row>
    <row r="225" ht="15.75" customHeight="1">
      <c r="A225" s="36"/>
      <c r="B225" s="36"/>
      <c r="C225" s="37"/>
      <c r="D225" s="37"/>
      <c r="E225" s="37"/>
      <c r="F225" s="37"/>
      <c r="G225" s="1"/>
    </row>
    <row r="226" ht="15.75" customHeight="1">
      <c r="A226" s="36"/>
      <c r="B226" s="36"/>
      <c r="C226" s="37"/>
      <c r="D226" s="37"/>
      <c r="E226" s="37"/>
      <c r="F226" s="37"/>
      <c r="G226" s="1"/>
    </row>
    <row r="227" ht="15.75" customHeight="1">
      <c r="A227" s="36"/>
      <c r="B227" s="36"/>
      <c r="C227" s="37"/>
      <c r="D227" s="37"/>
      <c r="E227" s="37"/>
      <c r="F227" s="37"/>
      <c r="G227" s="1"/>
    </row>
    <row r="228" ht="15.75" customHeight="1">
      <c r="A228" s="36"/>
      <c r="B228" s="36"/>
      <c r="C228" s="37"/>
      <c r="D228" s="37"/>
      <c r="E228" s="37"/>
      <c r="F228" s="37"/>
      <c r="G228" s="1"/>
    </row>
    <row r="229" ht="15.75" customHeight="1">
      <c r="A229" s="36"/>
      <c r="B229" s="36"/>
      <c r="C229" s="37"/>
      <c r="D229" s="37"/>
      <c r="E229" s="37"/>
      <c r="F229" s="37"/>
      <c r="G229" s="1"/>
    </row>
    <row r="230" ht="15.75" customHeight="1">
      <c r="A230" s="36"/>
      <c r="B230" s="36"/>
      <c r="C230" s="37"/>
      <c r="D230" s="37"/>
      <c r="E230" s="37"/>
      <c r="F230" s="37"/>
      <c r="G230" s="1"/>
    </row>
    <row r="231" ht="15.75" customHeight="1">
      <c r="A231" s="36"/>
      <c r="B231" s="36"/>
      <c r="C231" s="37"/>
      <c r="D231" s="37"/>
      <c r="E231" s="37"/>
      <c r="F231" s="37"/>
      <c r="G231" s="1"/>
    </row>
    <row r="232" ht="15.75" customHeight="1">
      <c r="A232" s="36"/>
      <c r="B232" s="36"/>
      <c r="C232" s="37"/>
      <c r="D232" s="37"/>
      <c r="E232" s="37"/>
      <c r="F232" s="37"/>
      <c r="G232" s="1"/>
    </row>
    <row r="233" ht="15.75" customHeight="1">
      <c r="A233" s="36"/>
      <c r="B233" s="36"/>
      <c r="C233" s="37"/>
      <c r="D233" s="37"/>
      <c r="E233" s="37"/>
      <c r="F233" s="37"/>
      <c r="G233" s="1"/>
    </row>
    <row r="234" ht="15.75" customHeight="1">
      <c r="A234" s="36"/>
      <c r="B234" s="36"/>
      <c r="C234" s="37"/>
      <c r="D234" s="37"/>
      <c r="E234" s="37"/>
      <c r="F234" s="37"/>
      <c r="G234" s="1"/>
    </row>
    <row r="235" ht="15.75" customHeight="1">
      <c r="A235" s="36"/>
      <c r="B235" s="36"/>
      <c r="C235" s="37"/>
      <c r="D235" s="37"/>
      <c r="E235" s="37"/>
      <c r="F235" s="37"/>
      <c r="G235" s="1"/>
    </row>
    <row r="236" ht="15.75" customHeight="1">
      <c r="A236" s="36"/>
      <c r="B236" s="36"/>
      <c r="C236" s="37"/>
      <c r="D236" s="37"/>
      <c r="E236" s="37"/>
      <c r="F236" s="37"/>
      <c r="G236" s="1"/>
    </row>
    <row r="237" ht="15.75" customHeight="1">
      <c r="A237" s="36"/>
      <c r="B237" s="36"/>
      <c r="C237" s="37"/>
      <c r="D237" s="37"/>
      <c r="E237" s="37"/>
      <c r="F237" s="37"/>
      <c r="G237" s="1"/>
    </row>
    <row r="238" ht="15.75" customHeight="1">
      <c r="A238" s="36"/>
      <c r="B238" s="36"/>
      <c r="C238" s="37"/>
      <c r="D238" s="37"/>
      <c r="E238" s="37"/>
      <c r="F238" s="37"/>
      <c r="G238" s="1"/>
    </row>
    <row r="239" ht="15.75" customHeight="1">
      <c r="A239" s="36"/>
      <c r="B239" s="36"/>
      <c r="C239" s="37"/>
      <c r="D239" s="37"/>
      <c r="E239" s="37"/>
      <c r="F239" s="37"/>
      <c r="G239" s="1"/>
    </row>
    <row r="240" ht="15.75" customHeight="1">
      <c r="A240" s="36"/>
      <c r="B240" s="36"/>
      <c r="C240" s="37"/>
      <c r="D240" s="37"/>
      <c r="E240" s="37"/>
      <c r="F240" s="37"/>
      <c r="G240" s="1"/>
    </row>
    <row r="241" ht="15.75" customHeight="1">
      <c r="A241" s="36"/>
      <c r="B241" s="36"/>
      <c r="C241" s="37"/>
      <c r="D241" s="37"/>
      <c r="E241" s="37"/>
      <c r="F241" s="37"/>
      <c r="G241" s="1"/>
    </row>
    <row r="242" ht="15.75" customHeight="1">
      <c r="A242" s="36"/>
      <c r="B242" s="36"/>
      <c r="C242" s="37"/>
      <c r="D242" s="37"/>
      <c r="E242" s="37"/>
      <c r="F242" s="37"/>
      <c r="G242" s="1"/>
    </row>
    <row r="243" ht="15.75" customHeight="1">
      <c r="A243" s="36"/>
      <c r="B243" s="36"/>
      <c r="C243" s="37"/>
      <c r="D243" s="37"/>
      <c r="E243" s="37"/>
      <c r="F243" s="37"/>
      <c r="G243" s="1"/>
    </row>
    <row r="244" ht="15.75" customHeight="1">
      <c r="A244" s="36"/>
      <c r="B244" s="36"/>
      <c r="C244" s="37"/>
      <c r="D244" s="37"/>
      <c r="E244" s="37"/>
      <c r="F244" s="37"/>
      <c r="G244" s="1"/>
    </row>
    <row r="245" ht="15.75" customHeight="1">
      <c r="A245" s="36"/>
      <c r="B245" s="36"/>
      <c r="C245" s="37"/>
      <c r="D245" s="37"/>
      <c r="E245" s="37"/>
      <c r="F245" s="37"/>
      <c r="G245" s="1"/>
    </row>
    <row r="246" ht="15.75" customHeight="1">
      <c r="A246" s="36"/>
      <c r="B246" s="36"/>
      <c r="C246" s="37"/>
      <c r="D246" s="37"/>
      <c r="E246" s="37"/>
      <c r="F246" s="37"/>
      <c r="G246" s="1"/>
    </row>
    <row r="247" ht="15.75" customHeight="1">
      <c r="A247" s="36"/>
      <c r="B247" s="36"/>
      <c r="C247" s="37"/>
      <c r="D247" s="37"/>
      <c r="E247" s="37"/>
      <c r="F247" s="37"/>
      <c r="G247" s="1"/>
    </row>
    <row r="248" ht="15.75" customHeight="1">
      <c r="A248" s="36"/>
      <c r="B248" s="36"/>
      <c r="C248" s="37"/>
      <c r="D248" s="37"/>
      <c r="E248" s="37"/>
      <c r="F248" s="37"/>
      <c r="G248" s="1"/>
    </row>
    <row r="249" ht="15.75" customHeight="1">
      <c r="A249" s="36"/>
      <c r="B249" s="36"/>
      <c r="C249" s="37"/>
      <c r="D249" s="37"/>
      <c r="E249" s="37"/>
      <c r="F249" s="37"/>
      <c r="G249" s="1"/>
    </row>
    <row r="250" ht="15.75" customHeight="1">
      <c r="A250" s="36"/>
      <c r="B250" s="36"/>
      <c r="C250" s="37"/>
      <c r="D250" s="37"/>
      <c r="E250" s="37"/>
      <c r="F250" s="37"/>
      <c r="G250" s="1"/>
    </row>
    <row r="251" ht="15.75" customHeight="1">
      <c r="A251" s="36"/>
      <c r="B251" s="36"/>
      <c r="C251" s="37"/>
      <c r="D251" s="37"/>
      <c r="E251" s="37"/>
      <c r="F251" s="37"/>
      <c r="G251" s="1"/>
    </row>
    <row r="252" ht="15.75" customHeight="1">
      <c r="A252" s="36"/>
      <c r="B252" s="36"/>
      <c r="C252" s="37"/>
      <c r="D252" s="37"/>
      <c r="E252" s="37"/>
      <c r="F252" s="37"/>
      <c r="G252" s="1"/>
    </row>
    <row r="253" ht="15.75" customHeight="1">
      <c r="A253" s="36"/>
      <c r="B253" s="36"/>
      <c r="C253" s="37"/>
      <c r="D253" s="37"/>
      <c r="E253" s="37"/>
      <c r="F253" s="37"/>
      <c r="G253" s="1"/>
    </row>
    <row r="254" ht="15.75" customHeight="1">
      <c r="A254" s="36"/>
      <c r="B254" s="36"/>
      <c r="C254" s="37"/>
      <c r="D254" s="37"/>
      <c r="E254" s="37"/>
      <c r="F254" s="37"/>
      <c r="G254" s="1"/>
    </row>
    <row r="255" ht="15.75" customHeight="1">
      <c r="A255" s="36"/>
      <c r="B255" s="36"/>
      <c r="C255" s="37"/>
      <c r="D255" s="37"/>
      <c r="E255" s="37"/>
      <c r="F255" s="37"/>
      <c r="G255" s="1"/>
    </row>
    <row r="256" ht="15.75" customHeight="1">
      <c r="A256" s="36"/>
      <c r="B256" s="36"/>
      <c r="C256" s="37"/>
      <c r="D256" s="37"/>
      <c r="E256" s="37"/>
      <c r="F256" s="37"/>
      <c r="G256" s="1"/>
    </row>
    <row r="257" ht="15.75" customHeight="1">
      <c r="A257" s="36"/>
      <c r="B257" s="36"/>
      <c r="C257" s="37"/>
      <c r="D257" s="37"/>
      <c r="E257" s="37"/>
      <c r="F257" s="37"/>
      <c r="G257" s="1"/>
    </row>
    <row r="258" ht="15.75" customHeight="1">
      <c r="A258" s="36"/>
      <c r="B258" s="36"/>
      <c r="C258" s="37"/>
      <c r="D258" s="37"/>
      <c r="E258" s="37"/>
      <c r="F258" s="37"/>
      <c r="G258" s="1"/>
    </row>
    <row r="259" ht="15.75" customHeight="1">
      <c r="A259" s="36"/>
      <c r="B259" s="36"/>
      <c r="C259" s="37"/>
      <c r="D259" s="37"/>
      <c r="E259" s="37"/>
      <c r="F259" s="37"/>
      <c r="G259" s="1"/>
    </row>
    <row r="260" ht="15.75" customHeight="1">
      <c r="A260" s="36"/>
      <c r="B260" s="36"/>
      <c r="C260" s="37"/>
      <c r="D260" s="37"/>
      <c r="E260" s="37"/>
      <c r="F260" s="37"/>
      <c r="G260" s="1"/>
    </row>
    <row r="261" ht="15.75" customHeight="1">
      <c r="A261" s="36"/>
      <c r="B261" s="36"/>
      <c r="C261" s="37"/>
      <c r="D261" s="37"/>
      <c r="E261" s="37"/>
      <c r="F261" s="37"/>
      <c r="G261" s="1"/>
    </row>
    <row r="262" ht="15.75" customHeight="1">
      <c r="A262" s="36"/>
      <c r="B262" s="36"/>
      <c r="C262" s="37"/>
      <c r="D262" s="37"/>
      <c r="E262" s="37"/>
      <c r="F262" s="37"/>
      <c r="G262" s="1"/>
    </row>
    <row r="263" ht="15.75" customHeight="1">
      <c r="A263" s="36"/>
      <c r="B263" s="36"/>
      <c r="C263" s="37"/>
      <c r="D263" s="37"/>
      <c r="E263" s="37"/>
      <c r="F263" s="37"/>
      <c r="G263" s="1"/>
    </row>
    <row r="264" ht="15.75" customHeight="1">
      <c r="A264" s="36"/>
      <c r="B264" s="36"/>
      <c r="C264" s="37"/>
      <c r="D264" s="37"/>
      <c r="E264" s="37"/>
      <c r="F264" s="37"/>
      <c r="G264" s="1"/>
    </row>
    <row r="265" ht="15.75" customHeight="1">
      <c r="A265" s="36"/>
      <c r="B265" s="36"/>
      <c r="C265" s="37"/>
      <c r="D265" s="37"/>
      <c r="E265" s="37"/>
      <c r="F265" s="37"/>
      <c r="G265" s="1"/>
    </row>
    <row r="266" ht="15.75" customHeight="1">
      <c r="A266" s="36"/>
      <c r="B266" s="36"/>
      <c r="C266" s="37"/>
      <c r="D266" s="37"/>
      <c r="E266" s="37"/>
      <c r="F266" s="37"/>
      <c r="G266" s="1"/>
    </row>
    <row r="267" ht="15.75" customHeight="1">
      <c r="A267" s="36"/>
      <c r="B267" s="36"/>
      <c r="C267" s="37"/>
      <c r="D267" s="37"/>
      <c r="E267" s="37"/>
      <c r="F267" s="37"/>
      <c r="G267" s="1"/>
    </row>
    <row r="268" ht="15.75" customHeight="1">
      <c r="A268" s="36"/>
      <c r="B268" s="36"/>
      <c r="C268" s="37"/>
      <c r="D268" s="37"/>
      <c r="E268" s="37"/>
      <c r="F268" s="37"/>
      <c r="G268" s="1"/>
    </row>
    <row r="269" ht="15.75" customHeight="1">
      <c r="A269" s="36"/>
      <c r="B269" s="36"/>
      <c r="C269" s="37"/>
      <c r="D269" s="37"/>
      <c r="E269" s="37"/>
      <c r="F269" s="37"/>
      <c r="G269" s="1"/>
    </row>
    <row r="270" ht="15.75" customHeight="1">
      <c r="A270" s="36"/>
      <c r="B270" s="36"/>
      <c r="C270" s="37"/>
      <c r="D270" s="37"/>
      <c r="E270" s="37"/>
      <c r="F270" s="37"/>
      <c r="G270" s="1"/>
    </row>
    <row r="271" ht="15.75" customHeight="1">
      <c r="A271" s="36"/>
      <c r="B271" s="36"/>
      <c r="C271" s="37"/>
      <c r="D271" s="37"/>
      <c r="E271" s="37"/>
      <c r="F271" s="37"/>
      <c r="G271" s="1"/>
    </row>
    <row r="272" ht="15.75" customHeight="1">
      <c r="A272" s="36"/>
      <c r="B272" s="36"/>
      <c r="C272" s="37"/>
      <c r="D272" s="37"/>
      <c r="E272" s="37"/>
      <c r="F272" s="37"/>
      <c r="G272" s="1"/>
    </row>
    <row r="273" ht="15.75" customHeight="1">
      <c r="A273" s="36"/>
      <c r="B273" s="36"/>
      <c r="C273" s="37"/>
      <c r="D273" s="37"/>
      <c r="E273" s="37"/>
      <c r="F273" s="37"/>
      <c r="G273" s="1"/>
    </row>
    <row r="274" ht="15.75" customHeight="1">
      <c r="A274" s="36"/>
      <c r="B274" s="36"/>
      <c r="C274" s="37"/>
      <c r="D274" s="37"/>
      <c r="E274" s="37"/>
      <c r="F274" s="37"/>
      <c r="G274" s="1"/>
    </row>
    <row r="275" ht="15.75" customHeight="1">
      <c r="A275" s="36"/>
      <c r="B275" s="36"/>
      <c r="C275" s="37"/>
      <c r="D275" s="37"/>
      <c r="E275" s="37"/>
      <c r="F275" s="37"/>
      <c r="G275" s="1"/>
    </row>
    <row r="276" ht="15.75" customHeight="1">
      <c r="A276" s="36"/>
      <c r="B276" s="36"/>
      <c r="C276" s="37"/>
      <c r="D276" s="37"/>
      <c r="E276" s="37"/>
      <c r="F276" s="37"/>
      <c r="G276" s="1"/>
    </row>
    <row r="277" ht="15.75" customHeight="1">
      <c r="A277" s="36"/>
      <c r="B277" s="36"/>
      <c r="C277" s="37"/>
      <c r="D277" s="37"/>
      <c r="E277" s="37"/>
      <c r="F277" s="37"/>
      <c r="G277" s="1"/>
    </row>
    <row r="278" ht="15.75" customHeight="1">
      <c r="A278" s="36"/>
      <c r="B278" s="36"/>
      <c r="C278" s="37"/>
      <c r="D278" s="37"/>
      <c r="E278" s="37"/>
      <c r="F278" s="37"/>
      <c r="G278" s="1"/>
    </row>
    <row r="279" ht="15.75" customHeight="1">
      <c r="A279" s="36"/>
      <c r="B279" s="36"/>
      <c r="C279" s="37"/>
      <c r="D279" s="37"/>
      <c r="E279" s="37"/>
      <c r="F279" s="37"/>
      <c r="G279" s="1"/>
    </row>
    <row r="280" ht="15.75" customHeight="1">
      <c r="A280" s="36"/>
      <c r="B280" s="36"/>
      <c r="C280" s="37"/>
      <c r="D280" s="37"/>
      <c r="E280" s="37"/>
      <c r="F280" s="37"/>
      <c r="G280" s="1"/>
    </row>
    <row r="281" ht="15.75" customHeight="1">
      <c r="A281" s="36"/>
      <c r="B281" s="36"/>
      <c r="C281" s="37"/>
      <c r="D281" s="37"/>
      <c r="E281" s="37"/>
      <c r="F281" s="37"/>
      <c r="G281" s="1"/>
    </row>
    <row r="282" ht="15.75" customHeight="1">
      <c r="A282" s="36"/>
      <c r="B282" s="36"/>
      <c r="C282" s="37"/>
      <c r="D282" s="37"/>
      <c r="E282" s="37"/>
      <c r="F282" s="37"/>
      <c r="G282" s="1"/>
    </row>
    <row r="283" ht="15.75" customHeight="1">
      <c r="A283" s="36"/>
      <c r="B283" s="36"/>
      <c r="C283" s="37"/>
      <c r="D283" s="37"/>
      <c r="E283" s="37"/>
      <c r="F283" s="37"/>
      <c r="G283" s="1"/>
    </row>
    <row r="284" ht="15.75" customHeight="1">
      <c r="A284" s="36"/>
      <c r="B284" s="36"/>
      <c r="C284" s="37"/>
      <c r="D284" s="37"/>
      <c r="E284" s="37"/>
      <c r="F284" s="37"/>
      <c r="G284" s="1"/>
    </row>
    <row r="285" ht="15.75" customHeight="1">
      <c r="A285" s="36"/>
      <c r="B285" s="36"/>
      <c r="C285" s="37"/>
      <c r="D285" s="37"/>
      <c r="E285" s="37"/>
      <c r="F285" s="37"/>
      <c r="G285" s="1"/>
    </row>
    <row r="286" ht="15.75" customHeight="1">
      <c r="A286" s="36"/>
      <c r="B286" s="36"/>
      <c r="C286" s="37"/>
      <c r="D286" s="37"/>
      <c r="E286" s="37"/>
      <c r="F286" s="37"/>
      <c r="G286" s="1"/>
    </row>
    <row r="287" ht="15.75" customHeight="1">
      <c r="A287" s="36"/>
      <c r="B287" s="36"/>
      <c r="C287" s="37"/>
      <c r="D287" s="37"/>
      <c r="E287" s="37"/>
      <c r="F287" s="37"/>
      <c r="G287" s="1"/>
    </row>
    <row r="288" ht="15.75" customHeight="1">
      <c r="A288" s="36"/>
      <c r="B288" s="36"/>
      <c r="C288" s="37"/>
      <c r="D288" s="37"/>
      <c r="E288" s="37"/>
      <c r="F288" s="37"/>
      <c r="G288" s="1"/>
    </row>
    <row r="289" ht="15.75" customHeight="1">
      <c r="A289" s="36"/>
      <c r="B289" s="36"/>
      <c r="C289" s="37"/>
      <c r="D289" s="37"/>
      <c r="E289" s="37"/>
      <c r="F289" s="37"/>
      <c r="G289" s="1"/>
    </row>
    <row r="290" ht="15.75" customHeight="1">
      <c r="A290" s="36"/>
      <c r="B290" s="36"/>
      <c r="C290" s="37"/>
      <c r="D290" s="37"/>
      <c r="E290" s="37"/>
      <c r="F290" s="37"/>
      <c r="G290" s="1"/>
    </row>
    <row r="291" ht="15.75" customHeight="1">
      <c r="A291" s="36"/>
      <c r="B291" s="36"/>
      <c r="C291" s="37"/>
      <c r="D291" s="37"/>
      <c r="E291" s="37"/>
      <c r="F291" s="37"/>
      <c r="G291" s="1"/>
    </row>
    <row r="292" ht="15.75" customHeight="1">
      <c r="A292" s="36"/>
      <c r="B292" s="36"/>
      <c r="C292" s="37"/>
      <c r="D292" s="37"/>
      <c r="E292" s="37"/>
      <c r="F292" s="37"/>
      <c r="G292" s="1"/>
    </row>
    <row r="293" ht="15.75" customHeight="1">
      <c r="A293" s="36"/>
      <c r="B293" s="36"/>
      <c r="C293" s="37"/>
      <c r="D293" s="37"/>
      <c r="E293" s="37"/>
      <c r="F293" s="37"/>
      <c r="G293" s="1"/>
    </row>
    <row r="294" ht="15.75" customHeight="1">
      <c r="A294" s="36"/>
      <c r="B294" s="36"/>
      <c r="C294" s="37"/>
      <c r="D294" s="37"/>
      <c r="E294" s="37"/>
      <c r="F294" s="37"/>
      <c r="G294" s="1"/>
    </row>
    <row r="295" ht="15.75" customHeight="1">
      <c r="A295" s="36"/>
      <c r="B295" s="36"/>
      <c r="C295" s="37"/>
      <c r="D295" s="37"/>
      <c r="E295" s="37"/>
      <c r="F295" s="37"/>
      <c r="G295" s="1"/>
    </row>
    <row r="296" ht="15.75" customHeight="1">
      <c r="A296" s="36"/>
      <c r="B296" s="36"/>
      <c r="C296" s="37"/>
      <c r="D296" s="37"/>
      <c r="E296" s="37"/>
      <c r="F296" s="37"/>
      <c r="G296" s="1"/>
    </row>
    <row r="297" ht="15.75" customHeight="1">
      <c r="A297" s="36"/>
      <c r="B297" s="36"/>
      <c r="C297" s="37"/>
      <c r="D297" s="37"/>
      <c r="E297" s="37"/>
      <c r="F297" s="37"/>
      <c r="G297" s="1"/>
    </row>
    <row r="298" ht="15.75" customHeight="1">
      <c r="A298" s="36"/>
      <c r="B298" s="36"/>
      <c r="C298" s="37"/>
      <c r="D298" s="37"/>
      <c r="E298" s="37"/>
      <c r="F298" s="37"/>
      <c r="G298" s="1"/>
    </row>
    <row r="299" ht="15.75" customHeight="1">
      <c r="A299" s="36"/>
      <c r="B299" s="36"/>
      <c r="C299" s="37"/>
      <c r="D299" s="37"/>
      <c r="E299" s="37"/>
      <c r="F299" s="37"/>
      <c r="G299" s="1"/>
    </row>
    <row r="300" ht="15.75" customHeight="1">
      <c r="A300" s="36"/>
      <c r="B300" s="36"/>
      <c r="C300" s="37"/>
      <c r="D300" s="37"/>
      <c r="E300" s="37"/>
      <c r="F300" s="37"/>
      <c r="G300" s="1"/>
    </row>
    <row r="301" ht="15.75" customHeight="1">
      <c r="A301" s="36"/>
      <c r="B301" s="36"/>
      <c r="C301" s="37"/>
      <c r="D301" s="37"/>
      <c r="E301" s="37"/>
      <c r="F301" s="37"/>
      <c r="G301" s="1"/>
    </row>
    <row r="302" ht="15.75" customHeight="1">
      <c r="A302" s="36"/>
      <c r="B302" s="36"/>
      <c r="C302" s="37"/>
      <c r="D302" s="37"/>
      <c r="E302" s="37"/>
      <c r="F302" s="37"/>
      <c r="G302" s="1"/>
    </row>
    <row r="303" ht="15.75" customHeight="1">
      <c r="A303" s="36"/>
      <c r="B303" s="36"/>
      <c r="C303" s="37"/>
      <c r="D303" s="37"/>
      <c r="E303" s="37"/>
      <c r="F303" s="37"/>
      <c r="G303" s="1"/>
    </row>
    <row r="304" ht="15.75" customHeight="1">
      <c r="A304" s="36"/>
      <c r="B304" s="36"/>
      <c r="C304" s="37"/>
      <c r="D304" s="37"/>
      <c r="E304" s="37"/>
      <c r="F304" s="37"/>
      <c r="G304" s="1"/>
    </row>
    <row r="305" ht="15.75" customHeight="1">
      <c r="A305" s="36"/>
      <c r="B305" s="36"/>
      <c r="C305" s="37"/>
      <c r="D305" s="37"/>
      <c r="E305" s="37"/>
      <c r="F305" s="37"/>
      <c r="G305" s="1"/>
    </row>
    <row r="306" ht="15.75" customHeight="1">
      <c r="A306" s="36"/>
      <c r="B306" s="36"/>
      <c r="C306" s="37"/>
      <c r="D306" s="37"/>
      <c r="E306" s="37"/>
      <c r="F306" s="37"/>
      <c r="G306" s="1"/>
    </row>
    <row r="307" ht="15.75" customHeight="1">
      <c r="A307" s="36"/>
      <c r="B307" s="36"/>
      <c r="C307" s="37"/>
      <c r="D307" s="37"/>
      <c r="E307" s="37"/>
      <c r="F307" s="37"/>
      <c r="G307" s="1"/>
    </row>
    <row r="308" ht="15.75" customHeight="1">
      <c r="A308" s="36"/>
      <c r="B308" s="36"/>
      <c r="C308" s="37"/>
      <c r="D308" s="37"/>
      <c r="E308" s="37"/>
      <c r="F308" s="37"/>
      <c r="G308" s="1"/>
    </row>
    <row r="309" ht="15.75" customHeight="1">
      <c r="A309" s="36"/>
      <c r="B309" s="36"/>
      <c r="C309" s="37"/>
      <c r="D309" s="37"/>
      <c r="E309" s="37"/>
      <c r="F309" s="37"/>
      <c r="G309" s="1"/>
    </row>
    <row r="310" ht="15.75" customHeight="1">
      <c r="A310" s="36"/>
      <c r="B310" s="36"/>
      <c r="C310" s="37"/>
      <c r="D310" s="37"/>
      <c r="E310" s="37"/>
      <c r="F310" s="37"/>
      <c r="G310" s="1"/>
    </row>
    <row r="311" ht="15.75" customHeight="1">
      <c r="A311" s="36"/>
      <c r="B311" s="36"/>
      <c r="C311" s="37"/>
      <c r="D311" s="37"/>
      <c r="E311" s="37"/>
      <c r="F311" s="37"/>
      <c r="G311" s="1"/>
    </row>
    <row r="312" ht="15.75" customHeight="1">
      <c r="A312" s="36"/>
      <c r="B312" s="36"/>
      <c r="C312" s="37"/>
      <c r="D312" s="37"/>
      <c r="E312" s="37"/>
      <c r="F312" s="37"/>
      <c r="G312" s="1"/>
    </row>
    <row r="313" ht="15.75" customHeight="1">
      <c r="A313" s="36"/>
      <c r="B313" s="36"/>
      <c r="C313" s="37"/>
      <c r="D313" s="37"/>
      <c r="E313" s="37"/>
      <c r="F313" s="37"/>
      <c r="G313" s="1"/>
    </row>
    <row r="314" ht="15.75" customHeight="1">
      <c r="A314" s="36"/>
      <c r="B314" s="36"/>
      <c r="C314" s="37"/>
      <c r="D314" s="37"/>
      <c r="E314" s="37"/>
      <c r="F314" s="37"/>
      <c r="G314" s="1"/>
    </row>
    <row r="315" ht="15.75" customHeight="1">
      <c r="A315" s="36"/>
      <c r="B315" s="36"/>
      <c r="C315" s="37"/>
      <c r="D315" s="37"/>
      <c r="E315" s="37"/>
      <c r="F315" s="37"/>
      <c r="G315" s="1"/>
    </row>
    <row r="316" ht="15.75" customHeight="1">
      <c r="A316" s="36"/>
      <c r="B316" s="36"/>
      <c r="C316" s="37"/>
      <c r="D316" s="37"/>
      <c r="E316" s="37"/>
      <c r="F316" s="37"/>
      <c r="G316" s="1"/>
    </row>
    <row r="317" ht="15.75" customHeight="1">
      <c r="A317" s="36"/>
      <c r="B317" s="36"/>
      <c r="C317" s="37"/>
      <c r="D317" s="37"/>
      <c r="E317" s="37"/>
      <c r="F317" s="37"/>
      <c r="G317" s="1"/>
    </row>
    <row r="318" ht="15.75" customHeight="1">
      <c r="A318" s="36"/>
      <c r="B318" s="36"/>
      <c r="C318" s="37"/>
      <c r="D318" s="37"/>
      <c r="E318" s="37"/>
      <c r="F318" s="37"/>
      <c r="G318" s="1"/>
    </row>
    <row r="319" ht="15.75" customHeight="1">
      <c r="A319" s="36"/>
      <c r="B319" s="36"/>
      <c r="C319" s="37"/>
      <c r="D319" s="37"/>
      <c r="E319" s="37"/>
      <c r="F319" s="37"/>
      <c r="G319" s="1"/>
    </row>
    <row r="320" ht="15.75" customHeight="1">
      <c r="A320" s="36"/>
      <c r="B320" s="36"/>
      <c r="C320" s="37"/>
      <c r="D320" s="37"/>
      <c r="E320" s="37"/>
      <c r="F320" s="37"/>
      <c r="G320" s="1"/>
    </row>
    <row r="321" ht="15.75" customHeight="1">
      <c r="A321" s="36"/>
      <c r="B321" s="36"/>
      <c r="C321" s="37"/>
      <c r="D321" s="37"/>
      <c r="E321" s="37"/>
      <c r="F321" s="37"/>
      <c r="G321" s="1"/>
    </row>
    <row r="322" ht="15.75" customHeight="1">
      <c r="A322" s="36"/>
      <c r="B322" s="36"/>
      <c r="C322" s="37"/>
      <c r="D322" s="37"/>
      <c r="E322" s="37"/>
      <c r="F322" s="37"/>
      <c r="G322" s="1"/>
    </row>
    <row r="323" ht="15.75" customHeight="1">
      <c r="A323" s="36"/>
      <c r="B323" s="36"/>
      <c r="C323" s="37"/>
      <c r="D323" s="37"/>
      <c r="E323" s="37"/>
      <c r="F323" s="37"/>
      <c r="G323" s="1"/>
    </row>
    <row r="324" ht="15.75" customHeight="1">
      <c r="A324" s="36"/>
      <c r="B324" s="36"/>
      <c r="C324" s="37"/>
      <c r="D324" s="37"/>
      <c r="E324" s="37"/>
      <c r="F324" s="37"/>
      <c r="G324" s="1"/>
    </row>
    <row r="325" ht="15.75" customHeight="1">
      <c r="A325" s="36"/>
      <c r="B325" s="36"/>
      <c r="C325" s="37"/>
      <c r="D325" s="37"/>
      <c r="E325" s="37"/>
      <c r="F325" s="37"/>
      <c r="G325" s="1"/>
    </row>
    <row r="326" ht="15.75" customHeight="1">
      <c r="A326" s="36"/>
      <c r="B326" s="36"/>
      <c r="C326" s="37"/>
      <c r="D326" s="37"/>
      <c r="E326" s="37"/>
      <c r="F326" s="37"/>
      <c r="G326" s="1"/>
    </row>
    <row r="327" ht="15.75" customHeight="1">
      <c r="A327" s="36"/>
      <c r="B327" s="36"/>
      <c r="C327" s="37"/>
      <c r="D327" s="37"/>
      <c r="E327" s="37"/>
      <c r="F327" s="37"/>
      <c r="G327" s="1"/>
    </row>
    <row r="328" ht="15.75" customHeight="1">
      <c r="A328" s="36"/>
      <c r="B328" s="36"/>
      <c r="C328" s="37"/>
      <c r="D328" s="37"/>
      <c r="E328" s="37"/>
      <c r="F328" s="37"/>
      <c r="G328" s="1"/>
    </row>
    <row r="329" ht="15.75" customHeight="1">
      <c r="A329" s="36"/>
      <c r="B329" s="36"/>
      <c r="C329" s="37"/>
      <c r="D329" s="37"/>
      <c r="E329" s="37"/>
      <c r="F329" s="37"/>
      <c r="G329" s="1"/>
    </row>
    <row r="330" ht="15.75" customHeight="1">
      <c r="A330" s="36"/>
      <c r="B330" s="36"/>
      <c r="C330" s="37"/>
      <c r="D330" s="37"/>
      <c r="E330" s="37"/>
      <c r="F330" s="37"/>
      <c r="G330" s="1"/>
    </row>
    <row r="331" ht="15.75" customHeight="1">
      <c r="A331" s="36"/>
      <c r="B331" s="36"/>
      <c r="C331" s="37"/>
      <c r="D331" s="37"/>
      <c r="E331" s="37"/>
      <c r="F331" s="37"/>
      <c r="G331" s="1"/>
    </row>
    <row r="332" ht="15.75" customHeight="1">
      <c r="A332" s="36"/>
      <c r="B332" s="36"/>
      <c r="C332" s="37"/>
      <c r="D332" s="37"/>
      <c r="E332" s="37"/>
      <c r="F332" s="37"/>
      <c r="G332" s="1"/>
    </row>
    <row r="333" ht="15.75" customHeight="1">
      <c r="A333" s="36"/>
      <c r="B333" s="36"/>
      <c r="C333" s="37"/>
      <c r="D333" s="37"/>
      <c r="E333" s="37"/>
      <c r="F333" s="37"/>
      <c r="G333" s="1"/>
    </row>
    <row r="334" ht="15.75" customHeight="1">
      <c r="A334" s="36"/>
      <c r="B334" s="36"/>
      <c r="C334" s="37"/>
      <c r="D334" s="37"/>
      <c r="E334" s="37"/>
      <c r="F334" s="37"/>
      <c r="G334" s="1"/>
    </row>
    <row r="335" ht="15.75" customHeight="1">
      <c r="A335" s="36"/>
      <c r="B335" s="36"/>
      <c r="C335" s="37"/>
      <c r="D335" s="37"/>
      <c r="E335" s="37"/>
      <c r="F335" s="37"/>
      <c r="G335" s="1"/>
    </row>
    <row r="336" ht="15.75" customHeight="1">
      <c r="A336" s="36"/>
      <c r="B336" s="36"/>
      <c r="C336" s="37"/>
      <c r="D336" s="37"/>
      <c r="E336" s="37"/>
      <c r="F336" s="37"/>
      <c r="G336" s="1"/>
    </row>
    <row r="337" ht="15.75" customHeight="1">
      <c r="A337" s="36"/>
      <c r="B337" s="36"/>
      <c r="C337" s="37"/>
      <c r="D337" s="37"/>
      <c r="E337" s="37"/>
      <c r="F337" s="37"/>
      <c r="G337" s="1"/>
    </row>
    <row r="338" ht="15.75" customHeight="1">
      <c r="A338" s="36"/>
      <c r="B338" s="36"/>
      <c r="C338" s="37"/>
      <c r="D338" s="37"/>
      <c r="E338" s="37"/>
      <c r="F338" s="37"/>
      <c r="G338" s="1"/>
    </row>
    <row r="339" ht="15.75" customHeight="1">
      <c r="A339" s="36"/>
      <c r="B339" s="36"/>
      <c r="C339" s="37"/>
      <c r="D339" s="37"/>
      <c r="E339" s="37"/>
      <c r="F339" s="37"/>
      <c r="G339" s="1"/>
    </row>
    <row r="340" ht="15.75" customHeight="1">
      <c r="A340" s="36"/>
      <c r="B340" s="36"/>
      <c r="C340" s="37"/>
      <c r="D340" s="37"/>
      <c r="E340" s="37"/>
      <c r="F340" s="37"/>
      <c r="G340" s="1"/>
    </row>
    <row r="341" ht="15.75" customHeight="1">
      <c r="A341" s="36"/>
      <c r="B341" s="36"/>
      <c r="C341" s="37"/>
      <c r="D341" s="37"/>
      <c r="E341" s="37"/>
      <c r="F341" s="37"/>
      <c r="G341" s="1"/>
    </row>
    <row r="342" ht="15.75" customHeight="1">
      <c r="A342" s="36"/>
      <c r="B342" s="36"/>
      <c r="C342" s="37"/>
      <c r="D342" s="37"/>
      <c r="E342" s="37"/>
      <c r="F342" s="37"/>
      <c r="G342" s="1"/>
    </row>
    <row r="343" ht="15.75" customHeight="1">
      <c r="A343" s="36"/>
      <c r="B343" s="36"/>
      <c r="C343" s="37"/>
      <c r="D343" s="37"/>
      <c r="E343" s="37"/>
      <c r="F343" s="37"/>
      <c r="G343" s="1"/>
    </row>
    <row r="344" ht="15.75" customHeight="1">
      <c r="A344" s="36"/>
      <c r="B344" s="36"/>
      <c r="C344" s="37"/>
      <c r="D344" s="37"/>
      <c r="E344" s="37"/>
      <c r="F344" s="37"/>
      <c r="G344" s="1"/>
    </row>
    <row r="345" ht="15.75" customHeight="1">
      <c r="A345" s="36"/>
      <c r="B345" s="36"/>
      <c r="C345" s="37"/>
      <c r="D345" s="37"/>
      <c r="E345" s="37"/>
      <c r="F345" s="37"/>
      <c r="G345" s="1"/>
    </row>
    <row r="346" ht="15.75" customHeight="1">
      <c r="A346" s="36"/>
      <c r="B346" s="36"/>
      <c r="C346" s="37"/>
      <c r="D346" s="37"/>
      <c r="E346" s="37"/>
      <c r="F346" s="37"/>
      <c r="G346" s="1"/>
    </row>
    <row r="347" ht="15.75" customHeight="1">
      <c r="A347" s="36"/>
      <c r="B347" s="36"/>
      <c r="C347" s="37"/>
      <c r="D347" s="37"/>
      <c r="E347" s="37"/>
      <c r="F347" s="37"/>
      <c r="G347" s="1"/>
    </row>
    <row r="348" ht="15.75" customHeight="1">
      <c r="A348" s="36"/>
      <c r="B348" s="36"/>
      <c r="C348" s="37"/>
      <c r="D348" s="37"/>
      <c r="E348" s="37"/>
      <c r="F348" s="37"/>
      <c r="G348" s="1"/>
    </row>
    <row r="349" ht="15.75" customHeight="1">
      <c r="A349" s="36"/>
      <c r="B349" s="36"/>
      <c r="C349" s="37"/>
      <c r="D349" s="37"/>
      <c r="E349" s="37"/>
      <c r="F349" s="37"/>
      <c r="G349" s="1"/>
    </row>
    <row r="350" ht="15.75" customHeight="1">
      <c r="A350" s="36"/>
      <c r="B350" s="36"/>
      <c r="C350" s="37"/>
      <c r="D350" s="37"/>
      <c r="E350" s="37"/>
      <c r="F350" s="37"/>
      <c r="G350" s="1"/>
    </row>
    <row r="351" ht="15.75" customHeight="1">
      <c r="A351" s="36"/>
      <c r="B351" s="36"/>
      <c r="C351" s="37"/>
      <c r="D351" s="37"/>
      <c r="E351" s="37"/>
      <c r="F351" s="37"/>
      <c r="G351" s="1"/>
    </row>
    <row r="352" ht="15.75" customHeight="1">
      <c r="A352" s="36"/>
      <c r="B352" s="36"/>
      <c r="C352" s="37"/>
      <c r="D352" s="37"/>
      <c r="E352" s="37"/>
      <c r="F352" s="37"/>
      <c r="G352" s="1"/>
    </row>
    <row r="353" ht="15.75" customHeight="1">
      <c r="A353" s="36"/>
      <c r="B353" s="36"/>
      <c r="C353" s="37"/>
      <c r="D353" s="37"/>
      <c r="E353" s="37"/>
      <c r="F353" s="37"/>
      <c r="G353" s="1"/>
    </row>
    <row r="354" ht="15.75" customHeight="1">
      <c r="A354" s="36"/>
      <c r="B354" s="36"/>
      <c r="C354" s="37"/>
      <c r="D354" s="37"/>
      <c r="E354" s="37"/>
      <c r="F354" s="37"/>
      <c r="G354" s="1"/>
    </row>
    <row r="355" ht="15.75" customHeight="1">
      <c r="A355" s="36"/>
      <c r="B355" s="36"/>
      <c r="C355" s="37"/>
      <c r="D355" s="37"/>
      <c r="E355" s="37"/>
      <c r="F355" s="37"/>
      <c r="G355" s="1"/>
    </row>
    <row r="356" ht="15.75" customHeight="1">
      <c r="A356" s="36"/>
      <c r="B356" s="36"/>
      <c r="C356" s="37"/>
      <c r="D356" s="37"/>
      <c r="E356" s="37"/>
      <c r="F356" s="37"/>
      <c r="G356" s="1"/>
    </row>
    <row r="357" ht="15.75" customHeight="1">
      <c r="A357" s="36"/>
      <c r="B357" s="36"/>
      <c r="C357" s="37"/>
      <c r="D357" s="37"/>
      <c r="E357" s="37"/>
      <c r="F357" s="37"/>
      <c r="G357" s="1"/>
    </row>
    <row r="358" ht="15.75" customHeight="1">
      <c r="A358" s="36"/>
      <c r="B358" s="36"/>
      <c r="C358" s="37"/>
      <c r="D358" s="37"/>
      <c r="E358" s="37"/>
      <c r="F358" s="37"/>
      <c r="G358" s="1"/>
    </row>
    <row r="359" ht="15.75" customHeight="1">
      <c r="A359" s="36"/>
      <c r="B359" s="36"/>
      <c r="C359" s="37"/>
      <c r="D359" s="37"/>
      <c r="E359" s="37"/>
      <c r="F359" s="37"/>
      <c r="G359" s="1"/>
    </row>
    <row r="360" ht="15.75" customHeight="1">
      <c r="A360" s="36"/>
      <c r="B360" s="36"/>
      <c r="C360" s="37"/>
      <c r="D360" s="37"/>
      <c r="E360" s="37"/>
      <c r="F360" s="37"/>
      <c r="G360" s="1"/>
    </row>
    <row r="361" ht="15.75" customHeight="1">
      <c r="A361" s="36"/>
      <c r="B361" s="36"/>
      <c r="C361" s="37"/>
      <c r="D361" s="37"/>
      <c r="E361" s="37"/>
      <c r="F361" s="37"/>
      <c r="G361" s="1"/>
    </row>
    <row r="362" ht="15.75" customHeight="1">
      <c r="A362" s="36"/>
      <c r="B362" s="36"/>
      <c r="C362" s="37"/>
      <c r="D362" s="37"/>
      <c r="E362" s="37"/>
      <c r="F362" s="37"/>
      <c r="G362" s="1"/>
    </row>
    <row r="363" ht="15.75" customHeight="1">
      <c r="A363" s="36"/>
      <c r="B363" s="36"/>
      <c r="C363" s="37"/>
      <c r="D363" s="37"/>
      <c r="E363" s="37"/>
      <c r="F363" s="37"/>
      <c r="G363" s="1"/>
    </row>
    <row r="364" ht="15.75" customHeight="1">
      <c r="A364" s="36"/>
      <c r="B364" s="36"/>
      <c r="C364" s="37"/>
      <c r="D364" s="37"/>
      <c r="E364" s="37"/>
      <c r="F364" s="37"/>
      <c r="G364" s="1"/>
    </row>
    <row r="365" ht="15.75" customHeight="1">
      <c r="A365" s="36"/>
      <c r="B365" s="36"/>
      <c r="C365" s="37"/>
      <c r="D365" s="37"/>
      <c r="E365" s="37"/>
      <c r="F365" s="37"/>
      <c r="G365" s="1"/>
    </row>
    <row r="366" ht="15.75" customHeight="1">
      <c r="A366" s="36"/>
      <c r="B366" s="36"/>
      <c r="C366" s="37"/>
      <c r="D366" s="37"/>
      <c r="E366" s="37"/>
      <c r="F366" s="37"/>
      <c r="G366" s="1"/>
    </row>
    <row r="367" ht="15.75" customHeight="1">
      <c r="A367" s="36"/>
      <c r="B367" s="36"/>
      <c r="C367" s="37"/>
      <c r="D367" s="37"/>
      <c r="E367" s="37"/>
      <c r="F367" s="37"/>
      <c r="G367" s="1"/>
    </row>
    <row r="368" ht="15.75" customHeight="1">
      <c r="A368" s="36"/>
      <c r="B368" s="36"/>
      <c r="C368" s="37"/>
      <c r="D368" s="37"/>
      <c r="E368" s="37"/>
      <c r="F368" s="37"/>
      <c r="G368" s="1"/>
    </row>
    <row r="369" ht="15.75" customHeight="1">
      <c r="A369" s="36"/>
      <c r="B369" s="36"/>
      <c r="C369" s="37"/>
      <c r="D369" s="37"/>
      <c r="E369" s="37"/>
      <c r="F369" s="37"/>
      <c r="G369" s="1"/>
    </row>
    <row r="370" ht="15.75" customHeight="1">
      <c r="A370" s="36"/>
      <c r="B370" s="36"/>
      <c r="C370" s="37"/>
      <c r="D370" s="37"/>
      <c r="E370" s="37"/>
      <c r="F370" s="37"/>
      <c r="G370" s="1"/>
    </row>
    <row r="371" ht="15.75" customHeight="1">
      <c r="A371" s="36"/>
      <c r="B371" s="36"/>
      <c r="C371" s="37"/>
      <c r="D371" s="37"/>
      <c r="E371" s="37"/>
      <c r="F371" s="37"/>
      <c r="G371" s="1"/>
    </row>
    <row r="372" ht="15.75" customHeight="1">
      <c r="A372" s="36"/>
      <c r="B372" s="36"/>
      <c r="C372" s="37"/>
      <c r="D372" s="37"/>
      <c r="E372" s="37"/>
      <c r="F372" s="37"/>
      <c r="G372" s="1"/>
    </row>
    <row r="373" ht="15.75" customHeight="1">
      <c r="A373" s="36"/>
      <c r="B373" s="36"/>
      <c r="C373" s="37"/>
      <c r="D373" s="37"/>
      <c r="E373" s="37"/>
      <c r="F373" s="37"/>
      <c r="G373" s="1"/>
    </row>
    <row r="374" ht="15.75" customHeight="1">
      <c r="A374" s="36"/>
      <c r="B374" s="36"/>
      <c r="C374" s="37"/>
      <c r="D374" s="37"/>
      <c r="E374" s="37"/>
      <c r="F374" s="37"/>
      <c r="G374" s="1"/>
    </row>
    <row r="375" ht="15.75" customHeight="1">
      <c r="A375" s="36"/>
      <c r="B375" s="36"/>
      <c r="C375" s="37"/>
      <c r="D375" s="37"/>
      <c r="E375" s="37"/>
      <c r="F375" s="37"/>
      <c r="G375" s="1"/>
    </row>
    <row r="376" ht="15.75" customHeight="1">
      <c r="A376" s="36"/>
      <c r="B376" s="36"/>
      <c r="C376" s="37"/>
      <c r="D376" s="37"/>
      <c r="E376" s="37"/>
      <c r="F376" s="37"/>
      <c r="G376" s="1"/>
    </row>
    <row r="377" ht="15.75" customHeight="1">
      <c r="A377" s="36"/>
      <c r="B377" s="36"/>
      <c r="C377" s="37"/>
      <c r="D377" s="37"/>
      <c r="E377" s="37"/>
      <c r="F377" s="37"/>
      <c r="G377" s="1"/>
    </row>
    <row r="378" ht="15.75" customHeight="1">
      <c r="A378" s="36"/>
      <c r="B378" s="36"/>
      <c r="C378" s="37"/>
      <c r="D378" s="37"/>
      <c r="E378" s="37"/>
      <c r="F378" s="37"/>
      <c r="G378" s="1"/>
    </row>
    <row r="379" ht="15.75" customHeight="1">
      <c r="A379" s="36"/>
      <c r="B379" s="36"/>
      <c r="C379" s="37"/>
      <c r="D379" s="37"/>
      <c r="E379" s="37"/>
      <c r="F379" s="37"/>
      <c r="G379" s="1"/>
    </row>
    <row r="380" ht="15.75" customHeight="1">
      <c r="A380" s="36"/>
      <c r="B380" s="36"/>
      <c r="C380" s="37"/>
      <c r="D380" s="37"/>
      <c r="E380" s="37"/>
      <c r="F380" s="37"/>
      <c r="G380" s="1"/>
    </row>
    <row r="381" ht="15.75" customHeight="1">
      <c r="A381" s="36"/>
      <c r="B381" s="36"/>
      <c r="C381" s="37"/>
      <c r="D381" s="37"/>
      <c r="E381" s="37"/>
      <c r="F381" s="37"/>
      <c r="G381" s="1"/>
    </row>
    <row r="382" ht="15.75" customHeight="1">
      <c r="A382" s="36"/>
      <c r="B382" s="36"/>
      <c r="C382" s="37"/>
      <c r="D382" s="37"/>
      <c r="E382" s="37"/>
      <c r="F382" s="37"/>
      <c r="G382" s="1"/>
    </row>
    <row r="383" ht="15.75" customHeight="1">
      <c r="A383" s="36"/>
      <c r="B383" s="36"/>
      <c r="C383" s="37"/>
      <c r="D383" s="37"/>
      <c r="E383" s="37"/>
      <c r="F383" s="37"/>
      <c r="G383" s="1"/>
    </row>
    <row r="384" ht="15.75" customHeight="1">
      <c r="A384" s="36"/>
      <c r="B384" s="36"/>
      <c r="C384" s="37"/>
      <c r="D384" s="37"/>
      <c r="E384" s="37"/>
      <c r="F384" s="37"/>
      <c r="G384" s="1"/>
    </row>
    <row r="385" ht="15.75" customHeight="1">
      <c r="A385" s="36"/>
      <c r="B385" s="36"/>
      <c r="C385" s="37"/>
      <c r="D385" s="37"/>
      <c r="E385" s="37"/>
      <c r="F385" s="37"/>
      <c r="G385" s="1"/>
    </row>
    <row r="386" ht="15.75" customHeight="1">
      <c r="A386" s="36"/>
      <c r="B386" s="36"/>
      <c r="C386" s="37"/>
      <c r="D386" s="37"/>
      <c r="E386" s="37"/>
      <c r="F386" s="37"/>
      <c r="G386" s="1"/>
    </row>
    <row r="387" ht="15.75" customHeight="1">
      <c r="A387" s="36"/>
      <c r="B387" s="36"/>
      <c r="C387" s="37"/>
      <c r="D387" s="37"/>
      <c r="E387" s="37"/>
      <c r="F387" s="37"/>
      <c r="G387" s="1"/>
    </row>
    <row r="388" ht="15.75" customHeight="1">
      <c r="A388" s="36"/>
      <c r="B388" s="36"/>
      <c r="C388" s="37"/>
      <c r="D388" s="37"/>
      <c r="E388" s="37"/>
      <c r="F388" s="37"/>
      <c r="G388" s="1"/>
    </row>
    <row r="389" ht="15.75" customHeight="1">
      <c r="A389" s="36"/>
      <c r="B389" s="36"/>
      <c r="C389" s="37"/>
      <c r="D389" s="37"/>
      <c r="E389" s="37"/>
      <c r="F389" s="37"/>
      <c r="G389" s="1"/>
    </row>
    <row r="390" ht="15.75" customHeight="1">
      <c r="A390" s="36"/>
      <c r="B390" s="36"/>
      <c r="C390" s="37"/>
      <c r="D390" s="37"/>
      <c r="E390" s="37"/>
      <c r="F390" s="37"/>
      <c r="G390" s="1"/>
    </row>
    <row r="391" ht="15.75" customHeight="1">
      <c r="A391" s="36"/>
      <c r="B391" s="36"/>
      <c r="C391" s="37"/>
      <c r="D391" s="37"/>
      <c r="E391" s="37"/>
      <c r="F391" s="37"/>
      <c r="G391" s="1"/>
    </row>
    <row r="392" ht="15.75" customHeight="1">
      <c r="A392" s="36"/>
      <c r="B392" s="36"/>
      <c r="C392" s="37"/>
      <c r="D392" s="37"/>
      <c r="E392" s="37"/>
      <c r="F392" s="37"/>
      <c r="G392" s="1"/>
    </row>
    <row r="393" ht="15.75" customHeight="1">
      <c r="A393" s="36"/>
      <c r="B393" s="36"/>
      <c r="C393" s="37"/>
      <c r="D393" s="37"/>
      <c r="E393" s="37"/>
      <c r="F393" s="37"/>
      <c r="G393" s="1"/>
    </row>
    <row r="394" ht="15.75" customHeight="1">
      <c r="A394" s="36"/>
      <c r="B394" s="36"/>
      <c r="C394" s="37"/>
      <c r="D394" s="37"/>
      <c r="E394" s="37"/>
      <c r="F394" s="37"/>
      <c r="G394" s="1"/>
    </row>
    <row r="395" ht="15.75" customHeight="1">
      <c r="A395" s="36"/>
      <c r="B395" s="36"/>
      <c r="C395" s="37"/>
      <c r="D395" s="37"/>
      <c r="E395" s="37"/>
      <c r="F395" s="37"/>
      <c r="G395" s="1"/>
    </row>
    <row r="396" ht="15.75" customHeight="1">
      <c r="A396" s="36"/>
      <c r="B396" s="36"/>
      <c r="C396" s="37"/>
      <c r="D396" s="37"/>
      <c r="E396" s="37"/>
      <c r="F396" s="37"/>
      <c r="G396" s="1"/>
    </row>
    <row r="397" ht="15.75" customHeight="1">
      <c r="A397" s="36"/>
      <c r="B397" s="36"/>
      <c r="C397" s="37"/>
      <c r="D397" s="37"/>
      <c r="E397" s="37"/>
      <c r="F397" s="37"/>
      <c r="G397" s="1"/>
    </row>
    <row r="398" ht="15.75" customHeight="1">
      <c r="A398" s="36"/>
      <c r="B398" s="36"/>
      <c r="C398" s="37"/>
      <c r="D398" s="37"/>
      <c r="E398" s="37"/>
      <c r="F398" s="37"/>
      <c r="G398" s="1"/>
    </row>
    <row r="399" ht="15.75" customHeight="1">
      <c r="A399" s="36"/>
      <c r="B399" s="36"/>
      <c r="C399" s="37"/>
      <c r="D399" s="37"/>
      <c r="E399" s="37"/>
      <c r="F399" s="37"/>
      <c r="G399" s="1"/>
    </row>
    <row r="400" ht="15.75" customHeight="1">
      <c r="A400" s="36"/>
      <c r="B400" s="36"/>
      <c r="C400" s="37"/>
      <c r="D400" s="37"/>
      <c r="E400" s="37"/>
      <c r="F400" s="37"/>
      <c r="G400" s="1"/>
    </row>
    <row r="401" ht="15.75" customHeight="1">
      <c r="A401" s="36"/>
      <c r="B401" s="36"/>
      <c r="C401" s="37"/>
      <c r="D401" s="37"/>
      <c r="E401" s="37"/>
      <c r="F401" s="37"/>
      <c r="G401" s="1"/>
    </row>
    <row r="402" ht="15.75" customHeight="1">
      <c r="A402" s="36"/>
      <c r="B402" s="36"/>
      <c r="C402" s="37"/>
      <c r="D402" s="37"/>
      <c r="E402" s="37"/>
      <c r="F402" s="37"/>
      <c r="G402" s="1"/>
    </row>
    <row r="403" ht="15.75" customHeight="1">
      <c r="A403" s="36"/>
      <c r="B403" s="36"/>
      <c r="C403" s="37"/>
      <c r="D403" s="37"/>
      <c r="E403" s="37"/>
      <c r="F403" s="37"/>
      <c r="G403" s="1"/>
    </row>
    <row r="404" ht="15.75" customHeight="1">
      <c r="A404" s="36"/>
      <c r="B404" s="36"/>
      <c r="C404" s="37"/>
      <c r="D404" s="37"/>
      <c r="E404" s="37"/>
      <c r="F404" s="37"/>
      <c r="G404" s="1"/>
    </row>
    <row r="405" ht="15.75" customHeight="1">
      <c r="A405" s="36"/>
      <c r="B405" s="36"/>
      <c r="C405" s="37"/>
      <c r="D405" s="37"/>
      <c r="E405" s="37"/>
      <c r="F405" s="37"/>
      <c r="G405" s="1"/>
    </row>
    <row r="406" ht="15.75" customHeight="1">
      <c r="A406" s="36"/>
      <c r="B406" s="36"/>
      <c r="C406" s="37"/>
      <c r="D406" s="37"/>
      <c r="E406" s="37"/>
      <c r="F406" s="37"/>
      <c r="G406" s="1"/>
    </row>
    <row r="407" ht="15.75" customHeight="1">
      <c r="A407" s="36"/>
      <c r="B407" s="36"/>
      <c r="C407" s="37"/>
      <c r="D407" s="37"/>
      <c r="E407" s="37"/>
      <c r="F407" s="37"/>
      <c r="G407" s="1"/>
    </row>
    <row r="408" ht="15.75" customHeight="1">
      <c r="A408" s="36"/>
      <c r="B408" s="36"/>
      <c r="C408" s="37"/>
      <c r="D408" s="37"/>
      <c r="E408" s="37"/>
      <c r="F408" s="37"/>
      <c r="G408" s="1"/>
    </row>
    <row r="409" ht="15.75" customHeight="1">
      <c r="A409" s="36"/>
      <c r="B409" s="36"/>
      <c r="C409" s="37"/>
      <c r="D409" s="37"/>
      <c r="E409" s="37"/>
      <c r="F409" s="37"/>
      <c r="G409" s="1"/>
    </row>
    <row r="410" ht="15.75" customHeight="1">
      <c r="A410" s="36"/>
      <c r="B410" s="36"/>
      <c r="C410" s="37"/>
      <c r="D410" s="37"/>
      <c r="E410" s="37"/>
      <c r="F410" s="37"/>
      <c r="G410" s="1"/>
    </row>
    <row r="411" ht="15.75" customHeight="1">
      <c r="A411" s="36"/>
      <c r="B411" s="36"/>
      <c r="C411" s="37"/>
      <c r="D411" s="37"/>
      <c r="E411" s="37"/>
      <c r="F411" s="37"/>
      <c r="G411" s="1"/>
    </row>
    <row r="412" ht="15.75" customHeight="1">
      <c r="A412" s="36"/>
      <c r="B412" s="36"/>
      <c r="C412" s="37"/>
      <c r="D412" s="37"/>
      <c r="E412" s="37"/>
      <c r="F412" s="37"/>
      <c r="G412" s="1"/>
    </row>
    <row r="413" ht="15.75" customHeight="1">
      <c r="A413" s="36"/>
      <c r="B413" s="36"/>
      <c r="C413" s="37"/>
      <c r="D413" s="37"/>
      <c r="E413" s="37"/>
      <c r="F413" s="37"/>
      <c r="G413" s="1"/>
    </row>
    <row r="414" ht="15.75" customHeight="1">
      <c r="A414" s="36"/>
      <c r="B414" s="36"/>
      <c r="C414" s="37"/>
      <c r="D414" s="37"/>
      <c r="E414" s="37"/>
      <c r="F414" s="37"/>
      <c r="G414" s="1"/>
    </row>
    <row r="415" ht="15.75" customHeight="1">
      <c r="A415" s="36"/>
      <c r="B415" s="36"/>
      <c r="C415" s="37"/>
      <c r="D415" s="37"/>
      <c r="E415" s="37"/>
      <c r="F415" s="37"/>
      <c r="G415" s="1"/>
    </row>
    <row r="416" ht="15.75" customHeight="1">
      <c r="A416" s="36"/>
      <c r="B416" s="36"/>
      <c r="C416" s="37"/>
      <c r="D416" s="37"/>
      <c r="E416" s="37"/>
      <c r="F416" s="37"/>
      <c r="G416" s="1"/>
    </row>
    <row r="417" ht="15.75" customHeight="1">
      <c r="A417" s="36"/>
      <c r="B417" s="36"/>
      <c r="C417" s="37"/>
      <c r="D417" s="37"/>
      <c r="E417" s="37"/>
      <c r="F417" s="37"/>
      <c r="G417" s="1"/>
    </row>
    <row r="418" ht="15.75" customHeight="1">
      <c r="A418" s="36"/>
      <c r="B418" s="36"/>
      <c r="C418" s="37"/>
      <c r="D418" s="37"/>
      <c r="E418" s="37"/>
      <c r="F418" s="37"/>
      <c r="G418" s="1"/>
    </row>
    <row r="419" ht="15.75" customHeight="1">
      <c r="A419" s="36"/>
      <c r="B419" s="36"/>
      <c r="C419" s="37"/>
      <c r="D419" s="37"/>
      <c r="E419" s="37"/>
      <c r="F419" s="37"/>
      <c r="G419" s="1"/>
    </row>
    <row r="420" ht="15.75" customHeight="1">
      <c r="A420" s="36"/>
      <c r="B420" s="36"/>
      <c r="C420" s="37"/>
      <c r="D420" s="37"/>
      <c r="E420" s="37"/>
      <c r="F420" s="37"/>
      <c r="G420" s="1"/>
    </row>
    <row r="421" ht="15.75" customHeight="1">
      <c r="A421" s="36"/>
      <c r="B421" s="36"/>
      <c r="C421" s="37"/>
      <c r="D421" s="37"/>
      <c r="E421" s="37"/>
      <c r="F421" s="37"/>
      <c r="G421" s="1"/>
    </row>
    <row r="422" ht="15.75" customHeight="1">
      <c r="A422" s="36"/>
      <c r="B422" s="36"/>
      <c r="C422" s="37"/>
      <c r="D422" s="37"/>
      <c r="E422" s="37"/>
      <c r="F422" s="37"/>
      <c r="G422" s="1"/>
    </row>
    <row r="423" ht="15.75" customHeight="1">
      <c r="A423" s="36"/>
      <c r="B423" s="36"/>
      <c r="C423" s="37"/>
      <c r="D423" s="37"/>
      <c r="E423" s="37"/>
      <c r="F423" s="37"/>
      <c r="G423" s="1"/>
    </row>
    <row r="424" ht="15.75" customHeight="1">
      <c r="A424" s="36"/>
      <c r="B424" s="36"/>
      <c r="C424" s="37"/>
      <c r="D424" s="37"/>
      <c r="E424" s="37"/>
      <c r="F424" s="37"/>
      <c r="G424" s="1"/>
    </row>
    <row r="425" ht="15.75" customHeight="1">
      <c r="A425" s="36"/>
      <c r="B425" s="36"/>
      <c r="C425" s="37"/>
      <c r="D425" s="37"/>
      <c r="E425" s="37"/>
      <c r="F425" s="37"/>
      <c r="G425" s="1"/>
    </row>
    <row r="426" ht="15.75" customHeight="1">
      <c r="A426" s="36"/>
      <c r="B426" s="36"/>
      <c r="C426" s="37"/>
      <c r="D426" s="37"/>
      <c r="E426" s="37"/>
      <c r="F426" s="37"/>
      <c r="G426" s="1"/>
    </row>
    <row r="427" ht="15.75" customHeight="1">
      <c r="A427" s="36"/>
      <c r="B427" s="36"/>
      <c r="C427" s="37"/>
      <c r="D427" s="37"/>
      <c r="E427" s="37"/>
      <c r="F427" s="37"/>
      <c r="G427" s="1"/>
    </row>
    <row r="428" ht="15.75" customHeight="1">
      <c r="A428" s="36"/>
      <c r="B428" s="36"/>
      <c r="C428" s="37"/>
      <c r="D428" s="37"/>
      <c r="E428" s="37"/>
      <c r="F428" s="37"/>
      <c r="G428" s="1"/>
    </row>
    <row r="429" ht="15.75" customHeight="1">
      <c r="A429" s="36"/>
      <c r="B429" s="36"/>
      <c r="C429" s="37"/>
      <c r="D429" s="37"/>
      <c r="E429" s="37"/>
      <c r="F429" s="37"/>
      <c r="G429" s="1"/>
    </row>
    <row r="430" ht="15.75" customHeight="1">
      <c r="A430" s="36"/>
      <c r="B430" s="36"/>
      <c r="C430" s="37"/>
      <c r="D430" s="37"/>
      <c r="E430" s="37"/>
      <c r="F430" s="37"/>
      <c r="G430" s="1"/>
    </row>
    <row r="431" ht="15.75" customHeight="1">
      <c r="A431" s="36"/>
      <c r="B431" s="36"/>
      <c r="C431" s="37"/>
      <c r="D431" s="37"/>
      <c r="E431" s="37"/>
      <c r="F431" s="37"/>
      <c r="G431" s="1"/>
    </row>
    <row r="432" ht="15.75" customHeight="1">
      <c r="A432" s="36"/>
      <c r="B432" s="36"/>
      <c r="C432" s="37"/>
      <c r="D432" s="37"/>
      <c r="E432" s="37"/>
      <c r="F432" s="37"/>
      <c r="G432" s="1"/>
    </row>
    <row r="433" ht="15.75" customHeight="1">
      <c r="A433" s="36"/>
      <c r="B433" s="36"/>
      <c r="C433" s="37"/>
      <c r="D433" s="37"/>
      <c r="E433" s="37"/>
      <c r="F433" s="37"/>
      <c r="G433" s="1"/>
    </row>
    <row r="434" ht="15.75" customHeight="1">
      <c r="A434" s="36"/>
      <c r="B434" s="36"/>
      <c r="C434" s="37"/>
      <c r="D434" s="37"/>
      <c r="E434" s="37"/>
      <c r="F434" s="37"/>
      <c r="G434" s="1"/>
    </row>
    <row r="435" ht="15.75" customHeight="1">
      <c r="A435" s="36"/>
      <c r="B435" s="36"/>
      <c r="C435" s="37"/>
      <c r="D435" s="37"/>
      <c r="E435" s="37"/>
      <c r="F435" s="37"/>
      <c r="G435" s="1"/>
    </row>
    <row r="436" ht="15.75" customHeight="1">
      <c r="A436" s="36"/>
      <c r="B436" s="36"/>
      <c r="C436" s="37"/>
      <c r="D436" s="37"/>
      <c r="E436" s="37"/>
      <c r="F436" s="37"/>
      <c r="G436" s="1"/>
    </row>
    <row r="437" ht="15.75" customHeight="1">
      <c r="A437" s="36"/>
      <c r="B437" s="36"/>
      <c r="C437" s="37"/>
      <c r="D437" s="37"/>
      <c r="E437" s="37"/>
      <c r="F437" s="37"/>
      <c r="G437" s="1"/>
    </row>
    <row r="438" ht="15.75" customHeight="1">
      <c r="A438" s="36"/>
      <c r="B438" s="36"/>
      <c r="C438" s="37"/>
      <c r="D438" s="37"/>
      <c r="E438" s="37"/>
      <c r="F438" s="37"/>
      <c r="G438" s="1"/>
    </row>
    <row r="439" ht="15.75" customHeight="1">
      <c r="A439" s="36"/>
      <c r="B439" s="36"/>
      <c r="C439" s="37"/>
      <c r="D439" s="37"/>
      <c r="E439" s="37"/>
      <c r="F439" s="37"/>
      <c r="G439" s="1"/>
    </row>
    <row r="440" ht="15.75" customHeight="1">
      <c r="A440" s="36"/>
      <c r="B440" s="36"/>
      <c r="C440" s="37"/>
      <c r="D440" s="37"/>
      <c r="E440" s="37"/>
      <c r="F440" s="37"/>
      <c r="G440" s="1"/>
    </row>
    <row r="441" ht="15.75" customHeight="1">
      <c r="A441" s="36"/>
      <c r="B441" s="36"/>
      <c r="C441" s="37"/>
      <c r="D441" s="37"/>
      <c r="E441" s="37"/>
      <c r="F441" s="37"/>
      <c r="G441" s="1"/>
    </row>
    <row r="442" ht="15.75" customHeight="1">
      <c r="A442" s="36"/>
      <c r="B442" s="36"/>
      <c r="C442" s="37"/>
      <c r="D442" s="37"/>
      <c r="E442" s="37"/>
      <c r="F442" s="37"/>
      <c r="G442" s="1"/>
    </row>
    <row r="443" ht="15.75" customHeight="1">
      <c r="A443" s="36"/>
      <c r="B443" s="36"/>
      <c r="C443" s="37"/>
      <c r="D443" s="37"/>
      <c r="E443" s="37"/>
      <c r="F443" s="37"/>
      <c r="G443" s="1"/>
    </row>
    <row r="444" ht="15.75" customHeight="1">
      <c r="A444" s="36"/>
      <c r="B444" s="36"/>
      <c r="C444" s="37"/>
      <c r="D444" s="37"/>
      <c r="E444" s="37"/>
      <c r="F444" s="37"/>
      <c r="G444" s="1"/>
    </row>
    <row r="445" ht="15.75" customHeight="1">
      <c r="A445" s="36"/>
      <c r="B445" s="36"/>
      <c r="C445" s="37"/>
      <c r="D445" s="37"/>
      <c r="E445" s="37"/>
      <c r="F445" s="37"/>
      <c r="G445" s="1"/>
    </row>
    <row r="446" ht="15.75" customHeight="1">
      <c r="A446" s="36"/>
      <c r="B446" s="36"/>
      <c r="C446" s="37"/>
      <c r="D446" s="37"/>
      <c r="E446" s="37"/>
      <c r="F446" s="37"/>
      <c r="G446" s="1"/>
    </row>
    <row r="447" ht="15.75" customHeight="1">
      <c r="A447" s="36"/>
      <c r="B447" s="36"/>
      <c r="C447" s="37"/>
      <c r="D447" s="37"/>
      <c r="E447" s="37"/>
      <c r="F447" s="37"/>
      <c r="G447" s="1"/>
    </row>
    <row r="448" ht="15.75" customHeight="1">
      <c r="A448" s="36"/>
      <c r="B448" s="36"/>
      <c r="C448" s="37"/>
      <c r="D448" s="37"/>
      <c r="E448" s="37"/>
      <c r="F448" s="37"/>
      <c r="G448" s="1"/>
    </row>
    <row r="449" ht="15.75" customHeight="1">
      <c r="A449" s="36"/>
      <c r="B449" s="36"/>
      <c r="C449" s="37"/>
      <c r="D449" s="37"/>
      <c r="E449" s="37"/>
      <c r="F449" s="37"/>
      <c r="G449" s="1"/>
    </row>
    <row r="450" ht="15.75" customHeight="1">
      <c r="A450" s="36"/>
      <c r="B450" s="36"/>
      <c r="C450" s="37"/>
      <c r="D450" s="37"/>
      <c r="E450" s="37"/>
      <c r="F450" s="37"/>
      <c r="G450" s="1"/>
    </row>
    <row r="451" ht="15.75" customHeight="1">
      <c r="A451" s="36"/>
      <c r="B451" s="36"/>
      <c r="C451" s="37"/>
      <c r="D451" s="37"/>
      <c r="E451" s="37"/>
      <c r="F451" s="37"/>
      <c r="G451" s="1"/>
    </row>
    <row r="452" ht="15.75" customHeight="1">
      <c r="A452" s="36"/>
      <c r="B452" s="36"/>
      <c r="C452" s="37"/>
      <c r="D452" s="37"/>
      <c r="E452" s="37"/>
      <c r="F452" s="37"/>
      <c r="G452" s="1"/>
    </row>
    <row r="453" ht="15.75" customHeight="1">
      <c r="A453" s="36"/>
      <c r="B453" s="36"/>
      <c r="C453" s="37"/>
      <c r="D453" s="37"/>
      <c r="E453" s="37"/>
      <c r="F453" s="37"/>
      <c r="G453" s="1"/>
    </row>
    <row r="454" ht="15.75" customHeight="1">
      <c r="A454" s="36"/>
      <c r="B454" s="36"/>
      <c r="C454" s="37"/>
      <c r="D454" s="37"/>
      <c r="E454" s="37"/>
      <c r="F454" s="37"/>
      <c r="G454" s="1"/>
    </row>
    <row r="455" ht="15.75" customHeight="1">
      <c r="A455" s="36"/>
      <c r="B455" s="36"/>
      <c r="C455" s="37"/>
      <c r="D455" s="37"/>
      <c r="E455" s="37"/>
      <c r="F455" s="37"/>
      <c r="G455" s="1"/>
    </row>
    <row r="456" ht="15.75" customHeight="1">
      <c r="A456" s="36"/>
      <c r="B456" s="36"/>
      <c r="C456" s="37"/>
      <c r="D456" s="37"/>
      <c r="E456" s="37"/>
      <c r="F456" s="37"/>
      <c r="G456" s="1"/>
    </row>
    <row r="457" ht="15.75" customHeight="1">
      <c r="A457" s="36"/>
      <c r="B457" s="36"/>
      <c r="C457" s="37"/>
      <c r="D457" s="37"/>
      <c r="E457" s="37"/>
      <c r="F457" s="37"/>
      <c r="G457" s="1"/>
    </row>
    <row r="458" ht="15.75" customHeight="1">
      <c r="A458" s="36"/>
      <c r="B458" s="36"/>
      <c r="C458" s="37"/>
      <c r="D458" s="37"/>
      <c r="E458" s="37"/>
      <c r="F458" s="37"/>
      <c r="G458" s="1"/>
    </row>
    <row r="459" ht="15.75" customHeight="1">
      <c r="A459" s="36"/>
      <c r="B459" s="36"/>
      <c r="C459" s="37"/>
      <c r="D459" s="37"/>
      <c r="E459" s="37"/>
      <c r="F459" s="37"/>
      <c r="G459" s="1"/>
    </row>
    <row r="460" ht="15.75" customHeight="1">
      <c r="A460" s="36"/>
      <c r="B460" s="36"/>
      <c r="C460" s="37"/>
      <c r="D460" s="37"/>
      <c r="E460" s="37"/>
      <c r="F460" s="37"/>
      <c r="G460" s="1"/>
    </row>
    <row r="461" ht="15.75" customHeight="1">
      <c r="A461" s="36"/>
      <c r="B461" s="36"/>
      <c r="C461" s="37"/>
      <c r="D461" s="37"/>
      <c r="E461" s="37"/>
      <c r="F461" s="37"/>
      <c r="G461" s="1"/>
    </row>
    <row r="462" ht="15.75" customHeight="1">
      <c r="A462" s="36"/>
      <c r="B462" s="36"/>
      <c r="C462" s="37"/>
      <c r="D462" s="37"/>
      <c r="E462" s="37"/>
      <c r="F462" s="37"/>
      <c r="G462" s="1"/>
    </row>
    <row r="463" ht="15.75" customHeight="1">
      <c r="A463" s="36"/>
      <c r="B463" s="36"/>
      <c r="C463" s="37"/>
      <c r="D463" s="37"/>
      <c r="E463" s="37"/>
      <c r="F463" s="37"/>
      <c r="G463" s="1"/>
    </row>
    <row r="464" ht="15.75" customHeight="1">
      <c r="A464" s="36"/>
      <c r="B464" s="36"/>
      <c r="C464" s="37"/>
      <c r="D464" s="37"/>
      <c r="E464" s="37"/>
      <c r="F464" s="37"/>
      <c r="G464" s="1"/>
    </row>
    <row r="465" ht="15.75" customHeight="1">
      <c r="A465" s="36"/>
      <c r="B465" s="36"/>
      <c r="C465" s="37"/>
      <c r="D465" s="37"/>
      <c r="E465" s="37"/>
      <c r="F465" s="37"/>
      <c r="G465" s="1"/>
    </row>
    <row r="466" ht="15.75" customHeight="1">
      <c r="A466" s="36"/>
      <c r="B466" s="36"/>
      <c r="C466" s="37"/>
      <c r="D466" s="37"/>
      <c r="E466" s="37"/>
      <c r="F466" s="37"/>
      <c r="G466" s="1"/>
    </row>
    <row r="467" ht="15.75" customHeight="1">
      <c r="A467" s="36"/>
      <c r="B467" s="36"/>
      <c r="C467" s="37"/>
      <c r="D467" s="37"/>
      <c r="E467" s="37"/>
      <c r="F467" s="37"/>
      <c r="G467" s="1"/>
    </row>
    <row r="468" ht="15.75" customHeight="1">
      <c r="A468" s="36"/>
      <c r="B468" s="36"/>
      <c r="C468" s="37"/>
      <c r="D468" s="37"/>
      <c r="E468" s="37"/>
      <c r="F468" s="37"/>
      <c r="G468" s="1"/>
    </row>
    <row r="469" ht="15.75" customHeight="1">
      <c r="A469" s="36"/>
      <c r="B469" s="36"/>
      <c r="C469" s="37"/>
      <c r="D469" s="37"/>
      <c r="E469" s="37"/>
      <c r="F469" s="37"/>
      <c r="G469" s="1"/>
    </row>
    <row r="470" ht="15.75" customHeight="1">
      <c r="A470" s="36"/>
      <c r="B470" s="36"/>
      <c r="C470" s="37"/>
      <c r="D470" s="37"/>
      <c r="E470" s="37"/>
      <c r="F470" s="37"/>
      <c r="G470" s="1"/>
    </row>
    <row r="471" ht="15.75" customHeight="1">
      <c r="A471" s="36"/>
      <c r="B471" s="36"/>
      <c r="C471" s="37"/>
      <c r="D471" s="37"/>
      <c r="E471" s="37"/>
      <c r="F471" s="37"/>
      <c r="G471" s="1"/>
    </row>
    <row r="472" ht="15.75" customHeight="1">
      <c r="A472" s="36"/>
      <c r="B472" s="36"/>
      <c r="C472" s="37"/>
      <c r="D472" s="37"/>
      <c r="E472" s="37"/>
      <c r="F472" s="37"/>
      <c r="G472" s="1"/>
    </row>
    <row r="473" ht="15.75" customHeight="1">
      <c r="A473" s="36"/>
      <c r="B473" s="36"/>
      <c r="C473" s="37"/>
      <c r="D473" s="37"/>
      <c r="E473" s="37"/>
      <c r="F473" s="37"/>
      <c r="G473" s="1"/>
    </row>
    <row r="474" ht="15.75" customHeight="1">
      <c r="A474" s="36"/>
      <c r="B474" s="36"/>
      <c r="C474" s="37"/>
      <c r="D474" s="37"/>
      <c r="E474" s="37"/>
      <c r="F474" s="37"/>
      <c r="G474" s="1"/>
    </row>
    <row r="475" ht="15.75" customHeight="1">
      <c r="A475" s="36"/>
      <c r="B475" s="36"/>
      <c r="C475" s="37"/>
      <c r="D475" s="37"/>
      <c r="E475" s="37"/>
      <c r="F475" s="37"/>
      <c r="G475" s="1"/>
    </row>
    <row r="476" ht="15.75" customHeight="1">
      <c r="A476" s="36"/>
      <c r="B476" s="36"/>
      <c r="C476" s="37"/>
      <c r="D476" s="37"/>
      <c r="E476" s="37"/>
      <c r="F476" s="37"/>
      <c r="G476" s="1"/>
    </row>
    <row r="477" ht="15.75" customHeight="1">
      <c r="A477" s="36"/>
      <c r="B477" s="36"/>
      <c r="C477" s="37"/>
      <c r="D477" s="37"/>
      <c r="E477" s="37"/>
      <c r="F477" s="37"/>
      <c r="G477" s="1"/>
    </row>
    <row r="478" ht="15.75" customHeight="1">
      <c r="A478" s="36"/>
      <c r="B478" s="36"/>
      <c r="C478" s="37"/>
      <c r="D478" s="37"/>
      <c r="E478" s="37"/>
      <c r="F478" s="37"/>
      <c r="G478" s="1"/>
    </row>
    <row r="479" ht="15.75" customHeight="1">
      <c r="A479" s="36"/>
      <c r="B479" s="36"/>
      <c r="C479" s="37"/>
      <c r="D479" s="37"/>
      <c r="E479" s="37"/>
      <c r="F479" s="37"/>
      <c r="G479" s="1"/>
    </row>
    <row r="480" ht="15.75" customHeight="1">
      <c r="A480" s="36"/>
      <c r="B480" s="36"/>
      <c r="C480" s="37"/>
      <c r="D480" s="37"/>
      <c r="E480" s="37"/>
      <c r="F480" s="37"/>
      <c r="G480" s="1"/>
    </row>
    <row r="481" ht="15.75" customHeight="1">
      <c r="A481" s="36"/>
      <c r="B481" s="36"/>
      <c r="C481" s="37"/>
      <c r="D481" s="37"/>
      <c r="E481" s="37"/>
      <c r="F481" s="37"/>
      <c r="G481" s="1"/>
    </row>
    <row r="482" ht="15.75" customHeight="1">
      <c r="A482" s="36"/>
      <c r="B482" s="36"/>
      <c r="C482" s="37"/>
      <c r="D482" s="37"/>
      <c r="E482" s="37"/>
      <c r="F482" s="37"/>
      <c r="G482" s="1"/>
    </row>
    <row r="483" ht="15.75" customHeight="1">
      <c r="A483" s="36"/>
      <c r="B483" s="36"/>
      <c r="C483" s="37"/>
      <c r="D483" s="37"/>
      <c r="E483" s="37"/>
      <c r="F483" s="37"/>
      <c r="G483" s="1"/>
    </row>
    <row r="484" ht="15.75" customHeight="1">
      <c r="A484" s="36"/>
      <c r="B484" s="36"/>
      <c r="C484" s="37"/>
      <c r="D484" s="37"/>
      <c r="E484" s="37"/>
      <c r="F484" s="37"/>
      <c r="G484" s="1"/>
    </row>
    <row r="485" ht="15.75" customHeight="1">
      <c r="A485" s="36"/>
      <c r="B485" s="36"/>
      <c r="C485" s="37"/>
      <c r="D485" s="37"/>
      <c r="E485" s="37"/>
      <c r="F485" s="37"/>
      <c r="G485" s="1"/>
    </row>
    <row r="486" ht="15.75" customHeight="1">
      <c r="A486" s="36"/>
      <c r="B486" s="36"/>
      <c r="C486" s="37"/>
      <c r="D486" s="37"/>
      <c r="E486" s="37"/>
      <c r="F486" s="37"/>
      <c r="G486" s="1"/>
    </row>
    <row r="487" ht="15.75" customHeight="1">
      <c r="A487" s="36"/>
      <c r="B487" s="36"/>
      <c r="C487" s="37"/>
      <c r="D487" s="37"/>
      <c r="E487" s="37"/>
      <c r="F487" s="37"/>
      <c r="G487" s="1"/>
    </row>
    <row r="488" ht="15.75" customHeight="1">
      <c r="A488" s="36"/>
      <c r="B488" s="36"/>
      <c r="C488" s="37"/>
      <c r="D488" s="37"/>
      <c r="E488" s="37"/>
      <c r="F488" s="37"/>
      <c r="G488" s="1"/>
    </row>
    <row r="489" ht="15.75" customHeight="1">
      <c r="A489" s="36"/>
      <c r="B489" s="36"/>
      <c r="C489" s="37"/>
      <c r="D489" s="37"/>
      <c r="E489" s="37"/>
      <c r="F489" s="37"/>
      <c r="G489" s="1"/>
    </row>
    <row r="490" ht="15.75" customHeight="1">
      <c r="A490" s="36"/>
      <c r="B490" s="36"/>
      <c r="C490" s="37"/>
      <c r="D490" s="37"/>
      <c r="E490" s="37"/>
      <c r="F490" s="37"/>
      <c r="G490" s="1"/>
    </row>
    <row r="491" ht="15.75" customHeight="1">
      <c r="A491" s="36"/>
      <c r="B491" s="36"/>
      <c r="C491" s="37"/>
      <c r="D491" s="37"/>
      <c r="E491" s="37"/>
      <c r="F491" s="37"/>
      <c r="G491" s="1"/>
    </row>
    <row r="492" ht="15.75" customHeight="1">
      <c r="A492" s="36"/>
      <c r="B492" s="36"/>
      <c r="C492" s="37"/>
      <c r="D492" s="37"/>
      <c r="E492" s="37"/>
      <c r="F492" s="37"/>
      <c r="G492" s="1"/>
    </row>
    <row r="493" ht="15.75" customHeight="1">
      <c r="A493" s="36"/>
      <c r="B493" s="36"/>
      <c r="C493" s="37"/>
      <c r="D493" s="37"/>
      <c r="E493" s="37"/>
      <c r="F493" s="37"/>
      <c r="G493" s="1"/>
    </row>
    <row r="494" ht="15.75" customHeight="1">
      <c r="A494" s="36"/>
      <c r="B494" s="36"/>
      <c r="C494" s="37"/>
      <c r="D494" s="37"/>
      <c r="E494" s="37"/>
      <c r="F494" s="37"/>
      <c r="G494" s="1"/>
    </row>
    <row r="495" ht="15.75" customHeight="1">
      <c r="A495" s="36"/>
      <c r="B495" s="36"/>
      <c r="C495" s="37"/>
      <c r="D495" s="37"/>
      <c r="E495" s="37"/>
      <c r="F495" s="37"/>
      <c r="G495" s="1"/>
    </row>
    <row r="496" ht="15.75" customHeight="1">
      <c r="A496" s="36"/>
      <c r="B496" s="36"/>
      <c r="C496" s="37"/>
      <c r="D496" s="37"/>
      <c r="E496" s="37"/>
      <c r="F496" s="37"/>
      <c r="G496" s="1"/>
    </row>
    <row r="497" ht="15.75" customHeight="1">
      <c r="A497" s="36"/>
      <c r="B497" s="36"/>
      <c r="C497" s="37"/>
      <c r="D497" s="37"/>
      <c r="E497" s="37"/>
      <c r="F497" s="37"/>
      <c r="G497" s="1"/>
    </row>
    <row r="498" ht="15.75" customHeight="1">
      <c r="A498" s="36"/>
      <c r="B498" s="36"/>
      <c r="C498" s="37"/>
      <c r="D498" s="37"/>
      <c r="E498" s="37"/>
      <c r="F498" s="37"/>
      <c r="G498" s="1"/>
    </row>
    <row r="499" ht="15.75" customHeight="1">
      <c r="A499" s="36"/>
      <c r="B499" s="36"/>
      <c r="C499" s="37"/>
      <c r="D499" s="37"/>
      <c r="E499" s="37"/>
      <c r="F499" s="37"/>
      <c r="G499" s="1"/>
    </row>
    <row r="500" ht="15.75" customHeight="1">
      <c r="A500" s="36"/>
      <c r="B500" s="36"/>
      <c r="C500" s="37"/>
      <c r="D500" s="37"/>
      <c r="E500" s="37"/>
      <c r="F500" s="37"/>
      <c r="G500" s="1"/>
    </row>
    <row r="501" ht="15.75" customHeight="1">
      <c r="A501" s="36"/>
      <c r="B501" s="36"/>
      <c r="C501" s="37"/>
      <c r="D501" s="37"/>
      <c r="E501" s="37"/>
      <c r="F501" s="37"/>
      <c r="G501" s="1"/>
    </row>
    <row r="502" ht="15.75" customHeight="1">
      <c r="A502" s="36"/>
      <c r="B502" s="36"/>
      <c r="C502" s="37"/>
      <c r="D502" s="37"/>
      <c r="E502" s="37"/>
      <c r="F502" s="37"/>
      <c r="G502" s="1"/>
    </row>
    <row r="503" ht="15.75" customHeight="1">
      <c r="A503" s="36"/>
      <c r="B503" s="36"/>
      <c r="C503" s="37"/>
      <c r="D503" s="37"/>
      <c r="E503" s="37"/>
      <c r="F503" s="37"/>
      <c r="G503" s="1"/>
    </row>
    <row r="504" ht="15.75" customHeight="1">
      <c r="A504" s="36"/>
      <c r="B504" s="36"/>
      <c r="C504" s="37"/>
      <c r="D504" s="37"/>
      <c r="E504" s="37"/>
      <c r="F504" s="37"/>
      <c r="G504" s="1"/>
    </row>
    <row r="505" ht="15.75" customHeight="1">
      <c r="A505" s="36"/>
      <c r="B505" s="36"/>
      <c r="C505" s="37"/>
      <c r="D505" s="37"/>
      <c r="E505" s="37"/>
      <c r="F505" s="37"/>
      <c r="G505" s="1"/>
    </row>
    <row r="506" ht="15.75" customHeight="1">
      <c r="A506" s="36"/>
      <c r="B506" s="36"/>
      <c r="C506" s="37"/>
      <c r="D506" s="37"/>
      <c r="E506" s="37"/>
      <c r="F506" s="37"/>
      <c r="G506" s="1"/>
    </row>
    <row r="507" ht="15.75" customHeight="1">
      <c r="A507" s="36"/>
      <c r="B507" s="36"/>
      <c r="C507" s="37"/>
      <c r="D507" s="37"/>
      <c r="E507" s="37"/>
      <c r="F507" s="37"/>
      <c r="G507" s="1"/>
    </row>
    <row r="508" ht="15.75" customHeight="1">
      <c r="A508" s="36"/>
      <c r="B508" s="36"/>
      <c r="C508" s="37"/>
      <c r="D508" s="37"/>
      <c r="E508" s="37"/>
      <c r="F508" s="37"/>
      <c r="G508" s="1"/>
    </row>
    <row r="509" ht="15.75" customHeight="1">
      <c r="A509" s="36"/>
      <c r="B509" s="36"/>
      <c r="C509" s="37"/>
      <c r="D509" s="37"/>
      <c r="E509" s="37"/>
      <c r="F509" s="37"/>
      <c r="G509" s="1"/>
    </row>
    <row r="510" ht="15.75" customHeight="1">
      <c r="A510" s="36"/>
      <c r="B510" s="36"/>
      <c r="C510" s="37"/>
      <c r="D510" s="37"/>
      <c r="E510" s="37"/>
      <c r="F510" s="37"/>
      <c r="G510" s="1"/>
    </row>
    <row r="511" ht="15.75" customHeight="1">
      <c r="A511" s="36"/>
      <c r="B511" s="36"/>
      <c r="C511" s="37"/>
      <c r="D511" s="37"/>
      <c r="E511" s="37"/>
      <c r="F511" s="37"/>
      <c r="G511" s="1"/>
    </row>
    <row r="512" ht="15.75" customHeight="1">
      <c r="A512" s="36"/>
      <c r="B512" s="36"/>
      <c r="C512" s="37"/>
      <c r="D512" s="37"/>
      <c r="E512" s="37"/>
      <c r="F512" s="37"/>
      <c r="G512" s="1"/>
    </row>
    <row r="513" ht="15.75" customHeight="1">
      <c r="A513" s="36"/>
      <c r="B513" s="36"/>
      <c r="C513" s="37"/>
      <c r="D513" s="37"/>
      <c r="E513" s="37"/>
      <c r="F513" s="37"/>
      <c r="G513" s="1"/>
    </row>
    <row r="514" ht="15.75" customHeight="1">
      <c r="A514" s="36"/>
      <c r="B514" s="36"/>
      <c r="C514" s="37"/>
      <c r="D514" s="37"/>
      <c r="E514" s="37"/>
      <c r="F514" s="37"/>
      <c r="G514" s="1"/>
    </row>
    <row r="515" ht="15.75" customHeight="1">
      <c r="A515" s="36"/>
      <c r="B515" s="36"/>
      <c r="C515" s="37"/>
      <c r="D515" s="37"/>
      <c r="E515" s="37"/>
      <c r="F515" s="37"/>
      <c r="G515" s="1"/>
    </row>
    <row r="516" ht="15.75" customHeight="1">
      <c r="A516" s="36"/>
      <c r="B516" s="36"/>
      <c r="C516" s="37"/>
      <c r="D516" s="37"/>
      <c r="E516" s="37"/>
      <c r="F516" s="37"/>
      <c r="G516" s="1"/>
    </row>
    <row r="517" ht="15.75" customHeight="1">
      <c r="A517" s="36"/>
      <c r="B517" s="36"/>
      <c r="C517" s="37"/>
      <c r="D517" s="37"/>
      <c r="E517" s="37"/>
      <c r="F517" s="37"/>
      <c r="G517" s="1"/>
    </row>
    <row r="518" ht="15.75" customHeight="1">
      <c r="A518" s="36"/>
      <c r="B518" s="36"/>
      <c r="C518" s="37"/>
      <c r="D518" s="37"/>
      <c r="E518" s="37"/>
      <c r="F518" s="37"/>
      <c r="G518" s="1"/>
    </row>
    <row r="519" ht="15.75" customHeight="1">
      <c r="A519" s="36"/>
      <c r="B519" s="36"/>
      <c r="C519" s="37"/>
      <c r="D519" s="37"/>
      <c r="E519" s="37"/>
      <c r="F519" s="37"/>
      <c r="G519" s="1"/>
    </row>
    <row r="520" ht="15.75" customHeight="1">
      <c r="A520" s="36"/>
      <c r="B520" s="36"/>
      <c r="C520" s="37"/>
      <c r="D520" s="37"/>
      <c r="E520" s="37"/>
      <c r="F520" s="37"/>
      <c r="G520" s="1"/>
    </row>
    <row r="521" ht="15.75" customHeight="1">
      <c r="A521" s="36"/>
      <c r="B521" s="36"/>
      <c r="C521" s="37"/>
      <c r="D521" s="37"/>
      <c r="E521" s="37"/>
      <c r="F521" s="37"/>
      <c r="G521" s="1"/>
    </row>
    <row r="522" ht="15.75" customHeight="1">
      <c r="A522" s="36"/>
      <c r="B522" s="36"/>
      <c r="C522" s="37"/>
      <c r="D522" s="37"/>
      <c r="E522" s="37"/>
      <c r="F522" s="37"/>
      <c r="G522" s="1"/>
    </row>
    <row r="523" ht="15.75" customHeight="1">
      <c r="A523" s="36"/>
      <c r="B523" s="36"/>
      <c r="C523" s="37"/>
      <c r="D523" s="37"/>
      <c r="E523" s="37"/>
      <c r="F523" s="37"/>
      <c r="G523" s="1"/>
    </row>
    <row r="524" ht="15.75" customHeight="1">
      <c r="A524" s="36"/>
      <c r="B524" s="36"/>
      <c r="C524" s="37"/>
      <c r="D524" s="37"/>
      <c r="E524" s="37"/>
      <c r="F524" s="37"/>
      <c r="G524" s="1"/>
    </row>
    <row r="525" ht="15.75" customHeight="1">
      <c r="A525" s="36"/>
      <c r="B525" s="36"/>
      <c r="C525" s="37"/>
      <c r="D525" s="37"/>
      <c r="E525" s="37"/>
      <c r="F525" s="37"/>
      <c r="G525" s="1"/>
    </row>
    <row r="526" ht="15.75" customHeight="1">
      <c r="A526" s="36"/>
      <c r="B526" s="36"/>
      <c r="C526" s="37"/>
      <c r="D526" s="37"/>
      <c r="E526" s="37"/>
      <c r="F526" s="37"/>
      <c r="G526" s="1"/>
    </row>
    <row r="527" ht="15.75" customHeight="1">
      <c r="A527" s="36"/>
      <c r="B527" s="36"/>
      <c r="C527" s="37"/>
      <c r="D527" s="37"/>
      <c r="E527" s="37"/>
      <c r="F527" s="37"/>
      <c r="G527" s="1"/>
    </row>
    <row r="528" ht="15.75" customHeight="1">
      <c r="A528" s="36"/>
      <c r="B528" s="36"/>
      <c r="C528" s="37"/>
      <c r="D528" s="37"/>
      <c r="E528" s="37"/>
      <c r="F528" s="37"/>
      <c r="G528" s="1"/>
    </row>
    <row r="529" ht="15.75" customHeight="1">
      <c r="A529" s="36"/>
      <c r="B529" s="36"/>
      <c r="C529" s="37"/>
      <c r="D529" s="37"/>
      <c r="E529" s="37"/>
      <c r="F529" s="37"/>
      <c r="G529" s="1"/>
    </row>
    <row r="530" ht="15.75" customHeight="1">
      <c r="A530" s="36"/>
      <c r="B530" s="36"/>
      <c r="C530" s="37"/>
      <c r="D530" s="37"/>
      <c r="E530" s="37"/>
      <c r="F530" s="37"/>
      <c r="G530" s="1"/>
    </row>
    <row r="531" ht="15.75" customHeight="1">
      <c r="A531" s="36"/>
      <c r="B531" s="36"/>
      <c r="C531" s="37"/>
      <c r="D531" s="37"/>
      <c r="E531" s="37"/>
      <c r="F531" s="37"/>
      <c r="G531" s="1"/>
    </row>
    <row r="532" ht="15.75" customHeight="1">
      <c r="A532" s="36"/>
      <c r="B532" s="36"/>
      <c r="C532" s="37"/>
      <c r="D532" s="37"/>
      <c r="E532" s="37"/>
      <c r="F532" s="37"/>
      <c r="G532" s="1"/>
    </row>
    <row r="533" ht="15.75" customHeight="1">
      <c r="A533" s="36"/>
      <c r="B533" s="36"/>
      <c r="C533" s="37"/>
      <c r="D533" s="37"/>
      <c r="E533" s="37"/>
      <c r="F533" s="37"/>
      <c r="G533" s="1"/>
    </row>
    <row r="534" ht="15.75" customHeight="1">
      <c r="A534" s="36"/>
      <c r="B534" s="36"/>
      <c r="C534" s="37"/>
      <c r="D534" s="37"/>
      <c r="E534" s="37"/>
      <c r="F534" s="37"/>
      <c r="G534" s="1"/>
    </row>
    <row r="535" ht="15.75" customHeight="1">
      <c r="A535" s="36"/>
      <c r="B535" s="36"/>
      <c r="C535" s="37"/>
      <c r="D535" s="37"/>
      <c r="E535" s="37"/>
      <c r="F535" s="37"/>
      <c r="G535" s="1"/>
    </row>
    <row r="536" ht="15.75" customHeight="1">
      <c r="A536" s="36"/>
      <c r="B536" s="36"/>
      <c r="C536" s="37"/>
      <c r="D536" s="37"/>
      <c r="E536" s="37"/>
      <c r="F536" s="37"/>
      <c r="G536" s="1"/>
    </row>
    <row r="537" ht="15.75" customHeight="1">
      <c r="A537" s="36"/>
      <c r="B537" s="36"/>
      <c r="C537" s="37"/>
      <c r="D537" s="37"/>
      <c r="E537" s="37"/>
      <c r="F537" s="37"/>
      <c r="G537" s="1"/>
    </row>
    <row r="538" ht="15.75" customHeight="1">
      <c r="A538" s="36"/>
      <c r="B538" s="36"/>
      <c r="C538" s="37"/>
      <c r="D538" s="37"/>
      <c r="E538" s="37"/>
      <c r="F538" s="37"/>
      <c r="G538" s="1"/>
    </row>
    <row r="539" ht="15.75" customHeight="1">
      <c r="A539" s="36"/>
      <c r="B539" s="36"/>
      <c r="C539" s="37"/>
      <c r="D539" s="37"/>
      <c r="E539" s="37"/>
      <c r="F539" s="37"/>
      <c r="G539" s="1"/>
    </row>
    <row r="540" ht="15.75" customHeight="1">
      <c r="A540" s="36"/>
      <c r="B540" s="36"/>
      <c r="C540" s="37"/>
      <c r="D540" s="37"/>
      <c r="E540" s="37"/>
      <c r="F540" s="37"/>
      <c r="G540" s="1"/>
    </row>
    <row r="541" ht="15.75" customHeight="1">
      <c r="A541" s="36"/>
      <c r="B541" s="36"/>
      <c r="C541" s="37"/>
      <c r="D541" s="37"/>
      <c r="E541" s="37"/>
      <c r="F541" s="37"/>
      <c r="G541" s="1"/>
    </row>
    <row r="542" ht="15.75" customHeight="1">
      <c r="A542" s="36"/>
      <c r="B542" s="36"/>
      <c r="C542" s="37"/>
      <c r="D542" s="37"/>
      <c r="E542" s="37"/>
      <c r="F542" s="37"/>
      <c r="G542" s="1"/>
    </row>
    <row r="543" ht="15.75" customHeight="1">
      <c r="A543" s="36"/>
      <c r="B543" s="36"/>
      <c r="C543" s="37"/>
      <c r="D543" s="37"/>
      <c r="E543" s="37"/>
      <c r="F543" s="37"/>
      <c r="G543" s="1"/>
    </row>
    <row r="544" ht="15.75" customHeight="1">
      <c r="A544" s="36"/>
      <c r="B544" s="36"/>
      <c r="C544" s="37"/>
      <c r="D544" s="37"/>
      <c r="E544" s="37"/>
      <c r="F544" s="37"/>
      <c r="G544" s="1"/>
    </row>
    <row r="545" ht="15.75" customHeight="1">
      <c r="A545" s="36"/>
      <c r="B545" s="36"/>
      <c r="C545" s="37"/>
      <c r="D545" s="37"/>
      <c r="E545" s="37"/>
      <c r="F545" s="37"/>
      <c r="G545" s="1"/>
    </row>
    <row r="546" ht="15.75" customHeight="1">
      <c r="A546" s="36"/>
      <c r="B546" s="36"/>
      <c r="C546" s="37"/>
      <c r="D546" s="37"/>
      <c r="E546" s="37"/>
      <c r="F546" s="37"/>
      <c r="G546" s="1"/>
    </row>
    <row r="547" ht="15.75" customHeight="1">
      <c r="A547" s="36"/>
      <c r="B547" s="36"/>
      <c r="C547" s="37"/>
      <c r="D547" s="37"/>
      <c r="E547" s="37"/>
      <c r="F547" s="37"/>
      <c r="G547" s="1"/>
    </row>
    <row r="548" ht="15.75" customHeight="1">
      <c r="A548" s="36"/>
      <c r="B548" s="36"/>
      <c r="C548" s="37"/>
      <c r="D548" s="37"/>
      <c r="E548" s="37"/>
      <c r="F548" s="37"/>
      <c r="G548" s="1"/>
    </row>
    <row r="549" ht="15.75" customHeight="1">
      <c r="A549" s="36"/>
      <c r="B549" s="36"/>
      <c r="C549" s="37"/>
      <c r="D549" s="37"/>
      <c r="E549" s="37"/>
      <c r="F549" s="37"/>
      <c r="G549" s="1"/>
    </row>
    <row r="550" ht="15.75" customHeight="1">
      <c r="A550" s="36"/>
      <c r="B550" s="36"/>
      <c r="C550" s="37"/>
      <c r="D550" s="37"/>
      <c r="E550" s="37"/>
      <c r="F550" s="37"/>
      <c r="G550" s="1"/>
    </row>
    <row r="551" ht="15.75" customHeight="1">
      <c r="A551" s="36"/>
      <c r="B551" s="36"/>
      <c r="C551" s="37"/>
      <c r="D551" s="37"/>
      <c r="E551" s="37"/>
      <c r="F551" s="37"/>
      <c r="G551" s="1"/>
    </row>
    <row r="552" ht="15.75" customHeight="1">
      <c r="A552" s="36"/>
      <c r="B552" s="36"/>
      <c r="C552" s="37"/>
      <c r="D552" s="37"/>
      <c r="E552" s="37"/>
      <c r="F552" s="37"/>
      <c r="G552" s="1"/>
    </row>
    <row r="553" ht="15.75" customHeight="1">
      <c r="A553" s="36"/>
      <c r="B553" s="36"/>
      <c r="C553" s="37"/>
      <c r="D553" s="37"/>
      <c r="E553" s="37"/>
      <c r="F553" s="37"/>
      <c r="G553" s="1"/>
    </row>
    <row r="554" ht="15.75" customHeight="1">
      <c r="A554" s="36"/>
      <c r="B554" s="36"/>
      <c r="C554" s="37"/>
      <c r="D554" s="37"/>
      <c r="E554" s="37"/>
      <c r="F554" s="37"/>
      <c r="G554" s="1"/>
    </row>
    <row r="555" ht="15.75" customHeight="1">
      <c r="A555" s="36"/>
      <c r="B555" s="36"/>
      <c r="C555" s="37"/>
      <c r="D555" s="37"/>
      <c r="E555" s="37"/>
      <c r="F555" s="37"/>
      <c r="G555" s="1"/>
    </row>
    <row r="556" ht="15.75" customHeight="1">
      <c r="A556" s="36"/>
      <c r="B556" s="36"/>
      <c r="C556" s="37"/>
      <c r="D556" s="37"/>
      <c r="E556" s="37"/>
      <c r="F556" s="37"/>
      <c r="G556" s="1"/>
    </row>
    <row r="557" ht="15.75" customHeight="1">
      <c r="A557" s="36"/>
      <c r="B557" s="36"/>
      <c r="C557" s="37"/>
      <c r="D557" s="37"/>
      <c r="E557" s="37"/>
      <c r="F557" s="37"/>
      <c r="G557" s="1"/>
    </row>
    <row r="558" ht="15.75" customHeight="1">
      <c r="A558" s="36"/>
      <c r="B558" s="36"/>
      <c r="C558" s="37"/>
      <c r="D558" s="37"/>
      <c r="E558" s="37"/>
      <c r="F558" s="37"/>
      <c r="G558" s="1"/>
    </row>
    <row r="559" ht="15.75" customHeight="1">
      <c r="A559" s="36"/>
      <c r="B559" s="36"/>
      <c r="C559" s="37"/>
      <c r="D559" s="37"/>
      <c r="E559" s="37"/>
      <c r="F559" s="37"/>
      <c r="G559" s="1"/>
    </row>
    <row r="560" ht="15.75" customHeight="1">
      <c r="A560" s="36"/>
      <c r="B560" s="36"/>
      <c r="C560" s="37"/>
      <c r="D560" s="37"/>
      <c r="E560" s="37"/>
      <c r="F560" s="37"/>
      <c r="G560" s="1"/>
    </row>
    <row r="561" ht="15.75" customHeight="1">
      <c r="A561" s="36"/>
      <c r="B561" s="36"/>
      <c r="C561" s="37"/>
      <c r="D561" s="37"/>
      <c r="E561" s="37"/>
      <c r="F561" s="37"/>
      <c r="G561" s="1"/>
    </row>
    <row r="562" ht="15.75" customHeight="1">
      <c r="A562" s="36"/>
      <c r="B562" s="36"/>
      <c r="C562" s="37"/>
      <c r="D562" s="37"/>
      <c r="E562" s="37"/>
      <c r="F562" s="37"/>
      <c r="G562" s="1"/>
    </row>
    <row r="563" ht="15.75" customHeight="1">
      <c r="A563" s="36"/>
      <c r="B563" s="36"/>
      <c r="C563" s="37"/>
      <c r="D563" s="37"/>
      <c r="E563" s="37"/>
      <c r="F563" s="37"/>
      <c r="G563" s="1"/>
    </row>
    <row r="564" ht="15.75" customHeight="1">
      <c r="A564" s="36"/>
      <c r="B564" s="36"/>
      <c r="C564" s="37"/>
      <c r="D564" s="37"/>
      <c r="E564" s="37"/>
      <c r="F564" s="37"/>
      <c r="G564" s="1"/>
    </row>
    <row r="565" ht="15.75" customHeight="1">
      <c r="A565" s="36"/>
      <c r="B565" s="36"/>
      <c r="C565" s="37"/>
      <c r="D565" s="37"/>
      <c r="E565" s="37"/>
      <c r="F565" s="37"/>
      <c r="G565" s="1"/>
    </row>
    <row r="566" ht="15.75" customHeight="1">
      <c r="A566" s="36"/>
      <c r="B566" s="36"/>
      <c r="C566" s="37"/>
      <c r="D566" s="37"/>
      <c r="E566" s="37"/>
      <c r="F566" s="37"/>
      <c r="G566" s="1"/>
    </row>
    <row r="567" ht="15.75" customHeight="1">
      <c r="A567" s="36"/>
      <c r="B567" s="36"/>
      <c r="C567" s="37"/>
      <c r="D567" s="37"/>
      <c r="E567" s="37"/>
      <c r="F567" s="37"/>
      <c r="G567" s="1"/>
    </row>
    <row r="568" ht="15.75" customHeight="1">
      <c r="A568" s="36"/>
      <c r="B568" s="36"/>
      <c r="C568" s="37"/>
      <c r="D568" s="37"/>
      <c r="E568" s="37"/>
      <c r="F568" s="37"/>
      <c r="G568" s="1"/>
    </row>
    <row r="569" ht="15.75" customHeight="1">
      <c r="A569" s="36"/>
      <c r="B569" s="36"/>
      <c r="C569" s="37"/>
      <c r="D569" s="37"/>
      <c r="E569" s="37"/>
      <c r="F569" s="37"/>
      <c r="G569" s="1"/>
    </row>
    <row r="570" ht="15.75" customHeight="1">
      <c r="A570" s="36"/>
      <c r="B570" s="36"/>
      <c r="C570" s="37"/>
      <c r="D570" s="37"/>
      <c r="E570" s="37"/>
      <c r="F570" s="37"/>
      <c r="G570" s="1"/>
    </row>
    <row r="571" ht="15.75" customHeight="1">
      <c r="A571" s="36"/>
      <c r="B571" s="36"/>
      <c r="C571" s="37"/>
      <c r="D571" s="37"/>
      <c r="E571" s="37"/>
      <c r="F571" s="37"/>
      <c r="G571" s="1"/>
    </row>
    <row r="572" ht="15.75" customHeight="1">
      <c r="A572" s="36"/>
      <c r="B572" s="36"/>
      <c r="C572" s="37"/>
      <c r="D572" s="37"/>
      <c r="E572" s="37"/>
      <c r="F572" s="37"/>
      <c r="G572" s="1"/>
    </row>
    <row r="573" ht="15.75" customHeight="1">
      <c r="A573" s="36"/>
      <c r="B573" s="36"/>
      <c r="C573" s="37"/>
      <c r="D573" s="37"/>
      <c r="E573" s="37"/>
      <c r="F573" s="37"/>
      <c r="G573" s="1"/>
    </row>
    <row r="574" ht="15.75" customHeight="1">
      <c r="A574" s="36"/>
      <c r="B574" s="36"/>
      <c r="C574" s="37"/>
      <c r="D574" s="37"/>
      <c r="E574" s="37"/>
      <c r="F574" s="37"/>
      <c r="G574" s="1"/>
    </row>
    <row r="575" ht="15.75" customHeight="1">
      <c r="A575" s="36"/>
      <c r="B575" s="36"/>
      <c r="C575" s="37"/>
      <c r="D575" s="37"/>
      <c r="E575" s="37"/>
      <c r="F575" s="37"/>
      <c r="G575" s="1"/>
    </row>
    <row r="576" ht="15.75" customHeight="1">
      <c r="A576" s="36"/>
      <c r="B576" s="36"/>
      <c r="C576" s="37"/>
      <c r="D576" s="37"/>
      <c r="E576" s="37"/>
      <c r="F576" s="37"/>
      <c r="G576" s="1"/>
    </row>
    <row r="577" ht="15.75" customHeight="1">
      <c r="A577" s="36"/>
      <c r="B577" s="36"/>
      <c r="C577" s="37"/>
      <c r="D577" s="37"/>
      <c r="E577" s="37"/>
      <c r="F577" s="37"/>
      <c r="G577" s="1"/>
    </row>
    <row r="578" ht="15.75" customHeight="1">
      <c r="A578" s="36"/>
      <c r="B578" s="36"/>
      <c r="C578" s="37"/>
      <c r="D578" s="37"/>
      <c r="E578" s="37"/>
      <c r="F578" s="37"/>
      <c r="G578" s="1"/>
    </row>
    <row r="579" ht="15.75" customHeight="1">
      <c r="A579" s="36"/>
      <c r="B579" s="36"/>
      <c r="C579" s="37"/>
      <c r="D579" s="37"/>
      <c r="E579" s="37"/>
      <c r="F579" s="37"/>
      <c r="G579" s="1"/>
    </row>
    <row r="580" ht="15.75" customHeight="1">
      <c r="A580" s="36"/>
      <c r="B580" s="36"/>
      <c r="C580" s="37"/>
      <c r="D580" s="37"/>
      <c r="E580" s="37"/>
      <c r="F580" s="37"/>
      <c r="G580" s="1"/>
    </row>
    <row r="581" ht="15.75" customHeight="1">
      <c r="A581" s="36"/>
      <c r="B581" s="36"/>
      <c r="C581" s="37"/>
      <c r="D581" s="37"/>
      <c r="E581" s="37"/>
      <c r="F581" s="37"/>
      <c r="G581" s="1"/>
    </row>
    <row r="582" ht="15.75" customHeight="1">
      <c r="A582" s="36"/>
      <c r="B582" s="36"/>
      <c r="C582" s="37"/>
      <c r="D582" s="37"/>
      <c r="E582" s="37"/>
      <c r="F582" s="37"/>
      <c r="G582" s="1"/>
    </row>
    <row r="583" ht="15.75" customHeight="1">
      <c r="A583" s="36"/>
      <c r="B583" s="36"/>
      <c r="C583" s="37"/>
      <c r="D583" s="37"/>
      <c r="E583" s="37"/>
      <c r="F583" s="37"/>
      <c r="G583" s="1"/>
    </row>
    <row r="584" ht="15.75" customHeight="1">
      <c r="A584" s="36"/>
      <c r="B584" s="36"/>
      <c r="C584" s="37"/>
      <c r="D584" s="37"/>
      <c r="E584" s="37"/>
      <c r="F584" s="37"/>
      <c r="G584" s="1"/>
    </row>
    <row r="585" ht="15.75" customHeight="1">
      <c r="A585" s="36"/>
      <c r="B585" s="36"/>
      <c r="C585" s="37"/>
      <c r="D585" s="37"/>
      <c r="E585" s="37"/>
      <c r="F585" s="37"/>
      <c r="G585" s="1"/>
    </row>
    <row r="586" ht="15.75" customHeight="1">
      <c r="A586" s="36"/>
      <c r="B586" s="36"/>
      <c r="C586" s="37"/>
      <c r="D586" s="37"/>
      <c r="E586" s="37"/>
      <c r="F586" s="37"/>
      <c r="G586" s="1"/>
    </row>
    <row r="587" ht="15.75" customHeight="1">
      <c r="A587" s="36"/>
      <c r="B587" s="36"/>
      <c r="C587" s="37"/>
      <c r="D587" s="37"/>
      <c r="E587" s="37"/>
      <c r="F587" s="37"/>
      <c r="G587" s="1"/>
    </row>
    <row r="588" ht="15.75" customHeight="1">
      <c r="A588" s="36"/>
      <c r="B588" s="36"/>
      <c r="C588" s="37"/>
      <c r="D588" s="37"/>
      <c r="E588" s="37"/>
      <c r="F588" s="37"/>
      <c r="G588" s="1"/>
    </row>
    <row r="589" ht="15.75" customHeight="1">
      <c r="A589" s="36"/>
      <c r="B589" s="36"/>
      <c r="C589" s="37"/>
      <c r="D589" s="37"/>
      <c r="E589" s="37"/>
      <c r="F589" s="37"/>
      <c r="G589" s="1"/>
    </row>
    <row r="590" ht="15.75" customHeight="1">
      <c r="A590" s="36"/>
      <c r="B590" s="36"/>
      <c r="C590" s="37"/>
      <c r="D590" s="37"/>
      <c r="E590" s="37"/>
      <c r="F590" s="37"/>
      <c r="G590" s="1"/>
    </row>
    <row r="591" ht="15.75" customHeight="1">
      <c r="A591" s="36"/>
      <c r="B591" s="36"/>
      <c r="C591" s="37"/>
      <c r="D591" s="37"/>
      <c r="E591" s="37"/>
      <c r="F591" s="37"/>
      <c r="G591" s="1"/>
    </row>
    <row r="592" ht="15.75" customHeight="1">
      <c r="A592" s="36"/>
      <c r="B592" s="36"/>
      <c r="C592" s="37"/>
      <c r="D592" s="37"/>
      <c r="E592" s="37"/>
      <c r="F592" s="37"/>
      <c r="G592" s="1"/>
    </row>
    <row r="593" ht="15.75" customHeight="1">
      <c r="A593" s="36"/>
      <c r="B593" s="36"/>
      <c r="C593" s="37"/>
      <c r="D593" s="37"/>
      <c r="E593" s="37"/>
      <c r="F593" s="37"/>
      <c r="G593" s="1"/>
    </row>
    <row r="594" ht="15.75" customHeight="1">
      <c r="A594" s="36"/>
      <c r="B594" s="36"/>
      <c r="C594" s="37"/>
      <c r="D594" s="37"/>
      <c r="E594" s="37"/>
      <c r="F594" s="37"/>
      <c r="G594" s="1"/>
    </row>
    <row r="595" ht="15.75" customHeight="1">
      <c r="A595" s="36"/>
      <c r="B595" s="36"/>
      <c r="C595" s="37"/>
      <c r="D595" s="37"/>
      <c r="E595" s="37"/>
      <c r="F595" s="37"/>
      <c r="G595" s="1"/>
    </row>
    <row r="596" ht="15.75" customHeight="1">
      <c r="A596" s="36"/>
      <c r="B596" s="36"/>
      <c r="C596" s="37"/>
      <c r="D596" s="37"/>
      <c r="E596" s="37"/>
      <c r="F596" s="37"/>
      <c r="G596" s="1"/>
    </row>
    <row r="597" ht="15.75" customHeight="1">
      <c r="A597" s="36"/>
      <c r="B597" s="36"/>
      <c r="C597" s="37"/>
      <c r="D597" s="37"/>
      <c r="E597" s="37"/>
      <c r="F597" s="37"/>
      <c r="G597" s="1"/>
    </row>
    <row r="598" ht="15.75" customHeight="1">
      <c r="A598" s="36"/>
      <c r="B598" s="36"/>
      <c r="C598" s="37"/>
      <c r="D598" s="37"/>
      <c r="E598" s="37"/>
      <c r="F598" s="37"/>
      <c r="G598" s="1"/>
    </row>
    <row r="599" ht="15.75" customHeight="1">
      <c r="A599" s="36"/>
      <c r="B599" s="36"/>
      <c r="C599" s="37"/>
      <c r="D599" s="37"/>
      <c r="E599" s="37"/>
      <c r="F599" s="37"/>
      <c r="G599" s="1"/>
    </row>
    <row r="600" ht="15.75" customHeight="1">
      <c r="A600" s="36"/>
      <c r="B600" s="36"/>
      <c r="C600" s="37"/>
      <c r="D600" s="37"/>
      <c r="E600" s="37"/>
      <c r="F600" s="37"/>
      <c r="G600" s="1"/>
    </row>
    <row r="601" ht="15.75" customHeight="1">
      <c r="A601" s="36"/>
      <c r="B601" s="36"/>
      <c r="C601" s="37"/>
      <c r="D601" s="37"/>
      <c r="E601" s="37"/>
      <c r="F601" s="37"/>
      <c r="G601" s="1"/>
    </row>
    <row r="602" ht="15.75" customHeight="1">
      <c r="A602" s="36"/>
      <c r="B602" s="36"/>
      <c r="C602" s="37"/>
      <c r="D602" s="37"/>
      <c r="E602" s="37"/>
      <c r="F602" s="37"/>
      <c r="G602" s="1"/>
    </row>
    <row r="603" ht="15.75" customHeight="1">
      <c r="A603" s="36"/>
      <c r="B603" s="36"/>
      <c r="C603" s="37"/>
      <c r="D603" s="37"/>
      <c r="E603" s="37"/>
      <c r="F603" s="37"/>
      <c r="G603" s="1"/>
    </row>
    <row r="604" ht="15.75" customHeight="1">
      <c r="A604" s="36"/>
      <c r="B604" s="36"/>
      <c r="C604" s="37"/>
      <c r="D604" s="37"/>
      <c r="E604" s="37"/>
      <c r="F604" s="37"/>
      <c r="G604" s="1"/>
    </row>
    <row r="605" ht="15.75" customHeight="1">
      <c r="A605" s="36"/>
      <c r="B605" s="36"/>
      <c r="C605" s="37"/>
      <c r="D605" s="37"/>
      <c r="E605" s="37"/>
      <c r="F605" s="37"/>
      <c r="G605" s="1"/>
    </row>
    <row r="606" ht="15.75" customHeight="1">
      <c r="A606" s="36"/>
      <c r="B606" s="36"/>
      <c r="C606" s="37"/>
      <c r="D606" s="37"/>
      <c r="E606" s="37"/>
      <c r="F606" s="37"/>
      <c r="G606" s="1"/>
    </row>
    <row r="607" ht="15.75" customHeight="1">
      <c r="A607" s="36"/>
      <c r="B607" s="36"/>
      <c r="C607" s="37"/>
      <c r="D607" s="37"/>
      <c r="E607" s="37"/>
      <c r="F607" s="37"/>
      <c r="G607" s="1"/>
    </row>
    <row r="608" ht="15.75" customHeight="1">
      <c r="A608" s="36"/>
      <c r="B608" s="36"/>
      <c r="C608" s="37"/>
      <c r="D608" s="37"/>
      <c r="E608" s="37"/>
      <c r="F608" s="37"/>
      <c r="G608" s="1"/>
    </row>
    <row r="609" ht="15.75" customHeight="1">
      <c r="A609" s="36"/>
      <c r="B609" s="36"/>
      <c r="C609" s="37"/>
      <c r="D609" s="37"/>
      <c r="E609" s="37"/>
      <c r="F609" s="37"/>
      <c r="G609" s="1"/>
    </row>
    <row r="610" ht="15.75" customHeight="1">
      <c r="A610" s="36"/>
      <c r="B610" s="36"/>
      <c r="C610" s="37"/>
      <c r="D610" s="37"/>
      <c r="E610" s="37"/>
      <c r="F610" s="37"/>
      <c r="G610" s="1"/>
    </row>
    <row r="611" ht="15.75" customHeight="1">
      <c r="A611" s="36"/>
      <c r="B611" s="36"/>
      <c r="C611" s="37"/>
      <c r="D611" s="37"/>
      <c r="E611" s="37"/>
      <c r="F611" s="37"/>
      <c r="G611" s="1"/>
    </row>
    <row r="612" ht="15.75" customHeight="1">
      <c r="A612" s="36"/>
      <c r="B612" s="36"/>
      <c r="C612" s="37"/>
      <c r="D612" s="37"/>
      <c r="E612" s="37"/>
      <c r="F612" s="37"/>
      <c r="G612" s="1"/>
    </row>
    <row r="613" ht="15.75" customHeight="1">
      <c r="A613" s="36"/>
      <c r="B613" s="36"/>
      <c r="C613" s="37"/>
      <c r="D613" s="37"/>
      <c r="E613" s="37"/>
      <c r="F613" s="37"/>
      <c r="G613" s="1"/>
    </row>
    <row r="614" ht="15.75" customHeight="1">
      <c r="A614" s="36"/>
      <c r="B614" s="36"/>
      <c r="C614" s="37"/>
      <c r="D614" s="37"/>
      <c r="E614" s="37"/>
      <c r="F614" s="37"/>
      <c r="G614" s="1"/>
    </row>
    <row r="615" ht="15.75" customHeight="1">
      <c r="A615" s="36"/>
      <c r="B615" s="36"/>
      <c r="C615" s="37"/>
      <c r="D615" s="37"/>
      <c r="E615" s="37"/>
      <c r="F615" s="37"/>
      <c r="G615" s="1"/>
    </row>
    <row r="616" ht="15.75" customHeight="1">
      <c r="A616" s="36"/>
      <c r="B616" s="36"/>
      <c r="C616" s="37"/>
      <c r="D616" s="37"/>
      <c r="E616" s="37"/>
      <c r="F616" s="37"/>
      <c r="G616" s="1"/>
    </row>
    <row r="617" ht="15.75" customHeight="1">
      <c r="A617" s="36"/>
      <c r="B617" s="36"/>
      <c r="C617" s="37"/>
      <c r="D617" s="37"/>
      <c r="E617" s="37"/>
      <c r="F617" s="37"/>
      <c r="G617" s="1"/>
    </row>
    <row r="618" ht="15.75" customHeight="1">
      <c r="A618" s="36"/>
      <c r="B618" s="36"/>
      <c r="C618" s="37"/>
      <c r="D618" s="37"/>
      <c r="E618" s="37"/>
      <c r="F618" s="37"/>
      <c r="G618" s="1"/>
    </row>
    <row r="619" ht="15.75" customHeight="1">
      <c r="A619" s="36"/>
      <c r="B619" s="36"/>
      <c r="C619" s="37"/>
      <c r="D619" s="37"/>
      <c r="E619" s="37"/>
      <c r="F619" s="37"/>
      <c r="G619" s="1"/>
    </row>
    <row r="620" ht="15.75" customHeight="1">
      <c r="A620" s="36"/>
      <c r="B620" s="36"/>
      <c r="C620" s="37"/>
      <c r="D620" s="37"/>
      <c r="E620" s="37"/>
      <c r="F620" s="37"/>
      <c r="G620" s="1"/>
    </row>
    <row r="621" ht="15.75" customHeight="1">
      <c r="A621" s="36"/>
      <c r="B621" s="36"/>
      <c r="C621" s="37"/>
      <c r="D621" s="37"/>
      <c r="E621" s="37"/>
      <c r="F621" s="37"/>
      <c r="G621" s="1"/>
    </row>
    <row r="622" ht="15.75" customHeight="1">
      <c r="A622" s="36"/>
      <c r="B622" s="36"/>
      <c r="C622" s="37"/>
      <c r="D622" s="37"/>
      <c r="E622" s="37"/>
      <c r="F622" s="37"/>
      <c r="G622" s="1"/>
    </row>
    <row r="623" ht="15.75" customHeight="1">
      <c r="A623" s="36"/>
      <c r="B623" s="36"/>
      <c r="C623" s="37"/>
      <c r="D623" s="37"/>
      <c r="E623" s="37"/>
      <c r="F623" s="37"/>
      <c r="G623" s="1"/>
    </row>
    <row r="624" ht="15.75" customHeight="1">
      <c r="A624" s="36"/>
      <c r="B624" s="36"/>
      <c r="C624" s="37"/>
      <c r="D624" s="37"/>
      <c r="E624" s="37"/>
      <c r="F624" s="37"/>
      <c r="G624" s="1"/>
    </row>
    <row r="625" ht="15.75" customHeight="1">
      <c r="A625" s="36"/>
      <c r="B625" s="36"/>
      <c r="C625" s="37"/>
      <c r="D625" s="37"/>
      <c r="E625" s="37"/>
      <c r="F625" s="37"/>
      <c r="G625" s="1"/>
    </row>
    <row r="626" ht="15.75" customHeight="1">
      <c r="A626" s="36"/>
      <c r="B626" s="36"/>
      <c r="C626" s="37"/>
      <c r="D626" s="37"/>
      <c r="E626" s="37"/>
      <c r="F626" s="37"/>
      <c r="G626" s="1"/>
    </row>
    <row r="627" ht="15.75" customHeight="1">
      <c r="A627" s="36"/>
      <c r="B627" s="36"/>
      <c r="C627" s="37"/>
      <c r="D627" s="37"/>
      <c r="E627" s="37"/>
      <c r="F627" s="37"/>
      <c r="G627" s="1"/>
    </row>
    <row r="628" ht="15.75" customHeight="1">
      <c r="A628" s="36"/>
      <c r="B628" s="36"/>
      <c r="C628" s="37"/>
      <c r="D628" s="37"/>
      <c r="E628" s="37"/>
      <c r="F628" s="37"/>
      <c r="G628" s="1"/>
    </row>
    <row r="629" ht="15.75" customHeight="1">
      <c r="A629" s="36"/>
      <c r="B629" s="36"/>
      <c r="C629" s="37"/>
      <c r="D629" s="37"/>
      <c r="E629" s="37"/>
      <c r="F629" s="37"/>
      <c r="G629" s="1"/>
    </row>
    <row r="630" ht="15.75" customHeight="1">
      <c r="A630" s="36"/>
      <c r="B630" s="36"/>
      <c r="C630" s="37"/>
      <c r="D630" s="37"/>
      <c r="E630" s="37"/>
      <c r="F630" s="37"/>
      <c r="G630" s="1"/>
    </row>
    <row r="631" ht="15.75" customHeight="1">
      <c r="A631" s="36"/>
      <c r="B631" s="36"/>
      <c r="C631" s="37"/>
      <c r="D631" s="37"/>
      <c r="E631" s="37"/>
      <c r="F631" s="37"/>
      <c r="G631" s="1"/>
    </row>
    <row r="632" ht="15.75" customHeight="1">
      <c r="A632" s="36"/>
      <c r="B632" s="36"/>
      <c r="C632" s="37"/>
      <c r="D632" s="37"/>
      <c r="E632" s="37"/>
      <c r="F632" s="37"/>
      <c r="G632" s="1"/>
    </row>
    <row r="633" ht="15.75" customHeight="1">
      <c r="A633" s="36"/>
      <c r="B633" s="36"/>
      <c r="C633" s="37"/>
      <c r="D633" s="37"/>
      <c r="E633" s="37"/>
      <c r="F633" s="37"/>
      <c r="G633" s="1"/>
    </row>
    <row r="634" ht="15.75" customHeight="1">
      <c r="A634" s="36"/>
      <c r="B634" s="36"/>
      <c r="C634" s="37"/>
      <c r="D634" s="37"/>
      <c r="E634" s="37"/>
      <c r="F634" s="37"/>
      <c r="G634" s="1"/>
    </row>
    <row r="635" ht="15.75" customHeight="1">
      <c r="A635" s="36"/>
      <c r="B635" s="36"/>
      <c r="C635" s="37"/>
      <c r="D635" s="37"/>
      <c r="E635" s="37"/>
      <c r="F635" s="37"/>
      <c r="G635" s="1"/>
    </row>
    <row r="636" ht="15.75" customHeight="1">
      <c r="A636" s="36"/>
      <c r="B636" s="36"/>
      <c r="C636" s="37"/>
      <c r="D636" s="37"/>
      <c r="E636" s="37"/>
      <c r="F636" s="37"/>
      <c r="G636" s="1"/>
    </row>
    <row r="637" ht="15.75" customHeight="1">
      <c r="A637" s="36"/>
      <c r="B637" s="36"/>
      <c r="C637" s="37"/>
      <c r="D637" s="37"/>
      <c r="E637" s="37"/>
      <c r="F637" s="37"/>
      <c r="G637" s="1"/>
    </row>
    <row r="638" ht="15.75" customHeight="1">
      <c r="A638" s="36"/>
      <c r="B638" s="36"/>
      <c r="C638" s="37"/>
      <c r="D638" s="37"/>
      <c r="E638" s="37"/>
      <c r="F638" s="37"/>
      <c r="G638" s="1"/>
    </row>
    <row r="639" ht="15.75" customHeight="1">
      <c r="A639" s="36"/>
      <c r="B639" s="36"/>
      <c r="C639" s="37"/>
      <c r="D639" s="37"/>
      <c r="E639" s="37"/>
      <c r="F639" s="37"/>
      <c r="G639" s="1"/>
    </row>
    <row r="640" ht="15.75" customHeight="1">
      <c r="A640" s="36"/>
      <c r="B640" s="36"/>
      <c r="C640" s="37"/>
      <c r="D640" s="37"/>
      <c r="E640" s="37"/>
      <c r="F640" s="37"/>
      <c r="G640" s="1"/>
    </row>
    <row r="641" ht="15.75" customHeight="1">
      <c r="A641" s="36"/>
      <c r="B641" s="36"/>
      <c r="C641" s="37"/>
      <c r="D641" s="37"/>
      <c r="E641" s="37"/>
      <c r="F641" s="37"/>
      <c r="G641" s="1"/>
    </row>
    <row r="642" ht="15.75" customHeight="1">
      <c r="A642" s="36"/>
      <c r="B642" s="36"/>
      <c r="C642" s="37"/>
      <c r="D642" s="37"/>
      <c r="E642" s="37"/>
      <c r="F642" s="37"/>
      <c r="G642" s="1"/>
    </row>
    <row r="643" ht="15.75" customHeight="1">
      <c r="A643" s="36"/>
      <c r="B643" s="36"/>
      <c r="C643" s="37"/>
      <c r="D643" s="37"/>
      <c r="E643" s="37"/>
      <c r="F643" s="37"/>
      <c r="G643" s="1"/>
    </row>
    <row r="644" ht="15.75" customHeight="1">
      <c r="A644" s="36"/>
      <c r="B644" s="36"/>
      <c r="C644" s="37"/>
      <c r="D644" s="37"/>
      <c r="E644" s="37"/>
      <c r="F644" s="37"/>
      <c r="G644" s="1"/>
    </row>
    <row r="645" ht="15.75" customHeight="1">
      <c r="A645" s="36"/>
      <c r="B645" s="36"/>
      <c r="C645" s="37"/>
      <c r="D645" s="37"/>
      <c r="E645" s="37"/>
      <c r="F645" s="37"/>
      <c r="G645" s="1"/>
    </row>
    <row r="646" ht="15.75" customHeight="1">
      <c r="A646" s="36"/>
      <c r="B646" s="36"/>
      <c r="C646" s="37"/>
      <c r="D646" s="37"/>
      <c r="E646" s="37"/>
      <c r="F646" s="37"/>
      <c r="G646" s="1"/>
    </row>
    <row r="647" ht="15.75" customHeight="1">
      <c r="A647" s="36"/>
      <c r="B647" s="36"/>
      <c r="C647" s="37"/>
      <c r="D647" s="37"/>
      <c r="E647" s="37"/>
      <c r="F647" s="37"/>
      <c r="G647" s="1"/>
    </row>
    <row r="648" ht="15.75" customHeight="1">
      <c r="A648" s="36"/>
      <c r="B648" s="36"/>
      <c r="C648" s="37"/>
      <c r="D648" s="37"/>
      <c r="E648" s="37"/>
      <c r="F648" s="37"/>
      <c r="G648" s="1"/>
    </row>
    <row r="649" ht="15.75" customHeight="1">
      <c r="A649" s="36"/>
      <c r="B649" s="36"/>
      <c r="C649" s="37"/>
      <c r="D649" s="37"/>
      <c r="E649" s="37"/>
      <c r="F649" s="37"/>
      <c r="G649" s="1"/>
    </row>
    <row r="650" ht="15.75" customHeight="1">
      <c r="A650" s="36"/>
      <c r="B650" s="36"/>
      <c r="C650" s="37"/>
      <c r="D650" s="37"/>
      <c r="E650" s="37"/>
      <c r="F650" s="37"/>
      <c r="G650" s="1"/>
    </row>
    <row r="651" ht="15.75" customHeight="1">
      <c r="A651" s="36"/>
      <c r="B651" s="36"/>
      <c r="C651" s="37"/>
      <c r="D651" s="37"/>
      <c r="E651" s="37"/>
      <c r="F651" s="37"/>
      <c r="G651" s="1"/>
    </row>
    <row r="652" ht="15.75" customHeight="1">
      <c r="A652" s="36"/>
      <c r="B652" s="36"/>
      <c r="C652" s="37"/>
      <c r="D652" s="37"/>
      <c r="E652" s="37"/>
      <c r="F652" s="37"/>
      <c r="G652" s="1"/>
    </row>
    <row r="653" ht="15.75" customHeight="1">
      <c r="A653" s="36"/>
      <c r="B653" s="36"/>
      <c r="C653" s="37"/>
      <c r="D653" s="37"/>
      <c r="E653" s="37"/>
      <c r="F653" s="37"/>
      <c r="G653" s="1"/>
    </row>
    <row r="654" ht="15.75" customHeight="1">
      <c r="A654" s="36"/>
      <c r="B654" s="36"/>
      <c r="C654" s="37"/>
      <c r="D654" s="37"/>
      <c r="E654" s="37"/>
      <c r="F654" s="37"/>
      <c r="G654" s="1"/>
    </row>
    <row r="655" ht="15.75" customHeight="1">
      <c r="A655" s="36"/>
      <c r="B655" s="36"/>
      <c r="C655" s="37"/>
      <c r="D655" s="37"/>
      <c r="E655" s="37"/>
      <c r="F655" s="37"/>
      <c r="G655" s="1"/>
    </row>
    <row r="656" ht="15.75" customHeight="1">
      <c r="A656" s="36"/>
      <c r="B656" s="36"/>
      <c r="C656" s="37"/>
      <c r="D656" s="37"/>
      <c r="E656" s="37"/>
      <c r="F656" s="37"/>
      <c r="G656" s="1"/>
    </row>
    <row r="657" ht="15.75" customHeight="1">
      <c r="A657" s="36"/>
      <c r="B657" s="36"/>
      <c r="C657" s="37"/>
      <c r="D657" s="37"/>
      <c r="E657" s="37"/>
      <c r="F657" s="37"/>
      <c r="G657" s="1"/>
    </row>
    <row r="658" ht="15.75" customHeight="1">
      <c r="A658" s="36"/>
      <c r="B658" s="36"/>
      <c r="C658" s="37"/>
      <c r="D658" s="37"/>
      <c r="E658" s="37"/>
      <c r="F658" s="37"/>
      <c r="G658" s="1"/>
    </row>
    <row r="659" ht="15.75" customHeight="1">
      <c r="A659" s="36"/>
      <c r="B659" s="36"/>
      <c r="C659" s="37"/>
      <c r="D659" s="37"/>
      <c r="E659" s="37"/>
      <c r="F659" s="37"/>
      <c r="G659" s="1"/>
    </row>
    <row r="660" ht="15.75" customHeight="1">
      <c r="A660" s="36"/>
      <c r="B660" s="36"/>
      <c r="C660" s="37"/>
      <c r="D660" s="37"/>
      <c r="E660" s="37"/>
      <c r="F660" s="37"/>
      <c r="G660" s="1"/>
    </row>
    <row r="661" ht="15.75" customHeight="1">
      <c r="A661" s="36"/>
      <c r="B661" s="36"/>
      <c r="C661" s="37"/>
      <c r="D661" s="37"/>
      <c r="E661" s="37"/>
      <c r="F661" s="37"/>
      <c r="G661" s="1"/>
    </row>
    <row r="662" ht="15.75" customHeight="1">
      <c r="A662" s="36"/>
      <c r="B662" s="36"/>
      <c r="C662" s="37"/>
      <c r="D662" s="37"/>
      <c r="E662" s="37"/>
      <c r="F662" s="37"/>
      <c r="G662" s="1"/>
    </row>
    <row r="663" ht="15.75" customHeight="1">
      <c r="A663" s="36"/>
      <c r="B663" s="36"/>
      <c r="C663" s="37"/>
      <c r="D663" s="37"/>
      <c r="E663" s="37"/>
      <c r="F663" s="37"/>
      <c r="G663" s="1"/>
    </row>
    <row r="664" ht="15.75" customHeight="1">
      <c r="A664" s="36"/>
      <c r="B664" s="36"/>
      <c r="C664" s="37"/>
      <c r="D664" s="37"/>
      <c r="E664" s="37"/>
      <c r="F664" s="37"/>
      <c r="G664" s="1"/>
    </row>
    <row r="665" ht="15.75" customHeight="1">
      <c r="A665" s="36"/>
      <c r="B665" s="36"/>
      <c r="C665" s="37"/>
      <c r="D665" s="37"/>
      <c r="E665" s="37"/>
      <c r="F665" s="37"/>
      <c r="G665" s="1"/>
    </row>
    <row r="666" ht="15.75" customHeight="1">
      <c r="A666" s="36"/>
      <c r="B666" s="36"/>
      <c r="C666" s="37"/>
      <c r="D666" s="37"/>
      <c r="E666" s="37"/>
      <c r="F666" s="37"/>
      <c r="G666" s="1"/>
    </row>
    <row r="667" ht="15.75" customHeight="1">
      <c r="A667" s="36"/>
      <c r="B667" s="36"/>
      <c r="C667" s="37"/>
      <c r="D667" s="37"/>
      <c r="E667" s="37"/>
      <c r="F667" s="37"/>
      <c r="G667" s="1"/>
    </row>
    <row r="668" ht="15.75" customHeight="1">
      <c r="A668" s="36"/>
      <c r="B668" s="36"/>
      <c r="C668" s="37"/>
      <c r="D668" s="37"/>
      <c r="E668" s="37"/>
      <c r="F668" s="37"/>
      <c r="G668" s="1"/>
    </row>
    <row r="669" ht="15.75" customHeight="1">
      <c r="A669" s="36"/>
      <c r="B669" s="36"/>
      <c r="C669" s="37"/>
      <c r="D669" s="37"/>
      <c r="E669" s="37"/>
      <c r="F669" s="37"/>
      <c r="G669" s="1"/>
    </row>
    <row r="670" ht="15.75" customHeight="1">
      <c r="A670" s="36"/>
      <c r="B670" s="36"/>
      <c r="C670" s="37"/>
      <c r="D670" s="37"/>
      <c r="E670" s="37"/>
      <c r="F670" s="37"/>
      <c r="G670" s="1"/>
    </row>
    <row r="671" ht="15.75" customHeight="1">
      <c r="A671" s="36"/>
      <c r="B671" s="36"/>
      <c r="C671" s="37"/>
      <c r="D671" s="37"/>
      <c r="E671" s="37"/>
      <c r="F671" s="37"/>
      <c r="G671" s="1"/>
    </row>
    <row r="672" ht="15.75" customHeight="1">
      <c r="A672" s="36"/>
      <c r="B672" s="36"/>
      <c r="C672" s="37"/>
      <c r="D672" s="37"/>
      <c r="E672" s="37"/>
      <c r="F672" s="37"/>
      <c r="G672" s="1"/>
    </row>
    <row r="673" ht="15.75" customHeight="1">
      <c r="A673" s="36"/>
      <c r="B673" s="36"/>
      <c r="C673" s="37"/>
      <c r="D673" s="37"/>
      <c r="E673" s="37"/>
      <c r="F673" s="37"/>
      <c r="G673" s="1"/>
    </row>
    <row r="674" ht="15.75" customHeight="1">
      <c r="A674" s="36"/>
      <c r="B674" s="36"/>
      <c r="C674" s="37"/>
      <c r="D674" s="37"/>
      <c r="E674" s="37"/>
      <c r="F674" s="37"/>
      <c r="G674" s="1"/>
    </row>
    <row r="675" ht="15.75" customHeight="1">
      <c r="A675" s="36"/>
      <c r="B675" s="36"/>
      <c r="C675" s="37"/>
      <c r="D675" s="37"/>
      <c r="E675" s="37"/>
      <c r="F675" s="37"/>
      <c r="G675" s="1"/>
    </row>
    <row r="676" ht="15.75" customHeight="1">
      <c r="A676" s="36"/>
      <c r="B676" s="36"/>
      <c r="C676" s="37"/>
      <c r="D676" s="37"/>
      <c r="E676" s="37"/>
      <c r="F676" s="37"/>
      <c r="G676" s="1"/>
    </row>
    <row r="677" ht="15.75" customHeight="1">
      <c r="A677" s="36"/>
      <c r="B677" s="36"/>
      <c r="C677" s="37"/>
      <c r="D677" s="37"/>
      <c r="E677" s="37"/>
      <c r="F677" s="37"/>
      <c r="G677" s="1"/>
    </row>
    <row r="678" ht="15.75" customHeight="1">
      <c r="A678" s="36"/>
      <c r="B678" s="36"/>
      <c r="C678" s="37"/>
      <c r="D678" s="37"/>
      <c r="E678" s="37"/>
      <c r="F678" s="37"/>
      <c r="G678" s="1"/>
    </row>
    <row r="679" ht="15.75" customHeight="1">
      <c r="A679" s="36"/>
      <c r="B679" s="36"/>
      <c r="C679" s="37"/>
      <c r="D679" s="37"/>
      <c r="E679" s="37"/>
      <c r="F679" s="37"/>
      <c r="G679" s="1"/>
    </row>
    <row r="680" ht="15.75" customHeight="1">
      <c r="A680" s="36"/>
      <c r="B680" s="36"/>
      <c r="C680" s="37"/>
      <c r="D680" s="37"/>
      <c r="E680" s="37"/>
      <c r="F680" s="37"/>
      <c r="G680" s="1"/>
    </row>
    <row r="681" ht="15.75" customHeight="1">
      <c r="A681" s="36"/>
      <c r="B681" s="36"/>
      <c r="C681" s="37"/>
      <c r="D681" s="37"/>
      <c r="E681" s="37"/>
      <c r="F681" s="37"/>
      <c r="G681" s="1"/>
    </row>
    <row r="682" ht="15.75" customHeight="1">
      <c r="A682" s="36"/>
      <c r="B682" s="36"/>
      <c r="C682" s="37"/>
      <c r="D682" s="37"/>
      <c r="E682" s="37"/>
      <c r="F682" s="37"/>
      <c r="G682" s="1"/>
    </row>
    <row r="683" ht="15.75" customHeight="1">
      <c r="A683" s="36"/>
      <c r="B683" s="36"/>
      <c r="C683" s="37"/>
      <c r="D683" s="37"/>
      <c r="E683" s="37"/>
      <c r="F683" s="37"/>
      <c r="G683" s="1"/>
    </row>
    <row r="684" ht="15.75" customHeight="1">
      <c r="A684" s="36"/>
      <c r="B684" s="36"/>
      <c r="C684" s="37"/>
      <c r="D684" s="37"/>
      <c r="E684" s="37"/>
      <c r="F684" s="37"/>
      <c r="G684" s="1"/>
    </row>
    <row r="685" ht="15.75" customHeight="1">
      <c r="A685" s="36"/>
      <c r="B685" s="36"/>
      <c r="C685" s="37"/>
      <c r="D685" s="37"/>
      <c r="E685" s="37"/>
      <c r="F685" s="37"/>
      <c r="G685" s="1"/>
    </row>
    <row r="686" ht="15.75" customHeight="1">
      <c r="A686" s="36"/>
      <c r="B686" s="36"/>
      <c r="C686" s="37"/>
      <c r="D686" s="37"/>
      <c r="E686" s="37"/>
      <c r="F686" s="37"/>
      <c r="G686" s="1"/>
    </row>
    <row r="687" ht="15.75" customHeight="1">
      <c r="A687" s="36"/>
      <c r="B687" s="36"/>
      <c r="C687" s="37"/>
      <c r="D687" s="37"/>
      <c r="E687" s="37"/>
      <c r="F687" s="37"/>
      <c r="G687" s="1"/>
    </row>
    <row r="688" ht="15.75" customHeight="1">
      <c r="A688" s="36"/>
      <c r="B688" s="36"/>
      <c r="C688" s="37"/>
      <c r="D688" s="37"/>
      <c r="E688" s="37"/>
      <c r="F688" s="37"/>
      <c r="G688" s="1"/>
    </row>
    <row r="689" ht="15.75" customHeight="1">
      <c r="A689" s="36"/>
      <c r="B689" s="36"/>
      <c r="C689" s="37"/>
      <c r="D689" s="37"/>
      <c r="E689" s="37"/>
      <c r="F689" s="37"/>
      <c r="G689" s="1"/>
    </row>
    <row r="690" ht="15.75" customHeight="1">
      <c r="A690" s="36"/>
      <c r="B690" s="36"/>
      <c r="C690" s="37"/>
      <c r="D690" s="37"/>
      <c r="E690" s="37"/>
      <c r="F690" s="37"/>
      <c r="G690" s="1"/>
    </row>
    <row r="691" ht="15.75" customHeight="1">
      <c r="A691" s="36"/>
      <c r="B691" s="36"/>
      <c r="C691" s="37"/>
      <c r="D691" s="37"/>
      <c r="E691" s="37"/>
      <c r="F691" s="37"/>
      <c r="G691" s="1"/>
    </row>
    <row r="692" ht="15.75" customHeight="1">
      <c r="A692" s="36"/>
      <c r="B692" s="36"/>
      <c r="C692" s="37"/>
      <c r="D692" s="37"/>
      <c r="E692" s="37"/>
      <c r="F692" s="37"/>
      <c r="G692" s="1"/>
    </row>
    <row r="693" ht="15.75" customHeight="1">
      <c r="A693" s="36"/>
      <c r="B693" s="36"/>
      <c r="C693" s="37"/>
      <c r="D693" s="37"/>
      <c r="E693" s="37"/>
      <c r="F693" s="37"/>
      <c r="G693" s="1"/>
    </row>
    <row r="694" ht="15.75" customHeight="1">
      <c r="A694" s="36"/>
      <c r="B694" s="36"/>
      <c r="C694" s="37"/>
      <c r="D694" s="37"/>
      <c r="E694" s="37"/>
      <c r="F694" s="37"/>
      <c r="G694" s="1"/>
    </row>
    <row r="695" ht="15.75" customHeight="1">
      <c r="A695" s="36"/>
      <c r="B695" s="36"/>
      <c r="C695" s="37"/>
      <c r="D695" s="37"/>
      <c r="E695" s="37"/>
      <c r="F695" s="37"/>
      <c r="G695" s="1"/>
    </row>
    <row r="696" ht="15.75" customHeight="1">
      <c r="A696" s="36"/>
      <c r="B696" s="36"/>
      <c r="C696" s="37"/>
      <c r="D696" s="37"/>
      <c r="E696" s="37"/>
      <c r="F696" s="37"/>
      <c r="G696" s="1"/>
    </row>
    <row r="697" ht="15.75" customHeight="1">
      <c r="A697" s="36"/>
      <c r="B697" s="36"/>
      <c r="C697" s="37"/>
      <c r="D697" s="37"/>
      <c r="E697" s="37"/>
      <c r="F697" s="37"/>
      <c r="G697" s="1"/>
    </row>
    <row r="698" ht="15.75" customHeight="1">
      <c r="A698" s="36"/>
      <c r="B698" s="36"/>
      <c r="C698" s="37"/>
      <c r="D698" s="37"/>
      <c r="E698" s="37"/>
      <c r="F698" s="37"/>
      <c r="G698" s="1"/>
    </row>
    <row r="699" ht="15.75" customHeight="1">
      <c r="A699" s="36"/>
      <c r="B699" s="36"/>
      <c r="C699" s="37"/>
      <c r="D699" s="37"/>
      <c r="E699" s="37"/>
      <c r="F699" s="37"/>
      <c r="G699" s="1"/>
    </row>
    <row r="700" ht="15.75" customHeight="1">
      <c r="A700" s="36"/>
      <c r="B700" s="36"/>
      <c r="C700" s="37"/>
      <c r="D700" s="37"/>
      <c r="E700" s="37"/>
      <c r="F700" s="37"/>
      <c r="G700" s="1"/>
    </row>
    <row r="701" ht="15.75" customHeight="1">
      <c r="A701" s="36"/>
      <c r="B701" s="36"/>
      <c r="C701" s="37"/>
      <c r="D701" s="37"/>
      <c r="E701" s="37"/>
      <c r="F701" s="37"/>
      <c r="G701" s="1"/>
    </row>
    <row r="702" ht="15.75" customHeight="1">
      <c r="A702" s="36"/>
      <c r="B702" s="36"/>
      <c r="C702" s="37"/>
      <c r="D702" s="37"/>
      <c r="E702" s="37"/>
      <c r="F702" s="37"/>
      <c r="G702" s="1"/>
    </row>
    <row r="703" ht="15.75" customHeight="1">
      <c r="A703" s="36"/>
      <c r="B703" s="36"/>
      <c r="C703" s="37"/>
      <c r="D703" s="37"/>
      <c r="E703" s="37"/>
      <c r="F703" s="37"/>
      <c r="G703" s="1"/>
    </row>
    <row r="704" ht="15.75" customHeight="1">
      <c r="A704" s="36"/>
      <c r="B704" s="36"/>
      <c r="C704" s="37"/>
      <c r="D704" s="37"/>
      <c r="E704" s="37"/>
      <c r="F704" s="37"/>
      <c r="G704" s="1"/>
    </row>
    <row r="705" ht="15.75" customHeight="1">
      <c r="A705" s="36"/>
      <c r="B705" s="36"/>
      <c r="C705" s="37"/>
      <c r="D705" s="37"/>
      <c r="E705" s="37"/>
      <c r="F705" s="37"/>
      <c r="G705" s="1"/>
    </row>
    <row r="706" ht="15.75" customHeight="1">
      <c r="A706" s="36"/>
      <c r="B706" s="36"/>
      <c r="C706" s="37"/>
      <c r="D706" s="37"/>
      <c r="E706" s="37"/>
      <c r="F706" s="37"/>
      <c r="G706" s="1"/>
    </row>
    <row r="707" ht="15.75" customHeight="1">
      <c r="A707" s="36"/>
      <c r="B707" s="36"/>
      <c r="C707" s="37"/>
      <c r="D707" s="37"/>
      <c r="E707" s="37"/>
      <c r="F707" s="37"/>
      <c r="G707" s="1"/>
    </row>
    <row r="708" ht="15.75" customHeight="1">
      <c r="A708" s="36"/>
      <c r="B708" s="36"/>
      <c r="C708" s="37"/>
      <c r="D708" s="37"/>
      <c r="E708" s="37"/>
      <c r="F708" s="37"/>
      <c r="G708" s="1"/>
    </row>
    <row r="709" ht="15.75" customHeight="1">
      <c r="A709" s="36"/>
      <c r="B709" s="36"/>
      <c r="C709" s="37"/>
      <c r="D709" s="37"/>
      <c r="E709" s="37"/>
      <c r="F709" s="37"/>
      <c r="G709" s="1"/>
    </row>
    <row r="710" ht="15.75" customHeight="1">
      <c r="A710" s="36"/>
      <c r="B710" s="36"/>
      <c r="C710" s="37"/>
      <c r="D710" s="37"/>
      <c r="E710" s="37"/>
      <c r="F710" s="37"/>
      <c r="G710" s="1"/>
    </row>
    <row r="711" ht="15.75" customHeight="1">
      <c r="A711" s="36"/>
      <c r="B711" s="36"/>
      <c r="C711" s="37"/>
      <c r="D711" s="37"/>
      <c r="E711" s="37"/>
      <c r="F711" s="37"/>
      <c r="G711" s="1"/>
    </row>
    <row r="712" ht="15.75" customHeight="1">
      <c r="A712" s="36"/>
      <c r="B712" s="36"/>
      <c r="C712" s="37"/>
      <c r="D712" s="37"/>
      <c r="E712" s="37"/>
      <c r="F712" s="37"/>
      <c r="G712" s="1"/>
    </row>
    <row r="713" ht="15.75" customHeight="1">
      <c r="A713" s="36"/>
      <c r="B713" s="36"/>
      <c r="C713" s="37"/>
      <c r="D713" s="37"/>
      <c r="E713" s="37"/>
      <c r="F713" s="37"/>
      <c r="G713" s="1"/>
    </row>
    <row r="714" ht="15.75" customHeight="1">
      <c r="A714" s="36"/>
      <c r="B714" s="36"/>
      <c r="C714" s="37"/>
      <c r="D714" s="37"/>
      <c r="E714" s="37"/>
      <c r="F714" s="37"/>
      <c r="G714" s="1"/>
    </row>
    <row r="715" ht="15.75" customHeight="1">
      <c r="A715" s="36"/>
      <c r="B715" s="36"/>
      <c r="C715" s="37"/>
      <c r="D715" s="37"/>
      <c r="E715" s="37"/>
      <c r="F715" s="37"/>
      <c r="G715" s="1"/>
    </row>
    <row r="716" ht="15.75" customHeight="1">
      <c r="A716" s="36"/>
      <c r="B716" s="36"/>
      <c r="C716" s="37"/>
      <c r="D716" s="37"/>
      <c r="E716" s="37"/>
      <c r="F716" s="37"/>
      <c r="G716" s="1"/>
    </row>
    <row r="717" ht="15.75" customHeight="1">
      <c r="A717" s="36"/>
      <c r="B717" s="36"/>
      <c r="C717" s="37"/>
      <c r="D717" s="37"/>
      <c r="E717" s="37"/>
      <c r="F717" s="37"/>
      <c r="G717" s="1"/>
    </row>
    <row r="718" ht="15.75" customHeight="1">
      <c r="A718" s="36"/>
      <c r="B718" s="36"/>
      <c r="C718" s="37"/>
      <c r="D718" s="37"/>
      <c r="E718" s="37"/>
      <c r="F718" s="37"/>
      <c r="G718" s="1"/>
    </row>
    <row r="719" ht="15.75" customHeight="1">
      <c r="A719" s="36"/>
      <c r="B719" s="36"/>
      <c r="C719" s="37"/>
      <c r="D719" s="37"/>
      <c r="E719" s="37"/>
      <c r="F719" s="37"/>
      <c r="G719" s="1"/>
    </row>
    <row r="720" ht="15.75" customHeight="1">
      <c r="A720" s="36"/>
      <c r="B720" s="36"/>
      <c r="C720" s="37"/>
      <c r="D720" s="37"/>
      <c r="E720" s="37"/>
      <c r="F720" s="37"/>
      <c r="G720" s="1"/>
    </row>
    <row r="721" ht="15.75" customHeight="1">
      <c r="A721" s="36"/>
      <c r="B721" s="36"/>
      <c r="C721" s="37"/>
      <c r="D721" s="37"/>
      <c r="E721" s="37"/>
      <c r="F721" s="37"/>
      <c r="G721" s="1"/>
    </row>
    <row r="722" ht="15.75" customHeight="1">
      <c r="A722" s="36"/>
      <c r="B722" s="36"/>
      <c r="C722" s="37"/>
      <c r="D722" s="37"/>
      <c r="E722" s="37"/>
      <c r="F722" s="37"/>
      <c r="G722" s="1"/>
    </row>
    <row r="723" ht="15.75" customHeight="1">
      <c r="A723" s="36"/>
      <c r="B723" s="36"/>
      <c r="C723" s="37"/>
      <c r="D723" s="37"/>
      <c r="E723" s="37"/>
      <c r="F723" s="37"/>
      <c r="G723" s="1"/>
    </row>
    <row r="724" ht="15.75" customHeight="1">
      <c r="A724" s="36"/>
      <c r="B724" s="36"/>
      <c r="C724" s="37"/>
      <c r="D724" s="37"/>
      <c r="E724" s="37"/>
      <c r="F724" s="37"/>
      <c r="G724" s="1"/>
    </row>
    <row r="725" ht="15.75" customHeight="1">
      <c r="A725" s="36"/>
      <c r="B725" s="36"/>
      <c r="C725" s="37"/>
      <c r="D725" s="37"/>
      <c r="E725" s="37"/>
      <c r="F725" s="37"/>
      <c r="G725" s="1"/>
    </row>
    <row r="726" ht="15.75" customHeight="1">
      <c r="A726" s="36"/>
      <c r="B726" s="36"/>
      <c r="C726" s="37"/>
      <c r="D726" s="37"/>
      <c r="E726" s="37"/>
      <c r="F726" s="37"/>
      <c r="G726" s="1"/>
    </row>
    <row r="727" ht="15.75" customHeight="1">
      <c r="A727" s="36"/>
      <c r="B727" s="36"/>
      <c r="C727" s="37"/>
      <c r="D727" s="37"/>
      <c r="E727" s="37"/>
      <c r="F727" s="37"/>
      <c r="G727" s="1"/>
    </row>
    <row r="728" ht="15.75" customHeight="1">
      <c r="A728" s="36"/>
      <c r="B728" s="36"/>
      <c r="C728" s="37"/>
      <c r="D728" s="37"/>
      <c r="E728" s="37"/>
      <c r="F728" s="37"/>
      <c r="G728" s="1"/>
    </row>
    <row r="729" ht="15.75" customHeight="1">
      <c r="A729" s="36"/>
      <c r="B729" s="36"/>
      <c r="C729" s="37"/>
      <c r="D729" s="37"/>
      <c r="E729" s="37"/>
      <c r="F729" s="37"/>
      <c r="G729" s="1"/>
    </row>
    <row r="730" ht="15.75" customHeight="1">
      <c r="A730" s="36"/>
      <c r="B730" s="36"/>
      <c r="C730" s="37"/>
      <c r="D730" s="37"/>
      <c r="E730" s="37"/>
      <c r="F730" s="37"/>
      <c r="G730" s="1"/>
    </row>
    <row r="731" ht="15.75" customHeight="1">
      <c r="A731" s="36"/>
      <c r="B731" s="36"/>
      <c r="C731" s="37"/>
      <c r="D731" s="37"/>
      <c r="E731" s="37"/>
      <c r="F731" s="37"/>
      <c r="G731" s="1"/>
    </row>
    <row r="732" ht="15.75" customHeight="1">
      <c r="A732" s="36"/>
      <c r="B732" s="36"/>
      <c r="C732" s="37"/>
      <c r="D732" s="37"/>
      <c r="E732" s="37"/>
      <c r="F732" s="37"/>
      <c r="G732" s="1"/>
    </row>
    <row r="733" ht="15.75" customHeight="1">
      <c r="A733" s="36"/>
      <c r="B733" s="36"/>
      <c r="C733" s="37"/>
      <c r="D733" s="37"/>
      <c r="E733" s="37"/>
      <c r="F733" s="37"/>
      <c r="G733" s="1"/>
    </row>
    <row r="734" ht="15.75" customHeight="1">
      <c r="A734" s="36"/>
      <c r="B734" s="36"/>
      <c r="C734" s="37"/>
      <c r="D734" s="37"/>
      <c r="E734" s="37"/>
      <c r="F734" s="37"/>
      <c r="G734" s="1"/>
    </row>
    <row r="735" ht="15.75" customHeight="1">
      <c r="A735" s="36"/>
      <c r="B735" s="36"/>
      <c r="C735" s="37"/>
      <c r="D735" s="37"/>
      <c r="E735" s="37"/>
      <c r="F735" s="37"/>
      <c r="G735" s="1"/>
    </row>
    <row r="736" ht="15.75" customHeight="1">
      <c r="A736" s="36"/>
      <c r="B736" s="36"/>
      <c r="C736" s="37"/>
      <c r="D736" s="37"/>
      <c r="E736" s="37"/>
      <c r="F736" s="37"/>
      <c r="G736" s="1"/>
    </row>
    <row r="737" ht="15.75" customHeight="1">
      <c r="A737" s="36"/>
      <c r="B737" s="36"/>
      <c r="C737" s="37"/>
      <c r="D737" s="37"/>
      <c r="E737" s="37"/>
      <c r="F737" s="37"/>
      <c r="G737" s="1"/>
    </row>
    <row r="738" ht="15.75" customHeight="1">
      <c r="A738" s="36"/>
      <c r="B738" s="36"/>
      <c r="C738" s="37"/>
      <c r="D738" s="37"/>
      <c r="E738" s="37"/>
      <c r="F738" s="37"/>
      <c r="G738" s="1"/>
    </row>
    <row r="739" ht="15.75" customHeight="1">
      <c r="A739" s="36"/>
      <c r="B739" s="36"/>
      <c r="C739" s="37"/>
      <c r="D739" s="37"/>
      <c r="E739" s="37"/>
      <c r="F739" s="37"/>
      <c r="G739" s="1"/>
    </row>
    <row r="740" ht="15.75" customHeight="1">
      <c r="A740" s="36"/>
      <c r="B740" s="36"/>
      <c r="C740" s="37"/>
      <c r="D740" s="37"/>
      <c r="E740" s="37"/>
      <c r="F740" s="37"/>
      <c r="G740" s="1"/>
    </row>
    <row r="741" ht="15.75" customHeight="1">
      <c r="A741" s="36"/>
      <c r="B741" s="36"/>
      <c r="C741" s="37"/>
      <c r="D741" s="37"/>
      <c r="E741" s="37"/>
      <c r="F741" s="37"/>
      <c r="G741" s="1"/>
    </row>
    <row r="742" ht="15.75" customHeight="1">
      <c r="A742" s="36"/>
      <c r="B742" s="36"/>
      <c r="C742" s="37"/>
      <c r="D742" s="37"/>
      <c r="E742" s="37"/>
      <c r="F742" s="37"/>
      <c r="G742" s="1"/>
    </row>
    <row r="743" ht="15.75" customHeight="1">
      <c r="A743" s="36"/>
      <c r="B743" s="36"/>
      <c r="C743" s="37"/>
      <c r="D743" s="37"/>
      <c r="E743" s="37"/>
      <c r="F743" s="37"/>
      <c r="G743" s="1"/>
    </row>
    <row r="744" ht="15.75" customHeight="1">
      <c r="A744" s="36"/>
      <c r="B744" s="36"/>
      <c r="C744" s="37"/>
      <c r="D744" s="37"/>
      <c r="E744" s="37"/>
      <c r="F744" s="37"/>
      <c r="G744" s="1"/>
    </row>
    <row r="745" ht="15.75" customHeight="1">
      <c r="A745" s="36"/>
      <c r="B745" s="36"/>
      <c r="C745" s="37"/>
      <c r="D745" s="37"/>
      <c r="E745" s="37"/>
      <c r="F745" s="37"/>
      <c r="G745" s="1"/>
    </row>
    <row r="746" ht="15.75" customHeight="1">
      <c r="A746" s="36"/>
      <c r="B746" s="36"/>
      <c r="C746" s="37"/>
      <c r="D746" s="37"/>
      <c r="E746" s="37"/>
      <c r="F746" s="37"/>
      <c r="G746" s="1"/>
    </row>
    <row r="747" ht="15.75" customHeight="1">
      <c r="A747" s="36"/>
      <c r="B747" s="36"/>
      <c r="C747" s="37"/>
      <c r="D747" s="37"/>
      <c r="E747" s="37"/>
      <c r="F747" s="37"/>
      <c r="G747" s="1"/>
    </row>
    <row r="748" ht="15.75" customHeight="1">
      <c r="A748" s="36"/>
      <c r="B748" s="36"/>
      <c r="C748" s="37"/>
      <c r="D748" s="37"/>
      <c r="E748" s="37"/>
      <c r="F748" s="37"/>
      <c r="G748" s="1"/>
    </row>
    <row r="749" ht="15.75" customHeight="1">
      <c r="A749" s="36"/>
      <c r="B749" s="36"/>
      <c r="C749" s="37"/>
      <c r="D749" s="37"/>
      <c r="E749" s="37"/>
      <c r="F749" s="37"/>
      <c r="G749" s="1"/>
    </row>
    <row r="750" ht="15.75" customHeight="1">
      <c r="A750" s="36"/>
      <c r="B750" s="36"/>
      <c r="C750" s="37"/>
      <c r="D750" s="37"/>
      <c r="E750" s="37"/>
      <c r="F750" s="37"/>
      <c r="G750" s="1"/>
    </row>
    <row r="751" ht="15.75" customHeight="1">
      <c r="A751" s="36"/>
      <c r="B751" s="36"/>
      <c r="C751" s="37"/>
      <c r="D751" s="37"/>
      <c r="E751" s="37"/>
      <c r="F751" s="37"/>
      <c r="G751" s="1"/>
    </row>
    <row r="752" ht="15.75" customHeight="1">
      <c r="A752" s="36"/>
      <c r="B752" s="36"/>
      <c r="C752" s="37"/>
      <c r="D752" s="37"/>
      <c r="E752" s="37"/>
      <c r="F752" s="37"/>
      <c r="G752" s="1"/>
    </row>
    <row r="753" ht="15.75" customHeight="1">
      <c r="A753" s="36"/>
      <c r="B753" s="36"/>
      <c r="C753" s="37"/>
      <c r="D753" s="37"/>
      <c r="E753" s="37"/>
      <c r="F753" s="37"/>
      <c r="G753" s="1"/>
    </row>
    <row r="754" ht="15.75" customHeight="1">
      <c r="A754" s="36"/>
      <c r="B754" s="36"/>
      <c r="C754" s="37"/>
      <c r="D754" s="37"/>
      <c r="E754" s="37"/>
      <c r="F754" s="37"/>
      <c r="G754" s="1"/>
    </row>
    <row r="755" ht="15.75" customHeight="1">
      <c r="A755" s="36"/>
      <c r="B755" s="36"/>
      <c r="C755" s="37"/>
      <c r="D755" s="37"/>
      <c r="E755" s="37"/>
      <c r="F755" s="37"/>
      <c r="G755" s="1"/>
    </row>
    <row r="756" ht="15.75" customHeight="1">
      <c r="A756" s="36"/>
      <c r="B756" s="36"/>
      <c r="C756" s="37"/>
      <c r="D756" s="37"/>
      <c r="E756" s="37"/>
      <c r="F756" s="37"/>
      <c r="G756" s="1"/>
    </row>
    <row r="757" ht="15.75" customHeight="1">
      <c r="A757" s="36"/>
      <c r="B757" s="36"/>
      <c r="C757" s="37"/>
      <c r="D757" s="37"/>
      <c r="E757" s="37"/>
      <c r="F757" s="37"/>
      <c r="G757" s="1"/>
    </row>
    <row r="758" ht="15.75" customHeight="1">
      <c r="A758" s="36"/>
      <c r="B758" s="36"/>
      <c r="C758" s="37"/>
      <c r="D758" s="37"/>
      <c r="E758" s="37"/>
      <c r="F758" s="37"/>
      <c r="G758" s="1"/>
    </row>
    <row r="759" ht="15.75" customHeight="1">
      <c r="A759" s="36"/>
      <c r="B759" s="36"/>
      <c r="C759" s="37"/>
      <c r="D759" s="37"/>
      <c r="E759" s="37"/>
      <c r="F759" s="37"/>
      <c r="G759" s="1"/>
    </row>
    <row r="760" ht="15.75" customHeight="1">
      <c r="A760" s="36"/>
      <c r="B760" s="36"/>
      <c r="C760" s="37"/>
      <c r="D760" s="37"/>
      <c r="E760" s="37"/>
      <c r="F760" s="37"/>
      <c r="G760" s="1"/>
    </row>
    <row r="761" ht="15.75" customHeight="1">
      <c r="A761" s="36"/>
      <c r="B761" s="36"/>
      <c r="C761" s="37"/>
      <c r="D761" s="37"/>
      <c r="E761" s="37"/>
      <c r="F761" s="37"/>
      <c r="G761" s="1"/>
    </row>
    <row r="762" ht="15.75" customHeight="1">
      <c r="A762" s="36"/>
      <c r="B762" s="36"/>
      <c r="C762" s="37"/>
      <c r="D762" s="37"/>
      <c r="E762" s="37"/>
      <c r="F762" s="37"/>
      <c r="G762" s="1"/>
    </row>
    <row r="763" ht="15.75" customHeight="1">
      <c r="A763" s="36"/>
      <c r="B763" s="36"/>
      <c r="C763" s="37"/>
      <c r="D763" s="37"/>
      <c r="E763" s="37"/>
      <c r="F763" s="37"/>
      <c r="G763" s="1"/>
    </row>
    <row r="764" ht="15.75" customHeight="1">
      <c r="A764" s="36"/>
      <c r="B764" s="36"/>
      <c r="C764" s="37"/>
      <c r="D764" s="37"/>
      <c r="E764" s="37"/>
      <c r="F764" s="37"/>
      <c r="G764" s="1"/>
    </row>
    <row r="765" ht="15.75" customHeight="1">
      <c r="A765" s="36"/>
      <c r="B765" s="36"/>
      <c r="C765" s="37"/>
      <c r="D765" s="37"/>
      <c r="E765" s="37"/>
      <c r="F765" s="37"/>
      <c r="G765" s="1"/>
    </row>
    <row r="766" ht="15.75" customHeight="1">
      <c r="A766" s="36"/>
      <c r="B766" s="36"/>
      <c r="C766" s="37"/>
      <c r="D766" s="37"/>
      <c r="E766" s="37"/>
      <c r="F766" s="37"/>
      <c r="G766" s="1"/>
    </row>
    <row r="767" ht="15.75" customHeight="1">
      <c r="A767" s="36"/>
      <c r="B767" s="36"/>
      <c r="C767" s="37"/>
      <c r="D767" s="37"/>
      <c r="E767" s="37"/>
      <c r="F767" s="37"/>
      <c r="G767" s="1"/>
    </row>
    <row r="768" ht="15.75" customHeight="1">
      <c r="A768" s="36"/>
      <c r="B768" s="36"/>
      <c r="C768" s="37"/>
      <c r="D768" s="37"/>
      <c r="E768" s="37"/>
      <c r="F768" s="37"/>
      <c r="G768" s="1"/>
    </row>
    <row r="769" ht="15.75" customHeight="1">
      <c r="A769" s="36"/>
      <c r="B769" s="36"/>
      <c r="C769" s="37"/>
      <c r="D769" s="37"/>
      <c r="E769" s="37"/>
      <c r="F769" s="37"/>
      <c r="G769" s="1"/>
    </row>
    <row r="770" ht="15.75" customHeight="1">
      <c r="A770" s="36"/>
      <c r="B770" s="36"/>
      <c r="C770" s="37"/>
      <c r="D770" s="37"/>
      <c r="E770" s="37"/>
      <c r="F770" s="37"/>
      <c r="G770" s="1"/>
    </row>
    <row r="771" ht="15.75" customHeight="1">
      <c r="A771" s="36"/>
      <c r="B771" s="36"/>
      <c r="C771" s="37"/>
      <c r="D771" s="37"/>
      <c r="E771" s="37"/>
      <c r="F771" s="37"/>
      <c r="G771" s="1"/>
    </row>
    <row r="772" ht="15.75" customHeight="1">
      <c r="A772" s="36"/>
      <c r="B772" s="36"/>
      <c r="C772" s="37"/>
      <c r="D772" s="37"/>
      <c r="E772" s="37"/>
      <c r="F772" s="37"/>
      <c r="G772" s="1"/>
    </row>
    <row r="773" ht="15.75" customHeight="1">
      <c r="A773" s="36"/>
      <c r="B773" s="36"/>
      <c r="C773" s="37"/>
      <c r="D773" s="37"/>
      <c r="E773" s="37"/>
      <c r="F773" s="37"/>
      <c r="G773" s="1"/>
    </row>
    <row r="774" ht="15.75" customHeight="1">
      <c r="A774" s="36"/>
      <c r="B774" s="36"/>
      <c r="C774" s="37"/>
      <c r="D774" s="37"/>
      <c r="E774" s="37"/>
      <c r="F774" s="37"/>
      <c r="G774" s="1"/>
    </row>
    <row r="775" ht="15.75" customHeight="1">
      <c r="A775" s="36"/>
      <c r="B775" s="36"/>
      <c r="C775" s="37"/>
      <c r="D775" s="37"/>
      <c r="E775" s="37"/>
      <c r="F775" s="37"/>
      <c r="G775" s="1"/>
    </row>
    <row r="776" ht="15.75" customHeight="1">
      <c r="A776" s="36"/>
      <c r="B776" s="36"/>
      <c r="C776" s="37"/>
      <c r="D776" s="37"/>
      <c r="E776" s="37"/>
      <c r="F776" s="37"/>
      <c r="G776" s="1"/>
    </row>
    <row r="777" ht="15.75" customHeight="1">
      <c r="A777" s="36"/>
      <c r="B777" s="36"/>
      <c r="C777" s="37"/>
      <c r="D777" s="37"/>
      <c r="E777" s="37"/>
      <c r="F777" s="37"/>
      <c r="G777" s="1"/>
    </row>
    <row r="778" ht="15.75" customHeight="1">
      <c r="A778" s="36"/>
      <c r="B778" s="36"/>
      <c r="C778" s="37"/>
      <c r="D778" s="37"/>
      <c r="E778" s="37"/>
      <c r="F778" s="37"/>
      <c r="G778" s="1"/>
    </row>
    <row r="779" ht="15.75" customHeight="1">
      <c r="A779" s="36"/>
      <c r="B779" s="36"/>
      <c r="C779" s="37"/>
      <c r="D779" s="37"/>
      <c r="E779" s="37"/>
      <c r="F779" s="37"/>
      <c r="G779" s="1"/>
    </row>
    <row r="780" ht="15.75" customHeight="1">
      <c r="A780" s="36"/>
      <c r="B780" s="36"/>
      <c r="C780" s="37"/>
      <c r="D780" s="37"/>
      <c r="E780" s="37"/>
      <c r="F780" s="37"/>
      <c r="G780" s="1"/>
    </row>
    <row r="781" ht="15.75" customHeight="1">
      <c r="A781" s="36"/>
      <c r="B781" s="36"/>
      <c r="C781" s="37"/>
      <c r="D781" s="37"/>
      <c r="E781" s="37"/>
      <c r="F781" s="37"/>
      <c r="G781" s="1"/>
    </row>
    <row r="782" ht="15.75" customHeight="1">
      <c r="A782" s="36"/>
      <c r="B782" s="36"/>
      <c r="C782" s="37"/>
      <c r="D782" s="37"/>
      <c r="E782" s="37"/>
      <c r="F782" s="37"/>
      <c r="G782" s="1"/>
    </row>
    <row r="783" ht="15.75" customHeight="1">
      <c r="A783" s="36"/>
      <c r="B783" s="36"/>
      <c r="C783" s="37"/>
      <c r="D783" s="37"/>
      <c r="E783" s="37"/>
      <c r="F783" s="37"/>
      <c r="G783" s="1"/>
    </row>
    <row r="784" ht="15.75" customHeight="1">
      <c r="A784" s="36"/>
      <c r="B784" s="36"/>
      <c r="C784" s="37"/>
      <c r="D784" s="37"/>
      <c r="E784" s="37"/>
      <c r="F784" s="37"/>
      <c r="G784" s="1"/>
    </row>
    <row r="785" ht="15.75" customHeight="1">
      <c r="A785" s="36"/>
      <c r="B785" s="36"/>
      <c r="C785" s="37"/>
      <c r="D785" s="37"/>
      <c r="E785" s="37"/>
      <c r="F785" s="37"/>
      <c r="G785" s="1"/>
    </row>
    <row r="786" ht="15.75" customHeight="1">
      <c r="A786" s="36"/>
      <c r="B786" s="36"/>
      <c r="C786" s="37"/>
      <c r="D786" s="37"/>
      <c r="E786" s="37"/>
      <c r="F786" s="37"/>
      <c r="G786" s="1"/>
    </row>
    <row r="787" ht="15.75" customHeight="1">
      <c r="A787" s="36"/>
      <c r="B787" s="36"/>
      <c r="C787" s="37"/>
      <c r="D787" s="37"/>
      <c r="E787" s="37"/>
      <c r="F787" s="37"/>
      <c r="G787" s="1"/>
    </row>
    <row r="788" ht="15.75" customHeight="1">
      <c r="A788" s="36"/>
      <c r="B788" s="36"/>
      <c r="C788" s="37"/>
      <c r="D788" s="37"/>
      <c r="E788" s="37"/>
      <c r="F788" s="37"/>
      <c r="G788" s="1"/>
    </row>
    <row r="789" ht="15.75" customHeight="1">
      <c r="A789" s="36"/>
      <c r="B789" s="36"/>
      <c r="C789" s="37"/>
      <c r="D789" s="37"/>
      <c r="E789" s="37"/>
      <c r="F789" s="37"/>
      <c r="G789" s="1"/>
    </row>
    <row r="790" ht="15.75" customHeight="1">
      <c r="A790" s="36"/>
      <c r="B790" s="36"/>
      <c r="C790" s="37"/>
      <c r="D790" s="37"/>
      <c r="E790" s="37"/>
      <c r="F790" s="37"/>
      <c r="G790" s="1"/>
    </row>
    <row r="791" ht="15.75" customHeight="1">
      <c r="A791" s="36"/>
      <c r="B791" s="36"/>
      <c r="C791" s="37"/>
      <c r="D791" s="37"/>
      <c r="E791" s="37"/>
      <c r="F791" s="37"/>
      <c r="G791" s="1"/>
    </row>
    <row r="792" ht="15.75" customHeight="1">
      <c r="A792" s="36"/>
      <c r="B792" s="36"/>
      <c r="C792" s="37"/>
      <c r="D792" s="37"/>
      <c r="E792" s="37"/>
      <c r="F792" s="37"/>
      <c r="G792" s="1"/>
    </row>
    <row r="793" ht="15.75" customHeight="1">
      <c r="A793" s="36"/>
      <c r="B793" s="36"/>
      <c r="C793" s="37"/>
      <c r="D793" s="37"/>
      <c r="E793" s="37"/>
      <c r="F793" s="37"/>
      <c r="G793" s="1"/>
    </row>
    <row r="794" ht="15.75" customHeight="1">
      <c r="A794" s="36"/>
      <c r="B794" s="36"/>
      <c r="C794" s="37"/>
      <c r="D794" s="37"/>
      <c r="E794" s="37"/>
      <c r="F794" s="37"/>
      <c r="G794" s="1"/>
    </row>
    <row r="795" ht="15.75" customHeight="1">
      <c r="A795" s="36"/>
      <c r="B795" s="36"/>
      <c r="C795" s="37"/>
      <c r="D795" s="37"/>
      <c r="E795" s="37"/>
      <c r="F795" s="37"/>
      <c r="G795" s="1"/>
    </row>
    <row r="796" ht="15.75" customHeight="1">
      <c r="A796" s="36"/>
      <c r="B796" s="36"/>
      <c r="C796" s="37"/>
      <c r="D796" s="37"/>
      <c r="E796" s="37"/>
      <c r="F796" s="37"/>
      <c r="G796" s="1"/>
    </row>
    <row r="797" ht="15.75" customHeight="1">
      <c r="A797" s="36"/>
      <c r="B797" s="36"/>
      <c r="C797" s="37"/>
      <c r="D797" s="37"/>
      <c r="E797" s="37"/>
      <c r="F797" s="37"/>
      <c r="G797" s="1"/>
    </row>
    <row r="798" ht="15.75" customHeight="1">
      <c r="A798" s="36"/>
      <c r="B798" s="36"/>
      <c r="C798" s="37"/>
      <c r="D798" s="37"/>
      <c r="E798" s="37"/>
      <c r="F798" s="37"/>
      <c r="G798" s="1"/>
    </row>
    <row r="799" ht="15.75" customHeight="1">
      <c r="A799" s="36"/>
      <c r="B799" s="36"/>
      <c r="C799" s="37"/>
      <c r="D799" s="37"/>
      <c r="E799" s="37"/>
      <c r="F799" s="37"/>
      <c r="G799" s="1"/>
    </row>
    <row r="800" ht="15.75" customHeight="1">
      <c r="A800" s="36"/>
      <c r="B800" s="36"/>
      <c r="C800" s="37"/>
      <c r="D800" s="37"/>
      <c r="E800" s="37"/>
      <c r="F800" s="37"/>
      <c r="G800" s="1"/>
    </row>
    <row r="801" ht="15.75" customHeight="1">
      <c r="A801" s="36"/>
      <c r="B801" s="36"/>
      <c r="C801" s="37"/>
      <c r="D801" s="37"/>
      <c r="E801" s="37"/>
      <c r="F801" s="37"/>
      <c r="G801" s="1"/>
    </row>
    <row r="802" ht="15.75" customHeight="1">
      <c r="A802" s="36"/>
      <c r="B802" s="36"/>
      <c r="C802" s="37"/>
      <c r="D802" s="37"/>
      <c r="E802" s="37"/>
      <c r="F802" s="37"/>
      <c r="G802" s="1"/>
    </row>
    <row r="803" ht="15.75" customHeight="1">
      <c r="A803" s="36"/>
      <c r="B803" s="36"/>
      <c r="C803" s="37"/>
      <c r="D803" s="37"/>
      <c r="E803" s="37"/>
      <c r="F803" s="37"/>
      <c r="G803" s="1"/>
    </row>
    <row r="804" ht="15.75" customHeight="1">
      <c r="A804" s="36"/>
      <c r="B804" s="36"/>
      <c r="C804" s="37"/>
      <c r="D804" s="37"/>
      <c r="E804" s="37"/>
      <c r="F804" s="37"/>
      <c r="G804" s="1"/>
    </row>
    <row r="805" ht="15.75" customHeight="1">
      <c r="A805" s="36"/>
      <c r="B805" s="36"/>
      <c r="C805" s="37"/>
      <c r="D805" s="37"/>
      <c r="E805" s="37"/>
      <c r="F805" s="37"/>
      <c r="G805" s="1"/>
    </row>
    <row r="806" ht="15.75" customHeight="1">
      <c r="A806" s="36"/>
      <c r="B806" s="36"/>
      <c r="C806" s="37"/>
      <c r="D806" s="37"/>
      <c r="E806" s="37"/>
      <c r="F806" s="37"/>
      <c r="G806" s="1"/>
    </row>
    <row r="807" ht="15.75" customHeight="1">
      <c r="A807" s="36"/>
      <c r="B807" s="36"/>
      <c r="C807" s="37"/>
      <c r="D807" s="37"/>
      <c r="E807" s="37"/>
      <c r="F807" s="37"/>
      <c r="G807" s="1"/>
    </row>
    <row r="808" ht="15.75" customHeight="1">
      <c r="A808" s="36"/>
      <c r="B808" s="36"/>
      <c r="C808" s="37"/>
      <c r="D808" s="37"/>
      <c r="E808" s="37"/>
      <c r="F808" s="37"/>
      <c r="G808" s="1"/>
    </row>
    <row r="809" ht="15.75" customHeight="1">
      <c r="A809" s="36"/>
      <c r="B809" s="36"/>
      <c r="C809" s="37"/>
      <c r="D809" s="37"/>
      <c r="E809" s="37"/>
      <c r="F809" s="37"/>
      <c r="G809" s="1"/>
    </row>
    <row r="810" ht="15.75" customHeight="1">
      <c r="A810" s="36"/>
      <c r="B810" s="36"/>
      <c r="C810" s="37"/>
      <c r="D810" s="37"/>
      <c r="E810" s="37"/>
      <c r="F810" s="37"/>
      <c r="G810" s="1"/>
    </row>
    <row r="811" ht="15.75" customHeight="1">
      <c r="A811" s="36"/>
      <c r="B811" s="36"/>
      <c r="C811" s="37"/>
      <c r="D811" s="37"/>
      <c r="E811" s="37"/>
      <c r="F811" s="37"/>
      <c r="G811" s="1"/>
    </row>
    <row r="812" ht="15.75" customHeight="1">
      <c r="A812" s="36"/>
      <c r="B812" s="36"/>
      <c r="C812" s="37"/>
      <c r="D812" s="37"/>
      <c r="E812" s="37"/>
      <c r="F812" s="37"/>
      <c r="G812" s="1"/>
    </row>
    <row r="813" ht="15.75" customHeight="1">
      <c r="A813" s="36"/>
      <c r="B813" s="36"/>
      <c r="C813" s="37"/>
      <c r="D813" s="37"/>
      <c r="E813" s="37"/>
      <c r="F813" s="37"/>
      <c r="G813" s="1"/>
    </row>
    <row r="814" ht="15.75" customHeight="1">
      <c r="A814" s="36"/>
      <c r="B814" s="36"/>
      <c r="C814" s="37"/>
      <c r="D814" s="37"/>
      <c r="E814" s="37"/>
      <c r="F814" s="37"/>
      <c r="G814" s="1"/>
    </row>
    <row r="815" ht="15.75" customHeight="1">
      <c r="A815" s="36"/>
      <c r="B815" s="36"/>
      <c r="C815" s="37"/>
      <c r="D815" s="37"/>
      <c r="E815" s="37"/>
      <c r="F815" s="37"/>
      <c r="G815" s="1"/>
    </row>
    <row r="816" ht="15.75" customHeight="1">
      <c r="A816" s="36"/>
      <c r="B816" s="36"/>
      <c r="C816" s="37"/>
      <c r="D816" s="37"/>
      <c r="E816" s="37"/>
      <c r="F816" s="37"/>
      <c r="G816" s="1"/>
    </row>
    <row r="817" ht="15.75" customHeight="1">
      <c r="A817" s="36"/>
      <c r="B817" s="36"/>
      <c r="C817" s="37"/>
      <c r="D817" s="37"/>
      <c r="E817" s="37"/>
      <c r="F817" s="37"/>
      <c r="G817" s="1"/>
    </row>
    <row r="818" ht="15.75" customHeight="1">
      <c r="A818" s="36"/>
      <c r="B818" s="36"/>
      <c r="C818" s="37"/>
      <c r="D818" s="37"/>
      <c r="E818" s="37"/>
      <c r="F818" s="37"/>
      <c r="G818" s="1"/>
    </row>
    <row r="819" ht="15.75" customHeight="1">
      <c r="A819" s="36"/>
      <c r="B819" s="36"/>
      <c r="C819" s="37"/>
      <c r="D819" s="37"/>
      <c r="E819" s="37"/>
      <c r="F819" s="37"/>
      <c r="G819" s="1"/>
    </row>
    <row r="820" ht="15.75" customHeight="1">
      <c r="A820" s="36"/>
      <c r="B820" s="36"/>
      <c r="C820" s="37"/>
      <c r="D820" s="37"/>
      <c r="E820" s="37"/>
      <c r="F820" s="37"/>
      <c r="G820" s="1"/>
    </row>
    <row r="821" ht="15.75" customHeight="1">
      <c r="A821" s="36"/>
      <c r="B821" s="36"/>
      <c r="C821" s="37"/>
      <c r="D821" s="37"/>
      <c r="E821" s="37"/>
      <c r="F821" s="37"/>
      <c r="G821" s="1"/>
    </row>
    <row r="822" ht="15.75" customHeight="1">
      <c r="A822" s="36"/>
      <c r="B822" s="36"/>
      <c r="C822" s="37"/>
      <c r="D822" s="37"/>
      <c r="E822" s="37"/>
      <c r="F822" s="37"/>
      <c r="G822" s="1"/>
    </row>
    <row r="823" ht="15.75" customHeight="1">
      <c r="A823" s="36"/>
      <c r="B823" s="36"/>
      <c r="C823" s="37"/>
      <c r="D823" s="37"/>
      <c r="E823" s="37"/>
      <c r="F823" s="37"/>
      <c r="G823" s="1"/>
    </row>
    <row r="824" ht="15.75" customHeight="1">
      <c r="A824" s="36"/>
      <c r="B824" s="36"/>
      <c r="C824" s="37"/>
      <c r="D824" s="37"/>
      <c r="E824" s="37"/>
      <c r="F824" s="37"/>
      <c r="G824" s="1"/>
    </row>
    <row r="825" ht="15.75" customHeight="1">
      <c r="A825" s="36"/>
      <c r="B825" s="36"/>
      <c r="C825" s="37"/>
      <c r="D825" s="37"/>
      <c r="E825" s="37"/>
      <c r="F825" s="37"/>
      <c r="G825" s="1"/>
    </row>
    <row r="826" ht="15.75" customHeight="1">
      <c r="A826" s="36"/>
      <c r="B826" s="36"/>
      <c r="C826" s="37"/>
      <c r="D826" s="37"/>
      <c r="E826" s="37"/>
      <c r="F826" s="37"/>
      <c r="G826" s="1"/>
    </row>
    <row r="827" ht="15.75" customHeight="1">
      <c r="A827" s="36"/>
      <c r="B827" s="36"/>
      <c r="C827" s="37"/>
      <c r="D827" s="37"/>
      <c r="E827" s="37"/>
      <c r="F827" s="37"/>
      <c r="G827" s="1"/>
    </row>
    <row r="828" ht="15.75" customHeight="1">
      <c r="A828" s="36"/>
      <c r="B828" s="36"/>
      <c r="C828" s="37"/>
      <c r="D828" s="37"/>
      <c r="E828" s="37"/>
      <c r="F828" s="37"/>
      <c r="G828" s="1"/>
    </row>
    <row r="829" ht="15.75" customHeight="1">
      <c r="A829" s="36"/>
      <c r="B829" s="36"/>
      <c r="C829" s="37"/>
      <c r="D829" s="37"/>
      <c r="E829" s="37"/>
      <c r="F829" s="37"/>
      <c r="G829" s="1"/>
    </row>
    <row r="830" ht="15.75" customHeight="1">
      <c r="A830" s="36"/>
      <c r="B830" s="36"/>
      <c r="C830" s="37"/>
      <c r="D830" s="37"/>
      <c r="E830" s="37"/>
      <c r="F830" s="37"/>
      <c r="G830" s="1"/>
    </row>
    <row r="831" ht="15.75" customHeight="1">
      <c r="A831" s="36"/>
      <c r="B831" s="36"/>
      <c r="C831" s="37"/>
      <c r="D831" s="37"/>
      <c r="E831" s="37"/>
      <c r="F831" s="37"/>
      <c r="G831" s="1"/>
    </row>
    <row r="832" ht="15.75" customHeight="1">
      <c r="A832" s="36"/>
      <c r="B832" s="36"/>
      <c r="C832" s="37"/>
      <c r="D832" s="37"/>
      <c r="E832" s="37"/>
      <c r="F832" s="37"/>
      <c r="G832" s="1"/>
    </row>
    <row r="833" ht="15.75" customHeight="1">
      <c r="A833" s="36"/>
      <c r="B833" s="36"/>
      <c r="C833" s="37"/>
      <c r="D833" s="37"/>
      <c r="E833" s="37"/>
      <c r="F833" s="37"/>
      <c r="G833" s="1"/>
    </row>
    <row r="834" ht="15.75" customHeight="1">
      <c r="A834" s="36"/>
      <c r="B834" s="36"/>
      <c r="C834" s="37"/>
      <c r="D834" s="37"/>
      <c r="E834" s="37"/>
      <c r="F834" s="37"/>
      <c r="G834" s="1"/>
    </row>
    <row r="835" ht="15.75" customHeight="1">
      <c r="A835" s="36"/>
      <c r="B835" s="36"/>
      <c r="C835" s="37"/>
      <c r="D835" s="37"/>
      <c r="E835" s="37"/>
      <c r="F835" s="37"/>
      <c r="G835" s="1"/>
    </row>
    <row r="836" ht="15.75" customHeight="1">
      <c r="A836" s="36"/>
      <c r="B836" s="36"/>
      <c r="C836" s="37"/>
      <c r="D836" s="37"/>
      <c r="E836" s="37"/>
      <c r="F836" s="37"/>
      <c r="G836" s="1"/>
    </row>
    <row r="837" ht="15.75" customHeight="1">
      <c r="A837" s="36"/>
      <c r="B837" s="36"/>
      <c r="C837" s="37"/>
      <c r="D837" s="37"/>
      <c r="E837" s="37"/>
      <c r="F837" s="37"/>
      <c r="G837" s="1"/>
    </row>
    <row r="838" ht="15.75" customHeight="1">
      <c r="A838" s="36"/>
      <c r="B838" s="36"/>
      <c r="C838" s="37"/>
      <c r="D838" s="37"/>
      <c r="E838" s="37"/>
      <c r="F838" s="37"/>
      <c r="G838" s="1"/>
    </row>
    <row r="839" ht="15.75" customHeight="1">
      <c r="A839" s="36"/>
      <c r="B839" s="36"/>
      <c r="C839" s="37"/>
      <c r="D839" s="37"/>
      <c r="E839" s="37"/>
      <c r="F839" s="37"/>
      <c r="G839" s="1"/>
    </row>
    <row r="840" ht="15.75" customHeight="1">
      <c r="A840" s="36"/>
      <c r="B840" s="36"/>
      <c r="C840" s="37"/>
      <c r="D840" s="37"/>
      <c r="E840" s="37"/>
      <c r="F840" s="37"/>
      <c r="G840" s="1"/>
    </row>
    <row r="841" ht="15.75" customHeight="1">
      <c r="A841" s="36"/>
      <c r="B841" s="36"/>
      <c r="C841" s="37"/>
      <c r="D841" s="37"/>
      <c r="E841" s="37"/>
      <c r="F841" s="37"/>
      <c r="G841" s="1"/>
    </row>
    <row r="842" ht="15.75" customHeight="1">
      <c r="A842" s="36"/>
      <c r="B842" s="36"/>
      <c r="C842" s="37"/>
      <c r="D842" s="37"/>
      <c r="E842" s="37"/>
      <c r="F842" s="37"/>
      <c r="G842" s="1"/>
    </row>
    <row r="843" ht="15.75" customHeight="1">
      <c r="A843" s="36"/>
      <c r="B843" s="36"/>
      <c r="C843" s="37"/>
      <c r="D843" s="37"/>
      <c r="E843" s="37"/>
      <c r="F843" s="37"/>
      <c r="G843" s="1"/>
    </row>
    <row r="844" ht="15.75" customHeight="1">
      <c r="A844" s="36"/>
      <c r="B844" s="36"/>
      <c r="C844" s="37"/>
      <c r="D844" s="37"/>
      <c r="E844" s="37"/>
      <c r="F844" s="37"/>
      <c r="G844" s="1"/>
    </row>
    <row r="845" ht="15.75" customHeight="1">
      <c r="A845" s="36"/>
      <c r="B845" s="36"/>
      <c r="C845" s="37"/>
      <c r="D845" s="37"/>
      <c r="E845" s="37"/>
      <c r="F845" s="37"/>
      <c r="G845" s="1"/>
    </row>
    <row r="846" ht="15.75" customHeight="1">
      <c r="A846" s="36"/>
      <c r="B846" s="36"/>
      <c r="C846" s="37"/>
      <c r="D846" s="37"/>
      <c r="E846" s="37"/>
      <c r="F846" s="37"/>
      <c r="G846" s="1"/>
    </row>
    <row r="847" ht="15.75" customHeight="1">
      <c r="A847" s="36"/>
      <c r="B847" s="36"/>
      <c r="C847" s="37"/>
      <c r="D847" s="37"/>
      <c r="E847" s="37"/>
      <c r="F847" s="37"/>
      <c r="G847" s="1"/>
    </row>
    <row r="848" ht="15.75" customHeight="1">
      <c r="A848" s="36"/>
      <c r="B848" s="36"/>
      <c r="C848" s="37"/>
      <c r="D848" s="37"/>
      <c r="E848" s="37"/>
      <c r="F848" s="37"/>
      <c r="G848" s="1"/>
    </row>
    <row r="849" ht="15.75" customHeight="1">
      <c r="A849" s="36"/>
      <c r="B849" s="36"/>
      <c r="C849" s="37"/>
      <c r="D849" s="37"/>
      <c r="E849" s="37"/>
      <c r="F849" s="37"/>
      <c r="G849" s="1"/>
    </row>
    <row r="850" ht="15.75" customHeight="1">
      <c r="A850" s="36"/>
      <c r="B850" s="36"/>
      <c r="C850" s="37"/>
      <c r="D850" s="37"/>
      <c r="E850" s="37"/>
      <c r="F850" s="37"/>
      <c r="G850" s="1"/>
    </row>
    <row r="851" ht="15.75" customHeight="1">
      <c r="A851" s="36"/>
      <c r="B851" s="36"/>
      <c r="C851" s="37"/>
      <c r="D851" s="37"/>
      <c r="E851" s="37"/>
      <c r="F851" s="37"/>
      <c r="G851" s="1"/>
    </row>
    <row r="852" ht="15.75" customHeight="1">
      <c r="A852" s="36"/>
      <c r="B852" s="36"/>
      <c r="C852" s="37"/>
      <c r="D852" s="37"/>
      <c r="E852" s="37"/>
      <c r="F852" s="37"/>
      <c r="G852" s="1"/>
    </row>
    <row r="853" ht="15.75" customHeight="1">
      <c r="A853" s="36"/>
      <c r="B853" s="36"/>
      <c r="C853" s="37"/>
      <c r="D853" s="37"/>
      <c r="E853" s="37"/>
      <c r="F853" s="37"/>
      <c r="G853" s="1"/>
    </row>
    <row r="854" ht="15.75" customHeight="1">
      <c r="A854" s="36"/>
      <c r="B854" s="36"/>
      <c r="C854" s="37"/>
      <c r="D854" s="37"/>
      <c r="E854" s="37"/>
      <c r="F854" s="37"/>
      <c r="G854" s="1"/>
    </row>
    <row r="855" ht="15.75" customHeight="1">
      <c r="A855" s="36"/>
      <c r="B855" s="36"/>
      <c r="C855" s="37"/>
      <c r="D855" s="37"/>
      <c r="E855" s="37"/>
      <c r="F855" s="37"/>
      <c r="G855" s="1"/>
    </row>
    <row r="856" ht="15.75" customHeight="1">
      <c r="A856" s="36"/>
      <c r="B856" s="36"/>
      <c r="C856" s="37"/>
      <c r="D856" s="37"/>
      <c r="E856" s="37"/>
      <c r="F856" s="37"/>
      <c r="G856" s="1"/>
    </row>
    <row r="857" ht="15.75" customHeight="1">
      <c r="A857" s="36"/>
      <c r="B857" s="36"/>
      <c r="C857" s="37"/>
      <c r="D857" s="37"/>
      <c r="E857" s="37"/>
      <c r="F857" s="37"/>
      <c r="G857" s="1"/>
    </row>
    <row r="858" ht="15.75" customHeight="1">
      <c r="A858" s="36"/>
      <c r="B858" s="36"/>
      <c r="C858" s="37"/>
      <c r="D858" s="37"/>
      <c r="E858" s="37"/>
      <c r="F858" s="37"/>
      <c r="G858" s="1"/>
    </row>
    <row r="859" ht="15.75" customHeight="1">
      <c r="A859" s="36"/>
      <c r="B859" s="36"/>
      <c r="C859" s="37"/>
      <c r="D859" s="37"/>
      <c r="E859" s="37"/>
      <c r="F859" s="37"/>
      <c r="G859" s="1"/>
    </row>
    <row r="860" ht="15.75" customHeight="1">
      <c r="A860" s="36"/>
      <c r="B860" s="36"/>
      <c r="C860" s="37"/>
      <c r="D860" s="37"/>
      <c r="E860" s="37"/>
      <c r="F860" s="37"/>
      <c r="G860" s="1"/>
    </row>
    <row r="861" ht="15.75" customHeight="1">
      <c r="A861" s="36"/>
      <c r="B861" s="36"/>
      <c r="C861" s="37"/>
      <c r="D861" s="37"/>
      <c r="E861" s="37"/>
      <c r="F861" s="37"/>
      <c r="G861" s="1"/>
    </row>
    <row r="862" ht="15.75" customHeight="1">
      <c r="A862" s="36"/>
      <c r="B862" s="36"/>
      <c r="C862" s="37"/>
      <c r="D862" s="37"/>
      <c r="E862" s="37"/>
      <c r="F862" s="37"/>
      <c r="G862" s="1"/>
    </row>
    <row r="863" ht="15.75" customHeight="1">
      <c r="A863" s="36"/>
      <c r="B863" s="36"/>
      <c r="C863" s="37"/>
      <c r="D863" s="37"/>
      <c r="E863" s="37"/>
      <c r="F863" s="37"/>
      <c r="G863" s="1"/>
    </row>
    <row r="864" ht="15.75" customHeight="1">
      <c r="A864" s="36"/>
      <c r="B864" s="36"/>
      <c r="C864" s="37"/>
      <c r="D864" s="37"/>
      <c r="E864" s="37"/>
      <c r="F864" s="37"/>
      <c r="G864" s="1"/>
    </row>
    <row r="865" ht="15.75" customHeight="1">
      <c r="A865" s="36"/>
      <c r="B865" s="36"/>
      <c r="C865" s="37"/>
      <c r="D865" s="37"/>
      <c r="E865" s="37"/>
      <c r="F865" s="37"/>
      <c r="G865" s="1"/>
    </row>
    <row r="866" ht="15.75" customHeight="1">
      <c r="A866" s="36"/>
      <c r="B866" s="36"/>
      <c r="C866" s="37"/>
      <c r="D866" s="37"/>
      <c r="E866" s="37"/>
      <c r="F866" s="37"/>
      <c r="G866" s="1"/>
    </row>
    <row r="867" ht="15.75" customHeight="1">
      <c r="A867" s="36"/>
      <c r="B867" s="36"/>
      <c r="C867" s="37"/>
      <c r="D867" s="37"/>
      <c r="E867" s="37"/>
      <c r="F867" s="37"/>
      <c r="G867" s="1"/>
    </row>
    <row r="868" ht="15.75" customHeight="1">
      <c r="A868" s="36"/>
      <c r="B868" s="36"/>
      <c r="C868" s="37"/>
      <c r="D868" s="37"/>
      <c r="E868" s="37"/>
      <c r="F868" s="37"/>
      <c r="G868" s="1"/>
    </row>
    <row r="869" ht="15.75" customHeight="1">
      <c r="A869" s="36"/>
      <c r="B869" s="36"/>
      <c r="C869" s="37"/>
      <c r="D869" s="37"/>
      <c r="E869" s="37"/>
      <c r="F869" s="37"/>
      <c r="G869" s="1"/>
    </row>
    <row r="870" ht="15.75" customHeight="1">
      <c r="A870" s="36"/>
      <c r="B870" s="36"/>
      <c r="C870" s="37"/>
      <c r="D870" s="37"/>
      <c r="E870" s="37"/>
      <c r="F870" s="37"/>
      <c r="G870" s="1"/>
    </row>
    <row r="871" ht="15.75" customHeight="1">
      <c r="A871" s="36"/>
      <c r="B871" s="36"/>
      <c r="C871" s="37"/>
      <c r="D871" s="37"/>
      <c r="E871" s="37"/>
      <c r="F871" s="37"/>
      <c r="G871" s="1"/>
    </row>
    <row r="872" ht="15.75" customHeight="1">
      <c r="A872" s="36"/>
      <c r="B872" s="36"/>
      <c r="C872" s="37"/>
      <c r="D872" s="37"/>
      <c r="E872" s="37"/>
      <c r="F872" s="37"/>
      <c r="G872" s="1"/>
    </row>
    <row r="873" ht="15.75" customHeight="1">
      <c r="A873" s="36"/>
      <c r="B873" s="36"/>
      <c r="C873" s="37"/>
      <c r="D873" s="37"/>
      <c r="E873" s="37"/>
      <c r="F873" s="37"/>
      <c r="G873" s="1"/>
    </row>
    <row r="874" ht="15.75" customHeight="1">
      <c r="A874" s="36"/>
      <c r="B874" s="36"/>
      <c r="C874" s="37"/>
      <c r="D874" s="37"/>
      <c r="E874" s="37"/>
      <c r="F874" s="37"/>
      <c r="G874" s="1"/>
    </row>
    <row r="875" ht="15.75" customHeight="1">
      <c r="A875" s="36"/>
      <c r="B875" s="36"/>
      <c r="C875" s="37"/>
      <c r="D875" s="37"/>
      <c r="E875" s="37"/>
      <c r="F875" s="37"/>
      <c r="G875" s="1"/>
    </row>
    <row r="876" ht="15.75" customHeight="1">
      <c r="A876" s="36"/>
      <c r="B876" s="36"/>
      <c r="C876" s="37"/>
      <c r="D876" s="37"/>
      <c r="E876" s="37"/>
      <c r="F876" s="37"/>
      <c r="G876" s="1"/>
    </row>
    <row r="877" ht="15.75" customHeight="1">
      <c r="A877" s="36"/>
      <c r="B877" s="36"/>
      <c r="C877" s="37"/>
      <c r="D877" s="37"/>
      <c r="E877" s="37"/>
      <c r="F877" s="37"/>
      <c r="G877" s="1"/>
    </row>
    <row r="878" ht="15.75" customHeight="1">
      <c r="A878" s="36"/>
      <c r="B878" s="36"/>
      <c r="C878" s="37"/>
      <c r="D878" s="37"/>
      <c r="E878" s="37"/>
      <c r="F878" s="37"/>
      <c r="G878" s="1"/>
    </row>
    <row r="879" ht="15.75" customHeight="1">
      <c r="A879" s="36"/>
      <c r="B879" s="36"/>
      <c r="C879" s="37"/>
      <c r="D879" s="37"/>
      <c r="E879" s="37"/>
      <c r="F879" s="37"/>
      <c r="G879" s="1"/>
    </row>
    <row r="880" ht="15.75" customHeight="1">
      <c r="A880" s="36"/>
      <c r="B880" s="36"/>
      <c r="C880" s="37"/>
      <c r="D880" s="37"/>
      <c r="E880" s="37"/>
      <c r="F880" s="37"/>
      <c r="G880" s="1"/>
    </row>
    <row r="881" ht="15.75" customHeight="1">
      <c r="A881" s="36"/>
      <c r="B881" s="36"/>
      <c r="C881" s="37"/>
      <c r="D881" s="37"/>
      <c r="E881" s="37"/>
      <c r="F881" s="37"/>
      <c r="G881" s="1"/>
    </row>
    <row r="882" ht="15.75" customHeight="1">
      <c r="A882" s="36"/>
      <c r="B882" s="36"/>
      <c r="C882" s="37"/>
      <c r="D882" s="37"/>
      <c r="E882" s="37"/>
      <c r="F882" s="37"/>
      <c r="G882" s="1"/>
    </row>
    <row r="883" ht="15.75" customHeight="1">
      <c r="A883" s="36"/>
      <c r="B883" s="36"/>
      <c r="C883" s="37"/>
      <c r="D883" s="37"/>
      <c r="E883" s="37"/>
      <c r="F883" s="37"/>
      <c r="G883" s="1"/>
    </row>
    <row r="884" ht="15.75" customHeight="1">
      <c r="A884" s="36"/>
      <c r="B884" s="36"/>
      <c r="C884" s="37"/>
      <c r="D884" s="37"/>
      <c r="E884" s="37"/>
      <c r="F884" s="37"/>
      <c r="G884" s="1"/>
    </row>
    <row r="885" ht="15.75" customHeight="1">
      <c r="A885" s="36"/>
      <c r="B885" s="36"/>
      <c r="C885" s="37"/>
      <c r="D885" s="37"/>
      <c r="E885" s="37"/>
      <c r="F885" s="37"/>
      <c r="G885" s="1"/>
    </row>
    <row r="886" ht="15.75" customHeight="1">
      <c r="A886" s="36"/>
      <c r="B886" s="36"/>
      <c r="C886" s="37"/>
      <c r="D886" s="37"/>
      <c r="E886" s="37"/>
      <c r="F886" s="37"/>
      <c r="G886" s="1"/>
    </row>
    <row r="887" ht="15.75" customHeight="1">
      <c r="A887" s="36"/>
      <c r="B887" s="36"/>
      <c r="C887" s="37"/>
      <c r="D887" s="37"/>
      <c r="E887" s="37"/>
      <c r="F887" s="37"/>
      <c r="G887" s="1"/>
    </row>
    <row r="888" ht="15.75" customHeight="1">
      <c r="A888" s="36"/>
      <c r="B888" s="36"/>
      <c r="C888" s="37"/>
      <c r="D888" s="37"/>
      <c r="E888" s="37"/>
      <c r="F888" s="37"/>
      <c r="G888" s="1"/>
    </row>
    <row r="889" ht="15.75" customHeight="1">
      <c r="A889" s="36"/>
      <c r="B889" s="36"/>
      <c r="C889" s="37"/>
      <c r="D889" s="37"/>
      <c r="E889" s="37"/>
      <c r="F889" s="37"/>
      <c r="G889" s="1"/>
    </row>
    <row r="890" ht="15.75" customHeight="1">
      <c r="A890" s="36"/>
      <c r="B890" s="36"/>
      <c r="C890" s="37"/>
      <c r="D890" s="37"/>
      <c r="E890" s="37"/>
      <c r="F890" s="37"/>
      <c r="G890" s="1"/>
    </row>
    <row r="891" ht="15.75" customHeight="1">
      <c r="A891" s="36"/>
      <c r="B891" s="36"/>
      <c r="C891" s="37"/>
      <c r="D891" s="37"/>
      <c r="E891" s="37"/>
      <c r="F891" s="37"/>
      <c r="G891" s="1"/>
    </row>
    <row r="892" ht="15.75" customHeight="1">
      <c r="A892" s="36"/>
      <c r="B892" s="36"/>
      <c r="C892" s="37"/>
      <c r="D892" s="37"/>
      <c r="E892" s="37"/>
      <c r="F892" s="37"/>
      <c r="G892" s="1"/>
    </row>
    <row r="893" ht="15.75" customHeight="1">
      <c r="A893" s="36"/>
      <c r="B893" s="36"/>
      <c r="C893" s="37"/>
      <c r="D893" s="37"/>
      <c r="E893" s="37"/>
      <c r="F893" s="37"/>
      <c r="G893" s="1"/>
    </row>
    <row r="894" ht="15.75" customHeight="1">
      <c r="A894" s="36"/>
      <c r="B894" s="36"/>
      <c r="C894" s="37"/>
      <c r="D894" s="37"/>
      <c r="E894" s="37"/>
      <c r="F894" s="37"/>
      <c r="G894" s="1"/>
    </row>
    <row r="895" ht="15.75" customHeight="1">
      <c r="A895" s="36"/>
      <c r="B895" s="36"/>
      <c r="C895" s="37"/>
      <c r="D895" s="37"/>
      <c r="E895" s="37"/>
      <c r="F895" s="37"/>
      <c r="G895" s="1"/>
    </row>
    <row r="896" ht="15.75" customHeight="1">
      <c r="A896" s="36"/>
      <c r="B896" s="36"/>
      <c r="C896" s="37"/>
      <c r="D896" s="37"/>
      <c r="E896" s="37"/>
      <c r="F896" s="37"/>
      <c r="G896" s="1"/>
    </row>
    <row r="897" ht="15.75" customHeight="1">
      <c r="A897" s="36"/>
      <c r="B897" s="36"/>
      <c r="C897" s="37"/>
      <c r="D897" s="37"/>
      <c r="E897" s="37"/>
      <c r="F897" s="37"/>
      <c r="G897" s="1"/>
    </row>
    <row r="898" ht="15.75" customHeight="1">
      <c r="A898" s="36"/>
      <c r="B898" s="36"/>
      <c r="C898" s="37"/>
      <c r="D898" s="37"/>
      <c r="E898" s="37"/>
      <c r="F898" s="37"/>
      <c r="G898" s="1"/>
    </row>
    <row r="899" ht="15.75" customHeight="1">
      <c r="A899" s="36"/>
      <c r="B899" s="36"/>
      <c r="C899" s="37"/>
      <c r="D899" s="37"/>
      <c r="E899" s="37"/>
      <c r="F899" s="37"/>
      <c r="G899" s="1"/>
    </row>
    <row r="900" ht="15.75" customHeight="1">
      <c r="A900" s="36"/>
      <c r="B900" s="36"/>
      <c r="C900" s="37"/>
      <c r="D900" s="37"/>
      <c r="E900" s="37"/>
      <c r="F900" s="37"/>
      <c r="G900" s="1"/>
    </row>
    <row r="901" ht="15.75" customHeight="1">
      <c r="A901" s="36"/>
      <c r="B901" s="36"/>
      <c r="C901" s="37"/>
      <c r="D901" s="37"/>
      <c r="E901" s="37"/>
      <c r="F901" s="37"/>
      <c r="G901" s="1"/>
    </row>
    <row r="902" ht="15.75" customHeight="1">
      <c r="A902" s="36"/>
      <c r="B902" s="36"/>
      <c r="C902" s="37"/>
      <c r="D902" s="37"/>
      <c r="E902" s="37"/>
      <c r="F902" s="37"/>
      <c r="G902" s="1"/>
    </row>
    <row r="903" ht="15.75" customHeight="1">
      <c r="A903" s="36"/>
      <c r="B903" s="36"/>
      <c r="C903" s="37"/>
      <c r="D903" s="37"/>
      <c r="E903" s="37"/>
      <c r="F903" s="37"/>
      <c r="G903" s="1"/>
    </row>
    <row r="904" ht="15.75" customHeight="1">
      <c r="A904" s="36"/>
      <c r="B904" s="36"/>
      <c r="C904" s="37"/>
      <c r="D904" s="37"/>
      <c r="E904" s="37"/>
      <c r="F904" s="37"/>
      <c r="G904" s="1"/>
    </row>
    <row r="905" ht="15.75" customHeight="1">
      <c r="A905" s="36"/>
      <c r="B905" s="36"/>
      <c r="C905" s="37"/>
      <c r="D905" s="37"/>
      <c r="E905" s="37"/>
      <c r="F905" s="37"/>
      <c r="G905" s="1"/>
    </row>
    <row r="906" ht="15.75" customHeight="1">
      <c r="A906" s="36"/>
      <c r="B906" s="36"/>
      <c r="C906" s="37"/>
      <c r="D906" s="37"/>
      <c r="E906" s="37"/>
      <c r="F906" s="37"/>
      <c r="G906" s="1"/>
    </row>
    <row r="907" ht="15.75" customHeight="1">
      <c r="A907" s="36"/>
      <c r="B907" s="36"/>
      <c r="C907" s="37"/>
      <c r="D907" s="37"/>
      <c r="E907" s="37"/>
      <c r="F907" s="37"/>
      <c r="G907" s="1"/>
    </row>
    <row r="908" ht="15.75" customHeight="1">
      <c r="A908" s="36"/>
      <c r="B908" s="36"/>
      <c r="C908" s="37"/>
      <c r="D908" s="37"/>
      <c r="E908" s="37"/>
      <c r="F908" s="37"/>
      <c r="G908" s="1"/>
    </row>
    <row r="909" ht="15.75" customHeight="1">
      <c r="A909" s="36"/>
      <c r="B909" s="36"/>
      <c r="C909" s="37"/>
      <c r="D909" s="37"/>
      <c r="E909" s="37"/>
      <c r="F909" s="37"/>
      <c r="G909" s="1"/>
    </row>
    <row r="910" ht="15.75" customHeight="1">
      <c r="A910" s="36"/>
      <c r="B910" s="36"/>
      <c r="C910" s="37"/>
      <c r="D910" s="37"/>
      <c r="E910" s="37"/>
      <c r="F910" s="37"/>
      <c r="G910" s="1"/>
    </row>
    <row r="911" ht="15.75" customHeight="1">
      <c r="A911" s="36"/>
      <c r="B911" s="36"/>
      <c r="C911" s="37"/>
      <c r="D911" s="37"/>
      <c r="E911" s="37"/>
      <c r="F911" s="37"/>
      <c r="G911" s="1"/>
    </row>
    <row r="912" ht="15.75" customHeight="1">
      <c r="A912" s="36"/>
      <c r="B912" s="36"/>
      <c r="C912" s="37"/>
      <c r="D912" s="37"/>
      <c r="E912" s="37"/>
      <c r="F912" s="37"/>
      <c r="G912" s="1"/>
    </row>
    <row r="913" ht="15.75" customHeight="1">
      <c r="A913" s="36"/>
      <c r="B913" s="36"/>
      <c r="C913" s="37"/>
      <c r="D913" s="37"/>
      <c r="E913" s="37"/>
      <c r="F913" s="37"/>
      <c r="G913" s="1"/>
    </row>
    <row r="914" ht="15.75" customHeight="1">
      <c r="A914" s="36"/>
      <c r="B914" s="36"/>
      <c r="C914" s="37"/>
      <c r="D914" s="37"/>
      <c r="E914" s="37"/>
      <c r="F914" s="37"/>
      <c r="G914" s="1"/>
    </row>
    <row r="915" ht="15.75" customHeight="1">
      <c r="A915" s="36"/>
      <c r="B915" s="36"/>
      <c r="C915" s="37"/>
      <c r="D915" s="37"/>
      <c r="E915" s="37"/>
      <c r="F915" s="37"/>
      <c r="G915" s="1"/>
    </row>
    <row r="916" ht="15.75" customHeight="1">
      <c r="A916" s="36"/>
      <c r="B916" s="36"/>
      <c r="C916" s="37"/>
      <c r="D916" s="37"/>
      <c r="E916" s="37"/>
      <c r="F916" s="37"/>
      <c r="G916" s="1"/>
    </row>
    <row r="917" ht="15.75" customHeight="1">
      <c r="A917" s="36"/>
      <c r="B917" s="36"/>
      <c r="C917" s="37"/>
      <c r="D917" s="37"/>
      <c r="E917" s="37"/>
      <c r="F917" s="37"/>
      <c r="G917" s="1"/>
    </row>
    <row r="918" ht="15.75" customHeight="1">
      <c r="A918" s="36"/>
      <c r="B918" s="36"/>
      <c r="C918" s="37"/>
      <c r="D918" s="37"/>
      <c r="E918" s="37"/>
      <c r="F918" s="37"/>
      <c r="G918" s="1"/>
    </row>
    <row r="919" ht="15.75" customHeight="1">
      <c r="A919" s="36"/>
      <c r="B919" s="36"/>
      <c r="C919" s="37"/>
      <c r="D919" s="37"/>
      <c r="E919" s="37"/>
      <c r="F919" s="37"/>
      <c r="G919" s="1"/>
    </row>
    <row r="920" ht="15.75" customHeight="1">
      <c r="A920" s="36"/>
      <c r="B920" s="36"/>
      <c r="C920" s="37"/>
      <c r="D920" s="37"/>
      <c r="E920" s="37"/>
      <c r="F920" s="37"/>
      <c r="G920" s="1"/>
    </row>
    <row r="921" ht="15.75" customHeight="1">
      <c r="A921" s="36"/>
      <c r="B921" s="36"/>
      <c r="C921" s="37"/>
      <c r="D921" s="37"/>
      <c r="E921" s="37"/>
      <c r="F921" s="37"/>
      <c r="G921" s="1"/>
    </row>
    <row r="922" ht="15.75" customHeight="1">
      <c r="A922" s="36"/>
      <c r="B922" s="36"/>
      <c r="C922" s="37"/>
      <c r="D922" s="37"/>
      <c r="E922" s="37"/>
      <c r="F922" s="37"/>
      <c r="G922" s="1"/>
    </row>
    <row r="923" ht="15.75" customHeight="1">
      <c r="A923" s="36"/>
      <c r="B923" s="36"/>
      <c r="C923" s="37"/>
      <c r="D923" s="37"/>
      <c r="E923" s="37"/>
      <c r="F923" s="37"/>
      <c r="G923" s="1"/>
    </row>
    <row r="924" ht="15.75" customHeight="1">
      <c r="A924" s="36"/>
      <c r="B924" s="36"/>
      <c r="C924" s="37"/>
      <c r="D924" s="37"/>
      <c r="E924" s="37"/>
      <c r="F924" s="37"/>
      <c r="G924" s="1"/>
    </row>
    <row r="925" ht="15.75" customHeight="1">
      <c r="A925" s="36"/>
      <c r="B925" s="36"/>
      <c r="C925" s="37"/>
      <c r="D925" s="37"/>
      <c r="E925" s="37"/>
      <c r="F925" s="37"/>
      <c r="G925" s="1"/>
    </row>
    <row r="926" ht="15.75" customHeight="1">
      <c r="A926" s="36"/>
      <c r="B926" s="36"/>
      <c r="C926" s="37"/>
      <c r="D926" s="37"/>
      <c r="E926" s="37"/>
      <c r="F926" s="37"/>
      <c r="G926" s="1"/>
    </row>
    <row r="927" ht="15.75" customHeight="1">
      <c r="A927" s="36"/>
      <c r="B927" s="36"/>
      <c r="C927" s="37"/>
      <c r="D927" s="37"/>
      <c r="E927" s="37"/>
      <c r="F927" s="37"/>
      <c r="G927" s="1"/>
    </row>
    <row r="928" ht="15.75" customHeight="1">
      <c r="A928" s="36"/>
      <c r="B928" s="36"/>
      <c r="C928" s="37"/>
      <c r="D928" s="37"/>
      <c r="E928" s="37"/>
      <c r="F928" s="37"/>
      <c r="G928" s="1"/>
    </row>
    <row r="929" ht="15.75" customHeight="1">
      <c r="A929" s="36"/>
      <c r="B929" s="36"/>
      <c r="C929" s="37"/>
      <c r="D929" s="37"/>
      <c r="E929" s="37"/>
      <c r="F929" s="37"/>
      <c r="G929" s="1"/>
    </row>
    <row r="930" ht="15.75" customHeight="1">
      <c r="A930" s="36"/>
      <c r="B930" s="36"/>
      <c r="C930" s="37"/>
      <c r="D930" s="37"/>
      <c r="E930" s="37"/>
      <c r="F930" s="37"/>
      <c r="G930" s="1"/>
    </row>
    <row r="931" ht="15.75" customHeight="1">
      <c r="A931" s="36"/>
      <c r="B931" s="36"/>
      <c r="C931" s="37"/>
      <c r="D931" s="37"/>
      <c r="E931" s="37"/>
      <c r="F931" s="37"/>
      <c r="G931" s="1"/>
    </row>
    <row r="932" ht="15.75" customHeight="1">
      <c r="A932" s="36"/>
      <c r="B932" s="36"/>
      <c r="C932" s="37"/>
      <c r="D932" s="37"/>
      <c r="E932" s="37"/>
      <c r="F932" s="37"/>
      <c r="G932" s="1"/>
    </row>
    <row r="933" ht="15.75" customHeight="1">
      <c r="A933" s="36"/>
      <c r="B933" s="36"/>
      <c r="C933" s="37"/>
      <c r="D933" s="37"/>
      <c r="E933" s="37"/>
      <c r="F933" s="37"/>
      <c r="G933" s="1"/>
    </row>
    <row r="934" ht="15.75" customHeight="1">
      <c r="A934" s="36"/>
      <c r="B934" s="36"/>
      <c r="C934" s="37"/>
      <c r="D934" s="37"/>
      <c r="E934" s="37"/>
      <c r="F934" s="37"/>
      <c r="G934" s="1"/>
    </row>
    <row r="935" ht="15.75" customHeight="1">
      <c r="A935" s="36"/>
      <c r="B935" s="36"/>
      <c r="C935" s="37"/>
      <c r="D935" s="37"/>
      <c r="E935" s="37"/>
      <c r="F935" s="37"/>
      <c r="G935" s="1"/>
    </row>
    <row r="936" ht="15.75" customHeight="1">
      <c r="A936" s="36"/>
      <c r="B936" s="36"/>
      <c r="C936" s="37"/>
      <c r="D936" s="37"/>
      <c r="E936" s="37"/>
      <c r="F936" s="37"/>
      <c r="G936" s="1"/>
    </row>
    <row r="937" ht="15.75" customHeight="1">
      <c r="A937" s="36"/>
      <c r="B937" s="36"/>
      <c r="C937" s="37"/>
      <c r="D937" s="37"/>
      <c r="E937" s="37"/>
      <c r="F937" s="37"/>
      <c r="G937" s="1"/>
    </row>
    <row r="938" ht="15.75" customHeight="1">
      <c r="A938" s="36"/>
      <c r="B938" s="36"/>
      <c r="C938" s="37"/>
      <c r="D938" s="37"/>
      <c r="E938" s="37"/>
      <c r="F938" s="37"/>
      <c r="G938" s="1"/>
    </row>
    <row r="939" ht="15.75" customHeight="1">
      <c r="A939" s="36"/>
      <c r="B939" s="36"/>
      <c r="C939" s="37"/>
      <c r="D939" s="37"/>
      <c r="E939" s="37"/>
      <c r="F939" s="37"/>
      <c r="G939" s="1"/>
    </row>
    <row r="940" ht="15.75" customHeight="1">
      <c r="A940" s="36"/>
      <c r="B940" s="36"/>
      <c r="C940" s="37"/>
      <c r="D940" s="37"/>
      <c r="E940" s="37"/>
      <c r="F940" s="37"/>
      <c r="G940" s="1"/>
    </row>
    <row r="941" ht="15.75" customHeight="1">
      <c r="A941" s="36"/>
      <c r="B941" s="36"/>
      <c r="C941" s="37"/>
      <c r="D941" s="37"/>
      <c r="E941" s="37"/>
      <c r="F941" s="37"/>
      <c r="G941" s="1"/>
    </row>
    <row r="942" ht="15.75" customHeight="1">
      <c r="A942" s="36"/>
      <c r="B942" s="36"/>
      <c r="C942" s="37"/>
      <c r="D942" s="37"/>
      <c r="E942" s="37"/>
      <c r="F942" s="37"/>
      <c r="G942" s="1"/>
    </row>
    <row r="943" ht="15.75" customHeight="1">
      <c r="A943" s="36"/>
      <c r="B943" s="36"/>
      <c r="C943" s="37"/>
      <c r="D943" s="37"/>
      <c r="E943" s="37"/>
      <c r="F943" s="37"/>
      <c r="G943" s="1"/>
    </row>
    <row r="944" ht="15.75" customHeight="1">
      <c r="A944" s="36"/>
      <c r="B944" s="36"/>
      <c r="C944" s="37"/>
      <c r="D944" s="37"/>
      <c r="E944" s="37"/>
      <c r="F944" s="37"/>
      <c r="G944" s="1"/>
    </row>
    <row r="945" ht="15.75" customHeight="1">
      <c r="A945" s="36"/>
      <c r="B945" s="36"/>
      <c r="C945" s="37"/>
      <c r="D945" s="37"/>
      <c r="E945" s="37"/>
      <c r="F945" s="37"/>
      <c r="G945" s="1"/>
    </row>
    <row r="946" ht="15.75" customHeight="1">
      <c r="A946" s="36"/>
      <c r="B946" s="36"/>
      <c r="C946" s="37"/>
      <c r="D946" s="37"/>
      <c r="E946" s="37"/>
      <c r="F946" s="37"/>
      <c r="G946" s="1"/>
    </row>
    <row r="947" ht="15.75" customHeight="1">
      <c r="A947" s="36"/>
      <c r="B947" s="36"/>
      <c r="C947" s="37"/>
      <c r="D947" s="37"/>
      <c r="E947" s="37"/>
      <c r="F947" s="37"/>
      <c r="G947" s="1"/>
    </row>
    <row r="948" ht="15.75" customHeight="1">
      <c r="A948" s="36"/>
      <c r="B948" s="36"/>
      <c r="C948" s="37"/>
      <c r="D948" s="37"/>
      <c r="E948" s="37"/>
      <c r="F948" s="37"/>
      <c r="G948" s="1"/>
    </row>
    <row r="949" ht="15.75" customHeight="1">
      <c r="A949" s="36"/>
      <c r="B949" s="36"/>
      <c r="C949" s="37"/>
      <c r="D949" s="37"/>
      <c r="E949" s="37"/>
      <c r="F949" s="37"/>
      <c r="G949" s="1"/>
    </row>
    <row r="950" ht="15.75" customHeight="1">
      <c r="A950" s="36"/>
      <c r="B950" s="36"/>
      <c r="C950" s="37"/>
      <c r="D950" s="37"/>
      <c r="E950" s="37"/>
      <c r="F950" s="37"/>
      <c r="G950" s="1"/>
    </row>
    <row r="951" ht="15.75" customHeight="1">
      <c r="A951" s="36"/>
      <c r="B951" s="36"/>
      <c r="C951" s="37"/>
      <c r="D951" s="37"/>
      <c r="E951" s="37"/>
      <c r="F951" s="37"/>
      <c r="G951" s="1"/>
    </row>
    <row r="952" ht="15.75" customHeight="1">
      <c r="A952" s="36"/>
      <c r="B952" s="36"/>
      <c r="C952" s="37"/>
      <c r="D952" s="37"/>
      <c r="E952" s="37"/>
      <c r="F952" s="37"/>
      <c r="G952" s="1"/>
    </row>
    <row r="953" ht="15.75" customHeight="1">
      <c r="A953" s="36"/>
      <c r="B953" s="36"/>
      <c r="C953" s="37"/>
      <c r="D953" s="37"/>
      <c r="E953" s="37"/>
      <c r="F953" s="37"/>
      <c r="G953" s="1"/>
    </row>
    <row r="954" ht="15.75" customHeight="1">
      <c r="A954" s="36"/>
      <c r="B954" s="36"/>
      <c r="C954" s="37"/>
      <c r="D954" s="37"/>
      <c r="E954" s="37"/>
      <c r="F954" s="37"/>
      <c r="G954" s="1"/>
    </row>
    <row r="955" ht="15.75" customHeight="1">
      <c r="A955" s="36"/>
      <c r="B955" s="36"/>
      <c r="C955" s="37"/>
      <c r="D955" s="37"/>
      <c r="E955" s="37"/>
      <c r="F955" s="37"/>
      <c r="G955" s="1"/>
    </row>
    <row r="956" ht="15.75" customHeight="1">
      <c r="A956" s="36"/>
      <c r="B956" s="36"/>
      <c r="C956" s="37"/>
      <c r="D956" s="37"/>
      <c r="E956" s="37"/>
      <c r="F956" s="37"/>
      <c r="G956" s="1"/>
    </row>
    <row r="957" ht="15.75" customHeight="1">
      <c r="A957" s="36"/>
      <c r="B957" s="36"/>
      <c r="C957" s="37"/>
      <c r="D957" s="37"/>
      <c r="E957" s="37"/>
      <c r="F957" s="37"/>
      <c r="G957" s="1"/>
    </row>
    <row r="958" ht="15.75" customHeight="1">
      <c r="A958" s="36"/>
      <c r="B958" s="36"/>
      <c r="C958" s="37"/>
      <c r="D958" s="37"/>
      <c r="E958" s="37"/>
      <c r="F958" s="37"/>
      <c r="G958" s="1"/>
    </row>
    <row r="959" ht="15.75" customHeight="1">
      <c r="A959" s="36"/>
      <c r="B959" s="36"/>
      <c r="C959" s="37"/>
      <c r="D959" s="37"/>
      <c r="E959" s="37"/>
      <c r="F959" s="37"/>
      <c r="G959" s="1"/>
    </row>
    <row r="960" ht="15.75" customHeight="1">
      <c r="A960" s="36"/>
      <c r="B960" s="36"/>
      <c r="C960" s="37"/>
      <c r="D960" s="37"/>
      <c r="E960" s="37"/>
      <c r="F960" s="37"/>
      <c r="G960" s="1"/>
    </row>
    <row r="961" ht="15.75" customHeight="1">
      <c r="A961" s="36"/>
      <c r="B961" s="36"/>
      <c r="C961" s="37"/>
      <c r="D961" s="37"/>
      <c r="E961" s="37"/>
      <c r="F961" s="37"/>
      <c r="G961" s="1"/>
    </row>
    <row r="962" ht="15.75" customHeight="1">
      <c r="A962" s="36"/>
      <c r="B962" s="36"/>
      <c r="C962" s="37"/>
      <c r="D962" s="37"/>
      <c r="E962" s="37"/>
      <c r="F962" s="37"/>
      <c r="G962" s="1"/>
    </row>
    <row r="963" ht="15.75" customHeight="1">
      <c r="A963" s="36"/>
      <c r="B963" s="36"/>
      <c r="C963" s="37"/>
      <c r="D963" s="37"/>
      <c r="E963" s="37"/>
      <c r="F963" s="37"/>
      <c r="G963" s="1"/>
    </row>
    <row r="964" ht="15.75" customHeight="1">
      <c r="A964" s="36"/>
      <c r="B964" s="36"/>
      <c r="C964" s="37"/>
      <c r="D964" s="37"/>
      <c r="E964" s="37"/>
      <c r="F964" s="37"/>
      <c r="G964" s="1"/>
    </row>
    <row r="965" ht="15.75" customHeight="1">
      <c r="A965" s="36"/>
      <c r="B965" s="36"/>
      <c r="C965" s="37"/>
      <c r="D965" s="37"/>
      <c r="E965" s="37"/>
      <c r="F965" s="37"/>
      <c r="G965" s="1"/>
    </row>
    <row r="966" ht="15.75" customHeight="1">
      <c r="A966" s="36"/>
      <c r="B966" s="36"/>
      <c r="C966" s="37"/>
      <c r="D966" s="37"/>
      <c r="E966" s="37"/>
      <c r="F966" s="37"/>
      <c r="G966" s="1"/>
    </row>
    <row r="967" ht="15.75" customHeight="1">
      <c r="A967" s="36"/>
      <c r="B967" s="36"/>
      <c r="C967" s="37"/>
      <c r="D967" s="37"/>
      <c r="E967" s="37"/>
      <c r="F967" s="37"/>
      <c r="G967" s="1"/>
    </row>
    <row r="968" ht="15.75" customHeight="1">
      <c r="A968" s="36"/>
      <c r="B968" s="36"/>
      <c r="C968" s="37"/>
      <c r="D968" s="37"/>
      <c r="E968" s="37"/>
      <c r="F968" s="37"/>
      <c r="G968" s="1"/>
    </row>
    <row r="969" ht="15.75" customHeight="1">
      <c r="A969" s="36"/>
      <c r="B969" s="36"/>
      <c r="C969" s="37"/>
      <c r="D969" s="37"/>
      <c r="E969" s="37"/>
      <c r="F969" s="37"/>
      <c r="G969" s="1"/>
    </row>
    <row r="970" ht="15.75" customHeight="1">
      <c r="A970" s="36"/>
      <c r="B970" s="36"/>
      <c r="C970" s="37"/>
      <c r="D970" s="37"/>
      <c r="E970" s="37"/>
      <c r="F970" s="37"/>
      <c r="G970" s="1"/>
    </row>
    <row r="971" ht="15.75" customHeight="1">
      <c r="A971" s="36"/>
      <c r="B971" s="36"/>
      <c r="C971" s="37"/>
      <c r="D971" s="37"/>
      <c r="E971" s="37"/>
      <c r="F971" s="37"/>
      <c r="G971" s="1"/>
    </row>
    <row r="972" ht="15.75" customHeight="1">
      <c r="A972" s="36"/>
      <c r="B972" s="36"/>
      <c r="C972" s="37"/>
      <c r="D972" s="37"/>
      <c r="E972" s="37"/>
      <c r="F972" s="37"/>
      <c r="G972" s="1"/>
    </row>
    <row r="973" ht="15.75" customHeight="1">
      <c r="A973" s="36"/>
      <c r="B973" s="36"/>
      <c r="C973" s="37"/>
      <c r="D973" s="37"/>
      <c r="E973" s="37"/>
      <c r="F973" s="37"/>
      <c r="G973" s="1"/>
    </row>
    <row r="974" ht="15.75" customHeight="1">
      <c r="A974" s="36"/>
      <c r="B974" s="36"/>
      <c r="C974" s="37"/>
      <c r="D974" s="37"/>
      <c r="E974" s="37"/>
      <c r="F974" s="37"/>
      <c r="G974" s="1"/>
    </row>
    <row r="975" ht="15.75" customHeight="1">
      <c r="A975" s="36"/>
      <c r="B975" s="36"/>
      <c r="C975" s="37"/>
      <c r="D975" s="37"/>
      <c r="E975" s="37"/>
      <c r="F975" s="37"/>
      <c r="G975" s="1"/>
    </row>
    <row r="976" ht="15.75" customHeight="1">
      <c r="A976" s="36"/>
      <c r="B976" s="36"/>
      <c r="C976" s="37"/>
      <c r="D976" s="37"/>
      <c r="E976" s="37"/>
      <c r="F976" s="37"/>
      <c r="G976" s="1"/>
    </row>
    <row r="977" ht="15.75" customHeight="1">
      <c r="A977" s="36"/>
      <c r="B977" s="36"/>
      <c r="C977" s="37"/>
      <c r="D977" s="37"/>
      <c r="E977" s="37"/>
      <c r="F977" s="37"/>
      <c r="G977" s="1"/>
    </row>
    <row r="978" ht="15.75" customHeight="1">
      <c r="A978" s="36"/>
      <c r="B978" s="36"/>
      <c r="C978" s="37"/>
      <c r="D978" s="37"/>
      <c r="E978" s="37"/>
      <c r="F978" s="37"/>
      <c r="G978" s="1"/>
    </row>
    <row r="979" ht="15.75" customHeight="1">
      <c r="A979" s="36"/>
      <c r="B979" s="36"/>
      <c r="C979" s="37"/>
      <c r="D979" s="37"/>
      <c r="E979" s="37"/>
      <c r="F979" s="37"/>
      <c r="G979" s="1"/>
    </row>
    <row r="980" ht="15.75" customHeight="1">
      <c r="A980" s="36"/>
      <c r="B980" s="36"/>
      <c r="C980" s="37"/>
      <c r="D980" s="37"/>
      <c r="E980" s="37"/>
      <c r="F980" s="37"/>
      <c r="G980" s="1"/>
    </row>
    <row r="981" ht="15.75" customHeight="1">
      <c r="A981" s="36"/>
      <c r="B981" s="36"/>
      <c r="C981" s="37"/>
      <c r="D981" s="37"/>
      <c r="E981" s="37"/>
      <c r="F981" s="37"/>
      <c r="G981" s="1"/>
    </row>
    <row r="982" ht="15.75" customHeight="1">
      <c r="A982" s="36"/>
      <c r="B982" s="36"/>
      <c r="C982" s="37"/>
      <c r="D982" s="37"/>
      <c r="E982" s="37"/>
      <c r="F982" s="37"/>
      <c r="G982" s="1"/>
    </row>
    <row r="983" ht="15.75" customHeight="1">
      <c r="A983" s="36"/>
      <c r="B983" s="36"/>
      <c r="C983" s="37"/>
      <c r="D983" s="37"/>
      <c r="E983" s="37"/>
      <c r="F983" s="37"/>
      <c r="G983" s="1"/>
    </row>
    <row r="984" ht="15.75" customHeight="1">
      <c r="A984" s="36"/>
      <c r="B984" s="36"/>
      <c r="C984" s="37"/>
      <c r="D984" s="37"/>
      <c r="E984" s="37"/>
      <c r="F984" s="37"/>
      <c r="G984" s="1"/>
    </row>
    <row r="985" ht="15.75" customHeight="1">
      <c r="A985" s="36"/>
      <c r="B985" s="36"/>
      <c r="C985" s="37"/>
      <c r="D985" s="37"/>
      <c r="E985" s="37"/>
      <c r="F985" s="37"/>
      <c r="G985" s="1"/>
    </row>
    <row r="986" ht="15.75" customHeight="1">
      <c r="A986" s="36"/>
      <c r="B986" s="36"/>
      <c r="C986" s="37"/>
      <c r="D986" s="37"/>
      <c r="E986" s="37"/>
      <c r="F986" s="37"/>
      <c r="G986" s="1"/>
    </row>
    <row r="987" ht="15.75" customHeight="1">
      <c r="A987" s="36"/>
      <c r="B987" s="36"/>
      <c r="C987" s="37"/>
      <c r="D987" s="37"/>
      <c r="E987" s="37"/>
      <c r="F987" s="37"/>
      <c r="G987" s="1"/>
    </row>
    <row r="988" ht="15.75" customHeight="1">
      <c r="A988" s="36"/>
      <c r="B988" s="36"/>
      <c r="C988" s="37"/>
      <c r="D988" s="37"/>
      <c r="E988" s="37"/>
      <c r="F988" s="37"/>
      <c r="G988" s="1"/>
    </row>
    <row r="989" ht="15.75" customHeight="1">
      <c r="A989" s="36"/>
      <c r="B989" s="36"/>
      <c r="C989" s="37"/>
      <c r="D989" s="37"/>
      <c r="E989" s="37"/>
      <c r="F989" s="37"/>
      <c r="G989" s="1"/>
    </row>
    <row r="990" ht="15.75" customHeight="1">
      <c r="A990" s="36"/>
      <c r="B990" s="36"/>
      <c r="C990" s="37"/>
      <c r="D990" s="37"/>
      <c r="E990" s="37"/>
      <c r="F990" s="37"/>
      <c r="G990" s="1"/>
    </row>
    <row r="991" ht="15.75" customHeight="1">
      <c r="A991" s="36"/>
      <c r="B991" s="36"/>
      <c r="C991" s="37"/>
      <c r="D991" s="37"/>
      <c r="E991" s="37"/>
      <c r="F991" s="37"/>
      <c r="G991" s="1"/>
    </row>
    <row r="992" ht="15.75" customHeight="1">
      <c r="A992" s="36"/>
      <c r="B992" s="36"/>
      <c r="C992" s="37"/>
      <c r="D992" s="37"/>
      <c r="E992" s="37"/>
      <c r="F992" s="37"/>
      <c r="G992" s="1"/>
    </row>
    <row r="993" ht="15.75" customHeight="1">
      <c r="A993" s="36"/>
      <c r="B993" s="36"/>
      <c r="C993" s="37"/>
      <c r="D993" s="37"/>
      <c r="E993" s="37"/>
      <c r="F993" s="37"/>
      <c r="G993" s="1"/>
    </row>
    <row r="994" ht="15.75" customHeight="1">
      <c r="A994" s="36"/>
      <c r="B994" s="36"/>
      <c r="C994" s="37"/>
      <c r="D994" s="37"/>
      <c r="E994" s="37"/>
      <c r="F994" s="37"/>
      <c r="G994" s="1"/>
    </row>
    <row r="995" ht="15.75" customHeight="1">
      <c r="A995" s="36"/>
      <c r="B995" s="36"/>
      <c r="C995" s="37"/>
      <c r="D995" s="37"/>
      <c r="E995" s="37"/>
      <c r="F995" s="37"/>
      <c r="G995" s="1"/>
    </row>
    <row r="996" ht="15.75" customHeight="1">
      <c r="A996" s="36"/>
      <c r="B996" s="36"/>
      <c r="C996" s="37"/>
      <c r="D996" s="37"/>
      <c r="E996" s="37"/>
      <c r="F996" s="37"/>
      <c r="G996" s="1"/>
    </row>
    <row r="997" ht="15.75" customHeight="1">
      <c r="A997" s="36"/>
      <c r="B997" s="36"/>
      <c r="C997" s="37"/>
      <c r="D997" s="37"/>
      <c r="E997" s="37"/>
      <c r="F997" s="37"/>
      <c r="G997" s="1"/>
    </row>
    <row r="998" ht="15.75" customHeight="1">
      <c r="A998" s="36"/>
      <c r="B998" s="36"/>
      <c r="C998" s="37"/>
      <c r="D998" s="37"/>
      <c r="E998" s="37"/>
      <c r="F998" s="37"/>
      <c r="G998" s="1"/>
    </row>
    <row r="999" ht="15.75" customHeight="1">
      <c r="A999" s="36"/>
      <c r="B999" s="36"/>
      <c r="C999" s="37"/>
      <c r="D999" s="37"/>
      <c r="E999" s="37"/>
      <c r="F999" s="37"/>
      <c r="G999" s="1"/>
    </row>
    <row r="1000" ht="15.75" customHeight="1">
      <c r="A1000" s="36"/>
      <c r="B1000" s="36"/>
      <c r="C1000" s="37"/>
      <c r="D1000" s="37"/>
      <c r="E1000" s="37"/>
      <c r="F1000" s="37"/>
      <c r="G1000" s="1"/>
    </row>
  </sheetData>
  <mergeCells count="6">
    <mergeCell ref="A2:G2"/>
    <mergeCell ref="A4:G4"/>
    <mergeCell ref="A5:G5"/>
    <mergeCell ref="A6:G6"/>
    <mergeCell ref="A7:G7"/>
    <mergeCell ref="A71:G71"/>
  </mergeCells>
  <hyperlinks>
    <hyperlink r:id="rId1" ref="D11"/>
    <hyperlink r:id="rId2" ref="D12"/>
    <hyperlink r:id="rId3" ref="D13"/>
    <hyperlink r:id="rId4" ref="D14"/>
    <hyperlink r:id="rId5" ref="D15"/>
    <hyperlink r:id="rId6" ref="D18"/>
    <hyperlink r:id="rId7" ref="D19"/>
    <hyperlink r:id="rId8" ref="D20"/>
    <hyperlink r:id="rId9" ref="D21"/>
    <hyperlink r:id="rId10" ref="D22"/>
    <hyperlink r:id="rId11" ref="D23"/>
    <hyperlink r:id="rId12" ref="D24"/>
    <hyperlink r:id="rId13" ref="D25"/>
    <hyperlink r:id="rId14" ref="D26"/>
    <hyperlink r:id="rId15" ref="D27"/>
    <hyperlink r:id="rId16" ref="D28"/>
    <hyperlink r:id="rId17" ref="D29"/>
    <hyperlink r:id="rId18" ref="D30"/>
    <hyperlink r:id="rId19" ref="D35"/>
    <hyperlink r:id="rId20" ref="D47"/>
    <hyperlink r:id="rId21" ref="D48"/>
    <hyperlink r:id="rId22" ref="D50"/>
    <hyperlink r:id="rId23" ref="D51"/>
    <hyperlink r:id="rId24" ref="D52"/>
    <hyperlink r:id="rId25" ref="D53"/>
    <hyperlink r:id="rId26" ref="D58"/>
    <hyperlink r:id="rId27" ref="D59"/>
    <hyperlink r:id="rId28" ref="D60"/>
    <hyperlink r:id="rId29" ref="D61"/>
    <hyperlink r:id="rId30" ref="D64"/>
  </hyperlinks>
  <printOptions/>
  <pageMargins bottom="0.75" footer="0.0" header="0.0" left="0.7" right="0.7" top="0.75"/>
  <pageSetup orientation="landscape"/>
  <drawing r:id="rId3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43"/>
    <col customWidth="1" min="3" max="3" width="23.0"/>
    <col customWidth="1" min="4" max="4" width="17.0"/>
    <col customWidth="1" min="5" max="5" width="16.0"/>
    <col customWidth="1" min="6" max="6" width="15.14"/>
    <col customWidth="1" min="7" max="7" width="9.0"/>
    <col customWidth="1" min="8" max="8" width="10.71"/>
    <col customWidth="1" min="9" max="9" width="10.0"/>
    <col customWidth="1" min="10" max="10" width="20.71"/>
    <col customWidth="1" min="11" max="26" width="8.0"/>
  </cols>
  <sheetData>
    <row r="1">
      <c r="A1" s="36"/>
      <c r="B1" s="36"/>
      <c r="C1" s="37"/>
      <c r="D1" s="37"/>
      <c r="E1" s="37"/>
      <c r="F1" s="37"/>
      <c r="G1" s="37"/>
      <c r="H1" s="1"/>
      <c r="I1" s="1"/>
    </row>
    <row r="2" ht="15.75" customHeight="1">
      <c r="A2" s="38" t="s">
        <v>2458</v>
      </c>
      <c r="B2" s="39"/>
      <c r="C2" s="39"/>
      <c r="D2" s="39"/>
      <c r="E2" s="39"/>
      <c r="F2" s="39"/>
      <c r="G2" s="39"/>
      <c r="H2" s="39"/>
      <c r="I2" s="40"/>
    </row>
    <row r="3" ht="15.75" customHeight="1">
      <c r="A3" s="186"/>
      <c r="B3" s="186"/>
      <c r="C3" s="186"/>
      <c r="D3" s="186"/>
      <c r="E3" s="186"/>
      <c r="F3" s="186"/>
      <c r="G3" s="186"/>
      <c r="H3" s="186"/>
      <c r="I3" s="186"/>
    </row>
    <row r="4">
      <c r="A4" s="106" t="s">
        <v>2459</v>
      </c>
      <c r="B4" s="39"/>
      <c r="C4" s="39"/>
      <c r="D4" s="39"/>
      <c r="E4" s="39"/>
      <c r="F4" s="39"/>
      <c r="G4" s="39"/>
      <c r="H4" s="39"/>
      <c r="I4" s="40"/>
    </row>
    <row r="5" ht="106.5" customHeight="1">
      <c r="A5" s="106" t="s">
        <v>2460</v>
      </c>
      <c r="B5" s="39"/>
      <c r="C5" s="39"/>
      <c r="D5" s="39"/>
      <c r="E5" s="39"/>
      <c r="F5" s="39"/>
      <c r="G5" s="39"/>
      <c r="H5" s="39"/>
      <c r="I5" s="40"/>
    </row>
    <row r="6" ht="93.75" customHeight="1">
      <c r="A6" s="106" t="s">
        <v>2461</v>
      </c>
      <c r="B6" s="39"/>
      <c r="C6" s="39"/>
      <c r="D6" s="39"/>
      <c r="E6" s="39"/>
      <c r="F6" s="39"/>
      <c r="G6" s="39"/>
      <c r="H6" s="39"/>
      <c r="I6" s="40"/>
    </row>
    <row r="7">
      <c r="A7" s="45"/>
      <c r="B7" s="45"/>
      <c r="C7" s="46"/>
      <c r="D7" s="46"/>
      <c r="E7" s="46"/>
      <c r="F7" s="46"/>
      <c r="G7" s="46"/>
      <c r="H7" s="46"/>
      <c r="I7" s="45"/>
    </row>
    <row r="8" ht="76.5" customHeight="1">
      <c r="A8" s="269" t="s">
        <v>8</v>
      </c>
      <c r="B8" s="109" t="s">
        <v>9</v>
      </c>
      <c r="C8" s="269" t="s">
        <v>2462</v>
      </c>
      <c r="D8" s="269" t="s">
        <v>2463</v>
      </c>
      <c r="E8" s="269" t="s">
        <v>2464</v>
      </c>
      <c r="F8" s="269" t="s">
        <v>2465</v>
      </c>
      <c r="G8" s="269" t="s">
        <v>2466</v>
      </c>
      <c r="H8" s="269" t="s">
        <v>116</v>
      </c>
      <c r="I8" s="269" t="s">
        <v>117</v>
      </c>
      <c r="J8" s="49" t="s">
        <v>118</v>
      </c>
    </row>
    <row r="9" ht="60.0" customHeight="1">
      <c r="A9" s="52" t="s">
        <v>278</v>
      </c>
      <c r="B9" s="52" t="s">
        <v>38</v>
      </c>
      <c r="C9" s="52" t="s">
        <v>2467</v>
      </c>
      <c r="D9" s="52" t="s">
        <v>2468</v>
      </c>
      <c r="E9" s="71" t="s">
        <v>2469</v>
      </c>
      <c r="F9" s="60" t="s">
        <v>2470</v>
      </c>
      <c r="G9" s="490" t="s">
        <v>2471</v>
      </c>
      <c r="H9" s="202">
        <v>50.0</v>
      </c>
      <c r="I9" s="512">
        <v>50.0</v>
      </c>
      <c r="J9" s="62" t="s">
        <v>278</v>
      </c>
    </row>
    <row r="10" ht="90.0" customHeight="1">
      <c r="A10" s="52" t="s">
        <v>128</v>
      </c>
      <c r="B10" s="52" t="s">
        <v>38</v>
      </c>
      <c r="C10" s="52" t="s">
        <v>2472</v>
      </c>
      <c r="D10" s="52" t="s">
        <v>2473</v>
      </c>
      <c r="E10" s="70" t="s">
        <v>2474</v>
      </c>
      <c r="F10" s="60" t="s">
        <v>2475</v>
      </c>
      <c r="G10" s="136" t="s">
        <v>2476</v>
      </c>
      <c r="H10" s="210">
        <v>50.0</v>
      </c>
      <c r="I10" s="209">
        <v>50.0</v>
      </c>
      <c r="J10" s="62" t="s">
        <v>128</v>
      </c>
    </row>
    <row r="11" ht="57.0" customHeight="1">
      <c r="A11" s="352" t="s">
        <v>66</v>
      </c>
      <c r="B11" s="386" t="s">
        <v>284</v>
      </c>
      <c r="C11" s="352" t="s">
        <v>2477</v>
      </c>
      <c r="D11" s="352" t="s">
        <v>2478</v>
      </c>
      <c r="E11" s="513" t="s">
        <v>2469</v>
      </c>
      <c r="F11" s="356" t="s">
        <v>2470</v>
      </c>
      <c r="G11" s="356" t="s">
        <v>2471</v>
      </c>
      <c r="H11" s="514">
        <v>50.0</v>
      </c>
      <c r="I11" s="515">
        <v>50.0</v>
      </c>
      <c r="J11" s="62" t="s">
        <v>366</v>
      </c>
    </row>
    <row r="12" ht="38.25" customHeight="1">
      <c r="A12" s="52" t="s">
        <v>2479</v>
      </c>
      <c r="B12" s="121" t="s">
        <v>284</v>
      </c>
      <c r="C12" s="52" t="s">
        <v>2477</v>
      </c>
      <c r="D12" s="52" t="s">
        <v>2478</v>
      </c>
      <c r="E12" s="516" t="s">
        <v>2469</v>
      </c>
      <c r="F12" s="60" t="s">
        <v>2480</v>
      </c>
      <c r="G12" s="60" t="s">
        <v>2471</v>
      </c>
      <c r="H12" s="202">
        <v>50.0</v>
      </c>
      <c r="I12" s="512">
        <v>50.0</v>
      </c>
      <c r="J12" s="62" t="s">
        <v>376</v>
      </c>
    </row>
    <row r="13" ht="38.25" customHeight="1">
      <c r="A13" s="52" t="s">
        <v>425</v>
      </c>
      <c r="B13" s="52" t="s">
        <v>38</v>
      </c>
      <c r="C13" s="52" t="s">
        <v>2481</v>
      </c>
      <c r="D13" s="52" t="s">
        <v>2482</v>
      </c>
      <c r="E13" s="54" t="s">
        <v>2469</v>
      </c>
      <c r="F13" s="60" t="s">
        <v>2483</v>
      </c>
      <c r="G13" s="60" t="s">
        <v>2484</v>
      </c>
      <c r="H13" s="202">
        <v>50.0</v>
      </c>
      <c r="I13" s="512">
        <v>10.0</v>
      </c>
      <c r="J13" s="62" t="s">
        <v>425</v>
      </c>
    </row>
    <row r="14">
      <c r="A14" s="52"/>
      <c r="B14" s="52"/>
      <c r="C14" s="52"/>
      <c r="D14" s="52"/>
      <c r="E14" s="54"/>
      <c r="F14" s="60"/>
      <c r="G14" s="60"/>
      <c r="H14" s="202"/>
      <c r="I14" s="512"/>
      <c r="J14" s="62"/>
    </row>
    <row r="15">
      <c r="A15" s="52"/>
      <c r="B15" s="52"/>
      <c r="C15" s="517"/>
      <c r="D15" s="52"/>
      <c r="E15" s="331"/>
      <c r="F15" s="60"/>
      <c r="G15" s="60"/>
      <c r="H15" s="210"/>
      <c r="I15" s="512"/>
      <c r="J15" s="62"/>
    </row>
    <row r="16">
      <c r="A16" s="52"/>
      <c r="B16" s="52"/>
      <c r="C16" s="52"/>
      <c r="D16" s="52"/>
      <c r="E16" s="54"/>
      <c r="F16" s="60"/>
      <c r="G16" s="60"/>
      <c r="H16" s="202"/>
      <c r="I16" s="518"/>
      <c r="J16" s="62"/>
    </row>
    <row r="17">
      <c r="A17" s="52"/>
      <c r="B17" s="52"/>
      <c r="C17" s="52"/>
      <c r="D17" s="52"/>
      <c r="E17" s="54"/>
      <c r="F17" s="60"/>
      <c r="G17" s="60"/>
      <c r="H17" s="202"/>
      <c r="I17" s="518"/>
      <c r="J17" s="62"/>
    </row>
    <row r="18">
      <c r="A18" s="52"/>
      <c r="B18" s="52"/>
      <c r="C18" s="52"/>
      <c r="D18" s="52"/>
      <c r="E18" s="54"/>
      <c r="F18" s="60"/>
      <c r="G18" s="60"/>
      <c r="H18" s="202"/>
      <c r="I18" s="518"/>
      <c r="J18" s="62"/>
    </row>
    <row r="19">
      <c r="A19" s="52"/>
      <c r="B19" s="52"/>
      <c r="C19" s="52"/>
      <c r="D19" s="52"/>
      <c r="E19" s="54"/>
      <c r="F19" s="60"/>
      <c r="G19" s="60"/>
      <c r="H19" s="202"/>
      <c r="I19" s="518"/>
      <c r="J19" s="62"/>
    </row>
    <row r="20">
      <c r="A20" s="52"/>
      <c r="B20" s="52"/>
      <c r="C20" s="52"/>
      <c r="D20" s="52"/>
      <c r="E20" s="54"/>
      <c r="F20" s="60"/>
      <c r="G20" s="60"/>
      <c r="H20" s="202"/>
      <c r="I20" s="518"/>
      <c r="J20" s="62"/>
    </row>
    <row r="21" ht="15.75" customHeight="1">
      <c r="A21" s="52"/>
      <c r="B21" s="52"/>
      <c r="C21" s="52"/>
      <c r="D21" s="52"/>
      <c r="E21" s="54"/>
      <c r="F21" s="60"/>
      <c r="G21" s="60"/>
      <c r="H21" s="202"/>
      <c r="I21" s="518"/>
      <c r="J21" s="62"/>
    </row>
    <row r="22" ht="15.75" customHeight="1">
      <c r="A22" s="52"/>
      <c r="B22" s="52"/>
      <c r="C22" s="52"/>
      <c r="D22" s="52"/>
      <c r="E22" s="54"/>
      <c r="F22" s="60"/>
      <c r="G22" s="60"/>
      <c r="H22" s="202"/>
      <c r="I22" s="518"/>
      <c r="J22" s="62"/>
    </row>
    <row r="23" ht="15.75" customHeight="1">
      <c r="A23" s="52"/>
      <c r="B23" s="52"/>
      <c r="C23" s="52"/>
      <c r="D23" s="52"/>
      <c r="E23" s="54"/>
      <c r="F23" s="60"/>
      <c r="G23" s="60"/>
      <c r="H23" s="202"/>
      <c r="I23" s="518"/>
      <c r="J23" s="62"/>
    </row>
    <row r="24" ht="15.75" customHeight="1">
      <c r="A24" s="52"/>
      <c r="B24" s="52"/>
      <c r="C24" s="52"/>
      <c r="D24" s="52"/>
      <c r="E24" s="54"/>
      <c r="F24" s="60"/>
      <c r="G24" s="60"/>
      <c r="H24" s="202"/>
      <c r="I24" s="518"/>
      <c r="J24" s="62"/>
    </row>
    <row r="25" ht="15.75" customHeight="1">
      <c r="A25" s="52"/>
      <c r="B25" s="52"/>
      <c r="C25" s="52"/>
      <c r="D25" s="52"/>
      <c r="E25" s="54"/>
      <c r="F25" s="60"/>
      <c r="G25" s="60"/>
      <c r="H25" s="202"/>
      <c r="I25" s="518"/>
      <c r="J25" s="62"/>
    </row>
    <row r="26" ht="15.75" customHeight="1">
      <c r="A26" s="52"/>
      <c r="B26" s="52"/>
      <c r="C26" s="52"/>
      <c r="D26" s="52"/>
      <c r="E26" s="54"/>
      <c r="F26" s="60"/>
      <c r="G26" s="60"/>
      <c r="H26" s="202"/>
      <c r="I26" s="518"/>
      <c r="J26" s="62"/>
    </row>
    <row r="27" ht="15.75" customHeight="1">
      <c r="A27" s="52"/>
      <c r="B27" s="52"/>
      <c r="C27" s="52"/>
      <c r="D27" s="52"/>
      <c r="E27" s="54"/>
      <c r="F27" s="60"/>
      <c r="G27" s="60"/>
      <c r="H27" s="202"/>
      <c r="I27" s="518"/>
      <c r="J27" s="62"/>
    </row>
    <row r="28" ht="15.75" customHeight="1">
      <c r="A28" s="52"/>
      <c r="B28" s="52"/>
      <c r="C28" s="52"/>
      <c r="D28" s="52"/>
      <c r="E28" s="54"/>
      <c r="F28" s="60"/>
      <c r="G28" s="60"/>
      <c r="H28" s="202"/>
      <c r="I28" s="518"/>
      <c r="J28" s="62"/>
    </row>
    <row r="29" ht="15.75" customHeight="1">
      <c r="A29" s="52"/>
      <c r="B29" s="52"/>
      <c r="C29" s="52"/>
      <c r="D29" s="52"/>
      <c r="E29" s="54"/>
      <c r="F29" s="60"/>
      <c r="G29" s="60"/>
      <c r="H29" s="202"/>
      <c r="I29" s="518"/>
      <c r="J29" s="62"/>
    </row>
    <row r="30" ht="15.75" customHeight="1">
      <c r="A30" s="52"/>
      <c r="B30" s="52"/>
      <c r="C30" s="52"/>
      <c r="D30" s="52"/>
      <c r="E30" s="54"/>
      <c r="F30" s="60"/>
      <c r="G30" s="60"/>
      <c r="H30" s="202"/>
      <c r="I30" s="518"/>
      <c r="J30" s="62"/>
    </row>
    <row r="31" ht="15.75" customHeight="1">
      <c r="A31" s="52"/>
      <c r="B31" s="52"/>
      <c r="C31" s="52"/>
      <c r="D31" s="52"/>
      <c r="E31" s="54"/>
      <c r="F31" s="60"/>
      <c r="G31" s="60"/>
      <c r="H31" s="202"/>
      <c r="I31" s="518"/>
      <c r="J31" s="62"/>
    </row>
    <row r="32" ht="15.75" customHeight="1">
      <c r="A32" s="52"/>
      <c r="B32" s="52"/>
      <c r="C32" s="52"/>
      <c r="D32" s="52"/>
      <c r="E32" s="54"/>
      <c r="F32" s="60"/>
      <c r="G32" s="60"/>
      <c r="H32" s="202"/>
      <c r="I32" s="518"/>
      <c r="J32" s="62"/>
    </row>
    <row r="33" ht="15.75" customHeight="1">
      <c r="A33" s="52"/>
      <c r="B33" s="52"/>
      <c r="C33" s="52"/>
      <c r="D33" s="52"/>
      <c r="E33" s="54"/>
      <c r="F33" s="60"/>
      <c r="G33" s="60"/>
      <c r="H33" s="202"/>
      <c r="I33" s="518"/>
      <c r="J33" s="62"/>
    </row>
    <row r="34" ht="15.75" customHeight="1">
      <c r="A34" s="52"/>
      <c r="B34" s="52"/>
      <c r="C34" s="52"/>
      <c r="D34" s="52"/>
      <c r="E34" s="54"/>
      <c r="F34" s="60"/>
      <c r="G34" s="60"/>
      <c r="H34" s="202"/>
      <c r="I34" s="518"/>
      <c r="J34" s="62"/>
    </row>
    <row r="35" ht="15.75" customHeight="1">
      <c r="A35" s="52"/>
      <c r="B35" s="52"/>
      <c r="C35" s="52"/>
      <c r="D35" s="52"/>
      <c r="E35" s="54"/>
      <c r="F35" s="60"/>
      <c r="G35" s="60"/>
      <c r="H35" s="202"/>
      <c r="I35" s="518"/>
      <c r="J35" s="62"/>
    </row>
    <row r="36" ht="15.75" customHeight="1">
      <c r="A36" s="52"/>
      <c r="B36" s="52"/>
      <c r="C36" s="52"/>
      <c r="D36" s="52"/>
      <c r="E36" s="54"/>
      <c r="F36" s="60"/>
      <c r="G36" s="60"/>
      <c r="H36" s="202"/>
      <c r="I36" s="518"/>
      <c r="J36" s="62"/>
    </row>
    <row r="37" ht="15.75" customHeight="1">
      <c r="A37" s="52"/>
      <c r="B37" s="52"/>
      <c r="C37" s="52"/>
      <c r="D37" s="52"/>
      <c r="E37" s="54"/>
      <c r="F37" s="60"/>
      <c r="G37" s="60"/>
      <c r="H37" s="202"/>
      <c r="I37" s="518"/>
      <c r="J37" s="62"/>
    </row>
    <row r="38" ht="15.75" customHeight="1">
      <c r="A38" s="52"/>
      <c r="B38" s="52"/>
      <c r="C38" s="52"/>
      <c r="D38" s="52"/>
      <c r="E38" s="54"/>
      <c r="F38" s="60"/>
      <c r="G38" s="60"/>
      <c r="H38" s="202"/>
      <c r="I38" s="518"/>
      <c r="J38" s="62"/>
    </row>
    <row r="39" ht="15.75" customHeight="1">
      <c r="A39" s="52"/>
      <c r="B39" s="52"/>
      <c r="C39" s="52"/>
      <c r="D39" s="52"/>
      <c r="E39" s="54"/>
      <c r="F39" s="60"/>
      <c r="G39" s="60"/>
      <c r="H39" s="202"/>
      <c r="I39" s="518"/>
      <c r="J39" s="62"/>
    </row>
    <row r="40" ht="15.75" customHeight="1">
      <c r="A40" s="52"/>
      <c r="B40" s="52"/>
      <c r="C40" s="52"/>
      <c r="D40" s="52"/>
      <c r="E40" s="54"/>
      <c r="F40" s="60"/>
      <c r="G40" s="60"/>
      <c r="H40" s="202"/>
      <c r="I40" s="518"/>
      <c r="J40" s="62"/>
    </row>
    <row r="41" ht="15.75" customHeight="1">
      <c r="A41" s="52"/>
      <c r="B41" s="52"/>
      <c r="C41" s="52"/>
      <c r="D41" s="52"/>
      <c r="E41" s="54"/>
      <c r="F41" s="60"/>
      <c r="G41" s="60"/>
      <c r="H41" s="202"/>
      <c r="I41" s="518"/>
      <c r="J41" s="62"/>
    </row>
    <row r="42" ht="15.75" customHeight="1">
      <c r="A42" s="52"/>
      <c r="B42" s="52"/>
      <c r="C42" s="52"/>
      <c r="D42" s="52"/>
      <c r="E42" s="54"/>
      <c r="F42" s="60"/>
      <c r="G42" s="60"/>
      <c r="H42" s="202"/>
      <c r="I42" s="518"/>
      <c r="J42" s="62"/>
    </row>
    <row r="43" ht="15.75" customHeight="1">
      <c r="A43" s="52"/>
      <c r="B43" s="52"/>
      <c r="C43" s="52"/>
      <c r="D43" s="52"/>
      <c r="E43" s="54"/>
      <c r="F43" s="60"/>
      <c r="G43" s="60"/>
      <c r="H43" s="202"/>
      <c r="I43" s="518"/>
      <c r="J43" s="62"/>
    </row>
    <row r="44" ht="15.75" customHeight="1">
      <c r="A44" s="52"/>
      <c r="B44" s="52"/>
      <c r="C44" s="52"/>
      <c r="D44" s="52"/>
      <c r="E44" s="54"/>
      <c r="F44" s="60"/>
      <c r="G44" s="60"/>
      <c r="H44" s="202"/>
      <c r="I44" s="518"/>
      <c r="J44" s="62"/>
    </row>
    <row r="45" ht="15.75" customHeight="1">
      <c r="A45" s="52"/>
      <c r="B45" s="52"/>
      <c r="C45" s="52"/>
      <c r="D45" s="52"/>
      <c r="E45" s="54"/>
      <c r="F45" s="60"/>
      <c r="G45" s="60"/>
      <c r="H45" s="202"/>
      <c r="I45" s="518"/>
      <c r="J45" s="62"/>
    </row>
    <row r="46" ht="15.75" customHeight="1">
      <c r="A46" s="52"/>
      <c r="B46" s="52"/>
      <c r="C46" s="52"/>
      <c r="D46" s="52"/>
      <c r="E46" s="54"/>
      <c r="F46" s="60"/>
      <c r="G46" s="60"/>
      <c r="H46" s="202"/>
      <c r="I46" s="518"/>
      <c r="J46" s="62"/>
    </row>
    <row r="47" ht="15.75" customHeight="1">
      <c r="A47" s="52"/>
      <c r="B47" s="52"/>
      <c r="C47" s="52"/>
      <c r="D47" s="52"/>
      <c r="E47" s="54"/>
      <c r="F47" s="60"/>
      <c r="G47" s="60"/>
      <c r="H47" s="202"/>
      <c r="I47" s="518"/>
      <c r="J47" s="62"/>
    </row>
    <row r="48" ht="15.75" customHeight="1">
      <c r="A48" s="52"/>
      <c r="B48" s="52"/>
      <c r="C48" s="52"/>
      <c r="D48" s="52"/>
      <c r="E48" s="54"/>
      <c r="F48" s="60"/>
      <c r="G48" s="60"/>
      <c r="H48" s="202"/>
      <c r="I48" s="518"/>
      <c r="J48" s="62"/>
    </row>
    <row r="49" ht="15.75" customHeight="1">
      <c r="A49" s="52"/>
      <c r="B49" s="52"/>
      <c r="C49" s="52"/>
      <c r="D49" s="52"/>
      <c r="E49" s="54"/>
      <c r="F49" s="60"/>
      <c r="G49" s="60"/>
      <c r="H49" s="202"/>
      <c r="I49" s="518"/>
      <c r="J49" s="62"/>
    </row>
    <row r="50" ht="15.75" customHeight="1">
      <c r="A50" s="52"/>
      <c r="B50" s="52"/>
      <c r="C50" s="52"/>
      <c r="D50" s="52"/>
      <c r="E50" s="54"/>
      <c r="F50" s="60"/>
      <c r="G50" s="60"/>
      <c r="H50" s="202"/>
      <c r="I50" s="518"/>
      <c r="J50" s="62"/>
    </row>
    <row r="51" ht="15.75" customHeight="1">
      <c r="A51" s="52"/>
      <c r="B51" s="52"/>
      <c r="C51" s="52"/>
      <c r="D51" s="52"/>
      <c r="E51" s="54"/>
      <c r="F51" s="60"/>
      <c r="G51" s="60"/>
      <c r="H51" s="202"/>
      <c r="I51" s="518"/>
      <c r="J51" s="62"/>
    </row>
    <row r="52" ht="15.75" customHeight="1">
      <c r="A52" s="52"/>
      <c r="B52" s="52"/>
      <c r="C52" s="52"/>
      <c r="D52" s="52"/>
      <c r="E52" s="54"/>
      <c r="F52" s="60"/>
      <c r="G52" s="60"/>
      <c r="H52" s="202"/>
      <c r="I52" s="518"/>
      <c r="J52" s="62"/>
    </row>
    <row r="53" ht="15.75" customHeight="1">
      <c r="A53" s="52"/>
      <c r="B53" s="52"/>
      <c r="C53" s="52"/>
      <c r="D53" s="52"/>
      <c r="E53" s="54"/>
      <c r="F53" s="60"/>
      <c r="G53" s="60"/>
      <c r="H53" s="202"/>
      <c r="I53" s="518"/>
      <c r="J53" s="62"/>
    </row>
    <row r="54" ht="15.75" customHeight="1">
      <c r="A54" s="52"/>
      <c r="B54" s="52"/>
      <c r="C54" s="52"/>
      <c r="D54" s="52"/>
      <c r="E54" s="54"/>
      <c r="F54" s="60"/>
      <c r="G54" s="60"/>
      <c r="H54" s="202"/>
      <c r="I54" s="518"/>
      <c r="J54" s="62"/>
    </row>
    <row r="55" ht="15.75" customHeight="1">
      <c r="A55" s="52"/>
      <c r="B55" s="60"/>
      <c r="C55" s="199"/>
      <c r="D55" s="199"/>
      <c r="E55" s="331"/>
      <c r="F55" s="60"/>
      <c r="G55" s="60"/>
      <c r="H55" s="210"/>
      <c r="I55" s="209"/>
      <c r="J55" s="62"/>
    </row>
    <row r="56" ht="15.75" customHeight="1">
      <c r="A56" s="52"/>
      <c r="B56" s="60"/>
      <c r="C56" s="199"/>
      <c r="D56" s="199"/>
      <c r="E56" s="331"/>
      <c r="F56" s="60"/>
      <c r="G56" s="60"/>
      <c r="H56" s="210"/>
      <c r="I56" s="209"/>
      <c r="J56" s="62"/>
    </row>
    <row r="57" ht="15.75" customHeight="1">
      <c r="A57" s="52"/>
      <c r="B57" s="60"/>
      <c r="C57" s="199"/>
      <c r="D57" s="199"/>
      <c r="E57" s="60"/>
      <c r="F57" s="60"/>
      <c r="G57" s="60"/>
      <c r="H57" s="210"/>
      <c r="I57" s="209"/>
      <c r="J57" s="62"/>
    </row>
    <row r="58" ht="15.75" customHeight="1">
      <c r="A58" s="52"/>
      <c r="B58" s="60"/>
      <c r="C58" s="199"/>
      <c r="D58" s="199"/>
      <c r="E58" s="60"/>
      <c r="F58" s="60"/>
      <c r="G58" s="60"/>
      <c r="H58" s="210"/>
      <c r="I58" s="209"/>
      <c r="J58" s="62"/>
    </row>
    <row r="59" ht="15.75" customHeight="1">
      <c r="A59" s="88" t="s">
        <v>88</v>
      </c>
      <c r="B59" s="88"/>
      <c r="C59" s="37"/>
      <c r="D59" s="37"/>
      <c r="E59" s="37"/>
      <c r="F59" s="37"/>
      <c r="G59" s="37"/>
      <c r="H59" s="41"/>
      <c r="I59" s="472">
        <f>SUM(I9:I58)</f>
        <v>210</v>
      </c>
    </row>
    <row r="60" ht="15.75" customHeight="1">
      <c r="A60" s="36"/>
      <c r="B60" s="36"/>
      <c r="C60" s="37"/>
      <c r="D60" s="37"/>
      <c r="E60" s="37"/>
      <c r="F60" s="37"/>
      <c r="G60" s="37"/>
      <c r="H60" s="1"/>
      <c r="I60" s="1"/>
    </row>
    <row r="61" ht="15.75" customHeight="1">
      <c r="A61" s="36"/>
      <c r="B61" s="37"/>
      <c r="C61" s="37"/>
      <c r="D61" s="37"/>
      <c r="E61" s="37"/>
      <c r="F61" s="37"/>
      <c r="G61" s="1"/>
    </row>
    <row r="62" ht="15.75" customHeight="1">
      <c r="A62" s="473" t="s">
        <v>178</v>
      </c>
      <c r="B62" s="91"/>
      <c r="C62" s="91"/>
      <c r="D62" s="91"/>
      <c r="E62" s="91"/>
      <c r="F62" s="91"/>
      <c r="G62" s="91"/>
      <c r="H62" s="91"/>
      <c r="I62" s="92"/>
    </row>
    <row r="63" ht="15.75" customHeight="1">
      <c r="A63" s="36"/>
      <c r="B63" s="36"/>
      <c r="C63" s="37"/>
      <c r="D63" s="37"/>
      <c r="E63" s="37"/>
      <c r="F63" s="37"/>
      <c r="G63" s="37"/>
      <c r="H63" s="1"/>
      <c r="I63" s="1"/>
    </row>
    <row r="64" ht="15.75" customHeight="1">
      <c r="A64" s="36"/>
      <c r="B64" s="36"/>
      <c r="C64" s="37"/>
      <c r="D64" s="37"/>
      <c r="E64" s="37"/>
      <c r="F64" s="37"/>
      <c r="G64" s="37"/>
      <c r="H64" s="1"/>
      <c r="I64" s="1"/>
    </row>
    <row r="65" ht="15.75" customHeight="1">
      <c r="A65" s="36"/>
      <c r="B65" s="36"/>
      <c r="C65" s="37"/>
      <c r="D65" s="37"/>
      <c r="E65" s="37"/>
      <c r="F65" s="37"/>
      <c r="G65" s="37"/>
      <c r="H65" s="1"/>
      <c r="I65" s="1"/>
    </row>
    <row r="66" ht="15.75" customHeight="1">
      <c r="A66" s="36"/>
      <c r="B66" s="36"/>
      <c r="C66" s="37"/>
      <c r="D66" s="37"/>
      <c r="E66" s="37"/>
      <c r="F66" s="37"/>
      <c r="G66" s="37"/>
      <c r="H66" s="1"/>
      <c r="I66" s="1"/>
    </row>
    <row r="67" ht="15.75" customHeight="1">
      <c r="A67" s="36"/>
      <c r="B67" s="36"/>
      <c r="C67" s="37"/>
      <c r="D67" s="37"/>
      <c r="E67" s="37"/>
      <c r="F67" s="37"/>
      <c r="G67" s="37"/>
      <c r="H67" s="1"/>
      <c r="I67" s="1"/>
    </row>
    <row r="68" ht="15.75" customHeight="1">
      <c r="A68" s="36"/>
      <c r="B68" s="36"/>
      <c r="C68" s="37"/>
      <c r="D68" s="37"/>
      <c r="E68" s="37"/>
      <c r="F68" s="37"/>
      <c r="G68" s="37"/>
      <c r="H68" s="1"/>
      <c r="I68" s="1"/>
    </row>
    <row r="69" ht="15.75" customHeight="1">
      <c r="A69" s="36"/>
      <c r="B69" s="36"/>
      <c r="C69" s="37"/>
      <c r="D69" s="37"/>
      <c r="E69" s="37"/>
      <c r="F69" s="37"/>
      <c r="G69" s="37"/>
      <c r="H69" s="1"/>
      <c r="I69" s="1"/>
    </row>
    <row r="70" ht="15.75" customHeight="1">
      <c r="A70" s="36"/>
      <c r="B70" s="36"/>
      <c r="C70" s="37"/>
      <c r="D70" s="37"/>
      <c r="E70" s="37"/>
      <c r="F70" s="37"/>
      <c r="G70" s="37"/>
      <c r="H70" s="1"/>
      <c r="I70" s="1"/>
    </row>
    <row r="71" ht="15.75" customHeight="1">
      <c r="A71" s="36"/>
      <c r="B71" s="36"/>
      <c r="C71" s="37"/>
      <c r="D71" s="37"/>
      <c r="E71" s="37"/>
      <c r="F71" s="37"/>
      <c r="G71" s="37"/>
      <c r="H71" s="1"/>
      <c r="I71" s="1"/>
    </row>
    <row r="72" ht="15.75" customHeight="1">
      <c r="A72" s="36"/>
      <c r="B72" s="36"/>
      <c r="C72" s="37"/>
      <c r="D72" s="37"/>
      <c r="E72" s="37"/>
      <c r="F72" s="37"/>
      <c r="G72" s="37"/>
      <c r="H72" s="1"/>
      <c r="I72" s="1"/>
    </row>
    <row r="73" ht="15.75" customHeight="1">
      <c r="A73" s="36"/>
      <c r="B73" s="36"/>
      <c r="C73" s="37"/>
      <c r="D73" s="37"/>
      <c r="E73" s="37"/>
      <c r="F73" s="37"/>
      <c r="G73" s="37"/>
      <c r="H73" s="1"/>
      <c r="I73" s="1"/>
    </row>
    <row r="74" ht="15.75" customHeight="1">
      <c r="A74" s="36"/>
      <c r="B74" s="36"/>
      <c r="C74" s="37"/>
      <c r="D74" s="37"/>
      <c r="E74" s="37"/>
      <c r="F74" s="37"/>
      <c r="G74" s="37"/>
      <c r="H74" s="1"/>
      <c r="I74" s="1"/>
    </row>
    <row r="75" ht="15.75" customHeight="1">
      <c r="A75" s="36"/>
      <c r="B75" s="36"/>
      <c r="C75" s="37"/>
      <c r="D75" s="37"/>
      <c r="E75" s="37"/>
      <c r="F75" s="37"/>
      <c r="G75" s="37"/>
      <c r="H75" s="1"/>
      <c r="I75" s="1"/>
    </row>
    <row r="76" ht="15.75" customHeight="1">
      <c r="A76" s="36"/>
      <c r="B76" s="36"/>
      <c r="C76" s="37"/>
      <c r="D76" s="37"/>
      <c r="E76" s="37"/>
      <c r="F76" s="37"/>
      <c r="G76" s="37"/>
      <c r="H76" s="1"/>
      <c r="I76" s="1"/>
    </row>
    <row r="77" ht="15.75" customHeight="1">
      <c r="A77" s="36"/>
      <c r="B77" s="36"/>
      <c r="C77" s="37"/>
      <c r="D77" s="37"/>
      <c r="E77" s="37"/>
      <c r="F77" s="37"/>
      <c r="G77" s="37"/>
      <c r="H77" s="1"/>
      <c r="I77" s="1"/>
    </row>
    <row r="78" ht="15.75" customHeight="1">
      <c r="A78" s="36"/>
      <c r="B78" s="36"/>
      <c r="C78" s="37"/>
      <c r="D78" s="37"/>
      <c r="E78" s="37"/>
      <c r="F78" s="37"/>
      <c r="G78" s="37"/>
      <c r="H78" s="1"/>
      <c r="I78" s="1"/>
    </row>
    <row r="79" ht="15.75" customHeight="1">
      <c r="A79" s="36"/>
      <c r="B79" s="36"/>
      <c r="C79" s="37"/>
      <c r="D79" s="37"/>
      <c r="E79" s="37"/>
      <c r="F79" s="37"/>
      <c r="G79" s="37"/>
      <c r="H79" s="1"/>
      <c r="I79" s="1"/>
    </row>
    <row r="80" ht="15.75" customHeight="1">
      <c r="A80" s="36"/>
      <c r="B80" s="36"/>
      <c r="C80" s="37"/>
      <c r="D80" s="37"/>
      <c r="E80" s="37"/>
      <c r="F80" s="37"/>
      <c r="G80" s="37"/>
      <c r="H80" s="1"/>
      <c r="I80" s="1"/>
    </row>
    <row r="81" ht="15.75" customHeight="1">
      <c r="A81" s="36"/>
      <c r="B81" s="36"/>
      <c r="C81" s="37"/>
      <c r="D81" s="37"/>
      <c r="E81" s="37"/>
      <c r="F81" s="37"/>
      <c r="G81" s="37"/>
      <c r="H81" s="1"/>
      <c r="I81" s="1"/>
    </row>
    <row r="82" ht="15.75" customHeight="1">
      <c r="A82" s="36"/>
      <c r="B82" s="36"/>
      <c r="C82" s="37"/>
      <c r="D82" s="37"/>
      <c r="E82" s="37"/>
      <c r="F82" s="37"/>
      <c r="G82" s="37"/>
      <c r="H82" s="1"/>
      <c r="I82" s="1"/>
    </row>
    <row r="83" ht="15.75" customHeight="1">
      <c r="A83" s="36"/>
      <c r="B83" s="36"/>
      <c r="C83" s="37"/>
      <c r="D83" s="37"/>
      <c r="E83" s="37"/>
      <c r="F83" s="37"/>
      <c r="G83" s="37"/>
      <c r="H83" s="1"/>
      <c r="I83" s="1"/>
    </row>
    <row r="84" ht="15.75" customHeight="1">
      <c r="A84" s="36"/>
      <c r="B84" s="36"/>
      <c r="C84" s="37"/>
      <c r="D84" s="37"/>
      <c r="E84" s="37"/>
      <c r="F84" s="37"/>
      <c r="G84" s="37"/>
      <c r="H84" s="1"/>
      <c r="I84" s="1"/>
    </row>
    <row r="85" ht="15.75" customHeight="1">
      <c r="A85" s="36"/>
      <c r="B85" s="36"/>
      <c r="C85" s="37"/>
      <c r="D85" s="37"/>
      <c r="E85" s="37"/>
      <c r="F85" s="37"/>
      <c r="G85" s="37"/>
      <c r="H85" s="1"/>
      <c r="I85" s="1"/>
    </row>
    <row r="86" ht="15.75" customHeight="1">
      <c r="A86" s="36"/>
      <c r="B86" s="36"/>
      <c r="C86" s="37"/>
      <c r="D86" s="37"/>
      <c r="E86" s="37"/>
      <c r="F86" s="37"/>
      <c r="G86" s="37"/>
      <c r="H86" s="1"/>
      <c r="I86" s="1"/>
    </row>
    <row r="87" ht="15.75" customHeight="1">
      <c r="A87" s="36"/>
      <c r="B87" s="36"/>
      <c r="C87" s="37"/>
      <c r="D87" s="37"/>
      <c r="E87" s="37"/>
      <c r="F87" s="37"/>
      <c r="G87" s="37"/>
      <c r="H87" s="1"/>
      <c r="I87" s="1"/>
    </row>
    <row r="88" ht="15.75" customHeight="1">
      <c r="A88" s="36"/>
      <c r="B88" s="36"/>
      <c r="C88" s="37"/>
      <c r="D88" s="37"/>
      <c r="E88" s="37"/>
      <c r="F88" s="37"/>
      <c r="G88" s="37"/>
      <c r="H88" s="1"/>
      <c r="I88" s="1"/>
    </row>
    <row r="89" ht="15.75" customHeight="1">
      <c r="A89" s="36"/>
      <c r="B89" s="36"/>
      <c r="C89" s="37"/>
      <c r="D89" s="37"/>
      <c r="E89" s="37"/>
      <c r="F89" s="37"/>
      <c r="G89" s="37"/>
      <c r="H89" s="1"/>
      <c r="I89" s="1"/>
    </row>
    <row r="90" ht="15.75" customHeight="1">
      <c r="A90" s="36"/>
      <c r="B90" s="36"/>
      <c r="C90" s="37"/>
      <c r="D90" s="37"/>
      <c r="E90" s="37"/>
      <c r="F90" s="37"/>
      <c r="G90" s="37"/>
      <c r="H90" s="1"/>
      <c r="I90" s="1"/>
    </row>
    <row r="91" ht="15.75" customHeight="1">
      <c r="A91" s="36"/>
      <c r="B91" s="36"/>
      <c r="C91" s="37"/>
      <c r="D91" s="37"/>
      <c r="E91" s="37"/>
      <c r="F91" s="37"/>
      <c r="G91" s="37"/>
      <c r="H91" s="1"/>
      <c r="I91" s="1"/>
    </row>
    <row r="92" ht="15.75" customHeight="1">
      <c r="A92" s="36"/>
      <c r="B92" s="36"/>
      <c r="C92" s="37"/>
      <c r="D92" s="37"/>
      <c r="E92" s="37"/>
      <c r="F92" s="37"/>
      <c r="G92" s="37"/>
      <c r="H92" s="1"/>
      <c r="I92" s="1"/>
    </row>
    <row r="93" ht="15.75" customHeight="1">
      <c r="A93" s="36"/>
      <c r="B93" s="36"/>
      <c r="C93" s="37"/>
      <c r="D93" s="37"/>
      <c r="E93" s="37"/>
      <c r="F93" s="37"/>
      <c r="G93" s="37"/>
      <c r="H93" s="1"/>
      <c r="I93" s="1"/>
    </row>
    <row r="94" ht="15.75" customHeight="1">
      <c r="A94" s="36"/>
      <c r="B94" s="36"/>
      <c r="C94" s="37"/>
      <c r="D94" s="37"/>
      <c r="E94" s="37"/>
      <c r="F94" s="37"/>
      <c r="G94" s="37"/>
      <c r="H94" s="1"/>
      <c r="I94" s="1"/>
    </row>
    <row r="95" ht="15.75" customHeight="1">
      <c r="A95" s="36"/>
      <c r="B95" s="36"/>
      <c r="C95" s="37"/>
      <c r="D95" s="37"/>
      <c r="E95" s="37"/>
      <c r="F95" s="37"/>
      <c r="G95" s="37"/>
      <c r="H95" s="1"/>
      <c r="I95" s="1"/>
    </row>
    <row r="96" ht="15.75" customHeight="1">
      <c r="A96" s="36"/>
      <c r="B96" s="36"/>
      <c r="C96" s="37"/>
      <c r="D96" s="37"/>
      <c r="E96" s="37"/>
      <c r="F96" s="37"/>
      <c r="G96" s="37"/>
      <c r="H96" s="1"/>
      <c r="I96" s="1"/>
    </row>
    <row r="97" ht="15.75" customHeight="1">
      <c r="A97" s="36"/>
      <c r="B97" s="36"/>
      <c r="C97" s="37"/>
      <c r="D97" s="37"/>
      <c r="E97" s="37"/>
      <c r="F97" s="37"/>
      <c r="G97" s="37"/>
      <c r="H97" s="1"/>
      <c r="I97" s="1"/>
    </row>
    <row r="98" ht="15.75" customHeight="1">
      <c r="A98" s="36"/>
      <c r="B98" s="36"/>
      <c r="C98" s="37"/>
      <c r="D98" s="37"/>
      <c r="E98" s="37"/>
      <c r="F98" s="37"/>
      <c r="G98" s="37"/>
      <c r="H98" s="1"/>
      <c r="I98" s="1"/>
    </row>
    <row r="99" ht="15.75" customHeight="1">
      <c r="A99" s="36"/>
      <c r="B99" s="36"/>
      <c r="C99" s="37"/>
      <c r="D99" s="37"/>
      <c r="E99" s="37"/>
      <c r="F99" s="37"/>
      <c r="G99" s="37"/>
      <c r="H99" s="1"/>
      <c r="I99" s="1"/>
    </row>
    <row r="100" ht="15.75" customHeight="1">
      <c r="A100" s="36"/>
      <c r="B100" s="36"/>
      <c r="C100" s="37"/>
      <c r="D100" s="37"/>
      <c r="E100" s="37"/>
      <c r="F100" s="37"/>
      <c r="G100" s="37"/>
      <c r="H100" s="1"/>
      <c r="I100" s="1"/>
    </row>
    <row r="101" ht="15.75" customHeight="1">
      <c r="A101" s="36"/>
      <c r="B101" s="36"/>
      <c r="C101" s="37"/>
      <c r="D101" s="37"/>
      <c r="E101" s="37"/>
      <c r="F101" s="37"/>
      <c r="G101" s="37"/>
      <c r="H101" s="1"/>
      <c r="I101" s="1"/>
    </row>
    <row r="102" ht="15.75" customHeight="1">
      <c r="A102" s="36"/>
      <c r="B102" s="36"/>
      <c r="C102" s="37"/>
      <c r="D102" s="37"/>
      <c r="E102" s="37"/>
      <c r="F102" s="37"/>
      <c r="G102" s="37"/>
      <c r="H102" s="1"/>
      <c r="I102" s="1"/>
    </row>
    <row r="103" ht="15.75" customHeight="1">
      <c r="A103" s="36"/>
      <c r="B103" s="36"/>
      <c r="C103" s="37"/>
      <c r="D103" s="37"/>
      <c r="E103" s="37"/>
      <c r="F103" s="37"/>
      <c r="G103" s="37"/>
      <c r="H103" s="1"/>
      <c r="I103" s="1"/>
    </row>
    <row r="104" ht="15.75" customHeight="1">
      <c r="A104" s="36"/>
      <c r="B104" s="36"/>
      <c r="C104" s="37"/>
      <c r="D104" s="37"/>
      <c r="E104" s="37"/>
      <c r="F104" s="37"/>
      <c r="G104" s="37"/>
      <c r="H104" s="1"/>
      <c r="I104" s="1"/>
    </row>
    <row r="105" ht="15.75" customHeight="1">
      <c r="A105" s="36"/>
      <c r="B105" s="36"/>
      <c r="C105" s="37"/>
      <c r="D105" s="37"/>
      <c r="E105" s="37"/>
      <c r="F105" s="37"/>
      <c r="G105" s="37"/>
      <c r="H105" s="1"/>
      <c r="I105" s="1"/>
    </row>
    <row r="106" ht="15.75" customHeight="1">
      <c r="A106" s="36"/>
      <c r="B106" s="36"/>
      <c r="C106" s="37"/>
      <c r="D106" s="37"/>
      <c r="E106" s="37"/>
      <c r="F106" s="37"/>
      <c r="G106" s="37"/>
      <c r="H106" s="1"/>
      <c r="I106" s="1"/>
    </row>
    <row r="107" ht="15.75" customHeight="1">
      <c r="A107" s="36"/>
      <c r="B107" s="36"/>
      <c r="C107" s="37"/>
      <c r="D107" s="37"/>
      <c r="E107" s="37"/>
      <c r="F107" s="37"/>
      <c r="G107" s="37"/>
      <c r="H107" s="1"/>
      <c r="I107" s="1"/>
    </row>
    <row r="108" ht="15.75" customHeight="1">
      <c r="A108" s="36"/>
      <c r="B108" s="36"/>
      <c r="C108" s="37"/>
      <c r="D108" s="37"/>
      <c r="E108" s="37"/>
      <c r="F108" s="37"/>
      <c r="G108" s="37"/>
      <c r="H108" s="1"/>
      <c r="I108" s="1"/>
    </row>
    <row r="109" ht="15.75" customHeight="1">
      <c r="A109" s="36"/>
      <c r="B109" s="36"/>
      <c r="C109" s="37"/>
      <c r="D109" s="37"/>
      <c r="E109" s="37"/>
      <c r="F109" s="37"/>
      <c r="G109" s="37"/>
      <c r="H109" s="1"/>
      <c r="I109" s="1"/>
    </row>
    <row r="110" ht="15.75" customHeight="1">
      <c r="A110" s="36"/>
      <c r="B110" s="36"/>
      <c r="C110" s="37"/>
      <c r="D110" s="37"/>
      <c r="E110" s="37"/>
      <c r="F110" s="37"/>
      <c r="G110" s="37"/>
      <c r="H110" s="1"/>
      <c r="I110" s="1"/>
    </row>
    <row r="111" ht="15.75" customHeight="1">
      <c r="A111" s="36"/>
      <c r="B111" s="36"/>
      <c r="C111" s="37"/>
      <c r="D111" s="37"/>
      <c r="E111" s="37"/>
      <c r="F111" s="37"/>
      <c r="G111" s="37"/>
      <c r="H111" s="1"/>
      <c r="I111" s="1"/>
    </row>
    <row r="112" ht="15.75" customHeight="1">
      <c r="A112" s="36"/>
      <c r="B112" s="36"/>
      <c r="C112" s="37"/>
      <c r="D112" s="37"/>
      <c r="E112" s="37"/>
      <c r="F112" s="37"/>
      <c r="G112" s="37"/>
      <c r="H112" s="1"/>
      <c r="I112" s="1"/>
    </row>
    <row r="113" ht="15.75" customHeight="1">
      <c r="A113" s="36"/>
      <c r="B113" s="36"/>
      <c r="C113" s="37"/>
      <c r="D113" s="37"/>
      <c r="E113" s="37"/>
      <c r="F113" s="37"/>
      <c r="G113" s="37"/>
      <c r="H113" s="1"/>
      <c r="I113" s="1"/>
    </row>
    <row r="114" ht="15.75" customHeight="1">
      <c r="A114" s="36"/>
      <c r="B114" s="36"/>
      <c r="C114" s="37"/>
      <c r="D114" s="37"/>
      <c r="E114" s="37"/>
      <c r="F114" s="37"/>
      <c r="G114" s="37"/>
      <c r="H114" s="1"/>
      <c r="I114" s="1"/>
    </row>
    <row r="115" ht="15.75" customHeight="1">
      <c r="A115" s="36"/>
      <c r="B115" s="36"/>
      <c r="C115" s="37"/>
      <c r="D115" s="37"/>
      <c r="E115" s="37"/>
      <c r="F115" s="37"/>
      <c r="G115" s="37"/>
      <c r="H115" s="1"/>
      <c r="I115" s="1"/>
    </row>
    <row r="116" ht="15.75" customHeight="1">
      <c r="A116" s="36"/>
      <c r="B116" s="36"/>
      <c r="C116" s="37"/>
      <c r="D116" s="37"/>
      <c r="E116" s="37"/>
      <c r="F116" s="37"/>
      <c r="G116" s="37"/>
      <c r="H116" s="1"/>
      <c r="I116" s="1"/>
    </row>
    <row r="117" ht="15.75" customHeight="1">
      <c r="A117" s="36"/>
      <c r="B117" s="36"/>
      <c r="C117" s="37"/>
      <c r="D117" s="37"/>
      <c r="E117" s="37"/>
      <c r="F117" s="37"/>
      <c r="G117" s="37"/>
      <c r="H117" s="1"/>
      <c r="I117" s="1"/>
    </row>
    <row r="118" ht="15.75" customHeight="1">
      <c r="A118" s="36"/>
      <c r="B118" s="36"/>
      <c r="C118" s="37"/>
      <c r="D118" s="37"/>
      <c r="E118" s="37"/>
      <c r="F118" s="37"/>
      <c r="G118" s="37"/>
      <c r="H118" s="1"/>
      <c r="I118" s="1"/>
    </row>
    <row r="119" ht="15.75" customHeight="1">
      <c r="A119" s="36"/>
      <c r="B119" s="36"/>
      <c r="C119" s="37"/>
      <c r="D119" s="37"/>
      <c r="E119" s="37"/>
      <c r="F119" s="37"/>
      <c r="G119" s="37"/>
      <c r="H119" s="1"/>
      <c r="I119" s="1"/>
    </row>
    <row r="120" ht="15.75" customHeight="1">
      <c r="A120" s="36"/>
      <c r="B120" s="36"/>
      <c r="C120" s="37"/>
      <c r="D120" s="37"/>
      <c r="E120" s="37"/>
      <c r="F120" s="37"/>
      <c r="G120" s="37"/>
      <c r="H120" s="1"/>
      <c r="I120" s="1"/>
    </row>
    <row r="121" ht="15.75" customHeight="1">
      <c r="A121" s="36"/>
      <c r="B121" s="36"/>
      <c r="C121" s="37"/>
      <c r="D121" s="37"/>
      <c r="E121" s="37"/>
      <c r="F121" s="37"/>
      <c r="G121" s="37"/>
      <c r="H121" s="1"/>
      <c r="I121" s="1"/>
    </row>
    <row r="122" ht="15.75" customHeight="1">
      <c r="A122" s="36"/>
      <c r="B122" s="36"/>
      <c r="C122" s="37"/>
      <c r="D122" s="37"/>
      <c r="E122" s="37"/>
      <c r="F122" s="37"/>
      <c r="G122" s="37"/>
      <c r="H122" s="1"/>
      <c r="I122" s="1"/>
    </row>
    <row r="123" ht="15.75" customHeight="1">
      <c r="A123" s="36"/>
      <c r="B123" s="36"/>
      <c r="C123" s="37"/>
      <c r="D123" s="37"/>
      <c r="E123" s="37"/>
      <c r="F123" s="37"/>
      <c r="G123" s="37"/>
      <c r="H123" s="1"/>
      <c r="I123" s="1"/>
    </row>
    <row r="124" ht="15.75" customHeight="1">
      <c r="A124" s="36"/>
      <c r="B124" s="36"/>
      <c r="C124" s="37"/>
      <c r="D124" s="37"/>
      <c r="E124" s="37"/>
      <c r="F124" s="37"/>
      <c r="G124" s="37"/>
      <c r="H124" s="1"/>
      <c r="I124" s="1"/>
    </row>
    <row r="125" ht="15.75" customHeight="1">
      <c r="A125" s="36"/>
      <c r="B125" s="36"/>
      <c r="C125" s="37"/>
      <c r="D125" s="37"/>
      <c r="E125" s="37"/>
      <c r="F125" s="37"/>
      <c r="G125" s="37"/>
      <c r="H125" s="1"/>
      <c r="I125" s="1"/>
    </row>
    <row r="126" ht="15.75" customHeight="1">
      <c r="A126" s="36"/>
      <c r="B126" s="36"/>
      <c r="C126" s="37"/>
      <c r="D126" s="37"/>
      <c r="E126" s="37"/>
      <c r="F126" s="37"/>
      <c r="G126" s="37"/>
      <c r="H126" s="1"/>
      <c r="I126" s="1"/>
    </row>
    <row r="127" ht="15.75" customHeight="1">
      <c r="A127" s="36"/>
      <c r="B127" s="36"/>
      <c r="C127" s="37"/>
      <c r="D127" s="37"/>
      <c r="E127" s="37"/>
      <c r="F127" s="37"/>
      <c r="G127" s="37"/>
      <c r="H127" s="1"/>
      <c r="I127" s="1"/>
    </row>
    <row r="128" ht="15.75" customHeight="1">
      <c r="A128" s="36"/>
      <c r="B128" s="36"/>
      <c r="C128" s="37"/>
      <c r="D128" s="37"/>
      <c r="E128" s="37"/>
      <c r="F128" s="37"/>
      <c r="G128" s="37"/>
      <c r="H128" s="1"/>
      <c r="I128" s="1"/>
    </row>
    <row r="129" ht="15.75" customHeight="1">
      <c r="A129" s="36"/>
      <c r="B129" s="36"/>
      <c r="C129" s="37"/>
      <c r="D129" s="37"/>
      <c r="E129" s="37"/>
      <c r="F129" s="37"/>
      <c r="G129" s="37"/>
      <c r="H129" s="1"/>
      <c r="I129" s="1"/>
    </row>
    <row r="130" ht="15.75" customHeight="1">
      <c r="A130" s="36"/>
      <c r="B130" s="36"/>
      <c r="C130" s="37"/>
      <c r="D130" s="37"/>
      <c r="E130" s="37"/>
      <c r="F130" s="37"/>
      <c r="G130" s="37"/>
      <c r="H130" s="1"/>
      <c r="I130" s="1"/>
    </row>
    <row r="131" ht="15.75" customHeight="1">
      <c r="A131" s="36"/>
      <c r="B131" s="36"/>
      <c r="C131" s="37"/>
      <c r="D131" s="37"/>
      <c r="E131" s="37"/>
      <c r="F131" s="37"/>
      <c r="G131" s="37"/>
      <c r="H131" s="1"/>
      <c r="I131" s="1"/>
    </row>
    <row r="132" ht="15.75" customHeight="1">
      <c r="A132" s="36"/>
      <c r="B132" s="36"/>
      <c r="C132" s="37"/>
      <c r="D132" s="37"/>
      <c r="E132" s="37"/>
      <c r="F132" s="37"/>
      <c r="G132" s="37"/>
      <c r="H132" s="1"/>
      <c r="I132" s="1"/>
    </row>
    <row r="133" ht="15.75" customHeight="1">
      <c r="A133" s="36"/>
      <c r="B133" s="36"/>
      <c r="C133" s="37"/>
      <c r="D133" s="37"/>
      <c r="E133" s="37"/>
      <c r="F133" s="37"/>
      <c r="G133" s="37"/>
      <c r="H133" s="1"/>
      <c r="I133" s="1"/>
    </row>
    <row r="134" ht="15.75" customHeight="1">
      <c r="A134" s="36"/>
      <c r="B134" s="36"/>
      <c r="C134" s="37"/>
      <c r="D134" s="37"/>
      <c r="E134" s="37"/>
      <c r="F134" s="37"/>
      <c r="G134" s="37"/>
      <c r="H134" s="1"/>
      <c r="I134" s="1"/>
    </row>
    <row r="135" ht="15.75" customHeight="1">
      <c r="A135" s="36"/>
      <c r="B135" s="36"/>
      <c r="C135" s="37"/>
      <c r="D135" s="37"/>
      <c r="E135" s="37"/>
      <c r="F135" s="37"/>
      <c r="G135" s="37"/>
      <c r="H135" s="1"/>
      <c r="I135" s="1"/>
    </row>
    <row r="136" ht="15.75" customHeight="1">
      <c r="A136" s="36"/>
      <c r="B136" s="36"/>
      <c r="C136" s="37"/>
      <c r="D136" s="37"/>
      <c r="E136" s="37"/>
      <c r="F136" s="37"/>
      <c r="G136" s="37"/>
      <c r="H136" s="1"/>
      <c r="I136" s="1"/>
    </row>
    <row r="137" ht="15.75" customHeight="1">
      <c r="A137" s="36"/>
      <c r="B137" s="36"/>
      <c r="C137" s="37"/>
      <c r="D137" s="37"/>
      <c r="E137" s="37"/>
      <c r="F137" s="37"/>
      <c r="G137" s="37"/>
      <c r="H137" s="1"/>
      <c r="I137" s="1"/>
    </row>
    <row r="138" ht="15.75" customHeight="1">
      <c r="A138" s="36"/>
      <c r="B138" s="36"/>
      <c r="C138" s="37"/>
      <c r="D138" s="37"/>
      <c r="E138" s="37"/>
      <c r="F138" s="37"/>
      <c r="G138" s="37"/>
      <c r="H138" s="1"/>
      <c r="I138" s="1"/>
    </row>
    <row r="139" ht="15.75" customHeight="1">
      <c r="A139" s="36"/>
      <c r="B139" s="36"/>
      <c r="C139" s="37"/>
      <c r="D139" s="37"/>
      <c r="E139" s="37"/>
      <c r="F139" s="37"/>
      <c r="G139" s="37"/>
      <c r="H139" s="1"/>
      <c r="I139" s="1"/>
    </row>
    <row r="140" ht="15.75" customHeight="1">
      <c r="A140" s="36"/>
      <c r="B140" s="36"/>
      <c r="C140" s="37"/>
      <c r="D140" s="37"/>
      <c r="E140" s="37"/>
      <c r="F140" s="37"/>
      <c r="G140" s="37"/>
      <c r="H140" s="1"/>
      <c r="I140" s="1"/>
    </row>
    <row r="141" ht="15.75" customHeight="1">
      <c r="A141" s="36"/>
      <c r="B141" s="36"/>
      <c r="C141" s="37"/>
      <c r="D141" s="37"/>
      <c r="E141" s="37"/>
      <c r="F141" s="37"/>
      <c r="G141" s="37"/>
      <c r="H141" s="1"/>
      <c r="I141" s="1"/>
    </row>
    <row r="142" ht="15.75" customHeight="1">
      <c r="A142" s="36"/>
      <c r="B142" s="36"/>
      <c r="C142" s="37"/>
      <c r="D142" s="37"/>
      <c r="E142" s="37"/>
      <c r="F142" s="37"/>
      <c r="G142" s="37"/>
      <c r="H142" s="1"/>
      <c r="I142" s="1"/>
    </row>
    <row r="143" ht="15.75" customHeight="1">
      <c r="A143" s="36"/>
      <c r="B143" s="36"/>
      <c r="C143" s="37"/>
      <c r="D143" s="37"/>
      <c r="E143" s="37"/>
      <c r="F143" s="37"/>
      <c r="G143" s="37"/>
      <c r="H143" s="1"/>
      <c r="I143" s="1"/>
    </row>
    <row r="144" ht="15.75" customHeight="1">
      <c r="A144" s="36"/>
      <c r="B144" s="36"/>
      <c r="C144" s="37"/>
      <c r="D144" s="37"/>
      <c r="E144" s="37"/>
      <c r="F144" s="37"/>
      <c r="G144" s="37"/>
      <c r="H144" s="1"/>
      <c r="I144" s="1"/>
    </row>
    <row r="145" ht="15.75" customHeight="1">
      <c r="A145" s="36"/>
      <c r="B145" s="36"/>
      <c r="C145" s="37"/>
      <c r="D145" s="37"/>
      <c r="E145" s="37"/>
      <c r="F145" s="37"/>
      <c r="G145" s="37"/>
      <c r="H145" s="1"/>
      <c r="I145" s="1"/>
    </row>
    <row r="146" ht="15.75" customHeight="1">
      <c r="A146" s="36"/>
      <c r="B146" s="36"/>
      <c r="C146" s="37"/>
      <c r="D146" s="37"/>
      <c r="E146" s="37"/>
      <c r="F146" s="37"/>
      <c r="G146" s="37"/>
      <c r="H146" s="1"/>
      <c r="I146" s="1"/>
    </row>
    <row r="147" ht="15.75" customHeight="1">
      <c r="A147" s="36"/>
      <c r="B147" s="36"/>
      <c r="C147" s="37"/>
      <c r="D147" s="37"/>
      <c r="E147" s="37"/>
      <c r="F147" s="37"/>
      <c r="G147" s="37"/>
      <c r="H147" s="1"/>
      <c r="I147" s="1"/>
    </row>
    <row r="148" ht="15.75" customHeight="1">
      <c r="A148" s="36"/>
      <c r="B148" s="36"/>
      <c r="C148" s="37"/>
      <c r="D148" s="37"/>
      <c r="E148" s="37"/>
      <c r="F148" s="37"/>
      <c r="G148" s="37"/>
      <c r="H148" s="1"/>
      <c r="I148" s="1"/>
    </row>
    <row r="149" ht="15.75" customHeight="1">
      <c r="A149" s="36"/>
      <c r="B149" s="36"/>
      <c r="C149" s="37"/>
      <c r="D149" s="37"/>
      <c r="E149" s="37"/>
      <c r="F149" s="37"/>
      <c r="G149" s="37"/>
      <c r="H149" s="1"/>
      <c r="I149" s="1"/>
    </row>
    <row r="150" ht="15.75" customHeight="1">
      <c r="A150" s="36"/>
      <c r="B150" s="36"/>
      <c r="C150" s="37"/>
      <c r="D150" s="37"/>
      <c r="E150" s="37"/>
      <c r="F150" s="37"/>
      <c r="G150" s="37"/>
      <c r="H150" s="1"/>
      <c r="I150" s="1"/>
    </row>
    <row r="151" ht="15.75" customHeight="1">
      <c r="A151" s="36"/>
      <c r="B151" s="36"/>
      <c r="C151" s="37"/>
      <c r="D151" s="37"/>
      <c r="E151" s="37"/>
      <c r="F151" s="37"/>
      <c r="G151" s="37"/>
      <c r="H151" s="1"/>
      <c r="I151" s="1"/>
    </row>
    <row r="152" ht="15.75" customHeight="1">
      <c r="A152" s="36"/>
      <c r="B152" s="36"/>
      <c r="C152" s="37"/>
      <c r="D152" s="37"/>
      <c r="E152" s="37"/>
      <c r="F152" s="37"/>
      <c r="G152" s="37"/>
      <c r="H152" s="1"/>
      <c r="I152" s="1"/>
    </row>
    <row r="153" ht="15.75" customHeight="1">
      <c r="A153" s="36"/>
      <c r="B153" s="36"/>
      <c r="C153" s="37"/>
      <c r="D153" s="37"/>
      <c r="E153" s="37"/>
      <c r="F153" s="37"/>
      <c r="G153" s="37"/>
      <c r="H153" s="1"/>
      <c r="I153" s="1"/>
    </row>
    <row r="154" ht="15.75" customHeight="1">
      <c r="A154" s="36"/>
      <c r="B154" s="36"/>
      <c r="C154" s="37"/>
      <c r="D154" s="37"/>
      <c r="E154" s="37"/>
      <c r="F154" s="37"/>
      <c r="G154" s="37"/>
      <c r="H154" s="1"/>
      <c r="I154" s="1"/>
    </row>
    <row r="155" ht="15.75" customHeight="1">
      <c r="A155" s="36"/>
      <c r="B155" s="36"/>
      <c r="C155" s="37"/>
      <c r="D155" s="37"/>
      <c r="E155" s="37"/>
      <c r="F155" s="37"/>
      <c r="G155" s="37"/>
      <c r="H155" s="1"/>
      <c r="I155" s="1"/>
    </row>
    <row r="156" ht="15.75" customHeight="1">
      <c r="A156" s="36"/>
      <c r="B156" s="36"/>
      <c r="C156" s="37"/>
      <c r="D156" s="37"/>
      <c r="E156" s="37"/>
      <c r="F156" s="37"/>
      <c r="G156" s="37"/>
      <c r="H156" s="1"/>
      <c r="I156" s="1"/>
    </row>
    <row r="157" ht="15.75" customHeight="1">
      <c r="A157" s="36"/>
      <c r="B157" s="36"/>
      <c r="C157" s="37"/>
      <c r="D157" s="37"/>
      <c r="E157" s="37"/>
      <c r="F157" s="37"/>
      <c r="G157" s="37"/>
      <c r="H157" s="1"/>
      <c r="I157" s="1"/>
    </row>
    <row r="158" ht="15.75" customHeight="1">
      <c r="A158" s="36"/>
      <c r="B158" s="36"/>
      <c r="C158" s="37"/>
      <c r="D158" s="37"/>
      <c r="E158" s="37"/>
      <c r="F158" s="37"/>
      <c r="G158" s="37"/>
      <c r="H158" s="1"/>
      <c r="I158" s="1"/>
    </row>
    <row r="159" ht="15.75" customHeight="1">
      <c r="A159" s="36"/>
      <c r="B159" s="36"/>
      <c r="C159" s="37"/>
      <c r="D159" s="37"/>
      <c r="E159" s="37"/>
      <c r="F159" s="37"/>
      <c r="G159" s="37"/>
      <c r="H159" s="1"/>
      <c r="I159" s="1"/>
    </row>
    <row r="160" ht="15.75" customHeight="1">
      <c r="A160" s="36"/>
      <c r="B160" s="36"/>
      <c r="C160" s="37"/>
      <c r="D160" s="37"/>
      <c r="E160" s="37"/>
      <c r="F160" s="37"/>
      <c r="G160" s="37"/>
      <c r="H160" s="1"/>
      <c r="I160" s="1"/>
    </row>
    <row r="161" ht="15.75" customHeight="1">
      <c r="A161" s="36"/>
      <c r="B161" s="36"/>
      <c r="C161" s="37"/>
      <c r="D161" s="37"/>
      <c r="E161" s="37"/>
      <c r="F161" s="37"/>
      <c r="G161" s="37"/>
      <c r="H161" s="1"/>
      <c r="I161" s="1"/>
    </row>
    <row r="162" ht="15.75" customHeight="1">
      <c r="A162" s="36"/>
      <c r="B162" s="36"/>
      <c r="C162" s="37"/>
      <c r="D162" s="37"/>
      <c r="E162" s="37"/>
      <c r="F162" s="37"/>
      <c r="G162" s="37"/>
      <c r="H162" s="1"/>
      <c r="I162" s="1"/>
    </row>
    <row r="163" ht="15.75" customHeight="1">
      <c r="A163" s="36"/>
      <c r="B163" s="36"/>
      <c r="C163" s="37"/>
      <c r="D163" s="37"/>
      <c r="E163" s="37"/>
      <c r="F163" s="37"/>
      <c r="G163" s="37"/>
      <c r="H163" s="1"/>
      <c r="I163" s="1"/>
    </row>
    <row r="164" ht="15.75" customHeight="1">
      <c r="A164" s="36"/>
      <c r="B164" s="36"/>
      <c r="C164" s="37"/>
      <c r="D164" s="37"/>
      <c r="E164" s="37"/>
      <c r="F164" s="37"/>
      <c r="G164" s="37"/>
      <c r="H164" s="1"/>
      <c r="I164" s="1"/>
    </row>
    <row r="165" ht="15.75" customHeight="1">
      <c r="A165" s="36"/>
      <c r="B165" s="36"/>
      <c r="C165" s="37"/>
      <c r="D165" s="37"/>
      <c r="E165" s="37"/>
      <c r="F165" s="37"/>
      <c r="G165" s="37"/>
      <c r="H165" s="1"/>
      <c r="I165" s="1"/>
    </row>
    <row r="166" ht="15.75" customHeight="1">
      <c r="A166" s="36"/>
      <c r="B166" s="36"/>
      <c r="C166" s="37"/>
      <c r="D166" s="37"/>
      <c r="E166" s="37"/>
      <c r="F166" s="37"/>
      <c r="G166" s="37"/>
      <c r="H166" s="1"/>
      <c r="I166" s="1"/>
    </row>
    <row r="167" ht="15.75" customHeight="1">
      <c r="A167" s="36"/>
      <c r="B167" s="36"/>
      <c r="C167" s="37"/>
      <c r="D167" s="37"/>
      <c r="E167" s="37"/>
      <c r="F167" s="37"/>
      <c r="G167" s="37"/>
      <c r="H167" s="1"/>
      <c r="I167" s="1"/>
    </row>
    <row r="168" ht="15.75" customHeight="1">
      <c r="A168" s="36"/>
      <c r="B168" s="36"/>
      <c r="C168" s="37"/>
      <c r="D168" s="37"/>
      <c r="E168" s="37"/>
      <c r="F168" s="37"/>
      <c r="G168" s="37"/>
      <c r="H168" s="1"/>
      <c r="I168" s="1"/>
    </row>
    <row r="169" ht="15.75" customHeight="1">
      <c r="A169" s="36"/>
      <c r="B169" s="36"/>
      <c r="C169" s="37"/>
      <c r="D169" s="37"/>
      <c r="E169" s="37"/>
      <c r="F169" s="37"/>
      <c r="G169" s="37"/>
      <c r="H169" s="1"/>
      <c r="I169" s="1"/>
    </row>
    <row r="170" ht="15.75" customHeight="1">
      <c r="A170" s="36"/>
      <c r="B170" s="36"/>
      <c r="C170" s="37"/>
      <c r="D170" s="37"/>
      <c r="E170" s="37"/>
      <c r="F170" s="37"/>
      <c r="G170" s="37"/>
      <c r="H170" s="1"/>
      <c r="I170" s="1"/>
    </row>
    <row r="171" ht="15.75" customHeight="1">
      <c r="A171" s="36"/>
      <c r="B171" s="36"/>
      <c r="C171" s="37"/>
      <c r="D171" s="37"/>
      <c r="E171" s="37"/>
      <c r="F171" s="37"/>
      <c r="G171" s="37"/>
      <c r="H171" s="1"/>
      <c r="I171" s="1"/>
    </row>
    <row r="172" ht="15.75" customHeight="1">
      <c r="A172" s="36"/>
      <c r="B172" s="36"/>
      <c r="C172" s="37"/>
      <c r="D172" s="37"/>
      <c r="E172" s="37"/>
      <c r="F172" s="37"/>
      <c r="G172" s="37"/>
      <c r="H172" s="1"/>
      <c r="I172" s="1"/>
    </row>
    <row r="173" ht="15.75" customHeight="1">
      <c r="A173" s="36"/>
      <c r="B173" s="36"/>
      <c r="C173" s="37"/>
      <c r="D173" s="37"/>
      <c r="E173" s="37"/>
      <c r="F173" s="37"/>
      <c r="G173" s="37"/>
      <c r="H173" s="1"/>
      <c r="I173" s="1"/>
    </row>
    <row r="174" ht="15.75" customHeight="1">
      <c r="A174" s="36"/>
      <c r="B174" s="36"/>
      <c r="C174" s="37"/>
      <c r="D174" s="37"/>
      <c r="E174" s="37"/>
      <c r="F174" s="37"/>
      <c r="G174" s="37"/>
      <c r="H174" s="1"/>
      <c r="I174" s="1"/>
    </row>
    <row r="175" ht="15.75" customHeight="1">
      <c r="A175" s="36"/>
      <c r="B175" s="36"/>
      <c r="C175" s="37"/>
      <c r="D175" s="37"/>
      <c r="E175" s="37"/>
      <c r="F175" s="37"/>
      <c r="G175" s="37"/>
      <c r="H175" s="1"/>
      <c r="I175" s="1"/>
    </row>
    <row r="176" ht="15.75" customHeight="1">
      <c r="A176" s="36"/>
      <c r="B176" s="36"/>
      <c r="C176" s="37"/>
      <c r="D176" s="37"/>
      <c r="E176" s="37"/>
      <c r="F176" s="37"/>
      <c r="G176" s="37"/>
      <c r="H176" s="1"/>
      <c r="I176" s="1"/>
    </row>
    <row r="177" ht="15.75" customHeight="1">
      <c r="A177" s="36"/>
      <c r="B177" s="36"/>
      <c r="C177" s="37"/>
      <c r="D177" s="37"/>
      <c r="E177" s="37"/>
      <c r="F177" s="37"/>
      <c r="G177" s="37"/>
      <c r="H177" s="1"/>
      <c r="I177" s="1"/>
    </row>
    <row r="178" ht="15.75" customHeight="1">
      <c r="A178" s="36"/>
      <c r="B178" s="36"/>
      <c r="C178" s="37"/>
      <c r="D178" s="37"/>
      <c r="E178" s="37"/>
      <c r="F178" s="37"/>
      <c r="G178" s="37"/>
      <c r="H178" s="1"/>
      <c r="I178" s="1"/>
    </row>
    <row r="179" ht="15.75" customHeight="1">
      <c r="A179" s="36"/>
      <c r="B179" s="36"/>
      <c r="C179" s="37"/>
      <c r="D179" s="37"/>
      <c r="E179" s="37"/>
      <c r="F179" s="37"/>
      <c r="G179" s="37"/>
      <c r="H179" s="1"/>
      <c r="I179" s="1"/>
    </row>
    <row r="180" ht="15.75" customHeight="1">
      <c r="A180" s="36"/>
      <c r="B180" s="36"/>
      <c r="C180" s="37"/>
      <c r="D180" s="37"/>
      <c r="E180" s="37"/>
      <c r="F180" s="37"/>
      <c r="G180" s="37"/>
      <c r="H180" s="1"/>
      <c r="I180" s="1"/>
    </row>
    <row r="181" ht="15.75" customHeight="1">
      <c r="A181" s="36"/>
      <c r="B181" s="36"/>
      <c r="C181" s="37"/>
      <c r="D181" s="37"/>
      <c r="E181" s="37"/>
      <c r="F181" s="37"/>
      <c r="G181" s="37"/>
      <c r="H181" s="1"/>
      <c r="I181" s="1"/>
    </row>
    <row r="182" ht="15.75" customHeight="1">
      <c r="A182" s="36"/>
      <c r="B182" s="36"/>
      <c r="C182" s="37"/>
      <c r="D182" s="37"/>
      <c r="E182" s="37"/>
      <c r="F182" s="37"/>
      <c r="G182" s="37"/>
      <c r="H182" s="1"/>
      <c r="I182" s="1"/>
    </row>
    <row r="183" ht="15.75" customHeight="1">
      <c r="A183" s="36"/>
      <c r="B183" s="36"/>
      <c r="C183" s="37"/>
      <c r="D183" s="37"/>
      <c r="E183" s="37"/>
      <c r="F183" s="37"/>
      <c r="G183" s="37"/>
      <c r="H183" s="1"/>
      <c r="I183" s="1"/>
    </row>
    <row r="184" ht="15.75" customHeight="1">
      <c r="A184" s="36"/>
      <c r="B184" s="36"/>
      <c r="C184" s="37"/>
      <c r="D184" s="37"/>
      <c r="E184" s="37"/>
      <c r="F184" s="37"/>
      <c r="G184" s="37"/>
      <c r="H184" s="1"/>
      <c r="I184" s="1"/>
    </row>
    <row r="185" ht="15.75" customHeight="1">
      <c r="A185" s="36"/>
      <c r="B185" s="36"/>
      <c r="C185" s="37"/>
      <c r="D185" s="37"/>
      <c r="E185" s="37"/>
      <c r="F185" s="37"/>
      <c r="G185" s="37"/>
      <c r="H185" s="1"/>
      <c r="I185" s="1"/>
    </row>
    <row r="186" ht="15.75" customHeight="1">
      <c r="A186" s="36"/>
      <c r="B186" s="36"/>
      <c r="C186" s="37"/>
      <c r="D186" s="37"/>
      <c r="E186" s="37"/>
      <c r="F186" s="37"/>
      <c r="G186" s="37"/>
      <c r="H186" s="1"/>
      <c r="I186" s="1"/>
    </row>
    <row r="187" ht="15.75" customHeight="1">
      <c r="A187" s="36"/>
      <c r="B187" s="36"/>
      <c r="C187" s="37"/>
      <c r="D187" s="37"/>
      <c r="E187" s="37"/>
      <c r="F187" s="37"/>
      <c r="G187" s="37"/>
      <c r="H187" s="1"/>
      <c r="I187" s="1"/>
    </row>
    <row r="188" ht="15.75" customHeight="1">
      <c r="A188" s="36"/>
      <c r="B188" s="36"/>
      <c r="C188" s="37"/>
      <c r="D188" s="37"/>
      <c r="E188" s="37"/>
      <c r="F188" s="37"/>
      <c r="G188" s="37"/>
      <c r="H188" s="1"/>
      <c r="I188" s="1"/>
    </row>
    <row r="189" ht="15.75" customHeight="1">
      <c r="A189" s="36"/>
      <c r="B189" s="36"/>
      <c r="C189" s="37"/>
      <c r="D189" s="37"/>
      <c r="E189" s="37"/>
      <c r="F189" s="37"/>
      <c r="G189" s="37"/>
      <c r="H189" s="1"/>
      <c r="I189" s="1"/>
    </row>
    <row r="190" ht="15.75" customHeight="1">
      <c r="A190" s="36"/>
      <c r="B190" s="36"/>
      <c r="C190" s="37"/>
      <c r="D190" s="37"/>
      <c r="E190" s="37"/>
      <c r="F190" s="37"/>
      <c r="G190" s="37"/>
      <c r="H190" s="1"/>
      <c r="I190" s="1"/>
    </row>
    <row r="191" ht="15.75" customHeight="1">
      <c r="A191" s="36"/>
      <c r="B191" s="36"/>
      <c r="C191" s="37"/>
      <c r="D191" s="37"/>
      <c r="E191" s="37"/>
      <c r="F191" s="37"/>
      <c r="G191" s="37"/>
      <c r="H191" s="1"/>
      <c r="I191" s="1"/>
    </row>
    <row r="192" ht="15.75" customHeight="1">
      <c r="A192" s="36"/>
      <c r="B192" s="36"/>
      <c r="C192" s="37"/>
      <c r="D192" s="37"/>
      <c r="E192" s="37"/>
      <c r="F192" s="37"/>
      <c r="G192" s="37"/>
      <c r="H192" s="1"/>
      <c r="I192" s="1"/>
    </row>
    <row r="193" ht="15.75" customHeight="1">
      <c r="A193" s="36"/>
      <c r="B193" s="36"/>
      <c r="C193" s="37"/>
      <c r="D193" s="37"/>
      <c r="E193" s="37"/>
      <c r="F193" s="37"/>
      <c r="G193" s="37"/>
      <c r="H193" s="1"/>
      <c r="I193" s="1"/>
    </row>
    <row r="194" ht="15.75" customHeight="1">
      <c r="A194" s="36"/>
      <c r="B194" s="36"/>
      <c r="C194" s="37"/>
      <c r="D194" s="37"/>
      <c r="E194" s="37"/>
      <c r="F194" s="37"/>
      <c r="G194" s="37"/>
      <c r="H194" s="1"/>
      <c r="I194" s="1"/>
    </row>
    <row r="195" ht="15.75" customHeight="1">
      <c r="A195" s="36"/>
      <c r="B195" s="36"/>
      <c r="C195" s="37"/>
      <c r="D195" s="37"/>
      <c r="E195" s="37"/>
      <c r="F195" s="37"/>
      <c r="G195" s="37"/>
      <c r="H195" s="1"/>
      <c r="I195" s="1"/>
    </row>
    <row r="196" ht="15.75" customHeight="1">
      <c r="A196" s="36"/>
      <c r="B196" s="36"/>
      <c r="C196" s="37"/>
      <c r="D196" s="37"/>
      <c r="E196" s="37"/>
      <c r="F196" s="37"/>
      <c r="G196" s="37"/>
      <c r="H196" s="1"/>
      <c r="I196" s="1"/>
    </row>
    <row r="197" ht="15.75" customHeight="1">
      <c r="A197" s="36"/>
      <c r="B197" s="36"/>
      <c r="C197" s="37"/>
      <c r="D197" s="37"/>
      <c r="E197" s="37"/>
      <c r="F197" s="37"/>
      <c r="G197" s="37"/>
      <c r="H197" s="1"/>
      <c r="I197" s="1"/>
    </row>
    <row r="198" ht="15.75" customHeight="1">
      <c r="A198" s="36"/>
      <c r="B198" s="36"/>
      <c r="C198" s="37"/>
      <c r="D198" s="37"/>
      <c r="E198" s="37"/>
      <c r="F198" s="37"/>
      <c r="G198" s="37"/>
      <c r="H198" s="1"/>
      <c r="I198" s="1"/>
    </row>
    <row r="199" ht="15.75" customHeight="1">
      <c r="A199" s="36"/>
      <c r="B199" s="36"/>
      <c r="C199" s="37"/>
      <c r="D199" s="37"/>
      <c r="E199" s="37"/>
      <c r="F199" s="37"/>
      <c r="G199" s="37"/>
      <c r="H199" s="1"/>
      <c r="I199" s="1"/>
    </row>
    <row r="200" ht="15.75" customHeight="1">
      <c r="A200" s="36"/>
      <c r="B200" s="36"/>
      <c r="C200" s="37"/>
      <c r="D200" s="37"/>
      <c r="E200" s="37"/>
      <c r="F200" s="37"/>
      <c r="G200" s="37"/>
      <c r="H200" s="1"/>
      <c r="I200" s="1"/>
    </row>
    <row r="201" ht="15.75" customHeight="1">
      <c r="A201" s="36"/>
      <c r="B201" s="36"/>
      <c r="C201" s="37"/>
      <c r="D201" s="37"/>
      <c r="E201" s="37"/>
      <c r="F201" s="37"/>
      <c r="G201" s="37"/>
      <c r="H201" s="1"/>
      <c r="I201" s="1"/>
    </row>
    <row r="202" ht="15.75" customHeight="1">
      <c r="A202" s="36"/>
      <c r="B202" s="36"/>
      <c r="C202" s="37"/>
      <c r="D202" s="37"/>
      <c r="E202" s="37"/>
      <c r="F202" s="37"/>
      <c r="G202" s="37"/>
      <c r="H202" s="1"/>
      <c r="I202" s="1"/>
    </row>
    <row r="203" ht="15.75" customHeight="1">
      <c r="A203" s="36"/>
      <c r="B203" s="36"/>
      <c r="C203" s="37"/>
      <c r="D203" s="37"/>
      <c r="E203" s="37"/>
      <c r="F203" s="37"/>
      <c r="G203" s="37"/>
      <c r="H203" s="1"/>
      <c r="I203" s="1"/>
    </row>
    <row r="204" ht="15.75" customHeight="1">
      <c r="A204" s="36"/>
      <c r="B204" s="36"/>
      <c r="C204" s="37"/>
      <c r="D204" s="37"/>
      <c r="E204" s="37"/>
      <c r="F204" s="37"/>
      <c r="G204" s="37"/>
      <c r="H204" s="1"/>
      <c r="I204" s="1"/>
    </row>
    <row r="205" ht="15.75" customHeight="1">
      <c r="A205" s="36"/>
      <c r="B205" s="36"/>
      <c r="C205" s="37"/>
      <c r="D205" s="37"/>
      <c r="E205" s="37"/>
      <c r="F205" s="37"/>
      <c r="G205" s="37"/>
      <c r="H205" s="1"/>
      <c r="I205" s="1"/>
    </row>
    <row r="206" ht="15.75" customHeight="1">
      <c r="A206" s="36"/>
      <c r="B206" s="36"/>
      <c r="C206" s="37"/>
      <c r="D206" s="37"/>
      <c r="E206" s="37"/>
      <c r="F206" s="37"/>
      <c r="G206" s="37"/>
      <c r="H206" s="1"/>
      <c r="I206" s="1"/>
    </row>
    <row r="207" ht="15.75" customHeight="1">
      <c r="A207" s="36"/>
      <c r="B207" s="36"/>
      <c r="C207" s="37"/>
      <c r="D207" s="37"/>
      <c r="E207" s="37"/>
      <c r="F207" s="37"/>
      <c r="G207" s="37"/>
      <c r="H207" s="1"/>
      <c r="I207" s="1"/>
    </row>
    <row r="208" ht="15.75" customHeight="1">
      <c r="A208" s="36"/>
      <c r="B208" s="36"/>
      <c r="C208" s="37"/>
      <c r="D208" s="37"/>
      <c r="E208" s="37"/>
      <c r="F208" s="37"/>
      <c r="G208" s="37"/>
      <c r="H208" s="1"/>
      <c r="I208" s="1"/>
    </row>
    <row r="209" ht="15.75" customHeight="1">
      <c r="A209" s="36"/>
      <c r="B209" s="36"/>
      <c r="C209" s="37"/>
      <c r="D209" s="37"/>
      <c r="E209" s="37"/>
      <c r="F209" s="37"/>
      <c r="G209" s="37"/>
      <c r="H209" s="1"/>
      <c r="I209" s="1"/>
    </row>
    <row r="210" ht="15.75" customHeight="1">
      <c r="A210" s="36"/>
      <c r="B210" s="36"/>
      <c r="C210" s="37"/>
      <c r="D210" s="37"/>
      <c r="E210" s="37"/>
      <c r="F210" s="37"/>
      <c r="G210" s="37"/>
      <c r="H210" s="1"/>
      <c r="I210" s="1"/>
    </row>
    <row r="211" ht="15.75" customHeight="1">
      <c r="A211" s="36"/>
      <c r="B211" s="36"/>
      <c r="C211" s="37"/>
      <c r="D211" s="37"/>
      <c r="E211" s="37"/>
      <c r="F211" s="37"/>
      <c r="G211" s="37"/>
      <c r="H211" s="1"/>
      <c r="I211" s="1"/>
    </row>
    <row r="212" ht="15.75" customHeight="1">
      <c r="A212" s="36"/>
      <c r="B212" s="36"/>
      <c r="C212" s="37"/>
      <c r="D212" s="37"/>
      <c r="E212" s="37"/>
      <c r="F212" s="37"/>
      <c r="G212" s="37"/>
      <c r="H212" s="1"/>
      <c r="I212" s="1"/>
    </row>
    <row r="213" ht="15.75" customHeight="1">
      <c r="A213" s="36"/>
      <c r="B213" s="36"/>
      <c r="C213" s="37"/>
      <c r="D213" s="37"/>
      <c r="E213" s="37"/>
      <c r="F213" s="37"/>
      <c r="G213" s="37"/>
      <c r="H213" s="1"/>
      <c r="I213" s="1"/>
    </row>
    <row r="214" ht="15.75" customHeight="1">
      <c r="A214" s="36"/>
      <c r="B214" s="36"/>
      <c r="C214" s="37"/>
      <c r="D214" s="37"/>
      <c r="E214" s="37"/>
      <c r="F214" s="37"/>
      <c r="G214" s="37"/>
      <c r="H214" s="1"/>
      <c r="I214" s="1"/>
    </row>
    <row r="215" ht="15.75" customHeight="1">
      <c r="A215" s="36"/>
      <c r="B215" s="36"/>
      <c r="C215" s="37"/>
      <c r="D215" s="37"/>
      <c r="E215" s="37"/>
      <c r="F215" s="37"/>
      <c r="G215" s="37"/>
      <c r="H215" s="1"/>
      <c r="I215" s="1"/>
    </row>
    <row r="216" ht="15.75" customHeight="1">
      <c r="A216" s="36"/>
      <c r="B216" s="36"/>
      <c r="C216" s="37"/>
      <c r="D216" s="37"/>
      <c r="E216" s="37"/>
      <c r="F216" s="37"/>
      <c r="G216" s="37"/>
      <c r="H216" s="1"/>
      <c r="I216" s="1"/>
    </row>
    <row r="217" ht="15.75" customHeight="1">
      <c r="A217" s="36"/>
      <c r="B217" s="36"/>
      <c r="C217" s="37"/>
      <c r="D217" s="37"/>
      <c r="E217" s="37"/>
      <c r="F217" s="37"/>
      <c r="G217" s="37"/>
      <c r="H217" s="1"/>
      <c r="I217" s="1"/>
    </row>
    <row r="218" ht="15.75" customHeight="1">
      <c r="A218" s="36"/>
      <c r="B218" s="36"/>
      <c r="C218" s="37"/>
      <c r="D218" s="37"/>
      <c r="E218" s="37"/>
      <c r="F218" s="37"/>
      <c r="G218" s="37"/>
      <c r="H218" s="1"/>
      <c r="I218" s="1"/>
    </row>
    <row r="219" ht="15.75" customHeight="1">
      <c r="A219" s="36"/>
      <c r="B219" s="36"/>
      <c r="C219" s="37"/>
      <c r="D219" s="37"/>
      <c r="E219" s="37"/>
      <c r="F219" s="37"/>
      <c r="G219" s="37"/>
      <c r="H219" s="1"/>
      <c r="I219" s="1"/>
    </row>
    <row r="220" ht="15.75" customHeight="1">
      <c r="A220" s="36"/>
      <c r="B220" s="36"/>
      <c r="C220" s="37"/>
      <c r="D220" s="37"/>
      <c r="E220" s="37"/>
      <c r="F220" s="37"/>
      <c r="G220" s="37"/>
      <c r="H220" s="1"/>
      <c r="I220" s="1"/>
    </row>
    <row r="221" ht="15.75" customHeight="1">
      <c r="A221" s="36"/>
      <c r="B221" s="36"/>
      <c r="C221" s="37"/>
      <c r="D221" s="37"/>
      <c r="E221" s="37"/>
      <c r="F221" s="37"/>
      <c r="G221" s="37"/>
      <c r="H221" s="1"/>
      <c r="I221" s="1"/>
    </row>
    <row r="222" ht="15.75" customHeight="1">
      <c r="A222" s="36"/>
      <c r="B222" s="36"/>
      <c r="C222" s="37"/>
      <c r="D222" s="37"/>
      <c r="E222" s="37"/>
      <c r="F222" s="37"/>
      <c r="G222" s="37"/>
      <c r="H222" s="1"/>
      <c r="I222" s="1"/>
    </row>
    <row r="223" ht="15.75" customHeight="1">
      <c r="A223" s="36"/>
      <c r="B223" s="36"/>
      <c r="C223" s="37"/>
      <c r="D223" s="37"/>
      <c r="E223" s="37"/>
      <c r="F223" s="37"/>
      <c r="G223" s="37"/>
      <c r="H223" s="1"/>
      <c r="I223" s="1"/>
    </row>
    <row r="224" ht="15.75" customHeight="1">
      <c r="A224" s="36"/>
      <c r="B224" s="36"/>
      <c r="C224" s="37"/>
      <c r="D224" s="37"/>
      <c r="E224" s="37"/>
      <c r="F224" s="37"/>
      <c r="G224" s="37"/>
      <c r="H224" s="1"/>
      <c r="I224" s="1"/>
    </row>
    <row r="225" ht="15.75" customHeight="1">
      <c r="A225" s="36"/>
      <c r="B225" s="36"/>
      <c r="C225" s="37"/>
      <c r="D225" s="37"/>
      <c r="E225" s="37"/>
      <c r="F225" s="37"/>
      <c r="G225" s="37"/>
      <c r="H225" s="1"/>
      <c r="I225" s="1"/>
    </row>
    <row r="226" ht="15.75" customHeight="1">
      <c r="A226" s="36"/>
      <c r="B226" s="36"/>
      <c r="C226" s="37"/>
      <c r="D226" s="37"/>
      <c r="E226" s="37"/>
      <c r="F226" s="37"/>
      <c r="G226" s="37"/>
      <c r="H226" s="1"/>
      <c r="I226" s="1"/>
    </row>
    <row r="227" ht="15.75" customHeight="1">
      <c r="A227" s="36"/>
      <c r="B227" s="36"/>
      <c r="C227" s="37"/>
      <c r="D227" s="37"/>
      <c r="E227" s="37"/>
      <c r="F227" s="37"/>
      <c r="G227" s="37"/>
      <c r="H227" s="1"/>
      <c r="I227" s="1"/>
    </row>
    <row r="228" ht="15.75" customHeight="1">
      <c r="A228" s="36"/>
      <c r="B228" s="36"/>
      <c r="C228" s="37"/>
      <c r="D228" s="37"/>
      <c r="E228" s="37"/>
      <c r="F228" s="37"/>
      <c r="G228" s="37"/>
      <c r="H228" s="1"/>
      <c r="I228" s="1"/>
    </row>
    <row r="229" ht="15.75" customHeight="1">
      <c r="A229" s="36"/>
      <c r="B229" s="36"/>
      <c r="C229" s="37"/>
      <c r="D229" s="37"/>
      <c r="E229" s="37"/>
      <c r="F229" s="37"/>
      <c r="G229" s="37"/>
      <c r="H229" s="1"/>
      <c r="I229" s="1"/>
    </row>
    <row r="230" ht="15.75" customHeight="1">
      <c r="A230" s="36"/>
      <c r="B230" s="36"/>
      <c r="C230" s="37"/>
      <c r="D230" s="37"/>
      <c r="E230" s="37"/>
      <c r="F230" s="37"/>
      <c r="G230" s="37"/>
      <c r="H230" s="1"/>
      <c r="I230" s="1"/>
    </row>
    <row r="231" ht="15.75" customHeight="1">
      <c r="A231" s="36"/>
      <c r="B231" s="36"/>
      <c r="C231" s="37"/>
      <c r="D231" s="37"/>
      <c r="E231" s="37"/>
      <c r="F231" s="37"/>
      <c r="G231" s="37"/>
      <c r="H231" s="1"/>
      <c r="I231" s="1"/>
    </row>
    <row r="232" ht="15.75" customHeight="1">
      <c r="A232" s="36"/>
      <c r="B232" s="36"/>
      <c r="C232" s="37"/>
      <c r="D232" s="37"/>
      <c r="E232" s="37"/>
      <c r="F232" s="37"/>
      <c r="G232" s="37"/>
      <c r="H232" s="1"/>
      <c r="I232" s="1"/>
    </row>
    <row r="233" ht="15.75" customHeight="1">
      <c r="A233" s="36"/>
      <c r="B233" s="36"/>
      <c r="C233" s="37"/>
      <c r="D233" s="37"/>
      <c r="E233" s="37"/>
      <c r="F233" s="37"/>
      <c r="G233" s="37"/>
      <c r="H233" s="1"/>
      <c r="I233" s="1"/>
    </row>
    <row r="234" ht="15.75" customHeight="1">
      <c r="A234" s="36"/>
      <c r="B234" s="36"/>
      <c r="C234" s="37"/>
      <c r="D234" s="37"/>
      <c r="E234" s="37"/>
      <c r="F234" s="37"/>
      <c r="G234" s="37"/>
      <c r="H234" s="1"/>
      <c r="I234" s="1"/>
    </row>
    <row r="235" ht="15.75" customHeight="1">
      <c r="A235" s="36"/>
      <c r="B235" s="36"/>
      <c r="C235" s="37"/>
      <c r="D235" s="37"/>
      <c r="E235" s="37"/>
      <c r="F235" s="37"/>
      <c r="G235" s="37"/>
      <c r="H235" s="1"/>
      <c r="I235" s="1"/>
    </row>
    <row r="236" ht="15.75" customHeight="1">
      <c r="A236" s="36"/>
      <c r="B236" s="36"/>
      <c r="C236" s="37"/>
      <c r="D236" s="37"/>
      <c r="E236" s="37"/>
      <c r="F236" s="37"/>
      <c r="G236" s="37"/>
      <c r="H236" s="1"/>
      <c r="I236" s="1"/>
    </row>
    <row r="237" ht="15.75" customHeight="1">
      <c r="A237" s="36"/>
      <c r="B237" s="36"/>
      <c r="C237" s="37"/>
      <c r="D237" s="37"/>
      <c r="E237" s="37"/>
      <c r="F237" s="37"/>
      <c r="G237" s="37"/>
      <c r="H237" s="1"/>
      <c r="I237" s="1"/>
    </row>
    <row r="238" ht="15.75" customHeight="1">
      <c r="A238" s="36"/>
      <c r="B238" s="36"/>
      <c r="C238" s="37"/>
      <c r="D238" s="37"/>
      <c r="E238" s="37"/>
      <c r="F238" s="37"/>
      <c r="G238" s="37"/>
      <c r="H238" s="1"/>
      <c r="I238" s="1"/>
    </row>
    <row r="239" ht="15.75" customHeight="1">
      <c r="A239" s="36"/>
      <c r="B239" s="36"/>
      <c r="C239" s="37"/>
      <c r="D239" s="37"/>
      <c r="E239" s="37"/>
      <c r="F239" s="37"/>
      <c r="G239" s="37"/>
      <c r="H239" s="1"/>
      <c r="I239" s="1"/>
    </row>
    <row r="240" ht="15.75" customHeight="1">
      <c r="A240" s="36"/>
      <c r="B240" s="36"/>
      <c r="C240" s="37"/>
      <c r="D240" s="37"/>
      <c r="E240" s="37"/>
      <c r="F240" s="37"/>
      <c r="G240" s="37"/>
      <c r="H240" s="1"/>
      <c r="I240" s="1"/>
    </row>
    <row r="241" ht="15.75" customHeight="1">
      <c r="A241" s="36"/>
      <c r="B241" s="36"/>
      <c r="C241" s="37"/>
      <c r="D241" s="37"/>
      <c r="E241" s="37"/>
      <c r="F241" s="37"/>
      <c r="G241" s="37"/>
      <c r="H241" s="1"/>
      <c r="I241" s="1"/>
    </row>
    <row r="242" ht="15.75" customHeight="1">
      <c r="A242" s="36"/>
      <c r="B242" s="36"/>
      <c r="C242" s="37"/>
      <c r="D242" s="37"/>
      <c r="E242" s="37"/>
      <c r="F242" s="37"/>
      <c r="G242" s="37"/>
      <c r="H242" s="1"/>
      <c r="I242" s="1"/>
    </row>
    <row r="243" ht="15.75" customHeight="1">
      <c r="A243" s="36"/>
      <c r="B243" s="36"/>
      <c r="C243" s="37"/>
      <c r="D243" s="37"/>
      <c r="E243" s="37"/>
      <c r="F243" s="37"/>
      <c r="G243" s="37"/>
      <c r="H243" s="1"/>
      <c r="I243" s="1"/>
    </row>
    <row r="244" ht="15.75" customHeight="1">
      <c r="A244" s="36"/>
      <c r="B244" s="36"/>
      <c r="C244" s="37"/>
      <c r="D244" s="37"/>
      <c r="E244" s="37"/>
      <c r="F244" s="37"/>
      <c r="G244" s="37"/>
      <c r="H244" s="1"/>
      <c r="I244" s="1"/>
    </row>
    <row r="245" ht="15.75" customHeight="1">
      <c r="A245" s="36"/>
      <c r="B245" s="36"/>
      <c r="C245" s="37"/>
      <c r="D245" s="37"/>
      <c r="E245" s="37"/>
      <c r="F245" s="37"/>
      <c r="G245" s="37"/>
      <c r="H245" s="1"/>
      <c r="I245" s="1"/>
    </row>
    <row r="246" ht="15.75" customHeight="1">
      <c r="A246" s="36"/>
      <c r="B246" s="36"/>
      <c r="C246" s="37"/>
      <c r="D246" s="37"/>
      <c r="E246" s="37"/>
      <c r="F246" s="37"/>
      <c r="G246" s="37"/>
      <c r="H246" s="1"/>
      <c r="I246" s="1"/>
    </row>
    <row r="247" ht="15.75" customHeight="1">
      <c r="A247" s="36"/>
      <c r="B247" s="36"/>
      <c r="C247" s="37"/>
      <c r="D247" s="37"/>
      <c r="E247" s="37"/>
      <c r="F247" s="37"/>
      <c r="G247" s="37"/>
      <c r="H247" s="1"/>
      <c r="I247" s="1"/>
    </row>
    <row r="248" ht="15.75" customHeight="1">
      <c r="A248" s="36"/>
      <c r="B248" s="36"/>
      <c r="C248" s="37"/>
      <c r="D248" s="37"/>
      <c r="E248" s="37"/>
      <c r="F248" s="37"/>
      <c r="G248" s="37"/>
      <c r="H248" s="1"/>
      <c r="I248" s="1"/>
    </row>
    <row r="249" ht="15.75" customHeight="1">
      <c r="A249" s="36"/>
      <c r="B249" s="36"/>
      <c r="C249" s="37"/>
      <c r="D249" s="37"/>
      <c r="E249" s="37"/>
      <c r="F249" s="37"/>
      <c r="G249" s="37"/>
      <c r="H249" s="1"/>
      <c r="I249" s="1"/>
    </row>
    <row r="250" ht="15.75" customHeight="1">
      <c r="A250" s="36"/>
      <c r="B250" s="36"/>
      <c r="C250" s="37"/>
      <c r="D250" s="37"/>
      <c r="E250" s="37"/>
      <c r="F250" s="37"/>
      <c r="G250" s="37"/>
      <c r="H250" s="1"/>
      <c r="I250" s="1"/>
    </row>
    <row r="251" ht="15.75" customHeight="1">
      <c r="A251" s="36"/>
      <c r="B251" s="36"/>
      <c r="C251" s="37"/>
      <c r="D251" s="37"/>
      <c r="E251" s="37"/>
      <c r="F251" s="37"/>
      <c r="G251" s="37"/>
      <c r="H251" s="1"/>
      <c r="I251" s="1"/>
    </row>
    <row r="252" ht="15.75" customHeight="1">
      <c r="A252" s="36"/>
      <c r="B252" s="36"/>
      <c r="C252" s="37"/>
      <c r="D252" s="37"/>
      <c r="E252" s="37"/>
      <c r="F252" s="37"/>
      <c r="G252" s="37"/>
      <c r="H252" s="1"/>
      <c r="I252" s="1"/>
    </row>
    <row r="253" ht="15.75" customHeight="1">
      <c r="A253" s="36"/>
      <c r="B253" s="36"/>
      <c r="C253" s="37"/>
      <c r="D253" s="37"/>
      <c r="E253" s="37"/>
      <c r="F253" s="37"/>
      <c r="G253" s="37"/>
      <c r="H253" s="1"/>
      <c r="I253" s="1"/>
    </row>
    <row r="254" ht="15.75" customHeight="1">
      <c r="A254" s="36"/>
      <c r="B254" s="36"/>
      <c r="C254" s="37"/>
      <c r="D254" s="37"/>
      <c r="E254" s="37"/>
      <c r="F254" s="37"/>
      <c r="G254" s="37"/>
      <c r="H254" s="1"/>
      <c r="I254" s="1"/>
    </row>
    <row r="255" ht="15.75" customHeight="1">
      <c r="A255" s="36"/>
      <c r="B255" s="36"/>
      <c r="C255" s="37"/>
      <c r="D255" s="37"/>
      <c r="E255" s="37"/>
      <c r="F255" s="37"/>
      <c r="G255" s="37"/>
      <c r="H255" s="1"/>
      <c r="I255" s="1"/>
    </row>
    <row r="256" ht="15.75" customHeight="1">
      <c r="A256" s="36"/>
      <c r="B256" s="36"/>
      <c r="C256" s="37"/>
      <c r="D256" s="37"/>
      <c r="E256" s="37"/>
      <c r="F256" s="37"/>
      <c r="G256" s="37"/>
      <c r="H256" s="1"/>
      <c r="I256" s="1"/>
    </row>
    <row r="257" ht="15.75" customHeight="1">
      <c r="A257" s="36"/>
      <c r="B257" s="36"/>
      <c r="C257" s="37"/>
      <c r="D257" s="37"/>
      <c r="E257" s="37"/>
      <c r="F257" s="37"/>
      <c r="G257" s="37"/>
      <c r="H257" s="1"/>
      <c r="I257" s="1"/>
    </row>
    <row r="258" ht="15.75" customHeight="1">
      <c r="A258" s="36"/>
      <c r="B258" s="36"/>
      <c r="C258" s="37"/>
      <c r="D258" s="37"/>
      <c r="E258" s="37"/>
      <c r="F258" s="37"/>
      <c r="G258" s="37"/>
      <c r="H258" s="1"/>
      <c r="I258" s="1"/>
    </row>
    <row r="259" ht="15.75" customHeight="1">
      <c r="A259" s="36"/>
      <c r="B259" s="36"/>
      <c r="C259" s="37"/>
      <c r="D259" s="37"/>
      <c r="E259" s="37"/>
      <c r="F259" s="37"/>
      <c r="G259" s="37"/>
      <c r="H259" s="1"/>
      <c r="I259" s="1"/>
    </row>
    <row r="260" ht="15.75" customHeight="1">
      <c r="A260" s="36"/>
      <c r="B260" s="36"/>
      <c r="C260" s="37"/>
      <c r="D260" s="37"/>
      <c r="E260" s="37"/>
      <c r="F260" s="37"/>
      <c r="G260" s="37"/>
      <c r="H260" s="1"/>
      <c r="I260" s="1"/>
    </row>
    <row r="261" ht="15.75" customHeight="1">
      <c r="A261" s="36"/>
      <c r="B261" s="36"/>
      <c r="C261" s="37"/>
      <c r="D261" s="37"/>
      <c r="E261" s="37"/>
      <c r="F261" s="37"/>
      <c r="G261" s="37"/>
      <c r="H261" s="1"/>
      <c r="I261" s="1"/>
    </row>
    <row r="262" ht="15.75" customHeight="1">
      <c r="A262" s="36"/>
      <c r="B262" s="36"/>
      <c r="C262" s="37"/>
      <c r="D262" s="37"/>
      <c r="E262" s="37"/>
      <c r="F262" s="37"/>
      <c r="G262" s="37"/>
      <c r="H262" s="1"/>
      <c r="I262" s="1"/>
    </row>
    <row r="263" ht="15.75" customHeight="1">
      <c r="A263" s="36"/>
      <c r="B263" s="36"/>
      <c r="C263" s="37"/>
      <c r="D263" s="37"/>
      <c r="E263" s="37"/>
      <c r="F263" s="37"/>
      <c r="G263" s="37"/>
      <c r="H263" s="1"/>
      <c r="I263" s="1"/>
    </row>
    <row r="264" ht="15.75" customHeight="1">
      <c r="A264" s="36"/>
      <c r="B264" s="36"/>
      <c r="C264" s="37"/>
      <c r="D264" s="37"/>
      <c r="E264" s="37"/>
      <c r="F264" s="37"/>
      <c r="G264" s="37"/>
      <c r="H264" s="1"/>
      <c r="I264" s="1"/>
    </row>
    <row r="265" ht="15.75" customHeight="1">
      <c r="A265" s="36"/>
      <c r="B265" s="36"/>
      <c r="C265" s="37"/>
      <c r="D265" s="37"/>
      <c r="E265" s="37"/>
      <c r="F265" s="37"/>
      <c r="G265" s="37"/>
      <c r="H265" s="1"/>
      <c r="I265" s="1"/>
    </row>
    <row r="266" ht="15.75" customHeight="1">
      <c r="A266" s="36"/>
      <c r="B266" s="36"/>
      <c r="C266" s="37"/>
      <c r="D266" s="37"/>
      <c r="E266" s="37"/>
      <c r="F266" s="37"/>
      <c r="G266" s="37"/>
      <c r="H266" s="1"/>
      <c r="I266" s="1"/>
    </row>
    <row r="267" ht="15.75" customHeight="1">
      <c r="A267" s="36"/>
      <c r="B267" s="36"/>
      <c r="C267" s="37"/>
      <c r="D267" s="37"/>
      <c r="E267" s="37"/>
      <c r="F267" s="37"/>
      <c r="G267" s="37"/>
      <c r="H267" s="1"/>
      <c r="I267" s="1"/>
    </row>
    <row r="268" ht="15.75" customHeight="1">
      <c r="A268" s="36"/>
      <c r="B268" s="36"/>
      <c r="C268" s="37"/>
      <c r="D268" s="37"/>
      <c r="E268" s="37"/>
      <c r="F268" s="37"/>
      <c r="G268" s="37"/>
      <c r="H268" s="1"/>
      <c r="I268" s="1"/>
    </row>
    <row r="269" ht="15.75" customHeight="1">
      <c r="A269" s="36"/>
      <c r="B269" s="36"/>
      <c r="C269" s="37"/>
      <c r="D269" s="37"/>
      <c r="E269" s="37"/>
      <c r="F269" s="37"/>
      <c r="G269" s="37"/>
      <c r="H269" s="1"/>
      <c r="I269" s="1"/>
    </row>
    <row r="270" ht="15.75" customHeight="1">
      <c r="A270" s="36"/>
      <c r="B270" s="36"/>
      <c r="C270" s="37"/>
      <c r="D270" s="37"/>
      <c r="E270" s="37"/>
      <c r="F270" s="37"/>
      <c r="G270" s="37"/>
      <c r="H270" s="1"/>
      <c r="I270" s="1"/>
    </row>
    <row r="271" ht="15.75" customHeight="1">
      <c r="A271" s="36"/>
      <c r="B271" s="36"/>
      <c r="C271" s="37"/>
      <c r="D271" s="37"/>
      <c r="E271" s="37"/>
      <c r="F271" s="37"/>
      <c r="G271" s="37"/>
      <c r="H271" s="1"/>
      <c r="I271" s="1"/>
    </row>
    <row r="272" ht="15.75" customHeight="1">
      <c r="A272" s="36"/>
      <c r="B272" s="36"/>
      <c r="C272" s="37"/>
      <c r="D272" s="37"/>
      <c r="E272" s="37"/>
      <c r="F272" s="37"/>
      <c r="G272" s="37"/>
      <c r="H272" s="1"/>
      <c r="I272" s="1"/>
    </row>
    <row r="273" ht="15.75" customHeight="1">
      <c r="A273" s="36"/>
      <c r="B273" s="36"/>
      <c r="C273" s="37"/>
      <c r="D273" s="37"/>
      <c r="E273" s="37"/>
      <c r="F273" s="37"/>
      <c r="G273" s="37"/>
      <c r="H273" s="1"/>
      <c r="I273" s="1"/>
    </row>
    <row r="274" ht="15.75" customHeight="1">
      <c r="A274" s="36"/>
      <c r="B274" s="36"/>
      <c r="C274" s="37"/>
      <c r="D274" s="37"/>
      <c r="E274" s="37"/>
      <c r="F274" s="37"/>
      <c r="G274" s="37"/>
      <c r="H274" s="1"/>
      <c r="I274" s="1"/>
    </row>
    <row r="275" ht="15.75" customHeight="1">
      <c r="A275" s="36"/>
      <c r="B275" s="36"/>
      <c r="C275" s="37"/>
      <c r="D275" s="37"/>
      <c r="E275" s="37"/>
      <c r="F275" s="37"/>
      <c r="G275" s="37"/>
      <c r="H275" s="1"/>
      <c r="I275" s="1"/>
    </row>
    <row r="276" ht="15.75" customHeight="1">
      <c r="A276" s="36"/>
      <c r="B276" s="36"/>
      <c r="C276" s="37"/>
      <c r="D276" s="37"/>
      <c r="E276" s="37"/>
      <c r="F276" s="37"/>
      <c r="G276" s="37"/>
      <c r="H276" s="1"/>
      <c r="I276" s="1"/>
    </row>
    <row r="277" ht="15.75" customHeight="1">
      <c r="A277" s="36"/>
      <c r="B277" s="36"/>
      <c r="C277" s="37"/>
      <c r="D277" s="37"/>
      <c r="E277" s="37"/>
      <c r="F277" s="37"/>
      <c r="G277" s="37"/>
      <c r="H277" s="1"/>
      <c r="I277" s="1"/>
    </row>
    <row r="278" ht="15.75" customHeight="1">
      <c r="A278" s="36"/>
      <c r="B278" s="36"/>
      <c r="C278" s="37"/>
      <c r="D278" s="37"/>
      <c r="E278" s="37"/>
      <c r="F278" s="37"/>
      <c r="G278" s="37"/>
      <c r="H278" s="1"/>
      <c r="I278" s="1"/>
    </row>
    <row r="279" ht="15.75" customHeight="1">
      <c r="A279" s="36"/>
      <c r="B279" s="36"/>
      <c r="C279" s="37"/>
      <c r="D279" s="37"/>
      <c r="E279" s="37"/>
      <c r="F279" s="37"/>
      <c r="G279" s="37"/>
      <c r="H279" s="1"/>
      <c r="I279" s="1"/>
    </row>
    <row r="280" ht="15.75" customHeight="1">
      <c r="A280" s="36"/>
      <c r="B280" s="36"/>
      <c r="C280" s="37"/>
      <c r="D280" s="37"/>
      <c r="E280" s="37"/>
      <c r="F280" s="37"/>
      <c r="G280" s="37"/>
      <c r="H280" s="1"/>
      <c r="I280" s="1"/>
    </row>
    <row r="281" ht="15.75" customHeight="1">
      <c r="A281" s="36"/>
      <c r="B281" s="36"/>
      <c r="C281" s="37"/>
      <c r="D281" s="37"/>
      <c r="E281" s="37"/>
      <c r="F281" s="37"/>
      <c r="G281" s="37"/>
      <c r="H281" s="1"/>
      <c r="I281" s="1"/>
    </row>
    <row r="282" ht="15.75" customHeight="1">
      <c r="A282" s="36"/>
      <c r="B282" s="36"/>
      <c r="C282" s="37"/>
      <c r="D282" s="37"/>
      <c r="E282" s="37"/>
      <c r="F282" s="37"/>
      <c r="G282" s="37"/>
      <c r="H282" s="1"/>
      <c r="I282" s="1"/>
    </row>
    <row r="283" ht="15.75" customHeight="1">
      <c r="A283" s="36"/>
      <c r="B283" s="36"/>
      <c r="C283" s="37"/>
      <c r="D283" s="37"/>
      <c r="E283" s="37"/>
      <c r="F283" s="37"/>
      <c r="G283" s="37"/>
      <c r="H283" s="1"/>
      <c r="I283" s="1"/>
    </row>
    <row r="284" ht="15.75" customHeight="1">
      <c r="A284" s="36"/>
      <c r="B284" s="36"/>
      <c r="C284" s="37"/>
      <c r="D284" s="37"/>
      <c r="E284" s="37"/>
      <c r="F284" s="37"/>
      <c r="G284" s="37"/>
      <c r="H284" s="1"/>
      <c r="I284" s="1"/>
    </row>
    <row r="285" ht="15.75" customHeight="1">
      <c r="A285" s="36"/>
      <c r="B285" s="36"/>
      <c r="C285" s="37"/>
      <c r="D285" s="37"/>
      <c r="E285" s="37"/>
      <c r="F285" s="37"/>
      <c r="G285" s="37"/>
      <c r="H285" s="1"/>
      <c r="I285" s="1"/>
    </row>
    <row r="286" ht="15.75" customHeight="1">
      <c r="A286" s="36"/>
      <c r="B286" s="36"/>
      <c r="C286" s="37"/>
      <c r="D286" s="37"/>
      <c r="E286" s="37"/>
      <c r="F286" s="37"/>
      <c r="G286" s="37"/>
      <c r="H286" s="1"/>
      <c r="I286" s="1"/>
    </row>
    <row r="287" ht="15.75" customHeight="1">
      <c r="A287" s="36"/>
      <c r="B287" s="36"/>
      <c r="C287" s="37"/>
      <c r="D287" s="37"/>
      <c r="E287" s="37"/>
      <c r="F287" s="37"/>
      <c r="G287" s="37"/>
      <c r="H287" s="1"/>
      <c r="I287" s="1"/>
    </row>
    <row r="288" ht="15.75" customHeight="1">
      <c r="A288" s="36"/>
      <c r="B288" s="36"/>
      <c r="C288" s="37"/>
      <c r="D288" s="37"/>
      <c r="E288" s="37"/>
      <c r="F288" s="37"/>
      <c r="G288" s="37"/>
      <c r="H288" s="1"/>
      <c r="I288" s="1"/>
    </row>
    <row r="289" ht="15.75" customHeight="1">
      <c r="A289" s="36"/>
      <c r="B289" s="36"/>
      <c r="C289" s="37"/>
      <c r="D289" s="37"/>
      <c r="E289" s="37"/>
      <c r="F289" s="37"/>
      <c r="G289" s="37"/>
      <c r="H289" s="1"/>
      <c r="I289" s="1"/>
    </row>
    <row r="290" ht="15.75" customHeight="1">
      <c r="A290" s="36"/>
      <c r="B290" s="36"/>
      <c r="C290" s="37"/>
      <c r="D290" s="37"/>
      <c r="E290" s="37"/>
      <c r="F290" s="37"/>
      <c r="G290" s="37"/>
      <c r="H290" s="1"/>
      <c r="I290" s="1"/>
    </row>
    <row r="291" ht="15.75" customHeight="1">
      <c r="A291" s="36"/>
      <c r="B291" s="36"/>
      <c r="C291" s="37"/>
      <c r="D291" s="37"/>
      <c r="E291" s="37"/>
      <c r="F291" s="37"/>
      <c r="G291" s="37"/>
      <c r="H291" s="1"/>
      <c r="I291" s="1"/>
    </row>
    <row r="292" ht="15.75" customHeight="1">
      <c r="A292" s="36"/>
      <c r="B292" s="36"/>
      <c r="C292" s="37"/>
      <c r="D292" s="37"/>
      <c r="E292" s="37"/>
      <c r="F292" s="37"/>
      <c r="G292" s="37"/>
      <c r="H292" s="1"/>
      <c r="I292" s="1"/>
    </row>
    <row r="293" ht="15.75" customHeight="1">
      <c r="A293" s="36"/>
      <c r="B293" s="36"/>
      <c r="C293" s="37"/>
      <c r="D293" s="37"/>
      <c r="E293" s="37"/>
      <c r="F293" s="37"/>
      <c r="G293" s="37"/>
      <c r="H293" s="1"/>
      <c r="I293" s="1"/>
    </row>
    <row r="294" ht="15.75" customHeight="1">
      <c r="A294" s="36"/>
      <c r="B294" s="36"/>
      <c r="C294" s="37"/>
      <c r="D294" s="37"/>
      <c r="E294" s="37"/>
      <c r="F294" s="37"/>
      <c r="G294" s="37"/>
      <c r="H294" s="1"/>
      <c r="I294" s="1"/>
    </row>
    <row r="295" ht="15.75" customHeight="1">
      <c r="A295" s="36"/>
      <c r="B295" s="36"/>
      <c r="C295" s="37"/>
      <c r="D295" s="37"/>
      <c r="E295" s="37"/>
      <c r="F295" s="37"/>
      <c r="G295" s="37"/>
      <c r="H295" s="1"/>
      <c r="I295" s="1"/>
    </row>
    <row r="296" ht="15.75" customHeight="1">
      <c r="A296" s="36"/>
      <c r="B296" s="36"/>
      <c r="C296" s="37"/>
      <c r="D296" s="37"/>
      <c r="E296" s="37"/>
      <c r="F296" s="37"/>
      <c r="G296" s="37"/>
      <c r="H296" s="1"/>
      <c r="I296" s="1"/>
    </row>
    <row r="297" ht="15.75" customHeight="1">
      <c r="A297" s="36"/>
      <c r="B297" s="36"/>
      <c r="C297" s="37"/>
      <c r="D297" s="37"/>
      <c r="E297" s="37"/>
      <c r="F297" s="37"/>
      <c r="G297" s="37"/>
      <c r="H297" s="1"/>
      <c r="I297" s="1"/>
    </row>
    <row r="298" ht="15.75" customHeight="1">
      <c r="A298" s="36"/>
      <c r="B298" s="36"/>
      <c r="C298" s="37"/>
      <c r="D298" s="37"/>
      <c r="E298" s="37"/>
      <c r="F298" s="37"/>
      <c r="G298" s="37"/>
      <c r="H298" s="1"/>
      <c r="I298" s="1"/>
    </row>
    <row r="299" ht="15.75" customHeight="1">
      <c r="A299" s="36"/>
      <c r="B299" s="36"/>
      <c r="C299" s="37"/>
      <c r="D299" s="37"/>
      <c r="E299" s="37"/>
      <c r="F299" s="37"/>
      <c r="G299" s="37"/>
      <c r="H299" s="1"/>
      <c r="I299" s="1"/>
    </row>
    <row r="300" ht="15.75" customHeight="1">
      <c r="A300" s="36"/>
      <c r="B300" s="36"/>
      <c r="C300" s="37"/>
      <c r="D300" s="37"/>
      <c r="E300" s="37"/>
      <c r="F300" s="37"/>
      <c r="G300" s="37"/>
      <c r="H300" s="1"/>
      <c r="I300" s="1"/>
    </row>
    <row r="301" ht="15.75" customHeight="1">
      <c r="A301" s="36"/>
      <c r="B301" s="36"/>
      <c r="C301" s="37"/>
      <c r="D301" s="37"/>
      <c r="E301" s="37"/>
      <c r="F301" s="37"/>
      <c r="G301" s="37"/>
      <c r="H301" s="1"/>
      <c r="I301" s="1"/>
    </row>
    <row r="302" ht="15.75" customHeight="1">
      <c r="A302" s="36"/>
      <c r="B302" s="36"/>
      <c r="C302" s="37"/>
      <c r="D302" s="37"/>
      <c r="E302" s="37"/>
      <c r="F302" s="37"/>
      <c r="G302" s="37"/>
      <c r="H302" s="1"/>
      <c r="I302" s="1"/>
    </row>
    <row r="303" ht="15.75" customHeight="1">
      <c r="A303" s="36"/>
      <c r="B303" s="36"/>
      <c r="C303" s="37"/>
      <c r="D303" s="37"/>
      <c r="E303" s="37"/>
      <c r="F303" s="37"/>
      <c r="G303" s="37"/>
      <c r="H303" s="1"/>
      <c r="I303" s="1"/>
    </row>
    <row r="304" ht="15.75" customHeight="1">
      <c r="A304" s="36"/>
      <c r="B304" s="36"/>
      <c r="C304" s="37"/>
      <c r="D304" s="37"/>
      <c r="E304" s="37"/>
      <c r="F304" s="37"/>
      <c r="G304" s="37"/>
      <c r="H304" s="1"/>
      <c r="I304" s="1"/>
    </row>
    <row r="305" ht="15.75" customHeight="1">
      <c r="A305" s="36"/>
      <c r="B305" s="36"/>
      <c r="C305" s="37"/>
      <c r="D305" s="37"/>
      <c r="E305" s="37"/>
      <c r="F305" s="37"/>
      <c r="G305" s="37"/>
      <c r="H305" s="1"/>
      <c r="I305" s="1"/>
    </row>
    <row r="306" ht="15.75" customHeight="1">
      <c r="A306" s="36"/>
      <c r="B306" s="36"/>
      <c r="C306" s="37"/>
      <c r="D306" s="37"/>
      <c r="E306" s="37"/>
      <c r="F306" s="37"/>
      <c r="G306" s="37"/>
      <c r="H306" s="1"/>
      <c r="I306" s="1"/>
    </row>
    <row r="307" ht="15.75" customHeight="1">
      <c r="A307" s="36"/>
      <c r="B307" s="36"/>
      <c r="C307" s="37"/>
      <c r="D307" s="37"/>
      <c r="E307" s="37"/>
      <c r="F307" s="37"/>
      <c r="G307" s="37"/>
      <c r="H307" s="1"/>
      <c r="I307" s="1"/>
    </row>
    <row r="308" ht="15.75" customHeight="1">
      <c r="A308" s="36"/>
      <c r="B308" s="36"/>
      <c r="C308" s="37"/>
      <c r="D308" s="37"/>
      <c r="E308" s="37"/>
      <c r="F308" s="37"/>
      <c r="G308" s="37"/>
      <c r="H308" s="1"/>
      <c r="I308" s="1"/>
    </row>
    <row r="309" ht="15.75" customHeight="1">
      <c r="A309" s="36"/>
      <c r="B309" s="36"/>
      <c r="C309" s="37"/>
      <c r="D309" s="37"/>
      <c r="E309" s="37"/>
      <c r="F309" s="37"/>
      <c r="G309" s="37"/>
      <c r="H309" s="1"/>
      <c r="I309" s="1"/>
    </row>
    <row r="310" ht="15.75" customHeight="1">
      <c r="A310" s="36"/>
      <c r="B310" s="36"/>
      <c r="C310" s="37"/>
      <c r="D310" s="37"/>
      <c r="E310" s="37"/>
      <c r="F310" s="37"/>
      <c r="G310" s="37"/>
      <c r="H310" s="1"/>
      <c r="I310" s="1"/>
    </row>
    <row r="311" ht="15.75" customHeight="1">
      <c r="A311" s="36"/>
      <c r="B311" s="36"/>
      <c r="C311" s="37"/>
      <c r="D311" s="37"/>
      <c r="E311" s="37"/>
      <c r="F311" s="37"/>
      <c r="G311" s="37"/>
      <c r="H311" s="1"/>
      <c r="I311" s="1"/>
    </row>
    <row r="312" ht="15.75" customHeight="1">
      <c r="A312" s="36"/>
      <c r="B312" s="36"/>
      <c r="C312" s="37"/>
      <c r="D312" s="37"/>
      <c r="E312" s="37"/>
      <c r="F312" s="37"/>
      <c r="G312" s="37"/>
      <c r="H312" s="1"/>
      <c r="I312" s="1"/>
    </row>
    <row r="313" ht="15.75" customHeight="1">
      <c r="A313" s="36"/>
      <c r="B313" s="36"/>
      <c r="C313" s="37"/>
      <c r="D313" s="37"/>
      <c r="E313" s="37"/>
      <c r="F313" s="37"/>
      <c r="G313" s="37"/>
      <c r="H313" s="1"/>
      <c r="I313" s="1"/>
    </row>
    <row r="314" ht="15.75" customHeight="1">
      <c r="A314" s="36"/>
      <c r="B314" s="36"/>
      <c r="C314" s="37"/>
      <c r="D314" s="37"/>
      <c r="E314" s="37"/>
      <c r="F314" s="37"/>
      <c r="G314" s="37"/>
      <c r="H314" s="1"/>
      <c r="I314" s="1"/>
    </row>
    <row r="315" ht="15.75" customHeight="1">
      <c r="A315" s="36"/>
      <c r="B315" s="36"/>
      <c r="C315" s="37"/>
      <c r="D315" s="37"/>
      <c r="E315" s="37"/>
      <c r="F315" s="37"/>
      <c r="G315" s="37"/>
      <c r="H315" s="1"/>
      <c r="I315" s="1"/>
    </row>
    <row r="316" ht="15.75" customHeight="1">
      <c r="A316" s="36"/>
      <c r="B316" s="36"/>
      <c r="C316" s="37"/>
      <c r="D316" s="37"/>
      <c r="E316" s="37"/>
      <c r="F316" s="37"/>
      <c r="G316" s="37"/>
      <c r="H316" s="1"/>
      <c r="I316" s="1"/>
    </row>
    <row r="317" ht="15.75" customHeight="1">
      <c r="A317" s="36"/>
      <c r="B317" s="36"/>
      <c r="C317" s="37"/>
      <c r="D317" s="37"/>
      <c r="E317" s="37"/>
      <c r="F317" s="37"/>
      <c r="G317" s="37"/>
      <c r="H317" s="1"/>
      <c r="I317" s="1"/>
    </row>
    <row r="318" ht="15.75" customHeight="1">
      <c r="A318" s="36"/>
      <c r="B318" s="36"/>
      <c r="C318" s="37"/>
      <c r="D318" s="37"/>
      <c r="E318" s="37"/>
      <c r="F318" s="37"/>
      <c r="G318" s="37"/>
      <c r="H318" s="1"/>
      <c r="I318" s="1"/>
    </row>
    <row r="319" ht="15.75" customHeight="1">
      <c r="A319" s="36"/>
      <c r="B319" s="36"/>
      <c r="C319" s="37"/>
      <c r="D319" s="37"/>
      <c r="E319" s="37"/>
      <c r="F319" s="37"/>
      <c r="G319" s="37"/>
      <c r="H319" s="1"/>
      <c r="I319" s="1"/>
    </row>
    <row r="320" ht="15.75" customHeight="1">
      <c r="A320" s="36"/>
      <c r="B320" s="36"/>
      <c r="C320" s="37"/>
      <c r="D320" s="37"/>
      <c r="E320" s="37"/>
      <c r="F320" s="37"/>
      <c r="G320" s="37"/>
      <c r="H320" s="1"/>
      <c r="I320" s="1"/>
    </row>
    <row r="321" ht="15.75" customHeight="1">
      <c r="A321" s="36"/>
      <c r="B321" s="36"/>
      <c r="C321" s="37"/>
      <c r="D321" s="37"/>
      <c r="E321" s="37"/>
      <c r="F321" s="37"/>
      <c r="G321" s="37"/>
      <c r="H321" s="1"/>
      <c r="I321" s="1"/>
    </row>
    <row r="322" ht="15.75" customHeight="1">
      <c r="A322" s="36"/>
      <c r="B322" s="36"/>
      <c r="C322" s="37"/>
      <c r="D322" s="37"/>
      <c r="E322" s="37"/>
      <c r="F322" s="37"/>
      <c r="G322" s="37"/>
      <c r="H322" s="1"/>
      <c r="I322" s="1"/>
    </row>
    <row r="323" ht="15.75" customHeight="1">
      <c r="A323" s="36"/>
      <c r="B323" s="36"/>
      <c r="C323" s="37"/>
      <c r="D323" s="37"/>
      <c r="E323" s="37"/>
      <c r="F323" s="37"/>
      <c r="G323" s="37"/>
      <c r="H323" s="1"/>
      <c r="I323" s="1"/>
    </row>
    <row r="324" ht="15.75" customHeight="1">
      <c r="A324" s="36"/>
      <c r="B324" s="36"/>
      <c r="C324" s="37"/>
      <c r="D324" s="37"/>
      <c r="E324" s="37"/>
      <c r="F324" s="37"/>
      <c r="G324" s="37"/>
      <c r="H324" s="1"/>
      <c r="I324" s="1"/>
    </row>
    <row r="325" ht="15.75" customHeight="1">
      <c r="A325" s="36"/>
      <c r="B325" s="36"/>
      <c r="C325" s="37"/>
      <c r="D325" s="37"/>
      <c r="E325" s="37"/>
      <c r="F325" s="37"/>
      <c r="G325" s="37"/>
      <c r="H325" s="1"/>
      <c r="I325" s="1"/>
    </row>
    <row r="326" ht="15.75" customHeight="1">
      <c r="A326" s="36"/>
      <c r="B326" s="36"/>
      <c r="C326" s="37"/>
      <c r="D326" s="37"/>
      <c r="E326" s="37"/>
      <c r="F326" s="37"/>
      <c r="G326" s="37"/>
      <c r="H326" s="1"/>
      <c r="I326" s="1"/>
    </row>
    <row r="327" ht="15.75" customHeight="1">
      <c r="A327" s="36"/>
      <c r="B327" s="36"/>
      <c r="C327" s="37"/>
      <c r="D327" s="37"/>
      <c r="E327" s="37"/>
      <c r="F327" s="37"/>
      <c r="G327" s="37"/>
      <c r="H327" s="1"/>
      <c r="I327" s="1"/>
    </row>
    <row r="328" ht="15.75" customHeight="1">
      <c r="A328" s="36"/>
      <c r="B328" s="36"/>
      <c r="C328" s="37"/>
      <c r="D328" s="37"/>
      <c r="E328" s="37"/>
      <c r="F328" s="37"/>
      <c r="G328" s="37"/>
      <c r="H328" s="1"/>
      <c r="I328" s="1"/>
    </row>
    <row r="329" ht="15.75" customHeight="1">
      <c r="A329" s="36"/>
      <c r="B329" s="36"/>
      <c r="C329" s="37"/>
      <c r="D329" s="37"/>
      <c r="E329" s="37"/>
      <c r="F329" s="37"/>
      <c r="G329" s="37"/>
      <c r="H329" s="1"/>
      <c r="I329" s="1"/>
    </row>
    <row r="330" ht="15.75" customHeight="1">
      <c r="A330" s="36"/>
      <c r="B330" s="36"/>
      <c r="C330" s="37"/>
      <c r="D330" s="37"/>
      <c r="E330" s="37"/>
      <c r="F330" s="37"/>
      <c r="G330" s="37"/>
      <c r="H330" s="1"/>
      <c r="I330" s="1"/>
    </row>
    <row r="331" ht="15.75" customHeight="1">
      <c r="A331" s="36"/>
      <c r="B331" s="36"/>
      <c r="C331" s="37"/>
      <c r="D331" s="37"/>
      <c r="E331" s="37"/>
      <c r="F331" s="37"/>
      <c r="G331" s="37"/>
      <c r="H331" s="1"/>
      <c r="I331" s="1"/>
    </row>
    <row r="332" ht="15.75" customHeight="1">
      <c r="A332" s="36"/>
      <c r="B332" s="36"/>
      <c r="C332" s="37"/>
      <c r="D332" s="37"/>
      <c r="E332" s="37"/>
      <c r="F332" s="37"/>
      <c r="G332" s="37"/>
      <c r="H332" s="1"/>
      <c r="I332" s="1"/>
    </row>
    <row r="333" ht="15.75" customHeight="1">
      <c r="A333" s="36"/>
      <c r="B333" s="36"/>
      <c r="C333" s="37"/>
      <c r="D333" s="37"/>
      <c r="E333" s="37"/>
      <c r="F333" s="37"/>
      <c r="G333" s="37"/>
      <c r="H333" s="1"/>
      <c r="I333" s="1"/>
    </row>
    <row r="334" ht="15.75" customHeight="1">
      <c r="A334" s="36"/>
      <c r="B334" s="36"/>
      <c r="C334" s="37"/>
      <c r="D334" s="37"/>
      <c r="E334" s="37"/>
      <c r="F334" s="37"/>
      <c r="G334" s="37"/>
      <c r="H334" s="1"/>
      <c r="I334" s="1"/>
    </row>
    <row r="335" ht="15.75" customHeight="1">
      <c r="A335" s="36"/>
      <c r="B335" s="36"/>
      <c r="C335" s="37"/>
      <c r="D335" s="37"/>
      <c r="E335" s="37"/>
      <c r="F335" s="37"/>
      <c r="G335" s="37"/>
      <c r="H335" s="1"/>
      <c r="I335" s="1"/>
    </row>
    <row r="336" ht="15.75" customHeight="1">
      <c r="A336" s="36"/>
      <c r="B336" s="36"/>
      <c r="C336" s="37"/>
      <c r="D336" s="37"/>
      <c r="E336" s="37"/>
      <c r="F336" s="37"/>
      <c r="G336" s="37"/>
      <c r="H336" s="1"/>
      <c r="I336" s="1"/>
    </row>
    <row r="337" ht="15.75" customHeight="1">
      <c r="A337" s="36"/>
      <c r="B337" s="36"/>
      <c r="C337" s="37"/>
      <c r="D337" s="37"/>
      <c r="E337" s="37"/>
      <c r="F337" s="37"/>
      <c r="G337" s="37"/>
      <c r="H337" s="1"/>
      <c r="I337" s="1"/>
    </row>
    <row r="338" ht="15.75" customHeight="1">
      <c r="A338" s="36"/>
      <c r="B338" s="36"/>
      <c r="C338" s="37"/>
      <c r="D338" s="37"/>
      <c r="E338" s="37"/>
      <c r="F338" s="37"/>
      <c r="G338" s="37"/>
      <c r="H338" s="1"/>
      <c r="I338" s="1"/>
    </row>
    <row r="339" ht="15.75" customHeight="1">
      <c r="A339" s="36"/>
      <c r="B339" s="36"/>
      <c r="C339" s="37"/>
      <c r="D339" s="37"/>
      <c r="E339" s="37"/>
      <c r="F339" s="37"/>
      <c r="G339" s="37"/>
      <c r="H339" s="1"/>
      <c r="I339" s="1"/>
    </row>
    <row r="340" ht="15.75" customHeight="1">
      <c r="A340" s="36"/>
      <c r="B340" s="36"/>
      <c r="C340" s="37"/>
      <c r="D340" s="37"/>
      <c r="E340" s="37"/>
      <c r="F340" s="37"/>
      <c r="G340" s="37"/>
      <c r="H340" s="1"/>
      <c r="I340" s="1"/>
    </row>
    <row r="341" ht="15.75" customHeight="1">
      <c r="A341" s="36"/>
      <c r="B341" s="36"/>
      <c r="C341" s="37"/>
      <c r="D341" s="37"/>
      <c r="E341" s="37"/>
      <c r="F341" s="37"/>
      <c r="G341" s="37"/>
      <c r="H341" s="1"/>
      <c r="I341" s="1"/>
    </row>
    <row r="342" ht="15.75" customHeight="1">
      <c r="A342" s="36"/>
      <c r="B342" s="36"/>
      <c r="C342" s="37"/>
      <c r="D342" s="37"/>
      <c r="E342" s="37"/>
      <c r="F342" s="37"/>
      <c r="G342" s="37"/>
      <c r="H342" s="1"/>
      <c r="I342" s="1"/>
    </row>
    <row r="343" ht="15.75" customHeight="1">
      <c r="A343" s="36"/>
      <c r="B343" s="36"/>
      <c r="C343" s="37"/>
      <c r="D343" s="37"/>
      <c r="E343" s="37"/>
      <c r="F343" s="37"/>
      <c r="G343" s="37"/>
      <c r="H343" s="1"/>
      <c r="I343" s="1"/>
    </row>
    <row r="344" ht="15.75" customHeight="1">
      <c r="A344" s="36"/>
      <c r="B344" s="36"/>
      <c r="C344" s="37"/>
      <c r="D344" s="37"/>
      <c r="E344" s="37"/>
      <c r="F344" s="37"/>
      <c r="G344" s="37"/>
      <c r="H344" s="1"/>
      <c r="I344" s="1"/>
    </row>
    <row r="345" ht="15.75" customHeight="1">
      <c r="A345" s="36"/>
      <c r="B345" s="36"/>
      <c r="C345" s="37"/>
      <c r="D345" s="37"/>
      <c r="E345" s="37"/>
      <c r="F345" s="37"/>
      <c r="G345" s="37"/>
      <c r="H345" s="1"/>
      <c r="I345" s="1"/>
    </row>
    <row r="346" ht="15.75" customHeight="1">
      <c r="A346" s="36"/>
      <c r="B346" s="36"/>
      <c r="C346" s="37"/>
      <c r="D346" s="37"/>
      <c r="E346" s="37"/>
      <c r="F346" s="37"/>
      <c r="G346" s="37"/>
      <c r="H346" s="1"/>
      <c r="I346" s="1"/>
    </row>
    <row r="347" ht="15.75" customHeight="1">
      <c r="A347" s="36"/>
      <c r="B347" s="36"/>
      <c r="C347" s="37"/>
      <c r="D347" s="37"/>
      <c r="E347" s="37"/>
      <c r="F347" s="37"/>
      <c r="G347" s="37"/>
      <c r="H347" s="1"/>
      <c r="I347" s="1"/>
    </row>
    <row r="348" ht="15.75" customHeight="1">
      <c r="A348" s="36"/>
      <c r="B348" s="36"/>
      <c r="C348" s="37"/>
      <c r="D348" s="37"/>
      <c r="E348" s="37"/>
      <c r="F348" s="37"/>
      <c r="G348" s="37"/>
      <c r="H348" s="1"/>
      <c r="I348" s="1"/>
    </row>
    <row r="349" ht="15.75" customHeight="1">
      <c r="A349" s="36"/>
      <c r="B349" s="36"/>
      <c r="C349" s="37"/>
      <c r="D349" s="37"/>
      <c r="E349" s="37"/>
      <c r="F349" s="37"/>
      <c r="G349" s="37"/>
      <c r="H349" s="1"/>
      <c r="I349" s="1"/>
    </row>
    <row r="350" ht="15.75" customHeight="1">
      <c r="A350" s="36"/>
      <c r="B350" s="36"/>
      <c r="C350" s="37"/>
      <c r="D350" s="37"/>
      <c r="E350" s="37"/>
      <c r="F350" s="37"/>
      <c r="G350" s="37"/>
      <c r="H350" s="1"/>
      <c r="I350" s="1"/>
    </row>
    <row r="351" ht="15.75" customHeight="1">
      <c r="A351" s="36"/>
      <c r="B351" s="36"/>
      <c r="C351" s="37"/>
      <c r="D351" s="37"/>
      <c r="E351" s="37"/>
      <c r="F351" s="37"/>
      <c r="G351" s="37"/>
      <c r="H351" s="1"/>
      <c r="I351" s="1"/>
    </row>
    <row r="352" ht="15.75" customHeight="1">
      <c r="A352" s="36"/>
      <c r="B352" s="36"/>
      <c r="C352" s="37"/>
      <c r="D352" s="37"/>
      <c r="E352" s="37"/>
      <c r="F352" s="37"/>
      <c r="G352" s="37"/>
      <c r="H352" s="1"/>
      <c r="I352" s="1"/>
    </row>
    <row r="353" ht="15.75" customHeight="1">
      <c r="A353" s="36"/>
      <c r="B353" s="36"/>
      <c r="C353" s="37"/>
      <c r="D353" s="37"/>
      <c r="E353" s="37"/>
      <c r="F353" s="37"/>
      <c r="G353" s="37"/>
      <c r="H353" s="1"/>
      <c r="I353" s="1"/>
    </row>
    <row r="354" ht="15.75" customHeight="1">
      <c r="A354" s="36"/>
      <c r="B354" s="36"/>
      <c r="C354" s="37"/>
      <c r="D354" s="37"/>
      <c r="E354" s="37"/>
      <c r="F354" s="37"/>
      <c r="G354" s="37"/>
      <c r="H354" s="1"/>
      <c r="I354" s="1"/>
    </row>
    <row r="355" ht="15.75" customHeight="1">
      <c r="A355" s="36"/>
      <c r="B355" s="36"/>
      <c r="C355" s="37"/>
      <c r="D355" s="37"/>
      <c r="E355" s="37"/>
      <c r="F355" s="37"/>
      <c r="G355" s="37"/>
      <c r="H355" s="1"/>
      <c r="I355" s="1"/>
    </row>
    <row r="356" ht="15.75" customHeight="1">
      <c r="A356" s="36"/>
      <c r="B356" s="36"/>
      <c r="C356" s="37"/>
      <c r="D356" s="37"/>
      <c r="E356" s="37"/>
      <c r="F356" s="37"/>
      <c r="G356" s="37"/>
      <c r="H356" s="1"/>
      <c r="I356" s="1"/>
    </row>
    <row r="357" ht="15.75" customHeight="1">
      <c r="A357" s="36"/>
      <c r="B357" s="36"/>
      <c r="C357" s="37"/>
      <c r="D357" s="37"/>
      <c r="E357" s="37"/>
      <c r="F357" s="37"/>
      <c r="G357" s="37"/>
      <c r="H357" s="1"/>
      <c r="I357" s="1"/>
    </row>
    <row r="358" ht="15.75" customHeight="1">
      <c r="A358" s="36"/>
      <c r="B358" s="36"/>
      <c r="C358" s="37"/>
      <c r="D358" s="37"/>
      <c r="E358" s="37"/>
      <c r="F358" s="37"/>
      <c r="G358" s="37"/>
      <c r="H358" s="1"/>
      <c r="I358" s="1"/>
    </row>
    <row r="359" ht="15.75" customHeight="1">
      <c r="A359" s="36"/>
      <c r="B359" s="36"/>
      <c r="C359" s="37"/>
      <c r="D359" s="37"/>
      <c r="E359" s="37"/>
      <c r="F359" s="37"/>
      <c r="G359" s="37"/>
      <c r="H359" s="1"/>
      <c r="I359" s="1"/>
    </row>
    <row r="360" ht="15.75" customHeight="1">
      <c r="A360" s="36"/>
      <c r="B360" s="36"/>
      <c r="C360" s="37"/>
      <c r="D360" s="37"/>
      <c r="E360" s="37"/>
      <c r="F360" s="37"/>
      <c r="G360" s="37"/>
      <c r="H360" s="1"/>
      <c r="I360" s="1"/>
    </row>
    <row r="361" ht="15.75" customHeight="1">
      <c r="A361" s="36"/>
      <c r="B361" s="36"/>
      <c r="C361" s="37"/>
      <c r="D361" s="37"/>
      <c r="E361" s="37"/>
      <c r="F361" s="37"/>
      <c r="G361" s="37"/>
      <c r="H361" s="1"/>
      <c r="I361" s="1"/>
    </row>
    <row r="362" ht="15.75" customHeight="1">
      <c r="A362" s="36"/>
      <c r="B362" s="36"/>
      <c r="C362" s="37"/>
      <c r="D362" s="37"/>
      <c r="E362" s="37"/>
      <c r="F362" s="37"/>
      <c r="G362" s="37"/>
      <c r="H362" s="1"/>
      <c r="I362" s="1"/>
    </row>
    <row r="363" ht="15.75" customHeight="1">
      <c r="A363" s="36"/>
      <c r="B363" s="36"/>
      <c r="C363" s="37"/>
      <c r="D363" s="37"/>
      <c r="E363" s="37"/>
      <c r="F363" s="37"/>
      <c r="G363" s="37"/>
      <c r="H363" s="1"/>
      <c r="I363" s="1"/>
    </row>
    <row r="364" ht="15.75" customHeight="1">
      <c r="A364" s="36"/>
      <c r="B364" s="36"/>
      <c r="C364" s="37"/>
      <c r="D364" s="37"/>
      <c r="E364" s="37"/>
      <c r="F364" s="37"/>
      <c r="G364" s="37"/>
      <c r="H364" s="1"/>
      <c r="I364" s="1"/>
    </row>
    <row r="365" ht="15.75" customHeight="1">
      <c r="A365" s="36"/>
      <c r="B365" s="36"/>
      <c r="C365" s="37"/>
      <c r="D365" s="37"/>
      <c r="E365" s="37"/>
      <c r="F365" s="37"/>
      <c r="G365" s="37"/>
      <c r="H365" s="1"/>
      <c r="I365" s="1"/>
    </row>
    <row r="366" ht="15.75" customHeight="1">
      <c r="A366" s="36"/>
      <c r="B366" s="36"/>
      <c r="C366" s="37"/>
      <c r="D366" s="37"/>
      <c r="E366" s="37"/>
      <c r="F366" s="37"/>
      <c r="G366" s="37"/>
      <c r="H366" s="1"/>
      <c r="I366" s="1"/>
    </row>
    <row r="367" ht="15.75" customHeight="1">
      <c r="A367" s="36"/>
      <c r="B367" s="36"/>
      <c r="C367" s="37"/>
      <c r="D367" s="37"/>
      <c r="E367" s="37"/>
      <c r="F367" s="37"/>
      <c r="G367" s="37"/>
      <c r="H367" s="1"/>
      <c r="I367" s="1"/>
    </row>
    <row r="368" ht="15.75" customHeight="1">
      <c r="A368" s="36"/>
      <c r="B368" s="36"/>
      <c r="C368" s="37"/>
      <c r="D368" s="37"/>
      <c r="E368" s="37"/>
      <c r="F368" s="37"/>
      <c r="G368" s="37"/>
      <c r="H368" s="1"/>
      <c r="I368" s="1"/>
    </row>
    <row r="369" ht="15.75" customHeight="1">
      <c r="A369" s="36"/>
      <c r="B369" s="36"/>
      <c r="C369" s="37"/>
      <c r="D369" s="37"/>
      <c r="E369" s="37"/>
      <c r="F369" s="37"/>
      <c r="G369" s="37"/>
      <c r="H369" s="1"/>
      <c r="I369" s="1"/>
    </row>
    <row r="370" ht="15.75" customHeight="1">
      <c r="A370" s="36"/>
      <c r="B370" s="36"/>
      <c r="C370" s="37"/>
      <c r="D370" s="37"/>
      <c r="E370" s="37"/>
      <c r="F370" s="37"/>
      <c r="G370" s="37"/>
      <c r="H370" s="1"/>
      <c r="I370" s="1"/>
    </row>
    <row r="371" ht="15.75" customHeight="1">
      <c r="A371" s="36"/>
      <c r="B371" s="36"/>
      <c r="C371" s="37"/>
      <c r="D371" s="37"/>
      <c r="E371" s="37"/>
      <c r="F371" s="37"/>
      <c r="G371" s="37"/>
      <c r="H371" s="1"/>
      <c r="I371" s="1"/>
    </row>
    <row r="372" ht="15.75" customHeight="1">
      <c r="A372" s="36"/>
      <c r="B372" s="36"/>
      <c r="C372" s="37"/>
      <c r="D372" s="37"/>
      <c r="E372" s="37"/>
      <c r="F372" s="37"/>
      <c r="G372" s="37"/>
      <c r="H372" s="1"/>
      <c r="I372" s="1"/>
    </row>
    <row r="373" ht="15.75" customHeight="1">
      <c r="A373" s="36"/>
      <c r="B373" s="36"/>
      <c r="C373" s="37"/>
      <c r="D373" s="37"/>
      <c r="E373" s="37"/>
      <c r="F373" s="37"/>
      <c r="G373" s="37"/>
      <c r="H373" s="1"/>
      <c r="I373" s="1"/>
    </row>
    <row r="374" ht="15.75" customHeight="1">
      <c r="A374" s="36"/>
      <c r="B374" s="36"/>
      <c r="C374" s="37"/>
      <c r="D374" s="37"/>
      <c r="E374" s="37"/>
      <c r="F374" s="37"/>
      <c r="G374" s="37"/>
      <c r="H374" s="1"/>
      <c r="I374" s="1"/>
    </row>
    <row r="375" ht="15.75" customHeight="1">
      <c r="A375" s="36"/>
      <c r="B375" s="36"/>
      <c r="C375" s="37"/>
      <c r="D375" s="37"/>
      <c r="E375" s="37"/>
      <c r="F375" s="37"/>
      <c r="G375" s="37"/>
      <c r="H375" s="1"/>
      <c r="I375" s="1"/>
    </row>
    <row r="376" ht="15.75" customHeight="1">
      <c r="A376" s="36"/>
      <c r="B376" s="36"/>
      <c r="C376" s="37"/>
      <c r="D376" s="37"/>
      <c r="E376" s="37"/>
      <c r="F376" s="37"/>
      <c r="G376" s="37"/>
      <c r="H376" s="1"/>
      <c r="I376" s="1"/>
    </row>
    <row r="377" ht="15.75" customHeight="1">
      <c r="A377" s="36"/>
      <c r="B377" s="36"/>
      <c r="C377" s="37"/>
      <c r="D377" s="37"/>
      <c r="E377" s="37"/>
      <c r="F377" s="37"/>
      <c r="G377" s="37"/>
      <c r="H377" s="1"/>
      <c r="I377" s="1"/>
    </row>
    <row r="378" ht="15.75" customHeight="1">
      <c r="A378" s="36"/>
      <c r="B378" s="36"/>
      <c r="C378" s="37"/>
      <c r="D378" s="37"/>
      <c r="E378" s="37"/>
      <c r="F378" s="37"/>
      <c r="G378" s="37"/>
      <c r="H378" s="1"/>
      <c r="I378" s="1"/>
    </row>
    <row r="379" ht="15.75" customHeight="1">
      <c r="A379" s="36"/>
      <c r="B379" s="36"/>
      <c r="C379" s="37"/>
      <c r="D379" s="37"/>
      <c r="E379" s="37"/>
      <c r="F379" s="37"/>
      <c r="G379" s="37"/>
      <c r="H379" s="1"/>
      <c r="I379" s="1"/>
    </row>
    <row r="380" ht="15.75" customHeight="1">
      <c r="A380" s="36"/>
      <c r="B380" s="36"/>
      <c r="C380" s="37"/>
      <c r="D380" s="37"/>
      <c r="E380" s="37"/>
      <c r="F380" s="37"/>
      <c r="G380" s="37"/>
      <c r="H380" s="1"/>
      <c r="I380" s="1"/>
    </row>
    <row r="381" ht="15.75" customHeight="1">
      <c r="A381" s="36"/>
      <c r="B381" s="36"/>
      <c r="C381" s="37"/>
      <c r="D381" s="37"/>
      <c r="E381" s="37"/>
      <c r="F381" s="37"/>
      <c r="G381" s="37"/>
      <c r="H381" s="1"/>
      <c r="I381" s="1"/>
    </row>
    <row r="382" ht="15.75" customHeight="1">
      <c r="A382" s="36"/>
      <c r="B382" s="36"/>
      <c r="C382" s="37"/>
      <c r="D382" s="37"/>
      <c r="E382" s="37"/>
      <c r="F382" s="37"/>
      <c r="G382" s="37"/>
      <c r="H382" s="1"/>
      <c r="I382" s="1"/>
    </row>
    <row r="383" ht="15.75" customHeight="1">
      <c r="A383" s="36"/>
      <c r="B383" s="36"/>
      <c r="C383" s="37"/>
      <c r="D383" s="37"/>
      <c r="E383" s="37"/>
      <c r="F383" s="37"/>
      <c r="G383" s="37"/>
      <c r="H383" s="1"/>
      <c r="I383" s="1"/>
    </row>
    <row r="384" ht="15.75" customHeight="1">
      <c r="A384" s="36"/>
      <c r="B384" s="36"/>
      <c r="C384" s="37"/>
      <c r="D384" s="37"/>
      <c r="E384" s="37"/>
      <c r="F384" s="37"/>
      <c r="G384" s="37"/>
      <c r="H384" s="1"/>
      <c r="I384" s="1"/>
    </row>
    <row r="385" ht="15.75" customHeight="1">
      <c r="A385" s="36"/>
      <c r="B385" s="36"/>
      <c r="C385" s="37"/>
      <c r="D385" s="37"/>
      <c r="E385" s="37"/>
      <c r="F385" s="37"/>
      <c r="G385" s="37"/>
      <c r="H385" s="1"/>
      <c r="I385" s="1"/>
    </row>
    <row r="386" ht="15.75" customHeight="1">
      <c r="A386" s="36"/>
      <c r="B386" s="36"/>
      <c r="C386" s="37"/>
      <c r="D386" s="37"/>
      <c r="E386" s="37"/>
      <c r="F386" s="37"/>
      <c r="G386" s="37"/>
      <c r="H386" s="1"/>
      <c r="I386" s="1"/>
    </row>
    <row r="387" ht="15.75" customHeight="1">
      <c r="A387" s="36"/>
      <c r="B387" s="36"/>
      <c r="C387" s="37"/>
      <c r="D387" s="37"/>
      <c r="E387" s="37"/>
      <c r="F387" s="37"/>
      <c r="G387" s="37"/>
      <c r="H387" s="1"/>
      <c r="I387" s="1"/>
    </row>
    <row r="388" ht="15.75" customHeight="1">
      <c r="A388" s="36"/>
      <c r="B388" s="36"/>
      <c r="C388" s="37"/>
      <c r="D388" s="37"/>
      <c r="E388" s="37"/>
      <c r="F388" s="37"/>
      <c r="G388" s="37"/>
      <c r="H388" s="1"/>
      <c r="I388" s="1"/>
    </row>
    <row r="389" ht="15.75" customHeight="1">
      <c r="A389" s="36"/>
      <c r="B389" s="36"/>
      <c r="C389" s="37"/>
      <c r="D389" s="37"/>
      <c r="E389" s="37"/>
      <c r="F389" s="37"/>
      <c r="G389" s="37"/>
      <c r="H389" s="1"/>
      <c r="I389" s="1"/>
    </row>
    <row r="390" ht="15.75" customHeight="1">
      <c r="A390" s="36"/>
      <c r="B390" s="36"/>
      <c r="C390" s="37"/>
      <c r="D390" s="37"/>
      <c r="E390" s="37"/>
      <c r="F390" s="37"/>
      <c r="G390" s="37"/>
      <c r="H390" s="1"/>
      <c r="I390" s="1"/>
    </row>
    <row r="391" ht="15.75" customHeight="1">
      <c r="A391" s="36"/>
      <c r="B391" s="36"/>
      <c r="C391" s="37"/>
      <c r="D391" s="37"/>
      <c r="E391" s="37"/>
      <c r="F391" s="37"/>
      <c r="G391" s="37"/>
      <c r="H391" s="1"/>
      <c r="I391" s="1"/>
    </row>
    <row r="392" ht="15.75" customHeight="1">
      <c r="A392" s="36"/>
      <c r="B392" s="36"/>
      <c r="C392" s="37"/>
      <c r="D392" s="37"/>
      <c r="E392" s="37"/>
      <c r="F392" s="37"/>
      <c r="G392" s="37"/>
      <c r="H392" s="1"/>
      <c r="I392" s="1"/>
    </row>
    <row r="393" ht="15.75" customHeight="1">
      <c r="A393" s="36"/>
      <c r="B393" s="36"/>
      <c r="C393" s="37"/>
      <c r="D393" s="37"/>
      <c r="E393" s="37"/>
      <c r="F393" s="37"/>
      <c r="G393" s="37"/>
      <c r="H393" s="1"/>
      <c r="I393" s="1"/>
    </row>
    <row r="394" ht="15.75" customHeight="1">
      <c r="A394" s="36"/>
      <c r="B394" s="36"/>
      <c r="C394" s="37"/>
      <c r="D394" s="37"/>
      <c r="E394" s="37"/>
      <c r="F394" s="37"/>
      <c r="G394" s="37"/>
      <c r="H394" s="1"/>
      <c r="I394" s="1"/>
    </row>
    <row r="395" ht="15.75" customHeight="1">
      <c r="A395" s="36"/>
      <c r="B395" s="36"/>
      <c r="C395" s="37"/>
      <c r="D395" s="37"/>
      <c r="E395" s="37"/>
      <c r="F395" s="37"/>
      <c r="G395" s="37"/>
      <c r="H395" s="1"/>
      <c r="I395" s="1"/>
    </row>
    <row r="396" ht="15.75" customHeight="1">
      <c r="A396" s="36"/>
      <c r="B396" s="36"/>
      <c r="C396" s="37"/>
      <c r="D396" s="37"/>
      <c r="E396" s="37"/>
      <c r="F396" s="37"/>
      <c r="G396" s="37"/>
      <c r="H396" s="1"/>
      <c r="I396" s="1"/>
    </row>
    <row r="397" ht="15.75" customHeight="1">
      <c r="A397" s="36"/>
      <c r="B397" s="36"/>
      <c r="C397" s="37"/>
      <c r="D397" s="37"/>
      <c r="E397" s="37"/>
      <c r="F397" s="37"/>
      <c r="G397" s="37"/>
      <c r="H397" s="1"/>
      <c r="I397" s="1"/>
    </row>
    <row r="398" ht="15.75" customHeight="1">
      <c r="A398" s="36"/>
      <c r="B398" s="36"/>
      <c r="C398" s="37"/>
      <c r="D398" s="37"/>
      <c r="E398" s="37"/>
      <c r="F398" s="37"/>
      <c r="G398" s="37"/>
      <c r="H398" s="1"/>
      <c r="I398" s="1"/>
    </row>
    <row r="399" ht="15.75" customHeight="1">
      <c r="A399" s="36"/>
      <c r="B399" s="36"/>
      <c r="C399" s="37"/>
      <c r="D399" s="37"/>
      <c r="E399" s="37"/>
      <c r="F399" s="37"/>
      <c r="G399" s="37"/>
      <c r="H399" s="1"/>
      <c r="I399" s="1"/>
    </row>
    <row r="400" ht="15.75" customHeight="1">
      <c r="A400" s="36"/>
      <c r="B400" s="36"/>
      <c r="C400" s="37"/>
      <c r="D400" s="37"/>
      <c r="E400" s="37"/>
      <c r="F400" s="37"/>
      <c r="G400" s="37"/>
      <c r="H400" s="1"/>
      <c r="I400" s="1"/>
    </row>
    <row r="401" ht="15.75" customHeight="1">
      <c r="A401" s="36"/>
      <c r="B401" s="36"/>
      <c r="C401" s="37"/>
      <c r="D401" s="37"/>
      <c r="E401" s="37"/>
      <c r="F401" s="37"/>
      <c r="G401" s="37"/>
      <c r="H401" s="1"/>
      <c r="I401" s="1"/>
    </row>
    <row r="402" ht="15.75" customHeight="1">
      <c r="A402" s="36"/>
      <c r="B402" s="36"/>
      <c r="C402" s="37"/>
      <c r="D402" s="37"/>
      <c r="E402" s="37"/>
      <c r="F402" s="37"/>
      <c r="G402" s="37"/>
      <c r="H402" s="1"/>
      <c r="I402" s="1"/>
    </row>
    <row r="403" ht="15.75" customHeight="1">
      <c r="A403" s="36"/>
      <c r="B403" s="36"/>
      <c r="C403" s="37"/>
      <c r="D403" s="37"/>
      <c r="E403" s="37"/>
      <c r="F403" s="37"/>
      <c r="G403" s="37"/>
      <c r="H403" s="1"/>
      <c r="I403" s="1"/>
    </row>
    <row r="404" ht="15.75" customHeight="1">
      <c r="A404" s="36"/>
      <c r="B404" s="36"/>
      <c r="C404" s="37"/>
      <c r="D404" s="37"/>
      <c r="E404" s="37"/>
      <c r="F404" s="37"/>
      <c r="G404" s="37"/>
      <c r="H404" s="1"/>
      <c r="I404" s="1"/>
    </row>
    <row r="405" ht="15.75" customHeight="1">
      <c r="A405" s="36"/>
      <c r="B405" s="36"/>
      <c r="C405" s="37"/>
      <c r="D405" s="37"/>
      <c r="E405" s="37"/>
      <c r="F405" s="37"/>
      <c r="G405" s="37"/>
      <c r="H405" s="1"/>
      <c r="I405" s="1"/>
    </row>
    <row r="406" ht="15.75" customHeight="1">
      <c r="A406" s="36"/>
      <c r="B406" s="36"/>
      <c r="C406" s="37"/>
      <c r="D406" s="37"/>
      <c r="E406" s="37"/>
      <c r="F406" s="37"/>
      <c r="G406" s="37"/>
      <c r="H406" s="1"/>
      <c r="I406" s="1"/>
    </row>
    <row r="407" ht="15.75" customHeight="1">
      <c r="A407" s="36"/>
      <c r="B407" s="36"/>
      <c r="C407" s="37"/>
      <c r="D407" s="37"/>
      <c r="E407" s="37"/>
      <c r="F407" s="37"/>
      <c r="G407" s="37"/>
      <c r="H407" s="1"/>
      <c r="I407" s="1"/>
    </row>
    <row r="408" ht="15.75" customHeight="1">
      <c r="A408" s="36"/>
      <c r="B408" s="36"/>
      <c r="C408" s="37"/>
      <c r="D408" s="37"/>
      <c r="E408" s="37"/>
      <c r="F408" s="37"/>
      <c r="G408" s="37"/>
      <c r="H408" s="1"/>
      <c r="I408" s="1"/>
    </row>
    <row r="409" ht="15.75" customHeight="1">
      <c r="A409" s="36"/>
      <c r="B409" s="36"/>
      <c r="C409" s="37"/>
      <c r="D409" s="37"/>
      <c r="E409" s="37"/>
      <c r="F409" s="37"/>
      <c r="G409" s="37"/>
      <c r="H409" s="1"/>
      <c r="I409" s="1"/>
    </row>
    <row r="410" ht="15.75" customHeight="1">
      <c r="A410" s="36"/>
      <c r="B410" s="36"/>
      <c r="C410" s="37"/>
      <c r="D410" s="37"/>
      <c r="E410" s="37"/>
      <c r="F410" s="37"/>
      <c r="G410" s="37"/>
      <c r="H410" s="1"/>
      <c r="I410" s="1"/>
    </row>
    <row r="411" ht="15.75" customHeight="1">
      <c r="A411" s="36"/>
      <c r="B411" s="36"/>
      <c r="C411" s="37"/>
      <c r="D411" s="37"/>
      <c r="E411" s="37"/>
      <c r="F411" s="37"/>
      <c r="G411" s="37"/>
      <c r="H411" s="1"/>
      <c r="I411" s="1"/>
    </row>
    <row r="412" ht="15.75" customHeight="1">
      <c r="A412" s="36"/>
      <c r="B412" s="36"/>
      <c r="C412" s="37"/>
      <c r="D412" s="37"/>
      <c r="E412" s="37"/>
      <c r="F412" s="37"/>
      <c r="G412" s="37"/>
      <c r="H412" s="1"/>
      <c r="I412" s="1"/>
    </row>
    <row r="413" ht="15.75" customHeight="1">
      <c r="A413" s="36"/>
      <c r="B413" s="36"/>
      <c r="C413" s="37"/>
      <c r="D413" s="37"/>
      <c r="E413" s="37"/>
      <c r="F413" s="37"/>
      <c r="G413" s="37"/>
      <c r="H413" s="1"/>
      <c r="I413" s="1"/>
    </row>
    <row r="414" ht="15.75" customHeight="1">
      <c r="A414" s="36"/>
      <c r="B414" s="36"/>
      <c r="C414" s="37"/>
      <c r="D414" s="37"/>
      <c r="E414" s="37"/>
      <c r="F414" s="37"/>
      <c r="G414" s="37"/>
      <c r="H414" s="1"/>
      <c r="I414" s="1"/>
    </row>
    <row r="415" ht="15.75" customHeight="1">
      <c r="A415" s="36"/>
      <c r="B415" s="36"/>
      <c r="C415" s="37"/>
      <c r="D415" s="37"/>
      <c r="E415" s="37"/>
      <c r="F415" s="37"/>
      <c r="G415" s="37"/>
      <c r="H415" s="1"/>
      <c r="I415" s="1"/>
    </row>
    <row r="416" ht="15.75" customHeight="1">
      <c r="A416" s="36"/>
      <c r="B416" s="36"/>
      <c r="C416" s="37"/>
      <c r="D416" s="37"/>
      <c r="E416" s="37"/>
      <c r="F416" s="37"/>
      <c r="G416" s="37"/>
      <c r="H416" s="1"/>
      <c r="I416" s="1"/>
    </row>
    <row r="417" ht="15.75" customHeight="1">
      <c r="A417" s="36"/>
      <c r="B417" s="36"/>
      <c r="C417" s="37"/>
      <c r="D417" s="37"/>
      <c r="E417" s="37"/>
      <c r="F417" s="37"/>
      <c r="G417" s="37"/>
      <c r="H417" s="1"/>
      <c r="I417" s="1"/>
    </row>
    <row r="418" ht="15.75" customHeight="1">
      <c r="A418" s="36"/>
      <c r="B418" s="36"/>
      <c r="C418" s="37"/>
      <c r="D418" s="37"/>
      <c r="E418" s="37"/>
      <c r="F418" s="37"/>
      <c r="G418" s="37"/>
      <c r="H418" s="1"/>
      <c r="I418" s="1"/>
    </row>
    <row r="419" ht="15.75" customHeight="1">
      <c r="A419" s="36"/>
      <c r="B419" s="36"/>
      <c r="C419" s="37"/>
      <c r="D419" s="37"/>
      <c r="E419" s="37"/>
      <c r="F419" s="37"/>
      <c r="G419" s="37"/>
      <c r="H419" s="1"/>
      <c r="I419" s="1"/>
    </row>
    <row r="420" ht="15.75" customHeight="1">
      <c r="A420" s="36"/>
      <c r="B420" s="36"/>
      <c r="C420" s="37"/>
      <c r="D420" s="37"/>
      <c r="E420" s="37"/>
      <c r="F420" s="37"/>
      <c r="G420" s="37"/>
      <c r="H420" s="1"/>
      <c r="I420" s="1"/>
    </row>
    <row r="421" ht="15.75" customHeight="1">
      <c r="A421" s="36"/>
      <c r="B421" s="36"/>
      <c r="C421" s="37"/>
      <c r="D421" s="37"/>
      <c r="E421" s="37"/>
      <c r="F421" s="37"/>
      <c r="G421" s="37"/>
      <c r="H421" s="1"/>
      <c r="I421" s="1"/>
    </row>
    <row r="422" ht="15.75" customHeight="1">
      <c r="A422" s="36"/>
      <c r="B422" s="36"/>
      <c r="C422" s="37"/>
      <c r="D422" s="37"/>
      <c r="E422" s="37"/>
      <c r="F422" s="37"/>
      <c r="G422" s="37"/>
      <c r="H422" s="1"/>
      <c r="I422" s="1"/>
    </row>
    <row r="423" ht="15.75" customHeight="1">
      <c r="A423" s="36"/>
      <c r="B423" s="36"/>
      <c r="C423" s="37"/>
      <c r="D423" s="37"/>
      <c r="E423" s="37"/>
      <c r="F423" s="37"/>
      <c r="G423" s="37"/>
      <c r="H423" s="1"/>
      <c r="I423" s="1"/>
    </row>
    <row r="424" ht="15.75" customHeight="1">
      <c r="A424" s="36"/>
      <c r="B424" s="36"/>
      <c r="C424" s="37"/>
      <c r="D424" s="37"/>
      <c r="E424" s="37"/>
      <c r="F424" s="37"/>
      <c r="G424" s="37"/>
      <c r="H424" s="1"/>
      <c r="I424" s="1"/>
    </row>
    <row r="425" ht="15.75" customHeight="1">
      <c r="A425" s="36"/>
      <c r="B425" s="36"/>
      <c r="C425" s="37"/>
      <c r="D425" s="37"/>
      <c r="E425" s="37"/>
      <c r="F425" s="37"/>
      <c r="G425" s="37"/>
      <c r="H425" s="1"/>
      <c r="I425" s="1"/>
    </row>
    <row r="426" ht="15.75" customHeight="1">
      <c r="A426" s="36"/>
      <c r="B426" s="36"/>
      <c r="C426" s="37"/>
      <c r="D426" s="37"/>
      <c r="E426" s="37"/>
      <c r="F426" s="37"/>
      <c r="G426" s="37"/>
      <c r="H426" s="1"/>
      <c r="I426" s="1"/>
    </row>
    <row r="427" ht="15.75" customHeight="1">
      <c r="A427" s="36"/>
      <c r="B427" s="36"/>
      <c r="C427" s="37"/>
      <c r="D427" s="37"/>
      <c r="E427" s="37"/>
      <c r="F427" s="37"/>
      <c r="G427" s="37"/>
      <c r="H427" s="1"/>
      <c r="I427" s="1"/>
    </row>
    <row r="428" ht="15.75" customHeight="1">
      <c r="A428" s="36"/>
      <c r="B428" s="36"/>
      <c r="C428" s="37"/>
      <c r="D428" s="37"/>
      <c r="E428" s="37"/>
      <c r="F428" s="37"/>
      <c r="G428" s="37"/>
      <c r="H428" s="1"/>
      <c r="I428" s="1"/>
    </row>
    <row r="429" ht="15.75" customHeight="1">
      <c r="A429" s="36"/>
      <c r="B429" s="36"/>
      <c r="C429" s="37"/>
      <c r="D429" s="37"/>
      <c r="E429" s="37"/>
      <c r="F429" s="37"/>
      <c r="G429" s="37"/>
      <c r="H429" s="1"/>
      <c r="I429" s="1"/>
    </row>
    <row r="430" ht="15.75" customHeight="1">
      <c r="A430" s="36"/>
      <c r="B430" s="36"/>
      <c r="C430" s="37"/>
      <c r="D430" s="37"/>
      <c r="E430" s="37"/>
      <c r="F430" s="37"/>
      <c r="G430" s="37"/>
      <c r="H430" s="1"/>
      <c r="I430" s="1"/>
    </row>
    <row r="431" ht="15.75" customHeight="1">
      <c r="A431" s="36"/>
      <c r="B431" s="36"/>
      <c r="C431" s="37"/>
      <c r="D431" s="37"/>
      <c r="E431" s="37"/>
      <c r="F431" s="37"/>
      <c r="G431" s="37"/>
      <c r="H431" s="1"/>
      <c r="I431" s="1"/>
    </row>
    <row r="432" ht="15.75" customHeight="1">
      <c r="A432" s="36"/>
      <c r="B432" s="36"/>
      <c r="C432" s="37"/>
      <c r="D432" s="37"/>
      <c r="E432" s="37"/>
      <c r="F432" s="37"/>
      <c r="G432" s="37"/>
      <c r="H432" s="1"/>
      <c r="I432" s="1"/>
    </row>
    <row r="433" ht="15.75" customHeight="1">
      <c r="A433" s="36"/>
      <c r="B433" s="36"/>
      <c r="C433" s="37"/>
      <c r="D433" s="37"/>
      <c r="E433" s="37"/>
      <c r="F433" s="37"/>
      <c r="G433" s="37"/>
      <c r="H433" s="1"/>
      <c r="I433" s="1"/>
    </row>
    <row r="434" ht="15.75" customHeight="1">
      <c r="A434" s="36"/>
      <c r="B434" s="36"/>
      <c r="C434" s="37"/>
      <c r="D434" s="37"/>
      <c r="E434" s="37"/>
      <c r="F434" s="37"/>
      <c r="G434" s="37"/>
      <c r="H434" s="1"/>
      <c r="I434" s="1"/>
    </row>
    <row r="435" ht="15.75" customHeight="1">
      <c r="A435" s="36"/>
      <c r="B435" s="36"/>
      <c r="C435" s="37"/>
      <c r="D435" s="37"/>
      <c r="E435" s="37"/>
      <c r="F435" s="37"/>
      <c r="G435" s="37"/>
      <c r="H435" s="1"/>
      <c r="I435" s="1"/>
    </row>
    <row r="436" ht="15.75" customHeight="1">
      <c r="A436" s="36"/>
      <c r="B436" s="36"/>
      <c r="C436" s="37"/>
      <c r="D436" s="37"/>
      <c r="E436" s="37"/>
      <c r="F436" s="37"/>
      <c r="G436" s="37"/>
      <c r="H436" s="1"/>
      <c r="I436" s="1"/>
    </row>
    <row r="437" ht="15.75" customHeight="1">
      <c r="A437" s="36"/>
      <c r="B437" s="36"/>
      <c r="C437" s="37"/>
      <c r="D437" s="37"/>
      <c r="E437" s="37"/>
      <c r="F437" s="37"/>
      <c r="G437" s="37"/>
      <c r="H437" s="1"/>
      <c r="I437" s="1"/>
    </row>
    <row r="438" ht="15.75" customHeight="1">
      <c r="A438" s="36"/>
      <c r="B438" s="36"/>
      <c r="C438" s="37"/>
      <c r="D438" s="37"/>
      <c r="E438" s="37"/>
      <c r="F438" s="37"/>
      <c r="G438" s="37"/>
      <c r="H438" s="1"/>
      <c r="I438" s="1"/>
    </row>
    <row r="439" ht="15.75" customHeight="1">
      <c r="A439" s="36"/>
      <c r="B439" s="36"/>
      <c r="C439" s="37"/>
      <c r="D439" s="37"/>
      <c r="E439" s="37"/>
      <c r="F439" s="37"/>
      <c r="G439" s="37"/>
      <c r="H439" s="1"/>
      <c r="I439" s="1"/>
    </row>
    <row r="440" ht="15.75" customHeight="1">
      <c r="A440" s="36"/>
      <c r="B440" s="36"/>
      <c r="C440" s="37"/>
      <c r="D440" s="37"/>
      <c r="E440" s="37"/>
      <c r="F440" s="37"/>
      <c r="G440" s="37"/>
      <c r="H440" s="1"/>
      <c r="I440" s="1"/>
    </row>
    <row r="441" ht="15.75" customHeight="1">
      <c r="A441" s="36"/>
      <c r="B441" s="36"/>
      <c r="C441" s="37"/>
      <c r="D441" s="37"/>
      <c r="E441" s="37"/>
      <c r="F441" s="37"/>
      <c r="G441" s="37"/>
      <c r="H441" s="1"/>
      <c r="I441" s="1"/>
    </row>
    <row r="442" ht="15.75" customHeight="1">
      <c r="A442" s="36"/>
      <c r="B442" s="36"/>
      <c r="C442" s="37"/>
      <c r="D442" s="37"/>
      <c r="E442" s="37"/>
      <c r="F442" s="37"/>
      <c r="G442" s="37"/>
      <c r="H442" s="1"/>
      <c r="I442" s="1"/>
    </row>
    <row r="443" ht="15.75" customHeight="1">
      <c r="A443" s="36"/>
      <c r="B443" s="36"/>
      <c r="C443" s="37"/>
      <c r="D443" s="37"/>
      <c r="E443" s="37"/>
      <c r="F443" s="37"/>
      <c r="G443" s="37"/>
      <c r="H443" s="1"/>
      <c r="I443" s="1"/>
    </row>
    <row r="444" ht="15.75" customHeight="1">
      <c r="A444" s="36"/>
      <c r="B444" s="36"/>
      <c r="C444" s="37"/>
      <c r="D444" s="37"/>
      <c r="E444" s="37"/>
      <c r="F444" s="37"/>
      <c r="G444" s="37"/>
      <c r="H444" s="1"/>
      <c r="I444" s="1"/>
    </row>
    <row r="445" ht="15.75" customHeight="1">
      <c r="A445" s="36"/>
      <c r="B445" s="36"/>
      <c r="C445" s="37"/>
      <c r="D445" s="37"/>
      <c r="E445" s="37"/>
      <c r="F445" s="37"/>
      <c r="G445" s="37"/>
      <c r="H445" s="1"/>
      <c r="I445" s="1"/>
    </row>
    <row r="446" ht="15.75" customHeight="1">
      <c r="A446" s="36"/>
      <c r="B446" s="36"/>
      <c r="C446" s="37"/>
      <c r="D446" s="37"/>
      <c r="E446" s="37"/>
      <c r="F446" s="37"/>
      <c r="G446" s="37"/>
      <c r="H446" s="1"/>
      <c r="I446" s="1"/>
    </row>
    <row r="447" ht="15.75" customHeight="1">
      <c r="A447" s="36"/>
      <c r="B447" s="36"/>
      <c r="C447" s="37"/>
      <c r="D447" s="37"/>
      <c r="E447" s="37"/>
      <c r="F447" s="37"/>
      <c r="G447" s="37"/>
      <c r="H447" s="1"/>
      <c r="I447" s="1"/>
    </row>
    <row r="448" ht="15.75" customHeight="1">
      <c r="A448" s="36"/>
      <c r="B448" s="36"/>
      <c r="C448" s="37"/>
      <c r="D448" s="37"/>
      <c r="E448" s="37"/>
      <c r="F448" s="37"/>
      <c r="G448" s="37"/>
      <c r="H448" s="1"/>
      <c r="I448" s="1"/>
    </row>
    <row r="449" ht="15.75" customHeight="1">
      <c r="A449" s="36"/>
      <c r="B449" s="36"/>
      <c r="C449" s="37"/>
      <c r="D449" s="37"/>
      <c r="E449" s="37"/>
      <c r="F449" s="37"/>
      <c r="G449" s="37"/>
      <c r="H449" s="1"/>
      <c r="I449" s="1"/>
    </row>
    <row r="450" ht="15.75" customHeight="1">
      <c r="A450" s="36"/>
      <c r="B450" s="36"/>
      <c r="C450" s="37"/>
      <c r="D450" s="37"/>
      <c r="E450" s="37"/>
      <c r="F450" s="37"/>
      <c r="G450" s="37"/>
      <c r="H450" s="1"/>
      <c r="I450" s="1"/>
    </row>
    <row r="451" ht="15.75" customHeight="1">
      <c r="A451" s="36"/>
      <c r="B451" s="36"/>
      <c r="C451" s="37"/>
      <c r="D451" s="37"/>
      <c r="E451" s="37"/>
      <c r="F451" s="37"/>
      <c r="G451" s="37"/>
      <c r="H451" s="1"/>
      <c r="I451" s="1"/>
    </row>
    <row r="452" ht="15.75" customHeight="1">
      <c r="A452" s="36"/>
      <c r="B452" s="36"/>
      <c r="C452" s="37"/>
      <c r="D452" s="37"/>
      <c r="E452" s="37"/>
      <c r="F452" s="37"/>
      <c r="G452" s="37"/>
      <c r="H452" s="1"/>
      <c r="I452" s="1"/>
    </row>
    <row r="453" ht="15.75" customHeight="1">
      <c r="A453" s="36"/>
      <c r="B453" s="36"/>
      <c r="C453" s="37"/>
      <c r="D453" s="37"/>
      <c r="E453" s="37"/>
      <c r="F453" s="37"/>
      <c r="G453" s="37"/>
      <c r="H453" s="1"/>
      <c r="I453" s="1"/>
    </row>
    <row r="454" ht="15.75" customHeight="1">
      <c r="A454" s="36"/>
      <c r="B454" s="36"/>
      <c r="C454" s="37"/>
      <c r="D454" s="37"/>
      <c r="E454" s="37"/>
      <c r="F454" s="37"/>
      <c r="G454" s="37"/>
      <c r="H454" s="1"/>
      <c r="I454" s="1"/>
    </row>
    <row r="455" ht="15.75" customHeight="1">
      <c r="A455" s="36"/>
      <c r="B455" s="36"/>
      <c r="C455" s="37"/>
      <c r="D455" s="37"/>
      <c r="E455" s="37"/>
      <c r="F455" s="37"/>
      <c r="G455" s="37"/>
      <c r="H455" s="1"/>
      <c r="I455" s="1"/>
    </row>
    <row r="456" ht="15.75" customHeight="1">
      <c r="A456" s="36"/>
      <c r="B456" s="36"/>
      <c r="C456" s="37"/>
      <c r="D456" s="37"/>
      <c r="E456" s="37"/>
      <c r="F456" s="37"/>
      <c r="G456" s="37"/>
      <c r="H456" s="1"/>
      <c r="I456" s="1"/>
    </row>
    <row r="457" ht="15.75" customHeight="1">
      <c r="A457" s="36"/>
      <c r="B457" s="36"/>
      <c r="C457" s="37"/>
      <c r="D457" s="37"/>
      <c r="E457" s="37"/>
      <c r="F457" s="37"/>
      <c r="G457" s="37"/>
      <c r="H457" s="1"/>
      <c r="I457" s="1"/>
    </row>
    <row r="458" ht="15.75" customHeight="1">
      <c r="A458" s="36"/>
      <c r="B458" s="36"/>
      <c r="C458" s="37"/>
      <c r="D458" s="37"/>
      <c r="E458" s="37"/>
      <c r="F458" s="37"/>
      <c r="G458" s="37"/>
      <c r="H458" s="1"/>
      <c r="I458" s="1"/>
    </row>
    <row r="459" ht="15.75" customHeight="1">
      <c r="A459" s="36"/>
      <c r="B459" s="36"/>
      <c r="C459" s="37"/>
      <c r="D459" s="37"/>
      <c r="E459" s="37"/>
      <c r="F459" s="37"/>
      <c r="G459" s="37"/>
      <c r="H459" s="1"/>
      <c r="I459" s="1"/>
    </row>
    <row r="460" ht="15.75" customHeight="1">
      <c r="A460" s="36"/>
      <c r="B460" s="36"/>
      <c r="C460" s="37"/>
      <c r="D460" s="37"/>
      <c r="E460" s="37"/>
      <c r="F460" s="37"/>
      <c r="G460" s="37"/>
      <c r="H460" s="1"/>
      <c r="I460" s="1"/>
    </row>
    <row r="461" ht="15.75" customHeight="1">
      <c r="A461" s="36"/>
      <c r="B461" s="36"/>
      <c r="C461" s="37"/>
      <c r="D461" s="37"/>
      <c r="E461" s="37"/>
      <c r="F461" s="37"/>
      <c r="G461" s="37"/>
      <c r="H461" s="1"/>
      <c r="I461" s="1"/>
    </row>
    <row r="462" ht="15.75" customHeight="1">
      <c r="A462" s="36"/>
      <c r="B462" s="36"/>
      <c r="C462" s="37"/>
      <c r="D462" s="37"/>
      <c r="E462" s="37"/>
      <c r="F462" s="37"/>
      <c r="G462" s="37"/>
      <c r="H462" s="1"/>
      <c r="I462" s="1"/>
    </row>
    <row r="463" ht="15.75" customHeight="1">
      <c r="A463" s="36"/>
      <c r="B463" s="36"/>
      <c r="C463" s="37"/>
      <c r="D463" s="37"/>
      <c r="E463" s="37"/>
      <c r="F463" s="37"/>
      <c r="G463" s="37"/>
      <c r="H463" s="1"/>
      <c r="I463" s="1"/>
    </row>
    <row r="464" ht="15.75" customHeight="1">
      <c r="A464" s="36"/>
      <c r="B464" s="36"/>
      <c r="C464" s="37"/>
      <c r="D464" s="37"/>
      <c r="E464" s="37"/>
      <c r="F464" s="37"/>
      <c r="G464" s="37"/>
      <c r="H464" s="1"/>
      <c r="I464" s="1"/>
    </row>
    <row r="465" ht="15.75" customHeight="1">
      <c r="A465" s="36"/>
      <c r="B465" s="36"/>
      <c r="C465" s="37"/>
      <c r="D465" s="37"/>
      <c r="E465" s="37"/>
      <c r="F465" s="37"/>
      <c r="G465" s="37"/>
      <c r="H465" s="1"/>
      <c r="I465" s="1"/>
    </row>
    <row r="466" ht="15.75" customHeight="1">
      <c r="A466" s="36"/>
      <c r="B466" s="36"/>
      <c r="C466" s="37"/>
      <c r="D466" s="37"/>
      <c r="E466" s="37"/>
      <c r="F466" s="37"/>
      <c r="G466" s="37"/>
      <c r="H466" s="1"/>
      <c r="I466" s="1"/>
    </row>
    <row r="467" ht="15.75" customHeight="1">
      <c r="A467" s="36"/>
      <c r="B467" s="36"/>
      <c r="C467" s="37"/>
      <c r="D467" s="37"/>
      <c r="E467" s="37"/>
      <c r="F467" s="37"/>
      <c r="G467" s="37"/>
      <c r="H467" s="1"/>
      <c r="I467" s="1"/>
    </row>
    <row r="468" ht="15.75" customHeight="1">
      <c r="A468" s="36"/>
      <c r="B468" s="36"/>
      <c r="C468" s="37"/>
      <c r="D468" s="37"/>
      <c r="E468" s="37"/>
      <c r="F468" s="37"/>
      <c r="G468" s="37"/>
      <c r="H468" s="1"/>
      <c r="I468" s="1"/>
    </row>
    <row r="469" ht="15.75" customHeight="1">
      <c r="A469" s="36"/>
      <c r="B469" s="36"/>
      <c r="C469" s="37"/>
      <c r="D469" s="37"/>
      <c r="E469" s="37"/>
      <c r="F469" s="37"/>
      <c r="G469" s="37"/>
      <c r="H469" s="1"/>
      <c r="I469" s="1"/>
    </row>
    <row r="470" ht="15.75" customHeight="1">
      <c r="A470" s="36"/>
      <c r="B470" s="36"/>
      <c r="C470" s="37"/>
      <c r="D470" s="37"/>
      <c r="E470" s="37"/>
      <c r="F470" s="37"/>
      <c r="G470" s="37"/>
      <c r="H470" s="1"/>
      <c r="I470" s="1"/>
    </row>
    <row r="471" ht="15.75" customHeight="1">
      <c r="A471" s="36"/>
      <c r="B471" s="36"/>
      <c r="C471" s="37"/>
      <c r="D471" s="37"/>
      <c r="E471" s="37"/>
      <c r="F471" s="37"/>
      <c r="G471" s="37"/>
      <c r="H471" s="1"/>
      <c r="I471" s="1"/>
    </row>
    <row r="472" ht="15.75" customHeight="1">
      <c r="A472" s="36"/>
      <c r="B472" s="36"/>
      <c r="C472" s="37"/>
      <c r="D472" s="37"/>
      <c r="E472" s="37"/>
      <c r="F472" s="37"/>
      <c r="G472" s="37"/>
      <c r="H472" s="1"/>
      <c r="I472" s="1"/>
    </row>
    <row r="473" ht="15.75" customHeight="1">
      <c r="A473" s="36"/>
      <c r="B473" s="36"/>
      <c r="C473" s="37"/>
      <c r="D473" s="37"/>
      <c r="E473" s="37"/>
      <c r="F473" s="37"/>
      <c r="G473" s="37"/>
      <c r="H473" s="1"/>
      <c r="I473" s="1"/>
    </row>
    <row r="474" ht="15.75" customHeight="1">
      <c r="A474" s="36"/>
      <c r="B474" s="36"/>
      <c r="C474" s="37"/>
      <c r="D474" s="37"/>
      <c r="E474" s="37"/>
      <c r="F474" s="37"/>
      <c r="G474" s="37"/>
      <c r="H474" s="1"/>
      <c r="I474" s="1"/>
    </row>
    <row r="475" ht="15.75" customHeight="1">
      <c r="A475" s="36"/>
      <c r="B475" s="36"/>
      <c r="C475" s="37"/>
      <c r="D475" s="37"/>
      <c r="E475" s="37"/>
      <c r="F475" s="37"/>
      <c r="G475" s="37"/>
      <c r="H475" s="1"/>
      <c r="I475" s="1"/>
    </row>
    <row r="476" ht="15.75" customHeight="1">
      <c r="A476" s="36"/>
      <c r="B476" s="36"/>
      <c r="C476" s="37"/>
      <c r="D476" s="37"/>
      <c r="E476" s="37"/>
      <c r="F476" s="37"/>
      <c r="G476" s="37"/>
      <c r="H476" s="1"/>
      <c r="I476" s="1"/>
    </row>
    <row r="477" ht="15.75" customHeight="1">
      <c r="A477" s="36"/>
      <c r="B477" s="36"/>
      <c r="C477" s="37"/>
      <c r="D477" s="37"/>
      <c r="E477" s="37"/>
      <c r="F477" s="37"/>
      <c r="G477" s="37"/>
      <c r="H477" s="1"/>
      <c r="I477" s="1"/>
    </row>
    <row r="478" ht="15.75" customHeight="1">
      <c r="A478" s="36"/>
      <c r="B478" s="36"/>
      <c r="C478" s="37"/>
      <c r="D478" s="37"/>
      <c r="E478" s="37"/>
      <c r="F478" s="37"/>
      <c r="G478" s="37"/>
      <c r="H478" s="1"/>
      <c r="I478" s="1"/>
    </row>
    <row r="479" ht="15.75" customHeight="1">
      <c r="A479" s="36"/>
      <c r="B479" s="36"/>
      <c r="C479" s="37"/>
      <c r="D479" s="37"/>
      <c r="E479" s="37"/>
      <c r="F479" s="37"/>
      <c r="G479" s="37"/>
      <c r="H479" s="1"/>
      <c r="I479" s="1"/>
    </row>
    <row r="480" ht="15.75" customHeight="1">
      <c r="A480" s="36"/>
      <c r="B480" s="36"/>
      <c r="C480" s="37"/>
      <c r="D480" s="37"/>
      <c r="E480" s="37"/>
      <c r="F480" s="37"/>
      <c r="G480" s="37"/>
      <c r="H480" s="1"/>
      <c r="I480" s="1"/>
    </row>
    <row r="481" ht="15.75" customHeight="1">
      <c r="A481" s="36"/>
      <c r="B481" s="36"/>
      <c r="C481" s="37"/>
      <c r="D481" s="37"/>
      <c r="E481" s="37"/>
      <c r="F481" s="37"/>
      <c r="G481" s="37"/>
      <c r="H481" s="1"/>
      <c r="I481" s="1"/>
    </row>
    <row r="482" ht="15.75" customHeight="1">
      <c r="A482" s="36"/>
      <c r="B482" s="36"/>
      <c r="C482" s="37"/>
      <c r="D482" s="37"/>
      <c r="E482" s="37"/>
      <c r="F482" s="37"/>
      <c r="G482" s="37"/>
      <c r="H482" s="1"/>
      <c r="I482" s="1"/>
    </row>
    <row r="483" ht="15.75" customHeight="1">
      <c r="A483" s="36"/>
      <c r="B483" s="36"/>
      <c r="C483" s="37"/>
      <c r="D483" s="37"/>
      <c r="E483" s="37"/>
      <c r="F483" s="37"/>
      <c r="G483" s="37"/>
      <c r="H483" s="1"/>
      <c r="I483" s="1"/>
    </row>
    <row r="484" ht="15.75" customHeight="1">
      <c r="A484" s="36"/>
      <c r="B484" s="36"/>
      <c r="C484" s="37"/>
      <c r="D484" s="37"/>
      <c r="E484" s="37"/>
      <c r="F484" s="37"/>
      <c r="G484" s="37"/>
      <c r="H484" s="1"/>
      <c r="I484" s="1"/>
    </row>
    <row r="485" ht="15.75" customHeight="1">
      <c r="A485" s="36"/>
      <c r="B485" s="36"/>
      <c r="C485" s="37"/>
      <c r="D485" s="37"/>
      <c r="E485" s="37"/>
      <c r="F485" s="37"/>
      <c r="G485" s="37"/>
      <c r="H485" s="1"/>
      <c r="I485" s="1"/>
    </row>
    <row r="486" ht="15.75" customHeight="1">
      <c r="A486" s="36"/>
      <c r="B486" s="36"/>
      <c r="C486" s="37"/>
      <c r="D486" s="37"/>
      <c r="E486" s="37"/>
      <c r="F486" s="37"/>
      <c r="G486" s="37"/>
      <c r="H486" s="1"/>
      <c r="I486" s="1"/>
    </row>
    <row r="487" ht="15.75" customHeight="1">
      <c r="A487" s="36"/>
      <c r="B487" s="36"/>
      <c r="C487" s="37"/>
      <c r="D487" s="37"/>
      <c r="E487" s="37"/>
      <c r="F487" s="37"/>
      <c r="G487" s="37"/>
      <c r="H487" s="1"/>
      <c r="I487" s="1"/>
    </row>
    <row r="488" ht="15.75" customHeight="1">
      <c r="A488" s="36"/>
      <c r="B488" s="36"/>
      <c r="C488" s="37"/>
      <c r="D488" s="37"/>
      <c r="E488" s="37"/>
      <c r="F488" s="37"/>
      <c r="G488" s="37"/>
      <c r="H488" s="1"/>
      <c r="I488" s="1"/>
    </row>
    <row r="489" ht="15.75" customHeight="1">
      <c r="A489" s="36"/>
      <c r="B489" s="36"/>
      <c r="C489" s="37"/>
      <c r="D489" s="37"/>
      <c r="E489" s="37"/>
      <c r="F489" s="37"/>
      <c r="G489" s="37"/>
      <c r="H489" s="1"/>
      <c r="I489" s="1"/>
    </row>
    <row r="490" ht="15.75" customHeight="1">
      <c r="A490" s="36"/>
      <c r="B490" s="36"/>
      <c r="C490" s="37"/>
      <c r="D490" s="37"/>
      <c r="E490" s="37"/>
      <c r="F490" s="37"/>
      <c r="G490" s="37"/>
      <c r="H490" s="1"/>
      <c r="I490" s="1"/>
    </row>
    <row r="491" ht="15.75" customHeight="1">
      <c r="A491" s="36"/>
      <c r="B491" s="36"/>
      <c r="C491" s="37"/>
      <c r="D491" s="37"/>
      <c r="E491" s="37"/>
      <c r="F491" s="37"/>
      <c r="G491" s="37"/>
      <c r="H491" s="1"/>
      <c r="I491" s="1"/>
    </row>
    <row r="492" ht="15.75" customHeight="1">
      <c r="A492" s="36"/>
      <c r="B492" s="36"/>
      <c r="C492" s="37"/>
      <c r="D492" s="37"/>
      <c r="E492" s="37"/>
      <c r="F492" s="37"/>
      <c r="G492" s="37"/>
      <c r="H492" s="1"/>
      <c r="I492" s="1"/>
    </row>
    <row r="493" ht="15.75" customHeight="1">
      <c r="A493" s="36"/>
      <c r="B493" s="36"/>
      <c r="C493" s="37"/>
      <c r="D493" s="37"/>
      <c r="E493" s="37"/>
      <c r="F493" s="37"/>
      <c r="G493" s="37"/>
      <c r="H493" s="1"/>
      <c r="I493" s="1"/>
    </row>
    <row r="494" ht="15.75" customHeight="1">
      <c r="A494" s="36"/>
      <c r="B494" s="36"/>
      <c r="C494" s="37"/>
      <c r="D494" s="37"/>
      <c r="E494" s="37"/>
      <c r="F494" s="37"/>
      <c r="G494" s="37"/>
      <c r="H494" s="1"/>
      <c r="I494" s="1"/>
    </row>
    <row r="495" ht="15.75" customHeight="1">
      <c r="A495" s="36"/>
      <c r="B495" s="36"/>
      <c r="C495" s="37"/>
      <c r="D495" s="37"/>
      <c r="E495" s="37"/>
      <c r="F495" s="37"/>
      <c r="G495" s="37"/>
      <c r="H495" s="1"/>
      <c r="I495" s="1"/>
    </row>
    <row r="496" ht="15.75" customHeight="1">
      <c r="A496" s="36"/>
      <c r="B496" s="36"/>
      <c r="C496" s="37"/>
      <c r="D496" s="37"/>
      <c r="E496" s="37"/>
      <c r="F496" s="37"/>
      <c r="G496" s="37"/>
      <c r="H496" s="1"/>
      <c r="I496" s="1"/>
    </row>
    <row r="497" ht="15.75" customHeight="1">
      <c r="A497" s="36"/>
      <c r="B497" s="36"/>
      <c r="C497" s="37"/>
      <c r="D497" s="37"/>
      <c r="E497" s="37"/>
      <c r="F497" s="37"/>
      <c r="G497" s="37"/>
      <c r="H497" s="1"/>
      <c r="I497" s="1"/>
    </row>
    <row r="498" ht="15.75" customHeight="1">
      <c r="A498" s="36"/>
      <c r="B498" s="36"/>
      <c r="C498" s="37"/>
      <c r="D498" s="37"/>
      <c r="E498" s="37"/>
      <c r="F498" s="37"/>
      <c r="G498" s="37"/>
      <c r="H498" s="1"/>
      <c r="I498" s="1"/>
    </row>
    <row r="499" ht="15.75" customHeight="1">
      <c r="A499" s="36"/>
      <c r="B499" s="36"/>
      <c r="C499" s="37"/>
      <c r="D499" s="37"/>
      <c r="E499" s="37"/>
      <c r="F499" s="37"/>
      <c r="G499" s="37"/>
      <c r="H499" s="1"/>
      <c r="I499" s="1"/>
    </row>
    <row r="500" ht="15.75" customHeight="1">
      <c r="A500" s="36"/>
      <c r="B500" s="36"/>
      <c r="C500" s="37"/>
      <c r="D500" s="37"/>
      <c r="E500" s="37"/>
      <c r="F500" s="37"/>
      <c r="G500" s="37"/>
      <c r="H500" s="1"/>
      <c r="I500" s="1"/>
    </row>
    <row r="501" ht="15.75" customHeight="1">
      <c r="A501" s="36"/>
      <c r="B501" s="36"/>
      <c r="C501" s="37"/>
      <c r="D501" s="37"/>
      <c r="E501" s="37"/>
      <c r="F501" s="37"/>
      <c r="G501" s="37"/>
      <c r="H501" s="1"/>
      <c r="I501" s="1"/>
    </row>
    <row r="502" ht="15.75" customHeight="1">
      <c r="A502" s="36"/>
      <c r="B502" s="36"/>
      <c r="C502" s="37"/>
      <c r="D502" s="37"/>
      <c r="E502" s="37"/>
      <c r="F502" s="37"/>
      <c r="G502" s="37"/>
      <c r="H502" s="1"/>
      <c r="I502" s="1"/>
    </row>
    <row r="503" ht="15.75" customHeight="1">
      <c r="A503" s="36"/>
      <c r="B503" s="36"/>
      <c r="C503" s="37"/>
      <c r="D503" s="37"/>
      <c r="E503" s="37"/>
      <c r="F503" s="37"/>
      <c r="G503" s="37"/>
      <c r="H503" s="1"/>
      <c r="I503" s="1"/>
    </row>
    <row r="504" ht="15.75" customHeight="1">
      <c r="A504" s="36"/>
      <c r="B504" s="36"/>
      <c r="C504" s="37"/>
      <c r="D504" s="37"/>
      <c r="E504" s="37"/>
      <c r="F504" s="37"/>
      <c r="G504" s="37"/>
      <c r="H504" s="1"/>
      <c r="I504" s="1"/>
    </row>
    <row r="505" ht="15.75" customHeight="1">
      <c r="A505" s="36"/>
      <c r="B505" s="36"/>
      <c r="C505" s="37"/>
      <c r="D505" s="37"/>
      <c r="E505" s="37"/>
      <c r="F505" s="37"/>
      <c r="G505" s="37"/>
      <c r="H505" s="1"/>
      <c r="I505" s="1"/>
    </row>
    <row r="506" ht="15.75" customHeight="1">
      <c r="A506" s="36"/>
      <c r="B506" s="36"/>
      <c r="C506" s="37"/>
      <c r="D506" s="37"/>
      <c r="E506" s="37"/>
      <c r="F506" s="37"/>
      <c r="G506" s="37"/>
      <c r="H506" s="1"/>
      <c r="I506" s="1"/>
    </row>
    <row r="507" ht="15.75" customHeight="1">
      <c r="A507" s="36"/>
      <c r="B507" s="36"/>
      <c r="C507" s="37"/>
      <c r="D507" s="37"/>
      <c r="E507" s="37"/>
      <c r="F507" s="37"/>
      <c r="G507" s="37"/>
      <c r="H507" s="1"/>
      <c r="I507" s="1"/>
    </row>
    <row r="508" ht="15.75" customHeight="1">
      <c r="A508" s="36"/>
      <c r="B508" s="36"/>
      <c r="C508" s="37"/>
      <c r="D508" s="37"/>
      <c r="E508" s="37"/>
      <c r="F508" s="37"/>
      <c r="G508" s="37"/>
      <c r="H508" s="1"/>
      <c r="I508" s="1"/>
    </row>
    <row r="509" ht="15.75" customHeight="1">
      <c r="A509" s="36"/>
      <c r="B509" s="36"/>
      <c r="C509" s="37"/>
      <c r="D509" s="37"/>
      <c r="E509" s="37"/>
      <c r="F509" s="37"/>
      <c r="G509" s="37"/>
      <c r="H509" s="1"/>
      <c r="I509" s="1"/>
    </row>
    <row r="510" ht="15.75" customHeight="1">
      <c r="A510" s="36"/>
      <c r="B510" s="36"/>
      <c r="C510" s="37"/>
      <c r="D510" s="37"/>
      <c r="E510" s="37"/>
      <c r="F510" s="37"/>
      <c r="G510" s="37"/>
      <c r="H510" s="1"/>
      <c r="I510" s="1"/>
    </row>
    <row r="511" ht="15.75" customHeight="1">
      <c r="A511" s="36"/>
      <c r="B511" s="36"/>
      <c r="C511" s="37"/>
      <c r="D511" s="37"/>
      <c r="E511" s="37"/>
      <c r="F511" s="37"/>
      <c r="G511" s="37"/>
      <c r="H511" s="1"/>
      <c r="I511" s="1"/>
    </row>
    <row r="512" ht="15.75" customHeight="1">
      <c r="A512" s="36"/>
      <c r="B512" s="36"/>
      <c r="C512" s="37"/>
      <c r="D512" s="37"/>
      <c r="E512" s="37"/>
      <c r="F512" s="37"/>
      <c r="G512" s="37"/>
      <c r="H512" s="1"/>
      <c r="I512" s="1"/>
    </row>
    <row r="513" ht="15.75" customHeight="1">
      <c r="A513" s="36"/>
      <c r="B513" s="36"/>
      <c r="C513" s="37"/>
      <c r="D513" s="37"/>
      <c r="E513" s="37"/>
      <c r="F513" s="37"/>
      <c r="G513" s="37"/>
      <c r="H513" s="1"/>
      <c r="I513" s="1"/>
    </row>
    <row r="514" ht="15.75" customHeight="1">
      <c r="A514" s="36"/>
      <c r="B514" s="36"/>
      <c r="C514" s="37"/>
      <c r="D514" s="37"/>
      <c r="E514" s="37"/>
      <c r="F514" s="37"/>
      <c r="G514" s="37"/>
      <c r="H514" s="1"/>
      <c r="I514" s="1"/>
    </row>
    <row r="515" ht="15.75" customHeight="1">
      <c r="A515" s="36"/>
      <c r="B515" s="36"/>
      <c r="C515" s="37"/>
      <c r="D515" s="37"/>
      <c r="E515" s="37"/>
      <c r="F515" s="37"/>
      <c r="G515" s="37"/>
      <c r="H515" s="1"/>
      <c r="I515" s="1"/>
    </row>
    <row r="516" ht="15.75" customHeight="1">
      <c r="A516" s="36"/>
      <c r="B516" s="36"/>
      <c r="C516" s="37"/>
      <c r="D516" s="37"/>
      <c r="E516" s="37"/>
      <c r="F516" s="37"/>
      <c r="G516" s="37"/>
      <c r="H516" s="1"/>
      <c r="I516" s="1"/>
    </row>
    <row r="517" ht="15.75" customHeight="1">
      <c r="A517" s="36"/>
      <c r="B517" s="36"/>
      <c r="C517" s="37"/>
      <c r="D517" s="37"/>
      <c r="E517" s="37"/>
      <c r="F517" s="37"/>
      <c r="G517" s="37"/>
      <c r="H517" s="1"/>
      <c r="I517" s="1"/>
    </row>
    <row r="518" ht="15.75" customHeight="1">
      <c r="A518" s="36"/>
      <c r="B518" s="36"/>
      <c r="C518" s="37"/>
      <c r="D518" s="37"/>
      <c r="E518" s="37"/>
      <c r="F518" s="37"/>
      <c r="G518" s="37"/>
      <c r="H518" s="1"/>
      <c r="I518" s="1"/>
    </row>
    <row r="519" ht="15.75" customHeight="1">
      <c r="A519" s="36"/>
      <c r="B519" s="36"/>
      <c r="C519" s="37"/>
      <c r="D519" s="37"/>
      <c r="E519" s="37"/>
      <c r="F519" s="37"/>
      <c r="G519" s="37"/>
      <c r="H519" s="1"/>
      <c r="I519" s="1"/>
    </row>
    <row r="520" ht="15.75" customHeight="1">
      <c r="A520" s="36"/>
      <c r="B520" s="36"/>
      <c r="C520" s="37"/>
      <c r="D520" s="37"/>
      <c r="E520" s="37"/>
      <c r="F520" s="37"/>
      <c r="G520" s="37"/>
      <c r="H520" s="1"/>
      <c r="I520" s="1"/>
    </row>
    <row r="521" ht="15.75" customHeight="1">
      <c r="A521" s="36"/>
      <c r="B521" s="36"/>
      <c r="C521" s="37"/>
      <c r="D521" s="37"/>
      <c r="E521" s="37"/>
      <c r="F521" s="37"/>
      <c r="G521" s="37"/>
      <c r="H521" s="1"/>
      <c r="I521" s="1"/>
    </row>
    <row r="522" ht="15.75" customHeight="1">
      <c r="A522" s="36"/>
      <c r="B522" s="36"/>
      <c r="C522" s="37"/>
      <c r="D522" s="37"/>
      <c r="E522" s="37"/>
      <c r="F522" s="37"/>
      <c r="G522" s="37"/>
      <c r="H522" s="1"/>
      <c r="I522" s="1"/>
    </row>
    <row r="523" ht="15.75" customHeight="1">
      <c r="A523" s="36"/>
      <c r="B523" s="36"/>
      <c r="C523" s="37"/>
      <c r="D523" s="37"/>
      <c r="E523" s="37"/>
      <c r="F523" s="37"/>
      <c r="G523" s="37"/>
      <c r="H523" s="1"/>
      <c r="I523" s="1"/>
    </row>
    <row r="524" ht="15.75" customHeight="1">
      <c r="A524" s="36"/>
      <c r="B524" s="36"/>
      <c r="C524" s="37"/>
      <c r="D524" s="37"/>
      <c r="E524" s="37"/>
      <c r="F524" s="37"/>
      <c r="G524" s="37"/>
      <c r="H524" s="1"/>
      <c r="I524" s="1"/>
    </row>
    <row r="525" ht="15.75" customHeight="1">
      <c r="A525" s="36"/>
      <c r="B525" s="36"/>
      <c r="C525" s="37"/>
      <c r="D525" s="37"/>
      <c r="E525" s="37"/>
      <c r="F525" s="37"/>
      <c r="G525" s="37"/>
      <c r="H525" s="1"/>
      <c r="I525" s="1"/>
    </row>
    <row r="526" ht="15.75" customHeight="1">
      <c r="A526" s="36"/>
      <c r="B526" s="36"/>
      <c r="C526" s="37"/>
      <c r="D526" s="37"/>
      <c r="E526" s="37"/>
      <c r="F526" s="37"/>
      <c r="G526" s="37"/>
      <c r="H526" s="1"/>
      <c r="I526" s="1"/>
    </row>
    <row r="527" ht="15.75" customHeight="1">
      <c r="A527" s="36"/>
      <c r="B527" s="36"/>
      <c r="C527" s="37"/>
      <c r="D527" s="37"/>
      <c r="E527" s="37"/>
      <c r="F527" s="37"/>
      <c r="G527" s="37"/>
      <c r="H527" s="1"/>
      <c r="I527" s="1"/>
    </row>
    <row r="528" ht="15.75" customHeight="1">
      <c r="A528" s="36"/>
      <c r="B528" s="36"/>
      <c r="C528" s="37"/>
      <c r="D528" s="37"/>
      <c r="E528" s="37"/>
      <c r="F528" s="37"/>
      <c r="G528" s="37"/>
      <c r="H528" s="1"/>
      <c r="I528" s="1"/>
    </row>
    <row r="529" ht="15.75" customHeight="1">
      <c r="A529" s="36"/>
      <c r="B529" s="36"/>
      <c r="C529" s="37"/>
      <c r="D529" s="37"/>
      <c r="E529" s="37"/>
      <c r="F529" s="37"/>
      <c r="G529" s="37"/>
      <c r="H529" s="1"/>
      <c r="I529" s="1"/>
    </row>
    <row r="530" ht="15.75" customHeight="1">
      <c r="A530" s="36"/>
      <c r="B530" s="36"/>
      <c r="C530" s="37"/>
      <c r="D530" s="37"/>
      <c r="E530" s="37"/>
      <c r="F530" s="37"/>
      <c r="G530" s="37"/>
      <c r="H530" s="1"/>
      <c r="I530" s="1"/>
    </row>
    <row r="531" ht="15.75" customHeight="1">
      <c r="A531" s="36"/>
      <c r="B531" s="36"/>
      <c r="C531" s="37"/>
      <c r="D531" s="37"/>
      <c r="E531" s="37"/>
      <c r="F531" s="37"/>
      <c r="G531" s="37"/>
      <c r="H531" s="1"/>
      <c r="I531" s="1"/>
    </row>
    <row r="532" ht="15.75" customHeight="1">
      <c r="A532" s="36"/>
      <c r="B532" s="36"/>
      <c r="C532" s="37"/>
      <c r="D532" s="37"/>
      <c r="E532" s="37"/>
      <c r="F532" s="37"/>
      <c r="G532" s="37"/>
      <c r="H532" s="1"/>
      <c r="I532" s="1"/>
    </row>
    <row r="533" ht="15.75" customHeight="1">
      <c r="A533" s="36"/>
      <c r="B533" s="36"/>
      <c r="C533" s="37"/>
      <c r="D533" s="37"/>
      <c r="E533" s="37"/>
      <c r="F533" s="37"/>
      <c r="G533" s="37"/>
      <c r="H533" s="1"/>
      <c r="I533" s="1"/>
    </row>
    <row r="534" ht="15.75" customHeight="1">
      <c r="A534" s="36"/>
      <c r="B534" s="36"/>
      <c r="C534" s="37"/>
      <c r="D534" s="37"/>
      <c r="E534" s="37"/>
      <c r="F534" s="37"/>
      <c r="G534" s="37"/>
      <c r="H534" s="1"/>
      <c r="I534" s="1"/>
    </row>
    <row r="535" ht="15.75" customHeight="1">
      <c r="A535" s="36"/>
      <c r="B535" s="36"/>
      <c r="C535" s="37"/>
      <c r="D535" s="37"/>
      <c r="E535" s="37"/>
      <c r="F535" s="37"/>
      <c r="G535" s="37"/>
      <c r="H535" s="1"/>
      <c r="I535" s="1"/>
    </row>
    <row r="536" ht="15.75" customHeight="1">
      <c r="A536" s="36"/>
      <c r="B536" s="36"/>
      <c r="C536" s="37"/>
      <c r="D536" s="37"/>
      <c r="E536" s="37"/>
      <c r="F536" s="37"/>
      <c r="G536" s="37"/>
      <c r="H536" s="1"/>
      <c r="I536" s="1"/>
    </row>
    <row r="537" ht="15.75" customHeight="1">
      <c r="A537" s="36"/>
      <c r="B537" s="36"/>
      <c r="C537" s="37"/>
      <c r="D537" s="37"/>
      <c r="E537" s="37"/>
      <c r="F537" s="37"/>
      <c r="G537" s="37"/>
      <c r="H537" s="1"/>
      <c r="I537" s="1"/>
    </row>
    <row r="538" ht="15.75" customHeight="1">
      <c r="A538" s="36"/>
      <c r="B538" s="36"/>
      <c r="C538" s="37"/>
      <c r="D538" s="37"/>
      <c r="E538" s="37"/>
      <c r="F538" s="37"/>
      <c r="G538" s="37"/>
      <c r="H538" s="1"/>
      <c r="I538" s="1"/>
    </row>
    <row r="539" ht="15.75" customHeight="1">
      <c r="A539" s="36"/>
      <c r="B539" s="36"/>
      <c r="C539" s="37"/>
      <c r="D539" s="37"/>
      <c r="E539" s="37"/>
      <c r="F539" s="37"/>
      <c r="G539" s="37"/>
      <c r="H539" s="1"/>
      <c r="I539" s="1"/>
    </row>
    <row r="540" ht="15.75" customHeight="1">
      <c r="A540" s="36"/>
      <c r="B540" s="36"/>
      <c r="C540" s="37"/>
      <c r="D540" s="37"/>
      <c r="E540" s="37"/>
      <c r="F540" s="37"/>
      <c r="G540" s="37"/>
      <c r="H540" s="1"/>
      <c r="I540" s="1"/>
    </row>
    <row r="541" ht="15.75" customHeight="1">
      <c r="A541" s="36"/>
      <c r="B541" s="36"/>
      <c r="C541" s="37"/>
      <c r="D541" s="37"/>
      <c r="E541" s="37"/>
      <c r="F541" s="37"/>
      <c r="G541" s="37"/>
      <c r="H541" s="1"/>
      <c r="I541" s="1"/>
    </row>
    <row r="542" ht="15.75" customHeight="1">
      <c r="A542" s="36"/>
      <c r="B542" s="36"/>
      <c r="C542" s="37"/>
      <c r="D542" s="37"/>
      <c r="E542" s="37"/>
      <c r="F542" s="37"/>
      <c r="G542" s="37"/>
      <c r="H542" s="1"/>
      <c r="I542" s="1"/>
    </row>
    <row r="543" ht="15.75" customHeight="1">
      <c r="A543" s="36"/>
      <c r="B543" s="36"/>
      <c r="C543" s="37"/>
      <c r="D543" s="37"/>
      <c r="E543" s="37"/>
      <c r="F543" s="37"/>
      <c r="G543" s="37"/>
      <c r="H543" s="1"/>
      <c r="I543" s="1"/>
    </row>
    <row r="544" ht="15.75" customHeight="1">
      <c r="A544" s="36"/>
      <c r="B544" s="36"/>
      <c r="C544" s="37"/>
      <c r="D544" s="37"/>
      <c r="E544" s="37"/>
      <c r="F544" s="37"/>
      <c r="G544" s="37"/>
      <c r="H544" s="1"/>
      <c r="I544" s="1"/>
    </row>
    <row r="545" ht="15.75" customHeight="1">
      <c r="A545" s="36"/>
      <c r="B545" s="36"/>
      <c r="C545" s="37"/>
      <c r="D545" s="37"/>
      <c r="E545" s="37"/>
      <c r="F545" s="37"/>
      <c r="G545" s="37"/>
      <c r="H545" s="1"/>
      <c r="I545" s="1"/>
    </row>
    <row r="546" ht="15.75" customHeight="1">
      <c r="A546" s="36"/>
      <c r="B546" s="36"/>
      <c r="C546" s="37"/>
      <c r="D546" s="37"/>
      <c r="E546" s="37"/>
      <c r="F546" s="37"/>
      <c r="G546" s="37"/>
      <c r="H546" s="1"/>
      <c r="I546" s="1"/>
    </row>
    <row r="547" ht="15.75" customHeight="1">
      <c r="A547" s="36"/>
      <c r="B547" s="36"/>
      <c r="C547" s="37"/>
      <c r="D547" s="37"/>
      <c r="E547" s="37"/>
      <c r="F547" s="37"/>
      <c r="G547" s="37"/>
      <c r="H547" s="1"/>
      <c r="I547" s="1"/>
    </row>
    <row r="548" ht="15.75" customHeight="1">
      <c r="A548" s="36"/>
      <c r="B548" s="36"/>
      <c r="C548" s="37"/>
      <c r="D548" s="37"/>
      <c r="E548" s="37"/>
      <c r="F548" s="37"/>
      <c r="G548" s="37"/>
      <c r="H548" s="1"/>
      <c r="I548" s="1"/>
    </row>
    <row r="549" ht="15.75" customHeight="1">
      <c r="A549" s="36"/>
      <c r="B549" s="36"/>
      <c r="C549" s="37"/>
      <c r="D549" s="37"/>
      <c r="E549" s="37"/>
      <c r="F549" s="37"/>
      <c r="G549" s="37"/>
      <c r="H549" s="1"/>
      <c r="I549" s="1"/>
    </row>
    <row r="550" ht="15.75" customHeight="1">
      <c r="A550" s="36"/>
      <c r="B550" s="36"/>
      <c r="C550" s="37"/>
      <c r="D550" s="37"/>
      <c r="E550" s="37"/>
      <c r="F550" s="37"/>
      <c r="G550" s="37"/>
      <c r="H550" s="1"/>
      <c r="I550" s="1"/>
    </row>
    <row r="551" ht="15.75" customHeight="1">
      <c r="A551" s="36"/>
      <c r="B551" s="36"/>
      <c r="C551" s="37"/>
      <c r="D551" s="37"/>
      <c r="E551" s="37"/>
      <c r="F551" s="37"/>
      <c r="G551" s="37"/>
      <c r="H551" s="1"/>
      <c r="I551" s="1"/>
    </row>
    <row r="552" ht="15.75" customHeight="1">
      <c r="A552" s="36"/>
      <c r="B552" s="36"/>
      <c r="C552" s="37"/>
      <c r="D552" s="37"/>
      <c r="E552" s="37"/>
      <c r="F552" s="37"/>
      <c r="G552" s="37"/>
      <c r="H552" s="1"/>
      <c r="I552" s="1"/>
    </row>
    <row r="553" ht="15.75" customHeight="1">
      <c r="A553" s="36"/>
      <c r="B553" s="36"/>
      <c r="C553" s="37"/>
      <c r="D553" s="37"/>
      <c r="E553" s="37"/>
      <c r="F553" s="37"/>
      <c r="G553" s="37"/>
      <c r="H553" s="1"/>
      <c r="I553" s="1"/>
    </row>
    <row r="554" ht="15.75" customHeight="1">
      <c r="A554" s="36"/>
      <c r="B554" s="36"/>
      <c r="C554" s="37"/>
      <c r="D554" s="37"/>
      <c r="E554" s="37"/>
      <c r="F554" s="37"/>
      <c r="G554" s="37"/>
      <c r="H554" s="1"/>
      <c r="I554" s="1"/>
    </row>
    <row r="555" ht="15.75" customHeight="1">
      <c r="A555" s="36"/>
      <c r="B555" s="36"/>
      <c r="C555" s="37"/>
      <c r="D555" s="37"/>
      <c r="E555" s="37"/>
      <c r="F555" s="37"/>
      <c r="G555" s="37"/>
      <c r="H555" s="1"/>
      <c r="I555" s="1"/>
    </row>
    <row r="556" ht="15.75" customHeight="1">
      <c r="A556" s="36"/>
      <c r="B556" s="36"/>
      <c r="C556" s="37"/>
      <c r="D556" s="37"/>
      <c r="E556" s="37"/>
      <c r="F556" s="37"/>
      <c r="G556" s="37"/>
      <c r="H556" s="1"/>
      <c r="I556" s="1"/>
    </row>
    <row r="557" ht="15.75" customHeight="1">
      <c r="A557" s="36"/>
      <c r="B557" s="36"/>
      <c r="C557" s="37"/>
      <c r="D557" s="37"/>
      <c r="E557" s="37"/>
      <c r="F557" s="37"/>
      <c r="G557" s="37"/>
      <c r="H557" s="1"/>
      <c r="I557" s="1"/>
    </row>
    <row r="558" ht="15.75" customHeight="1">
      <c r="A558" s="36"/>
      <c r="B558" s="36"/>
      <c r="C558" s="37"/>
      <c r="D558" s="37"/>
      <c r="E558" s="37"/>
      <c r="F558" s="37"/>
      <c r="G558" s="37"/>
      <c r="H558" s="1"/>
      <c r="I558" s="1"/>
    </row>
    <row r="559" ht="15.75" customHeight="1">
      <c r="A559" s="36"/>
      <c r="B559" s="36"/>
      <c r="C559" s="37"/>
      <c r="D559" s="37"/>
      <c r="E559" s="37"/>
      <c r="F559" s="37"/>
      <c r="G559" s="37"/>
      <c r="H559" s="1"/>
      <c r="I559" s="1"/>
    </row>
    <row r="560" ht="15.75" customHeight="1">
      <c r="A560" s="36"/>
      <c r="B560" s="36"/>
      <c r="C560" s="37"/>
      <c r="D560" s="37"/>
      <c r="E560" s="37"/>
      <c r="F560" s="37"/>
      <c r="G560" s="37"/>
      <c r="H560" s="1"/>
      <c r="I560" s="1"/>
    </row>
    <row r="561" ht="15.75" customHeight="1">
      <c r="A561" s="36"/>
      <c r="B561" s="36"/>
      <c r="C561" s="37"/>
      <c r="D561" s="37"/>
      <c r="E561" s="37"/>
      <c r="F561" s="37"/>
      <c r="G561" s="37"/>
      <c r="H561" s="1"/>
      <c r="I561" s="1"/>
    </row>
    <row r="562" ht="15.75" customHeight="1">
      <c r="A562" s="36"/>
      <c r="B562" s="36"/>
      <c r="C562" s="37"/>
      <c r="D562" s="37"/>
      <c r="E562" s="37"/>
      <c r="F562" s="37"/>
      <c r="G562" s="37"/>
      <c r="H562" s="1"/>
      <c r="I562" s="1"/>
    </row>
    <row r="563" ht="15.75" customHeight="1">
      <c r="A563" s="36"/>
      <c r="B563" s="36"/>
      <c r="C563" s="37"/>
      <c r="D563" s="37"/>
      <c r="E563" s="37"/>
      <c r="F563" s="37"/>
      <c r="G563" s="37"/>
      <c r="H563" s="1"/>
      <c r="I563" s="1"/>
    </row>
    <row r="564" ht="15.75" customHeight="1">
      <c r="A564" s="36"/>
      <c r="B564" s="36"/>
      <c r="C564" s="37"/>
      <c r="D564" s="37"/>
      <c r="E564" s="37"/>
      <c r="F564" s="37"/>
      <c r="G564" s="37"/>
      <c r="H564" s="1"/>
      <c r="I564" s="1"/>
    </row>
    <row r="565" ht="15.75" customHeight="1">
      <c r="A565" s="36"/>
      <c r="B565" s="36"/>
      <c r="C565" s="37"/>
      <c r="D565" s="37"/>
      <c r="E565" s="37"/>
      <c r="F565" s="37"/>
      <c r="G565" s="37"/>
      <c r="H565" s="1"/>
      <c r="I565" s="1"/>
    </row>
    <row r="566" ht="15.75" customHeight="1">
      <c r="A566" s="36"/>
      <c r="B566" s="36"/>
      <c r="C566" s="37"/>
      <c r="D566" s="37"/>
      <c r="E566" s="37"/>
      <c r="F566" s="37"/>
      <c r="G566" s="37"/>
      <c r="H566" s="1"/>
      <c r="I566" s="1"/>
    </row>
    <row r="567" ht="15.75" customHeight="1">
      <c r="A567" s="36"/>
      <c r="B567" s="36"/>
      <c r="C567" s="37"/>
      <c r="D567" s="37"/>
      <c r="E567" s="37"/>
      <c r="F567" s="37"/>
      <c r="G567" s="37"/>
      <c r="H567" s="1"/>
      <c r="I567" s="1"/>
    </row>
    <row r="568" ht="15.75" customHeight="1">
      <c r="A568" s="36"/>
      <c r="B568" s="36"/>
      <c r="C568" s="37"/>
      <c r="D568" s="37"/>
      <c r="E568" s="37"/>
      <c r="F568" s="37"/>
      <c r="G568" s="37"/>
      <c r="H568" s="1"/>
      <c r="I568" s="1"/>
    </row>
    <row r="569" ht="15.75" customHeight="1">
      <c r="A569" s="36"/>
      <c r="B569" s="36"/>
      <c r="C569" s="37"/>
      <c r="D569" s="37"/>
      <c r="E569" s="37"/>
      <c r="F569" s="37"/>
      <c r="G569" s="37"/>
      <c r="H569" s="1"/>
      <c r="I569" s="1"/>
    </row>
    <row r="570" ht="15.75" customHeight="1">
      <c r="A570" s="36"/>
      <c r="B570" s="36"/>
      <c r="C570" s="37"/>
      <c r="D570" s="37"/>
      <c r="E570" s="37"/>
      <c r="F570" s="37"/>
      <c r="G570" s="37"/>
      <c r="H570" s="1"/>
      <c r="I570" s="1"/>
    </row>
    <row r="571" ht="15.75" customHeight="1">
      <c r="A571" s="36"/>
      <c r="B571" s="36"/>
      <c r="C571" s="37"/>
      <c r="D571" s="37"/>
      <c r="E571" s="37"/>
      <c r="F571" s="37"/>
      <c r="G571" s="37"/>
      <c r="H571" s="1"/>
      <c r="I571" s="1"/>
    </row>
    <row r="572" ht="15.75" customHeight="1">
      <c r="A572" s="36"/>
      <c r="B572" s="36"/>
      <c r="C572" s="37"/>
      <c r="D572" s="37"/>
      <c r="E572" s="37"/>
      <c r="F572" s="37"/>
      <c r="G572" s="37"/>
      <c r="H572" s="1"/>
      <c r="I572" s="1"/>
    </row>
    <row r="573" ht="15.75" customHeight="1">
      <c r="A573" s="36"/>
      <c r="B573" s="36"/>
      <c r="C573" s="37"/>
      <c r="D573" s="37"/>
      <c r="E573" s="37"/>
      <c r="F573" s="37"/>
      <c r="G573" s="37"/>
      <c r="H573" s="1"/>
      <c r="I573" s="1"/>
    </row>
    <row r="574" ht="15.75" customHeight="1">
      <c r="A574" s="36"/>
      <c r="B574" s="36"/>
      <c r="C574" s="37"/>
      <c r="D574" s="37"/>
      <c r="E574" s="37"/>
      <c r="F574" s="37"/>
      <c r="G574" s="37"/>
      <c r="H574" s="1"/>
      <c r="I574" s="1"/>
    </row>
    <row r="575" ht="15.75" customHeight="1">
      <c r="A575" s="36"/>
      <c r="B575" s="36"/>
      <c r="C575" s="37"/>
      <c r="D575" s="37"/>
      <c r="E575" s="37"/>
      <c r="F575" s="37"/>
      <c r="G575" s="37"/>
      <c r="H575" s="1"/>
      <c r="I575" s="1"/>
    </row>
    <row r="576" ht="15.75" customHeight="1">
      <c r="A576" s="36"/>
      <c r="B576" s="36"/>
      <c r="C576" s="37"/>
      <c r="D576" s="37"/>
      <c r="E576" s="37"/>
      <c r="F576" s="37"/>
      <c r="G576" s="37"/>
      <c r="H576" s="1"/>
      <c r="I576" s="1"/>
    </row>
    <row r="577" ht="15.75" customHeight="1">
      <c r="A577" s="36"/>
      <c r="B577" s="36"/>
      <c r="C577" s="37"/>
      <c r="D577" s="37"/>
      <c r="E577" s="37"/>
      <c r="F577" s="37"/>
      <c r="G577" s="37"/>
      <c r="H577" s="1"/>
      <c r="I577" s="1"/>
    </row>
    <row r="578" ht="15.75" customHeight="1">
      <c r="A578" s="36"/>
      <c r="B578" s="36"/>
      <c r="C578" s="37"/>
      <c r="D578" s="37"/>
      <c r="E578" s="37"/>
      <c r="F578" s="37"/>
      <c r="G578" s="37"/>
      <c r="H578" s="1"/>
      <c r="I578" s="1"/>
    </row>
    <row r="579" ht="15.75" customHeight="1">
      <c r="A579" s="36"/>
      <c r="B579" s="36"/>
      <c r="C579" s="37"/>
      <c r="D579" s="37"/>
      <c r="E579" s="37"/>
      <c r="F579" s="37"/>
      <c r="G579" s="37"/>
      <c r="H579" s="1"/>
      <c r="I579" s="1"/>
    </row>
    <row r="580" ht="15.75" customHeight="1">
      <c r="A580" s="36"/>
      <c r="B580" s="36"/>
      <c r="C580" s="37"/>
      <c r="D580" s="37"/>
      <c r="E580" s="37"/>
      <c r="F580" s="37"/>
      <c r="G580" s="37"/>
      <c r="H580" s="1"/>
      <c r="I580" s="1"/>
    </row>
    <row r="581" ht="15.75" customHeight="1">
      <c r="A581" s="36"/>
      <c r="B581" s="36"/>
      <c r="C581" s="37"/>
      <c r="D581" s="37"/>
      <c r="E581" s="37"/>
      <c r="F581" s="37"/>
      <c r="G581" s="37"/>
      <c r="H581" s="1"/>
      <c r="I581" s="1"/>
    </row>
    <row r="582" ht="15.75" customHeight="1">
      <c r="A582" s="36"/>
      <c r="B582" s="36"/>
      <c r="C582" s="37"/>
      <c r="D582" s="37"/>
      <c r="E582" s="37"/>
      <c r="F582" s="37"/>
      <c r="G582" s="37"/>
      <c r="H582" s="1"/>
      <c r="I582" s="1"/>
    </row>
    <row r="583" ht="15.75" customHeight="1">
      <c r="A583" s="36"/>
      <c r="B583" s="36"/>
      <c r="C583" s="37"/>
      <c r="D583" s="37"/>
      <c r="E583" s="37"/>
      <c r="F583" s="37"/>
      <c r="G583" s="37"/>
      <c r="H583" s="1"/>
      <c r="I583" s="1"/>
    </row>
    <row r="584" ht="15.75" customHeight="1">
      <c r="A584" s="36"/>
      <c r="B584" s="36"/>
      <c r="C584" s="37"/>
      <c r="D584" s="37"/>
      <c r="E584" s="37"/>
      <c r="F584" s="37"/>
      <c r="G584" s="37"/>
      <c r="H584" s="1"/>
      <c r="I584" s="1"/>
    </row>
    <row r="585" ht="15.75" customHeight="1">
      <c r="A585" s="36"/>
      <c r="B585" s="36"/>
      <c r="C585" s="37"/>
      <c r="D585" s="37"/>
      <c r="E585" s="37"/>
      <c r="F585" s="37"/>
      <c r="G585" s="37"/>
      <c r="H585" s="1"/>
      <c r="I585" s="1"/>
    </row>
    <row r="586" ht="15.75" customHeight="1">
      <c r="A586" s="36"/>
      <c r="B586" s="36"/>
      <c r="C586" s="37"/>
      <c r="D586" s="37"/>
      <c r="E586" s="37"/>
      <c r="F586" s="37"/>
      <c r="G586" s="37"/>
      <c r="H586" s="1"/>
      <c r="I586" s="1"/>
    </row>
    <row r="587" ht="15.75" customHeight="1">
      <c r="A587" s="36"/>
      <c r="B587" s="36"/>
      <c r="C587" s="37"/>
      <c r="D587" s="37"/>
      <c r="E587" s="37"/>
      <c r="F587" s="37"/>
      <c r="G587" s="37"/>
      <c r="H587" s="1"/>
      <c r="I587" s="1"/>
    </row>
    <row r="588" ht="15.75" customHeight="1">
      <c r="A588" s="36"/>
      <c r="B588" s="36"/>
      <c r="C588" s="37"/>
      <c r="D588" s="37"/>
      <c r="E588" s="37"/>
      <c r="F588" s="37"/>
      <c r="G588" s="37"/>
      <c r="H588" s="1"/>
      <c r="I588" s="1"/>
    </row>
    <row r="589" ht="15.75" customHeight="1">
      <c r="A589" s="36"/>
      <c r="B589" s="36"/>
      <c r="C589" s="37"/>
      <c r="D589" s="37"/>
      <c r="E589" s="37"/>
      <c r="F589" s="37"/>
      <c r="G589" s="37"/>
      <c r="H589" s="1"/>
      <c r="I589" s="1"/>
    </row>
    <row r="590" ht="15.75" customHeight="1">
      <c r="A590" s="36"/>
      <c r="B590" s="36"/>
      <c r="C590" s="37"/>
      <c r="D590" s="37"/>
      <c r="E590" s="37"/>
      <c r="F590" s="37"/>
      <c r="G590" s="37"/>
      <c r="H590" s="1"/>
      <c r="I590" s="1"/>
    </row>
    <row r="591" ht="15.75" customHeight="1">
      <c r="A591" s="36"/>
      <c r="B591" s="36"/>
      <c r="C591" s="37"/>
      <c r="D591" s="37"/>
      <c r="E591" s="37"/>
      <c r="F591" s="37"/>
      <c r="G591" s="37"/>
      <c r="H591" s="1"/>
      <c r="I591" s="1"/>
    </row>
    <row r="592" ht="15.75" customHeight="1">
      <c r="A592" s="36"/>
      <c r="B592" s="36"/>
      <c r="C592" s="37"/>
      <c r="D592" s="37"/>
      <c r="E592" s="37"/>
      <c r="F592" s="37"/>
      <c r="G592" s="37"/>
      <c r="H592" s="1"/>
      <c r="I592" s="1"/>
    </row>
    <row r="593" ht="15.75" customHeight="1">
      <c r="A593" s="36"/>
      <c r="B593" s="36"/>
      <c r="C593" s="37"/>
      <c r="D593" s="37"/>
      <c r="E593" s="37"/>
      <c r="F593" s="37"/>
      <c r="G593" s="37"/>
      <c r="H593" s="1"/>
      <c r="I593" s="1"/>
    </row>
    <row r="594" ht="15.75" customHeight="1">
      <c r="A594" s="36"/>
      <c r="B594" s="36"/>
      <c r="C594" s="37"/>
      <c r="D594" s="37"/>
      <c r="E594" s="37"/>
      <c r="F594" s="37"/>
      <c r="G594" s="37"/>
      <c r="H594" s="1"/>
      <c r="I594" s="1"/>
    </row>
    <row r="595" ht="15.75" customHeight="1">
      <c r="A595" s="36"/>
      <c r="B595" s="36"/>
      <c r="C595" s="37"/>
      <c r="D595" s="37"/>
      <c r="E595" s="37"/>
      <c r="F595" s="37"/>
      <c r="G595" s="37"/>
      <c r="H595" s="1"/>
      <c r="I595" s="1"/>
    </row>
    <row r="596" ht="15.75" customHeight="1">
      <c r="A596" s="36"/>
      <c r="B596" s="36"/>
      <c r="C596" s="37"/>
      <c r="D596" s="37"/>
      <c r="E596" s="37"/>
      <c r="F596" s="37"/>
      <c r="G596" s="37"/>
      <c r="H596" s="1"/>
      <c r="I596" s="1"/>
    </row>
    <row r="597" ht="15.75" customHeight="1">
      <c r="A597" s="36"/>
      <c r="B597" s="36"/>
      <c r="C597" s="37"/>
      <c r="D597" s="37"/>
      <c r="E597" s="37"/>
      <c r="F597" s="37"/>
      <c r="G597" s="37"/>
      <c r="H597" s="1"/>
      <c r="I597" s="1"/>
    </row>
    <row r="598" ht="15.75" customHeight="1">
      <c r="A598" s="36"/>
      <c r="B598" s="36"/>
      <c r="C598" s="37"/>
      <c r="D598" s="37"/>
      <c r="E598" s="37"/>
      <c r="F598" s="37"/>
      <c r="G598" s="37"/>
      <c r="H598" s="1"/>
      <c r="I598" s="1"/>
    </row>
    <row r="599" ht="15.75" customHeight="1">
      <c r="A599" s="36"/>
      <c r="B599" s="36"/>
      <c r="C599" s="37"/>
      <c r="D599" s="37"/>
      <c r="E599" s="37"/>
      <c r="F599" s="37"/>
      <c r="G599" s="37"/>
      <c r="H599" s="1"/>
      <c r="I599" s="1"/>
    </row>
    <row r="600" ht="15.75" customHeight="1">
      <c r="A600" s="36"/>
      <c r="B600" s="36"/>
      <c r="C600" s="37"/>
      <c r="D600" s="37"/>
      <c r="E600" s="37"/>
      <c r="F600" s="37"/>
      <c r="G600" s="37"/>
      <c r="H600" s="1"/>
      <c r="I600" s="1"/>
    </row>
    <row r="601" ht="15.75" customHeight="1">
      <c r="A601" s="36"/>
      <c r="B601" s="36"/>
      <c r="C601" s="37"/>
      <c r="D601" s="37"/>
      <c r="E601" s="37"/>
      <c r="F601" s="37"/>
      <c r="G601" s="37"/>
      <c r="H601" s="1"/>
      <c r="I601" s="1"/>
    </row>
    <row r="602" ht="15.75" customHeight="1">
      <c r="A602" s="36"/>
      <c r="B602" s="36"/>
      <c r="C602" s="37"/>
      <c r="D602" s="37"/>
      <c r="E602" s="37"/>
      <c r="F602" s="37"/>
      <c r="G602" s="37"/>
      <c r="H602" s="1"/>
      <c r="I602" s="1"/>
    </row>
    <row r="603" ht="15.75" customHeight="1">
      <c r="A603" s="36"/>
      <c r="B603" s="36"/>
      <c r="C603" s="37"/>
      <c r="D603" s="37"/>
      <c r="E603" s="37"/>
      <c r="F603" s="37"/>
      <c r="G603" s="37"/>
      <c r="H603" s="1"/>
      <c r="I603" s="1"/>
    </row>
    <row r="604" ht="15.75" customHeight="1">
      <c r="A604" s="36"/>
      <c r="B604" s="36"/>
      <c r="C604" s="37"/>
      <c r="D604" s="37"/>
      <c r="E604" s="37"/>
      <c r="F604" s="37"/>
      <c r="G604" s="37"/>
      <c r="H604" s="1"/>
      <c r="I604" s="1"/>
    </row>
    <row r="605" ht="15.75" customHeight="1">
      <c r="A605" s="36"/>
      <c r="B605" s="36"/>
      <c r="C605" s="37"/>
      <c r="D605" s="37"/>
      <c r="E605" s="37"/>
      <c r="F605" s="37"/>
      <c r="G605" s="37"/>
      <c r="H605" s="1"/>
      <c r="I605" s="1"/>
    </row>
    <row r="606" ht="15.75" customHeight="1">
      <c r="A606" s="36"/>
      <c r="B606" s="36"/>
      <c r="C606" s="37"/>
      <c r="D606" s="37"/>
      <c r="E606" s="37"/>
      <c r="F606" s="37"/>
      <c r="G606" s="37"/>
      <c r="H606" s="1"/>
      <c r="I606" s="1"/>
    </row>
    <row r="607" ht="15.75" customHeight="1">
      <c r="A607" s="36"/>
      <c r="B607" s="36"/>
      <c r="C607" s="37"/>
      <c r="D607" s="37"/>
      <c r="E607" s="37"/>
      <c r="F607" s="37"/>
      <c r="G607" s="37"/>
      <c r="H607" s="1"/>
      <c r="I607" s="1"/>
    </row>
    <row r="608" ht="15.75" customHeight="1">
      <c r="A608" s="36"/>
      <c r="B608" s="36"/>
      <c r="C608" s="37"/>
      <c r="D608" s="37"/>
      <c r="E608" s="37"/>
      <c r="F608" s="37"/>
      <c r="G608" s="37"/>
      <c r="H608" s="1"/>
      <c r="I608" s="1"/>
    </row>
    <row r="609" ht="15.75" customHeight="1">
      <c r="A609" s="36"/>
      <c r="B609" s="36"/>
      <c r="C609" s="37"/>
      <c r="D609" s="37"/>
      <c r="E609" s="37"/>
      <c r="F609" s="37"/>
      <c r="G609" s="37"/>
      <c r="H609" s="1"/>
      <c r="I609" s="1"/>
    </row>
    <row r="610" ht="15.75" customHeight="1">
      <c r="A610" s="36"/>
      <c r="B610" s="36"/>
      <c r="C610" s="37"/>
      <c r="D610" s="37"/>
      <c r="E610" s="37"/>
      <c r="F610" s="37"/>
      <c r="G610" s="37"/>
      <c r="H610" s="1"/>
      <c r="I610" s="1"/>
    </row>
    <row r="611" ht="15.75" customHeight="1">
      <c r="A611" s="36"/>
      <c r="B611" s="36"/>
      <c r="C611" s="37"/>
      <c r="D611" s="37"/>
      <c r="E611" s="37"/>
      <c r="F611" s="37"/>
      <c r="G611" s="37"/>
      <c r="H611" s="1"/>
      <c r="I611" s="1"/>
    </row>
    <row r="612" ht="15.75" customHeight="1">
      <c r="A612" s="36"/>
      <c r="B612" s="36"/>
      <c r="C612" s="37"/>
      <c r="D612" s="37"/>
      <c r="E612" s="37"/>
      <c r="F612" s="37"/>
      <c r="G612" s="37"/>
      <c r="H612" s="1"/>
      <c r="I612" s="1"/>
    </row>
    <row r="613" ht="15.75" customHeight="1">
      <c r="A613" s="36"/>
      <c r="B613" s="36"/>
      <c r="C613" s="37"/>
      <c r="D613" s="37"/>
      <c r="E613" s="37"/>
      <c r="F613" s="37"/>
      <c r="G613" s="37"/>
      <c r="H613" s="1"/>
      <c r="I613" s="1"/>
    </row>
    <row r="614" ht="15.75" customHeight="1">
      <c r="A614" s="36"/>
      <c r="B614" s="36"/>
      <c r="C614" s="37"/>
      <c r="D614" s="37"/>
      <c r="E614" s="37"/>
      <c r="F614" s="37"/>
      <c r="G614" s="37"/>
      <c r="H614" s="1"/>
      <c r="I614" s="1"/>
    </row>
    <row r="615" ht="15.75" customHeight="1">
      <c r="A615" s="36"/>
      <c r="B615" s="36"/>
      <c r="C615" s="37"/>
      <c r="D615" s="37"/>
      <c r="E615" s="37"/>
      <c r="F615" s="37"/>
      <c r="G615" s="37"/>
      <c r="H615" s="1"/>
      <c r="I615" s="1"/>
    </row>
    <row r="616" ht="15.75" customHeight="1">
      <c r="A616" s="36"/>
      <c r="B616" s="36"/>
      <c r="C616" s="37"/>
      <c r="D616" s="37"/>
      <c r="E616" s="37"/>
      <c r="F616" s="37"/>
      <c r="G616" s="37"/>
      <c r="H616" s="1"/>
      <c r="I616" s="1"/>
    </row>
    <row r="617" ht="15.75" customHeight="1">
      <c r="A617" s="36"/>
      <c r="B617" s="36"/>
      <c r="C617" s="37"/>
      <c r="D617" s="37"/>
      <c r="E617" s="37"/>
      <c r="F617" s="37"/>
      <c r="G617" s="37"/>
      <c r="H617" s="1"/>
      <c r="I617" s="1"/>
    </row>
    <row r="618" ht="15.75" customHeight="1">
      <c r="A618" s="36"/>
      <c r="B618" s="36"/>
      <c r="C618" s="37"/>
      <c r="D618" s="37"/>
      <c r="E618" s="37"/>
      <c r="F618" s="37"/>
      <c r="G618" s="37"/>
      <c r="H618" s="1"/>
      <c r="I618" s="1"/>
    </row>
    <row r="619" ht="15.75" customHeight="1">
      <c r="A619" s="36"/>
      <c r="B619" s="36"/>
      <c r="C619" s="37"/>
      <c r="D619" s="37"/>
      <c r="E619" s="37"/>
      <c r="F619" s="37"/>
      <c r="G619" s="37"/>
      <c r="H619" s="1"/>
      <c r="I619" s="1"/>
    </row>
    <row r="620" ht="15.75" customHeight="1">
      <c r="A620" s="36"/>
      <c r="B620" s="36"/>
      <c r="C620" s="37"/>
      <c r="D620" s="37"/>
      <c r="E620" s="37"/>
      <c r="F620" s="37"/>
      <c r="G620" s="37"/>
      <c r="H620" s="1"/>
      <c r="I620" s="1"/>
    </row>
    <row r="621" ht="15.75" customHeight="1">
      <c r="A621" s="36"/>
      <c r="B621" s="36"/>
      <c r="C621" s="37"/>
      <c r="D621" s="37"/>
      <c r="E621" s="37"/>
      <c r="F621" s="37"/>
      <c r="G621" s="37"/>
      <c r="H621" s="1"/>
      <c r="I621" s="1"/>
    </row>
    <row r="622" ht="15.75" customHeight="1">
      <c r="A622" s="36"/>
      <c r="B622" s="36"/>
      <c r="C622" s="37"/>
      <c r="D622" s="37"/>
      <c r="E622" s="37"/>
      <c r="F622" s="37"/>
      <c r="G622" s="37"/>
      <c r="H622" s="1"/>
      <c r="I622" s="1"/>
    </row>
    <row r="623" ht="15.75" customHeight="1">
      <c r="A623" s="36"/>
      <c r="B623" s="36"/>
      <c r="C623" s="37"/>
      <c r="D623" s="37"/>
      <c r="E623" s="37"/>
      <c r="F623" s="37"/>
      <c r="G623" s="37"/>
      <c r="H623" s="1"/>
      <c r="I623" s="1"/>
    </row>
    <row r="624" ht="15.75" customHeight="1">
      <c r="A624" s="36"/>
      <c r="B624" s="36"/>
      <c r="C624" s="37"/>
      <c r="D624" s="37"/>
      <c r="E624" s="37"/>
      <c r="F624" s="37"/>
      <c r="G624" s="37"/>
      <c r="H624" s="1"/>
      <c r="I624" s="1"/>
    </row>
    <row r="625" ht="15.75" customHeight="1">
      <c r="A625" s="36"/>
      <c r="B625" s="36"/>
      <c r="C625" s="37"/>
      <c r="D625" s="37"/>
      <c r="E625" s="37"/>
      <c r="F625" s="37"/>
      <c r="G625" s="37"/>
      <c r="H625" s="1"/>
      <c r="I625" s="1"/>
    </row>
    <row r="626" ht="15.75" customHeight="1">
      <c r="A626" s="36"/>
      <c r="B626" s="36"/>
      <c r="C626" s="37"/>
      <c r="D626" s="37"/>
      <c r="E626" s="37"/>
      <c r="F626" s="37"/>
      <c r="G626" s="37"/>
      <c r="H626" s="1"/>
      <c r="I626" s="1"/>
    </row>
    <row r="627" ht="15.75" customHeight="1">
      <c r="A627" s="36"/>
      <c r="B627" s="36"/>
      <c r="C627" s="37"/>
      <c r="D627" s="37"/>
      <c r="E627" s="37"/>
      <c r="F627" s="37"/>
      <c r="G627" s="37"/>
      <c r="H627" s="1"/>
      <c r="I627" s="1"/>
    </row>
    <row r="628" ht="15.75" customHeight="1">
      <c r="A628" s="36"/>
      <c r="B628" s="36"/>
      <c r="C628" s="37"/>
      <c r="D628" s="37"/>
      <c r="E628" s="37"/>
      <c r="F628" s="37"/>
      <c r="G628" s="37"/>
      <c r="H628" s="1"/>
      <c r="I628" s="1"/>
    </row>
    <row r="629" ht="15.75" customHeight="1">
      <c r="A629" s="36"/>
      <c r="B629" s="36"/>
      <c r="C629" s="37"/>
      <c r="D629" s="37"/>
      <c r="E629" s="37"/>
      <c r="F629" s="37"/>
      <c r="G629" s="37"/>
      <c r="H629" s="1"/>
      <c r="I629" s="1"/>
    </row>
    <row r="630" ht="15.75" customHeight="1">
      <c r="A630" s="36"/>
      <c r="B630" s="36"/>
      <c r="C630" s="37"/>
      <c r="D630" s="37"/>
      <c r="E630" s="37"/>
      <c r="F630" s="37"/>
      <c r="G630" s="37"/>
      <c r="H630" s="1"/>
      <c r="I630" s="1"/>
    </row>
    <row r="631" ht="15.75" customHeight="1">
      <c r="A631" s="36"/>
      <c r="B631" s="36"/>
      <c r="C631" s="37"/>
      <c r="D631" s="37"/>
      <c r="E631" s="37"/>
      <c r="F631" s="37"/>
      <c r="G631" s="37"/>
      <c r="H631" s="1"/>
      <c r="I631" s="1"/>
    </row>
    <row r="632" ht="15.75" customHeight="1">
      <c r="A632" s="36"/>
      <c r="B632" s="36"/>
      <c r="C632" s="37"/>
      <c r="D632" s="37"/>
      <c r="E632" s="37"/>
      <c r="F632" s="37"/>
      <c r="G632" s="37"/>
      <c r="H632" s="1"/>
      <c r="I632" s="1"/>
    </row>
    <row r="633" ht="15.75" customHeight="1">
      <c r="A633" s="36"/>
      <c r="B633" s="36"/>
      <c r="C633" s="37"/>
      <c r="D633" s="37"/>
      <c r="E633" s="37"/>
      <c r="F633" s="37"/>
      <c r="G633" s="37"/>
      <c r="H633" s="1"/>
      <c r="I633" s="1"/>
    </row>
    <row r="634" ht="15.75" customHeight="1">
      <c r="A634" s="36"/>
      <c r="B634" s="36"/>
      <c r="C634" s="37"/>
      <c r="D634" s="37"/>
      <c r="E634" s="37"/>
      <c r="F634" s="37"/>
      <c r="G634" s="37"/>
      <c r="H634" s="1"/>
      <c r="I634" s="1"/>
    </row>
    <row r="635" ht="15.75" customHeight="1">
      <c r="A635" s="36"/>
      <c r="B635" s="36"/>
      <c r="C635" s="37"/>
      <c r="D635" s="37"/>
      <c r="E635" s="37"/>
      <c r="F635" s="37"/>
      <c r="G635" s="37"/>
      <c r="H635" s="1"/>
      <c r="I635" s="1"/>
    </row>
    <row r="636" ht="15.75" customHeight="1">
      <c r="A636" s="36"/>
      <c r="B636" s="36"/>
      <c r="C636" s="37"/>
      <c r="D636" s="37"/>
      <c r="E636" s="37"/>
      <c r="F636" s="37"/>
      <c r="G636" s="37"/>
      <c r="H636" s="1"/>
      <c r="I636" s="1"/>
    </row>
    <row r="637" ht="15.75" customHeight="1">
      <c r="A637" s="36"/>
      <c r="B637" s="36"/>
      <c r="C637" s="37"/>
      <c r="D637" s="37"/>
      <c r="E637" s="37"/>
      <c r="F637" s="37"/>
      <c r="G637" s="37"/>
      <c r="H637" s="1"/>
      <c r="I637" s="1"/>
    </row>
    <row r="638" ht="15.75" customHeight="1">
      <c r="A638" s="36"/>
      <c r="B638" s="36"/>
      <c r="C638" s="37"/>
      <c r="D638" s="37"/>
      <c r="E638" s="37"/>
      <c r="F638" s="37"/>
      <c r="G638" s="37"/>
      <c r="H638" s="1"/>
      <c r="I638" s="1"/>
    </row>
    <row r="639" ht="15.75" customHeight="1">
      <c r="A639" s="36"/>
      <c r="B639" s="36"/>
      <c r="C639" s="37"/>
      <c r="D639" s="37"/>
      <c r="E639" s="37"/>
      <c r="F639" s="37"/>
      <c r="G639" s="37"/>
      <c r="H639" s="1"/>
      <c r="I639" s="1"/>
    </row>
    <row r="640" ht="15.75" customHeight="1">
      <c r="A640" s="36"/>
      <c r="B640" s="36"/>
      <c r="C640" s="37"/>
      <c r="D640" s="37"/>
      <c r="E640" s="37"/>
      <c r="F640" s="37"/>
      <c r="G640" s="37"/>
      <c r="H640" s="1"/>
      <c r="I640" s="1"/>
    </row>
    <row r="641" ht="15.75" customHeight="1">
      <c r="A641" s="36"/>
      <c r="B641" s="36"/>
      <c r="C641" s="37"/>
      <c r="D641" s="37"/>
      <c r="E641" s="37"/>
      <c r="F641" s="37"/>
      <c r="G641" s="37"/>
      <c r="H641" s="1"/>
      <c r="I641" s="1"/>
    </row>
    <row r="642" ht="15.75" customHeight="1">
      <c r="A642" s="36"/>
      <c r="B642" s="36"/>
      <c r="C642" s="37"/>
      <c r="D642" s="37"/>
      <c r="E642" s="37"/>
      <c r="F642" s="37"/>
      <c r="G642" s="37"/>
      <c r="H642" s="1"/>
      <c r="I642" s="1"/>
    </row>
    <row r="643" ht="15.75" customHeight="1">
      <c r="A643" s="36"/>
      <c r="B643" s="36"/>
      <c r="C643" s="37"/>
      <c r="D643" s="37"/>
      <c r="E643" s="37"/>
      <c r="F643" s="37"/>
      <c r="G643" s="37"/>
      <c r="H643" s="1"/>
      <c r="I643" s="1"/>
    </row>
    <row r="644" ht="15.75" customHeight="1">
      <c r="A644" s="36"/>
      <c r="B644" s="36"/>
      <c r="C644" s="37"/>
      <c r="D644" s="37"/>
      <c r="E644" s="37"/>
      <c r="F644" s="37"/>
      <c r="G644" s="37"/>
      <c r="H644" s="1"/>
      <c r="I644" s="1"/>
    </row>
    <row r="645" ht="15.75" customHeight="1">
      <c r="A645" s="36"/>
      <c r="B645" s="36"/>
      <c r="C645" s="37"/>
      <c r="D645" s="37"/>
      <c r="E645" s="37"/>
      <c r="F645" s="37"/>
      <c r="G645" s="37"/>
      <c r="H645" s="1"/>
      <c r="I645" s="1"/>
    </row>
    <row r="646" ht="15.75" customHeight="1">
      <c r="A646" s="36"/>
      <c r="B646" s="36"/>
      <c r="C646" s="37"/>
      <c r="D646" s="37"/>
      <c r="E646" s="37"/>
      <c r="F646" s="37"/>
      <c r="G646" s="37"/>
      <c r="H646" s="1"/>
      <c r="I646" s="1"/>
    </row>
    <row r="647" ht="15.75" customHeight="1">
      <c r="A647" s="36"/>
      <c r="B647" s="36"/>
      <c r="C647" s="37"/>
      <c r="D647" s="37"/>
      <c r="E647" s="37"/>
      <c r="F647" s="37"/>
      <c r="G647" s="37"/>
      <c r="H647" s="1"/>
      <c r="I647" s="1"/>
    </row>
    <row r="648" ht="15.75" customHeight="1">
      <c r="A648" s="36"/>
      <c r="B648" s="36"/>
      <c r="C648" s="37"/>
      <c r="D648" s="37"/>
      <c r="E648" s="37"/>
      <c r="F648" s="37"/>
      <c r="G648" s="37"/>
      <c r="H648" s="1"/>
      <c r="I648" s="1"/>
    </row>
    <row r="649" ht="15.75" customHeight="1">
      <c r="A649" s="36"/>
      <c r="B649" s="36"/>
      <c r="C649" s="37"/>
      <c r="D649" s="37"/>
      <c r="E649" s="37"/>
      <c r="F649" s="37"/>
      <c r="G649" s="37"/>
      <c r="H649" s="1"/>
      <c r="I649" s="1"/>
    </row>
    <row r="650" ht="15.75" customHeight="1">
      <c r="A650" s="36"/>
      <c r="B650" s="36"/>
      <c r="C650" s="37"/>
      <c r="D650" s="37"/>
      <c r="E650" s="37"/>
      <c r="F650" s="37"/>
      <c r="G650" s="37"/>
      <c r="H650" s="1"/>
      <c r="I650" s="1"/>
    </row>
    <row r="651" ht="15.75" customHeight="1">
      <c r="A651" s="36"/>
      <c r="B651" s="36"/>
      <c r="C651" s="37"/>
      <c r="D651" s="37"/>
      <c r="E651" s="37"/>
      <c r="F651" s="37"/>
      <c r="G651" s="37"/>
      <c r="H651" s="1"/>
      <c r="I651" s="1"/>
    </row>
    <row r="652" ht="15.75" customHeight="1">
      <c r="A652" s="36"/>
      <c r="B652" s="36"/>
      <c r="C652" s="37"/>
      <c r="D652" s="37"/>
      <c r="E652" s="37"/>
      <c r="F652" s="37"/>
      <c r="G652" s="37"/>
      <c r="H652" s="1"/>
      <c r="I652" s="1"/>
    </row>
    <row r="653" ht="15.75" customHeight="1">
      <c r="A653" s="36"/>
      <c r="B653" s="36"/>
      <c r="C653" s="37"/>
      <c r="D653" s="37"/>
      <c r="E653" s="37"/>
      <c r="F653" s="37"/>
      <c r="G653" s="37"/>
      <c r="H653" s="1"/>
      <c r="I653" s="1"/>
    </row>
    <row r="654" ht="15.75" customHeight="1">
      <c r="A654" s="36"/>
      <c r="B654" s="36"/>
      <c r="C654" s="37"/>
      <c r="D654" s="37"/>
      <c r="E654" s="37"/>
      <c r="F654" s="37"/>
      <c r="G654" s="37"/>
      <c r="H654" s="1"/>
      <c r="I654" s="1"/>
    </row>
    <row r="655" ht="15.75" customHeight="1">
      <c r="A655" s="36"/>
      <c r="B655" s="36"/>
      <c r="C655" s="37"/>
      <c r="D655" s="37"/>
      <c r="E655" s="37"/>
      <c r="F655" s="37"/>
      <c r="G655" s="37"/>
      <c r="H655" s="1"/>
      <c r="I655" s="1"/>
    </row>
    <row r="656" ht="15.75" customHeight="1">
      <c r="A656" s="36"/>
      <c r="B656" s="36"/>
      <c r="C656" s="37"/>
      <c r="D656" s="37"/>
      <c r="E656" s="37"/>
      <c r="F656" s="37"/>
      <c r="G656" s="37"/>
      <c r="H656" s="1"/>
      <c r="I656" s="1"/>
    </row>
    <row r="657" ht="15.75" customHeight="1">
      <c r="A657" s="36"/>
      <c r="B657" s="36"/>
      <c r="C657" s="37"/>
      <c r="D657" s="37"/>
      <c r="E657" s="37"/>
      <c r="F657" s="37"/>
      <c r="G657" s="37"/>
      <c r="H657" s="1"/>
      <c r="I657" s="1"/>
    </row>
    <row r="658" ht="15.75" customHeight="1">
      <c r="A658" s="36"/>
      <c r="B658" s="36"/>
      <c r="C658" s="37"/>
      <c r="D658" s="37"/>
      <c r="E658" s="37"/>
      <c r="F658" s="37"/>
      <c r="G658" s="37"/>
      <c r="H658" s="1"/>
      <c r="I658" s="1"/>
    </row>
    <row r="659" ht="15.75" customHeight="1">
      <c r="A659" s="36"/>
      <c r="B659" s="36"/>
      <c r="C659" s="37"/>
      <c r="D659" s="37"/>
      <c r="E659" s="37"/>
      <c r="F659" s="37"/>
      <c r="G659" s="37"/>
      <c r="H659" s="1"/>
      <c r="I659" s="1"/>
    </row>
    <row r="660" ht="15.75" customHeight="1">
      <c r="A660" s="36"/>
      <c r="B660" s="36"/>
      <c r="C660" s="37"/>
      <c r="D660" s="37"/>
      <c r="E660" s="37"/>
      <c r="F660" s="37"/>
      <c r="G660" s="37"/>
      <c r="H660" s="1"/>
      <c r="I660" s="1"/>
    </row>
    <row r="661" ht="15.75" customHeight="1">
      <c r="A661" s="36"/>
      <c r="B661" s="36"/>
      <c r="C661" s="37"/>
      <c r="D661" s="37"/>
      <c r="E661" s="37"/>
      <c r="F661" s="37"/>
      <c r="G661" s="37"/>
      <c r="H661" s="1"/>
      <c r="I661" s="1"/>
    </row>
    <row r="662" ht="15.75" customHeight="1">
      <c r="A662" s="36"/>
      <c r="B662" s="36"/>
      <c r="C662" s="37"/>
      <c r="D662" s="37"/>
      <c r="E662" s="37"/>
      <c r="F662" s="37"/>
      <c r="G662" s="37"/>
      <c r="H662" s="1"/>
      <c r="I662" s="1"/>
    </row>
    <row r="663" ht="15.75" customHeight="1">
      <c r="A663" s="36"/>
      <c r="B663" s="36"/>
      <c r="C663" s="37"/>
      <c r="D663" s="37"/>
      <c r="E663" s="37"/>
      <c r="F663" s="37"/>
      <c r="G663" s="37"/>
      <c r="H663" s="1"/>
      <c r="I663" s="1"/>
    </row>
    <row r="664" ht="15.75" customHeight="1">
      <c r="A664" s="36"/>
      <c r="B664" s="36"/>
      <c r="C664" s="37"/>
      <c r="D664" s="37"/>
      <c r="E664" s="37"/>
      <c r="F664" s="37"/>
      <c r="G664" s="37"/>
      <c r="H664" s="1"/>
      <c r="I664" s="1"/>
    </row>
    <row r="665" ht="15.75" customHeight="1">
      <c r="A665" s="36"/>
      <c r="B665" s="36"/>
      <c r="C665" s="37"/>
      <c r="D665" s="37"/>
      <c r="E665" s="37"/>
      <c r="F665" s="37"/>
      <c r="G665" s="37"/>
      <c r="H665" s="1"/>
      <c r="I665" s="1"/>
    </row>
    <row r="666" ht="15.75" customHeight="1">
      <c r="A666" s="36"/>
      <c r="B666" s="36"/>
      <c r="C666" s="37"/>
      <c r="D666" s="37"/>
      <c r="E666" s="37"/>
      <c r="F666" s="37"/>
      <c r="G666" s="37"/>
      <c r="H666" s="1"/>
      <c r="I666" s="1"/>
    </row>
    <row r="667" ht="15.75" customHeight="1">
      <c r="A667" s="36"/>
      <c r="B667" s="36"/>
      <c r="C667" s="37"/>
      <c r="D667" s="37"/>
      <c r="E667" s="37"/>
      <c r="F667" s="37"/>
      <c r="G667" s="37"/>
      <c r="H667" s="1"/>
      <c r="I667" s="1"/>
    </row>
    <row r="668" ht="15.75" customHeight="1">
      <c r="A668" s="36"/>
      <c r="B668" s="36"/>
      <c r="C668" s="37"/>
      <c r="D668" s="37"/>
      <c r="E668" s="37"/>
      <c r="F668" s="37"/>
      <c r="G668" s="37"/>
      <c r="H668" s="1"/>
      <c r="I668" s="1"/>
    </row>
    <row r="669" ht="15.75" customHeight="1">
      <c r="A669" s="36"/>
      <c r="B669" s="36"/>
      <c r="C669" s="37"/>
      <c r="D669" s="37"/>
      <c r="E669" s="37"/>
      <c r="F669" s="37"/>
      <c r="G669" s="37"/>
      <c r="H669" s="1"/>
      <c r="I669" s="1"/>
    </row>
    <row r="670" ht="15.75" customHeight="1">
      <c r="A670" s="36"/>
      <c r="B670" s="36"/>
      <c r="C670" s="37"/>
      <c r="D670" s="37"/>
      <c r="E670" s="37"/>
      <c r="F670" s="37"/>
      <c r="G670" s="37"/>
      <c r="H670" s="1"/>
      <c r="I670" s="1"/>
    </row>
    <row r="671" ht="15.75" customHeight="1">
      <c r="A671" s="36"/>
      <c r="B671" s="36"/>
      <c r="C671" s="37"/>
      <c r="D671" s="37"/>
      <c r="E671" s="37"/>
      <c r="F671" s="37"/>
      <c r="G671" s="37"/>
      <c r="H671" s="1"/>
      <c r="I671" s="1"/>
    </row>
    <row r="672" ht="15.75" customHeight="1">
      <c r="A672" s="36"/>
      <c r="B672" s="36"/>
      <c r="C672" s="37"/>
      <c r="D672" s="37"/>
      <c r="E672" s="37"/>
      <c r="F672" s="37"/>
      <c r="G672" s="37"/>
      <c r="H672" s="1"/>
      <c r="I672" s="1"/>
    </row>
    <row r="673" ht="15.75" customHeight="1">
      <c r="A673" s="36"/>
      <c r="B673" s="36"/>
      <c r="C673" s="37"/>
      <c r="D673" s="37"/>
      <c r="E673" s="37"/>
      <c r="F673" s="37"/>
      <c r="G673" s="37"/>
      <c r="H673" s="1"/>
      <c r="I673" s="1"/>
    </row>
    <row r="674" ht="15.75" customHeight="1">
      <c r="A674" s="36"/>
      <c r="B674" s="36"/>
      <c r="C674" s="37"/>
      <c r="D674" s="37"/>
      <c r="E674" s="37"/>
      <c r="F674" s="37"/>
      <c r="G674" s="37"/>
      <c r="H674" s="1"/>
      <c r="I674" s="1"/>
    </row>
    <row r="675" ht="15.75" customHeight="1">
      <c r="A675" s="36"/>
      <c r="B675" s="36"/>
      <c r="C675" s="37"/>
      <c r="D675" s="37"/>
      <c r="E675" s="37"/>
      <c r="F675" s="37"/>
      <c r="G675" s="37"/>
      <c r="H675" s="1"/>
      <c r="I675" s="1"/>
    </row>
    <row r="676" ht="15.75" customHeight="1">
      <c r="A676" s="36"/>
      <c r="B676" s="36"/>
      <c r="C676" s="37"/>
      <c r="D676" s="37"/>
      <c r="E676" s="37"/>
      <c r="F676" s="37"/>
      <c r="G676" s="37"/>
      <c r="H676" s="1"/>
      <c r="I676" s="1"/>
    </row>
    <row r="677" ht="15.75" customHeight="1">
      <c r="A677" s="36"/>
      <c r="B677" s="36"/>
      <c r="C677" s="37"/>
      <c r="D677" s="37"/>
      <c r="E677" s="37"/>
      <c r="F677" s="37"/>
      <c r="G677" s="37"/>
      <c r="H677" s="1"/>
      <c r="I677" s="1"/>
    </row>
    <row r="678" ht="15.75" customHeight="1">
      <c r="A678" s="36"/>
      <c r="B678" s="36"/>
      <c r="C678" s="37"/>
      <c r="D678" s="37"/>
      <c r="E678" s="37"/>
      <c r="F678" s="37"/>
      <c r="G678" s="37"/>
      <c r="H678" s="1"/>
      <c r="I678" s="1"/>
    </row>
    <row r="679" ht="15.75" customHeight="1">
      <c r="A679" s="36"/>
      <c r="B679" s="36"/>
      <c r="C679" s="37"/>
      <c r="D679" s="37"/>
      <c r="E679" s="37"/>
      <c r="F679" s="37"/>
      <c r="G679" s="37"/>
      <c r="H679" s="1"/>
      <c r="I679" s="1"/>
    </row>
    <row r="680" ht="15.75" customHeight="1">
      <c r="A680" s="36"/>
      <c r="B680" s="36"/>
      <c r="C680" s="37"/>
      <c r="D680" s="37"/>
      <c r="E680" s="37"/>
      <c r="F680" s="37"/>
      <c r="G680" s="37"/>
      <c r="H680" s="1"/>
      <c r="I680" s="1"/>
    </row>
    <row r="681" ht="15.75" customHeight="1">
      <c r="A681" s="36"/>
      <c r="B681" s="36"/>
      <c r="C681" s="37"/>
      <c r="D681" s="37"/>
      <c r="E681" s="37"/>
      <c r="F681" s="37"/>
      <c r="G681" s="37"/>
      <c r="H681" s="1"/>
      <c r="I681" s="1"/>
    </row>
    <row r="682" ht="15.75" customHeight="1">
      <c r="A682" s="36"/>
      <c r="B682" s="36"/>
      <c r="C682" s="37"/>
      <c r="D682" s="37"/>
      <c r="E682" s="37"/>
      <c r="F682" s="37"/>
      <c r="G682" s="37"/>
      <c r="H682" s="1"/>
      <c r="I682" s="1"/>
    </row>
    <row r="683" ht="15.75" customHeight="1">
      <c r="A683" s="36"/>
      <c r="B683" s="36"/>
      <c r="C683" s="37"/>
      <c r="D683" s="37"/>
      <c r="E683" s="37"/>
      <c r="F683" s="37"/>
      <c r="G683" s="37"/>
      <c r="H683" s="1"/>
      <c r="I683" s="1"/>
    </row>
    <row r="684" ht="15.75" customHeight="1">
      <c r="A684" s="36"/>
      <c r="B684" s="36"/>
      <c r="C684" s="37"/>
      <c r="D684" s="37"/>
      <c r="E684" s="37"/>
      <c r="F684" s="37"/>
      <c r="G684" s="37"/>
      <c r="H684" s="1"/>
      <c r="I684" s="1"/>
    </row>
    <row r="685" ht="15.75" customHeight="1">
      <c r="A685" s="36"/>
      <c r="B685" s="36"/>
      <c r="C685" s="37"/>
      <c r="D685" s="37"/>
      <c r="E685" s="37"/>
      <c r="F685" s="37"/>
      <c r="G685" s="37"/>
      <c r="H685" s="1"/>
      <c r="I685" s="1"/>
    </row>
    <row r="686" ht="15.75" customHeight="1">
      <c r="A686" s="36"/>
      <c r="B686" s="36"/>
      <c r="C686" s="37"/>
      <c r="D686" s="37"/>
      <c r="E686" s="37"/>
      <c r="F686" s="37"/>
      <c r="G686" s="37"/>
      <c r="H686" s="1"/>
      <c r="I686" s="1"/>
    </row>
    <row r="687" ht="15.75" customHeight="1">
      <c r="A687" s="36"/>
      <c r="B687" s="36"/>
      <c r="C687" s="37"/>
      <c r="D687" s="37"/>
      <c r="E687" s="37"/>
      <c r="F687" s="37"/>
      <c r="G687" s="37"/>
      <c r="H687" s="1"/>
      <c r="I687" s="1"/>
    </row>
    <row r="688" ht="15.75" customHeight="1">
      <c r="A688" s="36"/>
      <c r="B688" s="36"/>
      <c r="C688" s="37"/>
      <c r="D688" s="37"/>
      <c r="E688" s="37"/>
      <c r="F688" s="37"/>
      <c r="G688" s="37"/>
      <c r="H688" s="1"/>
      <c r="I688" s="1"/>
    </row>
    <row r="689" ht="15.75" customHeight="1">
      <c r="A689" s="36"/>
      <c r="B689" s="36"/>
      <c r="C689" s="37"/>
      <c r="D689" s="37"/>
      <c r="E689" s="37"/>
      <c r="F689" s="37"/>
      <c r="G689" s="37"/>
      <c r="H689" s="1"/>
      <c r="I689" s="1"/>
    </row>
    <row r="690" ht="15.75" customHeight="1">
      <c r="A690" s="36"/>
      <c r="B690" s="36"/>
      <c r="C690" s="37"/>
      <c r="D690" s="37"/>
      <c r="E690" s="37"/>
      <c r="F690" s="37"/>
      <c r="G690" s="37"/>
      <c r="H690" s="1"/>
      <c r="I690" s="1"/>
    </row>
    <row r="691" ht="15.75" customHeight="1">
      <c r="A691" s="36"/>
      <c r="B691" s="36"/>
      <c r="C691" s="37"/>
      <c r="D691" s="37"/>
      <c r="E691" s="37"/>
      <c r="F691" s="37"/>
      <c r="G691" s="37"/>
      <c r="H691" s="1"/>
      <c r="I691" s="1"/>
    </row>
    <row r="692" ht="15.75" customHeight="1">
      <c r="A692" s="36"/>
      <c r="B692" s="36"/>
      <c r="C692" s="37"/>
      <c r="D692" s="37"/>
      <c r="E692" s="37"/>
      <c r="F692" s="37"/>
      <c r="G692" s="37"/>
      <c r="H692" s="1"/>
      <c r="I692" s="1"/>
    </row>
    <row r="693" ht="15.75" customHeight="1">
      <c r="A693" s="36"/>
      <c r="B693" s="36"/>
      <c r="C693" s="37"/>
      <c r="D693" s="37"/>
      <c r="E693" s="37"/>
      <c r="F693" s="37"/>
      <c r="G693" s="37"/>
      <c r="H693" s="1"/>
      <c r="I693" s="1"/>
    </row>
    <row r="694" ht="15.75" customHeight="1">
      <c r="A694" s="36"/>
      <c r="B694" s="36"/>
      <c r="C694" s="37"/>
      <c r="D694" s="37"/>
      <c r="E694" s="37"/>
      <c r="F694" s="37"/>
      <c r="G694" s="37"/>
      <c r="H694" s="1"/>
      <c r="I694" s="1"/>
    </row>
    <row r="695" ht="15.75" customHeight="1">
      <c r="A695" s="36"/>
      <c r="B695" s="36"/>
      <c r="C695" s="37"/>
      <c r="D695" s="37"/>
      <c r="E695" s="37"/>
      <c r="F695" s="37"/>
      <c r="G695" s="37"/>
      <c r="H695" s="1"/>
      <c r="I695" s="1"/>
    </row>
    <row r="696" ht="15.75" customHeight="1">
      <c r="A696" s="36"/>
      <c r="B696" s="36"/>
      <c r="C696" s="37"/>
      <c r="D696" s="37"/>
      <c r="E696" s="37"/>
      <c r="F696" s="37"/>
      <c r="G696" s="37"/>
      <c r="H696" s="1"/>
      <c r="I696" s="1"/>
    </row>
    <row r="697" ht="15.75" customHeight="1">
      <c r="A697" s="36"/>
      <c r="B697" s="36"/>
      <c r="C697" s="37"/>
      <c r="D697" s="37"/>
      <c r="E697" s="37"/>
      <c r="F697" s="37"/>
      <c r="G697" s="37"/>
      <c r="H697" s="1"/>
      <c r="I697" s="1"/>
    </row>
    <row r="698" ht="15.75" customHeight="1">
      <c r="A698" s="36"/>
      <c r="B698" s="36"/>
      <c r="C698" s="37"/>
      <c r="D698" s="37"/>
      <c r="E698" s="37"/>
      <c r="F698" s="37"/>
      <c r="G698" s="37"/>
      <c r="H698" s="1"/>
      <c r="I698" s="1"/>
    </row>
    <row r="699" ht="15.75" customHeight="1">
      <c r="A699" s="36"/>
      <c r="B699" s="36"/>
      <c r="C699" s="37"/>
      <c r="D699" s="37"/>
      <c r="E699" s="37"/>
      <c r="F699" s="37"/>
      <c r="G699" s="37"/>
      <c r="H699" s="1"/>
      <c r="I699" s="1"/>
    </row>
    <row r="700" ht="15.75" customHeight="1">
      <c r="A700" s="36"/>
      <c r="B700" s="36"/>
      <c r="C700" s="37"/>
      <c r="D700" s="37"/>
      <c r="E700" s="37"/>
      <c r="F700" s="37"/>
      <c r="G700" s="37"/>
      <c r="H700" s="1"/>
      <c r="I700" s="1"/>
    </row>
    <row r="701" ht="15.75" customHeight="1">
      <c r="A701" s="36"/>
      <c r="B701" s="36"/>
      <c r="C701" s="37"/>
      <c r="D701" s="37"/>
      <c r="E701" s="37"/>
      <c r="F701" s="37"/>
      <c r="G701" s="37"/>
      <c r="H701" s="1"/>
      <c r="I701" s="1"/>
    </row>
    <row r="702" ht="15.75" customHeight="1">
      <c r="A702" s="36"/>
      <c r="B702" s="36"/>
      <c r="C702" s="37"/>
      <c r="D702" s="37"/>
      <c r="E702" s="37"/>
      <c r="F702" s="37"/>
      <c r="G702" s="37"/>
      <c r="H702" s="1"/>
      <c r="I702" s="1"/>
    </row>
    <row r="703" ht="15.75" customHeight="1">
      <c r="A703" s="36"/>
      <c r="B703" s="36"/>
      <c r="C703" s="37"/>
      <c r="D703" s="37"/>
      <c r="E703" s="37"/>
      <c r="F703" s="37"/>
      <c r="G703" s="37"/>
      <c r="H703" s="1"/>
      <c r="I703" s="1"/>
    </row>
    <row r="704" ht="15.75" customHeight="1">
      <c r="A704" s="36"/>
      <c r="B704" s="36"/>
      <c r="C704" s="37"/>
      <c r="D704" s="37"/>
      <c r="E704" s="37"/>
      <c r="F704" s="37"/>
      <c r="G704" s="37"/>
      <c r="H704" s="1"/>
      <c r="I704" s="1"/>
    </row>
    <row r="705" ht="15.75" customHeight="1">
      <c r="A705" s="36"/>
      <c r="B705" s="36"/>
      <c r="C705" s="37"/>
      <c r="D705" s="37"/>
      <c r="E705" s="37"/>
      <c r="F705" s="37"/>
      <c r="G705" s="37"/>
      <c r="H705" s="1"/>
      <c r="I705" s="1"/>
    </row>
    <row r="706" ht="15.75" customHeight="1">
      <c r="A706" s="36"/>
      <c r="B706" s="36"/>
      <c r="C706" s="37"/>
      <c r="D706" s="37"/>
      <c r="E706" s="37"/>
      <c r="F706" s="37"/>
      <c r="G706" s="37"/>
      <c r="H706" s="1"/>
      <c r="I706" s="1"/>
    </row>
    <row r="707" ht="15.75" customHeight="1">
      <c r="A707" s="36"/>
      <c r="B707" s="36"/>
      <c r="C707" s="37"/>
      <c r="D707" s="37"/>
      <c r="E707" s="37"/>
      <c r="F707" s="37"/>
      <c r="G707" s="37"/>
      <c r="H707" s="1"/>
      <c r="I707" s="1"/>
    </row>
    <row r="708" ht="15.75" customHeight="1">
      <c r="A708" s="36"/>
      <c r="B708" s="36"/>
      <c r="C708" s="37"/>
      <c r="D708" s="37"/>
      <c r="E708" s="37"/>
      <c r="F708" s="37"/>
      <c r="G708" s="37"/>
      <c r="H708" s="1"/>
      <c r="I708" s="1"/>
    </row>
    <row r="709" ht="15.75" customHeight="1">
      <c r="A709" s="36"/>
      <c r="B709" s="36"/>
      <c r="C709" s="37"/>
      <c r="D709" s="37"/>
      <c r="E709" s="37"/>
      <c r="F709" s="37"/>
      <c r="G709" s="37"/>
      <c r="H709" s="1"/>
      <c r="I709" s="1"/>
    </row>
    <row r="710" ht="15.75" customHeight="1">
      <c r="A710" s="36"/>
      <c r="B710" s="36"/>
      <c r="C710" s="37"/>
      <c r="D710" s="37"/>
      <c r="E710" s="37"/>
      <c r="F710" s="37"/>
      <c r="G710" s="37"/>
      <c r="H710" s="1"/>
      <c r="I710" s="1"/>
    </row>
    <row r="711" ht="15.75" customHeight="1">
      <c r="A711" s="36"/>
      <c r="B711" s="36"/>
      <c r="C711" s="37"/>
      <c r="D711" s="37"/>
      <c r="E711" s="37"/>
      <c r="F711" s="37"/>
      <c r="G711" s="37"/>
      <c r="H711" s="1"/>
      <c r="I711" s="1"/>
    </row>
    <row r="712" ht="15.75" customHeight="1">
      <c r="A712" s="36"/>
      <c r="B712" s="36"/>
      <c r="C712" s="37"/>
      <c r="D712" s="37"/>
      <c r="E712" s="37"/>
      <c r="F712" s="37"/>
      <c r="G712" s="37"/>
      <c r="H712" s="1"/>
      <c r="I712" s="1"/>
    </row>
    <row r="713" ht="15.75" customHeight="1">
      <c r="A713" s="36"/>
      <c r="B713" s="36"/>
      <c r="C713" s="37"/>
      <c r="D713" s="37"/>
      <c r="E713" s="37"/>
      <c r="F713" s="37"/>
      <c r="G713" s="37"/>
      <c r="H713" s="1"/>
      <c r="I713" s="1"/>
    </row>
    <row r="714" ht="15.75" customHeight="1">
      <c r="A714" s="36"/>
      <c r="B714" s="36"/>
      <c r="C714" s="37"/>
      <c r="D714" s="37"/>
      <c r="E714" s="37"/>
      <c r="F714" s="37"/>
      <c r="G714" s="37"/>
      <c r="H714" s="1"/>
      <c r="I714" s="1"/>
    </row>
    <row r="715" ht="15.75" customHeight="1">
      <c r="A715" s="36"/>
      <c r="B715" s="36"/>
      <c r="C715" s="37"/>
      <c r="D715" s="37"/>
      <c r="E715" s="37"/>
      <c r="F715" s="37"/>
      <c r="G715" s="37"/>
      <c r="H715" s="1"/>
      <c r="I715" s="1"/>
    </row>
    <row r="716" ht="15.75" customHeight="1">
      <c r="A716" s="36"/>
      <c r="B716" s="36"/>
      <c r="C716" s="37"/>
      <c r="D716" s="37"/>
      <c r="E716" s="37"/>
      <c r="F716" s="37"/>
      <c r="G716" s="37"/>
      <c r="H716" s="1"/>
      <c r="I716" s="1"/>
    </row>
    <row r="717" ht="15.75" customHeight="1">
      <c r="A717" s="36"/>
      <c r="B717" s="36"/>
      <c r="C717" s="37"/>
      <c r="D717" s="37"/>
      <c r="E717" s="37"/>
      <c r="F717" s="37"/>
      <c r="G717" s="37"/>
      <c r="H717" s="1"/>
      <c r="I717" s="1"/>
    </row>
    <row r="718" ht="15.75" customHeight="1">
      <c r="A718" s="36"/>
      <c r="B718" s="36"/>
      <c r="C718" s="37"/>
      <c r="D718" s="37"/>
      <c r="E718" s="37"/>
      <c r="F718" s="37"/>
      <c r="G718" s="37"/>
      <c r="H718" s="1"/>
      <c r="I718" s="1"/>
    </row>
    <row r="719" ht="15.75" customHeight="1">
      <c r="A719" s="36"/>
      <c r="B719" s="36"/>
      <c r="C719" s="37"/>
      <c r="D719" s="37"/>
      <c r="E719" s="37"/>
      <c r="F719" s="37"/>
      <c r="G719" s="37"/>
      <c r="H719" s="1"/>
      <c r="I719" s="1"/>
    </row>
    <row r="720" ht="15.75" customHeight="1">
      <c r="A720" s="36"/>
      <c r="B720" s="36"/>
      <c r="C720" s="37"/>
      <c r="D720" s="37"/>
      <c r="E720" s="37"/>
      <c r="F720" s="37"/>
      <c r="G720" s="37"/>
      <c r="H720" s="1"/>
      <c r="I720" s="1"/>
    </row>
    <row r="721" ht="15.75" customHeight="1">
      <c r="A721" s="36"/>
      <c r="B721" s="36"/>
      <c r="C721" s="37"/>
      <c r="D721" s="37"/>
      <c r="E721" s="37"/>
      <c r="F721" s="37"/>
      <c r="G721" s="37"/>
      <c r="H721" s="1"/>
      <c r="I721" s="1"/>
    </row>
    <row r="722" ht="15.75" customHeight="1">
      <c r="A722" s="36"/>
      <c r="B722" s="36"/>
      <c r="C722" s="37"/>
      <c r="D722" s="37"/>
      <c r="E722" s="37"/>
      <c r="F722" s="37"/>
      <c r="G722" s="37"/>
      <c r="H722" s="1"/>
      <c r="I722" s="1"/>
    </row>
    <row r="723" ht="15.75" customHeight="1">
      <c r="A723" s="36"/>
      <c r="B723" s="36"/>
      <c r="C723" s="37"/>
      <c r="D723" s="37"/>
      <c r="E723" s="37"/>
      <c r="F723" s="37"/>
      <c r="G723" s="37"/>
      <c r="H723" s="1"/>
      <c r="I723" s="1"/>
    </row>
    <row r="724" ht="15.75" customHeight="1">
      <c r="A724" s="36"/>
      <c r="B724" s="36"/>
      <c r="C724" s="37"/>
      <c r="D724" s="37"/>
      <c r="E724" s="37"/>
      <c r="F724" s="37"/>
      <c r="G724" s="37"/>
      <c r="H724" s="1"/>
      <c r="I724" s="1"/>
    </row>
    <row r="725" ht="15.75" customHeight="1">
      <c r="A725" s="36"/>
      <c r="B725" s="36"/>
      <c r="C725" s="37"/>
      <c r="D725" s="37"/>
      <c r="E725" s="37"/>
      <c r="F725" s="37"/>
      <c r="G725" s="37"/>
      <c r="H725" s="1"/>
      <c r="I725" s="1"/>
    </row>
    <row r="726" ht="15.75" customHeight="1">
      <c r="A726" s="36"/>
      <c r="B726" s="36"/>
      <c r="C726" s="37"/>
      <c r="D726" s="37"/>
      <c r="E726" s="37"/>
      <c r="F726" s="37"/>
      <c r="G726" s="37"/>
      <c r="H726" s="1"/>
      <c r="I726" s="1"/>
    </row>
    <row r="727" ht="15.75" customHeight="1">
      <c r="A727" s="36"/>
      <c r="B727" s="36"/>
      <c r="C727" s="37"/>
      <c r="D727" s="37"/>
      <c r="E727" s="37"/>
      <c r="F727" s="37"/>
      <c r="G727" s="37"/>
      <c r="H727" s="1"/>
      <c r="I727" s="1"/>
    </row>
    <row r="728" ht="15.75" customHeight="1">
      <c r="A728" s="36"/>
      <c r="B728" s="36"/>
      <c r="C728" s="37"/>
      <c r="D728" s="37"/>
      <c r="E728" s="37"/>
      <c r="F728" s="37"/>
      <c r="G728" s="37"/>
      <c r="H728" s="1"/>
      <c r="I728" s="1"/>
    </row>
    <row r="729" ht="15.75" customHeight="1">
      <c r="A729" s="36"/>
      <c r="B729" s="36"/>
      <c r="C729" s="37"/>
      <c r="D729" s="37"/>
      <c r="E729" s="37"/>
      <c r="F729" s="37"/>
      <c r="G729" s="37"/>
      <c r="H729" s="1"/>
      <c r="I729" s="1"/>
    </row>
    <row r="730" ht="15.75" customHeight="1">
      <c r="A730" s="36"/>
      <c r="B730" s="36"/>
      <c r="C730" s="37"/>
      <c r="D730" s="37"/>
      <c r="E730" s="37"/>
      <c r="F730" s="37"/>
      <c r="G730" s="37"/>
      <c r="H730" s="1"/>
      <c r="I730" s="1"/>
    </row>
    <row r="731" ht="15.75" customHeight="1">
      <c r="A731" s="36"/>
      <c r="B731" s="36"/>
      <c r="C731" s="37"/>
      <c r="D731" s="37"/>
      <c r="E731" s="37"/>
      <c r="F731" s="37"/>
      <c r="G731" s="37"/>
      <c r="H731" s="1"/>
      <c r="I731" s="1"/>
    </row>
    <row r="732" ht="15.75" customHeight="1">
      <c r="A732" s="36"/>
      <c r="B732" s="36"/>
      <c r="C732" s="37"/>
      <c r="D732" s="37"/>
      <c r="E732" s="37"/>
      <c r="F732" s="37"/>
      <c r="G732" s="37"/>
      <c r="H732" s="1"/>
      <c r="I732" s="1"/>
    </row>
    <row r="733" ht="15.75" customHeight="1">
      <c r="A733" s="36"/>
      <c r="B733" s="36"/>
      <c r="C733" s="37"/>
      <c r="D733" s="37"/>
      <c r="E733" s="37"/>
      <c r="F733" s="37"/>
      <c r="G733" s="37"/>
      <c r="H733" s="1"/>
      <c r="I733" s="1"/>
    </row>
    <row r="734" ht="15.75" customHeight="1">
      <c r="A734" s="36"/>
      <c r="B734" s="36"/>
      <c r="C734" s="37"/>
      <c r="D734" s="37"/>
      <c r="E734" s="37"/>
      <c r="F734" s="37"/>
      <c r="G734" s="37"/>
      <c r="H734" s="1"/>
      <c r="I734" s="1"/>
    </row>
    <row r="735" ht="15.75" customHeight="1">
      <c r="A735" s="36"/>
      <c r="B735" s="36"/>
      <c r="C735" s="37"/>
      <c r="D735" s="37"/>
      <c r="E735" s="37"/>
      <c r="F735" s="37"/>
      <c r="G735" s="37"/>
      <c r="H735" s="1"/>
      <c r="I735" s="1"/>
    </row>
    <row r="736" ht="15.75" customHeight="1">
      <c r="A736" s="36"/>
      <c r="B736" s="36"/>
      <c r="C736" s="37"/>
      <c r="D736" s="37"/>
      <c r="E736" s="37"/>
      <c r="F736" s="37"/>
      <c r="G736" s="37"/>
      <c r="H736" s="1"/>
      <c r="I736" s="1"/>
    </row>
    <row r="737" ht="15.75" customHeight="1">
      <c r="A737" s="36"/>
      <c r="B737" s="36"/>
      <c r="C737" s="37"/>
      <c r="D737" s="37"/>
      <c r="E737" s="37"/>
      <c r="F737" s="37"/>
      <c r="G737" s="37"/>
      <c r="H737" s="1"/>
      <c r="I737" s="1"/>
    </row>
    <row r="738" ht="15.75" customHeight="1">
      <c r="A738" s="36"/>
      <c r="B738" s="36"/>
      <c r="C738" s="37"/>
      <c r="D738" s="37"/>
      <c r="E738" s="37"/>
      <c r="F738" s="37"/>
      <c r="G738" s="37"/>
      <c r="H738" s="1"/>
      <c r="I738" s="1"/>
    </row>
    <row r="739" ht="15.75" customHeight="1">
      <c r="A739" s="36"/>
      <c r="B739" s="36"/>
      <c r="C739" s="37"/>
      <c r="D739" s="37"/>
      <c r="E739" s="37"/>
      <c r="F739" s="37"/>
      <c r="G739" s="37"/>
      <c r="H739" s="1"/>
      <c r="I739" s="1"/>
    </row>
    <row r="740" ht="15.75" customHeight="1">
      <c r="A740" s="36"/>
      <c r="B740" s="36"/>
      <c r="C740" s="37"/>
      <c r="D740" s="37"/>
      <c r="E740" s="37"/>
      <c r="F740" s="37"/>
      <c r="G740" s="37"/>
      <c r="H740" s="1"/>
      <c r="I740" s="1"/>
    </row>
    <row r="741" ht="15.75" customHeight="1">
      <c r="A741" s="36"/>
      <c r="B741" s="36"/>
      <c r="C741" s="37"/>
      <c r="D741" s="37"/>
      <c r="E741" s="37"/>
      <c r="F741" s="37"/>
      <c r="G741" s="37"/>
      <c r="H741" s="1"/>
      <c r="I741" s="1"/>
    </row>
    <row r="742" ht="15.75" customHeight="1">
      <c r="A742" s="36"/>
      <c r="B742" s="36"/>
      <c r="C742" s="37"/>
      <c r="D742" s="37"/>
      <c r="E742" s="37"/>
      <c r="F742" s="37"/>
      <c r="G742" s="37"/>
      <c r="H742" s="1"/>
      <c r="I742" s="1"/>
    </row>
    <row r="743" ht="15.75" customHeight="1">
      <c r="A743" s="36"/>
      <c r="B743" s="36"/>
      <c r="C743" s="37"/>
      <c r="D743" s="37"/>
      <c r="E743" s="37"/>
      <c r="F743" s="37"/>
      <c r="G743" s="37"/>
      <c r="H743" s="1"/>
      <c r="I743" s="1"/>
    </row>
    <row r="744" ht="15.75" customHeight="1">
      <c r="A744" s="36"/>
      <c r="B744" s="36"/>
      <c r="C744" s="37"/>
      <c r="D744" s="37"/>
      <c r="E744" s="37"/>
      <c r="F744" s="37"/>
      <c r="G744" s="37"/>
      <c r="H744" s="1"/>
      <c r="I744" s="1"/>
    </row>
    <row r="745" ht="15.75" customHeight="1">
      <c r="A745" s="36"/>
      <c r="B745" s="36"/>
      <c r="C745" s="37"/>
      <c r="D745" s="37"/>
      <c r="E745" s="37"/>
      <c r="F745" s="37"/>
      <c r="G745" s="37"/>
      <c r="H745" s="1"/>
      <c r="I745" s="1"/>
    </row>
    <row r="746" ht="15.75" customHeight="1">
      <c r="A746" s="36"/>
      <c r="B746" s="36"/>
      <c r="C746" s="37"/>
      <c r="D746" s="37"/>
      <c r="E746" s="37"/>
      <c r="F746" s="37"/>
      <c r="G746" s="37"/>
      <c r="H746" s="1"/>
      <c r="I746" s="1"/>
    </row>
    <row r="747" ht="15.75" customHeight="1">
      <c r="A747" s="36"/>
      <c r="B747" s="36"/>
      <c r="C747" s="37"/>
      <c r="D747" s="37"/>
      <c r="E747" s="37"/>
      <c r="F747" s="37"/>
      <c r="G747" s="37"/>
      <c r="H747" s="1"/>
      <c r="I747" s="1"/>
    </row>
    <row r="748" ht="15.75" customHeight="1">
      <c r="A748" s="36"/>
      <c r="B748" s="36"/>
      <c r="C748" s="37"/>
      <c r="D748" s="37"/>
      <c r="E748" s="37"/>
      <c r="F748" s="37"/>
      <c r="G748" s="37"/>
      <c r="H748" s="1"/>
      <c r="I748" s="1"/>
    </row>
    <row r="749" ht="15.75" customHeight="1">
      <c r="A749" s="36"/>
      <c r="B749" s="36"/>
      <c r="C749" s="37"/>
      <c r="D749" s="37"/>
      <c r="E749" s="37"/>
      <c r="F749" s="37"/>
      <c r="G749" s="37"/>
      <c r="H749" s="1"/>
      <c r="I749" s="1"/>
    </row>
    <row r="750" ht="15.75" customHeight="1">
      <c r="A750" s="36"/>
      <c r="B750" s="36"/>
      <c r="C750" s="37"/>
      <c r="D750" s="37"/>
      <c r="E750" s="37"/>
      <c r="F750" s="37"/>
      <c r="G750" s="37"/>
      <c r="H750" s="1"/>
      <c r="I750" s="1"/>
    </row>
    <row r="751" ht="15.75" customHeight="1">
      <c r="A751" s="36"/>
      <c r="B751" s="36"/>
      <c r="C751" s="37"/>
      <c r="D751" s="37"/>
      <c r="E751" s="37"/>
      <c r="F751" s="37"/>
      <c r="G751" s="37"/>
      <c r="H751" s="1"/>
      <c r="I751" s="1"/>
    </row>
    <row r="752" ht="15.75" customHeight="1">
      <c r="A752" s="36"/>
      <c r="B752" s="36"/>
      <c r="C752" s="37"/>
      <c r="D752" s="37"/>
      <c r="E752" s="37"/>
      <c r="F752" s="37"/>
      <c r="G752" s="37"/>
      <c r="H752" s="1"/>
      <c r="I752" s="1"/>
    </row>
    <row r="753" ht="15.75" customHeight="1">
      <c r="A753" s="36"/>
      <c r="B753" s="36"/>
      <c r="C753" s="37"/>
      <c r="D753" s="37"/>
      <c r="E753" s="37"/>
      <c r="F753" s="37"/>
      <c r="G753" s="37"/>
      <c r="H753" s="1"/>
      <c r="I753" s="1"/>
    </row>
    <row r="754" ht="15.75" customHeight="1">
      <c r="A754" s="36"/>
      <c r="B754" s="36"/>
      <c r="C754" s="37"/>
      <c r="D754" s="37"/>
      <c r="E754" s="37"/>
      <c r="F754" s="37"/>
      <c r="G754" s="37"/>
      <c r="H754" s="1"/>
      <c r="I754" s="1"/>
    </row>
    <row r="755" ht="15.75" customHeight="1">
      <c r="A755" s="36"/>
      <c r="B755" s="36"/>
      <c r="C755" s="37"/>
      <c r="D755" s="37"/>
      <c r="E755" s="37"/>
      <c r="F755" s="37"/>
      <c r="G755" s="37"/>
      <c r="H755" s="1"/>
      <c r="I755" s="1"/>
    </row>
    <row r="756" ht="15.75" customHeight="1">
      <c r="A756" s="36"/>
      <c r="B756" s="36"/>
      <c r="C756" s="37"/>
      <c r="D756" s="37"/>
      <c r="E756" s="37"/>
      <c r="F756" s="37"/>
      <c r="G756" s="37"/>
      <c r="H756" s="1"/>
      <c r="I756" s="1"/>
    </row>
    <row r="757" ht="15.75" customHeight="1">
      <c r="A757" s="36"/>
      <c r="B757" s="36"/>
      <c r="C757" s="37"/>
      <c r="D757" s="37"/>
      <c r="E757" s="37"/>
      <c r="F757" s="37"/>
      <c r="G757" s="37"/>
      <c r="H757" s="1"/>
      <c r="I757" s="1"/>
    </row>
    <row r="758" ht="15.75" customHeight="1">
      <c r="A758" s="36"/>
      <c r="B758" s="36"/>
      <c r="C758" s="37"/>
      <c r="D758" s="37"/>
      <c r="E758" s="37"/>
      <c r="F758" s="37"/>
      <c r="G758" s="37"/>
      <c r="H758" s="1"/>
      <c r="I758" s="1"/>
    </row>
    <row r="759" ht="15.75" customHeight="1">
      <c r="A759" s="36"/>
      <c r="B759" s="36"/>
      <c r="C759" s="37"/>
      <c r="D759" s="37"/>
      <c r="E759" s="37"/>
      <c r="F759" s="37"/>
      <c r="G759" s="37"/>
      <c r="H759" s="1"/>
      <c r="I759" s="1"/>
    </row>
    <row r="760" ht="15.75" customHeight="1">
      <c r="A760" s="36"/>
      <c r="B760" s="36"/>
      <c r="C760" s="37"/>
      <c r="D760" s="37"/>
      <c r="E760" s="37"/>
      <c r="F760" s="37"/>
      <c r="G760" s="37"/>
      <c r="H760" s="1"/>
      <c r="I760" s="1"/>
    </row>
    <row r="761" ht="15.75" customHeight="1">
      <c r="A761" s="36"/>
      <c r="B761" s="36"/>
      <c r="C761" s="37"/>
      <c r="D761" s="37"/>
      <c r="E761" s="37"/>
      <c r="F761" s="37"/>
      <c r="G761" s="37"/>
      <c r="H761" s="1"/>
      <c r="I761" s="1"/>
    </row>
    <row r="762" ht="15.75" customHeight="1">
      <c r="A762" s="36"/>
      <c r="B762" s="36"/>
      <c r="C762" s="37"/>
      <c r="D762" s="37"/>
      <c r="E762" s="37"/>
      <c r="F762" s="37"/>
      <c r="G762" s="37"/>
      <c r="H762" s="1"/>
      <c r="I762" s="1"/>
    </row>
    <row r="763" ht="15.75" customHeight="1">
      <c r="A763" s="36"/>
      <c r="B763" s="36"/>
      <c r="C763" s="37"/>
      <c r="D763" s="37"/>
      <c r="E763" s="37"/>
      <c r="F763" s="37"/>
      <c r="G763" s="37"/>
      <c r="H763" s="1"/>
      <c r="I763" s="1"/>
    </row>
    <row r="764" ht="15.75" customHeight="1">
      <c r="A764" s="36"/>
      <c r="B764" s="36"/>
      <c r="C764" s="37"/>
      <c r="D764" s="37"/>
      <c r="E764" s="37"/>
      <c r="F764" s="37"/>
      <c r="G764" s="37"/>
      <c r="H764" s="1"/>
      <c r="I764" s="1"/>
    </row>
    <row r="765" ht="15.75" customHeight="1">
      <c r="A765" s="36"/>
      <c r="B765" s="36"/>
      <c r="C765" s="37"/>
      <c r="D765" s="37"/>
      <c r="E765" s="37"/>
      <c r="F765" s="37"/>
      <c r="G765" s="37"/>
      <c r="H765" s="1"/>
      <c r="I765" s="1"/>
    </row>
    <row r="766" ht="15.75" customHeight="1">
      <c r="A766" s="36"/>
      <c r="B766" s="36"/>
      <c r="C766" s="37"/>
      <c r="D766" s="37"/>
      <c r="E766" s="37"/>
      <c r="F766" s="37"/>
      <c r="G766" s="37"/>
      <c r="H766" s="1"/>
      <c r="I766" s="1"/>
    </row>
    <row r="767" ht="15.75" customHeight="1">
      <c r="A767" s="36"/>
      <c r="B767" s="36"/>
      <c r="C767" s="37"/>
      <c r="D767" s="37"/>
      <c r="E767" s="37"/>
      <c r="F767" s="37"/>
      <c r="G767" s="37"/>
      <c r="H767" s="1"/>
      <c r="I767" s="1"/>
    </row>
    <row r="768" ht="15.75" customHeight="1">
      <c r="A768" s="36"/>
      <c r="B768" s="36"/>
      <c r="C768" s="37"/>
      <c r="D768" s="37"/>
      <c r="E768" s="37"/>
      <c r="F768" s="37"/>
      <c r="G768" s="37"/>
      <c r="H768" s="1"/>
      <c r="I768" s="1"/>
    </row>
    <row r="769" ht="15.75" customHeight="1">
      <c r="A769" s="36"/>
      <c r="B769" s="36"/>
      <c r="C769" s="37"/>
      <c r="D769" s="37"/>
      <c r="E769" s="37"/>
      <c r="F769" s="37"/>
      <c r="G769" s="37"/>
      <c r="H769" s="1"/>
      <c r="I769" s="1"/>
    </row>
    <row r="770" ht="15.75" customHeight="1">
      <c r="A770" s="36"/>
      <c r="B770" s="36"/>
      <c r="C770" s="37"/>
      <c r="D770" s="37"/>
      <c r="E770" s="37"/>
      <c r="F770" s="37"/>
      <c r="G770" s="37"/>
      <c r="H770" s="1"/>
      <c r="I770" s="1"/>
    </row>
    <row r="771" ht="15.75" customHeight="1">
      <c r="A771" s="36"/>
      <c r="B771" s="36"/>
      <c r="C771" s="37"/>
      <c r="D771" s="37"/>
      <c r="E771" s="37"/>
      <c r="F771" s="37"/>
      <c r="G771" s="37"/>
      <c r="H771" s="1"/>
      <c r="I771" s="1"/>
    </row>
    <row r="772" ht="15.75" customHeight="1">
      <c r="A772" s="36"/>
      <c r="B772" s="36"/>
      <c r="C772" s="37"/>
      <c r="D772" s="37"/>
      <c r="E772" s="37"/>
      <c r="F772" s="37"/>
      <c r="G772" s="37"/>
      <c r="H772" s="1"/>
      <c r="I772" s="1"/>
    </row>
    <row r="773" ht="15.75" customHeight="1">
      <c r="A773" s="36"/>
      <c r="B773" s="36"/>
      <c r="C773" s="37"/>
      <c r="D773" s="37"/>
      <c r="E773" s="37"/>
      <c r="F773" s="37"/>
      <c r="G773" s="37"/>
      <c r="H773" s="1"/>
      <c r="I773" s="1"/>
    </row>
    <row r="774" ht="15.75" customHeight="1">
      <c r="A774" s="36"/>
      <c r="B774" s="36"/>
      <c r="C774" s="37"/>
      <c r="D774" s="37"/>
      <c r="E774" s="37"/>
      <c r="F774" s="37"/>
      <c r="G774" s="37"/>
      <c r="H774" s="1"/>
      <c r="I774" s="1"/>
    </row>
    <row r="775" ht="15.75" customHeight="1">
      <c r="A775" s="36"/>
      <c r="B775" s="36"/>
      <c r="C775" s="37"/>
      <c r="D775" s="37"/>
      <c r="E775" s="37"/>
      <c r="F775" s="37"/>
      <c r="G775" s="37"/>
      <c r="H775" s="1"/>
      <c r="I775" s="1"/>
    </row>
    <row r="776" ht="15.75" customHeight="1">
      <c r="A776" s="36"/>
      <c r="B776" s="36"/>
      <c r="C776" s="37"/>
      <c r="D776" s="37"/>
      <c r="E776" s="37"/>
      <c r="F776" s="37"/>
      <c r="G776" s="37"/>
      <c r="H776" s="1"/>
      <c r="I776" s="1"/>
    </row>
    <row r="777" ht="15.75" customHeight="1">
      <c r="A777" s="36"/>
      <c r="B777" s="36"/>
      <c r="C777" s="37"/>
      <c r="D777" s="37"/>
      <c r="E777" s="37"/>
      <c r="F777" s="37"/>
      <c r="G777" s="37"/>
      <c r="H777" s="1"/>
      <c r="I777" s="1"/>
    </row>
    <row r="778" ht="15.75" customHeight="1">
      <c r="A778" s="36"/>
      <c r="B778" s="36"/>
      <c r="C778" s="37"/>
      <c r="D778" s="37"/>
      <c r="E778" s="37"/>
      <c r="F778" s="37"/>
      <c r="G778" s="37"/>
      <c r="H778" s="1"/>
      <c r="I778" s="1"/>
    </row>
    <row r="779" ht="15.75" customHeight="1">
      <c r="A779" s="36"/>
      <c r="B779" s="36"/>
      <c r="C779" s="37"/>
      <c r="D779" s="37"/>
      <c r="E779" s="37"/>
      <c r="F779" s="37"/>
      <c r="G779" s="37"/>
      <c r="H779" s="1"/>
      <c r="I779" s="1"/>
    </row>
    <row r="780" ht="15.75" customHeight="1">
      <c r="A780" s="36"/>
      <c r="B780" s="36"/>
      <c r="C780" s="37"/>
      <c r="D780" s="37"/>
      <c r="E780" s="37"/>
      <c r="F780" s="37"/>
      <c r="G780" s="37"/>
      <c r="H780" s="1"/>
      <c r="I780" s="1"/>
    </row>
    <row r="781" ht="15.75" customHeight="1">
      <c r="A781" s="36"/>
      <c r="B781" s="36"/>
      <c r="C781" s="37"/>
      <c r="D781" s="37"/>
      <c r="E781" s="37"/>
      <c r="F781" s="37"/>
      <c r="G781" s="37"/>
      <c r="H781" s="1"/>
      <c r="I781" s="1"/>
    </row>
    <row r="782" ht="15.75" customHeight="1">
      <c r="A782" s="36"/>
      <c r="B782" s="36"/>
      <c r="C782" s="37"/>
      <c r="D782" s="37"/>
      <c r="E782" s="37"/>
      <c r="F782" s="37"/>
      <c r="G782" s="37"/>
      <c r="H782" s="1"/>
      <c r="I782" s="1"/>
    </row>
    <row r="783" ht="15.75" customHeight="1">
      <c r="A783" s="36"/>
      <c r="B783" s="36"/>
      <c r="C783" s="37"/>
      <c r="D783" s="37"/>
      <c r="E783" s="37"/>
      <c r="F783" s="37"/>
      <c r="G783" s="37"/>
      <c r="H783" s="1"/>
      <c r="I783" s="1"/>
    </row>
    <row r="784" ht="15.75" customHeight="1">
      <c r="A784" s="36"/>
      <c r="B784" s="36"/>
      <c r="C784" s="37"/>
      <c r="D784" s="37"/>
      <c r="E784" s="37"/>
      <c r="F784" s="37"/>
      <c r="G784" s="37"/>
      <c r="H784" s="1"/>
      <c r="I784" s="1"/>
    </row>
    <row r="785" ht="15.75" customHeight="1">
      <c r="A785" s="36"/>
      <c r="B785" s="36"/>
      <c r="C785" s="37"/>
      <c r="D785" s="37"/>
      <c r="E785" s="37"/>
      <c r="F785" s="37"/>
      <c r="G785" s="37"/>
      <c r="H785" s="1"/>
      <c r="I785" s="1"/>
    </row>
    <row r="786" ht="15.75" customHeight="1">
      <c r="A786" s="36"/>
      <c r="B786" s="36"/>
      <c r="C786" s="37"/>
      <c r="D786" s="37"/>
      <c r="E786" s="37"/>
      <c r="F786" s="37"/>
      <c r="G786" s="37"/>
      <c r="H786" s="1"/>
      <c r="I786" s="1"/>
    </row>
    <row r="787" ht="15.75" customHeight="1">
      <c r="A787" s="36"/>
      <c r="B787" s="36"/>
      <c r="C787" s="37"/>
      <c r="D787" s="37"/>
      <c r="E787" s="37"/>
      <c r="F787" s="37"/>
      <c r="G787" s="37"/>
      <c r="H787" s="1"/>
      <c r="I787" s="1"/>
    </row>
    <row r="788" ht="15.75" customHeight="1">
      <c r="A788" s="36"/>
      <c r="B788" s="36"/>
      <c r="C788" s="37"/>
      <c r="D788" s="37"/>
      <c r="E788" s="37"/>
      <c r="F788" s="37"/>
      <c r="G788" s="37"/>
      <c r="H788" s="1"/>
      <c r="I788" s="1"/>
    </row>
    <row r="789" ht="15.75" customHeight="1">
      <c r="A789" s="36"/>
      <c r="B789" s="36"/>
      <c r="C789" s="37"/>
      <c r="D789" s="37"/>
      <c r="E789" s="37"/>
      <c r="F789" s="37"/>
      <c r="G789" s="37"/>
      <c r="H789" s="1"/>
      <c r="I789" s="1"/>
    </row>
    <row r="790" ht="15.75" customHeight="1">
      <c r="A790" s="36"/>
      <c r="B790" s="36"/>
      <c r="C790" s="37"/>
      <c r="D790" s="37"/>
      <c r="E790" s="37"/>
      <c r="F790" s="37"/>
      <c r="G790" s="37"/>
      <c r="H790" s="1"/>
      <c r="I790" s="1"/>
    </row>
    <row r="791" ht="15.75" customHeight="1">
      <c r="A791" s="36"/>
      <c r="B791" s="36"/>
      <c r="C791" s="37"/>
      <c r="D791" s="37"/>
      <c r="E791" s="37"/>
      <c r="F791" s="37"/>
      <c r="G791" s="37"/>
      <c r="H791" s="1"/>
      <c r="I791" s="1"/>
    </row>
    <row r="792" ht="15.75" customHeight="1">
      <c r="A792" s="36"/>
      <c r="B792" s="36"/>
      <c r="C792" s="37"/>
      <c r="D792" s="37"/>
      <c r="E792" s="37"/>
      <c r="F792" s="37"/>
      <c r="G792" s="37"/>
      <c r="H792" s="1"/>
      <c r="I792" s="1"/>
    </row>
    <row r="793" ht="15.75" customHeight="1">
      <c r="A793" s="36"/>
      <c r="B793" s="36"/>
      <c r="C793" s="37"/>
      <c r="D793" s="37"/>
      <c r="E793" s="37"/>
      <c r="F793" s="37"/>
      <c r="G793" s="37"/>
      <c r="H793" s="1"/>
      <c r="I793" s="1"/>
    </row>
    <row r="794" ht="15.75" customHeight="1">
      <c r="A794" s="36"/>
      <c r="B794" s="36"/>
      <c r="C794" s="37"/>
      <c r="D794" s="37"/>
      <c r="E794" s="37"/>
      <c r="F794" s="37"/>
      <c r="G794" s="37"/>
      <c r="H794" s="1"/>
      <c r="I794" s="1"/>
    </row>
    <row r="795" ht="15.75" customHeight="1">
      <c r="A795" s="36"/>
      <c r="B795" s="36"/>
      <c r="C795" s="37"/>
      <c r="D795" s="37"/>
      <c r="E795" s="37"/>
      <c r="F795" s="37"/>
      <c r="G795" s="37"/>
      <c r="H795" s="1"/>
      <c r="I795" s="1"/>
    </row>
    <row r="796" ht="15.75" customHeight="1">
      <c r="A796" s="36"/>
      <c r="B796" s="36"/>
      <c r="C796" s="37"/>
      <c r="D796" s="37"/>
      <c r="E796" s="37"/>
      <c r="F796" s="37"/>
      <c r="G796" s="37"/>
      <c r="H796" s="1"/>
      <c r="I796" s="1"/>
    </row>
    <row r="797" ht="15.75" customHeight="1">
      <c r="A797" s="36"/>
      <c r="B797" s="36"/>
      <c r="C797" s="37"/>
      <c r="D797" s="37"/>
      <c r="E797" s="37"/>
      <c r="F797" s="37"/>
      <c r="G797" s="37"/>
      <c r="H797" s="1"/>
      <c r="I797" s="1"/>
    </row>
    <row r="798" ht="15.75" customHeight="1">
      <c r="A798" s="36"/>
      <c r="B798" s="36"/>
      <c r="C798" s="37"/>
      <c r="D798" s="37"/>
      <c r="E798" s="37"/>
      <c r="F798" s="37"/>
      <c r="G798" s="37"/>
      <c r="H798" s="1"/>
      <c r="I798" s="1"/>
    </row>
    <row r="799" ht="15.75" customHeight="1">
      <c r="A799" s="36"/>
      <c r="B799" s="36"/>
      <c r="C799" s="37"/>
      <c r="D799" s="37"/>
      <c r="E799" s="37"/>
      <c r="F799" s="37"/>
      <c r="G799" s="37"/>
      <c r="H799" s="1"/>
      <c r="I799" s="1"/>
    </row>
    <row r="800" ht="15.75" customHeight="1">
      <c r="A800" s="36"/>
      <c r="B800" s="36"/>
      <c r="C800" s="37"/>
      <c r="D800" s="37"/>
      <c r="E800" s="37"/>
      <c r="F800" s="37"/>
      <c r="G800" s="37"/>
      <c r="H800" s="1"/>
      <c r="I800" s="1"/>
    </row>
    <row r="801" ht="15.75" customHeight="1">
      <c r="A801" s="36"/>
      <c r="B801" s="36"/>
      <c r="C801" s="37"/>
      <c r="D801" s="37"/>
      <c r="E801" s="37"/>
      <c r="F801" s="37"/>
      <c r="G801" s="37"/>
      <c r="H801" s="1"/>
      <c r="I801" s="1"/>
    </row>
    <row r="802" ht="15.75" customHeight="1">
      <c r="A802" s="36"/>
      <c r="B802" s="36"/>
      <c r="C802" s="37"/>
      <c r="D802" s="37"/>
      <c r="E802" s="37"/>
      <c r="F802" s="37"/>
      <c r="G802" s="37"/>
      <c r="H802" s="1"/>
      <c r="I802" s="1"/>
    </row>
    <row r="803" ht="15.75" customHeight="1">
      <c r="A803" s="36"/>
      <c r="B803" s="36"/>
      <c r="C803" s="37"/>
      <c r="D803" s="37"/>
      <c r="E803" s="37"/>
      <c r="F803" s="37"/>
      <c r="G803" s="37"/>
      <c r="H803" s="1"/>
      <c r="I803" s="1"/>
    </row>
    <row r="804" ht="15.75" customHeight="1">
      <c r="A804" s="36"/>
      <c r="B804" s="36"/>
      <c r="C804" s="37"/>
      <c r="D804" s="37"/>
      <c r="E804" s="37"/>
      <c r="F804" s="37"/>
      <c r="G804" s="37"/>
      <c r="H804" s="1"/>
      <c r="I804" s="1"/>
    </row>
    <row r="805" ht="15.75" customHeight="1">
      <c r="A805" s="36"/>
      <c r="B805" s="36"/>
      <c r="C805" s="37"/>
      <c r="D805" s="37"/>
      <c r="E805" s="37"/>
      <c r="F805" s="37"/>
      <c r="G805" s="37"/>
      <c r="H805" s="1"/>
      <c r="I805" s="1"/>
    </row>
    <row r="806" ht="15.75" customHeight="1">
      <c r="A806" s="36"/>
      <c r="B806" s="36"/>
      <c r="C806" s="37"/>
      <c r="D806" s="37"/>
      <c r="E806" s="37"/>
      <c r="F806" s="37"/>
      <c r="G806" s="37"/>
      <c r="H806" s="1"/>
      <c r="I806" s="1"/>
    </row>
    <row r="807" ht="15.75" customHeight="1">
      <c r="A807" s="36"/>
      <c r="B807" s="36"/>
      <c r="C807" s="37"/>
      <c r="D807" s="37"/>
      <c r="E807" s="37"/>
      <c r="F807" s="37"/>
      <c r="G807" s="37"/>
      <c r="H807" s="1"/>
      <c r="I807" s="1"/>
    </row>
    <row r="808" ht="15.75" customHeight="1">
      <c r="A808" s="36"/>
      <c r="B808" s="36"/>
      <c r="C808" s="37"/>
      <c r="D808" s="37"/>
      <c r="E808" s="37"/>
      <c r="F808" s="37"/>
      <c r="G808" s="37"/>
      <c r="H808" s="1"/>
      <c r="I808" s="1"/>
    </row>
    <row r="809" ht="15.75" customHeight="1">
      <c r="A809" s="36"/>
      <c r="B809" s="36"/>
      <c r="C809" s="37"/>
      <c r="D809" s="37"/>
      <c r="E809" s="37"/>
      <c r="F809" s="37"/>
      <c r="G809" s="37"/>
      <c r="H809" s="1"/>
      <c r="I809" s="1"/>
    </row>
    <row r="810" ht="15.75" customHeight="1">
      <c r="A810" s="36"/>
      <c r="B810" s="36"/>
      <c r="C810" s="37"/>
      <c r="D810" s="37"/>
      <c r="E810" s="37"/>
      <c r="F810" s="37"/>
      <c r="G810" s="37"/>
      <c r="H810" s="1"/>
      <c r="I810" s="1"/>
    </row>
    <row r="811" ht="15.75" customHeight="1">
      <c r="A811" s="36"/>
      <c r="B811" s="36"/>
      <c r="C811" s="37"/>
      <c r="D811" s="37"/>
      <c r="E811" s="37"/>
      <c r="F811" s="37"/>
      <c r="G811" s="37"/>
      <c r="H811" s="1"/>
      <c r="I811" s="1"/>
    </row>
    <row r="812" ht="15.75" customHeight="1">
      <c r="A812" s="36"/>
      <c r="B812" s="36"/>
      <c r="C812" s="37"/>
      <c r="D812" s="37"/>
      <c r="E812" s="37"/>
      <c r="F812" s="37"/>
      <c r="G812" s="37"/>
      <c r="H812" s="1"/>
      <c r="I812" s="1"/>
    </row>
    <row r="813" ht="15.75" customHeight="1">
      <c r="A813" s="36"/>
      <c r="B813" s="36"/>
      <c r="C813" s="37"/>
      <c r="D813" s="37"/>
      <c r="E813" s="37"/>
      <c r="F813" s="37"/>
      <c r="G813" s="37"/>
      <c r="H813" s="1"/>
      <c r="I813" s="1"/>
    </row>
    <row r="814" ht="15.75" customHeight="1">
      <c r="A814" s="36"/>
      <c r="B814" s="36"/>
      <c r="C814" s="37"/>
      <c r="D814" s="37"/>
      <c r="E814" s="37"/>
      <c r="F814" s="37"/>
      <c r="G814" s="37"/>
      <c r="H814" s="1"/>
      <c r="I814" s="1"/>
    </row>
    <row r="815" ht="15.75" customHeight="1">
      <c r="A815" s="36"/>
      <c r="B815" s="36"/>
      <c r="C815" s="37"/>
      <c r="D815" s="37"/>
      <c r="E815" s="37"/>
      <c r="F815" s="37"/>
      <c r="G815" s="37"/>
      <c r="H815" s="1"/>
      <c r="I815" s="1"/>
    </row>
    <row r="816" ht="15.75" customHeight="1">
      <c r="A816" s="36"/>
      <c r="B816" s="36"/>
      <c r="C816" s="37"/>
      <c r="D816" s="37"/>
      <c r="E816" s="37"/>
      <c r="F816" s="37"/>
      <c r="G816" s="37"/>
      <c r="H816" s="1"/>
      <c r="I816" s="1"/>
    </row>
    <row r="817" ht="15.75" customHeight="1">
      <c r="A817" s="36"/>
      <c r="B817" s="36"/>
      <c r="C817" s="37"/>
      <c r="D817" s="37"/>
      <c r="E817" s="37"/>
      <c r="F817" s="37"/>
      <c r="G817" s="37"/>
      <c r="H817" s="1"/>
      <c r="I817" s="1"/>
    </row>
    <row r="818" ht="15.75" customHeight="1">
      <c r="A818" s="36"/>
      <c r="B818" s="36"/>
      <c r="C818" s="37"/>
      <c r="D818" s="37"/>
      <c r="E818" s="37"/>
      <c r="F818" s="37"/>
      <c r="G818" s="37"/>
      <c r="H818" s="1"/>
      <c r="I818" s="1"/>
    </row>
    <row r="819" ht="15.75" customHeight="1">
      <c r="A819" s="36"/>
      <c r="B819" s="36"/>
      <c r="C819" s="37"/>
      <c r="D819" s="37"/>
      <c r="E819" s="37"/>
      <c r="F819" s="37"/>
      <c r="G819" s="37"/>
      <c r="H819" s="1"/>
      <c r="I819" s="1"/>
    </row>
    <row r="820" ht="15.75" customHeight="1">
      <c r="A820" s="36"/>
      <c r="B820" s="36"/>
      <c r="C820" s="37"/>
      <c r="D820" s="37"/>
      <c r="E820" s="37"/>
      <c r="F820" s="37"/>
      <c r="G820" s="37"/>
      <c r="H820" s="1"/>
      <c r="I820" s="1"/>
    </row>
    <row r="821" ht="15.75" customHeight="1">
      <c r="A821" s="36"/>
      <c r="B821" s="36"/>
      <c r="C821" s="37"/>
      <c r="D821" s="37"/>
      <c r="E821" s="37"/>
      <c r="F821" s="37"/>
      <c r="G821" s="37"/>
      <c r="H821" s="1"/>
      <c r="I821" s="1"/>
    </row>
    <row r="822" ht="15.75" customHeight="1">
      <c r="A822" s="36"/>
      <c r="B822" s="36"/>
      <c r="C822" s="37"/>
      <c r="D822" s="37"/>
      <c r="E822" s="37"/>
      <c r="F822" s="37"/>
      <c r="G822" s="37"/>
      <c r="H822" s="1"/>
      <c r="I822" s="1"/>
    </row>
    <row r="823" ht="15.75" customHeight="1">
      <c r="A823" s="36"/>
      <c r="B823" s="36"/>
      <c r="C823" s="37"/>
      <c r="D823" s="37"/>
      <c r="E823" s="37"/>
      <c r="F823" s="37"/>
      <c r="G823" s="37"/>
      <c r="H823" s="1"/>
      <c r="I823" s="1"/>
    </row>
    <row r="824" ht="15.75" customHeight="1">
      <c r="A824" s="36"/>
      <c r="B824" s="36"/>
      <c r="C824" s="37"/>
      <c r="D824" s="37"/>
      <c r="E824" s="37"/>
      <c r="F824" s="37"/>
      <c r="G824" s="37"/>
      <c r="H824" s="1"/>
      <c r="I824" s="1"/>
    </row>
    <row r="825" ht="15.75" customHeight="1">
      <c r="A825" s="36"/>
      <c r="B825" s="36"/>
      <c r="C825" s="37"/>
      <c r="D825" s="37"/>
      <c r="E825" s="37"/>
      <c r="F825" s="37"/>
      <c r="G825" s="37"/>
      <c r="H825" s="1"/>
      <c r="I825" s="1"/>
    </row>
    <row r="826" ht="15.75" customHeight="1">
      <c r="A826" s="36"/>
      <c r="B826" s="36"/>
      <c r="C826" s="37"/>
      <c r="D826" s="37"/>
      <c r="E826" s="37"/>
      <c r="F826" s="37"/>
      <c r="G826" s="37"/>
      <c r="H826" s="1"/>
      <c r="I826" s="1"/>
    </row>
    <row r="827" ht="15.75" customHeight="1">
      <c r="A827" s="36"/>
      <c r="B827" s="36"/>
      <c r="C827" s="37"/>
      <c r="D827" s="37"/>
      <c r="E827" s="37"/>
      <c r="F827" s="37"/>
      <c r="G827" s="37"/>
      <c r="H827" s="1"/>
      <c r="I827" s="1"/>
    </row>
    <row r="828" ht="15.75" customHeight="1">
      <c r="A828" s="36"/>
      <c r="B828" s="36"/>
      <c r="C828" s="37"/>
      <c r="D828" s="37"/>
      <c r="E828" s="37"/>
      <c r="F828" s="37"/>
      <c r="G828" s="37"/>
      <c r="H828" s="1"/>
      <c r="I828" s="1"/>
    </row>
    <row r="829" ht="15.75" customHeight="1">
      <c r="A829" s="36"/>
      <c r="B829" s="36"/>
      <c r="C829" s="37"/>
      <c r="D829" s="37"/>
      <c r="E829" s="37"/>
      <c r="F829" s="37"/>
      <c r="G829" s="37"/>
      <c r="H829" s="1"/>
      <c r="I829" s="1"/>
    </row>
    <row r="830" ht="15.75" customHeight="1">
      <c r="A830" s="36"/>
      <c r="B830" s="36"/>
      <c r="C830" s="37"/>
      <c r="D830" s="37"/>
      <c r="E830" s="37"/>
      <c r="F830" s="37"/>
      <c r="G830" s="37"/>
      <c r="H830" s="1"/>
      <c r="I830" s="1"/>
    </row>
    <row r="831" ht="15.75" customHeight="1">
      <c r="A831" s="36"/>
      <c r="B831" s="36"/>
      <c r="C831" s="37"/>
      <c r="D831" s="37"/>
      <c r="E831" s="37"/>
      <c r="F831" s="37"/>
      <c r="G831" s="37"/>
      <c r="H831" s="1"/>
      <c r="I831" s="1"/>
    </row>
    <row r="832" ht="15.75" customHeight="1">
      <c r="A832" s="36"/>
      <c r="B832" s="36"/>
      <c r="C832" s="37"/>
      <c r="D832" s="37"/>
      <c r="E832" s="37"/>
      <c r="F832" s="37"/>
      <c r="G832" s="37"/>
      <c r="H832" s="1"/>
      <c r="I832" s="1"/>
    </row>
    <row r="833" ht="15.75" customHeight="1">
      <c r="A833" s="36"/>
      <c r="B833" s="36"/>
      <c r="C833" s="37"/>
      <c r="D833" s="37"/>
      <c r="E833" s="37"/>
      <c r="F833" s="37"/>
      <c r="G833" s="37"/>
      <c r="H833" s="1"/>
      <c r="I833" s="1"/>
    </row>
    <row r="834" ht="15.75" customHeight="1">
      <c r="A834" s="36"/>
      <c r="B834" s="36"/>
      <c r="C834" s="37"/>
      <c r="D834" s="37"/>
      <c r="E834" s="37"/>
      <c r="F834" s="37"/>
      <c r="G834" s="37"/>
      <c r="H834" s="1"/>
      <c r="I834" s="1"/>
    </row>
    <row r="835" ht="15.75" customHeight="1">
      <c r="A835" s="36"/>
      <c r="B835" s="36"/>
      <c r="C835" s="37"/>
      <c r="D835" s="37"/>
      <c r="E835" s="37"/>
      <c r="F835" s="37"/>
      <c r="G835" s="37"/>
      <c r="H835" s="1"/>
      <c r="I835" s="1"/>
    </row>
    <row r="836" ht="15.75" customHeight="1">
      <c r="A836" s="36"/>
      <c r="B836" s="36"/>
      <c r="C836" s="37"/>
      <c r="D836" s="37"/>
      <c r="E836" s="37"/>
      <c r="F836" s="37"/>
      <c r="G836" s="37"/>
      <c r="H836" s="1"/>
      <c r="I836" s="1"/>
    </row>
    <row r="837" ht="15.75" customHeight="1">
      <c r="A837" s="36"/>
      <c r="B837" s="36"/>
      <c r="C837" s="37"/>
      <c r="D837" s="37"/>
      <c r="E837" s="37"/>
      <c r="F837" s="37"/>
      <c r="G837" s="37"/>
      <c r="H837" s="1"/>
      <c r="I837" s="1"/>
    </row>
    <row r="838" ht="15.75" customHeight="1">
      <c r="A838" s="36"/>
      <c r="B838" s="36"/>
      <c r="C838" s="37"/>
      <c r="D838" s="37"/>
      <c r="E838" s="37"/>
      <c r="F838" s="37"/>
      <c r="G838" s="37"/>
      <c r="H838" s="1"/>
      <c r="I838" s="1"/>
    </row>
    <row r="839" ht="15.75" customHeight="1">
      <c r="A839" s="36"/>
      <c r="B839" s="36"/>
      <c r="C839" s="37"/>
      <c r="D839" s="37"/>
      <c r="E839" s="37"/>
      <c r="F839" s="37"/>
      <c r="G839" s="37"/>
      <c r="H839" s="1"/>
      <c r="I839" s="1"/>
    </row>
    <row r="840" ht="15.75" customHeight="1">
      <c r="A840" s="36"/>
      <c r="B840" s="36"/>
      <c r="C840" s="37"/>
      <c r="D840" s="37"/>
      <c r="E840" s="37"/>
      <c r="F840" s="37"/>
      <c r="G840" s="37"/>
      <c r="H840" s="1"/>
      <c r="I840" s="1"/>
    </row>
    <row r="841" ht="15.75" customHeight="1">
      <c r="A841" s="36"/>
      <c r="B841" s="36"/>
      <c r="C841" s="37"/>
      <c r="D841" s="37"/>
      <c r="E841" s="37"/>
      <c r="F841" s="37"/>
      <c r="G841" s="37"/>
      <c r="H841" s="1"/>
      <c r="I841" s="1"/>
    </row>
    <row r="842" ht="15.75" customHeight="1">
      <c r="A842" s="36"/>
      <c r="B842" s="36"/>
      <c r="C842" s="37"/>
      <c r="D842" s="37"/>
      <c r="E842" s="37"/>
      <c r="F842" s="37"/>
      <c r="G842" s="37"/>
      <c r="H842" s="1"/>
      <c r="I842" s="1"/>
    </row>
    <row r="843" ht="15.75" customHeight="1">
      <c r="A843" s="36"/>
      <c r="B843" s="36"/>
      <c r="C843" s="37"/>
      <c r="D843" s="37"/>
      <c r="E843" s="37"/>
      <c r="F843" s="37"/>
      <c r="G843" s="37"/>
      <c r="H843" s="1"/>
      <c r="I843" s="1"/>
    </row>
    <row r="844" ht="15.75" customHeight="1">
      <c r="A844" s="36"/>
      <c r="B844" s="36"/>
      <c r="C844" s="37"/>
      <c r="D844" s="37"/>
      <c r="E844" s="37"/>
      <c r="F844" s="37"/>
      <c r="G844" s="37"/>
      <c r="H844" s="1"/>
      <c r="I844" s="1"/>
    </row>
    <row r="845" ht="15.75" customHeight="1">
      <c r="A845" s="36"/>
      <c r="B845" s="36"/>
      <c r="C845" s="37"/>
      <c r="D845" s="37"/>
      <c r="E845" s="37"/>
      <c r="F845" s="37"/>
      <c r="G845" s="37"/>
      <c r="H845" s="1"/>
      <c r="I845" s="1"/>
    </row>
    <row r="846" ht="15.75" customHeight="1">
      <c r="A846" s="36"/>
      <c r="B846" s="36"/>
      <c r="C846" s="37"/>
      <c r="D846" s="37"/>
      <c r="E846" s="37"/>
      <c r="F846" s="37"/>
      <c r="G846" s="37"/>
      <c r="H846" s="1"/>
      <c r="I846" s="1"/>
    </row>
    <row r="847" ht="15.75" customHeight="1">
      <c r="A847" s="36"/>
      <c r="B847" s="36"/>
      <c r="C847" s="37"/>
      <c r="D847" s="37"/>
      <c r="E847" s="37"/>
      <c r="F847" s="37"/>
      <c r="G847" s="37"/>
      <c r="H847" s="1"/>
      <c r="I847" s="1"/>
    </row>
    <row r="848" ht="15.75" customHeight="1">
      <c r="A848" s="36"/>
      <c r="B848" s="36"/>
      <c r="C848" s="37"/>
      <c r="D848" s="37"/>
      <c r="E848" s="37"/>
      <c r="F848" s="37"/>
      <c r="G848" s="37"/>
      <c r="H848" s="1"/>
      <c r="I848" s="1"/>
    </row>
    <row r="849" ht="15.75" customHeight="1">
      <c r="A849" s="36"/>
      <c r="B849" s="36"/>
      <c r="C849" s="37"/>
      <c r="D849" s="37"/>
      <c r="E849" s="37"/>
      <c r="F849" s="37"/>
      <c r="G849" s="37"/>
      <c r="H849" s="1"/>
      <c r="I849" s="1"/>
    </row>
    <row r="850" ht="15.75" customHeight="1">
      <c r="A850" s="36"/>
      <c r="B850" s="36"/>
      <c r="C850" s="37"/>
      <c r="D850" s="37"/>
      <c r="E850" s="37"/>
      <c r="F850" s="37"/>
      <c r="G850" s="37"/>
      <c r="H850" s="1"/>
      <c r="I850" s="1"/>
    </row>
    <row r="851" ht="15.75" customHeight="1">
      <c r="A851" s="36"/>
      <c r="B851" s="36"/>
      <c r="C851" s="37"/>
      <c r="D851" s="37"/>
      <c r="E851" s="37"/>
      <c r="F851" s="37"/>
      <c r="G851" s="37"/>
      <c r="H851" s="1"/>
      <c r="I851" s="1"/>
    </row>
    <row r="852" ht="15.75" customHeight="1">
      <c r="A852" s="36"/>
      <c r="B852" s="36"/>
      <c r="C852" s="37"/>
      <c r="D852" s="37"/>
      <c r="E852" s="37"/>
      <c r="F852" s="37"/>
      <c r="G852" s="37"/>
      <c r="H852" s="1"/>
      <c r="I852" s="1"/>
    </row>
    <row r="853" ht="15.75" customHeight="1">
      <c r="A853" s="36"/>
      <c r="B853" s="36"/>
      <c r="C853" s="37"/>
      <c r="D853" s="37"/>
      <c r="E853" s="37"/>
      <c r="F853" s="37"/>
      <c r="G853" s="37"/>
      <c r="H853" s="1"/>
      <c r="I853" s="1"/>
    </row>
    <row r="854" ht="15.75" customHeight="1">
      <c r="A854" s="36"/>
      <c r="B854" s="36"/>
      <c r="C854" s="37"/>
      <c r="D854" s="37"/>
      <c r="E854" s="37"/>
      <c r="F854" s="37"/>
      <c r="G854" s="37"/>
      <c r="H854" s="1"/>
      <c r="I854" s="1"/>
    </row>
    <row r="855" ht="15.75" customHeight="1">
      <c r="A855" s="36"/>
      <c r="B855" s="36"/>
      <c r="C855" s="37"/>
      <c r="D855" s="37"/>
      <c r="E855" s="37"/>
      <c r="F855" s="37"/>
      <c r="G855" s="37"/>
      <c r="H855" s="1"/>
      <c r="I855" s="1"/>
    </row>
    <row r="856" ht="15.75" customHeight="1">
      <c r="A856" s="36"/>
      <c r="B856" s="36"/>
      <c r="C856" s="37"/>
      <c r="D856" s="37"/>
      <c r="E856" s="37"/>
      <c r="F856" s="37"/>
      <c r="G856" s="37"/>
      <c r="H856" s="1"/>
      <c r="I856" s="1"/>
    </row>
    <row r="857" ht="15.75" customHeight="1">
      <c r="A857" s="36"/>
      <c r="B857" s="36"/>
      <c r="C857" s="37"/>
      <c r="D857" s="37"/>
      <c r="E857" s="37"/>
      <c r="F857" s="37"/>
      <c r="G857" s="37"/>
      <c r="H857" s="1"/>
      <c r="I857" s="1"/>
    </row>
    <row r="858" ht="15.75" customHeight="1">
      <c r="A858" s="36"/>
      <c r="B858" s="36"/>
      <c r="C858" s="37"/>
      <c r="D858" s="37"/>
      <c r="E858" s="37"/>
      <c r="F858" s="37"/>
      <c r="G858" s="37"/>
      <c r="H858" s="1"/>
      <c r="I858" s="1"/>
    </row>
    <row r="859" ht="15.75" customHeight="1">
      <c r="A859" s="36"/>
      <c r="B859" s="36"/>
      <c r="C859" s="37"/>
      <c r="D859" s="37"/>
      <c r="E859" s="37"/>
      <c r="F859" s="37"/>
      <c r="G859" s="37"/>
      <c r="H859" s="1"/>
      <c r="I859" s="1"/>
    </row>
    <row r="860" ht="15.75" customHeight="1">
      <c r="A860" s="36"/>
      <c r="B860" s="36"/>
      <c r="C860" s="37"/>
      <c r="D860" s="37"/>
      <c r="E860" s="37"/>
      <c r="F860" s="37"/>
      <c r="G860" s="37"/>
      <c r="H860" s="1"/>
      <c r="I860" s="1"/>
    </row>
    <row r="861" ht="15.75" customHeight="1">
      <c r="A861" s="36"/>
      <c r="B861" s="36"/>
      <c r="C861" s="37"/>
      <c r="D861" s="37"/>
      <c r="E861" s="37"/>
      <c r="F861" s="37"/>
      <c r="G861" s="37"/>
      <c r="H861" s="1"/>
      <c r="I861" s="1"/>
    </row>
    <row r="862" ht="15.75" customHeight="1">
      <c r="A862" s="36"/>
      <c r="B862" s="36"/>
      <c r="C862" s="37"/>
      <c r="D862" s="37"/>
      <c r="E862" s="37"/>
      <c r="F862" s="37"/>
      <c r="G862" s="37"/>
      <c r="H862" s="1"/>
      <c r="I862" s="1"/>
    </row>
    <row r="863" ht="15.75" customHeight="1">
      <c r="A863" s="36"/>
      <c r="B863" s="36"/>
      <c r="C863" s="37"/>
      <c r="D863" s="37"/>
      <c r="E863" s="37"/>
      <c r="F863" s="37"/>
      <c r="G863" s="37"/>
      <c r="H863" s="1"/>
      <c r="I863" s="1"/>
    </row>
    <row r="864" ht="15.75" customHeight="1">
      <c r="A864" s="36"/>
      <c r="B864" s="36"/>
      <c r="C864" s="37"/>
      <c r="D864" s="37"/>
      <c r="E864" s="37"/>
      <c r="F864" s="37"/>
      <c r="G864" s="37"/>
      <c r="H864" s="1"/>
      <c r="I864" s="1"/>
    </row>
    <row r="865" ht="15.75" customHeight="1">
      <c r="A865" s="36"/>
      <c r="B865" s="36"/>
      <c r="C865" s="37"/>
      <c r="D865" s="37"/>
      <c r="E865" s="37"/>
      <c r="F865" s="37"/>
      <c r="G865" s="37"/>
      <c r="H865" s="1"/>
      <c r="I865" s="1"/>
    </row>
    <row r="866" ht="15.75" customHeight="1">
      <c r="A866" s="36"/>
      <c r="B866" s="36"/>
      <c r="C866" s="37"/>
      <c r="D866" s="37"/>
      <c r="E866" s="37"/>
      <c r="F866" s="37"/>
      <c r="G866" s="37"/>
      <c r="H866" s="1"/>
      <c r="I866" s="1"/>
    </row>
    <row r="867" ht="15.75" customHeight="1">
      <c r="A867" s="36"/>
      <c r="B867" s="36"/>
      <c r="C867" s="37"/>
      <c r="D867" s="37"/>
      <c r="E867" s="37"/>
      <c r="F867" s="37"/>
      <c r="G867" s="37"/>
      <c r="H867" s="1"/>
      <c r="I867" s="1"/>
    </row>
    <row r="868" ht="15.75" customHeight="1">
      <c r="A868" s="36"/>
      <c r="B868" s="36"/>
      <c r="C868" s="37"/>
      <c r="D868" s="37"/>
      <c r="E868" s="37"/>
      <c r="F868" s="37"/>
      <c r="G868" s="37"/>
      <c r="H868" s="1"/>
      <c r="I868" s="1"/>
    </row>
    <row r="869" ht="15.75" customHeight="1">
      <c r="A869" s="36"/>
      <c r="B869" s="36"/>
      <c r="C869" s="37"/>
      <c r="D869" s="37"/>
      <c r="E869" s="37"/>
      <c r="F869" s="37"/>
      <c r="G869" s="37"/>
      <c r="H869" s="1"/>
      <c r="I869" s="1"/>
    </row>
    <row r="870" ht="15.75" customHeight="1">
      <c r="A870" s="36"/>
      <c r="B870" s="36"/>
      <c r="C870" s="37"/>
      <c r="D870" s="37"/>
      <c r="E870" s="37"/>
      <c r="F870" s="37"/>
      <c r="G870" s="37"/>
      <c r="H870" s="1"/>
      <c r="I870" s="1"/>
    </row>
    <row r="871" ht="15.75" customHeight="1">
      <c r="A871" s="36"/>
      <c r="B871" s="36"/>
      <c r="C871" s="37"/>
      <c r="D871" s="37"/>
      <c r="E871" s="37"/>
      <c r="F871" s="37"/>
      <c r="G871" s="37"/>
      <c r="H871" s="1"/>
      <c r="I871" s="1"/>
    </row>
    <row r="872" ht="15.75" customHeight="1">
      <c r="A872" s="36"/>
      <c r="B872" s="36"/>
      <c r="C872" s="37"/>
      <c r="D872" s="37"/>
      <c r="E872" s="37"/>
      <c r="F872" s="37"/>
      <c r="G872" s="37"/>
      <c r="H872" s="1"/>
      <c r="I872" s="1"/>
    </row>
    <row r="873" ht="15.75" customHeight="1">
      <c r="A873" s="36"/>
      <c r="B873" s="36"/>
      <c r="C873" s="37"/>
      <c r="D873" s="37"/>
      <c r="E873" s="37"/>
      <c r="F873" s="37"/>
      <c r="G873" s="37"/>
      <c r="H873" s="1"/>
      <c r="I873" s="1"/>
    </row>
    <row r="874" ht="15.75" customHeight="1">
      <c r="A874" s="36"/>
      <c r="B874" s="36"/>
      <c r="C874" s="37"/>
      <c r="D874" s="37"/>
      <c r="E874" s="37"/>
      <c r="F874" s="37"/>
      <c r="G874" s="37"/>
      <c r="H874" s="1"/>
      <c r="I874" s="1"/>
    </row>
    <row r="875" ht="15.75" customHeight="1">
      <c r="A875" s="36"/>
      <c r="B875" s="36"/>
      <c r="C875" s="37"/>
      <c r="D875" s="37"/>
      <c r="E875" s="37"/>
      <c r="F875" s="37"/>
      <c r="G875" s="37"/>
      <c r="H875" s="1"/>
      <c r="I875" s="1"/>
    </row>
    <row r="876" ht="15.75" customHeight="1">
      <c r="A876" s="36"/>
      <c r="B876" s="36"/>
      <c r="C876" s="37"/>
      <c r="D876" s="37"/>
      <c r="E876" s="37"/>
      <c r="F876" s="37"/>
      <c r="G876" s="37"/>
      <c r="H876" s="1"/>
      <c r="I876" s="1"/>
    </row>
    <row r="877" ht="15.75" customHeight="1">
      <c r="A877" s="36"/>
      <c r="B877" s="36"/>
      <c r="C877" s="37"/>
      <c r="D877" s="37"/>
      <c r="E877" s="37"/>
      <c r="F877" s="37"/>
      <c r="G877" s="37"/>
      <c r="H877" s="1"/>
      <c r="I877" s="1"/>
    </row>
    <row r="878" ht="15.75" customHeight="1">
      <c r="A878" s="36"/>
      <c r="B878" s="36"/>
      <c r="C878" s="37"/>
      <c r="D878" s="37"/>
      <c r="E878" s="37"/>
      <c r="F878" s="37"/>
      <c r="G878" s="37"/>
      <c r="H878" s="1"/>
      <c r="I878" s="1"/>
    </row>
    <row r="879" ht="15.75" customHeight="1">
      <c r="A879" s="36"/>
      <c r="B879" s="36"/>
      <c r="C879" s="37"/>
      <c r="D879" s="37"/>
      <c r="E879" s="37"/>
      <c r="F879" s="37"/>
      <c r="G879" s="37"/>
      <c r="H879" s="1"/>
      <c r="I879" s="1"/>
    </row>
    <row r="880" ht="15.75" customHeight="1">
      <c r="A880" s="36"/>
      <c r="B880" s="36"/>
      <c r="C880" s="37"/>
      <c r="D880" s="37"/>
      <c r="E880" s="37"/>
      <c r="F880" s="37"/>
      <c r="G880" s="37"/>
      <c r="H880" s="1"/>
      <c r="I880" s="1"/>
    </row>
    <row r="881" ht="15.75" customHeight="1">
      <c r="A881" s="36"/>
      <c r="B881" s="36"/>
      <c r="C881" s="37"/>
      <c r="D881" s="37"/>
      <c r="E881" s="37"/>
      <c r="F881" s="37"/>
      <c r="G881" s="37"/>
      <c r="H881" s="1"/>
      <c r="I881" s="1"/>
    </row>
    <row r="882" ht="15.75" customHeight="1">
      <c r="A882" s="36"/>
      <c r="B882" s="36"/>
      <c r="C882" s="37"/>
      <c r="D882" s="37"/>
      <c r="E882" s="37"/>
      <c r="F882" s="37"/>
      <c r="G882" s="37"/>
      <c r="H882" s="1"/>
      <c r="I882" s="1"/>
    </row>
    <row r="883" ht="15.75" customHeight="1">
      <c r="A883" s="36"/>
      <c r="B883" s="36"/>
      <c r="C883" s="37"/>
      <c r="D883" s="37"/>
      <c r="E883" s="37"/>
      <c r="F883" s="37"/>
      <c r="G883" s="37"/>
      <c r="H883" s="1"/>
      <c r="I883" s="1"/>
    </row>
    <row r="884" ht="15.75" customHeight="1">
      <c r="A884" s="36"/>
      <c r="B884" s="36"/>
      <c r="C884" s="37"/>
      <c r="D884" s="37"/>
      <c r="E884" s="37"/>
      <c r="F884" s="37"/>
      <c r="G884" s="37"/>
      <c r="H884" s="1"/>
      <c r="I884" s="1"/>
    </row>
    <row r="885" ht="15.75" customHeight="1">
      <c r="A885" s="36"/>
      <c r="B885" s="36"/>
      <c r="C885" s="37"/>
      <c r="D885" s="37"/>
      <c r="E885" s="37"/>
      <c r="F885" s="37"/>
      <c r="G885" s="37"/>
      <c r="H885" s="1"/>
      <c r="I885" s="1"/>
    </row>
    <row r="886" ht="15.75" customHeight="1">
      <c r="A886" s="36"/>
      <c r="B886" s="36"/>
      <c r="C886" s="37"/>
      <c r="D886" s="37"/>
      <c r="E886" s="37"/>
      <c r="F886" s="37"/>
      <c r="G886" s="37"/>
      <c r="H886" s="1"/>
      <c r="I886" s="1"/>
    </row>
    <row r="887" ht="15.75" customHeight="1">
      <c r="A887" s="36"/>
      <c r="B887" s="36"/>
      <c r="C887" s="37"/>
      <c r="D887" s="37"/>
      <c r="E887" s="37"/>
      <c r="F887" s="37"/>
      <c r="G887" s="37"/>
      <c r="H887" s="1"/>
      <c r="I887" s="1"/>
    </row>
    <row r="888" ht="15.75" customHeight="1">
      <c r="A888" s="36"/>
      <c r="B888" s="36"/>
      <c r="C888" s="37"/>
      <c r="D888" s="37"/>
      <c r="E888" s="37"/>
      <c r="F888" s="37"/>
      <c r="G888" s="37"/>
      <c r="H888" s="1"/>
      <c r="I888" s="1"/>
    </row>
    <row r="889" ht="15.75" customHeight="1">
      <c r="A889" s="36"/>
      <c r="B889" s="36"/>
      <c r="C889" s="37"/>
      <c r="D889" s="37"/>
      <c r="E889" s="37"/>
      <c r="F889" s="37"/>
      <c r="G889" s="37"/>
      <c r="H889" s="1"/>
      <c r="I889" s="1"/>
    </row>
    <row r="890" ht="15.75" customHeight="1">
      <c r="A890" s="36"/>
      <c r="B890" s="36"/>
      <c r="C890" s="37"/>
      <c r="D890" s="37"/>
      <c r="E890" s="37"/>
      <c r="F890" s="37"/>
      <c r="G890" s="37"/>
      <c r="H890" s="1"/>
      <c r="I890" s="1"/>
    </row>
    <row r="891" ht="15.75" customHeight="1">
      <c r="A891" s="36"/>
      <c r="B891" s="36"/>
      <c r="C891" s="37"/>
      <c r="D891" s="37"/>
      <c r="E891" s="37"/>
      <c r="F891" s="37"/>
      <c r="G891" s="37"/>
      <c r="H891" s="1"/>
      <c r="I891" s="1"/>
    </row>
    <row r="892" ht="15.75" customHeight="1">
      <c r="A892" s="36"/>
      <c r="B892" s="36"/>
      <c r="C892" s="37"/>
      <c r="D892" s="37"/>
      <c r="E892" s="37"/>
      <c r="F892" s="37"/>
      <c r="G892" s="37"/>
      <c r="H892" s="1"/>
      <c r="I892" s="1"/>
    </row>
    <row r="893" ht="15.75" customHeight="1">
      <c r="A893" s="36"/>
      <c r="B893" s="36"/>
      <c r="C893" s="37"/>
      <c r="D893" s="37"/>
      <c r="E893" s="37"/>
      <c r="F893" s="37"/>
      <c r="G893" s="37"/>
      <c r="H893" s="1"/>
      <c r="I893" s="1"/>
    </row>
    <row r="894" ht="15.75" customHeight="1">
      <c r="A894" s="36"/>
      <c r="B894" s="36"/>
      <c r="C894" s="37"/>
      <c r="D894" s="37"/>
      <c r="E894" s="37"/>
      <c r="F894" s="37"/>
      <c r="G894" s="37"/>
      <c r="H894" s="1"/>
      <c r="I894" s="1"/>
    </row>
    <row r="895" ht="15.75" customHeight="1">
      <c r="A895" s="36"/>
      <c r="B895" s="36"/>
      <c r="C895" s="37"/>
      <c r="D895" s="37"/>
      <c r="E895" s="37"/>
      <c r="F895" s="37"/>
      <c r="G895" s="37"/>
      <c r="H895" s="1"/>
      <c r="I895" s="1"/>
    </row>
    <row r="896" ht="15.75" customHeight="1">
      <c r="A896" s="36"/>
      <c r="B896" s="36"/>
      <c r="C896" s="37"/>
      <c r="D896" s="37"/>
      <c r="E896" s="37"/>
      <c r="F896" s="37"/>
      <c r="G896" s="37"/>
      <c r="H896" s="1"/>
      <c r="I896" s="1"/>
    </row>
    <row r="897" ht="15.75" customHeight="1">
      <c r="A897" s="36"/>
      <c r="B897" s="36"/>
      <c r="C897" s="37"/>
      <c r="D897" s="37"/>
      <c r="E897" s="37"/>
      <c r="F897" s="37"/>
      <c r="G897" s="37"/>
      <c r="H897" s="1"/>
      <c r="I897" s="1"/>
    </row>
    <row r="898" ht="15.75" customHeight="1">
      <c r="A898" s="36"/>
      <c r="B898" s="36"/>
      <c r="C898" s="37"/>
      <c r="D898" s="37"/>
      <c r="E898" s="37"/>
      <c r="F898" s="37"/>
      <c r="G898" s="37"/>
      <c r="H898" s="1"/>
      <c r="I898" s="1"/>
    </row>
    <row r="899" ht="15.75" customHeight="1">
      <c r="A899" s="36"/>
      <c r="B899" s="36"/>
      <c r="C899" s="37"/>
      <c r="D899" s="37"/>
      <c r="E899" s="37"/>
      <c r="F899" s="37"/>
      <c r="G899" s="37"/>
      <c r="H899" s="1"/>
      <c r="I899" s="1"/>
    </row>
    <row r="900" ht="15.75" customHeight="1">
      <c r="A900" s="36"/>
      <c r="B900" s="36"/>
      <c r="C900" s="37"/>
      <c r="D900" s="37"/>
      <c r="E900" s="37"/>
      <c r="F900" s="37"/>
      <c r="G900" s="37"/>
      <c r="H900" s="1"/>
      <c r="I900" s="1"/>
    </row>
    <row r="901" ht="15.75" customHeight="1">
      <c r="A901" s="36"/>
      <c r="B901" s="36"/>
      <c r="C901" s="37"/>
      <c r="D901" s="37"/>
      <c r="E901" s="37"/>
      <c r="F901" s="37"/>
      <c r="G901" s="37"/>
      <c r="H901" s="1"/>
      <c r="I901" s="1"/>
    </row>
    <row r="902" ht="15.75" customHeight="1">
      <c r="A902" s="36"/>
      <c r="B902" s="36"/>
      <c r="C902" s="37"/>
      <c r="D902" s="37"/>
      <c r="E902" s="37"/>
      <c r="F902" s="37"/>
      <c r="G902" s="37"/>
      <c r="H902" s="1"/>
      <c r="I902" s="1"/>
    </row>
    <row r="903" ht="15.75" customHeight="1">
      <c r="A903" s="36"/>
      <c r="B903" s="36"/>
      <c r="C903" s="37"/>
      <c r="D903" s="37"/>
      <c r="E903" s="37"/>
      <c r="F903" s="37"/>
      <c r="G903" s="37"/>
      <c r="H903" s="1"/>
      <c r="I903" s="1"/>
    </row>
    <row r="904" ht="15.75" customHeight="1">
      <c r="A904" s="36"/>
      <c r="B904" s="36"/>
      <c r="C904" s="37"/>
      <c r="D904" s="37"/>
      <c r="E904" s="37"/>
      <c r="F904" s="37"/>
      <c r="G904" s="37"/>
      <c r="H904" s="1"/>
      <c r="I904" s="1"/>
    </row>
    <row r="905" ht="15.75" customHeight="1">
      <c r="A905" s="36"/>
      <c r="B905" s="36"/>
      <c r="C905" s="37"/>
      <c r="D905" s="37"/>
      <c r="E905" s="37"/>
      <c r="F905" s="37"/>
      <c r="G905" s="37"/>
      <c r="H905" s="1"/>
      <c r="I905" s="1"/>
    </row>
    <row r="906" ht="15.75" customHeight="1">
      <c r="A906" s="36"/>
      <c r="B906" s="36"/>
      <c r="C906" s="37"/>
      <c r="D906" s="37"/>
      <c r="E906" s="37"/>
      <c r="F906" s="37"/>
      <c r="G906" s="37"/>
      <c r="H906" s="1"/>
      <c r="I906" s="1"/>
    </row>
    <row r="907" ht="15.75" customHeight="1">
      <c r="A907" s="36"/>
      <c r="B907" s="36"/>
      <c r="C907" s="37"/>
      <c r="D907" s="37"/>
      <c r="E907" s="37"/>
      <c r="F907" s="37"/>
      <c r="G907" s="37"/>
      <c r="H907" s="1"/>
      <c r="I907" s="1"/>
    </row>
    <row r="908" ht="15.75" customHeight="1">
      <c r="A908" s="36"/>
      <c r="B908" s="36"/>
      <c r="C908" s="37"/>
      <c r="D908" s="37"/>
      <c r="E908" s="37"/>
      <c r="F908" s="37"/>
      <c r="G908" s="37"/>
      <c r="H908" s="1"/>
      <c r="I908" s="1"/>
    </row>
    <row r="909" ht="15.75" customHeight="1">
      <c r="A909" s="36"/>
      <c r="B909" s="36"/>
      <c r="C909" s="37"/>
      <c r="D909" s="37"/>
      <c r="E909" s="37"/>
      <c r="F909" s="37"/>
      <c r="G909" s="37"/>
      <c r="H909" s="1"/>
      <c r="I909" s="1"/>
    </row>
    <row r="910" ht="15.75" customHeight="1">
      <c r="A910" s="36"/>
      <c r="B910" s="36"/>
      <c r="C910" s="37"/>
      <c r="D910" s="37"/>
      <c r="E910" s="37"/>
      <c r="F910" s="37"/>
      <c r="G910" s="37"/>
      <c r="H910" s="1"/>
      <c r="I910" s="1"/>
    </row>
    <row r="911" ht="15.75" customHeight="1">
      <c r="A911" s="36"/>
      <c r="B911" s="36"/>
      <c r="C911" s="37"/>
      <c r="D911" s="37"/>
      <c r="E911" s="37"/>
      <c r="F911" s="37"/>
      <c r="G911" s="37"/>
      <c r="H911" s="1"/>
      <c r="I911" s="1"/>
    </row>
    <row r="912" ht="15.75" customHeight="1">
      <c r="A912" s="36"/>
      <c r="B912" s="36"/>
      <c r="C912" s="37"/>
      <c r="D912" s="37"/>
      <c r="E912" s="37"/>
      <c r="F912" s="37"/>
      <c r="G912" s="37"/>
      <c r="H912" s="1"/>
      <c r="I912" s="1"/>
    </row>
    <row r="913" ht="15.75" customHeight="1">
      <c r="A913" s="36"/>
      <c r="B913" s="36"/>
      <c r="C913" s="37"/>
      <c r="D913" s="37"/>
      <c r="E913" s="37"/>
      <c r="F913" s="37"/>
      <c r="G913" s="37"/>
      <c r="H913" s="1"/>
      <c r="I913" s="1"/>
    </row>
    <row r="914" ht="15.75" customHeight="1">
      <c r="A914" s="36"/>
      <c r="B914" s="36"/>
      <c r="C914" s="37"/>
      <c r="D914" s="37"/>
      <c r="E914" s="37"/>
      <c r="F914" s="37"/>
      <c r="G914" s="37"/>
      <c r="H914" s="1"/>
      <c r="I914" s="1"/>
    </row>
    <row r="915" ht="15.75" customHeight="1">
      <c r="A915" s="36"/>
      <c r="B915" s="36"/>
      <c r="C915" s="37"/>
      <c r="D915" s="37"/>
      <c r="E915" s="37"/>
      <c r="F915" s="37"/>
      <c r="G915" s="37"/>
      <c r="H915" s="1"/>
      <c r="I915" s="1"/>
    </row>
    <row r="916" ht="15.75" customHeight="1">
      <c r="A916" s="36"/>
      <c r="B916" s="36"/>
      <c r="C916" s="37"/>
      <c r="D916" s="37"/>
      <c r="E916" s="37"/>
      <c r="F916" s="37"/>
      <c r="G916" s="37"/>
      <c r="H916" s="1"/>
      <c r="I916" s="1"/>
    </row>
    <row r="917" ht="15.75" customHeight="1">
      <c r="A917" s="36"/>
      <c r="B917" s="36"/>
      <c r="C917" s="37"/>
      <c r="D917" s="37"/>
      <c r="E917" s="37"/>
      <c r="F917" s="37"/>
      <c r="G917" s="37"/>
      <c r="H917" s="1"/>
      <c r="I917" s="1"/>
    </row>
    <row r="918" ht="15.75" customHeight="1">
      <c r="A918" s="36"/>
      <c r="B918" s="36"/>
      <c r="C918" s="37"/>
      <c r="D918" s="37"/>
      <c r="E918" s="37"/>
      <c r="F918" s="37"/>
      <c r="G918" s="37"/>
      <c r="H918" s="1"/>
      <c r="I918" s="1"/>
    </row>
    <row r="919" ht="15.75" customHeight="1">
      <c r="A919" s="36"/>
      <c r="B919" s="36"/>
      <c r="C919" s="37"/>
      <c r="D919" s="37"/>
      <c r="E919" s="37"/>
      <c r="F919" s="37"/>
      <c r="G919" s="37"/>
      <c r="H919" s="1"/>
      <c r="I919" s="1"/>
    </row>
    <row r="920" ht="15.75" customHeight="1">
      <c r="A920" s="36"/>
      <c r="B920" s="36"/>
      <c r="C920" s="37"/>
      <c r="D920" s="37"/>
      <c r="E920" s="37"/>
      <c r="F920" s="37"/>
      <c r="G920" s="37"/>
      <c r="H920" s="1"/>
      <c r="I920" s="1"/>
    </row>
    <row r="921" ht="15.75" customHeight="1">
      <c r="A921" s="36"/>
      <c r="B921" s="36"/>
      <c r="C921" s="37"/>
      <c r="D921" s="37"/>
      <c r="E921" s="37"/>
      <c r="F921" s="37"/>
      <c r="G921" s="37"/>
      <c r="H921" s="1"/>
      <c r="I921" s="1"/>
    </row>
    <row r="922" ht="15.75" customHeight="1">
      <c r="A922" s="36"/>
      <c r="B922" s="36"/>
      <c r="C922" s="37"/>
      <c r="D922" s="37"/>
      <c r="E922" s="37"/>
      <c r="F922" s="37"/>
      <c r="G922" s="37"/>
      <c r="H922" s="1"/>
      <c r="I922" s="1"/>
    </row>
    <row r="923" ht="15.75" customHeight="1">
      <c r="A923" s="36"/>
      <c r="B923" s="36"/>
      <c r="C923" s="37"/>
      <c r="D923" s="37"/>
      <c r="E923" s="37"/>
      <c r="F923" s="37"/>
      <c r="G923" s="37"/>
      <c r="H923" s="1"/>
      <c r="I923" s="1"/>
    </row>
    <row r="924" ht="15.75" customHeight="1">
      <c r="A924" s="36"/>
      <c r="B924" s="36"/>
      <c r="C924" s="37"/>
      <c r="D924" s="37"/>
      <c r="E924" s="37"/>
      <c r="F924" s="37"/>
      <c r="G924" s="37"/>
      <c r="H924" s="1"/>
      <c r="I924" s="1"/>
    </row>
    <row r="925" ht="15.75" customHeight="1">
      <c r="A925" s="36"/>
      <c r="B925" s="36"/>
      <c r="C925" s="37"/>
      <c r="D925" s="37"/>
      <c r="E925" s="37"/>
      <c r="F925" s="37"/>
      <c r="G925" s="37"/>
      <c r="H925" s="1"/>
      <c r="I925" s="1"/>
    </row>
    <row r="926" ht="15.75" customHeight="1">
      <c r="A926" s="36"/>
      <c r="B926" s="36"/>
      <c r="C926" s="37"/>
      <c r="D926" s="37"/>
      <c r="E926" s="37"/>
      <c r="F926" s="37"/>
      <c r="G926" s="37"/>
      <c r="H926" s="1"/>
      <c r="I926" s="1"/>
    </row>
    <row r="927" ht="15.75" customHeight="1">
      <c r="A927" s="36"/>
      <c r="B927" s="36"/>
      <c r="C927" s="37"/>
      <c r="D927" s="37"/>
      <c r="E927" s="37"/>
      <c r="F927" s="37"/>
      <c r="G927" s="37"/>
      <c r="H927" s="1"/>
      <c r="I927" s="1"/>
    </row>
    <row r="928" ht="15.75" customHeight="1">
      <c r="A928" s="36"/>
      <c r="B928" s="36"/>
      <c r="C928" s="37"/>
      <c r="D928" s="37"/>
      <c r="E928" s="37"/>
      <c r="F928" s="37"/>
      <c r="G928" s="37"/>
      <c r="H928" s="1"/>
      <c r="I928" s="1"/>
    </row>
    <row r="929" ht="15.75" customHeight="1">
      <c r="A929" s="36"/>
      <c r="B929" s="36"/>
      <c r="C929" s="37"/>
      <c r="D929" s="37"/>
      <c r="E929" s="37"/>
      <c r="F929" s="37"/>
      <c r="G929" s="37"/>
      <c r="H929" s="1"/>
      <c r="I929" s="1"/>
    </row>
    <row r="930" ht="15.75" customHeight="1">
      <c r="A930" s="36"/>
      <c r="B930" s="36"/>
      <c r="C930" s="37"/>
      <c r="D930" s="37"/>
      <c r="E930" s="37"/>
      <c r="F930" s="37"/>
      <c r="G930" s="37"/>
      <c r="H930" s="1"/>
      <c r="I930" s="1"/>
    </row>
    <row r="931" ht="15.75" customHeight="1">
      <c r="A931" s="36"/>
      <c r="B931" s="36"/>
      <c r="C931" s="37"/>
      <c r="D931" s="37"/>
      <c r="E931" s="37"/>
      <c r="F931" s="37"/>
      <c r="G931" s="37"/>
      <c r="H931" s="1"/>
      <c r="I931" s="1"/>
    </row>
    <row r="932" ht="15.75" customHeight="1">
      <c r="A932" s="36"/>
      <c r="B932" s="36"/>
      <c r="C932" s="37"/>
      <c r="D932" s="37"/>
      <c r="E932" s="37"/>
      <c r="F932" s="37"/>
      <c r="G932" s="37"/>
      <c r="H932" s="1"/>
      <c r="I932" s="1"/>
    </row>
    <row r="933" ht="15.75" customHeight="1">
      <c r="A933" s="36"/>
      <c r="B933" s="36"/>
      <c r="C933" s="37"/>
      <c r="D933" s="37"/>
      <c r="E933" s="37"/>
      <c r="F933" s="37"/>
      <c r="G933" s="37"/>
      <c r="H933" s="1"/>
      <c r="I933" s="1"/>
    </row>
    <row r="934" ht="15.75" customHeight="1">
      <c r="A934" s="36"/>
      <c r="B934" s="36"/>
      <c r="C934" s="37"/>
      <c r="D934" s="37"/>
      <c r="E934" s="37"/>
      <c r="F934" s="37"/>
      <c r="G934" s="37"/>
      <c r="H934" s="1"/>
      <c r="I934" s="1"/>
    </row>
    <row r="935" ht="15.75" customHeight="1">
      <c r="A935" s="36"/>
      <c r="B935" s="36"/>
      <c r="C935" s="37"/>
      <c r="D935" s="37"/>
      <c r="E935" s="37"/>
      <c r="F935" s="37"/>
      <c r="G935" s="37"/>
      <c r="H935" s="1"/>
      <c r="I935" s="1"/>
    </row>
    <row r="936" ht="15.75" customHeight="1">
      <c r="A936" s="36"/>
      <c r="B936" s="36"/>
      <c r="C936" s="37"/>
      <c r="D936" s="37"/>
      <c r="E936" s="37"/>
      <c r="F936" s="37"/>
      <c r="G936" s="37"/>
      <c r="H936" s="1"/>
      <c r="I936" s="1"/>
    </row>
    <row r="937" ht="15.75" customHeight="1">
      <c r="A937" s="36"/>
      <c r="B937" s="36"/>
      <c r="C937" s="37"/>
      <c r="D937" s="37"/>
      <c r="E937" s="37"/>
      <c r="F937" s="37"/>
      <c r="G937" s="37"/>
      <c r="H937" s="1"/>
      <c r="I937" s="1"/>
    </row>
    <row r="938" ht="15.75" customHeight="1">
      <c r="A938" s="36"/>
      <c r="B938" s="36"/>
      <c r="C938" s="37"/>
      <c r="D938" s="37"/>
      <c r="E938" s="37"/>
      <c r="F938" s="37"/>
      <c r="G938" s="37"/>
      <c r="H938" s="1"/>
      <c r="I938" s="1"/>
    </row>
    <row r="939" ht="15.75" customHeight="1">
      <c r="A939" s="36"/>
      <c r="B939" s="36"/>
      <c r="C939" s="37"/>
      <c r="D939" s="37"/>
      <c r="E939" s="37"/>
      <c r="F939" s="37"/>
      <c r="G939" s="37"/>
      <c r="H939" s="1"/>
      <c r="I939" s="1"/>
    </row>
    <row r="940" ht="15.75" customHeight="1">
      <c r="A940" s="36"/>
      <c r="B940" s="36"/>
      <c r="C940" s="37"/>
      <c r="D940" s="37"/>
      <c r="E940" s="37"/>
      <c r="F940" s="37"/>
      <c r="G940" s="37"/>
      <c r="H940" s="1"/>
      <c r="I940" s="1"/>
    </row>
    <row r="941" ht="15.75" customHeight="1">
      <c r="A941" s="36"/>
      <c r="B941" s="36"/>
      <c r="C941" s="37"/>
      <c r="D941" s="37"/>
      <c r="E941" s="37"/>
      <c r="F941" s="37"/>
      <c r="G941" s="37"/>
      <c r="H941" s="1"/>
      <c r="I941" s="1"/>
    </row>
    <row r="942" ht="15.75" customHeight="1">
      <c r="A942" s="36"/>
      <c r="B942" s="36"/>
      <c r="C942" s="37"/>
      <c r="D942" s="37"/>
      <c r="E942" s="37"/>
      <c r="F942" s="37"/>
      <c r="G942" s="37"/>
      <c r="H942" s="1"/>
      <c r="I942" s="1"/>
    </row>
    <row r="943" ht="15.75" customHeight="1">
      <c r="A943" s="36"/>
      <c r="B943" s="36"/>
      <c r="C943" s="37"/>
      <c r="D943" s="37"/>
      <c r="E943" s="37"/>
      <c r="F943" s="37"/>
      <c r="G943" s="37"/>
      <c r="H943" s="1"/>
      <c r="I943" s="1"/>
    </row>
    <row r="944" ht="15.75" customHeight="1">
      <c r="A944" s="36"/>
      <c r="B944" s="36"/>
      <c r="C944" s="37"/>
      <c r="D944" s="37"/>
      <c r="E944" s="37"/>
      <c r="F944" s="37"/>
      <c r="G944" s="37"/>
      <c r="H944" s="1"/>
      <c r="I944" s="1"/>
    </row>
    <row r="945" ht="15.75" customHeight="1">
      <c r="A945" s="36"/>
      <c r="B945" s="36"/>
      <c r="C945" s="37"/>
      <c r="D945" s="37"/>
      <c r="E945" s="37"/>
      <c r="F945" s="37"/>
      <c r="G945" s="37"/>
      <c r="H945" s="1"/>
      <c r="I945" s="1"/>
    </row>
    <row r="946" ht="15.75" customHeight="1">
      <c r="A946" s="36"/>
      <c r="B946" s="36"/>
      <c r="C946" s="37"/>
      <c r="D946" s="37"/>
      <c r="E946" s="37"/>
      <c r="F946" s="37"/>
      <c r="G946" s="37"/>
      <c r="H946" s="1"/>
      <c r="I946" s="1"/>
    </row>
    <row r="947" ht="15.75" customHeight="1">
      <c r="A947" s="36"/>
      <c r="B947" s="36"/>
      <c r="C947" s="37"/>
      <c r="D947" s="37"/>
      <c r="E947" s="37"/>
      <c r="F947" s="37"/>
      <c r="G947" s="37"/>
      <c r="H947" s="1"/>
      <c r="I947" s="1"/>
    </row>
    <row r="948" ht="15.75" customHeight="1">
      <c r="A948" s="36"/>
      <c r="B948" s="36"/>
      <c r="C948" s="37"/>
      <c r="D948" s="37"/>
      <c r="E948" s="37"/>
      <c r="F948" s="37"/>
      <c r="G948" s="37"/>
      <c r="H948" s="1"/>
      <c r="I948" s="1"/>
    </row>
    <row r="949" ht="15.75" customHeight="1">
      <c r="A949" s="36"/>
      <c r="B949" s="36"/>
      <c r="C949" s="37"/>
      <c r="D949" s="37"/>
      <c r="E949" s="37"/>
      <c r="F949" s="37"/>
      <c r="G949" s="37"/>
      <c r="H949" s="1"/>
      <c r="I949" s="1"/>
    </row>
    <row r="950" ht="15.75" customHeight="1">
      <c r="A950" s="36"/>
      <c r="B950" s="36"/>
      <c r="C950" s="37"/>
      <c r="D950" s="37"/>
      <c r="E950" s="37"/>
      <c r="F950" s="37"/>
      <c r="G950" s="37"/>
      <c r="H950" s="1"/>
      <c r="I950" s="1"/>
    </row>
    <row r="951" ht="15.75" customHeight="1">
      <c r="A951" s="36"/>
      <c r="B951" s="36"/>
      <c r="C951" s="37"/>
      <c r="D951" s="37"/>
      <c r="E951" s="37"/>
      <c r="F951" s="37"/>
      <c r="G951" s="37"/>
      <c r="H951" s="1"/>
      <c r="I951" s="1"/>
    </row>
    <row r="952" ht="15.75" customHeight="1">
      <c r="A952" s="36"/>
      <c r="B952" s="36"/>
      <c r="C952" s="37"/>
      <c r="D952" s="37"/>
      <c r="E952" s="37"/>
      <c r="F952" s="37"/>
      <c r="G952" s="37"/>
      <c r="H952" s="1"/>
      <c r="I952" s="1"/>
    </row>
    <row r="953" ht="15.75" customHeight="1">
      <c r="A953" s="36"/>
      <c r="B953" s="36"/>
      <c r="C953" s="37"/>
      <c r="D953" s="37"/>
      <c r="E953" s="37"/>
      <c r="F953" s="37"/>
      <c r="G953" s="37"/>
      <c r="H953" s="1"/>
      <c r="I953" s="1"/>
    </row>
    <row r="954" ht="15.75" customHeight="1">
      <c r="A954" s="36"/>
      <c r="B954" s="36"/>
      <c r="C954" s="37"/>
      <c r="D954" s="37"/>
      <c r="E954" s="37"/>
      <c r="F954" s="37"/>
      <c r="G954" s="37"/>
      <c r="H954" s="1"/>
      <c r="I954" s="1"/>
    </row>
    <row r="955" ht="15.75" customHeight="1">
      <c r="A955" s="36"/>
      <c r="B955" s="36"/>
      <c r="C955" s="37"/>
      <c r="D955" s="37"/>
      <c r="E955" s="37"/>
      <c r="F955" s="37"/>
      <c r="G955" s="37"/>
      <c r="H955" s="1"/>
      <c r="I955" s="1"/>
    </row>
    <row r="956" ht="15.75" customHeight="1">
      <c r="A956" s="36"/>
      <c r="B956" s="36"/>
      <c r="C956" s="37"/>
      <c r="D956" s="37"/>
      <c r="E956" s="37"/>
      <c r="F956" s="37"/>
      <c r="G956" s="37"/>
      <c r="H956" s="1"/>
      <c r="I956" s="1"/>
    </row>
    <row r="957" ht="15.75" customHeight="1">
      <c r="A957" s="36"/>
      <c r="B957" s="36"/>
      <c r="C957" s="37"/>
      <c r="D957" s="37"/>
      <c r="E957" s="37"/>
      <c r="F957" s="37"/>
      <c r="G957" s="37"/>
      <c r="H957" s="1"/>
      <c r="I957" s="1"/>
    </row>
    <row r="958" ht="15.75" customHeight="1">
      <c r="A958" s="36"/>
      <c r="B958" s="36"/>
      <c r="C958" s="37"/>
      <c r="D958" s="37"/>
      <c r="E958" s="37"/>
      <c r="F958" s="37"/>
      <c r="G958" s="37"/>
      <c r="H958" s="1"/>
      <c r="I958" s="1"/>
    </row>
    <row r="959" ht="15.75" customHeight="1">
      <c r="A959" s="36"/>
      <c r="B959" s="36"/>
      <c r="C959" s="37"/>
      <c r="D959" s="37"/>
      <c r="E959" s="37"/>
      <c r="F959" s="37"/>
      <c r="G959" s="37"/>
      <c r="H959" s="1"/>
      <c r="I959" s="1"/>
    </row>
    <row r="960" ht="15.75" customHeight="1">
      <c r="A960" s="36"/>
      <c r="B960" s="36"/>
      <c r="C960" s="37"/>
      <c r="D960" s="37"/>
      <c r="E960" s="37"/>
      <c r="F960" s="37"/>
      <c r="G960" s="37"/>
      <c r="H960" s="1"/>
      <c r="I960" s="1"/>
    </row>
    <row r="961" ht="15.75" customHeight="1">
      <c r="A961" s="36"/>
      <c r="B961" s="36"/>
      <c r="C961" s="37"/>
      <c r="D961" s="37"/>
      <c r="E961" s="37"/>
      <c r="F961" s="37"/>
      <c r="G961" s="37"/>
      <c r="H961" s="1"/>
      <c r="I961" s="1"/>
    </row>
    <row r="962" ht="15.75" customHeight="1">
      <c r="A962" s="36"/>
      <c r="B962" s="36"/>
      <c r="C962" s="37"/>
      <c r="D962" s="37"/>
      <c r="E962" s="37"/>
      <c r="F962" s="37"/>
      <c r="G962" s="37"/>
      <c r="H962" s="1"/>
      <c r="I962" s="1"/>
    </row>
    <row r="963" ht="15.75" customHeight="1">
      <c r="A963" s="36"/>
      <c r="B963" s="36"/>
      <c r="C963" s="37"/>
      <c r="D963" s="37"/>
      <c r="E963" s="37"/>
      <c r="F963" s="37"/>
      <c r="G963" s="37"/>
      <c r="H963" s="1"/>
      <c r="I963" s="1"/>
    </row>
    <row r="964" ht="15.75" customHeight="1">
      <c r="A964" s="36"/>
      <c r="B964" s="36"/>
      <c r="C964" s="37"/>
      <c r="D964" s="37"/>
      <c r="E964" s="37"/>
      <c r="F964" s="37"/>
      <c r="G964" s="37"/>
      <c r="H964" s="1"/>
      <c r="I964" s="1"/>
    </row>
    <row r="965" ht="15.75" customHeight="1">
      <c r="A965" s="36"/>
      <c r="B965" s="36"/>
      <c r="C965" s="37"/>
      <c r="D965" s="37"/>
      <c r="E965" s="37"/>
      <c r="F965" s="37"/>
      <c r="G965" s="37"/>
      <c r="H965" s="1"/>
      <c r="I965" s="1"/>
    </row>
    <row r="966" ht="15.75" customHeight="1">
      <c r="A966" s="36"/>
      <c r="B966" s="36"/>
      <c r="C966" s="37"/>
      <c r="D966" s="37"/>
      <c r="E966" s="37"/>
      <c r="F966" s="37"/>
      <c r="G966" s="37"/>
      <c r="H966" s="1"/>
      <c r="I966" s="1"/>
    </row>
    <row r="967" ht="15.75" customHeight="1">
      <c r="A967" s="36"/>
      <c r="B967" s="36"/>
      <c r="C967" s="37"/>
      <c r="D967" s="37"/>
      <c r="E967" s="37"/>
      <c r="F967" s="37"/>
      <c r="G967" s="37"/>
      <c r="H967" s="1"/>
      <c r="I967" s="1"/>
    </row>
    <row r="968" ht="15.75" customHeight="1">
      <c r="A968" s="36"/>
      <c r="B968" s="36"/>
      <c r="C968" s="37"/>
      <c r="D968" s="37"/>
      <c r="E968" s="37"/>
      <c r="F968" s="37"/>
      <c r="G968" s="37"/>
      <c r="H968" s="1"/>
      <c r="I968" s="1"/>
    </row>
    <row r="969" ht="15.75" customHeight="1">
      <c r="A969" s="36"/>
      <c r="B969" s="36"/>
      <c r="C969" s="37"/>
      <c r="D969" s="37"/>
      <c r="E969" s="37"/>
      <c r="F969" s="37"/>
      <c r="G969" s="37"/>
      <c r="H969" s="1"/>
      <c r="I969" s="1"/>
    </row>
    <row r="970" ht="15.75" customHeight="1">
      <c r="A970" s="36"/>
      <c r="B970" s="36"/>
      <c r="C970" s="37"/>
      <c r="D970" s="37"/>
      <c r="E970" s="37"/>
      <c r="F970" s="37"/>
      <c r="G970" s="37"/>
      <c r="H970" s="1"/>
      <c r="I970" s="1"/>
    </row>
    <row r="971" ht="15.75" customHeight="1">
      <c r="A971" s="36"/>
      <c r="B971" s="36"/>
      <c r="C971" s="37"/>
      <c r="D971" s="37"/>
      <c r="E971" s="37"/>
      <c r="F971" s="37"/>
      <c r="G971" s="37"/>
      <c r="H971" s="1"/>
      <c r="I971" s="1"/>
    </row>
    <row r="972" ht="15.75" customHeight="1">
      <c r="A972" s="36"/>
      <c r="B972" s="36"/>
      <c r="C972" s="37"/>
      <c r="D972" s="37"/>
      <c r="E972" s="37"/>
      <c r="F972" s="37"/>
      <c r="G972" s="37"/>
      <c r="H972" s="1"/>
      <c r="I972" s="1"/>
    </row>
    <row r="973" ht="15.75" customHeight="1">
      <c r="A973" s="36"/>
      <c r="B973" s="36"/>
      <c r="C973" s="37"/>
      <c r="D973" s="37"/>
      <c r="E973" s="37"/>
      <c r="F973" s="37"/>
      <c r="G973" s="37"/>
      <c r="H973" s="1"/>
      <c r="I973" s="1"/>
    </row>
    <row r="974" ht="15.75" customHeight="1">
      <c r="A974" s="36"/>
      <c r="B974" s="36"/>
      <c r="C974" s="37"/>
      <c r="D974" s="37"/>
      <c r="E974" s="37"/>
      <c r="F974" s="37"/>
      <c r="G974" s="37"/>
      <c r="H974" s="1"/>
      <c r="I974" s="1"/>
    </row>
    <row r="975" ht="15.75" customHeight="1">
      <c r="A975" s="36"/>
      <c r="B975" s="36"/>
      <c r="C975" s="37"/>
      <c r="D975" s="37"/>
      <c r="E975" s="37"/>
      <c r="F975" s="37"/>
      <c r="G975" s="37"/>
      <c r="H975" s="1"/>
      <c r="I975" s="1"/>
    </row>
    <row r="976" ht="15.75" customHeight="1">
      <c r="A976" s="36"/>
      <c r="B976" s="36"/>
      <c r="C976" s="37"/>
      <c r="D976" s="37"/>
      <c r="E976" s="37"/>
      <c r="F976" s="37"/>
      <c r="G976" s="37"/>
      <c r="H976" s="1"/>
      <c r="I976" s="1"/>
    </row>
    <row r="977" ht="15.75" customHeight="1">
      <c r="A977" s="36"/>
      <c r="B977" s="36"/>
      <c r="C977" s="37"/>
      <c r="D977" s="37"/>
      <c r="E977" s="37"/>
      <c r="F977" s="37"/>
      <c r="G977" s="37"/>
      <c r="H977" s="1"/>
      <c r="I977" s="1"/>
    </row>
    <row r="978" ht="15.75" customHeight="1">
      <c r="A978" s="36"/>
      <c r="B978" s="36"/>
      <c r="C978" s="37"/>
      <c r="D978" s="37"/>
      <c r="E978" s="37"/>
      <c r="F978" s="37"/>
      <c r="G978" s="37"/>
      <c r="H978" s="1"/>
      <c r="I978" s="1"/>
    </row>
    <row r="979" ht="15.75" customHeight="1">
      <c r="A979" s="36"/>
      <c r="B979" s="36"/>
      <c r="C979" s="37"/>
      <c r="D979" s="37"/>
      <c r="E979" s="37"/>
      <c r="F979" s="37"/>
      <c r="G979" s="37"/>
      <c r="H979" s="1"/>
      <c r="I979" s="1"/>
    </row>
    <row r="980" ht="15.75" customHeight="1">
      <c r="A980" s="36"/>
      <c r="B980" s="36"/>
      <c r="C980" s="37"/>
      <c r="D980" s="37"/>
      <c r="E980" s="37"/>
      <c r="F980" s="37"/>
      <c r="G980" s="37"/>
      <c r="H980" s="1"/>
      <c r="I980" s="1"/>
    </row>
    <row r="981" ht="15.75" customHeight="1">
      <c r="A981" s="36"/>
      <c r="B981" s="36"/>
      <c r="C981" s="37"/>
      <c r="D981" s="37"/>
      <c r="E981" s="37"/>
      <c r="F981" s="37"/>
      <c r="G981" s="37"/>
      <c r="H981" s="1"/>
      <c r="I981" s="1"/>
    </row>
    <row r="982" ht="15.75" customHeight="1">
      <c r="A982" s="36"/>
      <c r="B982" s="36"/>
      <c r="C982" s="37"/>
      <c r="D982" s="37"/>
      <c r="E982" s="37"/>
      <c r="F982" s="37"/>
      <c r="G982" s="37"/>
      <c r="H982" s="1"/>
      <c r="I982" s="1"/>
    </row>
    <row r="983" ht="15.75" customHeight="1">
      <c r="A983" s="36"/>
      <c r="B983" s="36"/>
      <c r="C983" s="37"/>
      <c r="D983" s="37"/>
      <c r="E983" s="37"/>
      <c r="F983" s="37"/>
      <c r="G983" s="37"/>
      <c r="H983" s="1"/>
      <c r="I983" s="1"/>
    </row>
    <row r="984" ht="15.75" customHeight="1">
      <c r="A984" s="36"/>
      <c r="B984" s="36"/>
      <c r="C984" s="37"/>
      <c r="D984" s="37"/>
      <c r="E984" s="37"/>
      <c r="F984" s="37"/>
      <c r="G984" s="37"/>
      <c r="H984" s="1"/>
      <c r="I984" s="1"/>
    </row>
    <row r="985" ht="15.75" customHeight="1">
      <c r="A985" s="36"/>
      <c r="B985" s="36"/>
      <c r="C985" s="37"/>
      <c r="D985" s="37"/>
      <c r="E985" s="37"/>
      <c r="F985" s="37"/>
      <c r="G985" s="37"/>
      <c r="H985" s="1"/>
      <c r="I985" s="1"/>
    </row>
    <row r="986" ht="15.75" customHeight="1">
      <c r="A986" s="36"/>
      <c r="B986" s="36"/>
      <c r="C986" s="37"/>
      <c r="D986" s="37"/>
      <c r="E986" s="37"/>
      <c r="F986" s="37"/>
      <c r="G986" s="37"/>
      <c r="H986" s="1"/>
      <c r="I986" s="1"/>
    </row>
    <row r="987" ht="15.75" customHeight="1">
      <c r="A987" s="36"/>
      <c r="B987" s="36"/>
      <c r="C987" s="37"/>
      <c r="D987" s="37"/>
      <c r="E987" s="37"/>
      <c r="F987" s="37"/>
      <c r="G987" s="37"/>
      <c r="H987" s="1"/>
      <c r="I987" s="1"/>
    </row>
    <row r="988" ht="15.75" customHeight="1">
      <c r="A988" s="36"/>
      <c r="B988" s="36"/>
      <c r="C988" s="37"/>
      <c r="D988" s="37"/>
      <c r="E988" s="37"/>
      <c r="F988" s="37"/>
      <c r="G988" s="37"/>
      <c r="H988" s="1"/>
      <c r="I988" s="1"/>
    </row>
    <row r="989" ht="15.75" customHeight="1">
      <c r="A989" s="36"/>
      <c r="B989" s="36"/>
      <c r="C989" s="37"/>
      <c r="D989" s="37"/>
      <c r="E989" s="37"/>
      <c r="F989" s="37"/>
      <c r="G989" s="37"/>
      <c r="H989" s="1"/>
      <c r="I989" s="1"/>
    </row>
    <row r="990" ht="15.75" customHeight="1">
      <c r="A990" s="36"/>
      <c r="B990" s="36"/>
      <c r="C990" s="37"/>
      <c r="D990" s="37"/>
      <c r="E990" s="37"/>
      <c r="F990" s="37"/>
      <c r="G990" s="37"/>
      <c r="H990" s="1"/>
      <c r="I990" s="1"/>
    </row>
    <row r="991" ht="15.75" customHeight="1">
      <c r="A991" s="36"/>
      <c r="B991" s="36"/>
      <c r="C991" s="37"/>
      <c r="D991" s="37"/>
      <c r="E991" s="37"/>
      <c r="F991" s="37"/>
      <c r="G991" s="37"/>
      <c r="H991" s="1"/>
      <c r="I991" s="1"/>
    </row>
    <row r="992" ht="15.75" customHeight="1">
      <c r="A992" s="36"/>
      <c r="B992" s="36"/>
      <c r="C992" s="37"/>
      <c r="D992" s="37"/>
      <c r="E992" s="37"/>
      <c r="F992" s="37"/>
      <c r="G992" s="37"/>
      <c r="H992" s="1"/>
      <c r="I992" s="1"/>
    </row>
    <row r="993" ht="15.75" customHeight="1">
      <c r="A993" s="36"/>
      <c r="B993" s="36"/>
      <c r="C993" s="37"/>
      <c r="D993" s="37"/>
      <c r="E993" s="37"/>
      <c r="F993" s="37"/>
      <c r="G993" s="37"/>
      <c r="H993" s="1"/>
      <c r="I993" s="1"/>
    </row>
    <row r="994" ht="15.75" customHeight="1">
      <c r="A994" s="36"/>
      <c r="B994" s="36"/>
      <c r="C994" s="37"/>
      <c r="D994" s="37"/>
      <c r="E994" s="37"/>
      <c r="F994" s="37"/>
      <c r="G994" s="37"/>
      <c r="H994" s="1"/>
      <c r="I994" s="1"/>
    </row>
    <row r="995" ht="15.75" customHeight="1">
      <c r="A995" s="36"/>
      <c r="B995" s="36"/>
      <c r="C995" s="37"/>
      <c r="D995" s="37"/>
      <c r="E995" s="37"/>
      <c r="F995" s="37"/>
      <c r="G995" s="37"/>
      <c r="H995" s="1"/>
      <c r="I995" s="1"/>
    </row>
    <row r="996" ht="15.75" customHeight="1">
      <c r="A996" s="36"/>
      <c r="B996" s="36"/>
      <c r="C996" s="37"/>
      <c r="D996" s="37"/>
      <c r="E996" s="37"/>
      <c r="F996" s="37"/>
      <c r="G996" s="37"/>
      <c r="H996" s="1"/>
      <c r="I996" s="1"/>
    </row>
    <row r="997" ht="15.75" customHeight="1">
      <c r="A997" s="36"/>
      <c r="B997" s="36"/>
      <c r="C997" s="37"/>
      <c r="D997" s="37"/>
      <c r="E997" s="37"/>
      <c r="F997" s="37"/>
      <c r="G997" s="37"/>
      <c r="H997" s="1"/>
      <c r="I997" s="1"/>
    </row>
    <row r="998" ht="15.75" customHeight="1">
      <c r="A998" s="36"/>
      <c r="B998" s="36"/>
      <c r="C998" s="37"/>
      <c r="D998" s="37"/>
      <c r="E998" s="37"/>
      <c r="F998" s="37"/>
      <c r="G998" s="37"/>
      <c r="H998" s="1"/>
      <c r="I998" s="1"/>
    </row>
    <row r="999" ht="15.75" customHeight="1">
      <c r="A999" s="36"/>
      <c r="B999" s="36"/>
      <c r="C999" s="37"/>
      <c r="D999" s="37"/>
      <c r="E999" s="37"/>
      <c r="F999" s="37"/>
      <c r="G999" s="37"/>
      <c r="H999" s="1"/>
      <c r="I999" s="1"/>
    </row>
    <row r="1000" ht="15.75" customHeight="1">
      <c r="A1000" s="36"/>
      <c r="B1000" s="36"/>
      <c r="C1000" s="37"/>
      <c r="D1000" s="37"/>
      <c r="E1000" s="37"/>
      <c r="F1000" s="37"/>
      <c r="G1000" s="37"/>
      <c r="H1000" s="1"/>
      <c r="I1000" s="1"/>
    </row>
  </sheetData>
  <mergeCells count="5">
    <mergeCell ref="A2:I2"/>
    <mergeCell ref="A4:I4"/>
    <mergeCell ref="A5:I5"/>
    <mergeCell ref="A6:I6"/>
    <mergeCell ref="A62:I62"/>
  </mergeCells>
  <hyperlinks>
    <hyperlink r:id="rId1" ref="E9"/>
    <hyperlink r:id="rId2" ref="E10"/>
    <hyperlink r:id="rId3" ref="E11"/>
    <hyperlink r:id="rId4" ref="E12"/>
  </hyperlinks>
  <printOptions/>
  <pageMargins bottom="0.75" footer="0.0" header="0.0" left="0.7" right="0.7" top="0.75"/>
  <pageSetup orientation="landscape"/>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5.43"/>
    <col customWidth="1" min="3" max="3" width="12.43"/>
    <col customWidth="1" min="4" max="4" width="16.71"/>
    <col customWidth="1" min="5" max="5" width="12.43"/>
    <col customWidth="1" min="6" max="6" width="16.0"/>
    <col customWidth="1" min="7" max="7" width="12.14"/>
    <col customWidth="1" min="8" max="8" width="13.71"/>
    <col customWidth="1" min="9" max="9" width="10.71"/>
    <col customWidth="1" min="10" max="10" width="7.43"/>
    <col customWidth="1" min="11" max="11" width="20.71"/>
    <col customWidth="1" min="12" max="26" width="8.0"/>
  </cols>
  <sheetData>
    <row r="1">
      <c r="A1" s="36"/>
      <c r="B1" s="36"/>
      <c r="C1" s="36"/>
      <c r="D1" s="36"/>
      <c r="E1" s="37"/>
      <c r="F1" s="37"/>
      <c r="G1" s="37"/>
      <c r="H1" s="37"/>
      <c r="I1" s="37"/>
      <c r="J1" s="1"/>
    </row>
    <row r="2">
      <c r="A2" s="38" t="s">
        <v>2485</v>
      </c>
      <c r="B2" s="39"/>
      <c r="C2" s="39"/>
      <c r="D2" s="39"/>
      <c r="E2" s="39"/>
      <c r="F2" s="39"/>
      <c r="G2" s="39"/>
      <c r="H2" s="39"/>
      <c r="I2" s="39"/>
      <c r="J2" s="40"/>
    </row>
    <row r="3">
      <c r="A3" s="105"/>
      <c r="B3" s="105"/>
      <c r="C3" s="105"/>
      <c r="D3" s="105"/>
      <c r="E3" s="105"/>
      <c r="F3" s="105"/>
      <c r="G3" s="105"/>
      <c r="H3" s="105"/>
      <c r="I3" s="105"/>
      <c r="J3" s="105"/>
    </row>
    <row r="4">
      <c r="A4" s="106" t="s">
        <v>2486</v>
      </c>
      <c r="B4" s="39"/>
      <c r="C4" s="39"/>
      <c r="D4" s="39"/>
      <c r="E4" s="39"/>
      <c r="F4" s="39"/>
      <c r="G4" s="39"/>
      <c r="H4" s="39"/>
      <c r="I4" s="39"/>
      <c r="J4" s="40"/>
    </row>
    <row r="5">
      <c r="A5" s="106" t="s">
        <v>2487</v>
      </c>
      <c r="B5" s="39"/>
      <c r="C5" s="39"/>
      <c r="D5" s="39"/>
      <c r="E5" s="39"/>
      <c r="F5" s="39"/>
      <c r="G5" s="39"/>
      <c r="H5" s="39"/>
      <c r="I5" s="39"/>
      <c r="J5" s="40"/>
    </row>
    <row r="6" ht="70.5" customHeight="1">
      <c r="A6" s="43" t="s">
        <v>2488</v>
      </c>
      <c r="B6" s="39"/>
      <c r="C6" s="39"/>
      <c r="D6" s="39"/>
      <c r="E6" s="39"/>
      <c r="F6" s="39"/>
      <c r="G6" s="39"/>
      <c r="H6" s="39"/>
      <c r="I6" s="39"/>
      <c r="J6" s="40"/>
      <c r="K6" s="519"/>
      <c r="L6" s="519"/>
      <c r="M6" s="519"/>
      <c r="N6" s="519"/>
      <c r="O6" s="519"/>
      <c r="P6" s="519"/>
      <c r="Q6" s="519"/>
      <c r="R6" s="519"/>
      <c r="S6" s="519"/>
      <c r="T6" s="519"/>
      <c r="U6" s="519"/>
      <c r="V6" s="519"/>
      <c r="W6" s="519"/>
      <c r="X6" s="519"/>
      <c r="Y6" s="519"/>
      <c r="Z6" s="519"/>
    </row>
    <row r="7" ht="26.25" customHeight="1">
      <c r="A7" s="43" t="s">
        <v>2489</v>
      </c>
      <c r="B7" s="39"/>
      <c r="C7" s="39"/>
      <c r="D7" s="39"/>
      <c r="E7" s="39"/>
      <c r="F7" s="39"/>
      <c r="G7" s="39"/>
      <c r="H7" s="39"/>
      <c r="I7" s="39"/>
      <c r="J7" s="40"/>
      <c r="K7" s="519"/>
      <c r="L7" s="519"/>
      <c r="M7" s="519"/>
      <c r="N7" s="519"/>
      <c r="O7" s="519"/>
      <c r="P7" s="519"/>
      <c r="Q7" s="519"/>
      <c r="R7" s="519"/>
      <c r="S7" s="519"/>
      <c r="T7" s="519"/>
      <c r="U7" s="519"/>
      <c r="V7" s="519"/>
      <c r="W7" s="519"/>
      <c r="X7" s="519"/>
      <c r="Y7" s="519"/>
      <c r="Z7" s="519"/>
    </row>
    <row r="8">
      <c r="A8" s="43" t="s">
        <v>2490</v>
      </c>
      <c r="B8" s="39"/>
      <c r="C8" s="39"/>
      <c r="D8" s="39"/>
      <c r="E8" s="39"/>
      <c r="F8" s="39"/>
      <c r="G8" s="39"/>
      <c r="H8" s="39"/>
      <c r="I8" s="39"/>
      <c r="J8" s="40"/>
      <c r="K8" s="519"/>
      <c r="L8" s="519"/>
      <c r="M8" s="519"/>
      <c r="N8" s="519"/>
      <c r="O8" s="519"/>
      <c r="P8" s="519"/>
      <c r="Q8" s="519"/>
      <c r="R8" s="519"/>
      <c r="S8" s="519"/>
      <c r="T8" s="519"/>
      <c r="U8" s="519"/>
      <c r="V8" s="519"/>
      <c r="W8" s="519"/>
      <c r="X8" s="519"/>
      <c r="Y8" s="519"/>
      <c r="Z8" s="519"/>
    </row>
    <row r="9" ht="28.5" customHeight="1">
      <c r="A9" s="43" t="s">
        <v>2491</v>
      </c>
      <c r="B9" s="39"/>
      <c r="C9" s="39"/>
      <c r="D9" s="39"/>
      <c r="E9" s="39"/>
      <c r="F9" s="39"/>
      <c r="G9" s="39"/>
      <c r="H9" s="39"/>
      <c r="I9" s="39"/>
      <c r="J9" s="40"/>
      <c r="K9" s="519"/>
      <c r="L9" s="519"/>
      <c r="M9" s="519"/>
      <c r="N9" s="519"/>
      <c r="O9" s="519"/>
      <c r="P9" s="519"/>
      <c r="Q9" s="519"/>
      <c r="R9" s="519"/>
      <c r="S9" s="519"/>
      <c r="T9" s="519"/>
      <c r="U9" s="519"/>
      <c r="V9" s="519"/>
      <c r="W9" s="519"/>
      <c r="X9" s="519"/>
      <c r="Y9" s="519"/>
      <c r="Z9" s="519"/>
    </row>
    <row r="10">
      <c r="A10" s="43" t="s">
        <v>2492</v>
      </c>
      <c r="B10" s="39"/>
      <c r="C10" s="39"/>
      <c r="D10" s="39"/>
      <c r="E10" s="39"/>
      <c r="F10" s="39"/>
      <c r="G10" s="39"/>
      <c r="H10" s="39"/>
      <c r="I10" s="39"/>
      <c r="J10" s="40"/>
      <c r="K10" s="519"/>
      <c r="L10" s="519"/>
      <c r="M10" s="519"/>
      <c r="N10" s="519"/>
      <c r="O10" s="519"/>
      <c r="P10" s="519"/>
      <c r="Q10" s="519"/>
      <c r="R10" s="519"/>
      <c r="S10" s="519"/>
      <c r="T10" s="519"/>
      <c r="U10" s="519"/>
      <c r="V10" s="519"/>
      <c r="W10" s="519"/>
      <c r="X10" s="519"/>
      <c r="Y10" s="519"/>
      <c r="Z10" s="519"/>
    </row>
    <row r="11">
      <c r="A11" s="36"/>
      <c r="B11" s="36"/>
      <c r="C11" s="36"/>
      <c r="D11" s="36"/>
      <c r="E11" s="37"/>
      <c r="F11" s="37"/>
      <c r="G11" s="37"/>
      <c r="H11" s="37"/>
      <c r="I11" s="37"/>
      <c r="J11" s="1"/>
    </row>
    <row r="12" ht="38.25" customHeight="1">
      <c r="A12" s="269" t="s">
        <v>8</v>
      </c>
      <c r="B12" s="229" t="s">
        <v>2493</v>
      </c>
      <c r="C12" s="229" t="s">
        <v>2494</v>
      </c>
      <c r="D12" s="229" t="s">
        <v>2495</v>
      </c>
      <c r="E12" s="109" t="s">
        <v>9</v>
      </c>
      <c r="F12" s="229" t="s">
        <v>2496</v>
      </c>
      <c r="G12" s="47" t="s">
        <v>2497</v>
      </c>
      <c r="H12" s="47" t="s">
        <v>2498</v>
      </c>
      <c r="I12" s="47" t="s">
        <v>2499</v>
      </c>
      <c r="J12" s="47" t="s">
        <v>117</v>
      </c>
      <c r="K12" s="49" t="s">
        <v>118</v>
      </c>
    </row>
    <row r="13" ht="76.5" customHeight="1">
      <c r="A13" s="135" t="s">
        <v>532</v>
      </c>
      <c r="B13" s="57" t="s">
        <v>2500</v>
      </c>
      <c r="C13" s="52" t="s">
        <v>2501</v>
      </c>
      <c r="D13" s="135" t="s">
        <v>532</v>
      </c>
      <c r="E13" s="52" t="s">
        <v>38</v>
      </c>
      <c r="F13" s="52" t="s">
        <v>2502</v>
      </c>
      <c r="G13" s="52">
        <v>11000.0</v>
      </c>
      <c r="H13" s="52">
        <v>11000.0</v>
      </c>
      <c r="I13" s="52">
        <v>110.0</v>
      </c>
      <c r="J13" s="271">
        <v>110.0</v>
      </c>
      <c r="K13" s="62" t="s">
        <v>532</v>
      </c>
    </row>
    <row r="14">
      <c r="A14" s="410"/>
      <c r="B14" s="52"/>
      <c r="C14" s="52"/>
      <c r="D14" s="52"/>
      <c r="E14" s="52"/>
      <c r="F14" s="52"/>
      <c r="G14" s="52"/>
      <c r="H14" s="52"/>
      <c r="I14" s="52"/>
      <c r="J14" s="209"/>
      <c r="K14" s="62"/>
    </row>
    <row r="15">
      <c r="A15" s="410"/>
      <c r="B15" s="52"/>
      <c r="C15" s="52"/>
      <c r="D15" s="52"/>
      <c r="E15" s="52"/>
      <c r="F15" s="52"/>
      <c r="G15" s="52"/>
      <c r="H15" s="52"/>
      <c r="I15" s="52"/>
      <c r="J15" s="209"/>
      <c r="K15" s="62"/>
    </row>
    <row r="16">
      <c r="A16" s="410"/>
      <c r="B16" s="52"/>
      <c r="C16" s="52"/>
      <c r="D16" s="52"/>
      <c r="E16" s="52"/>
      <c r="F16" s="52"/>
      <c r="G16" s="52"/>
      <c r="H16" s="52"/>
      <c r="I16" s="52"/>
      <c r="J16" s="209"/>
      <c r="K16" s="62"/>
    </row>
    <row r="17">
      <c r="A17" s="410"/>
      <c r="B17" s="52"/>
      <c r="C17" s="52"/>
      <c r="D17" s="52"/>
      <c r="E17" s="52"/>
      <c r="F17" s="52"/>
      <c r="G17" s="52"/>
      <c r="H17" s="52"/>
      <c r="I17" s="52"/>
      <c r="J17" s="209"/>
      <c r="K17" s="62"/>
    </row>
    <row r="18">
      <c r="A18" s="410"/>
      <c r="B18" s="52"/>
      <c r="C18" s="52"/>
      <c r="D18" s="52"/>
      <c r="E18" s="52"/>
      <c r="F18" s="52"/>
      <c r="G18" s="52"/>
      <c r="H18" s="52"/>
      <c r="I18" s="52"/>
      <c r="J18" s="209"/>
      <c r="K18" s="62"/>
    </row>
    <row r="19">
      <c r="A19" s="410"/>
      <c r="B19" s="52"/>
      <c r="C19" s="52"/>
      <c r="D19" s="52"/>
      <c r="E19" s="52"/>
      <c r="F19" s="52"/>
      <c r="G19" s="52"/>
      <c r="H19" s="52"/>
      <c r="I19" s="52"/>
      <c r="J19" s="209"/>
      <c r="K19" s="62"/>
    </row>
    <row r="20">
      <c r="A20" s="410"/>
      <c r="B20" s="52"/>
      <c r="C20" s="52"/>
      <c r="D20" s="52"/>
      <c r="E20" s="52"/>
      <c r="F20" s="52"/>
      <c r="G20" s="52"/>
      <c r="H20" s="52"/>
      <c r="I20" s="52"/>
      <c r="J20" s="209"/>
      <c r="K20" s="62"/>
    </row>
    <row r="21" ht="15.75" customHeight="1">
      <c r="A21" s="410"/>
      <c r="B21" s="52"/>
      <c r="C21" s="52"/>
      <c r="D21" s="52"/>
      <c r="E21" s="52"/>
      <c r="F21" s="52"/>
      <c r="G21" s="52"/>
      <c r="H21" s="52"/>
      <c r="I21" s="52"/>
      <c r="J21" s="209"/>
      <c r="K21" s="62"/>
    </row>
    <row r="22" ht="15.75" customHeight="1">
      <c r="A22" s="410"/>
      <c r="B22" s="52"/>
      <c r="C22" s="52"/>
      <c r="D22" s="52"/>
      <c r="E22" s="52"/>
      <c r="F22" s="52"/>
      <c r="G22" s="52"/>
      <c r="H22" s="52"/>
      <c r="I22" s="52"/>
      <c r="J22" s="209"/>
      <c r="K22" s="62"/>
    </row>
    <row r="23" ht="15.75" customHeight="1">
      <c r="A23" s="410"/>
      <c r="B23" s="52"/>
      <c r="C23" s="52"/>
      <c r="D23" s="52"/>
      <c r="E23" s="52"/>
      <c r="F23" s="52"/>
      <c r="G23" s="52"/>
      <c r="H23" s="52"/>
      <c r="I23" s="52"/>
      <c r="J23" s="209"/>
      <c r="K23" s="62"/>
    </row>
    <row r="24" ht="15.75" customHeight="1">
      <c r="A24" s="410"/>
      <c r="B24" s="52"/>
      <c r="C24" s="52"/>
      <c r="D24" s="52"/>
      <c r="E24" s="52"/>
      <c r="F24" s="52"/>
      <c r="G24" s="52"/>
      <c r="H24" s="52"/>
      <c r="I24" s="52"/>
      <c r="J24" s="209"/>
      <c r="K24" s="62"/>
    </row>
    <row r="25" ht="15.75" customHeight="1">
      <c r="A25" s="410"/>
      <c r="B25" s="52"/>
      <c r="C25" s="52"/>
      <c r="D25" s="52"/>
      <c r="E25" s="52"/>
      <c r="F25" s="52"/>
      <c r="G25" s="52"/>
      <c r="H25" s="52"/>
      <c r="I25" s="52"/>
      <c r="J25" s="209"/>
      <c r="K25" s="62"/>
    </row>
    <row r="26" ht="15.75" customHeight="1">
      <c r="A26" s="410"/>
      <c r="B26" s="52"/>
      <c r="C26" s="52"/>
      <c r="D26" s="52"/>
      <c r="E26" s="52"/>
      <c r="F26" s="52"/>
      <c r="G26" s="52"/>
      <c r="H26" s="52"/>
      <c r="I26" s="52"/>
      <c r="J26" s="209"/>
      <c r="K26" s="62"/>
    </row>
    <row r="27" ht="15.75" customHeight="1">
      <c r="A27" s="410"/>
      <c r="B27" s="52"/>
      <c r="C27" s="52"/>
      <c r="D27" s="52"/>
      <c r="E27" s="52"/>
      <c r="F27" s="52"/>
      <c r="G27" s="52"/>
      <c r="H27" s="52"/>
      <c r="I27" s="52"/>
      <c r="J27" s="209"/>
      <c r="K27" s="62"/>
    </row>
    <row r="28" ht="15.75" customHeight="1">
      <c r="A28" s="410"/>
      <c r="B28" s="52"/>
      <c r="C28" s="52"/>
      <c r="D28" s="52"/>
      <c r="E28" s="52"/>
      <c r="F28" s="52"/>
      <c r="G28" s="52"/>
      <c r="H28" s="52"/>
      <c r="I28" s="52"/>
      <c r="J28" s="209"/>
      <c r="K28" s="62"/>
    </row>
    <row r="29" ht="15.75" customHeight="1">
      <c r="A29" s="410"/>
      <c r="B29" s="52"/>
      <c r="C29" s="52"/>
      <c r="D29" s="52"/>
      <c r="E29" s="52"/>
      <c r="F29" s="52"/>
      <c r="G29" s="52"/>
      <c r="H29" s="52"/>
      <c r="I29" s="52"/>
      <c r="J29" s="209"/>
      <c r="K29" s="62"/>
    </row>
    <row r="30" ht="15.75" customHeight="1">
      <c r="A30" s="410"/>
      <c r="B30" s="52"/>
      <c r="C30" s="52"/>
      <c r="D30" s="52"/>
      <c r="E30" s="52"/>
      <c r="F30" s="52"/>
      <c r="G30" s="52"/>
      <c r="H30" s="52"/>
      <c r="I30" s="52"/>
      <c r="J30" s="209"/>
      <c r="K30" s="62"/>
    </row>
    <row r="31" ht="15.75" customHeight="1">
      <c r="A31" s="410"/>
      <c r="B31" s="52"/>
      <c r="C31" s="52"/>
      <c r="D31" s="52"/>
      <c r="E31" s="52"/>
      <c r="F31" s="52"/>
      <c r="G31" s="52"/>
      <c r="H31" s="52"/>
      <c r="I31" s="52"/>
      <c r="J31" s="209"/>
      <c r="K31" s="62"/>
    </row>
    <row r="32" ht="15.75" customHeight="1">
      <c r="A32" s="410"/>
      <c r="B32" s="52"/>
      <c r="C32" s="52"/>
      <c r="D32" s="52"/>
      <c r="E32" s="52"/>
      <c r="F32" s="52"/>
      <c r="G32" s="52"/>
      <c r="H32" s="52"/>
      <c r="I32" s="52"/>
      <c r="J32" s="209"/>
      <c r="K32" s="62"/>
    </row>
    <row r="33" ht="15.75" customHeight="1">
      <c r="A33" s="410"/>
      <c r="B33" s="52"/>
      <c r="C33" s="52"/>
      <c r="D33" s="52"/>
      <c r="E33" s="52"/>
      <c r="F33" s="52"/>
      <c r="G33" s="52"/>
      <c r="H33" s="52"/>
      <c r="I33" s="52"/>
      <c r="J33" s="209"/>
      <c r="K33" s="62"/>
    </row>
    <row r="34" ht="15.75" customHeight="1">
      <c r="A34" s="410"/>
      <c r="B34" s="52"/>
      <c r="C34" s="52"/>
      <c r="D34" s="52"/>
      <c r="E34" s="52"/>
      <c r="F34" s="52"/>
      <c r="G34" s="52"/>
      <c r="H34" s="52"/>
      <c r="I34" s="52"/>
      <c r="J34" s="209"/>
      <c r="K34" s="62"/>
    </row>
    <row r="35" ht="15.75" customHeight="1">
      <c r="A35" s="410"/>
      <c r="B35" s="52"/>
      <c r="C35" s="52"/>
      <c r="D35" s="52"/>
      <c r="E35" s="52"/>
      <c r="F35" s="52"/>
      <c r="G35" s="52"/>
      <c r="H35" s="52"/>
      <c r="I35" s="52"/>
      <c r="J35" s="209"/>
      <c r="K35" s="62"/>
    </row>
    <row r="36" ht="15.75" customHeight="1">
      <c r="A36" s="410"/>
      <c r="B36" s="52"/>
      <c r="C36" s="52"/>
      <c r="D36" s="52"/>
      <c r="E36" s="52"/>
      <c r="F36" s="52"/>
      <c r="G36" s="52"/>
      <c r="H36" s="52"/>
      <c r="I36" s="52"/>
      <c r="J36" s="209"/>
      <c r="K36" s="62"/>
    </row>
    <row r="37" ht="15.75" customHeight="1">
      <c r="A37" s="410"/>
      <c r="B37" s="52"/>
      <c r="C37" s="52"/>
      <c r="D37" s="52"/>
      <c r="E37" s="52"/>
      <c r="F37" s="52"/>
      <c r="G37" s="52"/>
      <c r="H37" s="52"/>
      <c r="I37" s="52"/>
      <c r="J37" s="209"/>
      <c r="K37" s="62"/>
    </row>
    <row r="38" ht="15.75" customHeight="1">
      <c r="A38" s="410"/>
      <c r="B38" s="52"/>
      <c r="C38" s="52"/>
      <c r="D38" s="52"/>
      <c r="E38" s="52"/>
      <c r="F38" s="52"/>
      <c r="G38" s="52"/>
      <c r="H38" s="52"/>
      <c r="I38" s="52"/>
      <c r="J38" s="209"/>
      <c r="K38" s="62"/>
    </row>
    <row r="39" ht="15.75" customHeight="1">
      <c r="A39" s="410"/>
      <c r="B39" s="52"/>
      <c r="C39" s="52"/>
      <c r="D39" s="52"/>
      <c r="E39" s="52"/>
      <c r="F39" s="52"/>
      <c r="G39" s="52"/>
      <c r="H39" s="52"/>
      <c r="I39" s="52"/>
      <c r="J39" s="209"/>
      <c r="K39" s="62"/>
    </row>
    <row r="40" ht="15.75" customHeight="1">
      <c r="A40" s="410"/>
      <c r="B40" s="52"/>
      <c r="C40" s="52"/>
      <c r="D40" s="52"/>
      <c r="E40" s="52"/>
      <c r="F40" s="52"/>
      <c r="G40" s="52"/>
      <c r="H40" s="52"/>
      <c r="I40" s="52"/>
      <c r="J40" s="209"/>
      <c r="K40" s="62"/>
    </row>
    <row r="41" ht="15.75" customHeight="1">
      <c r="A41" s="410"/>
      <c r="B41" s="52"/>
      <c r="C41" s="52"/>
      <c r="D41" s="52"/>
      <c r="E41" s="52"/>
      <c r="F41" s="52"/>
      <c r="G41" s="52"/>
      <c r="H41" s="52"/>
      <c r="I41" s="52"/>
      <c r="J41" s="209"/>
      <c r="K41" s="62"/>
    </row>
    <row r="42" ht="15.75" customHeight="1">
      <c r="A42" s="410"/>
      <c r="B42" s="52"/>
      <c r="C42" s="52"/>
      <c r="D42" s="52"/>
      <c r="E42" s="52"/>
      <c r="F42" s="52"/>
      <c r="G42" s="52"/>
      <c r="H42" s="52"/>
      <c r="I42" s="52"/>
      <c r="J42" s="209"/>
      <c r="K42" s="62"/>
    </row>
    <row r="43" ht="15.75" customHeight="1">
      <c r="A43" s="410"/>
      <c r="B43" s="52"/>
      <c r="C43" s="52"/>
      <c r="D43" s="52"/>
      <c r="E43" s="52"/>
      <c r="F43" s="52"/>
      <c r="G43" s="52"/>
      <c r="H43" s="52"/>
      <c r="I43" s="52"/>
      <c r="J43" s="209"/>
      <c r="K43" s="62"/>
    </row>
    <row r="44" ht="15.75" customHeight="1">
      <c r="A44" s="410"/>
      <c r="B44" s="52"/>
      <c r="C44" s="52"/>
      <c r="D44" s="52"/>
      <c r="E44" s="52"/>
      <c r="F44" s="52"/>
      <c r="G44" s="52"/>
      <c r="H44" s="52"/>
      <c r="I44" s="52"/>
      <c r="J44" s="209"/>
      <c r="K44" s="62"/>
    </row>
    <row r="45" ht="15.75" customHeight="1">
      <c r="A45" s="410"/>
      <c r="B45" s="52"/>
      <c r="C45" s="52"/>
      <c r="D45" s="52"/>
      <c r="E45" s="52"/>
      <c r="F45" s="52"/>
      <c r="G45" s="52"/>
      <c r="H45" s="52"/>
      <c r="I45" s="52"/>
      <c r="J45" s="209"/>
      <c r="K45" s="62"/>
    </row>
    <row r="46" ht="15.75" customHeight="1">
      <c r="A46" s="410"/>
      <c r="B46" s="52"/>
      <c r="C46" s="52"/>
      <c r="D46" s="52"/>
      <c r="E46" s="52"/>
      <c r="F46" s="52"/>
      <c r="G46" s="52"/>
      <c r="H46" s="52"/>
      <c r="I46" s="52"/>
      <c r="J46" s="209"/>
      <c r="K46" s="62"/>
    </row>
    <row r="47" ht="15.75" customHeight="1">
      <c r="A47" s="410"/>
      <c r="B47" s="52"/>
      <c r="C47" s="52"/>
      <c r="D47" s="52"/>
      <c r="E47" s="52"/>
      <c r="F47" s="52"/>
      <c r="G47" s="52"/>
      <c r="H47" s="52"/>
      <c r="I47" s="52"/>
      <c r="J47" s="209"/>
      <c r="K47" s="62"/>
    </row>
    <row r="48" ht="15.75" customHeight="1">
      <c r="A48" s="410"/>
      <c r="B48" s="52"/>
      <c r="C48" s="52"/>
      <c r="D48" s="52"/>
      <c r="E48" s="52"/>
      <c r="F48" s="52"/>
      <c r="G48" s="52"/>
      <c r="H48" s="52"/>
      <c r="I48" s="52"/>
      <c r="J48" s="209"/>
      <c r="K48" s="62"/>
    </row>
    <row r="49" ht="15.75" customHeight="1">
      <c r="A49" s="410"/>
      <c r="B49" s="52"/>
      <c r="C49" s="52"/>
      <c r="D49" s="52"/>
      <c r="E49" s="52"/>
      <c r="F49" s="52"/>
      <c r="G49" s="52"/>
      <c r="H49" s="52"/>
      <c r="I49" s="52"/>
      <c r="J49" s="209"/>
      <c r="K49" s="62"/>
    </row>
    <row r="50" ht="15.75" customHeight="1">
      <c r="A50" s="410"/>
      <c r="B50" s="52"/>
      <c r="C50" s="52"/>
      <c r="D50" s="52"/>
      <c r="E50" s="52"/>
      <c r="F50" s="52"/>
      <c r="G50" s="52"/>
      <c r="H50" s="52"/>
      <c r="I50" s="52"/>
      <c r="J50" s="209"/>
      <c r="K50" s="62"/>
    </row>
    <row r="51" ht="15.75" customHeight="1">
      <c r="A51" s="410"/>
      <c r="B51" s="52"/>
      <c r="C51" s="52"/>
      <c r="D51" s="52"/>
      <c r="E51" s="52"/>
      <c r="F51" s="52"/>
      <c r="G51" s="52"/>
      <c r="H51" s="52"/>
      <c r="I51" s="52"/>
      <c r="J51" s="209"/>
      <c r="K51" s="62"/>
    </row>
    <row r="52" ht="15.75" customHeight="1">
      <c r="A52" s="410"/>
      <c r="B52" s="52"/>
      <c r="C52" s="52"/>
      <c r="D52" s="52"/>
      <c r="E52" s="52"/>
      <c r="F52" s="52"/>
      <c r="G52" s="52"/>
      <c r="H52" s="52"/>
      <c r="I52" s="52"/>
      <c r="J52" s="209"/>
      <c r="K52" s="62"/>
    </row>
    <row r="53" ht="15.75" customHeight="1">
      <c r="A53" s="410"/>
      <c r="B53" s="52"/>
      <c r="C53" s="52"/>
      <c r="D53" s="52"/>
      <c r="E53" s="52"/>
      <c r="F53" s="52"/>
      <c r="G53" s="52"/>
      <c r="H53" s="52"/>
      <c r="I53" s="52"/>
      <c r="J53" s="209"/>
      <c r="K53" s="62"/>
    </row>
    <row r="54" ht="15.75" customHeight="1">
      <c r="A54" s="410"/>
      <c r="B54" s="52"/>
      <c r="C54" s="52"/>
      <c r="D54" s="52"/>
      <c r="E54" s="52"/>
      <c r="F54" s="52"/>
      <c r="G54" s="52"/>
      <c r="H54" s="52"/>
      <c r="I54" s="52"/>
      <c r="J54" s="209"/>
      <c r="K54" s="62"/>
    </row>
    <row r="55" ht="15.75" customHeight="1">
      <c r="A55" s="410"/>
      <c r="B55" s="52"/>
      <c r="C55" s="52"/>
      <c r="D55" s="52"/>
      <c r="E55" s="60"/>
      <c r="F55" s="74"/>
      <c r="G55" s="74"/>
      <c r="H55" s="74"/>
      <c r="I55" s="74"/>
      <c r="J55" s="209"/>
      <c r="K55" s="62"/>
    </row>
    <row r="56" ht="15.75" customHeight="1">
      <c r="A56" s="410"/>
      <c r="B56" s="52"/>
      <c r="C56" s="52"/>
      <c r="D56" s="52"/>
      <c r="E56" s="60"/>
      <c r="F56" s="74"/>
      <c r="G56" s="74"/>
      <c r="H56" s="74"/>
      <c r="I56" s="74"/>
      <c r="J56" s="209"/>
      <c r="K56" s="62"/>
    </row>
    <row r="57" ht="15.75" customHeight="1">
      <c r="A57" s="410"/>
      <c r="B57" s="52"/>
      <c r="C57" s="52"/>
      <c r="D57" s="52"/>
      <c r="E57" s="60"/>
      <c r="F57" s="74"/>
      <c r="G57" s="74"/>
      <c r="H57" s="74"/>
      <c r="I57" s="74"/>
      <c r="J57" s="209"/>
      <c r="K57" s="62"/>
    </row>
    <row r="58" ht="15.75" customHeight="1">
      <c r="A58" s="410"/>
      <c r="B58" s="52"/>
      <c r="C58" s="52"/>
      <c r="D58" s="52"/>
      <c r="E58" s="60"/>
      <c r="F58" s="74"/>
      <c r="G58" s="74"/>
      <c r="H58" s="74"/>
      <c r="I58" s="74"/>
      <c r="J58" s="209"/>
      <c r="K58" s="62"/>
    </row>
    <row r="59" ht="15.75" customHeight="1">
      <c r="A59" s="410"/>
      <c r="B59" s="52"/>
      <c r="C59" s="52"/>
      <c r="D59" s="52"/>
      <c r="E59" s="60"/>
      <c r="F59" s="74"/>
      <c r="G59" s="74"/>
      <c r="H59" s="74"/>
      <c r="I59" s="74"/>
      <c r="J59" s="209"/>
      <c r="K59" s="62"/>
    </row>
    <row r="60" ht="15.75" customHeight="1">
      <c r="A60" s="410"/>
      <c r="B60" s="52"/>
      <c r="C60" s="52"/>
      <c r="D60" s="52"/>
      <c r="E60" s="60"/>
      <c r="F60" s="74"/>
      <c r="G60" s="74"/>
      <c r="H60" s="74"/>
      <c r="I60" s="74"/>
      <c r="J60" s="209"/>
      <c r="K60" s="62"/>
    </row>
    <row r="61" ht="15.75" customHeight="1">
      <c r="A61" s="410"/>
      <c r="B61" s="52"/>
      <c r="C61" s="52"/>
      <c r="D61" s="52"/>
      <c r="E61" s="60"/>
      <c r="F61" s="74"/>
      <c r="G61" s="74"/>
      <c r="H61" s="74"/>
      <c r="I61" s="74"/>
      <c r="J61" s="209"/>
      <c r="K61" s="62"/>
    </row>
    <row r="62" ht="15.75" customHeight="1">
      <c r="A62" s="410"/>
      <c r="B62" s="52"/>
      <c r="C62" s="52"/>
      <c r="D62" s="52"/>
      <c r="E62" s="60"/>
      <c r="F62" s="74"/>
      <c r="G62" s="74"/>
      <c r="H62" s="74"/>
      <c r="I62" s="74"/>
      <c r="J62" s="209"/>
      <c r="K62" s="62"/>
    </row>
    <row r="63" ht="15.75" customHeight="1">
      <c r="A63" s="88" t="s">
        <v>88</v>
      </c>
      <c r="B63" s="36"/>
      <c r="C63" s="36"/>
      <c r="D63" s="36"/>
      <c r="E63" s="37"/>
      <c r="F63" s="37"/>
      <c r="G63" s="1"/>
      <c r="H63" s="1"/>
      <c r="I63" s="1"/>
      <c r="J63" s="472">
        <f>SUM(J13:J62)</f>
        <v>110</v>
      </c>
    </row>
    <row r="64" ht="15.75" customHeight="1">
      <c r="A64" s="36"/>
      <c r="B64" s="36"/>
      <c r="C64" s="36"/>
      <c r="D64" s="36"/>
      <c r="E64" s="37"/>
      <c r="F64" s="37"/>
      <c r="G64" s="37"/>
      <c r="H64" s="37"/>
      <c r="I64" s="37"/>
      <c r="J64" s="1"/>
    </row>
    <row r="65" ht="15.75" customHeight="1">
      <c r="A65" s="36"/>
      <c r="B65" s="37"/>
      <c r="C65" s="37"/>
      <c r="D65" s="37"/>
      <c r="E65" s="37"/>
      <c r="F65" s="37"/>
      <c r="G65" s="1"/>
    </row>
    <row r="66" ht="15.75" customHeight="1">
      <c r="A66" s="473" t="s">
        <v>178</v>
      </c>
      <c r="B66" s="91"/>
      <c r="C66" s="91"/>
      <c r="D66" s="91"/>
      <c r="E66" s="91"/>
      <c r="F66" s="91"/>
      <c r="G66" s="91"/>
      <c r="H66" s="91"/>
      <c r="I66" s="91"/>
      <c r="J66" s="92"/>
    </row>
    <row r="67" ht="15.75" customHeight="1">
      <c r="A67" s="36"/>
      <c r="B67" s="36"/>
      <c r="C67" s="36"/>
      <c r="D67" s="36"/>
      <c r="E67" s="37"/>
      <c r="F67" s="37"/>
      <c r="G67" s="37"/>
      <c r="H67" s="37"/>
      <c r="I67" s="37"/>
      <c r="J67" s="1"/>
    </row>
    <row r="68" ht="15.75" customHeight="1">
      <c r="A68" s="36"/>
      <c r="B68" s="36"/>
      <c r="C68" s="36"/>
      <c r="D68" s="36"/>
      <c r="E68" s="37"/>
      <c r="F68" s="37"/>
      <c r="G68" s="37"/>
      <c r="H68" s="37"/>
      <c r="I68" s="37"/>
      <c r="J68" s="1"/>
    </row>
    <row r="69" ht="15.75" customHeight="1">
      <c r="A69" s="36"/>
      <c r="B69" s="36"/>
      <c r="C69" s="36"/>
      <c r="D69" s="36"/>
      <c r="E69" s="37"/>
      <c r="F69" s="37"/>
      <c r="G69" s="37"/>
      <c r="H69" s="37"/>
      <c r="I69" s="37"/>
      <c r="J69" s="1"/>
    </row>
    <row r="70" ht="15.75" customHeight="1">
      <c r="A70" s="36"/>
      <c r="B70" s="36"/>
      <c r="C70" s="36"/>
      <c r="D70" s="36"/>
      <c r="E70" s="37"/>
      <c r="F70" s="37"/>
      <c r="G70" s="37"/>
      <c r="H70" s="37"/>
      <c r="I70" s="37"/>
      <c r="J70" s="1"/>
    </row>
    <row r="71" ht="15.75" customHeight="1">
      <c r="A71" s="36"/>
      <c r="B71" s="36"/>
      <c r="C71" s="36"/>
      <c r="D71" s="36"/>
      <c r="E71" s="37"/>
      <c r="F71" s="37"/>
      <c r="G71" s="37"/>
      <c r="H71" s="37"/>
      <c r="I71" s="37"/>
      <c r="J71" s="1"/>
    </row>
    <row r="72" ht="15.75" customHeight="1">
      <c r="A72" s="36"/>
      <c r="B72" s="36"/>
      <c r="C72" s="36"/>
      <c r="D72" s="36"/>
      <c r="E72" s="37"/>
      <c r="F72" s="37"/>
      <c r="G72" s="37"/>
      <c r="H72" s="37"/>
      <c r="I72" s="37"/>
      <c r="J72" s="1"/>
    </row>
    <row r="73" ht="15.75" customHeight="1">
      <c r="A73" s="36"/>
      <c r="B73" s="36"/>
      <c r="C73" s="36"/>
      <c r="D73" s="36"/>
      <c r="E73" s="37"/>
      <c r="F73" s="37"/>
      <c r="G73" s="37"/>
      <c r="H73" s="37"/>
      <c r="I73" s="37"/>
      <c r="J73" s="1"/>
    </row>
    <row r="74" ht="15.75" customHeight="1">
      <c r="A74" s="36"/>
      <c r="B74" s="36"/>
      <c r="C74" s="36"/>
      <c r="D74" s="36"/>
      <c r="E74" s="37"/>
      <c r="F74" s="37"/>
      <c r="G74" s="37"/>
      <c r="H74" s="37"/>
      <c r="I74" s="37"/>
      <c r="J74" s="1"/>
    </row>
    <row r="75" ht="15.75" customHeight="1">
      <c r="A75" s="36"/>
      <c r="B75" s="36"/>
      <c r="C75" s="36"/>
      <c r="D75" s="36"/>
      <c r="E75" s="37"/>
      <c r="F75" s="37"/>
      <c r="G75" s="37"/>
      <c r="H75" s="37"/>
      <c r="I75" s="37"/>
      <c r="J75" s="1"/>
    </row>
    <row r="76" ht="15.75" customHeight="1">
      <c r="A76" s="36"/>
      <c r="B76" s="36"/>
      <c r="C76" s="36"/>
      <c r="D76" s="36"/>
      <c r="E76" s="37"/>
      <c r="F76" s="37"/>
      <c r="G76" s="37"/>
      <c r="H76" s="37"/>
      <c r="I76" s="37"/>
      <c r="J76" s="1"/>
    </row>
    <row r="77" ht="15.75" customHeight="1">
      <c r="A77" s="36"/>
      <c r="B77" s="36"/>
      <c r="C77" s="36"/>
      <c r="D77" s="36"/>
      <c r="E77" s="37"/>
      <c r="F77" s="37"/>
      <c r="G77" s="37"/>
      <c r="H77" s="37"/>
      <c r="I77" s="37"/>
      <c r="J77" s="1"/>
    </row>
    <row r="78" ht="15.75" customHeight="1">
      <c r="A78" s="36"/>
      <c r="B78" s="36"/>
      <c r="C78" s="36"/>
      <c r="D78" s="36"/>
      <c r="E78" s="37"/>
      <c r="F78" s="37"/>
      <c r="G78" s="37"/>
      <c r="H78" s="37"/>
      <c r="I78" s="37"/>
      <c r="J78" s="1"/>
    </row>
    <row r="79" ht="15.75" customHeight="1">
      <c r="A79" s="36"/>
      <c r="B79" s="36"/>
      <c r="C79" s="36"/>
      <c r="D79" s="36"/>
      <c r="E79" s="37"/>
      <c r="F79" s="37"/>
      <c r="G79" s="37"/>
      <c r="H79" s="37"/>
      <c r="I79" s="37"/>
      <c r="J79" s="1"/>
    </row>
    <row r="80" ht="15.75" customHeight="1">
      <c r="A80" s="36"/>
      <c r="B80" s="36"/>
      <c r="C80" s="36"/>
      <c r="D80" s="36"/>
      <c r="E80" s="37"/>
      <c r="F80" s="37"/>
      <c r="G80" s="37"/>
      <c r="H80" s="37"/>
      <c r="I80" s="37"/>
      <c r="J80" s="1"/>
    </row>
    <row r="81" ht="15.75" customHeight="1">
      <c r="A81" s="36"/>
      <c r="B81" s="36"/>
      <c r="C81" s="36"/>
      <c r="D81" s="36"/>
      <c r="E81" s="37"/>
      <c r="F81" s="37"/>
      <c r="G81" s="37"/>
      <c r="H81" s="37"/>
      <c r="I81" s="37"/>
      <c r="J81" s="1"/>
    </row>
    <row r="82" ht="15.75" customHeight="1">
      <c r="A82" s="36"/>
      <c r="B82" s="36"/>
      <c r="C82" s="36"/>
      <c r="D82" s="36"/>
      <c r="E82" s="37"/>
      <c r="F82" s="37"/>
      <c r="G82" s="37"/>
      <c r="H82" s="37"/>
      <c r="I82" s="37"/>
      <c r="J82" s="1"/>
    </row>
    <row r="83" ht="15.75" customHeight="1">
      <c r="A83" s="36"/>
      <c r="B83" s="36"/>
      <c r="C83" s="36"/>
      <c r="D83" s="36"/>
      <c r="E83" s="37"/>
      <c r="F83" s="37"/>
      <c r="G83" s="37"/>
      <c r="H83" s="37"/>
      <c r="I83" s="37"/>
      <c r="J83" s="1"/>
    </row>
    <row r="84" ht="15.75" customHeight="1">
      <c r="A84" s="36"/>
      <c r="B84" s="36"/>
      <c r="C84" s="36"/>
      <c r="D84" s="36"/>
      <c r="E84" s="37"/>
      <c r="F84" s="37"/>
      <c r="G84" s="37"/>
      <c r="H84" s="37"/>
      <c r="I84" s="37"/>
      <c r="J84" s="1"/>
    </row>
    <row r="85" ht="15.75" customHeight="1">
      <c r="A85" s="36"/>
      <c r="B85" s="36"/>
      <c r="C85" s="36"/>
      <c r="D85" s="36"/>
      <c r="E85" s="37"/>
      <c r="F85" s="37"/>
      <c r="G85" s="37"/>
      <c r="H85" s="37"/>
      <c r="I85" s="37"/>
      <c r="J85" s="1"/>
    </row>
    <row r="86" ht="15.75" customHeight="1">
      <c r="A86" s="36"/>
      <c r="B86" s="36"/>
      <c r="C86" s="36"/>
      <c r="D86" s="36"/>
      <c r="E86" s="37"/>
      <c r="F86" s="37"/>
      <c r="G86" s="37"/>
      <c r="H86" s="37"/>
      <c r="I86" s="37"/>
      <c r="J86" s="1"/>
    </row>
    <row r="87" ht="15.75" customHeight="1">
      <c r="A87" s="36"/>
      <c r="B87" s="36"/>
      <c r="C87" s="36"/>
      <c r="D87" s="36"/>
      <c r="E87" s="37"/>
      <c r="F87" s="37"/>
      <c r="G87" s="37"/>
      <c r="H87" s="37"/>
      <c r="I87" s="37"/>
      <c r="J87" s="1"/>
    </row>
    <row r="88" ht="15.75" customHeight="1">
      <c r="A88" s="36"/>
      <c r="B88" s="36"/>
      <c r="C88" s="36"/>
      <c r="D88" s="36"/>
      <c r="E88" s="37"/>
      <c r="F88" s="37"/>
      <c r="G88" s="37"/>
      <c r="H88" s="37"/>
      <c r="I88" s="37"/>
      <c r="J88" s="1"/>
    </row>
    <row r="89" ht="15.75" customHeight="1">
      <c r="A89" s="36"/>
      <c r="B89" s="36"/>
      <c r="C89" s="36"/>
      <c r="D89" s="36"/>
      <c r="E89" s="37"/>
      <c r="F89" s="37"/>
      <c r="G89" s="37"/>
      <c r="H89" s="37"/>
      <c r="I89" s="37"/>
      <c r="J89" s="1"/>
    </row>
    <row r="90" ht="15.75" customHeight="1">
      <c r="A90" s="36"/>
      <c r="B90" s="36"/>
      <c r="C90" s="36"/>
      <c r="D90" s="36"/>
      <c r="E90" s="37"/>
      <c r="F90" s="37"/>
      <c r="G90" s="37"/>
      <c r="H90" s="37"/>
      <c r="I90" s="37"/>
      <c r="J90" s="1"/>
    </row>
    <row r="91" ht="15.75" customHeight="1">
      <c r="A91" s="36"/>
      <c r="B91" s="36"/>
      <c r="C91" s="36"/>
      <c r="D91" s="36"/>
      <c r="E91" s="37"/>
      <c r="F91" s="37"/>
      <c r="G91" s="37"/>
      <c r="H91" s="37"/>
      <c r="I91" s="37"/>
      <c r="J91" s="1"/>
    </row>
    <row r="92" ht="15.75" customHeight="1">
      <c r="A92" s="36"/>
      <c r="B92" s="36"/>
      <c r="C92" s="36"/>
      <c r="D92" s="36"/>
      <c r="E92" s="37"/>
      <c r="F92" s="37"/>
      <c r="G92" s="37"/>
      <c r="H92" s="37"/>
      <c r="I92" s="37"/>
      <c r="J92" s="1"/>
    </row>
    <row r="93" ht="15.75" customHeight="1">
      <c r="A93" s="36"/>
      <c r="B93" s="36"/>
      <c r="C93" s="36"/>
      <c r="D93" s="36"/>
      <c r="E93" s="37"/>
      <c r="F93" s="37"/>
      <c r="G93" s="37"/>
      <c r="H93" s="37"/>
      <c r="I93" s="37"/>
      <c r="J93" s="1"/>
    </row>
    <row r="94" ht="15.75" customHeight="1">
      <c r="A94" s="36"/>
      <c r="B94" s="36"/>
      <c r="C94" s="36"/>
      <c r="D94" s="36"/>
      <c r="E94" s="37"/>
      <c r="F94" s="37"/>
      <c r="G94" s="37"/>
      <c r="H94" s="37"/>
      <c r="I94" s="37"/>
      <c r="J94" s="1"/>
    </row>
    <row r="95" ht="15.75" customHeight="1">
      <c r="A95" s="36"/>
      <c r="B95" s="36"/>
      <c r="C95" s="36"/>
      <c r="D95" s="36"/>
      <c r="E95" s="37"/>
      <c r="F95" s="37"/>
      <c r="G95" s="37"/>
      <c r="H95" s="37"/>
      <c r="I95" s="37"/>
      <c r="J95" s="1"/>
    </row>
    <row r="96" ht="15.75" customHeight="1">
      <c r="A96" s="36"/>
      <c r="B96" s="36"/>
      <c r="C96" s="36"/>
      <c r="D96" s="36"/>
      <c r="E96" s="37"/>
      <c r="F96" s="37"/>
      <c r="G96" s="37"/>
      <c r="H96" s="37"/>
      <c r="I96" s="37"/>
      <c r="J96" s="1"/>
    </row>
    <row r="97" ht="15.75" customHeight="1">
      <c r="A97" s="36"/>
      <c r="B97" s="36"/>
      <c r="C97" s="36"/>
      <c r="D97" s="36"/>
      <c r="E97" s="37"/>
      <c r="F97" s="37"/>
      <c r="G97" s="37"/>
      <c r="H97" s="37"/>
      <c r="I97" s="37"/>
      <c r="J97" s="1"/>
    </row>
    <row r="98" ht="15.75" customHeight="1">
      <c r="A98" s="36"/>
      <c r="B98" s="36"/>
      <c r="C98" s="36"/>
      <c r="D98" s="36"/>
      <c r="E98" s="37"/>
      <c r="F98" s="37"/>
      <c r="G98" s="37"/>
      <c r="H98" s="37"/>
      <c r="I98" s="37"/>
      <c r="J98" s="1"/>
    </row>
    <row r="99" ht="15.75" customHeight="1">
      <c r="A99" s="36"/>
      <c r="B99" s="36"/>
      <c r="C99" s="36"/>
      <c r="D99" s="36"/>
      <c r="E99" s="37"/>
      <c r="F99" s="37"/>
      <c r="G99" s="37"/>
      <c r="H99" s="37"/>
      <c r="I99" s="37"/>
      <c r="J99" s="1"/>
    </row>
    <row r="100" ht="15.75" customHeight="1">
      <c r="A100" s="36"/>
      <c r="B100" s="36"/>
      <c r="C100" s="36"/>
      <c r="D100" s="36"/>
      <c r="E100" s="37"/>
      <c r="F100" s="37"/>
      <c r="G100" s="37"/>
      <c r="H100" s="37"/>
      <c r="I100" s="37"/>
      <c r="J100" s="1"/>
    </row>
    <row r="101" ht="15.75" customHeight="1">
      <c r="A101" s="36"/>
      <c r="B101" s="36"/>
      <c r="C101" s="36"/>
      <c r="D101" s="36"/>
      <c r="E101" s="37"/>
      <c r="F101" s="37"/>
      <c r="G101" s="37"/>
      <c r="H101" s="37"/>
      <c r="I101" s="37"/>
      <c r="J101" s="1"/>
    </row>
    <row r="102" ht="15.75" customHeight="1">
      <c r="A102" s="36"/>
      <c r="B102" s="36"/>
      <c r="C102" s="36"/>
      <c r="D102" s="36"/>
      <c r="E102" s="37"/>
      <c r="F102" s="37"/>
      <c r="G102" s="37"/>
      <c r="H102" s="37"/>
      <c r="I102" s="37"/>
      <c r="J102" s="1"/>
    </row>
    <row r="103" ht="15.75" customHeight="1">
      <c r="A103" s="36"/>
      <c r="B103" s="36"/>
      <c r="C103" s="36"/>
      <c r="D103" s="36"/>
      <c r="E103" s="37"/>
      <c r="F103" s="37"/>
      <c r="G103" s="37"/>
      <c r="H103" s="37"/>
      <c r="I103" s="37"/>
      <c r="J103" s="1"/>
    </row>
    <row r="104" ht="15.75" customHeight="1">
      <c r="A104" s="36"/>
      <c r="B104" s="36"/>
      <c r="C104" s="36"/>
      <c r="D104" s="36"/>
      <c r="E104" s="37"/>
      <c r="F104" s="37"/>
      <c r="G104" s="37"/>
      <c r="H104" s="37"/>
      <c r="I104" s="37"/>
      <c r="J104" s="1"/>
    </row>
    <row r="105" ht="15.75" customHeight="1">
      <c r="A105" s="36"/>
      <c r="B105" s="36"/>
      <c r="C105" s="36"/>
      <c r="D105" s="36"/>
      <c r="E105" s="37"/>
      <c r="F105" s="37"/>
      <c r="G105" s="37"/>
      <c r="H105" s="37"/>
      <c r="I105" s="37"/>
      <c r="J105" s="1"/>
    </row>
    <row r="106" ht="15.75" customHeight="1">
      <c r="A106" s="36"/>
      <c r="B106" s="36"/>
      <c r="C106" s="36"/>
      <c r="D106" s="36"/>
      <c r="E106" s="37"/>
      <c r="F106" s="37"/>
      <c r="G106" s="37"/>
      <c r="H106" s="37"/>
      <c r="I106" s="37"/>
      <c r="J106" s="1"/>
    </row>
    <row r="107" ht="15.75" customHeight="1">
      <c r="A107" s="36"/>
      <c r="B107" s="36"/>
      <c r="C107" s="36"/>
      <c r="D107" s="36"/>
      <c r="E107" s="37"/>
      <c r="F107" s="37"/>
      <c r="G107" s="37"/>
      <c r="H107" s="37"/>
      <c r="I107" s="37"/>
      <c r="J107" s="1"/>
    </row>
    <row r="108" ht="15.75" customHeight="1">
      <c r="A108" s="36"/>
      <c r="B108" s="36"/>
      <c r="C108" s="36"/>
      <c r="D108" s="36"/>
      <c r="E108" s="37"/>
      <c r="F108" s="37"/>
      <c r="G108" s="37"/>
      <c r="H108" s="37"/>
      <c r="I108" s="37"/>
      <c r="J108" s="1"/>
    </row>
    <row r="109" ht="15.75" customHeight="1">
      <c r="A109" s="36"/>
      <c r="B109" s="36"/>
      <c r="C109" s="36"/>
      <c r="D109" s="36"/>
      <c r="E109" s="37"/>
      <c r="F109" s="37"/>
      <c r="G109" s="37"/>
      <c r="H109" s="37"/>
      <c r="I109" s="37"/>
      <c r="J109" s="1"/>
    </row>
    <row r="110" ht="15.75" customHeight="1">
      <c r="A110" s="36"/>
      <c r="B110" s="36"/>
      <c r="C110" s="36"/>
      <c r="D110" s="36"/>
      <c r="E110" s="37"/>
      <c r="F110" s="37"/>
      <c r="G110" s="37"/>
      <c r="H110" s="37"/>
      <c r="I110" s="37"/>
      <c r="J110" s="1"/>
    </row>
    <row r="111" ht="15.75" customHeight="1">
      <c r="A111" s="36"/>
      <c r="B111" s="36"/>
      <c r="C111" s="36"/>
      <c r="D111" s="36"/>
      <c r="E111" s="37"/>
      <c r="F111" s="37"/>
      <c r="G111" s="37"/>
      <c r="H111" s="37"/>
      <c r="I111" s="37"/>
      <c r="J111" s="1"/>
    </row>
    <row r="112" ht="15.75" customHeight="1">
      <c r="A112" s="36"/>
      <c r="B112" s="36"/>
      <c r="C112" s="36"/>
      <c r="D112" s="36"/>
      <c r="E112" s="37"/>
      <c r="F112" s="37"/>
      <c r="G112" s="37"/>
      <c r="H112" s="37"/>
      <c r="I112" s="37"/>
      <c r="J112" s="1"/>
    </row>
    <row r="113" ht="15.75" customHeight="1">
      <c r="A113" s="36"/>
      <c r="B113" s="36"/>
      <c r="C113" s="36"/>
      <c r="D113" s="36"/>
      <c r="E113" s="37"/>
      <c r="F113" s="37"/>
      <c r="G113" s="37"/>
      <c r="H113" s="37"/>
      <c r="I113" s="37"/>
      <c r="J113" s="1"/>
    </row>
    <row r="114" ht="15.75" customHeight="1">
      <c r="A114" s="36"/>
      <c r="B114" s="36"/>
      <c r="C114" s="36"/>
      <c r="D114" s="36"/>
      <c r="E114" s="37"/>
      <c r="F114" s="37"/>
      <c r="G114" s="37"/>
      <c r="H114" s="37"/>
      <c r="I114" s="37"/>
      <c r="J114" s="1"/>
    </row>
    <row r="115" ht="15.75" customHeight="1">
      <c r="A115" s="36"/>
      <c r="B115" s="36"/>
      <c r="C115" s="36"/>
      <c r="D115" s="36"/>
      <c r="E115" s="37"/>
      <c r="F115" s="37"/>
      <c r="G115" s="37"/>
      <c r="H115" s="37"/>
      <c r="I115" s="37"/>
      <c r="J115" s="1"/>
    </row>
    <row r="116" ht="15.75" customHeight="1">
      <c r="A116" s="36"/>
      <c r="B116" s="36"/>
      <c r="C116" s="36"/>
      <c r="D116" s="36"/>
      <c r="E116" s="37"/>
      <c r="F116" s="37"/>
      <c r="G116" s="37"/>
      <c r="H116" s="37"/>
      <c r="I116" s="37"/>
      <c r="J116" s="1"/>
    </row>
    <row r="117" ht="15.75" customHeight="1">
      <c r="A117" s="36"/>
      <c r="B117" s="36"/>
      <c r="C117" s="36"/>
      <c r="D117" s="36"/>
      <c r="E117" s="37"/>
      <c r="F117" s="37"/>
      <c r="G117" s="37"/>
      <c r="H117" s="37"/>
      <c r="I117" s="37"/>
      <c r="J117" s="1"/>
    </row>
    <row r="118" ht="15.75" customHeight="1">
      <c r="A118" s="36"/>
      <c r="B118" s="36"/>
      <c r="C118" s="36"/>
      <c r="D118" s="36"/>
      <c r="E118" s="37"/>
      <c r="F118" s="37"/>
      <c r="G118" s="37"/>
      <c r="H118" s="37"/>
      <c r="I118" s="37"/>
      <c r="J118" s="1"/>
    </row>
    <row r="119" ht="15.75" customHeight="1">
      <c r="A119" s="36"/>
      <c r="B119" s="36"/>
      <c r="C119" s="36"/>
      <c r="D119" s="36"/>
      <c r="E119" s="37"/>
      <c r="F119" s="37"/>
      <c r="G119" s="37"/>
      <c r="H119" s="37"/>
      <c r="I119" s="37"/>
      <c r="J119" s="1"/>
    </row>
    <row r="120" ht="15.75" customHeight="1">
      <c r="A120" s="36"/>
      <c r="B120" s="36"/>
      <c r="C120" s="36"/>
      <c r="D120" s="36"/>
      <c r="E120" s="37"/>
      <c r="F120" s="37"/>
      <c r="G120" s="37"/>
      <c r="H120" s="37"/>
      <c r="I120" s="37"/>
      <c r="J120" s="1"/>
    </row>
    <row r="121" ht="15.75" customHeight="1">
      <c r="A121" s="36"/>
      <c r="B121" s="36"/>
      <c r="C121" s="36"/>
      <c r="D121" s="36"/>
      <c r="E121" s="37"/>
      <c r="F121" s="37"/>
      <c r="G121" s="37"/>
      <c r="H121" s="37"/>
      <c r="I121" s="37"/>
      <c r="J121" s="1"/>
    </row>
    <row r="122" ht="15.75" customHeight="1">
      <c r="A122" s="36"/>
      <c r="B122" s="36"/>
      <c r="C122" s="36"/>
      <c r="D122" s="36"/>
      <c r="E122" s="37"/>
      <c r="F122" s="37"/>
      <c r="G122" s="37"/>
      <c r="H122" s="37"/>
      <c r="I122" s="37"/>
      <c r="J122" s="1"/>
    </row>
    <row r="123" ht="15.75" customHeight="1">
      <c r="A123" s="36"/>
      <c r="B123" s="36"/>
      <c r="C123" s="36"/>
      <c r="D123" s="36"/>
      <c r="E123" s="37"/>
      <c r="F123" s="37"/>
      <c r="G123" s="37"/>
      <c r="H123" s="37"/>
      <c r="I123" s="37"/>
      <c r="J123" s="1"/>
    </row>
    <row r="124" ht="15.75" customHeight="1">
      <c r="A124" s="36"/>
      <c r="B124" s="36"/>
      <c r="C124" s="36"/>
      <c r="D124" s="36"/>
      <c r="E124" s="37"/>
      <c r="F124" s="37"/>
      <c r="G124" s="37"/>
      <c r="H124" s="37"/>
      <c r="I124" s="37"/>
      <c r="J124" s="1"/>
    </row>
    <row r="125" ht="15.75" customHeight="1">
      <c r="A125" s="36"/>
      <c r="B125" s="36"/>
      <c r="C125" s="36"/>
      <c r="D125" s="36"/>
      <c r="E125" s="37"/>
      <c r="F125" s="37"/>
      <c r="G125" s="37"/>
      <c r="H125" s="37"/>
      <c r="I125" s="37"/>
      <c r="J125" s="1"/>
    </row>
    <row r="126" ht="15.75" customHeight="1">
      <c r="A126" s="36"/>
      <c r="B126" s="36"/>
      <c r="C126" s="36"/>
      <c r="D126" s="36"/>
      <c r="E126" s="37"/>
      <c r="F126" s="37"/>
      <c r="G126" s="37"/>
      <c r="H126" s="37"/>
      <c r="I126" s="37"/>
      <c r="J126" s="1"/>
    </row>
    <row r="127" ht="15.75" customHeight="1">
      <c r="A127" s="36"/>
      <c r="B127" s="36"/>
      <c r="C127" s="36"/>
      <c r="D127" s="36"/>
      <c r="E127" s="37"/>
      <c r="F127" s="37"/>
      <c r="G127" s="37"/>
      <c r="H127" s="37"/>
      <c r="I127" s="37"/>
      <c r="J127" s="1"/>
    </row>
    <row r="128" ht="15.75" customHeight="1">
      <c r="A128" s="36"/>
      <c r="B128" s="36"/>
      <c r="C128" s="36"/>
      <c r="D128" s="36"/>
      <c r="E128" s="37"/>
      <c r="F128" s="37"/>
      <c r="G128" s="37"/>
      <c r="H128" s="37"/>
      <c r="I128" s="37"/>
      <c r="J128" s="1"/>
    </row>
    <row r="129" ht="15.75" customHeight="1">
      <c r="A129" s="36"/>
      <c r="B129" s="36"/>
      <c r="C129" s="36"/>
      <c r="D129" s="36"/>
      <c r="E129" s="37"/>
      <c r="F129" s="37"/>
      <c r="G129" s="37"/>
      <c r="H129" s="37"/>
      <c r="I129" s="37"/>
      <c r="J129" s="1"/>
    </row>
    <row r="130" ht="15.75" customHeight="1">
      <c r="A130" s="36"/>
      <c r="B130" s="36"/>
      <c r="C130" s="36"/>
      <c r="D130" s="36"/>
      <c r="E130" s="37"/>
      <c r="F130" s="37"/>
      <c r="G130" s="37"/>
      <c r="H130" s="37"/>
      <c r="I130" s="37"/>
      <c r="J130" s="1"/>
    </row>
    <row r="131" ht="15.75" customHeight="1">
      <c r="A131" s="36"/>
      <c r="B131" s="36"/>
      <c r="C131" s="36"/>
      <c r="D131" s="36"/>
      <c r="E131" s="37"/>
      <c r="F131" s="37"/>
      <c r="G131" s="37"/>
      <c r="H131" s="37"/>
      <c r="I131" s="37"/>
      <c r="J131" s="1"/>
    </row>
    <row r="132" ht="15.75" customHeight="1">
      <c r="A132" s="36"/>
      <c r="B132" s="36"/>
      <c r="C132" s="36"/>
      <c r="D132" s="36"/>
      <c r="E132" s="37"/>
      <c r="F132" s="37"/>
      <c r="G132" s="37"/>
      <c r="H132" s="37"/>
      <c r="I132" s="37"/>
      <c r="J132" s="1"/>
    </row>
    <row r="133" ht="15.75" customHeight="1">
      <c r="A133" s="36"/>
      <c r="B133" s="36"/>
      <c r="C133" s="36"/>
      <c r="D133" s="36"/>
      <c r="E133" s="37"/>
      <c r="F133" s="37"/>
      <c r="G133" s="37"/>
      <c r="H133" s="37"/>
      <c r="I133" s="37"/>
      <c r="J133" s="1"/>
    </row>
    <row r="134" ht="15.75" customHeight="1">
      <c r="A134" s="36"/>
      <c r="B134" s="36"/>
      <c r="C134" s="36"/>
      <c r="D134" s="36"/>
      <c r="E134" s="37"/>
      <c r="F134" s="37"/>
      <c r="G134" s="37"/>
      <c r="H134" s="37"/>
      <c r="I134" s="37"/>
      <c r="J134" s="1"/>
    </row>
    <row r="135" ht="15.75" customHeight="1">
      <c r="A135" s="36"/>
      <c r="B135" s="36"/>
      <c r="C135" s="36"/>
      <c r="D135" s="36"/>
      <c r="E135" s="37"/>
      <c r="F135" s="37"/>
      <c r="G135" s="37"/>
      <c r="H135" s="37"/>
      <c r="I135" s="37"/>
      <c r="J135" s="1"/>
    </row>
    <row r="136" ht="15.75" customHeight="1">
      <c r="A136" s="36"/>
      <c r="B136" s="36"/>
      <c r="C136" s="36"/>
      <c r="D136" s="36"/>
      <c r="E136" s="37"/>
      <c r="F136" s="37"/>
      <c r="G136" s="37"/>
      <c r="H136" s="37"/>
      <c r="I136" s="37"/>
      <c r="J136" s="1"/>
    </row>
    <row r="137" ht="15.75" customHeight="1">
      <c r="A137" s="36"/>
      <c r="B137" s="36"/>
      <c r="C137" s="36"/>
      <c r="D137" s="36"/>
      <c r="E137" s="37"/>
      <c r="F137" s="37"/>
      <c r="G137" s="37"/>
      <c r="H137" s="37"/>
      <c r="I137" s="37"/>
      <c r="J137" s="1"/>
    </row>
    <row r="138" ht="15.75" customHeight="1">
      <c r="A138" s="36"/>
      <c r="B138" s="36"/>
      <c r="C138" s="36"/>
      <c r="D138" s="36"/>
      <c r="E138" s="37"/>
      <c r="F138" s="37"/>
      <c r="G138" s="37"/>
      <c r="H138" s="37"/>
      <c r="I138" s="37"/>
      <c r="J138" s="1"/>
    </row>
    <row r="139" ht="15.75" customHeight="1">
      <c r="A139" s="36"/>
      <c r="B139" s="36"/>
      <c r="C139" s="36"/>
      <c r="D139" s="36"/>
      <c r="E139" s="37"/>
      <c r="F139" s="37"/>
      <c r="G139" s="37"/>
      <c r="H139" s="37"/>
      <c r="I139" s="37"/>
      <c r="J139" s="1"/>
    </row>
    <row r="140" ht="15.75" customHeight="1">
      <c r="A140" s="36"/>
      <c r="B140" s="36"/>
      <c r="C140" s="36"/>
      <c r="D140" s="36"/>
      <c r="E140" s="37"/>
      <c r="F140" s="37"/>
      <c r="G140" s="37"/>
      <c r="H140" s="37"/>
      <c r="I140" s="37"/>
      <c r="J140" s="1"/>
    </row>
    <row r="141" ht="15.75" customHeight="1">
      <c r="A141" s="36"/>
      <c r="B141" s="36"/>
      <c r="C141" s="36"/>
      <c r="D141" s="36"/>
      <c r="E141" s="37"/>
      <c r="F141" s="37"/>
      <c r="G141" s="37"/>
      <c r="H141" s="37"/>
      <c r="I141" s="37"/>
      <c r="J141" s="1"/>
    </row>
    <row r="142" ht="15.75" customHeight="1">
      <c r="A142" s="36"/>
      <c r="B142" s="36"/>
      <c r="C142" s="36"/>
      <c r="D142" s="36"/>
      <c r="E142" s="37"/>
      <c r="F142" s="37"/>
      <c r="G142" s="37"/>
      <c r="H142" s="37"/>
      <c r="I142" s="37"/>
      <c r="J142" s="1"/>
    </row>
    <row r="143" ht="15.75" customHeight="1">
      <c r="A143" s="36"/>
      <c r="B143" s="36"/>
      <c r="C143" s="36"/>
      <c r="D143" s="36"/>
      <c r="E143" s="37"/>
      <c r="F143" s="37"/>
      <c r="G143" s="37"/>
      <c r="H143" s="37"/>
      <c r="I143" s="37"/>
      <c r="J143" s="1"/>
    </row>
    <row r="144" ht="15.75" customHeight="1">
      <c r="A144" s="36"/>
      <c r="B144" s="36"/>
      <c r="C144" s="36"/>
      <c r="D144" s="36"/>
      <c r="E144" s="37"/>
      <c r="F144" s="37"/>
      <c r="G144" s="37"/>
      <c r="H144" s="37"/>
      <c r="I144" s="37"/>
      <c r="J144" s="1"/>
    </row>
    <row r="145" ht="15.75" customHeight="1">
      <c r="A145" s="36"/>
      <c r="B145" s="36"/>
      <c r="C145" s="36"/>
      <c r="D145" s="36"/>
      <c r="E145" s="37"/>
      <c r="F145" s="37"/>
      <c r="G145" s="37"/>
      <c r="H145" s="37"/>
      <c r="I145" s="37"/>
      <c r="J145" s="1"/>
    </row>
    <row r="146" ht="15.75" customHeight="1">
      <c r="A146" s="36"/>
      <c r="B146" s="36"/>
      <c r="C146" s="36"/>
      <c r="D146" s="36"/>
      <c r="E146" s="37"/>
      <c r="F146" s="37"/>
      <c r="G146" s="37"/>
      <c r="H146" s="37"/>
      <c r="I146" s="37"/>
      <c r="J146" s="1"/>
    </row>
    <row r="147" ht="15.75" customHeight="1">
      <c r="A147" s="36"/>
      <c r="B147" s="36"/>
      <c r="C147" s="36"/>
      <c r="D147" s="36"/>
      <c r="E147" s="37"/>
      <c r="F147" s="37"/>
      <c r="G147" s="37"/>
      <c r="H147" s="37"/>
      <c r="I147" s="37"/>
      <c r="J147" s="1"/>
    </row>
    <row r="148" ht="15.75" customHeight="1">
      <c r="A148" s="36"/>
      <c r="B148" s="36"/>
      <c r="C148" s="36"/>
      <c r="D148" s="36"/>
      <c r="E148" s="37"/>
      <c r="F148" s="37"/>
      <c r="G148" s="37"/>
      <c r="H148" s="37"/>
      <c r="I148" s="37"/>
      <c r="J148" s="1"/>
    </row>
    <row r="149" ht="15.75" customHeight="1">
      <c r="A149" s="36"/>
      <c r="B149" s="36"/>
      <c r="C149" s="36"/>
      <c r="D149" s="36"/>
      <c r="E149" s="37"/>
      <c r="F149" s="37"/>
      <c r="G149" s="37"/>
      <c r="H149" s="37"/>
      <c r="I149" s="37"/>
      <c r="J149" s="1"/>
    </row>
    <row r="150" ht="15.75" customHeight="1">
      <c r="A150" s="36"/>
      <c r="B150" s="36"/>
      <c r="C150" s="36"/>
      <c r="D150" s="36"/>
      <c r="E150" s="37"/>
      <c r="F150" s="37"/>
      <c r="G150" s="37"/>
      <c r="H150" s="37"/>
      <c r="I150" s="37"/>
      <c r="J150" s="1"/>
    </row>
    <row r="151" ht="15.75" customHeight="1">
      <c r="A151" s="36"/>
      <c r="B151" s="36"/>
      <c r="C151" s="36"/>
      <c r="D151" s="36"/>
      <c r="E151" s="37"/>
      <c r="F151" s="37"/>
      <c r="G151" s="37"/>
      <c r="H151" s="37"/>
      <c r="I151" s="37"/>
      <c r="J151" s="1"/>
    </row>
    <row r="152" ht="15.75" customHeight="1">
      <c r="A152" s="36"/>
      <c r="B152" s="36"/>
      <c r="C152" s="36"/>
      <c r="D152" s="36"/>
      <c r="E152" s="37"/>
      <c r="F152" s="37"/>
      <c r="G152" s="37"/>
      <c r="H152" s="37"/>
      <c r="I152" s="37"/>
      <c r="J152" s="1"/>
    </row>
    <row r="153" ht="15.75" customHeight="1">
      <c r="A153" s="36"/>
      <c r="B153" s="36"/>
      <c r="C153" s="36"/>
      <c r="D153" s="36"/>
      <c r="E153" s="37"/>
      <c r="F153" s="37"/>
      <c r="G153" s="37"/>
      <c r="H153" s="37"/>
      <c r="I153" s="37"/>
      <c r="J153" s="1"/>
    </row>
    <row r="154" ht="15.75" customHeight="1">
      <c r="A154" s="36"/>
      <c r="B154" s="36"/>
      <c r="C154" s="36"/>
      <c r="D154" s="36"/>
      <c r="E154" s="37"/>
      <c r="F154" s="37"/>
      <c r="G154" s="37"/>
      <c r="H154" s="37"/>
      <c r="I154" s="37"/>
      <c r="J154" s="1"/>
    </row>
    <row r="155" ht="15.75" customHeight="1">
      <c r="A155" s="36"/>
      <c r="B155" s="36"/>
      <c r="C155" s="36"/>
      <c r="D155" s="36"/>
      <c r="E155" s="37"/>
      <c r="F155" s="37"/>
      <c r="G155" s="37"/>
      <c r="H155" s="37"/>
      <c r="I155" s="37"/>
      <c r="J155" s="1"/>
    </row>
    <row r="156" ht="15.75" customHeight="1">
      <c r="A156" s="36"/>
      <c r="B156" s="36"/>
      <c r="C156" s="36"/>
      <c r="D156" s="36"/>
      <c r="E156" s="37"/>
      <c r="F156" s="37"/>
      <c r="G156" s="37"/>
      <c r="H156" s="37"/>
      <c r="I156" s="37"/>
      <c r="J156" s="1"/>
    </row>
    <row r="157" ht="15.75" customHeight="1">
      <c r="A157" s="36"/>
      <c r="B157" s="36"/>
      <c r="C157" s="36"/>
      <c r="D157" s="36"/>
      <c r="E157" s="37"/>
      <c r="F157" s="37"/>
      <c r="G157" s="37"/>
      <c r="H157" s="37"/>
      <c r="I157" s="37"/>
      <c r="J157" s="1"/>
    </row>
    <row r="158" ht="15.75" customHeight="1">
      <c r="A158" s="36"/>
      <c r="B158" s="36"/>
      <c r="C158" s="36"/>
      <c r="D158" s="36"/>
      <c r="E158" s="37"/>
      <c r="F158" s="37"/>
      <c r="G158" s="37"/>
      <c r="H158" s="37"/>
      <c r="I158" s="37"/>
      <c r="J158" s="1"/>
    </row>
    <row r="159" ht="15.75" customHeight="1">
      <c r="A159" s="36"/>
      <c r="B159" s="36"/>
      <c r="C159" s="36"/>
      <c r="D159" s="36"/>
      <c r="E159" s="37"/>
      <c r="F159" s="37"/>
      <c r="G159" s="37"/>
      <c r="H159" s="37"/>
      <c r="I159" s="37"/>
      <c r="J159" s="1"/>
    </row>
    <row r="160" ht="15.75" customHeight="1">
      <c r="A160" s="36"/>
      <c r="B160" s="36"/>
      <c r="C160" s="36"/>
      <c r="D160" s="36"/>
      <c r="E160" s="37"/>
      <c r="F160" s="37"/>
      <c r="G160" s="37"/>
      <c r="H160" s="37"/>
      <c r="I160" s="37"/>
      <c r="J160" s="1"/>
    </row>
    <row r="161" ht="15.75" customHeight="1">
      <c r="A161" s="36"/>
      <c r="B161" s="36"/>
      <c r="C161" s="36"/>
      <c r="D161" s="36"/>
      <c r="E161" s="37"/>
      <c r="F161" s="37"/>
      <c r="G161" s="37"/>
      <c r="H161" s="37"/>
      <c r="I161" s="37"/>
      <c r="J161" s="1"/>
    </row>
    <row r="162" ht="15.75" customHeight="1">
      <c r="A162" s="36"/>
      <c r="B162" s="36"/>
      <c r="C162" s="36"/>
      <c r="D162" s="36"/>
      <c r="E162" s="37"/>
      <c r="F162" s="37"/>
      <c r="G162" s="37"/>
      <c r="H162" s="37"/>
      <c r="I162" s="37"/>
      <c r="J162" s="1"/>
    </row>
    <row r="163" ht="15.75" customHeight="1">
      <c r="A163" s="36"/>
      <c r="B163" s="36"/>
      <c r="C163" s="36"/>
      <c r="D163" s="36"/>
      <c r="E163" s="37"/>
      <c r="F163" s="37"/>
      <c r="G163" s="37"/>
      <c r="H163" s="37"/>
      <c r="I163" s="37"/>
      <c r="J163" s="1"/>
    </row>
    <row r="164" ht="15.75" customHeight="1">
      <c r="A164" s="36"/>
      <c r="B164" s="36"/>
      <c r="C164" s="36"/>
      <c r="D164" s="36"/>
      <c r="E164" s="37"/>
      <c r="F164" s="37"/>
      <c r="G164" s="37"/>
      <c r="H164" s="37"/>
      <c r="I164" s="37"/>
      <c r="J164" s="1"/>
    </row>
    <row r="165" ht="15.75" customHeight="1">
      <c r="A165" s="36"/>
      <c r="B165" s="36"/>
      <c r="C165" s="36"/>
      <c r="D165" s="36"/>
      <c r="E165" s="37"/>
      <c r="F165" s="37"/>
      <c r="G165" s="37"/>
      <c r="H165" s="37"/>
      <c r="I165" s="37"/>
      <c r="J165" s="1"/>
    </row>
    <row r="166" ht="15.75" customHeight="1">
      <c r="A166" s="36"/>
      <c r="B166" s="36"/>
      <c r="C166" s="36"/>
      <c r="D166" s="36"/>
      <c r="E166" s="37"/>
      <c r="F166" s="37"/>
      <c r="G166" s="37"/>
      <c r="H166" s="37"/>
      <c r="I166" s="37"/>
      <c r="J166" s="1"/>
    </row>
    <row r="167" ht="15.75" customHeight="1">
      <c r="A167" s="36"/>
      <c r="B167" s="36"/>
      <c r="C167" s="36"/>
      <c r="D167" s="36"/>
      <c r="E167" s="37"/>
      <c r="F167" s="37"/>
      <c r="G167" s="37"/>
      <c r="H167" s="37"/>
      <c r="I167" s="37"/>
      <c r="J167" s="1"/>
    </row>
    <row r="168" ht="15.75" customHeight="1">
      <c r="A168" s="36"/>
      <c r="B168" s="36"/>
      <c r="C168" s="36"/>
      <c r="D168" s="36"/>
      <c r="E168" s="37"/>
      <c r="F168" s="37"/>
      <c r="G168" s="37"/>
      <c r="H168" s="37"/>
      <c r="I168" s="37"/>
      <c r="J168" s="1"/>
    </row>
    <row r="169" ht="15.75" customHeight="1">
      <c r="A169" s="36"/>
      <c r="B169" s="36"/>
      <c r="C169" s="36"/>
      <c r="D169" s="36"/>
      <c r="E169" s="37"/>
      <c r="F169" s="37"/>
      <c r="G169" s="37"/>
      <c r="H169" s="37"/>
      <c r="I169" s="37"/>
      <c r="J169" s="1"/>
    </row>
    <row r="170" ht="15.75" customHeight="1">
      <c r="A170" s="36"/>
      <c r="B170" s="36"/>
      <c r="C170" s="36"/>
      <c r="D170" s="36"/>
      <c r="E170" s="37"/>
      <c r="F170" s="37"/>
      <c r="G170" s="37"/>
      <c r="H170" s="37"/>
      <c r="I170" s="37"/>
      <c r="J170" s="1"/>
    </row>
    <row r="171" ht="15.75" customHeight="1">
      <c r="A171" s="36"/>
      <c r="B171" s="36"/>
      <c r="C171" s="36"/>
      <c r="D171" s="36"/>
      <c r="E171" s="37"/>
      <c r="F171" s="37"/>
      <c r="G171" s="37"/>
      <c r="H171" s="37"/>
      <c r="I171" s="37"/>
      <c r="J171" s="1"/>
    </row>
    <row r="172" ht="15.75" customHeight="1">
      <c r="A172" s="36"/>
      <c r="B172" s="36"/>
      <c r="C172" s="36"/>
      <c r="D172" s="36"/>
      <c r="E172" s="37"/>
      <c r="F172" s="37"/>
      <c r="G172" s="37"/>
      <c r="H172" s="37"/>
      <c r="I172" s="37"/>
      <c r="J172" s="1"/>
    </row>
    <row r="173" ht="15.75" customHeight="1">
      <c r="A173" s="36"/>
      <c r="B173" s="36"/>
      <c r="C173" s="36"/>
      <c r="D173" s="36"/>
      <c r="E173" s="37"/>
      <c r="F173" s="37"/>
      <c r="G173" s="37"/>
      <c r="H173" s="37"/>
      <c r="I173" s="37"/>
      <c r="J173" s="1"/>
    </row>
    <row r="174" ht="15.75" customHeight="1">
      <c r="A174" s="36"/>
      <c r="B174" s="36"/>
      <c r="C174" s="36"/>
      <c r="D174" s="36"/>
      <c r="E174" s="37"/>
      <c r="F174" s="37"/>
      <c r="G174" s="37"/>
      <c r="H174" s="37"/>
      <c r="I174" s="37"/>
      <c r="J174" s="1"/>
    </row>
    <row r="175" ht="15.75" customHeight="1">
      <c r="A175" s="36"/>
      <c r="B175" s="36"/>
      <c r="C175" s="36"/>
      <c r="D175" s="36"/>
      <c r="E175" s="37"/>
      <c r="F175" s="37"/>
      <c r="G175" s="37"/>
      <c r="H175" s="37"/>
      <c r="I175" s="37"/>
      <c r="J175" s="1"/>
    </row>
    <row r="176" ht="15.75" customHeight="1">
      <c r="A176" s="36"/>
      <c r="B176" s="36"/>
      <c r="C176" s="36"/>
      <c r="D176" s="36"/>
      <c r="E176" s="37"/>
      <c r="F176" s="37"/>
      <c r="G176" s="37"/>
      <c r="H176" s="37"/>
      <c r="I176" s="37"/>
      <c r="J176" s="1"/>
    </row>
    <row r="177" ht="15.75" customHeight="1">
      <c r="A177" s="36"/>
      <c r="B177" s="36"/>
      <c r="C177" s="36"/>
      <c r="D177" s="36"/>
      <c r="E177" s="37"/>
      <c r="F177" s="37"/>
      <c r="G177" s="37"/>
      <c r="H177" s="37"/>
      <c r="I177" s="37"/>
      <c r="J177" s="1"/>
    </row>
    <row r="178" ht="15.75" customHeight="1">
      <c r="A178" s="36"/>
      <c r="B178" s="36"/>
      <c r="C178" s="36"/>
      <c r="D178" s="36"/>
      <c r="E178" s="37"/>
      <c r="F178" s="37"/>
      <c r="G178" s="37"/>
      <c r="H178" s="37"/>
      <c r="I178" s="37"/>
      <c r="J178" s="1"/>
    </row>
    <row r="179" ht="15.75" customHeight="1">
      <c r="A179" s="36"/>
      <c r="B179" s="36"/>
      <c r="C179" s="36"/>
      <c r="D179" s="36"/>
      <c r="E179" s="37"/>
      <c r="F179" s="37"/>
      <c r="G179" s="37"/>
      <c r="H179" s="37"/>
      <c r="I179" s="37"/>
      <c r="J179" s="1"/>
    </row>
    <row r="180" ht="15.75" customHeight="1">
      <c r="A180" s="36"/>
      <c r="B180" s="36"/>
      <c r="C180" s="36"/>
      <c r="D180" s="36"/>
      <c r="E180" s="37"/>
      <c r="F180" s="37"/>
      <c r="G180" s="37"/>
      <c r="H180" s="37"/>
      <c r="I180" s="37"/>
      <c r="J180" s="1"/>
    </row>
    <row r="181" ht="15.75" customHeight="1">
      <c r="A181" s="36"/>
      <c r="B181" s="36"/>
      <c r="C181" s="36"/>
      <c r="D181" s="36"/>
      <c r="E181" s="37"/>
      <c r="F181" s="37"/>
      <c r="G181" s="37"/>
      <c r="H181" s="37"/>
      <c r="I181" s="37"/>
      <c r="J181" s="1"/>
    </row>
    <row r="182" ht="15.75" customHeight="1">
      <c r="A182" s="36"/>
      <c r="B182" s="36"/>
      <c r="C182" s="36"/>
      <c r="D182" s="36"/>
      <c r="E182" s="37"/>
      <c r="F182" s="37"/>
      <c r="G182" s="37"/>
      <c r="H182" s="37"/>
      <c r="I182" s="37"/>
      <c r="J182" s="1"/>
    </row>
    <row r="183" ht="15.75" customHeight="1">
      <c r="A183" s="36"/>
      <c r="B183" s="36"/>
      <c r="C183" s="36"/>
      <c r="D183" s="36"/>
      <c r="E183" s="37"/>
      <c r="F183" s="37"/>
      <c r="G183" s="37"/>
      <c r="H183" s="37"/>
      <c r="I183" s="37"/>
      <c r="J183" s="1"/>
    </row>
    <row r="184" ht="15.75" customHeight="1">
      <c r="A184" s="36"/>
      <c r="B184" s="36"/>
      <c r="C184" s="36"/>
      <c r="D184" s="36"/>
      <c r="E184" s="37"/>
      <c r="F184" s="37"/>
      <c r="G184" s="37"/>
      <c r="H184" s="37"/>
      <c r="I184" s="37"/>
      <c r="J184" s="1"/>
    </row>
    <row r="185" ht="15.75" customHeight="1">
      <c r="A185" s="36"/>
      <c r="B185" s="36"/>
      <c r="C185" s="36"/>
      <c r="D185" s="36"/>
      <c r="E185" s="37"/>
      <c r="F185" s="37"/>
      <c r="G185" s="37"/>
      <c r="H185" s="37"/>
      <c r="I185" s="37"/>
      <c r="J185" s="1"/>
    </row>
    <row r="186" ht="15.75" customHeight="1">
      <c r="A186" s="36"/>
      <c r="B186" s="36"/>
      <c r="C186" s="36"/>
      <c r="D186" s="36"/>
      <c r="E186" s="37"/>
      <c r="F186" s="37"/>
      <c r="G186" s="37"/>
      <c r="H186" s="37"/>
      <c r="I186" s="37"/>
      <c r="J186" s="1"/>
    </row>
    <row r="187" ht="15.75" customHeight="1">
      <c r="A187" s="36"/>
      <c r="B187" s="36"/>
      <c r="C187" s="36"/>
      <c r="D187" s="36"/>
      <c r="E187" s="37"/>
      <c r="F187" s="37"/>
      <c r="G187" s="37"/>
      <c r="H187" s="37"/>
      <c r="I187" s="37"/>
      <c r="J187" s="1"/>
    </row>
    <row r="188" ht="15.75" customHeight="1">
      <c r="A188" s="36"/>
      <c r="B188" s="36"/>
      <c r="C188" s="36"/>
      <c r="D188" s="36"/>
      <c r="E188" s="37"/>
      <c r="F188" s="37"/>
      <c r="G188" s="37"/>
      <c r="H188" s="37"/>
      <c r="I188" s="37"/>
      <c r="J188" s="1"/>
    </row>
    <row r="189" ht="15.75" customHeight="1">
      <c r="A189" s="36"/>
      <c r="B189" s="36"/>
      <c r="C189" s="36"/>
      <c r="D189" s="36"/>
      <c r="E189" s="37"/>
      <c r="F189" s="37"/>
      <c r="G189" s="37"/>
      <c r="H189" s="37"/>
      <c r="I189" s="37"/>
      <c r="J189" s="1"/>
    </row>
    <row r="190" ht="15.75" customHeight="1">
      <c r="A190" s="36"/>
      <c r="B190" s="36"/>
      <c r="C190" s="36"/>
      <c r="D190" s="36"/>
      <c r="E190" s="37"/>
      <c r="F190" s="37"/>
      <c r="G190" s="37"/>
      <c r="H190" s="37"/>
      <c r="I190" s="37"/>
      <c r="J190" s="1"/>
    </row>
    <row r="191" ht="15.75" customHeight="1">
      <c r="A191" s="36"/>
      <c r="B191" s="36"/>
      <c r="C191" s="36"/>
      <c r="D191" s="36"/>
      <c r="E191" s="37"/>
      <c r="F191" s="37"/>
      <c r="G191" s="37"/>
      <c r="H191" s="37"/>
      <c r="I191" s="37"/>
      <c r="J191" s="1"/>
    </row>
    <row r="192" ht="15.75" customHeight="1">
      <c r="A192" s="36"/>
      <c r="B192" s="36"/>
      <c r="C192" s="36"/>
      <c r="D192" s="36"/>
      <c r="E192" s="37"/>
      <c r="F192" s="37"/>
      <c r="G192" s="37"/>
      <c r="H192" s="37"/>
      <c r="I192" s="37"/>
      <c r="J192" s="1"/>
    </row>
    <row r="193" ht="15.75" customHeight="1">
      <c r="A193" s="36"/>
      <c r="B193" s="36"/>
      <c r="C193" s="36"/>
      <c r="D193" s="36"/>
      <c r="E193" s="37"/>
      <c r="F193" s="37"/>
      <c r="G193" s="37"/>
      <c r="H193" s="37"/>
      <c r="I193" s="37"/>
      <c r="J193" s="1"/>
    </row>
    <row r="194" ht="15.75" customHeight="1">
      <c r="A194" s="36"/>
      <c r="B194" s="36"/>
      <c r="C194" s="36"/>
      <c r="D194" s="36"/>
      <c r="E194" s="37"/>
      <c r="F194" s="37"/>
      <c r="G194" s="37"/>
      <c r="H194" s="37"/>
      <c r="I194" s="37"/>
      <c r="J194" s="1"/>
    </row>
    <row r="195" ht="15.75" customHeight="1">
      <c r="A195" s="36"/>
      <c r="B195" s="36"/>
      <c r="C195" s="36"/>
      <c r="D195" s="36"/>
      <c r="E195" s="37"/>
      <c r="F195" s="37"/>
      <c r="G195" s="37"/>
      <c r="H195" s="37"/>
      <c r="I195" s="37"/>
      <c r="J195" s="1"/>
    </row>
    <row r="196" ht="15.75" customHeight="1">
      <c r="A196" s="36"/>
      <c r="B196" s="36"/>
      <c r="C196" s="36"/>
      <c r="D196" s="36"/>
      <c r="E196" s="37"/>
      <c r="F196" s="37"/>
      <c r="G196" s="37"/>
      <c r="H196" s="37"/>
      <c r="I196" s="37"/>
      <c r="J196" s="1"/>
    </row>
    <row r="197" ht="15.75" customHeight="1">
      <c r="A197" s="36"/>
      <c r="B197" s="36"/>
      <c r="C197" s="36"/>
      <c r="D197" s="36"/>
      <c r="E197" s="37"/>
      <c r="F197" s="37"/>
      <c r="G197" s="37"/>
      <c r="H197" s="37"/>
      <c r="I197" s="37"/>
      <c r="J197" s="1"/>
    </row>
    <row r="198" ht="15.75" customHeight="1">
      <c r="A198" s="36"/>
      <c r="B198" s="36"/>
      <c r="C198" s="36"/>
      <c r="D198" s="36"/>
      <c r="E198" s="37"/>
      <c r="F198" s="37"/>
      <c r="G198" s="37"/>
      <c r="H198" s="37"/>
      <c r="I198" s="37"/>
      <c r="J198" s="1"/>
    </row>
    <row r="199" ht="15.75" customHeight="1">
      <c r="A199" s="36"/>
      <c r="B199" s="36"/>
      <c r="C199" s="36"/>
      <c r="D199" s="36"/>
      <c r="E199" s="37"/>
      <c r="F199" s="37"/>
      <c r="G199" s="37"/>
      <c r="H199" s="37"/>
      <c r="I199" s="37"/>
      <c r="J199" s="1"/>
    </row>
    <row r="200" ht="15.75" customHeight="1">
      <c r="A200" s="36"/>
      <c r="B200" s="36"/>
      <c r="C200" s="36"/>
      <c r="D200" s="36"/>
      <c r="E200" s="37"/>
      <c r="F200" s="37"/>
      <c r="G200" s="37"/>
      <c r="H200" s="37"/>
      <c r="I200" s="37"/>
      <c r="J200" s="1"/>
    </row>
    <row r="201" ht="15.75" customHeight="1">
      <c r="A201" s="36"/>
      <c r="B201" s="36"/>
      <c r="C201" s="36"/>
      <c r="D201" s="36"/>
      <c r="E201" s="37"/>
      <c r="F201" s="37"/>
      <c r="G201" s="37"/>
      <c r="H201" s="37"/>
      <c r="I201" s="37"/>
      <c r="J201" s="1"/>
    </row>
    <row r="202" ht="15.75" customHeight="1">
      <c r="A202" s="36"/>
      <c r="B202" s="36"/>
      <c r="C202" s="36"/>
      <c r="D202" s="36"/>
      <c r="E202" s="37"/>
      <c r="F202" s="37"/>
      <c r="G202" s="37"/>
      <c r="H202" s="37"/>
      <c r="I202" s="37"/>
      <c r="J202" s="1"/>
    </row>
    <row r="203" ht="15.75" customHeight="1">
      <c r="A203" s="36"/>
      <c r="B203" s="36"/>
      <c r="C203" s="36"/>
      <c r="D203" s="36"/>
      <c r="E203" s="37"/>
      <c r="F203" s="37"/>
      <c r="G203" s="37"/>
      <c r="H203" s="37"/>
      <c r="I203" s="37"/>
      <c r="J203" s="1"/>
    </row>
    <row r="204" ht="15.75" customHeight="1">
      <c r="A204" s="36"/>
      <c r="B204" s="36"/>
      <c r="C204" s="36"/>
      <c r="D204" s="36"/>
      <c r="E204" s="37"/>
      <c r="F204" s="37"/>
      <c r="G204" s="37"/>
      <c r="H204" s="37"/>
      <c r="I204" s="37"/>
      <c r="J204" s="1"/>
    </row>
    <row r="205" ht="15.75" customHeight="1">
      <c r="A205" s="36"/>
      <c r="B205" s="36"/>
      <c r="C205" s="36"/>
      <c r="D205" s="36"/>
      <c r="E205" s="37"/>
      <c r="F205" s="37"/>
      <c r="G205" s="37"/>
      <c r="H205" s="37"/>
      <c r="I205" s="37"/>
      <c r="J205" s="1"/>
    </row>
    <row r="206" ht="15.75" customHeight="1">
      <c r="A206" s="36"/>
      <c r="B206" s="36"/>
      <c r="C206" s="36"/>
      <c r="D206" s="36"/>
      <c r="E206" s="37"/>
      <c r="F206" s="37"/>
      <c r="G206" s="37"/>
      <c r="H206" s="37"/>
      <c r="I206" s="37"/>
      <c r="J206" s="1"/>
    </row>
    <row r="207" ht="15.75" customHeight="1">
      <c r="A207" s="36"/>
      <c r="B207" s="36"/>
      <c r="C207" s="36"/>
      <c r="D207" s="36"/>
      <c r="E207" s="37"/>
      <c r="F207" s="37"/>
      <c r="G207" s="37"/>
      <c r="H207" s="37"/>
      <c r="I207" s="37"/>
      <c r="J207" s="1"/>
    </row>
    <row r="208" ht="15.75" customHeight="1">
      <c r="A208" s="36"/>
      <c r="B208" s="36"/>
      <c r="C208" s="36"/>
      <c r="D208" s="36"/>
      <c r="E208" s="37"/>
      <c r="F208" s="37"/>
      <c r="G208" s="37"/>
      <c r="H208" s="37"/>
      <c r="I208" s="37"/>
      <c r="J208" s="1"/>
    </row>
    <row r="209" ht="15.75" customHeight="1">
      <c r="A209" s="36"/>
      <c r="B209" s="36"/>
      <c r="C209" s="36"/>
      <c r="D209" s="36"/>
      <c r="E209" s="37"/>
      <c r="F209" s="37"/>
      <c r="G209" s="37"/>
      <c r="H209" s="37"/>
      <c r="I209" s="37"/>
      <c r="J209" s="1"/>
    </row>
    <row r="210" ht="15.75" customHeight="1">
      <c r="A210" s="36"/>
      <c r="B210" s="36"/>
      <c r="C210" s="36"/>
      <c r="D210" s="36"/>
      <c r="E210" s="37"/>
      <c r="F210" s="37"/>
      <c r="G210" s="37"/>
      <c r="H210" s="37"/>
      <c r="I210" s="37"/>
      <c r="J210" s="1"/>
    </row>
    <row r="211" ht="15.75" customHeight="1">
      <c r="A211" s="36"/>
      <c r="B211" s="36"/>
      <c r="C211" s="36"/>
      <c r="D211" s="36"/>
      <c r="E211" s="37"/>
      <c r="F211" s="37"/>
      <c r="G211" s="37"/>
      <c r="H211" s="37"/>
      <c r="I211" s="37"/>
      <c r="J211" s="1"/>
    </row>
    <row r="212" ht="15.75" customHeight="1">
      <c r="A212" s="36"/>
      <c r="B212" s="36"/>
      <c r="C212" s="36"/>
      <c r="D212" s="36"/>
      <c r="E212" s="37"/>
      <c r="F212" s="37"/>
      <c r="G212" s="37"/>
      <c r="H212" s="37"/>
      <c r="I212" s="37"/>
      <c r="J212" s="1"/>
    </row>
    <row r="213" ht="15.75" customHeight="1">
      <c r="A213" s="36"/>
      <c r="B213" s="36"/>
      <c r="C213" s="36"/>
      <c r="D213" s="36"/>
      <c r="E213" s="37"/>
      <c r="F213" s="37"/>
      <c r="G213" s="37"/>
      <c r="H213" s="37"/>
      <c r="I213" s="37"/>
      <c r="J213" s="1"/>
    </row>
    <row r="214" ht="15.75" customHeight="1">
      <c r="A214" s="36"/>
      <c r="B214" s="36"/>
      <c r="C214" s="36"/>
      <c r="D214" s="36"/>
      <c r="E214" s="37"/>
      <c r="F214" s="37"/>
      <c r="G214" s="37"/>
      <c r="H214" s="37"/>
      <c r="I214" s="37"/>
      <c r="J214" s="1"/>
    </row>
    <row r="215" ht="15.75" customHeight="1">
      <c r="A215" s="36"/>
      <c r="B215" s="36"/>
      <c r="C215" s="36"/>
      <c r="D215" s="36"/>
      <c r="E215" s="37"/>
      <c r="F215" s="37"/>
      <c r="G215" s="37"/>
      <c r="H215" s="37"/>
      <c r="I215" s="37"/>
      <c r="J215" s="1"/>
    </row>
    <row r="216" ht="15.75" customHeight="1">
      <c r="A216" s="36"/>
      <c r="B216" s="36"/>
      <c r="C216" s="36"/>
      <c r="D216" s="36"/>
      <c r="E216" s="37"/>
      <c r="F216" s="37"/>
      <c r="G216" s="37"/>
      <c r="H216" s="37"/>
      <c r="I216" s="37"/>
      <c r="J216" s="1"/>
    </row>
    <row r="217" ht="15.75" customHeight="1">
      <c r="A217" s="36"/>
      <c r="B217" s="36"/>
      <c r="C217" s="36"/>
      <c r="D217" s="36"/>
      <c r="E217" s="37"/>
      <c r="F217" s="37"/>
      <c r="G217" s="37"/>
      <c r="H217" s="37"/>
      <c r="I217" s="37"/>
      <c r="J217" s="1"/>
    </row>
    <row r="218" ht="15.75" customHeight="1">
      <c r="A218" s="36"/>
      <c r="B218" s="36"/>
      <c r="C218" s="36"/>
      <c r="D218" s="36"/>
      <c r="E218" s="37"/>
      <c r="F218" s="37"/>
      <c r="G218" s="37"/>
      <c r="H218" s="37"/>
      <c r="I218" s="37"/>
      <c r="J218" s="1"/>
    </row>
    <row r="219" ht="15.75" customHeight="1">
      <c r="A219" s="36"/>
      <c r="B219" s="36"/>
      <c r="C219" s="36"/>
      <c r="D219" s="36"/>
      <c r="E219" s="37"/>
      <c r="F219" s="37"/>
      <c r="G219" s="37"/>
      <c r="H219" s="37"/>
      <c r="I219" s="37"/>
      <c r="J219" s="1"/>
    </row>
    <row r="220" ht="15.75" customHeight="1">
      <c r="A220" s="36"/>
      <c r="B220" s="36"/>
      <c r="C220" s="36"/>
      <c r="D220" s="36"/>
      <c r="E220" s="37"/>
      <c r="F220" s="37"/>
      <c r="G220" s="37"/>
      <c r="H220" s="37"/>
      <c r="I220" s="37"/>
      <c r="J220" s="1"/>
    </row>
    <row r="221" ht="15.75" customHeight="1">
      <c r="A221" s="36"/>
      <c r="B221" s="36"/>
      <c r="C221" s="36"/>
      <c r="D221" s="36"/>
      <c r="E221" s="37"/>
      <c r="F221" s="37"/>
      <c r="G221" s="37"/>
      <c r="H221" s="37"/>
      <c r="I221" s="37"/>
      <c r="J221" s="1"/>
    </row>
    <row r="222" ht="15.75" customHeight="1">
      <c r="A222" s="36"/>
      <c r="B222" s="36"/>
      <c r="C222" s="36"/>
      <c r="D222" s="36"/>
      <c r="E222" s="37"/>
      <c r="F222" s="37"/>
      <c r="G222" s="37"/>
      <c r="H222" s="37"/>
      <c r="I222" s="37"/>
      <c r="J222" s="1"/>
    </row>
    <row r="223" ht="15.75" customHeight="1">
      <c r="A223" s="36"/>
      <c r="B223" s="36"/>
      <c r="C223" s="36"/>
      <c r="D223" s="36"/>
      <c r="E223" s="37"/>
      <c r="F223" s="37"/>
      <c r="G223" s="37"/>
      <c r="H223" s="37"/>
      <c r="I223" s="37"/>
      <c r="J223" s="1"/>
    </row>
    <row r="224" ht="15.75" customHeight="1">
      <c r="A224" s="36"/>
      <c r="B224" s="36"/>
      <c r="C224" s="36"/>
      <c r="D224" s="36"/>
      <c r="E224" s="37"/>
      <c r="F224" s="37"/>
      <c r="G224" s="37"/>
      <c r="H224" s="37"/>
      <c r="I224" s="37"/>
      <c r="J224" s="1"/>
    </row>
    <row r="225" ht="15.75" customHeight="1">
      <c r="A225" s="36"/>
      <c r="B225" s="36"/>
      <c r="C225" s="36"/>
      <c r="D225" s="36"/>
      <c r="E225" s="37"/>
      <c r="F225" s="37"/>
      <c r="G225" s="37"/>
      <c r="H225" s="37"/>
      <c r="I225" s="37"/>
      <c r="J225" s="1"/>
    </row>
    <row r="226" ht="15.75" customHeight="1">
      <c r="A226" s="36"/>
      <c r="B226" s="36"/>
      <c r="C226" s="36"/>
      <c r="D226" s="36"/>
      <c r="E226" s="37"/>
      <c r="F226" s="37"/>
      <c r="G226" s="37"/>
      <c r="H226" s="37"/>
      <c r="I226" s="37"/>
      <c r="J226" s="1"/>
    </row>
    <row r="227" ht="15.75" customHeight="1">
      <c r="A227" s="36"/>
      <c r="B227" s="36"/>
      <c r="C227" s="36"/>
      <c r="D227" s="36"/>
      <c r="E227" s="37"/>
      <c r="F227" s="37"/>
      <c r="G227" s="37"/>
      <c r="H227" s="37"/>
      <c r="I227" s="37"/>
      <c r="J227" s="1"/>
    </row>
    <row r="228" ht="15.75" customHeight="1">
      <c r="A228" s="36"/>
      <c r="B228" s="36"/>
      <c r="C228" s="36"/>
      <c r="D228" s="36"/>
      <c r="E228" s="37"/>
      <c r="F228" s="37"/>
      <c r="G228" s="37"/>
      <c r="H228" s="37"/>
      <c r="I228" s="37"/>
      <c r="J228" s="1"/>
    </row>
    <row r="229" ht="15.75" customHeight="1">
      <c r="A229" s="36"/>
      <c r="B229" s="36"/>
      <c r="C229" s="36"/>
      <c r="D229" s="36"/>
      <c r="E229" s="37"/>
      <c r="F229" s="37"/>
      <c r="G229" s="37"/>
      <c r="H229" s="37"/>
      <c r="I229" s="37"/>
      <c r="J229" s="1"/>
    </row>
    <row r="230" ht="15.75" customHeight="1">
      <c r="A230" s="36"/>
      <c r="B230" s="36"/>
      <c r="C230" s="36"/>
      <c r="D230" s="36"/>
      <c r="E230" s="37"/>
      <c r="F230" s="37"/>
      <c r="G230" s="37"/>
      <c r="H230" s="37"/>
      <c r="I230" s="37"/>
      <c r="J230" s="1"/>
    </row>
    <row r="231" ht="15.75" customHeight="1">
      <c r="A231" s="36"/>
      <c r="B231" s="36"/>
      <c r="C231" s="36"/>
      <c r="D231" s="36"/>
      <c r="E231" s="37"/>
      <c r="F231" s="37"/>
      <c r="G231" s="37"/>
      <c r="H231" s="37"/>
      <c r="I231" s="37"/>
      <c r="J231" s="1"/>
    </row>
    <row r="232" ht="15.75" customHeight="1">
      <c r="A232" s="36"/>
      <c r="B232" s="36"/>
      <c r="C232" s="36"/>
      <c r="D232" s="36"/>
      <c r="E232" s="37"/>
      <c r="F232" s="37"/>
      <c r="G232" s="37"/>
      <c r="H232" s="37"/>
      <c r="I232" s="37"/>
      <c r="J232" s="1"/>
    </row>
    <row r="233" ht="15.75" customHeight="1">
      <c r="A233" s="36"/>
      <c r="B233" s="36"/>
      <c r="C233" s="36"/>
      <c r="D233" s="36"/>
      <c r="E233" s="37"/>
      <c r="F233" s="37"/>
      <c r="G233" s="37"/>
      <c r="H233" s="37"/>
      <c r="I233" s="37"/>
      <c r="J233" s="1"/>
    </row>
    <row r="234" ht="15.75" customHeight="1">
      <c r="A234" s="36"/>
      <c r="B234" s="36"/>
      <c r="C234" s="36"/>
      <c r="D234" s="36"/>
      <c r="E234" s="37"/>
      <c r="F234" s="37"/>
      <c r="G234" s="37"/>
      <c r="H234" s="37"/>
      <c r="I234" s="37"/>
      <c r="J234" s="1"/>
    </row>
    <row r="235" ht="15.75" customHeight="1">
      <c r="A235" s="36"/>
      <c r="B235" s="36"/>
      <c r="C235" s="36"/>
      <c r="D235" s="36"/>
      <c r="E235" s="37"/>
      <c r="F235" s="37"/>
      <c r="G235" s="37"/>
      <c r="H235" s="37"/>
      <c r="I235" s="37"/>
      <c r="J235" s="1"/>
    </row>
    <row r="236" ht="15.75" customHeight="1">
      <c r="A236" s="36"/>
      <c r="B236" s="36"/>
      <c r="C236" s="36"/>
      <c r="D236" s="36"/>
      <c r="E236" s="37"/>
      <c r="F236" s="37"/>
      <c r="G236" s="37"/>
      <c r="H236" s="37"/>
      <c r="I236" s="37"/>
      <c r="J236" s="1"/>
    </row>
    <row r="237" ht="15.75" customHeight="1">
      <c r="A237" s="36"/>
      <c r="B237" s="36"/>
      <c r="C237" s="36"/>
      <c r="D237" s="36"/>
      <c r="E237" s="37"/>
      <c r="F237" s="37"/>
      <c r="G237" s="37"/>
      <c r="H237" s="37"/>
      <c r="I237" s="37"/>
      <c r="J237" s="1"/>
    </row>
    <row r="238" ht="15.75" customHeight="1">
      <c r="A238" s="36"/>
      <c r="B238" s="36"/>
      <c r="C238" s="36"/>
      <c r="D238" s="36"/>
      <c r="E238" s="37"/>
      <c r="F238" s="37"/>
      <c r="G238" s="37"/>
      <c r="H238" s="37"/>
      <c r="I238" s="37"/>
      <c r="J238" s="1"/>
    </row>
    <row r="239" ht="15.75" customHeight="1">
      <c r="A239" s="36"/>
      <c r="B239" s="36"/>
      <c r="C239" s="36"/>
      <c r="D239" s="36"/>
      <c r="E239" s="37"/>
      <c r="F239" s="37"/>
      <c r="G239" s="37"/>
      <c r="H239" s="37"/>
      <c r="I239" s="37"/>
      <c r="J239" s="1"/>
    </row>
    <row r="240" ht="15.75" customHeight="1">
      <c r="A240" s="36"/>
      <c r="B240" s="36"/>
      <c r="C240" s="36"/>
      <c r="D240" s="36"/>
      <c r="E240" s="37"/>
      <c r="F240" s="37"/>
      <c r="G240" s="37"/>
      <c r="H240" s="37"/>
      <c r="I240" s="37"/>
      <c r="J240" s="1"/>
    </row>
    <row r="241" ht="15.75" customHeight="1">
      <c r="A241" s="36"/>
      <c r="B241" s="36"/>
      <c r="C241" s="36"/>
      <c r="D241" s="36"/>
      <c r="E241" s="37"/>
      <c r="F241" s="37"/>
      <c r="G241" s="37"/>
      <c r="H241" s="37"/>
      <c r="I241" s="37"/>
      <c r="J241" s="1"/>
    </row>
    <row r="242" ht="15.75" customHeight="1">
      <c r="A242" s="36"/>
      <c r="B242" s="36"/>
      <c r="C242" s="36"/>
      <c r="D242" s="36"/>
      <c r="E242" s="37"/>
      <c r="F242" s="37"/>
      <c r="G242" s="37"/>
      <c r="H242" s="37"/>
      <c r="I242" s="37"/>
      <c r="J242" s="1"/>
    </row>
    <row r="243" ht="15.75" customHeight="1">
      <c r="A243" s="36"/>
      <c r="B243" s="36"/>
      <c r="C243" s="36"/>
      <c r="D243" s="36"/>
      <c r="E243" s="37"/>
      <c r="F243" s="37"/>
      <c r="G243" s="37"/>
      <c r="H243" s="37"/>
      <c r="I243" s="37"/>
      <c r="J243" s="1"/>
    </row>
    <row r="244" ht="15.75" customHeight="1">
      <c r="A244" s="36"/>
      <c r="B244" s="36"/>
      <c r="C244" s="36"/>
      <c r="D244" s="36"/>
      <c r="E244" s="37"/>
      <c r="F244" s="37"/>
      <c r="G244" s="37"/>
      <c r="H244" s="37"/>
      <c r="I244" s="37"/>
      <c r="J244" s="1"/>
    </row>
    <row r="245" ht="15.75" customHeight="1">
      <c r="A245" s="36"/>
      <c r="B245" s="36"/>
      <c r="C245" s="36"/>
      <c r="D245" s="36"/>
      <c r="E245" s="37"/>
      <c r="F245" s="37"/>
      <c r="G245" s="37"/>
      <c r="H245" s="37"/>
      <c r="I245" s="37"/>
      <c r="J245" s="1"/>
    </row>
    <row r="246" ht="15.75" customHeight="1">
      <c r="A246" s="36"/>
      <c r="B246" s="36"/>
      <c r="C246" s="36"/>
      <c r="D246" s="36"/>
      <c r="E246" s="37"/>
      <c r="F246" s="37"/>
      <c r="G246" s="37"/>
      <c r="H246" s="37"/>
      <c r="I246" s="37"/>
      <c r="J246" s="1"/>
    </row>
    <row r="247" ht="15.75" customHeight="1">
      <c r="A247" s="36"/>
      <c r="B247" s="36"/>
      <c r="C247" s="36"/>
      <c r="D247" s="36"/>
      <c r="E247" s="37"/>
      <c r="F247" s="37"/>
      <c r="G247" s="37"/>
      <c r="H247" s="37"/>
      <c r="I247" s="37"/>
      <c r="J247" s="1"/>
    </row>
    <row r="248" ht="15.75" customHeight="1">
      <c r="A248" s="36"/>
      <c r="B248" s="36"/>
      <c r="C248" s="36"/>
      <c r="D248" s="36"/>
      <c r="E248" s="37"/>
      <c r="F248" s="37"/>
      <c r="G248" s="37"/>
      <c r="H248" s="37"/>
      <c r="I248" s="37"/>
      <c r="J248" s="1"/>
    </row>
    <row r="249" ht="15.75" customHeight="1">
      <c r="A249" s="36"/>
      <c r="B249" s="36"/>
      <c r="C249" s="36"/>
      <c r="D249" s="36"/>
      <c r="E249" s="37"/>
      <c r="F249" s="37"/>
      <c r="G249" s="37"/>
      <c r="H249" s="37"/>
      <c r="I249" s="37"/>
      <c r="J249" s="1"/>
    </row>
    <row r="250" ht="15.75" customHeight="1">
      <c r="A250" s="36"/>
      <c r="B250" s="36"/>
      <c r="C250" s="36"/>
      <c r="D250" s="36"/>
      <c r="E250" s="37"/>
      <c r="F250" s="37"/>
      <c r="G250" s="37"/>
      <c r="H250" s="37"/>
      <c r="I250" s="37"/>
      <c r="J250" s="1"/>
    </row>
    <row r="251" ht="15.75" customHeight="1">
      <c r="A251" s="36"/>
      <c r="B251" s="36"/>
      <c r="C251" s="36"/>
      <c r="D251" s="36"/>
      <c r="E251" s="37"/>
      <c r="F251" s="37"/>
      <c r="G251" s="37"/>
      <c r="H251" s="37"/>
      <c r="I251" s="37"/>
      <c r="J251" s="1"/>
    </row>
    <row r="252" ht="15.75" customHeight="1">
      <c r="A252" s="36"/>
      <c r="B252" s="36"/>
      <c r="C252" s="36"/>
      <c r="D252" s="36"/>
      <c r="E252" s="37"/>
      <c r="F252" s="37"/>
      <c r="G252" s="37"/>
      <c r="H252" s="37"/>
      <c r="I252" s="37"/>
      <c r="J252" s="1"/>
    </row>
    <row r="253" ht="15.75" customHeight="1">
      <c r="A253" s="36"/>
      <c r="B253" s="36"/>
      <c r="C253" s="36"/>
      <c r="D253" s="36"/>
      <c r="E253" s="37"/>
      <c r="F253" s="37"/>
      <c r="G253" s="37"/>
      <c r="H253" s="37"/>
      <c r="I253" s="37"/>
      <c r="J253" s="1"/>
    </row>
    <row r="254" ht="15.75" customHeight="1">
      <c r="A254" s="36"/>
      <c r="B254" s="36"/>
      <c r="C254" s="36"/>
      <c r="D254" s="36"/>
      <c r="E254" s="37"/>
      <c r="F254" s="37"/>
      <c r="G254" s="37"/>
      <c r="H254" s="37"/>
      <c r="I254" s="37"/>
      <c r="J254" s="1"/>
    </row>
    <row r="255" ht="15.75" customHeight="1">
      <c r="A255" s="36"/>
      <c r="B255" s="36"/>
      <c r="C255" s="36"/>
      <c r="D255" s="36"/>
      <c r="E255" s="37"/>
      <c r="F255" s="37"/>
      <c r="G255" s="37"/>
      <c r="H255" s="37"/>
      <c r="I255" s="37"/>
      <c r="J255" s="1"/>
    </row>
    <row r="256" ht="15.75" customHeight="1">
      <c r="A256" s="36"/>
      <c r="B256" s="36"/>
      <c r="C256" s="36"/>
      <c r="D256" s="36"/>
      <c r="E256" s="37"/>
      <c r="F256" s="37"/>
      <c r="G256" s="37"/>
      <c r="H256" s="37"/>
      <c r="I256" s="37"/>
      <c r="J256" s="1"/>
    </row>
    <row r="257" ht="15.75" customHeight="1">
      <c r="A257" s="36"/>
      <c r="B257" s="36"/>
      <c r="C257" s="36"/>
      <c r="D257" s="36"/>
      <c r="E257" s="37"/>
      <c r="F257" s="37"/>
      <c r="G257" s="37"/>
      <c r="H257" s="37"/>
      <c r="I257" s="37"/>
      <c r="J257" s="1"/>
    </row>
    <row r="258" ht="15.75" customHeight="1">
      <c r="A258" s="36"/>
      <c r="B258" s="36"/>
      <c r="C258" s="36"/>
      <c r="D258" s="36"/>
      <c r="E258" s="37"/>
      <c r="F258" s="37"/>
      <c r="G258" s="37"/>
      <c r="H258" s="37"/>
      <c r="I258" s="37"/>
      <c r="J258" s="1"/>
    </row>
    <row r="259" ht="15.75" customHeight="1">
      <c r="A259" s="36"/>
      <c r="B259" s="36"/>
      <c r="C259" s="36"/>
      <c r="D259" s="36"/>
      <c r="E259" s="37"/>
      <c r="F259" s="37"/>
      <c r="G259" s="37"/>
      <c r="H259" s="37"/>
      <c r="I259" s="37"/>
      <c r="J259" s="1"/>
    </row>
    <row r="260" ht="15.75" customHeight="1">
      <c r="A260" s="36"/>
      <c r="B260" s="36"/>
      <c r="C260" s="36"/>
      <c r="D260" s="36"/>
      <c r="E260" s="37"/>
      <c r="F260" s="37"/>
      <c r="G260" s="37"/>
      <c r="H260" s="37"/>
      <c r="I260" s="37"/>
      <c r="J260" s="1"/>
    </row>
    <row r="261" ht="15.75" customHeight="1">
      <c r="A261" s="36"/>
      <c r="B261" s="36"/>
      <c r="C261" s="36"/>
      <c r="D261" s="36"/>
      <c r="E261" s="37"/>
      <c r="F261" s="37"/>
      <c r="G261" s="37"/>
      <c r="H261" s="37"/>
      <c r="I261" s="37"/>
      <c r="J261" s="1"/>
    </row>
    <row r="262" ht="15.75" customHeight="1">
      <c r="A262" s="36"/>
      <c r="B262" s="36"/>
      <c r="C262" s="36"/>
      <c r="D262" s="36"/>
      <c r="E262" s="37"/>
      <c r="F262" s="37"/>
      <c r="G262" s="37"/>
      <c r="H262" s="37"/>
      <c r="I262" s="37"/>
      <c r="J262" s="1"/>
    </row>
    <row r="263" ht="15.75" customHeight="1">
      <c r="A263" s="36"/>
      <c r="B263" s="36"/>
      <c r="C263" s="36"/>
      <c r="D263" s="36"/>
      <c r="E263" s="37"/>
      <c r="F263" s="37"/>
      <c r="G263" s="37"/>
      <c r="H263" s="37"/>
      <c r="I263" s="37"/>
      <c r="J263" s="1"/>
    </row>
    <row r="264" ht="15.75" customHeight="1">
      <c r="A264" s="36"/>
      <c r="B264" s="36"/>
      <c r="C264" s="36"/>
      <c r="D264" s="36"/>
      <c r="E264" s="37"/>
      <c r="F264" s="37"/>
      <c r="G264" s="37"/>
      <c r="H264" s="37"/>
      <c r="I264" s="37"/>
      <c r="J264" s="1"/>
    </row>
    <row r="265" ht="15.75" customHeight="1">
      <c r="A265" s="36"/>
      <c r="B265" s="36"/>
      <c r="C265" s="36"/>
      <c r="D265" s="36"/>
      <c r="E265" s="37"/>
      <c r="F265" s="37"/>
      <c r="G265" s="37"/>
      <c r="H265" s="37"/>
      <c r="I265" s="37"/>
      <c r="J265" s="1"/>
    </row>
    <row r="266" ht="15.75" customHeight="1">
      <c r="A266" s="36"/>
      <c r="B266" s="36"/>
      <c r="C266" s="36"/>
      <c r="D266" s="36"/>
      <c r="E266" s="37"/>
      <c r="F266" s="37"/>
      <c r="G266" s="37"/>
      <c r="H266" s="37"/>
      <c r="I266" s="37"/>
      <c r="J266" s="1"/>
    </row>
    <row r="267" ht="15.75" customHeight="1">
      <c r="A267" s="36"/>
      <c r="B267" s="36"/>
      <c r="C267" s="36"/>
      <c r="D267" s="36"/>
      <c r="E267" s="37"/>
      <c r="F267" s="37"/>
      <c r="G267" s="37"/>
      <c r="H267" s="37"/>
      <c r="I267" s="37"/>
      <c r="J267" s="1"/>
    </row>
    <row r="268" ht="15.75" customHeight="1">
      <c r="A268" s="36"/>
      <c r="B268" s="36"/>
      <c r="C268" s="36"/>
      <c r="D268" s="36"/>
      <c r="E268" s="37"/>
      <c r="F268" s="37"/>
      <c r="G268" s="37"/>
      <c r="H268" s="37"/>
      <c r="I268" s="37"/>
      <c r="J268" s="1"/>
    </row>
    <row r="269" ht="15.75" customHeight="1">
      <c r="A269" s="36"/>
      <c r="B269" s="36"/>
      <c r="C269" s="36"/>
      <c r="D269" s="36"/>
      <c r="E269" s="37"/>
      <c r="F269" s="37"/>
      <c r="G269" s="37"/>
      <c r="H269" s="37"/>
      <c r="I269" s="37"/>
      <c r="J269" s="1"/>
    </row>
    <row r="270" ht="15.75" customHeight="1">
      <c r="A270" s="36"/>
      <c r="B270" s="36"/>
      <c r="C270" s="36"/>
      <c r="D270" s="36"/>
      <c r="E270" s="37"/>
      <c r="F270" s="37"/>
      <c r="G270" s="37"/>
      <c r="H270" s="37"/>
      <c r="I270" s="37"/>
      <c r="J270" s="1"/>
    </row>
    <row r="271" ht="15.75" customHeight="1">
      <c r="A271" s="36"/>
      <c r="B271" s="36"/>
      <c r="C271" s="36"/>
      <c r="D271" s="36"/>
      <c r="E271" s="37"/>
      <c r="F271" s="37"/>
      <c r="G271" s="37"/>
      <c r="H271" s="37"/>
      <c r="I271" s="37"/>
      <c r="J271" s="1"/>
    </row>
    <row r="272" ht="15.75" customHeight="1">
      <c r="A272" s="36"/>
      <c r="B272" s="36"/>
      <c r="C272" s="36"/>
      <c r="D272" s="36"/>
      <c r="E272" s="37"/>
      <c r="F272" s="37"/>
      <c r="G272" s="37"/>
      <c r="H272" s="37"/>
      <c r="I272" s="37"/>
      <c r="J272" s="1"/>
    </row>
    <row r="273" ht="15.75" customHeight="1">
      <c r="A273" s="36"/>
      <c r="B273" s="36"/>
      <c r="C273" s="36"/>
      <c r="D273" s="36"/>
      <c r="E273" s="37"/>
      <c r="F273" s="37"/>
      <c r="G273" s="37"/>
      <c r="H273" s="37"/>
      <c r="I273" s="37"/>
      <c r="J273" s="1"/>
    </row>
    <row r="274" ht="15.75" customHeight="1">
      <c r="A274" s="36"/>
      <c r="B274" s="36"/>
      <c r="C274" s="36"/>
      <c r="D274" s="36"/>
      <c r="E274" s="37"/>
      <c r="F274" s="37"/>
      <c r="G274" s="37"/>
      <c r="H274" s="37"/>
      <c r="I274" s="37"/>
      <c r="J274" s="1"/>
    </row>
    <row r="275" ht="15.75" customHeight="1">
      <c r="A275" s="36"/>
      <c r="B275" s="36"/>
      <c r="C275" s="36"/>
      <c r="D275" s="36"/>
      <c r="E275" s="37"/>
      <c r="F275" s="37"/>
      <c r="G275" s="37"/>
      <c r="H275" s="37"/>
      <c r="I275" s="37"/>
      <c r="J275" s="1"/>
    </row>
    <row r="276" ht="15.75" customHeight="1">
      <c r="A276" s="36"/>
      <c r="B276" s="36"/>
      <c r="C276" s="36"/>
      <c r="D276" s="36"/>
      <c r="E276" s="37"/>
      <c r="F276" s="37"/>
      <c r="G276" s="37"/>
      <c r="H276" s="37"/>
      <c r="I276" s="37"/>
      <c r="J276" s="1"/>
    </row>
    <row r="277" ht="15.75" customHeight="1">
      <c r="A277" s="36"/>
      <c r="B277" s="36"/>
      <c r="C277" s="36"/>
      <c r="D277" s="36"/>
      <c r="E277" s="37"/>
      <c r="F277" s="37"/>
      <c r="G277" s="37"/>
      <c r="H277" s="37"/>
      <c r="I277" s="37"/>
      <c r="J277" s="1"/>
    </row>
    <row r="278" ht="15.75" customHeight="1">
      <c r="A278" s="36"/>
      <c r="B278" s="36"/>
      <c r="C278" s="36"/>
      <c r="D278" s="36"/>
      <c r="E278" s="37"/>
      <c r="F278" s="37"/>
      <c r="G278" s="37"/>
      <c r="H278" s="37"/>
      <c r="I278" s="37"/>
      <c r="J278" s="1"/>
    </row>
    <row r="279" ht="15.75" customHeight="1">
      <c r="A279" s="36"/>
      <c r="B279" s="36"/>
      <c r="C279" s="36"/>
      <c r="D279" s="36"/>
      <c r="E279" s="37"/>
      <c r="F279" s="37"/>
      <c r="G279" s="37"/>
      <c r="H279" s="37"/>
      <c r="I279" s="37"/>
      <c r="J279" s="1"/>
    </row>
    <row r="280" ht="15.75" customHeight="1">
      <c r="A280" s="36"/>
      <c r="B280" s="36"/>
      <c r="C280" s="36"/>
      <c r="D280" s="36"/>
      <c r="E280" s="37"/>
      <c r="F280" s="37"/>
      <c r="G280" s="37"/>
      <c r="H280" s="37"/>
      <c r="I280" s="37"/>
      <c r="J280" s="1"/>
    </row>
    <row r="281" ht="15.75" customHeight="1">
      <c r="A281" s="36"/>
      <c r="B281" s="36"/>
      <c r="C281" s="36"/>
      <c r="D281" s="36"/>
      <c r="E281" s="37"/>
      <c r="F281" s="37"/>
      <c r="G281" s="37"/>
      <c r="H281" s="37"/>
      <c r="I281" s="37"/>
      <c r="J281" s="1"/>
    </row>
    <row r="282" ht="15.75" customHeight="1">
      <c r="A282" s="36"/>
      <c r="B282" s="36"/>
      <c r="C282" s="36"/>
      <c r="D282" s="36"/>
      <c r="E282" s="37"/>
      <c r="F282" s="37"/>
      <c r="G282" s="37"/>
      <c r="H282" s="37"/>
      <c r="I282" s="37"/>
      <c r="J282" s="1"/>
    </row>
    <row r="283" ht="15.75" customHeight="1">
      <c r="A283" s="36"/>
      <c r="B283" s="36"/>
      <c r="C283" s="36"/>
      <c r="D283" s="36"/>
      <c r="E283" s="37"/>
      <c r="F283" s="37"/>
      <c r="G283" s="37"/>
      <c r="H283" s="37"/>
      <c r="I283" s="37"/>
      <c r="J283" s="1"/>
    </row>
    <row r="284" ht="15.75" customHeight="1">
      <c r="A284" s="36"/>
      <c r="B284" s="36"/>
      <c r="C284" s="36"/>
      <c r="D284" s="36"/>
      <c r="E284" s="37"/>
      <c r="F284" s="37"/>
      <c r="G284" s="37"/>
      <c r="H284" s="37"/>
      <c r="I284" s="37"/>
      <c r="J284" s="1"/>
    </row>
    <row r="285" ht="15.75" customHeight="1">
      <c r="A285" s="36"/>
      <c r="B285" s="36"/>
      <c r="C285" s="36"/>
      <c r="D285" s="36"/>
      <c r="E285" s="37"/>
      <c r="F285" s="37"/>
      <c r="G285" s="37"/>
      <c r="H285" s="37"/>
      <c r="I285" s="37"/>
      <c r="J285" s="1"/>
    </row>
    <row r="286" ht="15.75" customHeight="1">
      <c r="A286" s="36"/>
      <c r="B286" s="36"/>
      <c r="C286" s="36"/>
      <c r="D286" s="36"/>
      <c r="E286" s="37"/>
      <c r="F286" s="37"/>
      <c r="G286" s="37"/>
      <c r="H286" s="37"/>
      <c r="I286" s="37"/>
      <c r="J286" s="1"/>
    </row>
    <row r="287" ht="15.75" customHeight="1">
      <c r="A287" s="36"/>
      <c r="B287" s="36"/>
      <c r="C287" s="36"/>
      <c r="D287" s="36"/>
      <c r="E287" s="37"/>
      <c r="F287" s="37"/>
      <c r="G287" s="37"/>
      <c r="H287" s="37"/>
      <c r="I287" s="37"/>
      <c r="J287" s="1"/>
    </row>
    <row r="288" ht="15.75" customHeight="1">
      <c r="A288" s="36"/>
      <c r="B288" s="36"/>
      <c r="C288" s="36"/>
      <c r="D288" s="36"/>
      <c r="E288" s="37"/>
      <c r="F288" s="37"/>
      <c r="G288" s="37"/>
      <c r="H288" s="37"/>
      <c r="I288" s="37"/>
      <c r="J288" s="1"/>
    </row>
    <row r="289" ht="15.75" customHeight="1">
      <c r="A289" s="36"/>
      <c r="B289" s="36"/>
      <c r="C289" s="36"/>
      <c r="D289" s="36"/>
      <c r="E289" s="37"/>
      <c r="F289" s="37"/>
      <c r="G289" s="37"/>
      <c r="H289" s="37"/>
      <c r="I289" s="37"/>
      <c r="J289" s="1"/>
    </row>
    <row r="290" ht="15.75" customHeight="1">
      <c r="A290" s="36"/>
      <c r="B290" s="36"/>
      <c r="C290" s="36"/>
      <c r="D290" s="36"/>
      <c r="E290" s="37"/>
      <c r="F290" s="37"/>
      <c r="G290" s="37"/>
      <c r="H290" s="37"/>
      <c r="I290" s="37"/>
      <c r="J290" s="1"/>
    </row>
    <row r="291" ht="15.75" customHeight="1">
      <c r="A291" s="36"/>
      <c r="B291" s="36"/>
      <c r="C291" s="36"/>
      <c r="D291" s="36"/>
      <c r="E291" s="37"/>
      <c r="F291" s="37"/>
      <c r="G291" s="37"/>
      <c r="H291" s="37"/>
      <c r="I291" s="37"/>
      <c r="J291" s="1"/>
    </row>
    <row r="292" ht="15.75" customHeight="1">
      <c r="A292" s="36"/>
      <c r="B292" s="36"/>
      <c r="C292" s="36"/>
      <c r="D292" s="36"/>
      <c r="E292" s="37"/>
      <c r="F292" s="37"/>
      <c r="G292" s="37"/>
      <c r="H292" s="37"/>
      <c r="I292" s="37"/>
      <c r="J292" s="1"/>
    </row>
    <row r="293" ht="15.75" customHeight="1">
      <c r="A293" s="36"/>
      <c r="B293" s="36"/>
      <c r="C293" s="36"/>
      <c r="D293" s="36"/>
      <c r="E293" s="37"/>
      <c r="F293" s="37"/>
      <c r="G293" s="37"/>
      <c r="H293" s="37"/>
      <c r="I293" s="37"/>
      <c r="J293" s="1"/>
    </row>
    <row r="294" ht="15.75" customHeight="1">
      <c r="A294" s="36"/>
      <c r="B294" s="36"/>
      <c r="C294" s="36"/>
      <c r="D294" s="36"/>
      <c r="E294" s="37"/>
      <c r="F294" s="37"/>
      <c r="G294" s="37"/>
      <c r="H294" s="37"/>
      <c r="I294" s="37"/>
      <c r="J294" s="1"/>
    </row>
    <row r="295" ht="15.75" customHeight="1">
      <c r="A295" s="36"/>
      <c r="B295" s="36"/>
      <c r="C295" s="36"/>
      <c r="D295" s="36"/>
      <c r="E295" s="37"/>
      <c r="F295" s="37"/>
      <c r="G295" s="37"/>
      <c r="H295" s="37"/>
      <c r="I295" s="37"/>
      <c r="J295" s="1"/>
    </row>
    <row r="296" ht="15.75" customHeight="1">
      <c r="A296" s="36"/>
      <c r="B296" s="36"/>
      <c r="C296" s="36"/>
      <c r="D296" s="36"/>
      <c r="E296" s="37"/>
      <c r="F296" s="37"/>
      <c r="G296" s="37"/>
      <c r="H296" s="37"/>
      <c r="I296" s="37"/>
      <c r="J296" s="1"/>
    </row>
    <row r="297" ht="15.75" customHeight="1">
      <c r="A297" s="36"/>
      <c r="B297" s="36"/>
      <c r="C297" s="36"/>
      <c r="D297" s="36"/>
      <c r="E297" s="37"/>
      <c r="F297" s="37"/>
      <c r="G297" s="37"/>
      <c r="H297" s="37"/>
      <c r="I297" s="37"/>
      <c r="J297" s="1"/>
    </row>
    <row r="298" ht="15.75" customHeight="1">
      <c r="A298" s="36"/>
      <c r="B298" s="36"/>
      <c r="C298" s="36"/>
      <c r="D298" s="36"/>
      <c r="E298" s="37"/>
      <c r="F298" s="37"/>
      <c r="G298" s="37"/>
      <c r="H298" s="37"/>
      <c r="I298" s="37"/>
      <c r="J298" s="1"/>
    </row>
    <row r="299" ht="15.75" customHeight="1">
      <c r="A299" s="36"/>
      <c r="B299" s="36"/>
      <c r="C299" s="36"/>
      <c r="D299" s="36"/>
      <c r="E299" s="37"/>
      <c r="F299" s="37"/>
      <c r="G299" s="37"/>
      <c r="H299" s="37"/>
      <c r="I299" s="37"/>
      <c r="J299" s="1"/>
    </row>
    <row r="300" ht="15.75" customHeight="1">
      <c r="A300" s="36"/>
      <c r="B300" s="36"/>
      <c r="C300" s="36"/>
      <c r="D300" s="36"/>
      <c r="E300" s="37"/>
      <c r="F300" s="37"/>
      <c r="G300" s="37"/>
      <c r="H300" s="37"/>
      <c r="I300" s="37"/>
      <c r="J300" s="1"/>
    </row>
    <row r="301" ht="15.75" customHeight="1">
      <c r="A301" s="36"/>
      <c r="B301" s="36"/>
      <c r="C301" s="36"/>
      <c r="D301" s="36"/>
      <c r="E301" s="37"/>
      <c r="F301" s="37"/>
      <c r="G301" s="37"/>
      <c r="H301" s="37"/>
      <c r="I301" s="37"/>
      <c r="J301" s="1"/>
    </row>
    <row r="302" ht="15.75" customHeight="1">
      <c r="A302" s="36"/>
      <c r="B302" s="36"/>
      <c r="C302" s="36"/>
      <c r="D302" s="36"/>
      <c r="E302" s="37"/>
      <c r="F302" s="37"/>
      <c r="G302" s="37"/>
      <c r="H302" s="37"/>
      <c r="I302" s="37"/>
      <c r="J302" s="1"/>
    </row>
    <row r="303" ht="15.75" customHeight="1">
      <c r="A303" s="36"/>
      <c r="B303" s="36"/>
      <c r="C303" s="36"/>
      <c r="D303" s="36"/>
      <c r="E303" s="37"/>
      <c r="F303" s="37"/>
      <c r="G303" s="37"/>
      <c r="H303" s="37"/>
      <c r="I303" s="37"/>
      <c r="J303" s="1"/>
    </row>
    <row r="304" ht="15.75" customHeight="1">
      <c r="A304" s="36"/>
      <c r="B304" s="36"/>
      <c r="C304" s="36"/>
      <c r="D304" s="36"/>
      <c r="E304" s="37"/>
      <c r="F304" s="37"/>
      <c r="G304" s="37"/>
      <c r="H304" s="37"/>
      <c r="I304" s="37"/>
      <c r="J304" s="1"/>
    </row>
    <row r="305" ht="15.75" customHeight="1">
      <c r="A305" s="36"/>
      <c r="B305" s="36"/>
      <c r="C305" s="36"/>
      <c r="D305" s="36"/>
      <c r="E305" s="37"/>
      <c r="F305" s="37"/>
      <c r="G305" s="37"/>
      <c r="H305" s="37"/>
      <c r="I305" s="37"/>
      <c r="J305" s="1"/>
    </row>
    <row r="306" ht="15.75" customHeight="1">
      <c r="A306" s="36"/>
      <c r="B306" s="36"/>
      <c r="C306" s="36"/>
      <c r="D306" s="36"/>
      <c r="E306" s="37"/>
      <c r="F306" s="37"/>
      <c r="G306" s="37"/>
      <c r="H306" s="37"/>
      <c r="I306" s="37"/>
      <c r="J306" s="1"/>
    </row>
    <row r="307" ht="15.75" customHeight="1">
      <c r="A307" s="36"/>
      <c r="B307" s="36"/>
      <c r="C307" s="36"/>
      <c r="D307" s="36"/>
      <c r="E307" s="37"/>
      <c r="F307" s="37"/>
      <c r="G307" s="37"/>
      <c r="H307" s="37"/>
      <c r="I307" s="37"/>
      <c r="J307" s="1"/>
    </row>
    <row r="308" ht="15.75" customHeight="1">
      <c r="A308" s="36"/>
      <c r="B308" s="36"/>
      <c r="C308" s="36"/>
      <c r="D308" s="36"/>
      <c r="E308" s="37"/>
      <c r="F308" s="37"/>
      <c r="G308" s="37"/>
      <c r="H308" s="37"/>
      <c r="I308" s="37"/>
      <c r="J308" s="1"/>
    </row>
    <row r="309" ht="15.75" customHeight="1">
      <c r="A309" s="36"/>
      <c r="B309" s="36"/>
      <c r="C309" s="36"/>
      <c r="D309" s="36"/>
      <c r="E309" s="37"/>
      <c r="F309" s="37"/>
      <c r="G309" s="37"/>
      <c r="H309" s="37"/>
      <c r="I309" s="37"/>
      <c r="J309" s="1"/>
    </row>
    <row r="310" ht="15.75" customHeight="1">
      <c r="A310" s="36"/>
      <c r="B310" s="36"/>
      <c r="C310" s="36"/>
      <c r="D310" s="36"/>
      <c r="E310" s="37"/>
      <c r="F310" s="37"/>
      <c r="G310" s="37"/>
      <c r="H310" s="37"/>
      <c r="I310" s="37"/>
      <c r="J310" s="1"/>
    </row>
    <row r="311" ht="15.75" customHeight="1">
      <c r="A311" s="36"/>
      <c r="B311" s="36"/>
      <c r="C311" s="36"/>
      <c r="D311" s="36"/>
      <c r="E311" s="37"/>
      <c r="F311" s="37"/>
      <c r="G311" s="37"/>
      <c r="H311" s="37"/>
      <c r="I311" s="37"/>
      <c r="J311" s="1"/>
    </row>
    <row r="312" ht="15.75" customHeight="1">
      <c r="A312" s="36"/>
      <c r="B312" s="36"/>
      <c r="C312" s="36"/>
      <c r="D312" s="36"/>
      <c r="E312" s="37"/>
      <c r="F312" s="37"/>
      <c r="G312" s="37"/>
      <c r="H312" s="37"/>
      <c r="I312" s="37"/>
      <c r="J312" s="1"/>
    </row>
    <row r="313" ht="15.75" customHeight="1">
      <c r="A313" s="36"/>
      <c r="B313" s="36"/>
      <c r="C313" s="36"/>
      <c r="D313" s="36"/>
      <c r="E313" s="37"/>
      <c r="F313" s="37"/>
      <c r="G313" s="37"/>
      <c r="H313" s="37"/>
      <c r="I313" s="37"/>
      <c r="J313" s="1"/>
    </row>
    <row r="314" ht="15.75" customHeight="1">
      <c r="A314" s="36"/>
      <c r="B314" s="36"/>
      <c r="C314" s="36"/>
      <c r="D314" s="36"/>
      <c r="E314" s="37"/>
      <c r="F314" s="37"/>
      <c r="G314" s="37"/>
      <c r="H314" s="37"/>
      <c r="I314" s="37"/>
      <c r="J314" s="1"/>
    </row>
    <row r="315" ht="15.75" customHeight="1">
      <c r="A315" s="36"/>
      <c r="B315" s="36"/>
      <c r="C315" s="36"/>
      <c r="D315" s="36"/>
      <c r="E315" s="37"/>
      <c r="F315" s="37"/>
      <c r="G315" s="37"/>
      <c r="H315" s="37"/>
      <c r="I315" s="37"/>
      <c r="J315" s="1"/>
    </row>
    <row r="316" ht="15.75" customHeight="1">
      <c r="A316" s="36"/>
      <c r="B316" s="36"/>
      <c r="C316" s="36"/>
      <c r="D316" s="36"/>
      <c r="E316" s="37"/>
      <c r="F316" s="37"/>
      <c r="G316" s="37"/>
      <c r="H316" s="37"/>
      <c r="I316" s="37"/>
      <c r="J316" s="1"/>
    </row>
    <row r="317" ht="15.75" customHeight="1">
      <c r="A317" s="36"/>
      <c r="B317" s="36"/>
      <c r="C317" s="36"/>
      <c r="D317" s="36"/>
      <c r="E317" s="37"/>
      <c r="F317" s="37"/>
      <c r="G317" s="37"/>
      <c r="H317" s="37"/>
      <c r="I317" s="37"/>
      <c r="J317" s="1"/>
    </row>
    <row r="318" ht="15.75" customHeight="1">
      <c r="A318" s="36"/>
      <c r="B318" s="36"/>
      <c r="C318" s="36"/>
      <c r="D318" s="36"/>
      <c r="E318" s="37"/>
      <c r="F318" s="37"/>
      <c r="G318" s="37"/>
      <c r="H318" s="37"/>
      <c r="I318" s="37"/>
      <c r="J318" s="1"/>
    </row>
    <row r="319" ht="15.75" customHeight="1">
      <c r="A319" s="36"/>
      <c r="B319" s="36"/>
      <c r="C319" s="36"/>
      <c r="D319" s="36"/>
      <c r="E319" s="37"/>
      <c r="F319" s="37"/>
      <c r="G319" s="37"/>
      <c r="H319" s="37"/>
      <c r="I319" s="37"/>
      <c r="J319" s="1"/>
    </row>
    <row r="320" ht="15.75" customHeight="1">
      <c r="A320" s="36"/>
      <c r="B320" s="36"/>
      <c r="C320" s="36"/>
      <c r="D320" s="36"/>
      <c r="E320" s="37"/>
      <c r="F320" s="37"/>
      <c r="G320" s="37"/>
      <c r="H320" s="37"/>
      <c r="I320" s="37"/>
      <c r="J320" s="1"/>
    </row>
    <row r="321" ht="15.75" customHeight="1">
      <c r="A321" s="36"/>
      <c r="B321" s="36"/>
      <c r="C321" s="36"/>
      <c r="D321" s="36"/>
      <c r="E321" s="37"/>
      <c r="F321" s="37"/>
      <c r="G321" s="37"/>
      <c r="H321" s="37"/>
      <c r="I321" s="37"/>
      <c r="J321" s="1"/>
    </row>
    <row r="322" ht="15.75" customHeight="1">
      <c r="A322" s="36"/>
      <c r="B322" s="36"/>
      <c r="C322" s="36"/>
      <c r="D322" s="36"/>
      <c r="E322" s="37"/>
      <c r="F322" s="37"/>
      <c r="G322" s="37"/>
      <c r="H322" s="37"/>
      <c r="I322" s="37"/>
      <c r="J322" s="1"/>
    </row>
    <row r="323" ht="15.75" customHeight="1">
      <c r="A323" s="36"/>
      <c r="B323" s="36"/>
      <c r="C323" s="36"/>
      <c r="D323" s="36"/>
      <c r="E323" s="37"/>
      <c r="F323" s="37"/>
      <c r="G323" s="37"/>
      <c r="H323" s="37"/>
      <c r="I323" s="37"/>
      <c r="J323" s="1"/>
    </row>
    <row r="324" ht="15.75" customHeight="1">
      <c r="A324" s="36"/>
      <c r="B324" s="36"/>
      <c r="C324" s="36"/>
      <c r="D324" s="36"/>
      <c r="E324" s="37"/>
      <c r="F324" s="37"/>
      <c r="G324" s="37"/>
      <c r="H324" s="37"/>
      <c r="I324" s="37"/>
      <c r="J324" s="1"/>
    </row>
    <row r="325" ht="15.75" customHeight="1">
      <c r="A325" s="36"/>
      <c r="B325" s="36"/>
      <c r="C325" s="36"/>
      <c r="D325" s="36"/>
      <c r="E325" s="37"/>
      <c r="F325" s="37"/>
      <c r="G325" s="37"/>
      <c r="H325" s="37"/>
      <c r="I325" s="37"/>
      <c r="J325" s="1"/>
    </row>
    <row r="326" ht="15.75" customHeight="1">
      <c r="A326" s="36"/>
      <c r="B326" s="36"/>
      <c r="C326" s="36"/>
      <c r="D326" s="36"/>
      <c r="E326" s="37"/>
      <c r="F326" s="37"/>
      <c r="G326" s="37"/>
      <c r="H326" s="37"/>
      <c r="I326" s="37"/>
      <c r="J326" s="1"/>
    </row>
    <row r="327" ht="15.75" customHeight="1">
      <c r="A327" s="36"/>
      <c r="B327" s="36"/>
      <c r="C327" s="36"/>
      <c r="D327" s="36"/>
      <c r="E327" s="37"/>
      <c r="F327" s="37"/>
      <c r="G327" s="37"/>
      <c r="H327" s="37"/>
      <c r="I327" s="37"/>
      <c r="J327" s="1"/>
    </row>
    <row r="328" ht="15.75" customHeight="1">
      <c r="A328" s="36"/>
      <c r="B328" s="36"/>
      <c r="C328" s="36"/>
      <c r="D328" s="36"/>
      <c r="E328" s="37"/>
      <c r="F328" s="37"/>
      <c r="G328" s="37"/>
      <c r="H328" s="37"/>
      <c r="I328" s="37"/>
      <c r="J328" s="1"/>
    </row>
    <row r="329" ht="15.75" customHeight="1">
      <c r="A329" s="36"/>
      <c r="B329" s="36"/>
      <c r="C329" s="36"/>
      <c r="D329" s="36"/>
      <c r="E329" s="37"/>
      <c r="F329" s="37"/>
      <c r="G329" s="37"/>
      <c r="H329" s="37"/>
      <c r="I329" s="37"/>
      <c r="J329" s="1"/>
    </row>
    <row r="330" ht="15.75" customHeight="1">
      <c r="A330" s="36"/>
      <c r="B330" s="36"/>
      <c r="C330" s="36"/>
      <c r="D330" s="36"/>
      <c r="E330" s="37"/>
      <c r="F330" s="37"/>
      <c r="G330" s="37"/>
      <c r="H330" s="37"/>
      <c r="I330" s="37"/>
      <c r="J330" s="1"/>
    </row>
    <row r="331" ht="15.75" customHeight="1">
      <c r="A331" s="36"/>
      <c r="B331" s="36"/>
      <c r="C331" s="36"/>
      <c r="D331" s="36"/>
      <c r="E331" s="37"/>
      <c r="F331" s="37"/>
      <c r="G331" s="37"/>
      <c r="H331" s="37"/>
      <c r="I331" s="37"/>
      <c r="J331" s="1"/>
    </row>
    <row r="332" ht="15.75" customHeight="1">
      <c r="A332" s="36"/>
      <c r="B332" s="36"/>
      <c r="C332" s="36"/>
      <c r="D332" s="36"/>
      <c r="E332" s="37"/>
      <c r="F332" s="37"/>
      <c r="G332" s="37"/>
      <c r="H332" s="37"/>
      <c r="I332" s="37"/>
      <c r="J332" s="1"/>
    </row>
    <row r="333" ht="15.75" customHeight="1">
      <c r="A333" s="36"/>
      <c r="B333" s="36"/>
      <c r="C333" s="36"/>
      <c r="D333" s="36"/>
      <c r="E333" s="37"/>
      <c r="F333" s="37"/>
      <c r="G333" s="37"/>
      <c r="H333" s="37"/>
      <c r="I333" s="37"/>
      <c r="J333" s="1"/>
    </row>
    <row r="334" ht="15.75" customHeight="1">
      <c r="A334" s="36"/>
      <c r="B334" s="36"/>
      <c r="C334" s="36"/>
      <c r="D334" s="36"/>
      <c r="E334" s="37"/>
      <c r="F334" s="37"/>
      <c r="G334" s="37"/>
      <c r="H334" s="37"/>
      <c r="I334" s="37"/>
      <c r="J334" s="1"/>
    </row>
    <row r="335" ht="15.75" customHeight="1">
      <c r="A335" s="36"/>
      <c r="B335" s="36"/>
      <c r="C335" s="36"/>
      <c r="D335" s="36"/>
      <c r="E335" s="37"/>
      <c r="F335" s="37"/>
      <c r="G335" s="37"/>
      <c r="H335" s="37"/>
      <c r="I335" s="37"/>
      <c r="J335" s="1"/>
    </row>
    <row r="336" ht="15.75" customHeight="1">
      <c r="A336" s="36"/>
      <c r="B336" s="36"/>
      <c r="C336" s="36"/>
      <c r="D336" s="36"/>
      <c r="E336" s="37"/>
      <c r="F336" s="37"/>
      <c r="G336" s="37"/>
      <c r="H336" s="37"/>
      <c r="I336" s="37"/>
      <c r="J336" s="1"/>
    </row>
    <row r="337" ht="15.75" customHeight="1">
      <c r="A337" s="36"/>
      <c r="B337" s="36"/>
      <c r="C337" s="36"/>
      <c r="D337" s="36"/>
      <c r="E337" s="37"/>
      <c r="F337" s="37"/>
      <c r="G337" s="37"/>
      <c r="H337" s="37"/>
      <c r="I337" s="37"/>
      <c r="J337" s="1"/>
    </row>
    <row r="338" ht="15.75" customHeight="1">
      <c r="A338" s="36"/>
      <c r="B338" s="36"/>
      <c r="C338" s="36"/>
      <c r="D338" s="36"/>
      <c r="E338" s="37"/>
      <c r="F338" s="37"/>
      <c r="G338" s="37"/>
      <c r="H338" s="37"/>
      <c r="I338" s="37"/>
      <c r="J338" s="1"/>
    </row>
    <row r="339" ht="15.75" customHeight="1">
      <c r="A339" s="36"/>
      <c r="B339" s="36"/>
      <c r="C339" s="36"/>
      <c r="D339" s="36"/>
      <c r="E339" s="37"/>
      <c r="F339" s="37"/>
      <c r="G339" s="37"/>
      <c r="H339" s="37"/>
      <c r="I339" s="37"/>
      <c r="J339" s="1"/>
    </row>
    <row r="340" ht="15.75" customHeight="1">
      <c r="A340" s="36"/>
      <c r="B340" s="36"/>
      <c r="C340" s="36"/>
      <c r="D340" s="36"/>
      <c r="E340" s="37"/>
      <c r="F340" s="37"/>
      <c r="G340" s="37"/>
      <c r="H340" s="37"/>
      <c r="I340" s="37"/>
      <c r="J340" s="1"/>
    </row>
    <row r="341" ht="15.75" customHeight="1">
      <c r="A341" s="36"/>
      <c r="B341" s="36"/>
      <c r="C341" s="36"/>
      <c r="D341" s="36"/>
      <c r="E341" s="37"/>
      <c r="F341" s="37"/>
      <c r="G341" s="37"/>
      <c r="H341" s="37"/>
      <c r="I341" s="37"/>
      <c r="J341" s="1"/>
    </row>
    <row r="342" ht="15.75" customHeight="1">
      <c r="A342" s="36"/>
      <c r="B342" s="36"/>
      <c r="C342" s="36"/>
      <c r="D342" s="36"/>
      <c r="E342" s="37"/>
      <c r="F342" s="37"/>
      <c r="G342" s="37"/>
      <c r="H342" s="37"/>
      <c r="I342" s="37"/>
      <c r="J342" s="1"/>
    </row>
    <row r="343" ht="15.75" customHeight="1">
      <c r="A343" s="36"/>
      <c r="B343" s="36"/>
      <c r="C343" s="36"/>
      <c r="D343" s="36"/>
      <c r="E343" s="37"/>
      <c r="F343" s="37"/>
      <c r="G343" s="37"/>
      <c r="H343" s="37"/>
      <c r="I343" s="37"/>
      <c r="J343" s="1"/>
    </row>
    <row r="344" ht="15.75" customHeight="1">
      <c r="A344" s="36"/>
      <c r="B344" s="36"/>
      <c r="C344" s="36"/>
      <c r="D344" s="36"/>
      <c r="E344" s="37"/>
      <c r="F344" s="37"/>
      <c r="G344" s="37"/>
      <c r="H344" s="37"/>
      <c r="I344" s="37"/>
      <c r="J344" s="1"/>
    </row>
    <row r="345" ht="15.75" customHeight="1">
      <c r="A345" s="36"/>
      <c r="B345" s="36"/>
      <c r="C345" s="36"/>
      <c r="D345" s="36"/>
      <c r="E345" s="37"/>
      <c r="F345" s="37"/>
      <c r="G345" s="37"/>
      <c r="H345" s="37"/>
      <c r="I345" s="37"/>
      <c r="J345" s="1"/>
    </row>
    <row r="346" ht="15.75" customHeight="1">
      <c r="A346" s="36"/>
      <c r="B346" s="36"/>
      <c r="C346" s="36"/>
      <c r="D346" s="36"/>
      <c r="E346" s="37"/>
      <c r="F346" s="37"/>
      <c r="G346" s="37"/>
      <c r="H346" s="37"/>
      <c r="I346" s="37"/>
      <c r="J346" s="1"/>
    </row>
    <row r="347" ht="15.75" customHeight="1">
      <c r="A347" s="36"/>
      <c r="B347" s="36"/>
      <c r="C347" s="36"/>
      <c r="D347" s="36"/>
      <c r="E347" s="37"/>
      <c r="F347" s="37"/>
      <c r="G347" s="37"/>
      <c r="H347" s="37"/>
      <c r="I347" s="37"/>
      <c r="J347" s="1"/>
    </row>
    <row r="348" ht="15.75" customHeight="1">
      <c r="A348" s="36"/>
      <c r="B348" s="36"/>
      <c r="C348" s="36"/>
      <c r="D348" s="36"/>
      <c r="E348" s="37"/>
      <c r="F348" s="37"/>
      <c r="G348" s="37"/>
      <c r="H348" s="37"/>
      <c r="I348" s="37"/>
      <c r="J348" s="1"/>
    </row>
    <row r="349" ht="15.75" customHeight="1">
      <c r="A349" s="36"/>
      <c r="B349" s="36"/>
      <c r="C349" s="36"/>
      <c r="D349" s="36"/>
      <c r="E349" s="37"/>
      <c r="F349" s="37"/>
      <c r="G349" s="37"/>
      <c r="H349" s="37"/>
      <c r="I349" s="37"/>
      <c r="J349" s="1"/>
    </row>
    <row r="350" ht="15.75" customHeight="1">
      <c r="A350" s="36"/>
      <c r="B350" s="36"/>
      <c r="C350" s="36"/>
      <c r="D350" s="36"/>
      <c r="E350" s="37"/>
      <c r="F350" s="37"/>
      <c r="G350" s="37"/>
      <c r="H350" s="37"/>
      <c r="I350" s="37"/>
      <c r="J350" s="1"/>
    </row>
    <row r="351" ht="15.75" customHeight="1">
      <c r="A351" s="36"/>
      <c r="B351" s="36"/>
      <c r="C351" s="36"/>
      <c r="D351" s="36"/>
      <c r="E351" s="37"/>
      <c r="F351" s="37"/>
      <c r="G351" s="37"/>
      <c r="H351" s="37"/>
      <c r="I351" s="37"/>
      <c r="J351" s="1"/>
    </row>
    <row r="352" ht="15.75" customHeight="1">
      <c r="A352" s="36"/>
      <c r="B352" s="36"/>
      <c r="C352" s="36"/>
      <c r="D352" s="36"/>
      <c r="E352" s="37"/>
      <c r="F352" s="37"/>
      <c r="G352" s="37"/>
      <c r="H352" s="37"/>
      <c r="I352" s="37"/>
      <c r="J352" s="1"/>
    </row>
    <row r="353" ht="15.75" customHeight="1">
      <c r="A353" s="36"/>
      <c r="B353" s="36"/>
      <c r="C353" s="36"/>
      <c r="D353" s="36"/>
      <c r="E353" s="37"/>
      <c r="F353" s="37"/>
      <c r="G353" s="37"/>
      <c r="H353" s="37"/>
      <c r="I353" s="37"/>
      <c r="J353" s="1"/>
    </row>
    <row r="354" ht="15.75" customHeight="1">
      <c r="A354" s="36"/>
      <c r="B354" s="36"/>
      <c r="C354" s="36"/>
      <c r="D354" s="36"/>
      <c r="E354" s="37"/>
      <c r="F354" s="37"/>
      <c r="G354" s="37"/>
      <c r="H354" s="37"/>
      <c r="I354" s="37"/>
      <c r="J354" s="1"/>
    </row>
    <row r="355" ht="15.75" customHeight="1">
      <c r="A355" s="36"/>
      <c r="B355" s="36"/>
      <c r="C355" s="36"/>
      <c r="D355" s="36"/>
      <c r="E355" s="37"/>
      <c r="F355" s="37"/>
      <c r="G355" s="37"/>
      <c r="H355" s="37"/>
      <c r="I355" s="37"/>
      <c r="J355" s="1"/>
    </row>
    <row r="356" ht="15.75" customHeight="1">
      <c r="A356" s="36"/>
      <c r="B356" s="36"/>
      <c r="C356" s="36"/>
      <c r="D356" s="36"/>
      <c r="E356" s="37"/>
      <c r="F356" s="37"/>
      <c r="G356" s="37"/>
      <c r="H356" s="37"/>
      <c r="I356" s="37"/>
      <c r="J356" s="1"/>
    </row>
    <row r="357" ht="15.75" customHeight="1">
      <c r="A357" s="36"/>
      <c r="B357" s="36"/>
      <c r="C357" s="36"/>
      <c r="D357" s="36"/>
      <c r="E357" s="37"/>
      <c r="F357" s="37"/>
      <c r="G357" s="37"/>
      <c r="H357" s="37"/>
      <c r="I357" s="37"/>
      <c r="J357" s="1"/>
    </row>
    <row r="358" ht="15.75" customHeight="1">
      <c r="A358" s="36"/>
      <c r="B358" s="36"/>
      <c r="C358" s="36"/>
      <c r="D358" s="36"/>
      <c r="E358" s="37"/>
      <c r="F358" s="37"/>
      <c r="G358" s="37"/>
      <c r="H358" s="37"/>
      <c r="I358" s="37"/>
      <c r="J358" s="1"/>
    </row>
    <row r="359" ht="15.75" customHeight="1">
      <c r="A359" s="36"/>
      <c r="B359" s="36"/>
      <c r="C359" s="36"/>
      <c r="D359" s="36"/>
      <c r="E359" s="37"/>
      <c r="F359" s="37"/>
      <c r="G359" s="37"/>
      <c r="H359" s="37"/>
      <c r="I359" s="37"/>
      <c r="J359" s="1"/>
    </row>
    <row r="360" ht="15.75" customHeight="1">
      <c r="A360" s="36"/>
      <c r="B360" s="36"/>
      <c r="C360" s="36"/>
      <c r="D360" s="36"/>
      <c r="E360" s="37"/>
      <c r="F360" s="37"/>
      <c r="G360" s="37"/>
      <c r="H360" s="37"/>
      <c r="I360" s="37"/>
      <c r="J360" s="1"/>
    </row>
    <row r="361" ht="15.75" customHeight="1">
      <c r="A361" s="36"/>
      <c r="B361" s="36"/>
      <c r="C361" s="36"/>
      <c r="D361" s="36"/>
      <c r="E361" s="37"/>
      <c r="F361" s="37"/>
      <c r="G361" s="37"/>
      <c r="H361" s="37"/>
      <c r="I361" s="37"/>
      <c r="J361" s="1"/>
    </row>
    <row r="362" ht="15.75" customHeight="1">
      <c r="A362" s="36"/>
      <c r="B362" s="36"/>
      <c r="C362" s="36"/>
      <c r="D362" s="36"/>
      <c r="E362" s="37"/>
      <c r="F362" s="37"/>
      <c r="G362" s="37"/>
      <c r="H362" s="37"/>
      <c r="I362" s="37"/>
      <c r="J362" s="1"/>
    </row>
    <row r="363" ht="15.75" customHeight="1">
      <c r="A363" s="36"/>
      <c r="B363" s="36"/>
      <c r="C363" s="36"/>
      <c r="D363" s="36"/>
      <c r="E363" s="37"/>
      <c r="F363" s="37"/>
      <c r="G363" s="37"/>
      <c r="H363" s="37"/>
      <c r="I363" s="37"/>
      <c r="J363" s="1"/>
    </row>
    <row r="364" ht="15.75" customHeight="1">
      <c r="A364" s="36"/>
      <c r="B364" s="36"/>
      <c r="C364" s="36"/>
      <c r="D364" s="36"/>
      <c r="E364" s="37"/>
      <c r="F364" s="37"/>
      <c r="G364" s="37"/>
      <c r="H364" s="37"/>
      <c r="I364" s="37"/>
      <c r="J364" s="1"/>
    </row>
    <row r="365" ht="15.75" customHeight="1">
      <c r="A365" s="36"/>
      <c r="B365" s="36"/>
      <c r="C365" s="36"/>
      <c r="D365" s="36"/>
      <c r="E365" s="37"/>
      <c r="F365" s="37"/>
      <c r="G365" s="37"/>
      <c r="H365" s="37"/>
      <c r="I365" s="37"/>
      <c r="J365" s="1"/>
    </row>
    <row r="366" ht="15.75" customHeight="1">
      <c r="A366" s="36"/>
      <c r="B366" s="36"/>
      <c r="C366" s="36"/>
      <c r="D366" s="36"/>
      <c r="E366" s="37"/>
      <c r="F366" s="37"/>
      <c r="G366" s="37"/>
      <c r="H366" s="37"/>
      <c r="I366" s="37"/>
      <c r="J366" s="1"/>
    </row>
    <row r="367" ht="15.75" customHeight="1">
      <c r="A367" s="36"/>
      <c r="B367" s="36"/>
      <c r="C367" s="36"/>
      <c r="D367" s="36"/>
      <c r="E367" s="37"/>
      <c r="F367" s="37"/>
      <c r="G367" s="37"/>
      <c r="H367" s="37"/>
      <c r="I367" s="37"/>
      <c r="J367" s="1"/>
    </row>
    <row r="368" ht="15.75" customHeight="1">
      <c r="A368" s="36"/>
      <c r="B368" s="36"/>
      <c r="C368" s="36"/>
      <c r="D368" s="36"/>
      <c r="E368" s="37"/>
      <c r="F368" s="37"/>
      <c r="G368" s="37"/>
      <c r="H368" s="37"/>
      <c r="I368" s="37"/>
      <c r="J368" s="1"/>
    </row>
    <row r="369" ht="15.75" customHeight="1">
      <c r="A369" s="36"/>
      <c r="B369" s="36"/>
      <c r="C369" s="36"/>
      <c r="D369" s="36"/>
      <c r="E369" s="37"/>
      <c r="F369" s="37"/>
      <c r="G369" s="37"/>
      <c r="H369" s="37"/>
      <c r="I369" s="37"/>
      <c r="J369" s="1"/>
    </row>
    <row r="370" ht="15.75" customHeight="1">
      <c r="A370" s="36"/>
      <c r="B370" s="36"/>
      <c r="C370" s="36"/>
      <c r="D370" s="36"/>
      <c r="E370" s="37"/>
      <c r="F370" s="37"/>
      <c r="G370" s="37"/>
      <c r="H370" s="37"/>
      <c r="I370" s="37"/>
      <c r="J370" s="1"/>
    </row>
    <row r="371" ht="15.75" customHeight="1">
      <c r="A371" s="36"/>
      <c r="B371" s="36"/>
      <c r="C371" s="36"/>
      <c r="D371" s="36"/>
      <c r="E371" s="37"/>
      <c r="F371" s="37"/>
      <c r="G371" s="37"/>
      <c r="H371" s="37"/>
      <c r="I371" s="37"/>
      <c r="J371" s="1"/>
    </row>
    <row r="372" ht="15.75" customHeight="1">
      <c r="A372" s="36"/>
      <c r="B372" s="36"/>
      <c r="C372" s="36"/>
      <c r="D372" s="36"/>
      <c r="E372" s="37"/>
      <c r="F372" s="37"/>
      <c r="G372" s="37"/>
      <c r="H372" s="37"/>
      <c r="I372" s="37"/>
      <c r="J372" s="1"/>
    </row>
    <row r="373" ht="15.75" customHeight="1">
      <c r="A373" s="36"/>
      <c r="B373" s="36"/>
      <c r="C373" s="36"/>
      <c r="D373" s="36"/>
      <c r="E373" s="37"/>
      <c r="F373" s="37"/>
      <c r="G373" s="37"/>
      <c r="H373" s="37"/>
      <c r="I373" s="37"/>
      <c r="J373" s="1"/>
    </row>
    <row r="374" ht="15.75" customHeight="1">
      <c r="A374" s="36"/>
      <c r="B374" s="36"/>
      <c r="C374" s="36"/>
      <c r="D374" s="36"/>
      <c r="E374" s="37"/>
      <c r="F374" s="37"/>
      <c r="G374" s="37"/>
      <c r="H374" s="37"/>
      <c r="I374" s="37"/>
      <c r="J374" s="1"/>
    </row>
    <row r="375" ht="15.75" customHeight="1">
      <c r="A375" s="36"/>
      <c r="B375" s="36"/>
      <c r="C375" s="36"/>
      <c r="D375" s="36"/>
      <c r="E375" s="37"/>
      <c r="F375" s="37"/>
      <c r="G375" s="37"/>
      <c r="H375" s="37"/>
      <c r="I375" s="37"/>
      <c r="J375" s="1"/>
    </row>
    <row r="376" ht="15.75" customHeight="1">
      <c r="A376" s="36"/>
      <c r="B376" s="36"/>
      <c r="C376" s="36"/>
      <c r="D376" s="36"/>
      <c r="E376" s="37"/>
      <c r="F376" s="37"/>
      <c r="G376" s="37"/>
      <c r="H376" s="37"/>
      <c r="I376" s="37"/>
      <c r="J376" s="1"/>
    </row>
    <row r="377" ht="15.75" customHeight="1">
      <c r="A377" s="36"/>
      <c r="B377" s="36"/>
      <c r="C377" s="36"/>
      <c r="D377" s="36"/>
      <c r="E377" s="37"/>
      <c r="F377" s="37"/>
      <c r="G377" s="37"/>
      <c r="H377" s="37"/>
      <c r="I377" s="37"/>
      <c r="J377" s="1"/>
    </row>
    <row r="378" ht="15.75" customHeight="1">
      <c r="A378" s="36"/>
      <c r="B378" s="36"/>
      <c r="C378" s="36"/>
      <c r="D378" s="36"/>
      <c r="E378" s="37"/>
      <c r="F378" s="37"/>
      <c r="G378" s="37"/>
      <c r="H378" s="37"/>
      <c r="I378" s="37"/>
      <c r="J378" s="1"/>
    </row>
    <row r="379" ht="15.75" customHeight="1">
      <c r="A379" s="36"/>
      <c r="B379" s="36"/>
      <c r="C379" s="36"/>
      <c r="D379" s="36"/>
      <c r="E379" s="37"/>
      <c r="F379" s="37"/>
      <c r="G379" s="37"/>
      <c r="H379" s="37"/>
      <c r="I379" s="37"/>
      <c r="J379" s="1"/>
    </row>
    <row r="380" ht="15.75" customHeight="1">
      <c r="A380" s="36"/>
      <c r="B380" s="36"/>
      <c r="C380" s="36"/>
      <c r="D380" s="36"/>
      <c r="E380" s="37"/>
      <c r="F380" s="37"/>
      <c r="G380" s="37"/>
      <c r="H380" s="37"/>
      <c r="I380" s="37"/>
      <c r="J380" s="1"/>
    </row>
    <row r="381" ht="15.75" customHeight="1">
      <c r="A381" s="36"/>
      <c r="B381" s="36"/>
      <c r="C381" s="36"/>
      <c r="D381" s="36"/>
      <c r="E381" s="37"/>
      <c r="F381" s="37"/>
      <c r="G381" s="37"/>
      <c r="H381" s="37"/>
      <c r="I381" s="37"/>
      <c r="J381" s="1"/>
    </row>
    <row r="382" ht="15.75" customHeight="1">
      <c r="A382" s="36"/>
      <c r="B382" s="36"/>
      <c r="C382" s="36"/>
      <c r="D382" s="36"/>
      <c r="E382" s="37"/>
      <c r="F382" s="37"/>
      <c r="G382" s="37"/>
      <c r="H382" s="37"/>
      <c r="I382" s="37"/>
      <c r="J382" s="1"/>
    </row>
    <row r="383" ht="15.75" customHeight="1">
      <c r="A383" s="36"/>
      <c r="B383" s="36"/>
      <c r="C383" s="36"/>
      <c r="D383" s="36"/>
      <c r="E383" s="37"/>
      <c r="F383" s="37"/>
      <c r="G383" s="37"/>
      <c r="H383" s="37"/>
      <c r="I383" s="37"/>
      <c r="J383" s="1"/>
    </row>
    <row r="384" ht="15.75" customHeight="1">
      <c r="A384" s="36"/>
      <c r="B384" s="36"/>
      <c r="C384" s="36"/>
      <c r="D384" s="36"/>
      <c r="E384" s="37"/>
      <c r="F384" s="37"/>
      <c r="G384" s="37"/>
      <c r="H384" s="37"/>
      <c r="I384" s="37"/>
      <c r="J384" s="1"/>
    </row>
    <row r="385" ht="15.75" customHeight="1">
      <c r="A385" s="36"/>
      <c r="B385" s="36"/>
      <c r="C385" s="36"/>
      <c r="D385" s="36"/>
      <c r="E385" s="37"/>
      <c r="F385" s="37"/>
      <c r="G385" s="37"/>
      <c r="H385" s="37"/>
      <c r="I385" s="37"/>
      <c r="J385" s="1"/>
    </row>
    <row r="386" ht="15.75" customHeight="1">
      <c r="A386" s="36"/>
      <c r="B386" s="36"/>
      <c r="C386" s="36"/>
      <c r="D386" s="36"/>
      <c r="E386" s="37"/>
      <c r="F386" s="37"/>
      <c r="G386" s="37"/>
      <c r="H386" s="37"/>
      <c r="I386" s="37"/>
      <c r="J386" s="1"/>
    </row>
    <row r="387" ht="15.75" customHeight="1">
      <c r="A387" s="36"/>
      <c r="B387" s="36"/>
      <c r="C387" s="36"/>
      <c r="D387" s="36"/>
      <c r="E387" s="37"/>
      <c r="F387" s="37"/>
      <c r="G387" s="37"/>
      <c r="H387" s="37"/>
      <c r="I387" s="37"/>
      <c r="J387" s="1"/>
    </row>
    <row r="388" ht="15.75" customHeight="1">
      <c r="A388" s="36"/>
      <c r="B388" s="36"/>
      <c r="C388" s="36"/>
      <c r="D388" s="36"/>
      <c r="E388" s="37"/>
      <c r="F388" s="37"/>
      <c r="G388" s="37"/>
      <c r="H388" s="37"/>
      <c r="I388" s="37"/>
      <c r="J388" s="1"/>
    </row>
    <row r="389" ht="15.75" customHeight="1">
      <c r="A389" s="36"/>
      <c r="B389" s="36"/>
      <c r="C389" s="36"/>
      <c r="D389" s="36"/>
      <c r="E389" s="37"/>
      <c r="F389" s="37"/>
      <c r="G389" s="37"/>
      <c r="H389" s="37"/>
      <c r="I389" s="37"/>
      <c r="J389" s="1"/>
    </row>
    <row r="390" ht="15.75" customHeight="1">
      <c r="A390" s="36"/>
      <c r="B390" s="36"/>
      <c r="C390" s="36"/>
      <c r="D390" s="36"/>
      <c r="E390" s="37"/>
      <c r="F390" s="37"/>
      <c r="G390" s="37"/>
      <c r="H390" s="37"/>
      <c r="I390" s="37"/>
      <c r="J390" s="1"/>
    </row>
    <row r="391" ht="15.75" customHeight="1">
      <c r="A391" s="36"/>
      <c r="B391" s="36"/>
      <c r="C391" s="36"/>
      <c r="D391" s="36"/>
      <c r="E391" s="37"/>
      <c r="F391" s="37"/>
      <c r="G391" s="37"/>
      <c r="H391" s="37"/>
      <c r="I391" s="37"/>
      <c r="J391" s="1"/>
    </row>
    <row r="392" ht="15.75" customHeight="1">
      <c r="A392" s="36"/>
      <c r="B392" s="36"/>
      <c r="C392" s="36"/>
      <c r="D392" s="36"/>
      <c r="E392" s="37"/>
      <c r="F392" s="37"/>
      <c r="G392" s="37"/>
      <c r="H392" s="37"/>
      <c r="I392" s="37"/>
      <c r="J392" s="1"/>
    </row>
    <row r="393" ht="15.75" customHeight="1">
      <c r="A393" s="36"/>
      <c r="B393" s="36"/>
      <c r="C393" s="36"/>
      <c r="D393" s="36"/>
      <c r="E393" s="37"/>
      <c r="F393" s="37"/>
      <c r="G393" s="37"/>
      <c r="H393" s="37"/>
      <c r="I393" s="37"/>
      <c r="J393" s="1"/>
    </row>
    <row r="394" ht="15.75" customHeight="1">
      <c r="A394" s="36"/>
      <c r="B394" s="36"/>
      <c r="C394" s="36"/>
      <c r="D394" s="36"/>
      <c r="E394" s="37"/>
      <c r="F394" s="37"/>
      <c r="G394" s="37"/>
      <c r="H394" s="37"/>
      <c r="I394" s="37"/>
      <c r="J394" s="1"/>
    </row>
    <row r="395" ht="15.75" customHeight="1">
      <c r="A395" s="36"/>
      <c r="B395" s="36"/>
      <c r="C395" s="36"/>
      <c r="D395" s="36"/>
      <c r="E395" s="37"/>
      <c r="F395" s="37"/>
      <c r="G395" s="37"/>
      <c r="H395" s="37"/>
      <c r="I395" s="37"/>
      <c r="J395" s="1"/>
    </row>
    <row r="396" ht="15.75" customHeight="1">
      <c r="A396" s="36"/>
      <c r="B396" s="36"/>
      <c r="C396" s="36"/>
      <c r="D396" s="36"/>
      <c r="E396" s="37"/>
      <c r="F396" s="37"/>
      <c r="G396" s="37"/>
      <c r="H396" s="37"/>
      <c r="I396" s="37"/>
      <c r="J396" s="1"/>
    </row>
    <row r="397" ht="15.75" customHeight="1">
      <c r="A397" s="36"/>
      <c r="B397" s="36"/>
      <c r="C397" s="36"/>
      <c r="D397" s="36"/>
      <c r="E397" s="37"/>
      <c r="F397" s="37"/>
      <c r="G397" s="37"/>
      <c r="H397" s="37"/>
      <c r="I397" s="37"/>
      <c r="J397" s="1"/>
    </row>
    <row r="398" ht="15.75" customHeight="1">
      <c r="A398" s="36"/>
      <c r="B398" s="36"/>
      <c r="C398" s="36"/>
      <c r="D398" s="36"/>
      <c r="E398" s="37"/>
      <c r="F398" s="37"/>
      <c r="G398" s="37"/>
      <c r="H398" s="37"/>
      <c r="I398" s="37"/>
      <c r="J398" s="1"/>
    </row>
    <row r="399" ht="15.75" customHeight="1">
      <c r="A399" s="36"/>
      <c r="B399" s="36"/>
      <c r="C399" s="36"/>
      <c r="D399" s="36"/>
      <c r="E399" s="37"/>
      <c r="F399" s="37"/>
      <c r="G399" s="37"/>
      <c r="H399" s="37"/>
      <c r="I399" s="37"/>
      <c r="J399" s="1"/>
    </row>
    <row r="400" ht="15.75" customHeight="1">
      <c r="A400" s="36"/>
      <c r="B400" s="36"/>
      <c r="C400" s="36"/>
      <c r="D400" s="36"/>
      <c r="E400" s="37"/>
      <c r="F400" s="37"/>
      <c r="G400" s="37"/>
      <c r="H400" s="37"/>
      <c r="I400" s="37"/>
      <c r="J400" s="1"/>
    </row>
    <row r="401" ht="15.75" customHeight="1">
      <c r="A401" s="36"/>
      <c r="B401" s="36"/>
      <c r="C401" s="36"/>
      <c r="D401" s="36"/>
      <c r="E401" s="37"/>
      <c r="F401" s="37"/>
      <c r="G401" s="37"/>
      <c r="H401" s="37"/>
      <c r="I401" s="37"/>
      <c r="J401" s="1"/>
    </row>
    <row r="402" ht="15.75" customHeight="1">
      <c r="A402" s="36"/>
      <c r="B402" s="36"/>
      <c r="C402" s="36"/>
      <c r="D402" s="36"/>
      <c r="E402" s="37"/>
      <c r="F402" s="37"/>
      <c r="G402" s="37"/>
      <c r="H402" s="37"/>
      <c r="I402" s="37"/>
      <c r="J402" s="1"/>
    </row>
    <row r="403" ht="15.75" customHeight="1">
      <c r="A403" s="36"/>
      <c r="B403" s="36"/>
      <c r="C403" s="36"/>
      <c r="D403" s="36"/>
      <c r="E403" s="37"/>
      <c r="F403" s="37"/>
      <c r="G403" s="37"/>
      <c r="H403" s="37"/>
      <c r="I403" s="37"/>
      <c r="J403" s="1"/>
    </row>
    <row r="404" ht="15.75" customHeight="1">
      <c r="A404" s="36"/>
      <c r="B404" s="36"/>
      <c r="C404" s="36"/>
      <c r="D404" s="36"/>
      <c r="E404" s="37"/>
      <c r="F404" s="37"/>
      <c r="G404" s="37"/>
      <c r="H404" s="37"/>
      <c r="I404" s="37"/>
      <c r="J404" s="1"/>
    </row>
    <row r="405" ht="15.75" customHeight="1">
      <c r="A405" s="36"/>
      <c r="B405" s="36"/>
      <c r="C405" s="36"/>
      <c r="D405" s="36"/>
      <c r="E405" s="37"/>
      <c r="F405" s="37"/>
      <c r="G405" s="37"/>
      <c r="H405" s="37"/>
      <c r="I405" s="37"/>
      <c r="J405" s="1"/>
    </row>
    <row r="406" ht="15.75" customHeight="1">
      <c r="A406" s="36"/>
      <c r="B406" s="36"/>
      <c r="C406" s="36"/>
      <c r="D406" s="36"/>
      <c r="E406" s="37"/>
      <c r="F406" s="37"/>
      <c r="G406" s="37"/>
      <c r="H406" s="37"/>
      <c r="I406" s="37"/>
      <c r="J406" s="1"/>
    </row>
    <row r="407" ht="15.75" customHeight="1">
      <c r="A407" s="36"/>
      <c r="B407" s="36"/>
      <c r="C407" s="36"/>
      <c r="D407" s="36"/>
      <c r="E407" s="37"/>
      <c r="F407" s="37"/>
      <c r="G407" s="37"/>
      <c r="H407" s="37"/>
      <c r="I407" s="37"/>
      <c r="J407" s="1"/>
    </row>
    <row r="408" ht="15.75" customHeight="1">
      <c r="A408" s="36"/>
      <c r="B408" s="36"/>
      <c r="C408" s="36"/>
      <c r="D408" s="36"/>
      <c r="E408" s="37"/>
      <c r="F408" s="37"/>
      <c r="G408" s="37"/>
      <c r="H408" s="37"/>
      <c r="I408" s="37"/>
      <c r="J408" s="1"/>
    </row>
    <row r="409" ht="15.75" customHeight="1">
      <c r="A409" s="36"/>
      <c r="B409" s="36"/>
      <c r="C409" s="36"/>
      <c r="D409" s="36"/>
      <c r="E409" s="37"/>
      <c r="F409" s="37"/>
      <c r="G409" s="37"/>
      <c r="H409" s="37"/>
      <c r="I409" s="37"/>
      <c r="J409" s="1"/>
    </row>
    <row r="410" ht="15.75" customHeight="1">
      <c r="A410" s="36"/>
      <c r="B410" s="36"/>
      <c r="C410" s="36"/>
      <c r="D410" s="36"/>
      <c r="E410" s="37"/>
      <c r="F410" s="37"/>
      <c r="G410" s="37"/>
      <c r="H410" s="37"/>
      <c r="I410" s="37"/>
      <c r="J410" s="1"/>
    </row>
    <row r="411" ht="15.75" customHeight="1">
      <c r="A411" s="36"/>
      <c r="B411" s="36"/>
      <c r="C411" s="36"/>
      <c r="D411" s="36"/>
      <c r="E411" s="37"/>
      <c r="F411" s="37"/>
      <c r="G411" s="37"/>
      <c r="H411" s="37"/>
      <c r="I411" s="37"/>
      <c r="J411" s="1"/>
    </row>
    <row r="412" ht="15.75" customHeight="1">
      <c r="A412" s="36"/>
      <c r="B412" s="36"/>
      <c r="C412" s="36"/>
      <c r="D412" s="36"/>
      <c r="E412" s="37"/>
      <c r="F412" s="37"/>
      <c r="G412" s="37"/>
      <c r="H412" s="37"/>
      <c r="I412" s="37"/>
      <c r="J412" s="1"/>
    </row>
    <row r="413" ht="15.75" customHeight="1">
      <c r="A413" s="36"/>
      <c r="B413" s="36"/>
      <c r="C413" s="36"/>
      <c r="D413" s="36"/>
      <c r="E413" s="37"/>
      <c r="F413" s="37"/>
      <c r="G413" s="37"/>
      <c r="H413" s="37"/>
      <c r="I413" s="37"/>
      <c r="J413" s="1"/>
    </row>
    <row r="414" ht="15.75" customHeight="1">
      <c r="A414" s="36"/>
      <c r="B414" s="36"/>
      <c r="C414" s="36"/>
      <c r="D414" s="36"/>
      <c r="E414" s="37"/>
      <c r="F414" s="37"/>
      <c r="G414" s="37"/>
      <c r="H414" s="37"/>
      <c r="I414" s="37"/>
      <c r="J414" s="1"/>
    </row>
    <row r="415" ht="15.75" customHeight="1">
      <c r="A415" s="36"/>
      <c r="B415" s="36"/>
      <c r="C415" s="36"/>
      <c r="D415" s="36"/>
      <c r="E415" s="37"/>
      <c r="F415" s="37"/>
      <c r="G415" s="37"/>
      <c r="H415" s="37"/>
      <c r="I415" s="37"/>
      <c r="J415" s="1"/>
    </row>
    <row r="416" ht="15.75" customHeight="1">
      <c r="A416" s="36"/>
      <c r="B416" s="36"/>
      <c r="C416" s="36"/>
      <c r="D416" s="36"/>
      <c r="E416" s="37"/>
      <c r="F416" s="37"/>
      <c r="G416" s="37"/>
      <c r="H416" s="37"/>
      <c r="I416" s="37"/>
      <c r="J416" s="1"/>
    </row>
    <row r="417" ht="15.75" customHeight="1">
      <c r="A417" s="36"/>
      <c r="B417" s="36"/>
      <c r="C417" s="36"/>
      <c r="D417" s="36"/>
      <c r="E417" s="37"/>
      <c r="F417" s="37"/>
      <c r="G417" s="37"/>
      <c r="H417" s="37"/>
      <c r="I417" s="37"/>
      <c r="J417" s="1"/>
    </row>
    <row r="418" ht="15.75" customHeight="1">
      <c r="A418" s="36"/>
      <c r="B418" s="36"/>
      <c r="C418" s="36"/>
      <c r="D418" s="36"/>
      <c r="E418" s="37"/>
      <c r="F418" s="37"/>
      <c r="G418" s="37"/>
      <c r="H418" s="37"/>
      <c r="I418" s="37"/>
      <c r="J418" s="1"/>
    </row>
    <row r="419" ht="15.75" customHeight="1">
      <c r="A419" s="36"/>
      <c r="B419" s="36"/>
      <c r="C419" s="36"/>
      <c r="D419" s="36"/>
      <c r="E419" s="37"/>
      <c r="F419" s="37"/>
      <c r="G419" s="37"/>
      <c r="H419" s="37"/>
      <c r="I419" s="37"/>
      <c r="J419" s="1"/>
    </row>
    <row r="420" ht="15.75" customHeight="1">
      <c r="A420" s="36"/>
      <c r="B420" s="36"/>
      <c r="C420" s="36"/>
      <c r="D420" s="36"/>
      <c r="E420" s="37"/>
      <c r="F420" s="37"/>
      <c r="G420" s="37"/>
      <c r="H420" s="37"/>
      <c r="I420" s="37"/>
      <c r="J420" s="1"/>
    </row>
    <row r="421" ht="15.75" customHeight="1">
      <c r="A421" s="36"/>
      <c r="B421" s="36"/>
      <c r="C421" s="36"/>
      <c r="D421" s="36"/>
      <c r="E421" s="37"/>
      <c r="F421" s="37"/>
      <c r="G421" s="37"/>
      <c r="H421" s="37"/>
      <c r="I421" s="37"/>
      <c r="J421" s="1"/>
    </row>
    <row r="422" ht="15.75" customHeight="1">
      <c r="A422" s="36"/>
      <c r="B422" s="36"/>
      <c r="C422" s="36"/>
      <c r="D422" s="36"/>
      <c r="E422" s="37"/>
      <c r="F422" s="37"/>
      <c r="G422" s="37"/>
      <c r="H422" s="37"/>
      <c r="I422" s="37"/>
      <c r="J422" s="1"/>
    </row>
    <row r="423" ht="15.75" customHeight="1">
      <c r="A423" s="36"/>
      <c r="B423" s="36"/>
      <c r="C423" s="36"/>
      <c r="D423" s="36"/>
      <c r="E423" s="37"/>
      <c r="F423" s="37"/>
      <c r="G423" s="37"/>
      <c r="H423" s="37"/>
      <c r="I423" s="37"/>
      <c r="J423" s="1"/>
    </row>
    <row r="424" ht="15.75" customHeight="1">
      <c r="A424" s="36"/>
      <c r="B424" s="36"/>
      <c r="C424" s="36"/>
      <c r="D424" s="36"/>
      <c r="E424" s="37"/>
      <c r="F424" s="37"/>
      <c r="G424" s="37"/>
      <c r="H424" s="37"/>
      <c r="I424" s="37"/>
      <c r="J424" s="1"/>
    </row>
    <row r="425" ht="15.75" customHeight="1">
      <c r="A425" s="36"/>
      <c r="B425" s="36"/>
      <c r="C425" s="36"/>
      <c r="D425" s="36"/>
      <c r="E425" s="37"/>
      <c r="F425" s="37"/>
      <c r="G425" s="37"/>
      <c r="H425" s="37"/>
      <c r="I425" s="37"/>
      <c r="J425" s="1"/>
    </row>
    <row r="426" ht="15.75" customHeight="1">
      <c r="A426" s="36"/>
      <c r="B426" s="36"/>
      <c r="C426" s="36"/>
      <c r="D426" s="36"/>
      <c r="E426" s="37"/>
      <c r="F426" s="37"/>
      <c r="G426" s="37"/>
      <c r="H426" s="37"/>
      <c r="I426" s="37"/>
      <c r="J426" s="1"/>
    </row>
    <row r="427" ht="15.75" customHeight="1">
      <c r="A427" s="36"/>
      <c r="B427" s="36"/>
      <c r="C427" s="36"/>
      <c r="D427" s="36"/>
      <c r="E427" s="37"/>
      <c r="F427" s="37"/>
      <c r="G427" s="37"/>
      <c r="H427" s="37"/>
      <c r="I427" s="37"/>
      <c r="J427" s="1"/>
    </row>
    <row r="428" ht="15.75" customHeight="1">
      <c r="A428" s="36"/>
      <c r="B428" s="36"/>
      <c r="C428" s="36"/>
      <c r="D428" s="36"/>
      <c r="E428" s="37"/>
      <c r="F428" s="37"/>
      <c r="G428" s="37"/>
      <c r="H428" s="37"/>
      <c r="I428" s="37"/>
      <c r="J428" s="1"/>
    </row>
    <row r="429" ht="15.75" customHeight="1">
      <c r="A429" s="36"/>
      <c r="B429" s="36"/>
      <c r="C429" s="36"/>
      <c r="D429" s="36"/>
      <c r="E429" s="37"/>
      <c r="F429" s="37"/>
      <c r="G429" s="37"/>
      <c r="H429" s="37"/>
      <c r="I429" s="37"/>
      <c r="J429" s="1"/>
    </row>
    <row r="430" ht="15.75" customHeight="1">
      <c r="A430" s="36"/>
      <c r="B430" s="36"/>
      <c r="C430" s="36"/>
      <c r="D430" s="36"/>
      <c r="E430" s="37"/>
      <c r="F430" s="37"/>
      <c r="G430" s="37"/>
      <c r="H430" s="37"/>
      <c r="I430" s="37"/>
      <c r="J430" s="1"/>
    </row>
    <row r="431" ht="15.75" customHeight="1">
      <c r="A431" s="36"/>
      <c r="B431" s="36"/>
      <c r="C431" s="36"/>
      <c r="D431" s="36"/>
      <c r="E431" s="37"/>
      <c r="F431" s="37"/>
      <c r="G431" s="37"/>
      <c r="H431" s="37"/>
      <c r="I431" s="37"/>
      <c r="J431" s="1"/>
    </row>
    <row r="432" ht="15.75" customHeight="1">
      <c r="A432" s="36"/>
      <c r="B432" s="36"/>
      <c r="C432" s="36"/>
      <c r="D432" s="36"/>
      <c r="E432" s="37"/>
      <c r="F432" s="37"/>
      <c r="G432" s="37"/>
      <c r="H432" s="37"/>
      <c r="I432" s="37"/>
      <c r="J432" s="1"/>
    </row>
    <row r="433" ht="15.75" customHeight="1">
      <c r="A433" s="36"/>
      <c r="B433" s="36"/>
      <c r="C433" s="36"/>
      <c r="D433" s="36"/>
      <c r="E433" s="37"/>
      <c r="F433" s="37"/>
      <c r="G433" s="37"/>
      <c r="H433" s="37"/>
      <c r="I433" s="37"/>
      <c r="J433" s="1"/>
    </row>
    <row r="434" ht="15.75" customHeight="1">
      <c r="A434" s="36"/>
      <c r="B434" s="36"/>
      <c r="C434" s="36"/>
      <c r="D434" s="36"/>
      <c r="E434" s="37"/>
      <c r="F434" s="37"/>
      <c r="G434" s="37"/>
      <c r="H434" s="37"/>
      <c r="I434" s="37"/>
      <c r="J434" s="1"/>
    </row>
    <row r="435" ht="15.75" customHeight="1">
      <c r="A435" s="36"/>
      <c r="B435" s="36"/>
      <c r="C435" s="36"/>
      <c r="D435" s="36"/>
      <c r="E435" s="37"/>
      <c r="F435" s="37"/>
      <c r="G435" s="37"/>
      <c r="H435" s="37"/>
      <c r="I435" s="37"/>
      <c r="J435" s="1"/>
    </row>
    <row r="436" ht="15.75" customHeight="1">
      <c r="A436" s="36"/>
      <c r="B436" s="36"/>
      <c r="C436" s="36"/>
      <c r="D436" s="36"/>
      <c r="E436" s="37"/>
      <c r="F436" s="37"/>
      <c r="G436" s="37"/>
      <c r="H436" s="37"/>
      <c r="I436" s="37"/>
      <c r="J436" s="1"/>
    </row>
    <row r="437" ht="15.75" customHeight="1">
      <c r="A437" s="36"/>
      <c r="B437" s="36"/>
      <c r="C437" s="36"/>
      <c r="D437" s="36"/>
      <c r="E437" s="37"/>
      <c r="F437" s="37"/>
      <c r="G437" s="37"/>
      <c r="H437" s="37"/>
      <c r="I437" s="37"/>
      <c r="J437" s="1"/>
    </row>
    <row r="438" ht="15.75" customHeight="1">
      <c r="A438" s="36"/>
      <c r="B438" s="36"/>
      <c r="C438" s="36"/>
      <c r="D438" s="36"/>
      <c r="E438" s="37"/>
      <c r="F438" s="37"/>
      <c r="G438" s="37"/>
      <c r="H438" s="37"/>
      <c r="I438" s="37"/>
      <c r="J438" s="1"/>
    </row>
    <row r="439" ht="15.75" customHeight="1">
      <c r="A439" s="36"/>
      <c r="B439" s="36"/>
      <c r="C439" s="36"/>
      <c r="D439" s="36"/>
      <c r="E439" s="37"/>
      <c r="F439" s="37"/>
      <c r="G439" s="37"/>
      <c r="H439" s="37"/>
      <c r="I439" s="37"/>
      <c r="J439" s="1"/>
    </row>
    <row r="440" ht="15.75" customHeight="1">
      <c r="A440" s="36"/>
      <c r="B440" s="36"/>
      <c r="C440" s="36"/>
      <c r="D440" s="36"/>
      <c r="E440" s="37"/>
      <c r="F440" s="37"/>
      <c r="G440" s="37"/>
      <c r="H440" s="37"/>
      <c r="I440" s="37"/>
      <c r="J440" s="1"/>
    </row>
    <row r="441" ht="15.75" customHeight="1">
      <c r="A441" s="36"/>
      <c r="B441" s="36"/>
      <c r="C441" s="36"/>
      <c r="D441" s="36"/>
      <c r="E441" s="37"/>
      <c r="F441" s="37"/>
      <c r="G441" s="37"/>
      <c r="H441" s="37"/>
      <c r="I441" s="37"/>
      <c r="J441" s="1"/>
    </row>
    <row r="442" ht="15.75" customHeight="1">
      <c r="A442" s="36"/>
      <c r="B442" s="36"/>
      <c r="C442" s="36"/>
      <c r="D442" s="36"/>
      <c r="E442" s="37"/>
      <c r="F442" s="37"/>
      <c r="G442" s="37"/>
      <c r="H442" s="37"/>
      <c r="I442" s="37"/>
      <c r="J442" s="1"/>
    </row>
    <row r="443" ht="15.75" customHeight="1">
      <c r="A443" s="36"/>
      <c r="B443" s="36"/>
      <c r="C443" s="36"/>
      <c r="D443" s="36"/>
      <c r="E443" s="37"/>
      <c r="F443" s="37"/>
      <c r="G443" s="37"/>
      <c r="H443" s="37"/>
      <c r="I443" s="37"/>
      <c r="J443" s="1"/>
    </row>
    <row r="444" ht="15.75" customHeight="1">
      <c r="A444" s="36"/>
      <c r="B444" s="36"/>
      <c r="C444" s="36"/>
      <c r="D444" s="36"/>
      <c r="E444" s="37"/>
      <c r="F444" s="37"/>
      <c r="G444" s="37"/>
      <c r="H444" s="37"/>
      <c r="I444" s="37"/>
      <c r="J444" s="1"/>
    </row>
    <row r="445" ht="15.75" customHeight="1">
      <c r="A445" s="36"/>
      <c r="B445" s="36"/>
      <c r="C445" s="36"/>
      <c r="D445" s="36"/>
      <c r="E445" s="37"/>
      <c r="F445" s="37"/>
      <c r="G445" s="37"/>
      <c r="H445" s="37"/>
      <c r="I445" s="37"/>
      <c r="J445" s="1"/>
    </row>
    <row r="446" ht="15.75" customHeight="1">
      <c r="A446" s="36"/>
      <c r="B446" s="36"/>
      <c r="C446" s="36"/>
      <c r="D446" s="36"/>
      <c r="E446" s="37"/>
      <c r="F446" s="37"/>
      <c r="G446" s="37"/>
      <c r="H446" s="37"/>
      <c r="I446" s="37"/>
      <c r="J446" s="1"/>
    </row>
    <row r="447" ht="15.75" customHeight="1">
      <c r="A447" s="36"/>
      <c r="B447" s="36"/>
      <c r="C447" s="36"/>
      <c r="D447" s="36"/>
      <c r="E447" s="37"/>
      <c r="F447" s="37"/>
      <c r="G447" s="37"/>
      <c r="H447" s="37"/>
      <c r="I447" s="37"/>
      <c r="J447" s="1"/>
    </row>
    <row r="448" ht="15.75" customHeight="1">
      <c r="A448" s="36"/>
      <c r="B448" s="36"/>
      <c r="C448" s="36"/>
      <c r="D448" s="36"/>
      <c r="E448" s="37"/>
      <c r="F448" s="37"/>
      <c r="G448" s="37"/>
      <c r="H448" s="37"/>
      <c r="I448" s="37"/>
      <c r="J448" s="1"/>
    </row>
    <row r="449" ht="15.75" customHeight="1">
      <c r="A449" s="36"/>
      <c r="B449" s="36"/>
      <c r="C449" s="36"/>
      <c r="D449" s="36"/>
      <c r="E449" s="37"/>
      <c r="F449" s="37"/>
      <c r="G449" s="37"/>
      <c r="H449" s="37"/>
      <c r="I449" s="37"/>
      <c r="J449" s="1"/>
    </row>
    <row r="450" ht="15.75" customHeight="1">
      <c r="A450" s="36"/>
      <c r="B450" s="36"/>
      <c r="C450" s="36"/>
      <c r="D450" s="36"/>
      <c r="E450" s="37"/>
      <c r="F450" s="37"/>
      <c r="G450" s="37"/>
      <c r="H450" s="37"/>
      <c r="I450" s="37"/>
      <c r="J450" s="1"/>
    </row>
    <row r="451" ht="15.75" customHeight="1">
      <c r="A451" s="36"/>
      <c r="B451" s="36"/>
      <c r="C451" s="36"/>
      <c r="D451" s="36"/>
      <c r="E451" s="37"/>
      <c r="F451" s="37"/>
      <c r="G451" s="37"/>
      <c r="H451" s="37"/>
      <c r="I451" s="37"/>
      <c r="J451" s="1"/>
    </row>
    <row r="452" ht="15.75" customHeight="1">
      <c r="A452" s="36"/>
      <c r="B452" s="36"/>
      <c r="C452" s="36"/>
      <c r="D452" s="36"/>
      <c r="E452" s="37"/>
      <c r="F452" s="37"/>
      <c r="G452" s="37"/>
      <c r="H452" s="37"/>
      <c r="I452" s="37"/>
      <c r="J452" s="1"/>
    </row>
    <row r="453" ht="15.75" customHeight="1">
      <c r="A453" s="36"/>
      <c r="B453" s="36"/>
      <c r="C453" s="36"/>
      <c r="D453" s="36"/>
      <c r="E453" s="37"/>
      <c r="F453" s="37"/>
      <c r="G453" s="37"/>
      <c r="H453" s="37"/>
      <c r="I453" s="37"/>
      <c r="J453" s="1"/>
    </row>
    <row r="454" ht="15.75" customHeight="1">
      <c r="A454" s="36"/>
      <c r="B454" s="36"/>
      <c r="C454" s="36"/>
      <c r="D454" s="36"/>
      <c r="E454" s="37"/>
      <c r="F454" s="37"/>
      <c r="G454" s="37"/>
      <c r="H454" s="37"/>
      <c r="I454" s="37"/>
      <c r="J454" s="1"/>
    </row>
    <row r="455" ht="15.75" customHeight="1">
      <c r="A455" s="36"/>
      <c r="B455" s="36"/>
      <c r="C455" s="36"/>
      <c r="D455" s="36"/>
      <c r="E455" s="37"/>
      <c r="F455" s="37"/>
      <c r="G455" s="37"/>
      <c r="H455" s="37"/>
      <c r="I455" s="37"/>
      <c r="J455" s="1"/>
    </row>
    <row r="456" ht="15.75" customHeight="1">
      <c r="A456" s="36"/>
      <c r="B456" s="36"/>
      <c r="C456" s="36"/>
      <c r="D456" s="36"/>
      <c r="E456" s="37"/>
      <c r="F456" s="37"/>
      <c r="G456" s="37"/>
      <c r="H456" s="37"/>
      <c r="I456" s="37"/>
      <c r="J456" s="1"/>
    </row>
    <row r="457" ht="15.75" customHeight="1">
      <c r="A457" s="36"/>
      <c r="B457" s="36"/>
      <c r="C457" s="36"/>
      <c r="D457" s="36"/>
      <c r="E457" s="37"/>
      <c r="F457" s="37"/>
      <c r="G457" s="37"/>
      <c r="H457" s="37"/>
      <c r="I457" s="37"/>
      <c r="J457" s="1"/>
    </row>
    <row r="458" ht="15.75" customHeight="1">
      <c r="A458" s="36"/>
      <c r="B458" s="36"/>
      <c r="C458" s="36"/>
      <c r="D458" s="36"/>
      <c r="E458" s="37"/>
      <c r="F458" s="37"/>
      <c r="G458" s="37"/>
      <c r="H458" s="37"/>
      <c r="I458" s="37"/>
      <c r="J458" s="1"/>
    </row>
    <row r="459" ht="15.75" customHeight="1">
      <c r="A459" s="36"/>
      <c r="B459" s="36"/>
      <c r="C459" s="36"/>
      <c r="D459" s="36"/>
      <c r="E459" s="37"/>
      <c r="F459" s="37"/>
      <c r="G459" s="37"/>
      <c r="H459" s="37"/>
      <c r="I459" s="37"/>
      <c r="J459" s="1"/>
    </row>
    <row r="460" ht="15.75" customHeight="1">
      <c r="A460" s="36"/>
      <c r="B460" s="36"/>
      <c r="C460" s="36"/>
      <c r="D460" s="36"/>
      <c r="E460" s="37"/>
      <c r="F460" s="37"/>
      <c r="G460" s="37"/>
      <c r="H460" s="37"/>
      <c r="I460" s="37"/>
      <c r="J460" s="1"/>
    </row>
    <row r="461" ht="15.75" customHeight="1">
      <c r="A461" s="36"/>
      <c r="B461" s="36"/>
      <c r="C461" s="36"/>
      <c r="D461" s="36"/>
      <c r="E461" s="37"/>
      <c r="F461" s="37"/>
      <c r="G461" s="37"/>
      <c r="H461" s="37"/>
      <c r="I461" s="37"/>
      <c r="J461" s="1"/>
    </row>
    <row r="462" ht="15.75" customHeight="1">
      <c r="A462" s="36"/>
      <c r="B462" s="36"/>
      <c r="C462" s="36"/>
      <c r="D462" s="36"/>
      <c r="E462" s="37"/>
      <c r="F462" s="37"/>
      <c r="G462" s="37"/>
      <c r="H462" s="37"/>
      <c r="I462" s="37"/>
      <c r="J462" s="1"/>
    </row>
    <row r="463" ht="15.75" customHeight="1">
      <c r="A463" s="36"/>
      <c r="B463" s="36"/>
      <c r="C463" s="36"/>
      <c r="D463" s="36"/>
      <c r="E463" s="37"/>
      <c r="F463" s="37"/>
      <c r="G463" s="37"/>
      <c r="H463" s="37"/>
      <c r="I463" s="37"/>
      <c r="J463" s="1"/>
    </row>
    <row r="464" ht="15.75" customHeight="1">
      <c r="A464" s="36"/>
      <c r="B464" s="36"/>
      <c r="C464" s="36"/>
      <c r="D464" s="36"/>
      <c r="E464" s="37"/>
      <c r="F464" s="37"/>
      <c r="G464" s="37"/>
      <c r="H464" s="37"/>
      <c r="I464" s="37"/>
      <c r="J464" s="1"/>
    </row>
    <row r="465" ht="15.75" customHeight="1">
      <c r="A465" s="36"/>
      <c r="B465" s="36"/>
      <c r="C465" s="36"/>
      <c r="D465" s="36"/>
      <c r="E465" s="37"/>
      <c r="F465" s="37"/>
      <c r="G465" s="37"/>
      <c r="H465" s="37"/>
      <c r="I465" s="37"/>
      <c r="J465" s="1"/>
    </row>
    <row r="466" ht="15.75" customHeight="1">
      <c r="A466" s="36"/>
      <c r="B466" s="36"/>
      <c r="C466" s="36"/>
      <c r="D466" s="36"/>
      <c r="E466" s="37"/>
      <c r="F466" s="37"/>
      <c r="G466" s="37"/>
      <c r="H466" s="37"/>
      <c r="I466" s="37"/>
      <c r="J466" s="1"/>
    </row>
    <row r="467" ht="15.75" customHeight="1">
      <c r="A467" s="36"/>
      <c r="B467" s="36"/>
      <c r="C467" s="36"/>
      <c r="D467" s="36"/>
      <c r="E467" s="37"/>
      <c r="F467" s="37"/>
      <c r="G467" s="37"/>
      <c r="H467" s="37"/>
      <c r="I467" s="37"/>
      <c r="J467" s="1"/>
    </row>
    <row r="468" ht="15.75" customHeight="1">
      <c r="A468" s="36"/>
      <c r="B468" s="36"/>
      <c r="C468" s="36"/>
      <c r="D468" s="36"/>
      <c r="E468" s="37"/>
      <c r="F468" s="37"/>
      <c r="G468" s="37"/>
      <c r="H468" s="37"/>
      <c r="I468" s="37"/>
      <c r="J468" s="1"/>
    </row>
    <row r="469" ht="15.75" customHeight="1">
      <c r="A469" s="36"/>
      <c r="B469" s="36"/>
      <c r="C469" s="36"/>
      <c r="D469" s="36"/>
      <c r="E469" s="37"/>
      <c r="F469" s="37"/>
      <c r="G469" s="37"/>
      <c r="H469" s="37"/>
      <c r="I469" s="37"/>
      <c r="J469" s="1"/>
    </row>
    <row r="470" ht="15.75" customHeight="1">
      <c r="A470" s="36"/>
      <c r="B470" s="36"/>
      <c r="C470" s="36"/>
      <c r="D470" s="36"/>
      <c r="E470" s="37"/>
      <c r="F470" s="37"/>
      <c r="G470" s="37"/>
      <c r="H470" s="37"/>
      <c r="I470" s="37"/>
      <c r="J470" s="1"/>
    </row>
    <row r="471" ht="15.75" customHeight="1">
      <c r="A471" s="36"/>
      <c r="B471" s="36"/>
      <c r="C471" s="36"/>
      <c r="D471" s="36"/>
      <c r="E471" s="37"/>
      <c r="F471" s="37"/>
      <c r="G471" s="37"/>
      <c r="H471" s="37"/>
      <c r="I471" s="37"/>
      <c r="J471" s="1"/>
    </row>
    <row r="472" ht="15.75" customHeight="1">
      <c r="A472" s="36"/>
      <c r="B472" s="36"/>
      <c r="C472" s="36"/>
      <c r="D472" s="36"/>
      <c r="E472" s="37"/>
      <c r="F472" s="37"/>
      <c r="G472" s="37"/>
      <c r="H472" s="37"/>
      <c r="I472" s="37"/>
      <c r="J472" s="1"/>
    </row>
    <row r="473" ht="15.75" customHeight="1">
      <c r="A473" s="36"/>
      <c r="B473" s="36"/>
      <c r="C473" s="36"/>
      <c r="D473" s="36"/>
      <c r="E473" s="37"/>
      <c r="F473" s="37"/>
      <c r="G473" s="37"/>
      <c r="H473" s="37"/>
      <c r="I473" s="37"/>
      <c r="J473" s="1"/>
    </row>
    <row r="474" ht="15.75" customHeight="1">
      <c r="A474" s="36"/>
      <c r="B474" s="36"/>
      <c r="C474" s="36"/>
      <c r="D474" s="36"/>
      <c r="E474" s="37"/>
      <c r="F474" s="37"/>
      <c r="G474" s="37"/>
      <c r="H474" s="37"/>
      <c r="I474" s="37"/>
      <c r="J474" s="1"/>
    </row>
    <row r="475" ht="15.75" customHeight="1">
      <c r="A475" s="36"/>
      <c r="B475" s="36"/>
      <c r="C475" s="36"/>
      <c r="D475" s="36"/>
      <c r="E475" s="37"/>
      <c r="F475" s="37"/>
      <c r="G475" s="37"/>
      <c r="H475" s="37"/>
      <c r="I475" s="37"/>
      <c r="J475" s="1"/>
    </row>
    <row r="476" ht="15.75" customHeight="1">
      <c r="A476" s="36"/>
      <c r="B476" s="36"/>
      <c r="C476" s="36"/>
      <c r="D476" s="36"/>
      <c r="E476" s="37"/>
      <c r="F476" s="37"/>
      <c r="G476" s="37"/>
      <c r="H476" s="37"/>
      <c r="I476" s="37"/>
      <c r="J476" s="1"/>
    </row>
    <row r="477" ht="15.75" customHeight="1">
      <c r="A477" s="36"/>
      <c r="B477" s="36"/>
      <c r="C477" s="36"/>
      <c r="D477" s="36"/>
      <c r="E477" s="37"/>
      <c r="F477" s="37"/>
      <c r="G477" s="37"/>
      <c r="H477" s="37"/>
      <c r="I477" s="37"/>
      <c r="J477" s="1"/>
    </row>
    <row r="478" ht="15.75" customHeight="1">
      <c r="A478" s="36"/>
      <c r="B478" s="36"/>
      <c r="C478" s="36"/>
      <c r="D478" s="36"/>
      <c r="E478" s="37"/>
      <c r="F478" s="37"/>
      <c r="G478" s="37"/>
      <c r="H478" s="37"/>
      <c r="I478" s="37"/>
      <c r="J478" s="1"/>
    </row>
    <row r="479" ht="15.75" customHeight="1">
      <c r="A479" s="36"/>
      <c r="B479" s="36"/>
      <c r="C479" s="36"/>
      <c r="D479" s="36"/>
      <c r="E479" s="37"/>
      <c r="F479" s="37"/>
      <c r="G479" s="37"/>
      <c r="H479" s="37"/>
      <c r="I479" s="37"/>
      <c r="J479" s="1"/>
    </row>
    <row r="480" ht="15.75" customHeight="1">
      <c r="A480" s="36"/>
      <c r="B480" s="36"/>
      <c r="C480" s="36"/>
      <c r="D480" s="36"/>
      <c r="E480" s="37"/>
      <c r="F480" s="37"/>
      <c r="G480" s="37"/>
      <c r="H480" s="37"/>
      <c r="I480" s="37"/>
      <c r="J480" s="1"/>
    </row>
    <row r="481" ht="15.75" customHeight="1">
      <c r="A481" s="36"/>
      <c r="B481" s="36"/>
      <c r="C481" s="36"/>
      <c r="D481" s="36"/>
      <c r="E481" s="37"/>
      <c r="F481" s="37"/>
      <c r="G481" s="37"/>
      <c r="H481" s="37"/>
      <c r="I481" s="37"/>
      <c r="J481" s="1"/>
    </row>
    <row r="482" ht="15.75" customHeight="1">
      <c r="A482" s="36"/>
      <c r="B482" s="36"/>
      <c r="C482" s="36"/>
      <c r="D482" s="36"/>
      <c r="E482" s="37"/>
      <c r="F482" s="37"/>
      <c r="G482" s="37"/>
      <c r="H482" s="37"/>
      <c r="I482" s="37"/>
      <c r="J482" s="1"/>
    </row>
    <row r="483" ht="15.75" customHeight="1">
      <c r="A483" s="36"/>
      <c r="B483" s="36"/>
      <c r="C483" s="36"/>
      <c r="D483" s="36"/>
      <c r="E483" s="37"/>
      <c r="F483" s="37"/>
      <c r="G483" s="37"/>
      <c r="H483" s="37"/>
      <c r="I483" s="37"/>
      <c r="J483" s="1"/>
    </row>
    <row r="484" ht="15.75" customHeight="1">
      <c r="A484" s="36"/>
      <c r="B484" s="36"/>
      <c r="C484" s="36"/>
      <c r="D484" s="36"/>
      <c r="E484" s="37"/>
      <c r="F484" s="37"/>
      <c r="G484" s="37"/>
      <c r="H484" s="37"/>
      <c r="I484" s="37"/>
      <c r="J484" s="1"/>
    </row>
    <row r="485" ht="15.75" customHeight="1">
      <c r="A485" s="36"/>
      <c r="B485" s="36"/>
      <c r="C485" s="36"/>
      <c r="D485" s="36"/>
      <c r="E485" s="37"/>
      <c r="F485" s="37"/>
      <c r="G485" s="37"/>
      <c r="H485" s="37"/>
      <c r="I485" s="37"/>
      <c r="J485" s="1"/>
    </row>
    <row r="486" ht="15.75" customHeight="1">
      <c r="A486" s="36"/>
      <c r="B486" s="36"/>
      <c r="C486" s="36"/>
      <c r="D486" s="36"/>
      <c r="E486" s="37"/>
      <c r="F486" s="37"/>
      <c r="G486" s="37"/>
      <c r="H486" s="37"/>
      <c r="I486" s="37"/>
      <c r="J486" s="1"/>
    </row>
    <row r="487" ht="15.75" customHeight="1">
      <c r="A487" s="36"/>
      <c r="B487" s="36"/>
      <c r="C487" s="36"/>
      <c r="D487" s="36"/>
      <c r="E487" s="37"/>
      <c r="F487" s="37"/>
      <c r="G487" s="37"/>
      <c r="H487" s="37"/>
      <c r="I487" s="37"/>
      <c r="J487" s="1"/>
    </row>
    <row r="488" ht="15.75" customHeight="1">
      <c r="A488" s="36"/>
      <c r="B488" s="36"/>
      <c r="C488" s="36"/>
      <c r="D488" s="36"/>
      <c r="E488" s="37"/>
      <c r="F488" s="37"/>
      <c r="G488" s="37"/>
      <c r="H488" s="37"/>
      <c r="I488" s="37"/>
      <c r="J488" s="1"/>
    </row>
    <row r="489" ht="15.75" customHeight="1">
      <c r="A489" s="36"/>
      <c r="B489" s="36"/>
      <c r="C489" s="36"/>
      <c r="D489" s="36"/>
      <c r="E489" s="37"/>
      <c r="F489" s="37"/>
      <c r="G489" s="37"/>
      <c r="H489" s="37"/>
      <c r="I489" s="37"/>
      <c r="J489" s="1"/>
    </row>
    <row r="490" ht="15.75" customHeight="1">
      <c r="A490" s="36"/>
      <c r="B490" s="36"/>
      <c r="C490" s="36"/>
      <c r="D490" s="36"/>
      <c r="E490" s="37"/>
      <c r="F490" s="37"/>
      <c r="G490" s="37"/>
      <c r="H490" s="37"/>
      <c r="I490" s="37"/>
      <c r="J490" s="1"/>
    </row>
    <row r="491" ht="15.75" customHeight="1">
      <c r="A491" s="36"/>
      <c r="B491" s="36"/>
      <c r="C491" s="36"/>
      <c r="D491" s="36"/>
      <c r="E491" s="37"/>
      <c r="F491" s="37"/>
      <c r="G491" s="37"/>
      <c r="H491" s="37"/>
      <c r="I491" s="37"/>
      <c r="J491" s="1"/>
    </row>
    <row r="492" ht="15.75" customHeight="1">
      <c r="A492" s="36"/>
      <c r="B492" s="36"/>
      <c r="C492" s="36"/>
      <c r="D492" s="36"/>
      <c r="E492" s="37"/>
      <c r="F492" s="37"/>
      <c r="G492" s="37"/>
      <c r="H492" s="37"/>
      <c r="I492" s="37"/>
      <c r="J492" s="1"/>
    </row>
    <row r="493" ht="15.75" customHeight="1">
      <c r="A493" s="36"/>
      <c r="B493" s="36"/>
      <c r="C493" s="36"/>
      <c r="D493" s="36"/>
      <c r="E493" s="37"/>
      <c r="F493" s="37"/>
      <c r="G493" s="37"/>
      <c r="H493" s="37"/>
      <c r="I493" s="37"/>
      <c r="J493" s="1"/>
    </row>
    <row r="494" ht="15.75" customHeight="1">
      <c r="A494" s="36"/>
      <c r="B494" s="36"/>
      <c r="C494" s="36"/>
      <c r="D494" s="36"/>
      <c r="E494" s="37"/>
      <c r="F494" s="37"/>
      <c r="G494" s="37"/>
      <c r="H494" s="37"/>
      <c r="I494" s="37"/>
      <c r="J494" s="1"/>
    </row>
    <row r="495" ht="15.75" customHeight="1">
      <c r="A495" s="36"/>
      <c r="B495" s="36"/>
      <c r="C495" s="36"/>
      <c r="D495" s="36"/>
      <c r="E495" s="37"/>
      <c r="F495" s="37"/>
      <c r="G495" s="37"/>
      <c r="H495" s="37"/>
      <c r="I495" s="37"/>
      <c r="J495" s="1"/>
    </row>
    <row r="496" ht="15.75" customHeight="1">
      <c r="A496" s="36"/>
      <c r="B496" s="36"/>
      <c r="C496" s="36"/>
      <c r="D496" s="36"/>
      <c r="E496" s="37"/>
      <c r="F496" s="37"/>
      <c r="G496" s="37"/>
      <c r="H496" s="37"/>
      <c r="I496" s="37"/>
      <c r="J496" s="1"/>
    </row>
    <row r="497" ht="15.75" customHeight="1">
      <c r="A497" s="36"/>
      <c r="B497" s="36"/>
      <c r="C497" s="36"/>
      <c r="D497" s="36"/>
      <c r="E497" s="37"/>
      <c r="F497" s="37"/>
      <c r="G497" s="37"/>
      <c r="H497" s="37"/>
      <c r="I497" s="37"/>
      <c r="J497" s="1"/>
    </row>
    <row r="498" ht="15.75" customHeight="1">
      <c r="A498" s="36"/>
      <c r="B498" s="36"/>
      <c r="C498" s="36"/>
      <c r="D498" s="36"/>
      <c r="E498" s="37"/>
      <c r="F498" s="37"/>
      <c r="G498" s="37"/>
      <c r="H498" s="37"/>
      <c r="I498" s="37"/>
      <c r="J498" s="1"/>
    </row>
    <row r="499" ht="15.75" customHeight="1">
      <c r="A499" s="36"/>
      <c r="B499" s="36"/>
      <c r="C499" s="36"/>
      <c r="D499" s="36"/>
      <c r="E499" s="37"/>
      <c r="F499" s="37"/>
      <c r="G499" s="37"/>
      <c r="H499" s="37"/>
      <c r="I499" s="37"/>
      <c r="J499" s="1"/>
    </row>
    <row r="500" ht="15.75" customHeight="1">
      <c r="A500" s="36"/>
      <c r="B500" s="36"/>
      <c r="C500" s="36"/>
      <c r="D500" s="36"/>
      <c r="E500" s="37"/>
      <c r="F500" s="37"/>
      <c r="G500" s="37"/>
      <c r="H500" s="37"/>
      <c r="I500" s="37"/>
      <c r="J500" s="1"/>
    </row>
    <row r="501" ht="15.75" customHeight="1">
      <c r="A501" s="36"/>
      <c r="B501" s="36"/>
      <c r="C501" s="36"/>
      <c r="D501" s="36"/>
      <c r="E501" s="37"/>
      <c r="F501" s="37"/>
      <c r="G501" s="37"/>
      <c r="H501" s="37"/>
      <c r="I501" s="37"/>
      <c r="J501" s="1"/>
    </row>
    <row r="502" ht="15.75" customHeight="1">
      <c r="A502" s="36"/>
      <c r="B502" s="36"/>
      <c r="C502" s="36"/>
      <c r="D502" s="36"/>
      <c r="E502" s="37"/>
      <c r="F502" s="37"/>
      <c r="G502" s="37"/>
      <c r="H502" s="37"/>
      <c r="I502" s="37"/>
      <c r="J502" s="1"/>
    </row>
    <row r="503" ht="15.75" customHeight="1">
      <c r="A503" s="36"/>
      <c r="B503" s="36"/>
      <c r="C503" s="36"/>
      <c r="D503" s="36"/>
      <c r="E503" s="37"/>
      <c r="F503" s="37"/>
      <c r="G503" s="37"/>
      <c r="H503" s="37"/>
      <c r="I503" s="37"/>
      <c r="J503" s="1"/>
    </row>
    <row r="504" ht="15.75" customHeight="1">
      <c r="A504" s="36"/>
      <c r="B504" s="36"/>
      <c r="C504" s="36"/>
      <c r="D504" s="36"/>
      <c r="E504" s="37"/>
      <c r="F504" s="37"/>
      <c r="G504" s="37"/>
      <c r="H504" s="37"/>
      <c r="I504" s="37"/>
      <c r="J504" s="1"/>
    </row>
    <row r="505" ht="15.75" customHeight="1">
      <c r="A505" s="36"/>
      <c r="B505" s="36"/>
      <c r="C505" s="36"/>
      <c r="D505" s="36"/>
      <c r="E505" s="37"/>
      <c r="F505" s="37"/>
      <c r="G505" s="37"/>
      <c r="H505" s="37"/>
      <c r="I505" s="37"/>
      <c r="J505" s="1"/>
    </row>
    <row r="506" ht="15.75" customHeight="1">
      <c r="A506" s="36"/>
      <c r="B506" s="36"/>
      <c r="C506" s="36"/>
      <c r="D506" s="36"/>
      <c r="E506" s="37"/>
      <c r="F506" s="37"/>
      <c r="G506" s="37"/>
      <c r="H506" s="37"/>
      <c r="I506" s="37"/>
      <c r="J506" s="1"/>
    </row>
    <row r="507" ht="15.75" customHeight="1">
      <c r="A507" s="36"/>
      <c r="B507" s="36"/>
      <c r="C507" s="36"/>
      <c r="D507" s="36"/>
      <c r="E507" s="37"/>
      <c r="F507" s="37"/>
      <c r="G507" s="37"/>
      <c r="H507" s="37"/>
      <c r="I507" s="37"/>
      <c r="J507" s="1"/>
    </row>
    <row r="508" ht="15.75" customHeight="1">
      <c r="A508" s="36"/>
      <c r="B508" s="36"/>
      <c r="C508" s="36"/>
      <c r="D508" s="36"/>
      <c r="E508" s="37"/>
      <c r="F508" s="37"/>
      <c r="G508" s="37"/>
      <c r="H508" s="37"/>
      <c r="I508" s="37"/>
      <c r="J508" s="1"/>
    </row>
    <row r="509" ht="15.75" customHeight="1">
      <c r="A509" s="36"/>
      <c r="B509" s="36"/>
      <c r="C509" s="36"/>
      <c r="D509" s="36"/>
      <c r="E509" s="37"/>
      <c r="F509" s="37"/>
      <c r="G509" s="37"/>
      <c r="H509" s="37"/>
      <c r="I509" s="37"/>
      <c r="J509" s="1"/>
    </row>
    <row r="510" ht="15.75" customHeight="1">
      <c r="A510" s="36"/>
      <c r="B510" s="36"/>
      <c r="C510" s="36"/>
      <c r="D510" s="36"/>
      <c r="E510" s="37"/>
      <c r="F510" s="37"/>
      <c r="G510" s="37"/>
      <c r="H510" s="37"/>
      <c r="I510" s="37"/>
      <c r="J510" s="1"/>
    </row>
    <row r="511" ht="15.75" customHeight="1">
      <c r="A511" s="36"/>
      <c r="B511" s="36"/>
      <c r="C511" s="36"/>
      <c r="D511" s="36"/>
      <c r="E511" s="37"/>
      <c r="F511" s="37"/>
      <c r="G511" s="37"/>
      <c r="H511" s="37"/>
      <c r="I511" s="37"/>
      <c r="J511" s="1"/>
    </row>
    <row r="512" ht="15.75" customHeight="1">
      <c r="A512" s="36"/>
      <c r="B512" s="36"/>
      <c r="C512" s="36"/>
      <c r="D512" s="36"/>
      <c r="E512" s="37"/>
      <c r="F512" s="37"/>
      <c r="G512" s="37"/>
      <c r="H512" s="37"/>
      <c r="I512" s="37"/>
      <c r="J512" s="1"/>
    </row>
    <row r="513" ht="15.75" customHeight="1">
      <c r="A513" s="36"/>
      <c r="B513" s="36"/>
      <c r="C513" s="36"/>
      <c r="D513" s="36"/>
      <c r="E513" s="37"/>
      <c r="F513" s="37"/>
      <c r="G513" s="37"/>
      <c r="H513" s="37"/>
      <c r="I513" s="37"/>
      <c r="J513" s="1"/>
    </row>
    <row r="514" ht="15.75" customHeight="1">
      <c r="A514" s="36"/>
      <c r="B514" s="36"/>
      <c r="C514" s="36"/>
      <c r="D514" s="36"/>
      <c r="E514" s="37"/>
      <c r="F514" s="37"/>
      <c r="G514" s="37"/>
      <c r="H514" s="37"/>
      <c r="I514" s="37"/>
      <c r="J514" s="1"/>
    </row>
    <row r="515" ht="15.75" customHeight="1">
      <c r="A515" s="36"/>
      <c r="B515" s="36"/>
      <c r="C515" s="36"/>
      <c r="D515" s="36"/>
      <c r="E515" s="37"/>
      <c r="F515" s="37"/>
      <c r="G515" s="37"/>
      <c r="H515" s="37"/>
      <c r="I515" s="37"/>
      <c r="J515" s="1"/>
    </row>
    <row r="516" ht="15.75" customHeight="1">
      <c r="A516" s="36"/>
      <c r="B516" s="36"/>
      <c r="C516" s="36"/>
      <c r="D516" s="36"/>
      <c r="E516" s="37"/>
      <c r="F516" s="37"/>
      <c r="G516" s="37"/>
      <c r="H516" s="37"/>
      <c r="I516" s="37"/>
      <c r="J516" s="1"/>
    </row>
    <row r="517" ht="15.75" customHeight="1">
      <c r="A517" s="36"/>
      <c r="B517" s="36"/>
      <c r="C517" s="36"/>
      <c r="D517" s="36"/>
      <c r="E517" s="37"/>
      <c r="F517" s="37"/>
      <c r="G517" s="37"/>
      <c r="H517" s="37"/>
      <c r="I517" s="37"/>
      <c r="J517" s="1"/>
    </row>
    <row r="518" ht="15.75" customHeight="1">
      <c r="A518" s="36"/>
      <c r="B518" s="36"/>
      <c r="C518" s="36"/>
      <c r="D518" s="36"/>
      <c r="E518" s="37"/>
      <c r="F518" s="37"/>
      <c r="G518" s="37"/>
      <c r="H518" s="37"/>
      <c r="I518" s="37"/>
      <c r="J518" s="1"/>
    </row>
    <row r="519" ht="15.75" customHeight="1">
      <c r="A519" s="36"/>
      <c r="B519" s="36"/>
      <c r="C519" s="36"/>
      <c r="D519" s="36"/>
      <c r="E519" s="37"/>
      <c r="F519" s="37"/>
      <c r="G519" s="37"/>
      <c r="H519" s="37"/>
      <c r="I519" s="37"/>
      <c r="J519" s="1"/>
    </row>
    <row r="520" ht="15.75" customHeight="1">
      <c r="A520" s="36"/>
      <c r="B520" s="36"/>
      <c r="C520" s="36"/>
      <c r="D520" s="36"/>
      <c r="E520" s="37"/>
      <c r="F520" s="37"/>
      <c r="G520" s="37"/>
      <c r="H520" s="37"/>
      <c r="I520" s="37"/>
      <c r="J520" s="1"/>
    </row>
    <row r="521" ht="15.75" customHeight="1">
      <c r="A521" s="36"/>
      <c r="B521" s="36"/>
      <c r="C521" s="36"/>
      <c r="D521" s="36"/>
      <c r="E521" s="37"/>
      <c r="F521" s="37"/>
      <c r="G521" s="37"/>
      <c r="H521" s="37"/>
      <c r="I521" s="37"/>
      <c r="J521" s="1"/>
    </row>
    <row r="522" ht="15.75" customHeight="1">
      <c r="A522" s="36"/>
      <c r="B522" s="36"/>
      <c r="C522" s="36"/>
      <c r="D522" s="36"/>
      <c r="E522" s="37"/>
      <c r="F522" s="37"/>
      <c r="G522" s="37"/>
      <c r="H522" s="37"/>
      <c r="I522" s="37"/>
      <c r="J522" s="1"/>
    </row>
    <row r="523" ht="15.75" customHeight="1">
      <c r="A523" s="36"/>
      <c r="B523" s="36"/>
      <c r="C523" s="36"/>
      <c r="D523" s="36"/>
      <c r="E523" s="37"/>
      <c r="F523" s="37"/>
      <c r="G523" s="37"/>
      <c r="H523" s="37"/>
      <c r="I523" s="37"/>
      <c r="J523" s="1"/>
    </row>
    <row r="524" ht="15.75" customHeight="1">
      <c r="A524" s="36"/>
      <c r="B524" s="36"/>
      <c r="C524" s="36"/>
      <c r="D524" s="36"/>
      <c r="E524" s="37"/>
      <c r="F524" s="37"/>
      <c r="G524" s="37"/>
      <c r="H524" s="37"/>
      <c r="I524" s="37"/>
      <c r="J524" s="1"/>
    </row>
    <row r="525" ht="15.75" customHeight="1">
      <c r="A525" s="36"/>
      <c r="B525" s="36"/>
      <c r="C525" s="36"/>
      <c r="D525" s="36"/>
      <c r="E525" s="37"/>
      <c r="F525" s="37"/>
      <c r="G525" s="37"/>
      <c r="H525" s="37"/>
      <c r="I525" s="37"/>
      <c r="J525" s="1"/>
    </row>
    <row r="526" ht="15.75" customHeight="1">
      <c r="A526" s="36"/>
      <c r="B526" s="36"/>
      <c r="C526" s="36"/>
      <c r="D526" s="36"/>
      <c r="E526" s="37"/>
      <c r="F526" s="37"/>
      <c r="G526" s="37"/>
      <c r="H526" s="37"/>
      <c r="I526" s="37"/>
      <c r="J526" s="1"/>
    </row>
    <row r="527" ht="15.75" customHeight="1">
      <c r="A527" s="36"/>
      <c r="B527" s="36"/>
      <c r="C527" s="36"/>
      <c r="D527" s="36"/>
      <c r="E527" s="37"/>
      <c r="F527" s="37"/>
      <c r="G527" s="37"/>
      <c r="H527" s="37"/>
      <c r="I527" s="37"/>
      <c r="J527" s="1"/>
    </row>
    <row r="528" ht="15.75" customHeight="1">
      <c r="A528" s="36"/>
      <c r="B528" s="36"/>
      <c r="C528" s="36"/>
      <c r="D528" s="36"/>
      <c r="E528" s="37"/>
      <c r="F528" s="37"/>
      <c r="G528" s="37"/>
      <c r="H528" s="37"/>
      <c r="I528" s="37"/>
      <c r="J528" s="1"/>
    </row>
    <row r="529" ht="15.75" customHeight="1">
      <c r="A529" s="36"/>
      <c r="B529" s="36"/>
      <c r="C529" s="36"/>
      <c r="D529" s="36"/>
      <c r="E529" s="37"/>
      <c r="F529" s="37"/>
      <c r="G529" s="37"/>
      <c r="H529" s="37"/>
      <c r="I529" s="37"/>
      <c r="J529" s="1"/>
    </row>
    <row r="530" ht="15.75" customHeight="1">
      <c r="A530" s="36"/>
      <c r="B530" s="36"/>
      <c r="C530" s="36"/>
      <c r="D530" s="36"/>
      <c r="E530" s="37"/>
      <c r="F530" s="37"/>
      <c r="G530" s="37"/>
      <c r="H530" s="37"/>
      <c r="I530" s="37"/>
      <c r="J530" s="1"/>
    </row>
    <row r="531" ht="15.75" customHeight="1">
      <c r="A531" s="36"/>
      <c r="B531" s="36"/>
      <c r="C531" s="36"/>
      <c r="D531" s="36"/>
      <c r="E531" s="37"/>
      <c r="F531" s="37"/>
      <c r="G531" s="37"/>
      <c r="H531" s="37"/>
      <c r="I531" s="37"/>
      <c r="J531" s="1"/>
    </row>
    <row r="532" ht="15.75" customHeight="1">
      <c r="A532" s="36"/>
      <c r="B532" s="36"/>
      <c r="C532" s="36"/>
      <c r="D532" s="36"/>
      <c r="E532" s="37"/>
      <c r="F532" s="37"/>
      <c r="G532" s="37"/>
      <c r="H532" s="37"/>
      <c r="I532" s="37"/>
      <c r="J532" s="1"/>
    </row>
    <row r="533" ht="15.75" customHeight="1">
      <c r="A533" s="36"/>
      <c r="B533" s="36"/>
      <c r="C533" s="36"/>
      <c r="D533" s="36"/>
      <c r="E533" s="37"/>
      <c r="F533" s="37"/>
      <c r="G533" s="37"/>
      <c r="H533" s="37"/>
      <c r="I533" s="37"/>
      <c r="J533" s="1"/>
    </row>
    <row r="534" ht="15.75" customHeight="1">
      <c r="A534" s="36"/>
      <c r="B534" s="36"/>
      <c r="C534" s="36"/>
      <c r="D534" s="36"/>
      <c r="E534" s="37"/>
      <c r="F534" s="37"/>
      <c r="G534" s="37"/>
      <c r="H534" s="37"/>
      <c r="I534" s="37"/>
      <c r="J534" s="1"/>
    </row>
    <row r="535" ht="15.75" customHeight="1">
      <c r="A535" s="36"/>
      <c r="B535" s="36"/>
      <c r="C535" s="36"/>
      <c r="D535" s="36"/>
      <c r="E535" s="37"/>
      <c r="F535" s="37"/>
      <c r="G535" s="37"/>
      <c r="H535" s="37"/>
      <c r="I535" s="37"/>
      <c r="J535" s="1"/>
    </row>
    <row r="536" ht="15.75" customHeight="1">
      <c r="A536" s="36"/>
      <c r="B536" s="36"/>
      <c r="C536" s="36"/>
      <c r="D536" s="36"/>
      <c r="E536" s="37"/>
      <c r="F536" s="37"/>
      <c r="G536" s="37"/>
      <c r="H536" s="37"/>
      <c r="I536" s="37"/>
      <c r="J536" s="1"/>
    </row>
    <row r="537" ht="15.75" customHeight="1">
      <c r="A537" s="36"/>
      <c r="B537" s="36"/>
      <c r="C537" s="36"/>
      <c r="D537" s="36"/>
      <c r="E537" s="37"/>
      <c r="F537" s="37"/>
      <c r="G537" s="37"/>
      <c r="H537" s="37"/>
      <c r="I537" s="37"/>
      <c r="J537" s="1"/>
    </row>
    <row r="538" ht="15.75" customHeight="1">
      <c r="A538" s="36"/>
      <c r="B538" s="36"/>
      <c r="C538" s="36"/>
      <c r="D538" s="36"/>
      <c r="E538" s="37"/>
      <c r="F538" s="37"/>
      <c r="G538" s="37"/>
      <c r="H538" s="37"/>
      <c r="I538" s="37"/>
      <c r="J538" s="1"/>
    </row>
    <row r="539" ht="15.75" customHeight="1">
      <c r="A539" s="36"/>
      <c r="B539" s="36"/>
      <c r="C539" s="36"/>
      <c r="D539" s="36"/>
      <c r="E539" s="37"/>
      <c r="F539" s="37"/>
      <c r="G539" s="37"/>
      <c r="H539" s="37"/>
      <c r="I539" s="37"/>
      <c r="J539" s="1"/>
    </row>
    <row r="540" ht="15.75" customHeight="1">
      <c r="A540" s="36"/>
      <c r="B540" s="36"/>
      <c r="C540" s="36"/>
      <c r="D540" s="36"/>
      <c r="E540" s="37"/>
      <c r="F540" s="37"/>
      <c r="G540" s="37"/>
      <c r="H540" s="37"/>
      <c r="I540" s="37"/>
      <c r="J540" s="1"/>
    </row>
    <row r="541" ht="15.75" customHeight="1">
      <c r="A541" s="36"/>
      <c r="B541" s="36"/>
      <c r="C541" s="36"/>
      <c r="D541" s="36"/>
      <c r="E541" s="37"/>
      <c r="F541" s="37"/>
      <c r="G541" s="37"/>
      <c r="H541" s="37"/>
      <c r="I541" s="37"/>
      <c r="J541" s="1"/>
    </row>
    <row r="542" ht="15.75" customHeight="1">
      <c r="A542" s="36"/>
      <c r="B542" s="36"/>
      <c r="C542" s="36"/>
      <c r="D542" s="36"/>
      <c r="E542" s="37"/>
      <c r="F542" s="37"/>
      <c r="G542" s="37"/>
      <c r="H542" s="37"/>
      <c r="I542" s="37"/>
      <c r="J542" s="1"/>
    </row>
    <row r="543" ht="15.75" customHeight="1">
      <c r="A543" s="36"/>
      <c r="B543" s="36"/>
      <c r="C543" s="36"/>
      <c r="D543" s="36"/>
      <c r="E543" s="37"/>
      <c r="F543" s="37"/>
      <c r="G543" s="37"/>
      <c r="H543" s="37"/>
      <c r="I543" s="37"/>
      <c r="J543" s="1"/>
    </row>
    <row r="544" ht="15.75" customHeight="1">
      <c r="A544" s="36"/>
      <c r="B544" s="36"/>
      <c r="C544" s="36"/>
      <c r="D544" s="36"/>
      <c r="E544" s="37"/>
      <c r="F544" s="37"/>
      <c r="G544" s="37"/>
      <c r="H544" s="37"/>
      <c r="I544" s="37"/>
      <c r="J544" s="1"/>
    </row>
    <row r="545" ht="15.75" customHeight="1">
      <c r="A545" s="36"/>
      <c r="B545" s="36"/>
      <c r="C545" s="36"/>
      <c r="D545" s="36"/>
      <c r="E545" s="37"/>
      <c r="F545" s="37"/>
      <c r="G545" s="37"/>
      <c r="H545" s="37"/>
      <c r="I545" s="37"/>
      <c r="J545" s="1"/>
    </row>
    <row r="546" ht="15.75" customHeight="1">
      <c r="A546" s="36"/>
      <c r="B546" s="36"/>
      <c r="C546" s="36"/>
      <c r="D546" s="36"/>
      <c r="E546" s="37"/>
      <c r="F546" s="37"/>
      <c r="G546" s="37"/>
      <c r="H546" s="37"/>
      <c r="I546" s="37"/>
      <c r="J546" s="1"/>
    </row>
    <row r="547" ht="15.75" customHeight="1">
      <c r="A547" s="36"/>
      <c r="B547" s="36"/>
      <c r="C547" s="36"/>
      <c r="D547" s="36"/>
      <c r="E547" s="37"/>
      <c r="F547" s="37"/>
      <c r="G547" s="37"/>
      <c r="H547" s="37"/>
      <c r="I547" s="37"/>
      <c r="J547" s="1"/>
    </row>
    <row r="548" ht="15.75" customHeight="1">
      <c r="A548" s="36"/>
      <c r="B548" s="36"/>
      <c r="C548" s="36"/>
      <c r="D548" s="36"/>
      <c r="E548" s="37"/>
      <c r="F548" s="37"/>
      <c r="G548" s="37"/>
      <c r="H548" s="37"/>
      <c r="I548" s="37"/>
      <c r="J548" s="1"/>
    </row>
    <row r="549" ht="15.75" customHeight="1">
      <c r="A549" s="36"/>
      <c r="B549" s="36"/>
      <c r="C549" s="36"/>
      <c r="D549" s="36"/>
      <c r="E549" s="37"/>
      <c r="F549" s="37"/>
      <c r="G549" s="37"/>
      <c r="H549" s="37"/>
      <c r="I549" s="37"/>
      <c r="J549" s="1"/>
    </row>
    <row r="550" ht="15.75" customHeight="1">
      <c r="A550" s="36"/>
      <c r="B550" s="36"/>
      <c r="C550" s="36"/>
      <c r="D550" s="36"/>
      <c r="E550" s="37"/>
      <c r="F550" s="37"/>
      <c r="G550" s="37"/>
      <c r="H550" s="37"/>
      <c r="I550" s="37"/>
      <c r="J550" s="1"/>
    </row>
    <row r="551" ht="15.75" customHeight="1">
      <c r="A551" s="36"/>
      <c r="B551" s="36"/>
      <c r="C551" s="36"/>
      <c r="D551" s="36"/>
      <c r="E551" s="37"/>
      <c r="F551" s="37"/>
      <c r="G551" s="37"/>
      <c r="H551" s="37"/>
      <c r="I551" s="37"/>
      <c r="J551" s="1"/>
    </row>
    <row r="552" ht="15.75" customHeight="1">
      <c r="A552" s="36"/>
      <c r="B552" s="36"/>
      <c r="C552" s="36"/>
      <c r="D552" s="36"/>
      <c r="E552" s="37"/>
      <c r="F552" s="37"/>
      <c r="G552" s="37"/>
      <c r="H552" s="37"/>
      <c r="I552" s="37"/>
      <c r="J552" s="1"/>
    </row>
    <row r="553" ht="15.75" customHeight="1">
      <c r="A553" s="36"/>
      <c r="B553" s="36"/>
      <c r="C553" s="36"/>
      <c r="D553" s="36"/>
      <c r="E553" s="37"/>
      <c r="F553" s="37"/>
      <c r="G553" s="37"/>
      <c r="H553" s="37"/>
      <c r="I553" s="37"/>
      <c r="J553" s="1"/>
    </row>
    <row r="554" ht="15.75" customHeight="1">
      <c r="A554" s="36"/>
      <c r="B554" s="36"/>
      <c r="C554" s="36"/>
      <c r="D554" s="36"/>
      <c r="E554" s="37"/>
      <c r="F554" s="37"/>
      <c r="G554" s="37"/>
      <c r="H554" s="37"/>
      <c r="I554" s="37"/>
      <c r="J554" s="1"/>
    </row>
    <row r="555" ht="15.75" customHeight="1">
      <c r="A555" s="36"/>
      <c r="B555" s="36"/>
      <c r="C555" s="36"/>
      <c r="D555" s="36"/>
      <c r="E555" s="37"/>
      <c r="F555" s="37"/>
      <c r="G555" s="37"/>
      <c r="H555" s="37"/>
      <c r="I555" s="37"/>
      <c r="J555" s="1"/>
    </row>
    <row r="556" ht="15.75" customHeight="1">
      <c r="A556" s="36"/>
      <c r="B556" s="36"/>
      <c r="C556" s="36"/>
      <c r="D556" s="36"/>
      <c r="E556" s="37"/>
      <c r="F556" s="37"/>
      <c r="G556" s="37"/>
      <c r="H556" s="37"/>
      <c r="I556" s="37"/>
      <c r="J556" s="1"/>
    </row>
    <row r="557" ht="15.75" customHeight="1">
      <c r="A557" s="36"/>
      <c r="B557" s="36"/>
      <c r="C557" s="36"/>
      <c r="D557" s="36"/>
      <c r="E557" s="37"/>
      <c r="F557" s="37"/>
      <c r="G557" s="37"/>
      <c r="H557" s="37"/>
      <c r="I557" s="37"/>
      <c r="J557" s="1"/>
    </row>
    <row r="558" ht="15.75" customHeight="1">
      <c r="A558" s="36"/>
      <c r="B558" s="36"/>
      <c r="C558" s="36"/>
      <c r="D558" s="36"/>
      <c r="E558" s="37"/>
      <c r="F558" s="37"/>
      <c r="G558" s="37"/>
      <c r="H558" s="37"/>
      <c r="I558" s="37"/>
      <c r="J558" s="1"/>
    </row>
    <row r="559" ht="15.75" customHeight="1">
      <c r="A559" s="36"/>
      <c r="B559" s="36"/>
      <c r="C559" s="36"/>
      <c r="D559" s="36"/>
      <c r="E559" s="37"/>
      <c r="F559" s="37"/>
      <c r="G559" s="37"/>
      <c r="H559" s="37"/>
      <c r="I559" s="37"/>
      <c r="J559" s="1"/>
    </row>
    <row r="560" ht="15.75" customHeight="1">
      <c r="A560" s="36"/>
      <c r="B560" s="36"/>
      <c r="C560" s="36"/>
      <c r="D560" s="36"/>
      <c r="E560" s="37"/>
      <c r="F560" s="37"/>
      <c r="G560" s="37"/>
      <c r="H560" s="37"/>
      <c r="I560" s="37"/>
      <c r="J560" s="1"/>
    </row>
    <row r="561" ht="15.75" customHeight="1">
      <c r="A561" s="36"/>
      <c r="B561" s="36"/>
      <c r="C561" s="36"/>
      <c r="D561" s="36"/>
      <c r="E561" s="37"/>
      <c r="F561" s="37"/>
      <c r="G561" s="37"/>
      <c r="H561" s="37"/>
      <c r="I561" s="37"/>
      <c r="J561" s="1"/>
    </row>
    <row r="562" ht="15.75" customHeight="1">
      <c r="A562" s="36"/>
      <c r="B562" s="36"/>
      <c r="C562" s="36"/>
      <c r="D562" s="36"/>
      <c r="E562" s="37"/>
      <c r="F562" s="37"/>
      <c r="G562" s="37"/>
      <c r="H562" s="37"/>
      <c r="I562" s="37"/>
      <c r="J562" s="1"/>
    </row>
    <row r="563" ht="15.75" customHeight="1">
      <c r="A563" s="36"/>
      <c r="B563" s="36"/>
      <c r="C563" s="36"/>
      <c r="D563" s="36"/>
      <c r="E563" s="37"/>
      <c r="F563" s="37"/>
      <c r="G563" s="37"/>
      <c r="H563" s="37"/>
      <c r="I563" s="37"/>
      <c r="J563" s="1"/>
    </row>
    <row r="564" ht="15.75" customHeight="1">
      <c r="A564" s="36"/>
      <c r="B564" s="36"/>
      <c r="C564" s="36"/>
      <c r="D564" s="36"/>
      <c r="E564" s="37"/>
      <c r="F564" s="37"/>
      <c r="G564" s="37"/>
      <c r="H564" s="37"/>
      <c r="I564" s="37"/>
      <c r="J564" s="1"/>
    </row>
    <row r="565" ht="15.75" customHeight="1">
      <c r="A565" s="36"/>
      <c r="B565" s="36"/>
      <c r="C565" s="36"/>
      <c r="D565" s="36"/>
      <c r="E565" s="37"/>
      <c r="F565" s="37"/>
      <c r="G565" s="37"/>
      <c r="H565" s="37"/>
      <c r="I565" s="37"/>
      <c r="J565" s="1"/>
    </row>
    <row r="566" ht="15.75" customHeight="1">
      <c r="A566" s="36"/>
      <c r="B566" s="36"/>
      <c r="C566" s="36"/>
      <c r="D566" s="36"/>
      <c r="E566" s="37"/>
      <c r="F566" s="37"/>
      <c r="G566" s="37"/>
      <c r="H566" s="37"/>
      <c r="I566" s="37"/>
      <c r="J566" s="1"/>
    </row>
    <row r="567" ht="15.75" customHeight="1">
      <c r="A567" s="36"/>
      <c r="B567" s="36"/>
      <c r="C567" s="36"/>
      <c r="D567" s="36"/>
      <c r="E567" s="37"/>
      <c r="F567" s="37"/>
      <c r="G567" s="37"/>
      <c r="H567" s="37"/>
      <c r="I567" s="37"/>
      <c r="J567" s="1"/>
    </row>
    <row r="568" ht="15.75" customHeight="1">
      <c r="A568" s="36"/>
      <c r="B568" s="36"/>
      <c r="C568" s="36"/>
      <c r="D568" s="36"/>
      <c r="E568" s="37"/>
      <c r="F568" s="37"/>
      <c r="G568" s="37"/>
      <c r="H568" s="37"/>
      <c r="I568" s="37"/>
      <c r="J568" s="1"/>
    </row>
    <row r="569" ht="15.75" customHeight="1">
      <c r="A569" s="36"/>
      <c r="B569" s="36"/>
      <c r="C569" s="36"/>
      <c r="D569" s="36"/>
      <c r="E569" s="37"/>
      <c r="F569" s="37"/>
      <c r="G569" s="37"/>
      <c r="H569" s="37"/>
      <c r="I569" s="37"/>
      <c r="J569" s="1"/>
    </row>
    <row r="570" ht="15.75" customHeight="1">
      <c r="A570" s="36"/>
      <c r="B570" s="36"/>
      <c r="C570" s="36"/>
      <c r="D570" s="36"/>
      <c r="E570" s="37"/>
      <c r="F570" s="37"/>
      <c r="G570" s="37"/>
      <c r="H570" s="37"/>
      <c r="I570" s="37"/>
      <c r="J570" s="1"/>
    </row>
    <row r="571" ht="15.75" customHeight="1">
      <c r="A571" s="36"/>
      <c r="B571" s="36"/>
      <c r="C571" s="36"/>
      <c r="D571" s="36"/>
      <c r="E571" s="37"/>
      <c r="F571" s="37"/>
      <c r="G571" s="37"/>
      <c r="H571" s="37"/>
      <c r="I571" s="37"/>
      <c r="J571" s="1"/>
    </row>
    <row r="572" ht="15.75" customHeight="1">
      <c r="A572" s="36"/>
      <c r="B572" s="36"/>
      <c r="C572" s="36"/>
      <c r="D572" s="36"/>
      <c r="E572" s="37"/>
      <c r="F572" s="37"/>
      <c r="G572" s="37"/>
      <c r="H572" s="37"/>
      <c r="I572" s="37"/>
      <c r="J572" s="1"/>
    </row>
    <row r="573" ht="15.75" customHeight="1">
      <c r="A573" s="36"/>
      <c r="B573" s="36"/>
      <c r="C573" s="36"/>
      <c r="D573" s="36"/>
      <c r="E573" s="37"/>
      <c r="F573" s="37"/>
      <c r="G573" s="37"/>
      <c r="H573" s="37"/>
      <c r="I573" s="37"/>
      <c r="J573" s="1"/>
    </row>
    <row r="574" ht="15.75" customHeight="1">
      <c r="A574" s="36"/>
      <c r="B574" s="36"/>
      <c r="C574" s="36"/>
      <c r="D574" s="36"/>
      <c r="E574" s="37"/>
      <c r="F574" s="37"/>
      <c r="G574" s="37"/>
      <c r="H574" s="37"/>
      <c r="I574" s="37"/>
      <c r="J574" s="1"/>
    </row>
    <row r="575" ht="15.75" customHeight="1">
      <c r="A575" s="36"/>
      <c r="B575" s="36"/>
      <c r="C575" s="36"/>
      <c r="D575" s="36"/>
      <c r="E575" s="37"/>
      <c r="F575" s="37"/>
      <c r="G575" s="37"/>
      <c r="H575" s="37"/>
      <c r="I575" s="37"/>
      <c r="J575" s="1"/>
    </row>
    <row r="576" ht="15.75" customHeight="1">
      <c r="A576" s="36"/>
      <c r="B576" s="36"/>
      <c r="C576" s="36"/>
      <c r="D576" s="36"/>
      <c r="E576" s="37"/>
      <c r="F576" s="37"/>
      <c r="G576" s="37"/>
      <c r="H576" s="37"/>
      <c r="I576" s="37"/>
      <c r="J576" s="1"/>
    </row>
    <row r="577" ht="15.75" customHeight="1">
      <c r="A577" s="36"/>
      <c r="B577" s="36"/>
      <c r="C577" s="36"/>
      <c r="D577" s="36"/>
      <c r="E577" s="37"/>
      <c r="F577" s="37"/>
      <c r="G577" s="37"/>
      <c r="H577" s="37"/>
      <c r="I577" s="37"/>
      <c r="J577" s="1"/>
    </row>
    <row r="578" ht="15.75" customHeight="1">
      <c r="A578" s="36"/>
      <c r="B578" s="36"/>
      <c r="C578" s="36"/>
      <c r="D578" s="36"/>
      <c r="E578" s="37"/>
      <c r="F578" s="37"/>
      <c r="G578" s="37"/>
      <c r="H578" s="37"/>
      <c r="I578" s="37"/>
      <c r="J578" s="1"/>
    </row>
    <row r="579" ht="15.75" customHeight="1">
      <c r="A579" s="36"/>
      <c r="B579" s="36"/>
      <c r="C579" s="36"/>
      <c r="D579" s="36"/>
      <c r="E579" s="37"/>
      <c r="F579" s="37"/>
      <c r="G579" s="37"/>
      <c r="H579" s="37"/>
      <c r="I579" s="37"/>
      <c r="J579" s="1"/>
    </row>
    <row r="580" ht="15.75" customHeight="1">
      <c r="A580" s="36"/>
      <c r="B580" s="36"/>
      <c r="C580" s="36"/>
      <c r="D580" s="36"/>
      <c r="E580" s="37"/>
      <c r="F580" s="37"/>
      <c r="G580" s="37"/>
      <c r="H580" s="37"/>
      <c r="I580" s="37"/>
      <c r="J580" s="1"/>
    </row>
    <row r="581" ht="15.75" customHeight="1">
      <c r="A581" s="36"/>
      <c r="B581" s="36"/>
      <c r="C581" s="36"/>
      <c r="D581" s="36"/>
      <c r="E581" s="37"/>
      <c r="F581" s="37"/>
      <c r="G581" s="37"/>
      <c r="H581" s="37"/>
      <c r="I581" s="37"/>
      <c r="J581" s="1"/>
    </row>
    <row r="582" ht="15.75" customHeight="1">
      <c r="A582" s="36"/>
      <c r="B582" s="36"/>
      <c r="C582" s="36"/>
      <c r="D582" s="36"/>
      <c r="E582" s="37"/>
      <c r="F582" s="37"/>
      <c r="G582" s="37"/>
      <c r="H582" s="37"/>
      <c r="I582" s="37"/>
      <c r="J582" s="1"/>
    </row>
    <row r="583" ht="15.75" customHeight="1">
      <c r="A583" s="36"/>
      <c r="B583" s="36"/>
      <c r="C583" s="36"/>
      <c r="D583" s="36"/>
      <c r="E583" s="37"/>
      <c r="F583" s="37"/>
      <c r="G583" s="37"/>
      <c r="H583" s="37"/>
      <c r="I583" s="37"/>
      <c r="J583" s="1"/>
    </row>
    <row r="584" ht="15.75" customHeight="1">
      <c r="A584" s="36"/>
      <c r="B584" s="36"/>
      <c r="C584" s="36"/>
      <c r="D584" s="36"/>
      <c r="E584" s="37"/>
      <c r="F584" s="37"/>
      <c r="G584" s="37"/>
      <c r="H584" s="37"/>
      <c r="I584" s="37"/>
      <c r="J584" s="1"/>
    </row>
    <row r="585" ht="15.75" customHeight="1">
      <c r="A585" s="36"/>
      <c r="B585" s="36"/>
      <c r="C585" s="36"/>
      <c r="D585" s="36"/>
      <c r="E585" s="37"/>
      <c r="F585" s="37"/>
      <c r="G585" s="37"/>
      <c r="H585" s="37"/>
      <c r="I585" s="37"/>
      <c r="J585" s="1"/>
    </row>
    <row r="586" ht="15.75" customHeight="1">
      <c r="A586" s="36"/>
      <c r="B586" s="36"/>
      <c r="C586" s="36"/>
      <c r="D586" s="36"/>
      <c r="E586" s="37"/>
      <c r="F586" s="37"/>
      <c r="G586" s="37"/>
      <c r="H586" s="37"/>
      <c r="I586" s="37"/>
      <c r="J586" s="1"/>
    </row>
    <row r="587" ht="15.75" customHeight="1">
      <c r="A587" s="36"/>
      <c r="B587" s="36"/>
      <c r="C587" s="36"/>
      <c r="D587" s="36"/>
      <c r="E587" s="37"/>
      <c r="F587" s="37"/>
      <c r="G587" s="37"/>
      <c r="H587" s="37"/>
      <c r="I587" s="37"/>
      <c r="J587" s="1"/>
    </row>
    <row r="588" ht="15.75" customHeight="1">
      <c r="A588" s="36"/>
      <c r="B588" s="36"/>
      <c r="C588" s="36"/>
      <c r="D588" s="36"/>
      <c r="E588" s="37"/>
      <c r="F588" s="37"/>
      <c r="G588" s="37"/>
      <c r="H588" s="37"/>
      <c r="I588" s="37"/>
      <c r="J588" s="1"/>
    </row>
    <row r="589" ht="15.75" customHeight="1">
      <c r="A589" s="36"/>
      <c r="B589" s="36"/>
      <c r="C589" s="36"/>
      <c r="D589" s="36"/>
      <c r="E589" s="37"/>
      <c r="F589" s="37"/>
      <c r="G589" s="37"/>
      <c r="H589" s="37"/>
      <c r="I589" s="37"/>
      <c r="J589" s="1"/>
    </row>
    <row r="590" ht="15.75" customHeight="1">
      <c r="A590" s="36"/>
      <c r="B590" s="36"/>
      <c r="C590" s="36"/>
      <c r="D590" s="36"/>
      <c r="E590" s="37"/>
      <c r="F590" s="37"/>
      <c r="G590" s="37"/>
      <c r="H590" s="37"/>
      <c r="I590" s="37"/>
      <c r="J590" s="1"/>
    </row>
    <row r="591" ht="15.75" customHeight="1">
      <c r="A591" s="36"/>
      <c r="B591" s="36"/>
      <c r="C591" s="36"/>
      <c r="D591" s="36"/>
      <c r="E591" s="37"/>
      <c r="F591" s="37"/>
      <c r="G591" s="37"/>
      <c r="H591" s="37"/>
      <c r="I591" s="37"/>
      <c r="J591" s="1"/>
    </row>
    <row r="592" ht="15.75" customHeight="1">
      <c r="A592" s="36"/>
      <c r="B592" s="36"/>
      <c r="C592" s="36"/>
      <c r="D592" s="36"/>
      <c r="E592" s="37"/>
      <c r="F592" s="37"/>
      <c r="G592" s="37"/>
      <c r="H592" s="37"/>
      <c r="I592" s="37"/>
      <c r="J592" s="1"/>
    </row>
    <row r="593" ht="15.75" customHeight="1">
      <c r="A593" s="36"/>
      <c r="B593" s="36"/>
      <c r="C593" s="36"/>
      <c r="D593" s="36"/>
      <c r="E593" s="37"/>
      <c r="F593" s="37"/>
      <c r="G593" s="37"/>
      <c r="H593" s="37"/>
      <c r="I593" s="37"/>
      <c r="J593" s="1"/>
    </row>
    <row r="594" ht="15.75" customHeight="1">
      <c r="A594" s="36"/>
      <c r="B594" s="36"/>
      <c r="C594" s="36"/>
      <c r="D594" s="36"/>
      <c r="E594" s="37"/>
      <c r="F594" s="37"/>
      <c r="G594" s="37"/>
      <c r="H594" s="37"/>
      <c r="I594" s="37"/>
      <c r="J594" s="1"/>
    </row>
    <row r="595" ht="15.75" customHeight="1">
      <c r="A595" s="36"/>
      <c r="B595" s="36"/>
      <c r="C595" s="36"/>
      <c r="D595" s="36"/>
      <c r="E595" s="37"/>
      <c r="F595" s="37"/>
      <c r="G595" s="37"/>
      <c r="H595" s="37"/>
      <c r="I595" s="37"/>
      <c r="J595" s="1"/>
    </row>
    <row r="596" ht="15.75" customHeight="1">
      <c r="A596" s="36"/>
      <c r="B596" s="36"/>
      <c r="C596" s="36"/>
      <c r="D596" s="36"/>
      <c r="E596" s="37"/>
      <c r="F596" s="37"/>
      <c r="G596" s="37"/>
      <c r="H596" s="37"/>
      <c r="I596" s="37"/>
      <c r="J596" s="1"/>
    </row>
    <row r="597" ht="15.75" customHeight="1">
      <c r="A597" s="36"/>
      <c r="B597" s="36"/>
      <c r="C597" s="36"/>
      <c r="D597" s="36"/>
      <c r="E597" s="37"/>
      <c r="F597" s="37"/>
      <c r="G597" s="37"/>
      <c r="H597" s="37"/>
      <c r="I597" s="37"/>
      <c r="J597" s="1"/>
    </row>
    <row r="598" ht="15.75" customHeight="1">
      <c r="A598" s="36"/>
      <c r="B598" s="36"/>
      <c r="C598" s="36"/>
      <c r="D598" s="36"/>
      <c r="E598" s="37"/>
      <c r="F598" s="37"/>
      <c r="G598" s="37"/>
      <c r="H598" s="37"/>
      <c r="I598" s="37"/>
      <c r="J598" s="1"/>
    </row>
    <row r="599" ht="15.75" customHeight="1">
      <c r="A599" s="36"/>
      <c r="B599" s="36"/>
      <c r="C599" s="36"/>
      <c r="D599" s="36"/>
      <c r="E599" s="37"/>
      <c r="F599" s="37"/>
      <c r="G599" s="37"/>
      <c r="H599" s="37"/>
      <c r="I599" s="37"/>
      <c r="J599" s="1"/>
    </row>
    <row r="600" ht="15.75" customHeight="1">
      <c r="A600" s="36"/>
      <c r="B600" s="36"/>
      <c r="C600" s="36"/>
      <c r="D600" s="36"/>
      <c r="E600" s="37"/>
      <c r="F600" s="37"/>
      <c r="G600" s="37"/>
      <c r="H600" s="37"/>
      <c r="I600" s="37"/>
      <c r="J600" s="1"/>
    </row>
    <row r="601" ht="15.75" customHeight="1">
      <c r="A601" s="36"/>
      <c r="B601" s="36"/>
      <c r="C601" s="36"/>
      <c r="D601" s="36"/>
      <c r="E601" s="37"/>
      <c r="F601" s="37"/>
      <c r="G601" s="37"/>
      <c r="H601" s="37"/>
      <c r="I601" s="37"/>
      <c r="J601" s="1"/>
    </row>
    <row r="602" ht="15.75" customHeight="1">
      <c r="A602" s="36"/>
      <c r="B602" s="36"/>
      <c r="C602" s="36"/>
      <c r="D602" s="36"/>
      <c r="E602" s="37"/>
      <c r="F602" s="37"/>
      <c r="G602" s="37"/>
      <c r="H602" s="37"/>
      <c r="I602" s="37"/>
      <c r="J602" s="1"/>
    </row>
    <row r="603" ht="15.75" customHeight="1">
      <c r="A603" s="36"/>
      <c r="B603" s="36"/>
      <c r="C603" s="36"/>
      <c r="D603" s="36"/>
      <c r="E603" s="37"/>
      <c r="F603" s="37"/>
      <c r="G603" s="37"/>
      <c r="H603" s="37"/>
      <c r="I603" s="37"/>
      <c r="J603" s="1"/>
    </row>
    <row r="604" ht="15.75" customHeight="1">
      <c r="A604" s="36"/>
      <c r="B604" s="36"/>
      <c r="C604" s="36"/>
      <c r="D604" s="36"/>
      <c r="E604" s="37"/>
      <c r="F604" s="37"/>
      <c r="G604" s="37"/>
      <c r="H604" s="37"/>
      <c r="I604" s="37"/>
      <c r="J604" s="1"/>
    </row>
    <row r="605" ht="15.75" customHeight="1">
      <c r="A605" s="36"/>
      <c r="B605" s="36"/>
      <c r="C605" s="36"/>
      <c r="D605" s="36"/>
      <c r="E605" s="37"/>
      <c r="F605" s="37"/>
      <c r="G605" s="37"/>
      <c r="H605" s="37"/>
      <c r="I605" s="37"/>
      <c r="J605" s="1"/>
    </row>
    <row r="606" ht="15.75" customHeight="1">
      <c r="A606" s="36"/>
      <c r="B606" s="36"/>
      <c r="C606" s="36"/>
      <c r="D606" s="36"/>
      <c r="E606" s="37"/>
      <c r="F606" s="37"/>
      <c r="G606" s="37"/>
      <c r="H606" s="37"/>
      <c r="I606" s="37"/>
      <c r="J606" s="1"/>
    </row>
    <row r="607" ht="15.75" customHeight="1">
      <c r="A607" s="36"/>
      <c r="B607" s="36"/>
      <c r="C607" s="36"/>
      <c r="D607" s="36"/>
      <c r="E607" s="37"/>
      <c r="F607" s="37"/>
      <c r="G607" s="37"/>
      <c r="H607" s="37"/>
      <c r="I607" s="37"/>
      <c r="J607" s="1"/>
    </row>
    <row r="608" ht="15.75" customHeight="1">
      <c r="A608" s="36"/>
      <c r="B608" s="36"/>
      <c r="C608" s="36"/>
      <c r="D608" s="36"/>
      <c r="E608" s="37"/>
      <c r="F608" s="37"/>
      <c r="G608" s="37"/>
      <c r="H608" s="37"/>
      <c r="I608" s="37"/>
      <c r="J608" s="1"/>
    </row>
    <row r="609" ht="15.75" customHeight="1">
      <c r="A609" s="36"/>
      <c r="B609" s="36"/>
      <c r="C609" s="36"/>
      <c r="D609" s="36"/>
      <c r="E609" s="37"/>
      <c r="F609" s="37"/>
      <c r="G609" s="37"/>
      <c r="H609" s="37"/>
      <c r="I609" s="37"/>
      <c r="J609" s="1"/>
    </row>
    <row r="610" ht="15.75" customHeight="1">
      <c r="A610" s="36"/>
      <c r="B610" s="36"/>
      <c r="C610" s="36"/>
      <c r="D610" s="36"/>
      <c r="E610" s="37"/>
      <c r="F610" s="37"/>
      <c r="G610" s="37"/>
      <c r="H610" s="37"/>
      <c r="I610" s="37"/>
      <c r="J610" s="1"/>
    </row>
    <row r="611" ht="15.75" customHeight="1">
      <c r="A611" s="36"/>
      <c r="B611" s="36"/>
      <c r="C611" s="36"/>
      <c r="D611" s="36"/>
      <c r="E611" s="37"/>
      <c r="F611" s="37"/>
      <c r="G611" s="37"/>
      <c r="H611" s="37"/>
      <c r="I611" s="37"/>
      <c r="J611" s="1"/>
    </row>
    <row r="612" ht="15.75" customHeight="1">
      <c r="A612" s="36"/>
      <c r="B612" s="36"/>
      <c r="C612" s="36"/>
      <c r="D612" s="36"/>
      <c r="E612" s="37"/>
      <c r="F612" s="37"/>
      <c r="G612" s="37"/>
      <c r="H612" s="37"/>
      <c r="I612" s="37"/>
      <c r="J612" s="1"/>
    </row>
    <row r="613" ht="15.75" customHeight="1">
      <c r="A613" s="36"/>
      <c r="B613" s="36"/>
      <c r="C613" s="36"/>
      <c r="D613" s="36"/>
      <c r="E613" s="37"/>
      <c r="F613" s="37"/>
      <c r="G613" s="37"/>
      <c r="H613" s="37"/>
      <c r="I613" s="37"/>
      <c r="J613" s="1"/>
    </row>
    <row r="614" ht="15.75" customHeight="1">
      <c r="A614" s="36"/>
      <c r="B614" s="36"/>
      <c r="C614" s="36"/>
      <c r="D614" s="36"/>
      <c r="E614" s="37"/>
      <c r="F614" s="37"/>
      <c r="G614" s="37"/>
      <c r="H614" s="37"/>
      <c r="I614" s="37"/>
      <c r="J614" s="1"/>
    </row>
    <row r="615" ht="15.75" customHeight="1">
      <c r="A615" s="36"/>
      <c r="B615" s="36"/>
      <c r="C615" s="36"/>
      <c r="D615" s="36"/>
      <c r="E615" s="37"/>
      <c r="F615" s="37"/>
      <c r="G615" s="37"/>
      <c r="H615" s="37"/>
      <c r="I615" s="37"/>
      <c r="J615" s="1"/>
    </row>
    <row r="616" ht="15.75" customHeight="1">
      <c r="A616" s="36"/>
      <c r="B616" s="36"/>
      <c r="C616" s="36"/>
      <c r="D616" s="36"/>
      <c r="E616" s="37"/>
      <c r="F616" s="37"/>
      <c r="G616" s="37"/>
      <c r="H616" s="37"/>
      <c r="I616" s="37"/>
      <c r="J616" s="1"/>
    </row>
    <row r="617" ht="15.75" customHeight="1">
      <c r="A617" s="36"/>
      <c r="B617" s="36"/>
      <c r="C617" s="36"/>
      <c r="D617" s="36"/>
      <c r="E617" s="37"/>
      <c r="F617" s="37"/>
      <c r="G617" s="37"/>
      <c r="H617" s="37"/>
      <c r="I617" s="37"/>
      <c r="J617" s="1"/>
    </row>
    <row r="618" ht="15.75" customHeight="1">
      <c r="A618" s="36"/>
      <c r="B618" s="36"/>
      <c r="C618" s="36"/>
      <c r="D618" s="36"/>
      <c r="E618" s="37"/>
      <c r="F618" s="37"/>
      <c r="G618" s="37"/>
      <c r="H618" s="37"/>
      <c r="I618" s="37"/>
      <c r="J618" s="1"/>
    </row>
    <row r="619" ht="15.75" customHeight="1">
      <c r="A619" s="36"/>
      <c r="B619" s="36"/>
      <c r="C619" s="36"/>
      <c r="D619" s="36"/>
      <c r="E619" s="37"/>
      <c r="F619" s="37"/>
      <c r="G619" s="37"/>
      <c r="H619" s="37"/>
      <c r="I619" s="37"/>
      <c r="J619" s="1"/>
    </row>
    <row r="620" ht="15.75" customHeight="1">
      <c r="A620" s="36"/>
      <c r="B620" s="36"/>
      <c r="C620" s="36"/>
      <c r="D620" s="36"/>
      <c r="E620" s="37"/>
      <c r="F620" s="37"/>
      <c r="G620" s="37"/>
      <c r="H620" s="37"/>
      <c r="I620" s="37"/>
      <c r="J620" s="1"/>
    </row>
    <row r="621" ht="15.75" customHeight="1">
      <c r="A621" s="36"/>
      <c r="B621" s="36"/>
      <c r="C621" s="36"/>
      <c r="D621" s="36"/>
      <c r="E621" s="37"/>
      <c r="F621" s="37"/>
      <c r="G621" s="37"/>
      <c r="H621" s="37"/>
      <c r="I621" s="37"/>
      <c r="J621" s="1"/>
    </row>
    <row r="622" ht="15.75" customHeight="1">
      <c r="A622" s="36"/>
      <c r="B622" s="36"/>
      <c r="C622" s="36"/>
      <c r="D622" s="36"/>
      <c r="E622" s="37"/>
      <c r="F622" s="37"/>
      <c r="G622" s="37"/>
      <c r="H622" s="37"/>
      <c r="I622" s="37"/>
      <c r="J622" s="1"/>
    </row>
    <row r="623" ht="15.75" customHeight="1">
      <c r="A623" s="36"/>
      <c r="B623" s="36"/>
      <c r="C623" s="36"/>
      <c r="D623" s="36"/>
      <c r="E623" s="37"/>
      <c r="F623" s="37"/>
      <c r="G623" s="37"/>
      <c r="H623" s="37"/>
      <c r="I623" s="37"/>
      <c r="J623" s="1"/>
    </row>
    <row r="624" ht="15.75" customHeight="1">
      <c r="A624" s="36"/>
      <c r="B624" s="36"/>
      <c r="C624" s="36"/>
      <c r="D624" s="36"/>
      <c r="E624" s="37"/>
      <c r="F624" s="37"/>
      <c r="G624" s="37"/>
      <c r="H624" s="37"/>
      <c r="I624" s="37"/>
      <c r="J624" s="1"/>
    </row>
    <row r="625" ht="15.75" customHeight="1">
      <c r="A625" s="36"/>
      <c r="B625" s="36"/>
      <c r="C625" s="36"/>
      <c r="D625" s="36"/>
      <c r="E625" s="37"/>
      <c r="F625" s="37"/>
      <c r="G625" s="37"/>
      <c r="H625" s="37"/>
      <c r="I625" s="37"/>
      <c r="J625" s="1"/>
    </row>
    <row r="626" ht="15.75" customHeight="1">
      <c r="A626" s="36"/>
      <c r="B626" s="36"/>
      <c r="C626" s="36"/>
      <c r="D626" s="36"/>
      <c r="E626" s="37"/>
      <c r="F626" s="37"/>
      <c r="G626" s="37"/>
      <c r="H626" s="37"/>
      <c r="I626" s="37"/>
      <c r="J626" s="1"/>
    </row>
    <row r="627" ht="15.75" customHeight="1">
      <c r="A627" s="36"/>
      <c r="B627" s="36"/>
      <c r="C627" s="36"/>
      <c r="D627" s="36"/>
      <c r="E627" s="37"/>
      <c r="F627" s="37"/>
      <c r="G627" s="37"/>
      <c r="H627" s="37"/>
      <c r="I627" s="37"/>
      <c r="J627" s="1"/>
    </row>
    <row r="628" ht="15.75" customHeight="1">
      <c r="A628" s="36"/>
      <c r="B628" s="36"/>
      <c r="C628" s="36"/>
      <c r="D628" s="36"/>
      <c r="E628" s="37"/>
      <c r="F628" s="37"/>
      <c r="G628" s="37"/>
      <c r="H628" s="37"/>
      <c r="I628" s="37"/>
      <c r="J628" s="1"/>
    </row>
    <row r="629" ht="15.75" customHeight="1">
      <c r="A629" s="36"/>
      <c r="B629" s="36"/>
      <c r="C629" s="36"/>
      <c r="D629" s="36"/>
      <c r="E629" s="37"/>
      <c r="F629" s="37"/>
      <c r="G629" s="37"/>
      <c r="H629" s="37"/>
      <c r="I629" s="37"/>
      <c r="J629" s="1"/>
    </row>
    <row r="630" ht="15.75" customHeight="1">
      <c r="A630" s="36"/>
      <c r="B630" s="36"/>
      <c r="C630" s="36"/>
      <c r="D630" s="36"/>
      <c r="E630" s="37"/>
      <c r="F630" s="37"/>
      <c r="G630" s="37"/>
      <c r="H630" s="37"/>
      <c r="I630" s="37"/>
      <c r="J630" s="1"/>
    </row>
    <row r="631" ht="15.75" customHeight="1">
      <c r="A631" s="36"/>
      <c r="B631" s="36"/>
      <c r="C631" s="36"/>
      <c r="D631" s="36"/>
      <c r="E631" s="37"/>
      <c r="F631" s="37"/>
      <c r="G631" s="37"/>
      <c r="H631" s="37"/>
      <c r="I631" s="37"/>
      <c r="J631" s="1"/>
    </row>
    <row r="632" ht="15.75" customHeight="1">
      <c r="A632" s="36"/>
      <c r="B632" s="36"/>
      <c r="C632" s="36"/>
      <c r="D632" s="36"/>
      <c r="E632" s="37"/>
      <c r="F632" s="37"/>
      <c r="G632" s="37"/>
      <c r="H632" s="37"/>
      <c r="I632" s="37"/>
      <c r="J632" s="1"/>
    </row>
    <row r="633" ht="15.75" customHeight="1">
      <c r="A633" s="36"/>
      <c r="B633" s="36"/>
      <c r="C633" s="36"/>
      <c r="D633" s="36"/>
      <c r="E633" s="37"/>
      <c r="F633" s="37"/>
      <c r="G633" s="37"/>
      <c r="H633" s="37"/>
      <c r="I633" s="37"/>
      <c r="J633" s="1"/>
    </row>
    <row r="634" ht="15.75" customHeight="1">
      <c r="A634" s="36"/>
      <c r="B634" s="36"/>
      <c r="C634" s="36"/>
      <c r="D634" s="36"/>
      <c r="E634" s="37"/>
      <c r="F634" s="37"/>
      <c r="G634" s="37"/>
      <c r="H634" s="37"/>
      <c r="I634" s="37"/>
      <c r="J634" s="1"/>
    </row>
    <row r="635" ht="15.75" customHeight="1">
      <c r="A635" s="36"/>
      <c r="B635" s="36"/>
      <c r="C635" s="36"/>
      <c r="D635" s="36"/>
      <c r="E635" s="37"/>
      <c r="F635" s="37"/>
      <c r="G635" s="37"/>
      <c r="H635" s="37"/>
      <c r="I635" s="37"/>
      <c r="J635" s="1"/>
    </row>
    <row r="636" ht="15.75" customHeight="1">
      <c r="A636" s="36"/>
      <c r="B636" s="36"/>
      <c r="C636" s="36"/>
      <c r="D636" s="36"/>
      <c r="E636" s="37"/>
      <c r="F636" s="37"/>
      <c r="G636" s="37"/>
      <c r="H636" s="37"/>
      <c r="I636" s="37"/>
      <c r="J636" s="1"/>
    </row>
    <row r="637" ht="15.75" customHeight="1">
      <c r="A637" s="36"/>
      <c r="B637" s="36"/>
      <c r="C637" s="36"/>
      <c r="D637" s="36"/>
      <c r="E637" s="37"/>
      <c r="F637" s="37"/>
      <c r="G637" s="37"/>
      <c r="H637" s="37"/>
      <c r="I637" s="37"/>
      <c r="J637" s="1"/>
    </row>
    <row r="638" ht="15.75" customHeight="1">
      <c r="A638" s="36"/>
      <c r="B638" s="36"/>
      <c r="C638" s="36"/>
      <c r="D638" s="36"/>
      <c r="E638" s="37"/>
      <c r="F638" s="37"/>
      <c r="G638" s="37"/>
      <c r="H638" s="37"/>
      <c r="I638" s="37"/>
      <c r="J638" s="1"/>
    </row>
    <row r="639" ht="15.75" customHeight="1">
      <c r="A639" s="36"/>
      <c r="B639" s="36"/>
      <c r="C639" s="36"/>
      <c r="D639" s="36"/>
      <c r="E639" s="37"/>
      <c r="F639" s="37"/>
      <c r="G639" s="37"/>
      <c r="H639" s="37"/>
      <c r="I639" s="37"/>
      <c r="J639" s="1"/>
    </row>
    <row r="640" ht="15.75" customHeight="1">
      <c r="A640" s="36"/>
      <c r="B640" s="36"/>
      <c r="C640" s="36"/>
      <c r="D640" s="36"/>
      <c r="E640" s="37"/>
      <c r="F640" s="37"/>
      <c r="G640" s="37"/>
      <c r="H640" s="37"/>
      <c r="I640" s="37"/>
      <c r="J640" s="1"/>
    </row>
    <row r="641" ht="15.75" customHeight="1">
      <c r="A641" s="36"/>
      <c r="B641" s="36"/>
      <c r="C641" s="36"/>
      <c r="D641" s="36"/>
      <c r="E641" s="37"/>
      <c r="F641" s="37"/>
      <c r="G641" s="37"/>
      <c r="H641" s="37"/>
      <c r="I641" s="37"/>
      <c r="J641" s="1"/>
    </row>
    <row r="642" ht="15.75" customHeight="1">
      <c r="A642" s="36"/>
      <c r="B642" s="36"/>
      <c r="C642" s="36"/>
      <c r="D642" s="36"/>
      <c r="E642" s="37"/>
      <c r="F642" s="37"/>
      <c r="G642" s="37"/>
      <c r="H642" s="37"/>
      <c r="I642" s="37"/>
      <c r="J642" s="1"/>
    </row>
    <row r="643" ht="15.75" customHeight="1">
      <c r="A643" s="36"/>
      <c r="B643" s="36"/>
      <c r="C643" s="36"/>
      <c r="D643" s="36"/>
      <c r="E643" s="37"/>
      <c r="F643" s="37"/>
      <c r="G643" s="37"/>
      <c r="H643" s="37"/>
      <c r="I643" s="37"/>
      <c r="J643" s="1"/>
    </row>
    <row r="644" ht="15.75" customHeight="1">
      <c r="A644" s="36"/>
      <c r="B644" s="36"/>
      <c r="C644" s="36"/>
      <c r="D644" s="36"/>
      <c r="E644" s="37"/>
      <c r="F644" s="37"/>
      <c r="G644" s="37"/>
      <c r="H644" s="37"/>
      <c r="I644" s="37"/>
      <c r="J644" s="1"/>
    </row>
    <row r="645" ht="15.75" customHeight="1">
      <c r="A645" s="36"/>
      <c r="B645" s="36"/>
      <c r="C645" s="36"/>
      <c r="D645" s="36"/>
      <c r="E645" s="37"/>
      <c r="F645" s="37"/>
      <c r="G645" s="37"/>
      <c r="H645" s="37"/>
      <c r="I645" s="37"/>
      <c r="J645" s="1"/>
    </row>
    <row r="646" ht="15.75" customHeight="1">
      <c r="A646" s="36"/>
      <c r="B646" s="36"/>
      <c r="C646" s="36"/>
      <c r="D646" s="36"/>
      <c r="E646" s="37"/>
      <c r="F646" s="37"/>
      <c r="G646" s="37"/>
      <c r="H646" s="37"/>
      <c r="I646" s="37"/>
      <c r="J646" s="1"/>
    </row>
    <row r="647" ht="15.75" customHeight="1">
      <c r="A647" s="36"/>
      <c r="B647" s="36"/>
      <c r="C647" s="36"/>
      <c r="D647" s="36"/>
      <c r="E647" s="37"/>
      <c r="F647" s="37"/>
      <c r="G647" s="37"/>
      <c r="H647" s="37"/>
      <c r="I647" s="37"/>
      <c r="J647" s="1"/>
    </row>
    <row r="648" ht="15.75" customHeight="1">
      <c r="A648" s="36"/>
      <c r="B648" s="36"/>
      <c r="C648" s="36"/>
      <c r="D648" s="36"/>
      <c r="E648" s="37"/>
      <c r="F648" s="37"/>
      <c r="G648" s="37"/>
      <c r="H648" s="37"/>
      <c r="I648" s="37"/>
      <c r="J648" s="1"/>
    </row>
    <row r="649" ht="15.75" customHeight="1">
      <c r="A649" s="36"/>
      <c r="B649" s="36"/>
      <c r="C649" s="36"/>
      <c r="D649" s="36"/>
      <c r="E649" s="37"/>
      <c r="F649" s="37"/>
      <c r="G649" s="37"/>
      <c r="H649" s="37"/>
      <c r="I649" s="37"/>
      <c r="J649" s="1"/>
    </row>
    <row r="650" ht="15.75" customHeight="1">
      <c r="A650" s="36"/>
      <c r="B650" s="36"/>
      <c r="C650" s="36"/>
      <c r="D650" s="36"/>
      <c r="E650" s="37"/>
      <c r="F650" s="37"/>
      <c r="G650" s="37"/>
      <c r="H650" s="37"/>
      <c r="I650" s="37"/>
      <c r="J650" s="1"/>
    </row>
    <row r="651" ht="15.75" customHeight="1">
      <c r="A651" s="36"/>
      <c r="B651" s="36"/>
      <c r="C651" s="36"/>
      <c r="D651" s="36"/>
      <c r="E651" s="37"/>
      <c r="F651" s="37"/>
      <c r="G651" s="37"/>
      <c r="H651" s="37"/>
      <c r="I651" s="37"/>
      <c r="J651" s="1"/>
    </row>
    <row r="652" ht="15.75" customHeight="1">
      <c r="A652" s="36"/>
      <c r="B652" s="36"/>
      <c r="C652" s="36"/>
      <c r="D652" s="36"/>
      <c r="E652" s="37"/>
      <c r="F652" s="37"/>
      <c r="G652" s="37"/>
      <c r="H652" s="37"/>
      <c r="I652" s="37"/>
      <c r="J652" s="1"/>
    </row>
    <row r="653" ht="15.75" customHeight="1">
      <c r="A653" s="36"/>
      <c r="B653" s="36"/>
      <c r="C653" s="36"/>
      <c r="D653" s="36"/>
      <c r="E653" s="37"/>
      <c r="F653" s="37"/>
      <c r="G653" s="37"/>
      <c r="H653" s="37"/>
      <c r="I653" s="37"/>
      <c r="J653" s="1"/>
    </row>
    <row r="654" ht="15.75" customHeight="1">
      <c r="A654" s="36"/>
      <c r="B654" s="36"/>
      <c r="C654" s="36"/>
      <c r="D654" s="36"/>
      <c r="E654" s="37"/>
      <c r="F654" s="37"/>
      <c r="G654" s="37"/>
      <c r="H654" s="37"/>
      <c r="I654" s="37"/>
      <c r="J654" s="1"/>
    </row>
    <row r="655" ht="15.75" customHeight="1">
      <c r="A655" s="36"/>
      <c r="B655" s="36"/>
      <c r="C655" s="36"/>
      <c r="D655" s="36"/>
      <c r="E655" s="37"/>
      <c r="F655" s="37"/>
      <c r="G655" s="37"/>
      <c r="H655" s="37"/>
      <c r="I655" s="37"/>
      <c r="J655" s="1"/>
    </row>
    <row r="656" ht="15.75" customHeight="1">
      <c r="A656" s="36"/>
      <c r="B656" s="36"/>
      <c r="C656" s="36"/>
      <c r="D656" s="36"/>
      <c r="E656" s="37"/>
      <c r="F656" s="37"/>
      <c r="G656" s="37"/>
      <c r="H656" s="37"/>
      <c r="I656" s="37"/>
      <c r="J656" s="1"/>
    </row>
    <row r="657" ht="15.75" customHeight="1">
      <c r="A657" s="36"/>
      <c r="B657" s="36"/>
      <c r="C657" s="36"/>
      <c r="D657" s="36"/>
      <c r="E657" s="37"/>
      <c r="F657" s="37"/>
      <c r="G657" s="37"/>
      <c r="H657" s="37"/>
      <c r="I657" s="37"/>
      <c r="J657" s="1"/>
    </row>
    <row r="658" ht="15.75" customHeight="1">
      <c r="A658" s="36"/>
      <c r="B658" s="36"/>
      <c r="C658" s="36"/>
      <c r="D658" s="36"/>
      <c r="E658" s="37"/>
      <c r="F658" s="37"/>
      <c r="G658" s="37"/>
      <c r="H658" s="37"/>
      <c r="I658" s="37"/>
      <c r="J658" s="1"/>
    </row>
    <row r="659" ht="15.75" customHeight="1">
      <c r="A659" s="36"/>
      <c r="B659" s="36"/>
      <c r="C659" s="36"/>
      <c r="D659" s="36"/>
      <c r="E659" s="37"/>
      <c r="F659" s="37"/>
      <c r="G659" s="37"/>
      <c r="H659" s="37"/>
      <c r="I659" s="37"/>
      <c r="J659" s="1"/>
    </row>
    <row r="660" ht="15.75" customHeight="1">
      <c r="A660" s="36"/>
      <c r="B660" s="36"/>
      <c r="C660" s="36"/>
      <c r="D660" s="36"/>
      <c r="E660" s="37"/>
      <c r="F660" s="37"/>
      <c r="G660" s="37"/>
      <c r="H660" s="37"/>
      <c r="I660" s="37"/>
      <c r="J660" s="1"/>
    </row>
    <row r="661" ht="15.75" customHeight="1">
      <c r="A661" s="36"/>
      <c r="B661" s="36"/>
      <c r="C661" s="36"/>
      <c r="D661" s="36"/>
      <c r="E661" s="37"/>
      <c r="F661" s="37"/>
      <c r="G661" s="37"/>
      <c r="H661" s="37"/>
      <c r="I661" s="37"/>
      <c r="J661" s="1"/>
    </row>
    <row r="662" ht="15.75" customHeight="1">
      <c r="A662" s="36"/>
      <c r="B662" s="36"/>
      <c r="C662" s="36"/>
      <c r="D662" s="36"/>
      <c r="E662" s="37"/>
      <c r="F662" s="37"/>
      <c r="G662" s="37"/>
      <c r="H662" s="37"/>
      <c r="I662" s="37"/>
      <c r="J662" s="1"/>
    </row>
    <row r="663" ht="15.75" customHeight="1">
      <c r="A663" s="36"/>
      <c r="B663" s="36"/>
      <c r="C663" s="36"/>
      <c r="D663" s="36"/>
      <c r="E663" s="37"/>
      <c r="F663" s="37"/>
      <c r="G663" s="37"/>
      <c r="H663" s="37"/>
      <c r="I663" s="37"/>
      <c r="J663" s="1"/>
    </row>
    <row r="664" ht="15.75" customHeight="1">
      <c r="A664" s="36"/>
      <c r="B664" s="36"/>
      <c r="C664" s="36"/>
      <c r="D664" s="36"/>
      <c r="E664" s="37"/>
      <c r="F664" s="37"/>
      <c r="G664" s="37"/>
      <c r="H664" s="37"/>
      <c r="I664" s="37"/>
      <c r="J664" s="1"/>
    </row>
    <row r="665" ht="15.75" customHeight="1">
      <c r="A665" s="36"/>
      <c r="B665" s="36"/>
      <c r="C665" s="36"/>
      <c r="D665" s="36"/>
      <c r="E665" s="37"/>
      <c r="F665" s="37"/>
      <c r="G665" s="37"/>
      <c r="H665" s="37"/>
      <c r="I665" s="37"/>
      <c r="J665" s="1"/>
    </row>
    <row r="666" ht="15.75" customHeight="1">
      <c r="A666" s="36"/>
      <c r="B666" s="36"/>
      <c r="C666" s="36"/>
      <c r="D666" s="36"/>
      <c r="E666" s="37"/>
      <c r="F666" s="37"/>
      <c r="G666" s="37"/>
      <c r="H666" s="37"/>
      <c r="I666" s="37"/>
      <c r="J666" s="1"/>
    </row>
    <row r="667" ht="15.75" customHeight="1">
      <c r="A667" s="36"/>
      <c r="B667" s="36"/>
      <c r="C667" s="36"/>
      <c r="D667" s="36"/>
      <c r="E667" s="37"/>
      <c r="F667" s="37"/>
      <c r="G667" s="37"/>
      <c r="H667" s="37"/>
      <c r="I667" s="37"/>
      <c r="J667" s="1"/>
    </row>
    <row r="668" ht="15.75" customHeight="1">
      <c r="A668" s="36"/>
      <c r="B668" s="36"/>
      <c r="C668" s="36"/>
      <c r="D668" s="36"/>
      <c r="E668" s="37"/>
      <c r="F668" s="37"/>
      <c r="G668" s="37"/>
      <c r="H668" s="37"/>
      <c r="I668" s="37"/>
      <c r="J668" s="1"/>
    </row>
    <row r="669" ht="15.75" customHeight="1">
      <c r="A669" s="36"/>
      <c r="B669" s="36"/>
      <c r="C669" s="36"/>
      <c r="D669" s="36"/>
      <c r="E669" s="37"/>
      <c r="F669" s="37"/>
      <c r="G669" s="37"/>
      <c r="H669" s="37"/>
      <c r="I669" s="37"/>
      <c r="J669" s="1"/>
    </row>
    <row r="670" ht="15.75" customHeight="1">
      <c r="A670" s="36"/>
      <c r="B670" s="36"/>
      <c r="C670" s="36"/>
      <c r="D670" s="36"/>
      <c r="E670" s="37"/>
      <c r="F670" s="37"/>
      <c r="G670" s="37"/>
      <c r="H670" s="37"/>
      <c r="I670" s="37"/>
      <c r="J670" s="1"/>
    </row>
    <row r="671" ht="15.75" customHeight="1">
      <c r="A671" s="36"/>
      <c r="B671" s="36"/>
      <c r="C671" s="36"/>
      <c r="D671" s="36"/>
      <c r="E671" s="37"/>
      <c r="F671" s="37"/>
      <c r="G671" s="37"/>
      <c r="H671" s="37"/>
      <c r="I671" s="37"/>
      <c r="J671" s="1"/>
    </row>
    <row r="672" ht="15.75" customHeight="1">
      <c r="A672" s="36"/>
      <c r="B672" s="36"/>
      <c r="C672" s="36"/>
      <c r="D672" s="36"/>
      <c r="E672" s="37"/>
      <c r="F672" s="37"/>
      <c r="G672" s="37"/>
      <c r="H672" s="37"/>
      <c r="I672" s="37"/>
      <c r="J672" s="1"/>
    </row>
    <row r="673" ht="15.75" customHeight="1">
      <c r="A673" s="36"/>
      <c r="B673" s="36"/>
      <c r="C673" s="36"/>
      <c r="D673" s="36"/>
      <c r="E673" s="37"/>
      <c r="F673" s="37"/>
      <c r="G673" s="37"/>
      <c r="H673" s="37"/>
      <c r="I673" s="37"/>
      <c r="J673" s="1"/>
    </row>
    <row r="674" ht="15.75" customHeight="1">
      <c r="A674" s="36"/>
      <c r="B674" s="36"/>
      <c r="C674" s="36"/>
      <c r="D674" s="36"/>
      <c r="E674" s="37"/>
      <c r="F674" s="37"/>
      <c r="G674" s="37"/>
      <c r="H674" s="37"/>
      <c r="I674" s="37"/>
      <c r="J674" s="1"/>
    </row>
    <row r="675" ht="15.75" customHeight="1">
      <c r="A675" s="36"/>
      <c r="B675" s="36"/>
      <c r="C675" s="36"/>
      <c r="D675" s="36"/>
      <c r="E675" s="37"/>
      <c r="F675" s="37"/>
      <c r="G675" s="37"/>
      <c r="H675" s="37"/>
      <c r="I675" s="37"/>
      <c r="J675" s="1"/>
    </row>
    <row r="676" ht="15.75" customHeight="1">
      <c r="A676" s="36"/>
      <c r="B676" s="36"/>
      <c r="C676" s="36"/>
      <c r="D676" s="36"/>
      <c r="E676" s="37"/>
      <c r="F676" s="37"/>
      <c r="G676" s="37"/>
      <c r="H676" s="37"/>
      <c r="I676" s="37"/>
      <c r="J676" s="1"/>
    </row>
    <row r="677" ht="15.75" customHeight="1">
      <c r="A677" s="36"/>
      <c r="B677" s="36"/>
      <c r="C677" s="36"/>
      <c r="D677" s="36"/>
      <c r="E677" s="37"/>
      <c r="F677" s="37"/>
      <c r="G677" s="37"/>
      <c r="H677" s="37"/>
      <c r="I677" s="37"/>
      <c r="J677" s="1"/>
    </row>
    <row r="678" ht="15.75" customHeight="1">
      <c r="A678" s="36"/>
      <c r="B678" s="36"/>
      <c r="C678" s="36"/>
      <c r="D678" s="36"/>
      <c r="E678" s="37"/>
      <c r="F678" s="37"/>
      <c r="G678" s="37"/>
      <c r="H678" s="37"/>
      <c r="I678" s="37"/>
      <c r="J678" s="1"/>
    </row>
    <row r="679" ht="15.75" customHeight="1">
      <c r="A679" s="36"/>
      <c r="B679" s="36"/>
      <c r="C679" s="36"/>
      <c r="D679" s="36"/>
      <c r="E679" s="37"/>
      <c r="F679" s="37"/>
      <c r="G679" s="37"/>
      <c r="H679" s="37"/>
      <c r="I679" s="37"/>
      <c r="J679" s="1"/>
    </row>
    <row r="680" ht="15.75" customHeight="1">
      <c r="A680" s="36"/>
      <c r="B680" s="36"/>
      <c r="C680" s="36"/>
      <c r="D680" s="36"/>
      <c r="E680" s="37"/>
      <c r="F680" s="37"/>
      <c r="G680" s="37"/>
      <c r="H680" s="37"/>
      <c r="I680" s="37"/>
      <c r="J680" s="1"/>
    </row>
    <row r="681" ht="15.75" customHeight="1">
      <c r="A681" s="36"/>
      <c r="B681" s="36"/>
      <c r="C681" s="36"/>
      <c r="D681" s="36"/>
      <c r="E681" s="37"/>
      <c r="F681" s="37"/>
      <c r="G681" s="37"/>
      <c r="H681" s="37"/>
      <c r="I681" s="37"/>
      <c r="J681" s="1"/>
    </row>
    <row r="682" ht="15.75" customHeight="1">
      <c r="A682" s="36"/>
      <c r="B682" s="36"/>
      <c r="C682" s="36"/>
      <c r="D682" s="36"/>
      <c r="E682" s="37"/>
      <c r="F682" s="37"/>
      <c r="G682" s="37"/>
      <c r="H682" s="37"/>
      <c r="I682" s="37"/>
      <c r="J682" s="1"/>
    </row>
    <row r="683" ht="15.75" customHeight="1">
      <c r="A683" s="36"/>
      <c r="B683" s="36"/>
      <c r="C683" s="36"/>
      <c r="D683" s="36"/>
      <c r="E683" s="37"/>
      <c r="F683" s="37"/>
      <c r="G683" s="37"/>
      <c r="H683" s="37"/>
      <c r="I683" s="37"/>
      <c r="J683" s="1"/>
    </row>
    <row r="684" ht="15.75" customHeight="1">
      <c r="A684" s="36"/>
      <c r="B684" s="36"/>
      <c r="C684" s="36"/>
      <c r="D684" s="36"/>
      <c r="E684" s="37"/>
      <c r="F684" s="37"/>
      <c r="G684" s="37"/>
      <c r="H684" s="37"/>
      <c r="I684" s="37"/>
      <c r="J684" s="1"/>
    </row>
    <row r="685" ht="15.75" customHeight="1">
      <c r="A685" s="36"/>
      <c r="B685" s="36"/>
      <c r="C685" s="36"/>
      <c r="D685" s="36"/>
      <c r="E685" s="37"/>
      <c r="F685" s="37"/>
      <c r="G685" s="37"/>
      <c r="H685" s="37"/>
      <c r="I685" s="37"/>
      <c r="J685" s="1"/>
    </row>
    <row r="686" ht="15.75" customHeight="1">
      <c r="A686" s="36"/>
      <c r="B686" s="36"/>
      <c r="C686" s="36"/>
      <c r="D686" s="36"/>
      <c r="E686" s="37"/>
      <c r="F686" s="37"/>
      <c r="G686" s="37"/>
      <c r="H686" s="37"/>
      <c r="I686" s="37"/>
      <c r="J686" s="1"/>
    </row>
    <row r="687" ht="15.75" customHeight="1">
      <c r="A687" s="36"/>
      <c r="B687" s="36"/>
      <c r="C687" s="36"/>
      <c r="D687" s="36"/>
      <c r="E687" s="37"/>
      <c r="F687" s="37"/>
      <c r="G687" s="37"/>
      <c r="H687" s="37"/>
      <c r="I687" s="37"/>
      <c r="J687" s="1"/>
    </row>
    <row r="688" ht="15.75" customHeight="1">
      <c r="A688" s="36"/>
      <c r="B688" s="36"/>
      <c r="C688" s="36"/>
      <c r="D688" s="36"/>
      <c r="E688" s="37"/>
      <c r="F688" s="37"/>
      <c r="G688" s="37"/>
      <c r="H688" s="37"/>
      <c r="I688" s="37"/>
      <c r="J688" s="1"/>
    </row>
    <row r="689" ht="15.75" customHeight="1">
      <c r="A689" s="36"/>
      <c r="B689" s="36"/>
      <c r="C689" s="36"/>
      <c r="D689" s="36"/>
      <c r="E689" s="37"/>
      <c r="F689" s="37"/>
      <c r="G689" s="37"/>
      <c r="H689" s="37"/>
      <c r="I689" s="37"/>
      <c r="J689" s="1"/>
    </row>
    <row r="690" ht="15.75" customHeight="1">
      <c r="A690" s="36"/>
      <c r="B690" s="36"/>
      <c r="C690" s="36"/>
      <c r="D690" s="36"/>
      <c r="E690" s="37"/>
      <c r="F690" s="37"/>
      <c r="G690" s="37"/>
      <c r="H690" s="37"/>
      <c r="I690" s="37"/>
      <c r="J690" s="1"/>
    </row>
    <row r="691" ht="15.75" customHeight="1">
      <c r="A691" s="36"/>
      <c r="B691" s="36"/>
      <c r="C691" s="36"/>
      <c r="D691" s="36"/>
      <c r="E691" s="37"/>
      <c r="F691" s="37"/>
      <c r="G691" s="37"/>
      <c r="H691" s="37"/>
      <c r="I691" s="37"/>
      <c r="J691" s="1"/>
    </row>
    <row r="692" ht="15.75" customHeight="1">
      <c r="A692" s="36"/>
      <c r="B692" s="36"/>
      <c r="C692" s="36"/>
      <c r="D692" s="36"/>
      <c r="E692" s="37"/>
      <c r="F692" s="37"/>
      <c r="G692" s="37"/>
      <c r="H692" s="37"/>
      <c r="I692" s="37"/>
      <c r="J692" s="1"/>
    </row>
    <row r="693" ht="15.75" customHeight="1">
      <c r="A693" s="36"/>
      <c r="B693" s="36"/>
      <c r="C693" s="36"/>
      <c r="D693" s="36"/>
      <c r="E693" s="37"/>
      <c r="F693" s="37"/>
      <c r="G693" s="37"/>
      <c r="H693" s="37"/>
      <c r="I693" s="37"/>
      <c r="J693" s="1"/>
    </row>
    <row r="694" ht="15.75" customHeight="1">
      <c r="A694" s="36"/>
      <c r="B694" s="36"/>
      <c r="C694" s="36"/>
      <c r="D694" s="36"/>
      <c r="E694" s="37"/>
      <c r="F694" s="37"/>
      <c r="G694" s="37"/>
      <c r="H694" s="37"/>
      <c r="I694" s="37"/>
      <c r="J694" s="1"/>
    </row>
    <row r="695" ht="15.75" customHeight="1">
      <c r="A695" s="36"/>
      <c r="B695" s="36"/>
      <c r="C695" s="36"/>
      <c r="D695" s="36"/>
      <c r="E695" s="37"/>
      <c r="F695" s="37"/>
      <c r="G695" s="37"/>
      <c r="H695" s="37"/>
      <c r="I695" s="37"/>
      <c r="J695" s="1"/>
    </row>
    <row r="696" ht="15.75" customHeight="1">
      <c r="A696" s="36"/>
      <c r="B696" s="36"/>
      <c r="C696" s="36"/>
      <c r="D696" s="36"/>
      <c r="E696" s="37"/>
      <c r="F696" s="37"/>
      <c r="G696" s="37"/>
      <c r="H696" s="37"/>
      <c r="I696" s="37"/>
      <c r="J696" s="1"/>
    </row>
    <row r="697" ht="15.75" customHeight="1">
      <c r="A697" s="36"/>
      <c r="B697" s="36"/>
      <c r="C697" s="36"/>
      <c r="D697" s="36"/>
      <c r="E697" s="37"/>
      <c r="F697" s="37"/>
      <c r="G697" s="37"/>
      <c r="H697" s="37"/>
      <c r="I697" s="37"/>
      <c r="J697" s="1"/>
    </row>
    <row r="698" ht="15.75" customHeight="1">
      <c r="A698" s="36"/>
      <c r="B698" s="36"/>
      <c r="C698" s="36"/>
      <c r="D698" s="36"/>
      <c r="E698" s="37"/>
      <c r="F698" s="37"/>
      <c r="G698" s="37"/>
      <c r="H698" s="37"/>
      <c r="I698" s="37"/>
      <c r="J698" s="1"/>
    </row>
    <row r="699" ht="15.75" customHeight="1">
      <c r="A699" s="36"/>
      <c r="B699" s="36"/>
      <c r="C699" s="36"/>
      <c r="D699" s="36"/>
      <c r="E699" s="37"/>
      <c r="F699" s="37"/>
      <c r="G699" s="37"/>
      <c r="H699" s="37"/>
      <c r="I699" s="37"/>
      <c r="J699" s="1"/>
    </row>
    <row r="700" ht="15.75" customHeight="1">
      <c r="A700" s="36"/>
      <c r="B700" s="36"/>
      <c r="C700" s="36"/>
      <c r="D700" s="36"/>
      <c r="E700" s="37"/>
      <c r="F700" s="37"/>
      <c r="G700" s="37"/>
      <c r="H700" s="37"/>
      <c r="I700" s="37"/>
      <c r="J700" s="1"/>
    </row>
    <row r="701" ht="15.75" customHeight="1">
      <c r="A701" s="36"/>
      <c r="B701" s="36"/>
      <c r="C701" s="36"/>
      <c r="D701" s="36"/>
      <c r="E701" s="37"/>
      <c r="F701" s="37"/>
      <c r="G701" s="37"/>
      <c r="H701" s="37"/>
      <c r="I701" s="37"/>
      <c r="J701" s="1"/>
    </row>
    <row r="702" ht="15.75" customHeight="1">
      <c r="A702" s="36"/>
      <c r="B702" s="36"/>
      <c r="C702" s="36"/>
      <c r="D702" s="36"/>
      <c r="E702" s="37"/>
      <c r="F702" s="37"/>
      <c r="G702" s="37"/>
      <c r="H702" s="37"/>
      <c r="I702" s="37"/>
      <c r="J702" s="1"/>
    </row>
    <row r="703" ht="15.75" customHeight="1">
      <c r="A703" s="36"/>
      <c r="B703" s="36"/>
      <c r="C703" s="36"/>
      <c r="D703" s="36"/>
      <c r="E703" s="37"/>
      <c r="F703" s="37"/>
      <c r="G703" s="37"/>
      <c r="H703" s="37"/>
      <c r="I703" s="37"/>
      <c r="J703" s="1"/>
    </row>
    <row r="704" ht="15.75" customHeight="1">
      <c r="A704" s="36"/>
      <c r="B704" s="36"/>
      <c r="C704" s="36"/>
      <c r="D704" s="36"/>
      <c r="E704" s="37"/>
      <c r="F704" s="37"/>
      <c r="G704" s="37"/>
      <c r="H704" s="37"/>
      <c r="I704" s="37"/>
      <c r="J704" s="1"/>
    </row>
    <row r="705" ht="15.75" customHeight="1">
      <c r="A705" s="36"/>
      <c r="B705" s="36"/>
      <c r="C705" s="36"/>
      <c r="D705" s="36"/>
      <c r="E705" s="37"/>
      <c r="F705" s="37"/>
      <c r="G705" s="37"/>
      <c r="H705" s="37"/>
      <c r="I705" s="37"/>
      <c r="J705" s="1"/>
    </row>
    <row r="706" ht="15.75" customHeight="1">
      <c r="A706" s="36"/>
      <c r="B706" s="36"/>
      <c r="C706" s="36"/>
      <c r="D706" s="36"/>
      <c r="E706" s="37"/>
      <c r="F706" s="37"/>
      <c r="G706" s="37"/>
      <c r="H706" s="37"/>
      <c r="I706" s="37"/>
      <c r="J706" s="1"/>
    </row>
    <row r="707" ht="15.75" customHeight="1">
      <c r="A707" s="36"/>
      <c r="B707" s="36"/>
      <c r="C707" s="36"/>
      <c r="D707" s="36"/>
      <c r="E707" s="37"/>
      <c r="F707" s="37"/>
      <c r="G707" s="37"/>
      <c r="H707" s="37"/>
      <c r="I707" s="37"/>
      <c r="J707" s="1"/>
    </row>
    <row r="708" ht="15.75" customHeight="1">
      <c r="A708" s="36"/>
      <c r="B708" s="36"/>
      <c r="C708" s="36"/>
      <c r="D708" s="36"/>
      <c r="E708" s="37"/>
      <c r="F708" s="37"/>
      <c r="G708" s="37"/>
      <c r="H708" s="37"/>
      <c r="I708" s="37"/>
      <c r="J708" s="1"/>
    </row>
    <row r="709" ht="15.75" customHeight="1">
      <c r="A709" s="36"/>
      <c r="B709" s="36"/>
      <c r="C709" s="36"/>
      <c r="D709" s="36"/>
      <c r="E709" s="37"/>
      <c r="F709" s="37"/>
      <c r="G709" s="37"/>
      <c r="H709" s="37"/>
      <c r="I709" s="37"/>
      <c r="J709" s="1"/>
    </row>
    <row r="710" ht="15.75" customHeight="1">
      <c r="A710" s="36"/>
      <c r="B710" s="36"/>
      <c r="C710" s="36"/>
      <c r="D710" s="36"/>
      <c r="E710" s="37"/>
      <c r="F710" s="37"/>
      <c r="G710" s="37"/>
      <c r="H710" s="37"/>
      <c r="I710" s="37"/>
      <c r="J710" s="1"/>
    </row>
    <row r="711" ht="15.75" customHeight="1">
      <c r="A711" s="36"/>
      <c r="B711" s="36"/>
      <c r="C711" s="36"/>
      <c r="D711" s="36"/>
      <c r="E711" s="37"/>
      <c r="F711" s="37"/>
      <c r="G711" s="37"/>
      <c r="H711" s="37"/>
      <c r="I711" s="37"/>
      <c r="J711" s="1"/>
    </row>
    <row r="712" ht="15.75" customHeight="1">
      <c r="A712" s="36"/>
      <c r="B712" s="36"/>
      <c r="C712" s="36"/>
      <c r="D712" s="36"/>
      <c r="E712" s="37"/>
      <c r="F712" s="37"/>
      <c r="G712" s="37"/>
      <c r="H712" s="37"/>
      <c r="I712" s="37"/>
      <c r="J712" s="1"/>
    </row>
    <row r="713" ht="15.75" customHeight="1">
      <c r="A713" s="36"/>
      <c r="B713" s="36"/>
      <c r="C713" s="36"/>
      <c r="D713" s="36"/>
      <c r="E713" s="37"/>
      <c r="F713" s="37"/>
      <c r="G713" s="37"/>
      <c r="H713" s="37"/>
      <c r="I713" s="37"/>
      <c r="J713" s="1"/>
    </row>
    <row r="714" ht="15.75" customHeight="1">
      <c r="A714" s="36"/>
      <c r="B714" s="36"/>
      <c r="C714" s="36"/>
      <c r="D714" s="36"/>
      <c r="E714" s="37"/>
      <c r="F714" s="37"/>
      <c r="G714" s="37"/>
      <c r="H714" s="37"/>
      <c r="I714" s="37"/>
      <c r="J714" s="1"/>
    </row>
    <row r="715" ht="15.75" customHeight="1">
      <c r="A715" s="36"/>
      <c r="B715" s="36"/>
      <c r="C715" s="36"/>
      <c r="D715" s="36"/>
      <c r="E715" s="37"/>
      <c r="F715" s="37"/>
      <c r="G715" s="37"/>
      <c r="H715" s="37"/>
      <c r="I715" s="37"/>
      <c r="J715" s="1"/>
    </row>
    <row r="716" ht="15.75" customHeight="1">
      <c r="A716" s="36"/>
      <c r="B716" s="36"/>
      <c r="C716" s="36"/>
      <c r="D716" s="36"/>
      <c r="E716" s="37"/>
      <c r="F716" s="37"/>
      <c r="G716" s="37"/>
      <c r="H716" s="37"/>
      <c r="I716" s="37"/>
      <c r="J716" s="1"/>
    </row>
    <row r="717" ht="15.75" customHeight="1">
      <c r="A717" s="36"/>
      <c r="B717" s="36"/>
      <c r="C717" s="36"/>
      <c r="D717" s="36"/>
      <c r="E717" s="37"/>
      <c r="F717" s="37"/>
      <c r="G717" s="37"/>
      <c r="H717" s="37"/>
      <c r="I717" s="37"/>
      <c r="J717" s="1"/>
    </row>
    <row r="718" ht="15.75" customHeight="1">
      <c r="A718" s="36"/>
      <c r="B718" s="36"/>
      <c r="C718" s="36"/>
      <c r="D718" s="36"/>
      <c r="E718" s="37"/>
      <c r="F718" s="37"/>
      <c r="G718" s="37"/>
      <c r="H718" s="37"/>
      <c r="I718" s="37"/>
      <c r="J718" s="1"/>
    </row>
    <row r="719" ht="15.75" customHeight="1">
      <c r="A719" s="36"/>
      <c r="B719" s="36"/>
      <c r="C719" s="36"/>
      <c r="D719" s="36"/>
      <c r="E719" s="37"/>
      <c r="F719" s="37"/>
      <c r="G719" s="37"/>
      <c r="H719" s="37"/>
      <c r="I719" s="37"/>
      <c r="J719" s="1"/>
    </row>
    <row r="720" ht="15.75" customHeight="1">
      <c r="A720" s="36"/>
      <c r="B720" s="36"/>
      <c r="C720" s="36"/>
      <c r="D720" s="36"/>
      <c r="E720" s="37"/>
      <c r="F720" s="37"/>
      <c r="G720" s="37"/>
      <c r="H720" s="37"/>
      <c r="I720" s="37"/>
      <c r="J720" s="1"/>
    </row>
    <row r="721" ht="15.75" customHeight="1">
      <c r="A721" s="36"/>
      <c r="B721" s="36"/>
      <c r="C721" s="36"/>
      <c r="D721" s="36"/>
      <c r="E721" s="37"/>
      <c r="F721" s="37"/>
      <c r="G721" s="37"/>
      <c r="H721" s="37"/>
      <c r="I721" s="37"/>
      <c r="J721" s="1"/>
    </row>
    <row r="722" ht="15.75" customHeight="1">
      <c r="A722" s="36"/>
      <c r="B722" s="36"/>
      <c r="C722" s="36"/>
      <c r="D722" s="36"/>
      <c r="E722" s="37"/>
      <c r="F722" s="37"/>
      <c r="G722" s="37"/>
      <c r="H722" s="37"/>
      <c r="I722" s="37"/>
      <c r="J722" s="1"/>
    </row>
    <row r="723" ht="15.75" customHeight="1">
      <c r="A723" s="36"/>
      <c r="B723" s="36"/>
      <c r="C723" s="36"/>
      <c r="D723" s="36"/>
      <c r="E723" s="37"/>
      <c r="F723" s="37"/>
      <c r="G723" s="37"/>
      <c r="H723" s="37"/>
      <c r="I723" s="37"/>
      <c r="J723" s="1"/>
    </row>
    <row r="724" ht="15.75" customHeight="1">
      <c r="A724" s="36"/>
      <c r="B724" s="36"/>
      <c r="C724" s="36"/>
      <c r="D724" s="36"/>
      <c r="E724" s="37"/>
      <c r="F724" s="37"/>
      <c r="G724" s="37"/>
      <c r="H724" s="37"/>
      <c r="I724" s="37"/>
      <c r="J724" s="1"/>
    </row>
    <row r="725" ht="15.75" customHeight="1">
      <c r="A725" s="36"/>
      <c r="B725" s="36"/>
      <c r="C725" s="36"/>
      <c r="D725" s="36"/>
      <c r="E725" s="37"/>
      <c r="F725" s="37"/>
      <c r="G725" s="37"/>
      <c r="H725" s="37"/>
      <c r="I725" s="37"/>
      <c r="J725" s="1"/>
    </row>
    <row r="726" ht="15.75" customHeight="1">
      <c r="A726" s="36"/>
      <c r="B726" s="36"/>
      <c r="C726" s="36"/>
      <c r="D726" s="36"/>
      <c r="E726" s="37"/>
      <c r="F726" s="37"/>
      <c r="G726" s="37"/>
      <c r="H726" s="37"/>
      <c r="I726" s="37"/>
      <c r="J726" s="1"/>
    </row>
    <row r="727" ht="15.75" customHeight="1">
      <c r="A727" s="36"/>
      <c r="B727" s="36"/>
      <c r="C727" s="36"/>
      <c r="D727" s="36"/>
      <c r="E727" s="37"/>
      <c r="F727" s="37"/>
      <c r="G727" s="37"/>
      <c r="H727" s="37"/>
      <c r="I727" s="37"/>
      <c r="J727" s="1"/>
    </row>
    <row r="728" ht="15.75" customHeight="1">
      <c r="A728" s="36"/>
      <c r="B728" s="36"/>
      <c r="C728" s="36"/>
      <c r="D728" s="36"/>
      <c r="E728" s="37"/>
      <c r="F728" s="37"/>
      <c r="G728" s="37"/>
      <c r="H728" s="37"/>
      <c r="I728" s="37"/>
      <c r="J728" s="1"/>
    </row>
    <row r="729" ht="15.75" customHeight="1">
      <c r="A729" s="36"/>
      <c r="B729" s="36"/>
      <c r="C729" s="36"/>
      <c r="D729" s="36"/>
      <c r="E729" s="37"/>
      <c r="F729" s="37"/>
      <c r="G729" s="37"/>
      <c r="H729" s="37"/>
      <c r="I729" s="37"/>
      <c r="J729" s="1"/>
    </row>
    <row r="730" ht="15.75" customHeight="1">
      <c r="A730" s="36"/>
      <c r="B730" s="36"/>
      <c r="C730" s="36"/>
      <c r="D730" s="36"/>
      <c r="E730" s="37"/>
      <c r="F730" s="37"/>
      <c r="G730" s="37"/>
      <c r="H730" s="37"/>
      <c r="I730" s="37"/>
      <c r="J730" s="1"/>
    </row>
    <row r="731" ht="15.75" customHeight="1">
      <c r="A731" s="36"/>
      <c r="B731" s="36"/>
      <c r="C731" s="36"/>
      <c r="D731" s="36"/>
      <c r="E731" s="37"/>
      <c r="F731" s="37"/>
      <c r="G731" s="37"/>
      <c r="H731" s="37"/>
      <c r="I731" s="37"/>
      <c r="J731" s="1"/>
    </row>
    <row r="732" ht="15.75" customHeight="1">
      <c r="A732" s="36"/>
      <c r="B732" s="36"/>
      <c r="C732" s="36"/>
      <c r="D732" s="36"/>
      <c r="E732" s="37"/>
      <c r="F732" s="37"/>
      <c r="G732" s="37"/>
      <c r="H732" s="37"/>
      <c r="I732" s="37"/>
      <c r="J732" s="1"/>
    </row>
    <row r="733" ht="15.75" customHeight="1">
      <c r="A733" s="36"/>
      <c r="B733" s="36"/>
      <c r="C733" s="36"/>
      <c r="D733" s="36"/>
      <c r="E733" s="37"/>
      <c r="F733" s="37"/>
      <c r="G733" s="37"/>
      <c r="H733" s="37"/>
      <c r="I733" s="37"/>
      <c r="J733" s="1"/>
    </row>
    <row r="734" ht="15.75" customHeight="1">
      <c r="A734" s="36"/>
      <c r="B734" s="36"/>
      <c r="C734" s="36"/>
      <c r="D734" s="36"/>
      <c r="E734" s="37"/>
      <c r="F734" s="37"/>
      <c r="G734" s="37"/>
      <c r="H734" s="37"/>
      <c r="I734" s="37"/>
      <c r="J734" s="1"/>
    </row>
    <row r="735" ht="15.75" customHeight="1">
      <c r="A735" s="36"/>
      <c r="B735" s="36"/>
      <c r="C735" s="36"/>
      <c r="D735" s="36"/>
      <c r="E735" s="37"/>
      <c r="F735" s="37"/>
      <c r="G735" s="37"/>
      <c r="H735" s="37"/>
      <c r="I735" s="37"/>
      <c r="J735" s="1"/>
    </row>
    <row r="736" ht="15.75" customHeight="1">
      <c r="A736" s="36"/>
      <c r="B736" s="36"/>
      <c r="C736" s="36"/>
      <c r="D736" s="36"/>
      <c r="E736" s="37"/>
      <c r="F736" s="37"/>
      <c r="G736" s="37"/>
      <c r="H736" s="37"/>
      <c r="I736" s="37"/>
      <c r="J736" s="1"/>
    </row>
    <row r="737" ht="15.75" customHeight="1">
      <c r="A737" s="36"/>
      <c r="B737" s="36"/>
      <c r="C737" s="36"/>
      <c r="D737" s="36"/>
      <c r="E737" s="37"/>
      <c r="F737" s="37"/>
      <c r="G737" s="37"/>
      <c r="H737" s="37"/>
      <c r="I737" s="37"/>
      <c r="J737" s="1"/>
    </row>
    <row r="738" ht="15.75" customHeight="1">
      <c r="A738" s="36"/>
      <c r="B738" s="36"/>
      <c r="C738" s="36"/>
      <c r="D738" s="36"/>
      <c r="E738" s="37"/>
      <c r="F738" s="37"/>
      <c r="G738" s="37"/>
      <c r="H738" s="37"/>
      <c r="I738" s="37"/>
      <c r="J738" s="1"/>
    </row>
    <row r="739" ht="15.75" customHeight="1">
      <c r="A739" s="36"/>
      <c r="B739" s="36"/>
      <c r="C739" s="36"/>
      <c r="D739" s="36"/>
      <c r="E739" s="37"/>
      <c r="F739" s="37"/>
      <c r="G739" s="37"/>
      <c r="H739" s="37"/>
      <c r="I739" s="37"/>
      <c r="J739" s="1"/>
    </row>
    <row r="740" ht="15.75" customHeight="1">
      <c r="A740" s="36"/>
      <c r="B740" s="36"/>
      <c r="C740" s="36"/>
      <c r="D740" s="36"/>
      <c r="E740" s="37"/>
      <c r="F740" s="37"/>
      <c r="G740" s="37"/>
      <c r="H740" s="37"/>
      <c r="I740" s="37"/>
      <c r="J740" s="1"/>
    </row>
    <row r="741" ht="15.75" customHeight="1">
      <c r="A741" s="36"/>
      <c r="B741" s="36"/>
      <c r="C741" s="36"/>
      <c r="D741" s="36"/>
      <c r="E741" s="37"/>
      <c r="F741" s="37"/>
      <c r="G741" s="37"/>
      <c r="H741" s="37"/>
      <c r="I741" s="37"/>
      <c r="J741" s="1"/>
    </row>
    <row r="742" ht="15.75" customHeight="1">
      <c r="A742" s="36"/>
      <c r="B742" s="36"/>
      <c r="C742" s="36"/>
      <c r="D742" s="36"/>
      <c r="E742" s="37"/>
      <c r="F742" s="37"/>
      <c r="G742" s="37"/>
      <c r="H742" s="37"/>
      <c r="I742" s="37"/>
      <c r="J742" s="1"/>
    </row>
    <row r="743" ht="15.75" customHeight="1">
      <c r="A743" s="36"/>
      <c r="B743" s="36"/>
      <c r="C743" s="36"/>
      <c r="D743" s="36"/>
      <c r="E743" s="37"/>
      <c r="F743" s="37"/>
      <c r="G743" s="37"/>
      <c r="H743" s="37"/>
      <c r="I743" s="37"/>
      <c r="J743" s="1"/>
    </row>
    <row r="744" ht="15.75" customHeight="1">
      <c r="A744" s="36"/>
      <c r="B744" s="36"/>
      <c r="C744" s="36"/>
      <c r="D744" s="36"/>
      <c r="E744" s="37"/>
      <c r="F744" s="37"/>
      <c r="G744" s="37"/>
      <c r="H744" s="37"/>
      <c r="I744" s="37"/>
      <c r="J744" s="1"/>
    </row>
    <row r="745" ht="15.75" customHeight="1">
      <c r="A745" s="36"/>
      <c r="B745" s="36"/>
      <c r="C745" s="36"/>
      <c r="D745" s="36"/>
      <c r="E745" s="37"/>
      <c r="F745" s="37"/>
      <c r="G745" s="37"/>
      <c r="H745" s="37"/>
      <c r="I745" s="37"/>
      <c r="J745" s="1"/>
    </row>
    <row r="746" ht="15.75" customHeight="1">
      <c r="A746" s="36"/>
      <c r="B746" s="36"/>
      <c r="C746" s="36"/>
      <c r="D746" s="36"/>
      <c r="E746" s="37"/>
      <c r="F746" s="37"/>
      <c r="G746" s="37"/>
      <c r="H746" s="37"/>
      <c r="I746" s="37"/>
      <c r="J746" s="1"/>
    </row>
    <row r="747" ht="15.75" customHeight="1">
      <c r="A747" s="36"/>
      <c r="B747" s="36"/>
      <c r="C747" s="36"/>
      <c r="D747" s="36"/>
      <c r="E747" s="37"/>
      <c r="F747" s="37"/>
      <c r="G747" s="37"/>
      <c r="H747" s="37"/>
      <c r="I747" s="37"/>
      <c r="J747" s="1"/>
    </row>
    <row r="748" ht="15.75" customHeight="1">
      <c r="A748" s="36"/>
      <c r="B748" s="36"/>
      <c r="C748" s="36"/>
      <c r="D748" s="36"/>
      <c r="E748" s="37"/>
      <c r="F748" s="37"/>
      <c r="G748" s="37"/>
      <c r="H748" s="37"/>
      <c r="I748" s="37"/>
      <c r="J748" s="1"/>
    </row>
    <row r="749" ht="15.75" customHeight="1">
      <c r="A749" s="36"/>
      <c r="B749" s="36"/>
      <c r="C749" s="36"/>
      <c r="D749" s="36"/>
      <c r="E749" s="37"/>
      <c r="F749" s="37"/>
      <c r="G749" s="37"/>
      <c r="H749" s="37"/>
      <c r="I749" s="37"/>
      <c r="J749" s="1"/>
    </row>
    <row r="750" ht="15.75" customHeight="1">
      <c r="A750" s="36"/>
      <c r="B750" s="36"/>
      <c r="C750" s="36"/>
      <c r="D750" s="36"/>
      <c r="E750" s="37"/>
      <c r="F750" s="37"/>
      <c r="G750" s="37"/>
      <c r="H750" s="37"/>
      <c r="I750" s="37"/>
      <c r="J750" s="1"/>
    </row>
    <row r="751" ht="15.75" customHeight="1">
      <c r="A751" s="36"/>
      <c r="B751" s="36"/>
      <c r="C751" s="36"/>
      <c r="D751" s="36"/>
      <c r="E751" s="37"/>
      <c r="F751" s="37"/>
      <c r="G751" s="37"/>
      <c r="H751" s="37"/>
      <c r="I751" s="37"/>
      <c r="J751" s="1"/>
    </row>
    <row r="752" ht="15.75" customHeight="1">
      <c r="A752" s="36"/>
      <c r="B752" s="36"/>
      <c r="C752" s="36"/>
      <c r="D752" s="36"/>
      <c r="E752" s="37"/>
      <c r="F752" s="37"/>
      <c r="G752" s="37"/>
      <c r="H752" s="37"/>
      <c r="I752" s="37"/>
      <c r="J752" s="1"/>
    </row>
    <row r="753" ht="15.75" customHeight="1">
      <c r="A753" s="36"/>
      <c r="B753" s="36"/>
      <c r="C753" s="36"/>
      <c r="D753" s="36"/>
      <c r="E753" s="37"/>
      <c r="F753" s="37"/>
      <c r="G753" s="37"/>
      <c r="H753" s="37"/>
      <c r="I753" s="37"/>
      <c r="J753" s="1"/>
    </row>
    <row r="754" ht="15.75" customHeight="1">
      <c r="A754" s="36"/>
      <c r="B754" s="36"/>
      <c r="C754" s="36"/>
      <c r="D754" s="36"/>
      <c r="E754" s="37"/>
      <c r="F754" s="37"/>
      <c r="G754" s="37"/>
      <c r="H754" s="37"/>
      <c r="I754" s="37"/>
      <c r="J754" s="1"/>
    </row>
    <row r="755" ht="15.75" customHeight="1">
      <c r="A755" s="36"/>
      <c r="B755" s="36"/>
      <c r="C755" s="36"/>
      <c r="D755" s="36"/>
      <c r="E755" s="37"/>
      <c r="F755" s="37"/>
      <c r="G755" s="37"/>
      <c r="H755" s="37"/>
      <c r="I755" s="37"/>
      <c r="J755" s="1"/>
    </row>
    <row r="756" ht="15.75" customHeight="1">
      <c r="A756" s="36"/>
      <c r="B756" s="36"/>
      <c r="C756" s="36"/>
      <c r="D756" s="36"/>
      <c r="E756" s="37"/>
      <c r="F756" s="37"/>
      <c r="G756" s="37"/>
      <c r="H756" s="37"/>
      <c r="I756" s="37"/>
      <c r="J756" s="1"/>
    </row>
    <row r="757" ht="15.75" customHeight="1">
      <c r="A757" s="36"/>
      <c r="B757" s="36"/>
      <c r="C757" s="36"/>
      <c r="D757" s="36"/>
      <c r="E757" s="37"/>
      <c r="F757" s="37"/>
      <c r="G757" s="37"/>
      <c r="H757" s="37"/>
      <c r="I757" s="37"/>
      <c r="J757" s="1"/>
    </row>
    <row r="758" ht="15.75" customHeight="1">
      <c r="A758" s="36"/>
      <c r="B758" s="36"/>
      <c r="C758" s="36"/>
      <c r="D758" s="36"/>
      <c r="E758" s="37"/>
      <c r="F758" s="37"/>
      <c r="G758" s="37"/>
      <c r="H758" s="37"/>
      <c r="I758" s="37"/>
      <c r="J758" s="1"/>
    </row>
    <row r="759" ht="15.75" customHeight="1">
      <c r="A759" s="36"/>
      <c r="B759" s="36"/>
      <c r="C759" s="36"/>
      <c r="D759" s="36"/>
      <c r="E759" s="37"/>
      <c r="F759" s="37"/>
      <c r="G759" s="37"/>
      <c r="H759" s="37"/>
      <c r="I759" s="37"/>
      <c r="J759" s="1"/>
    </row>
    <row r="760" ht="15.75" customHeight="1">
      <c r="A760" s="36"/>
      <c r="B760" s="36"/>
      <c r="C760" s="36"/>
      <c r="D760" s="36"/>
      <c r="E760" s="37"/>
      <c r="F760" s="37"/>
      <c r="G760" s="37"/>
      <c r="H760" s="37"/>
      <c r="I760" s="37"/>
      <c r="J760" s="1"/>
    </row>
    <row r="761" ht="15.75" customHeight="1">
      <c r="A761" s="36"/>
      <c r="B761" s="36"/>
      <c r="C761" s="36"/>
      <c r="D761" s="36"/>
      <c r="E761" s="37"/>
      <c r="F761" s="37"/>
      <c r="G761" s="37"/>
      <c r="H761" s="37"/>
      <c r="I761" s="37"/>
      <c r="J761" s="1"/>
    </row>
    <row r="762" ht="15.75" customHeight="1">
      <c r="A762" s="36"/>
      <c r="B762" s="36"/>
      <c r="C762" s="36"/>
      <c r="D762" s="36"/>
      <c r="E762" s="37"/>
      <c r="F762" s="37"/>
      <c r="G762" s="37"/>
      <c r="H762" s="37"/>
      <c r="I762" s="37"/>
      <c r="J762" s="1"/>
    </row>
    <row r="763" ht="15.75" customHeight="1">
      <c r="A763" s="36"/>
      <c r="B763" s="36"/>
      <c r="C763" s="36"/>
      <c r="D763" s="36"/>
      <c r="E763" s="37"/>
      <c r="F763" s="37"/>
      <c r="G763" s="37"/>
      <c r="H763" s="37"/>
      <c r="I763" s="37"/>
      <c r="J763" s="1"/>
    </row>
    <row r="764" ht="15.75" customHeight="1">
      <c r="A764" s="36"/>
      <c r="B764" s="36"/>
      <c r="C764" s="36"/>
      <c r="D764" s="36"/>
      <c r="E764" s="37"/>
      <c r="F764" s="37"/>
      <c r="G764" s="37"/>
      <c r="H764" s="37"/>
      <c r="I764" s="37"/>
      <c r="J764" s="1"/>
    </row>
    <row r="765" ht="15.75" customHeight="1">
      <c r="A765" s="36"/>
      <c r="B765" s="36"/>
      <c r="C765" s="36"/>
      <c r="D765" s="36"/>
      <c r="E765" s="37"/>
      <c r="F765" s="37"/>
      <c r="G765" s="37"/>
      <c r="H765" s="37"/>
      <c r="I765" s="37"/>
      <c r="J765" s="1"/>
    </row>
    <row r="766" ht="15.75" customHeight="1">
      <c r="A766" s="36"/>
      <c r="B766" s="36"/>
      <c r="C766" s="36"/>
      <c r="D766" s="36"/>
      <c r="E766" s="37"/>
      <c r="F766" s="37"/>
      <c r="G766" s="37"/>
      <c r="H766" s="37"/>
      <c r="I766" s="37"/>
      <c r="J766" s="1"/>
    </row>
    <row r="767" ht="15.75" customHeight="1">
      <c r="A767" s="36"/>
      <c r="B767" s="36"/>
      <c r="C767" s="36"/>
      <c r="D767" s="36"/>
      <c r="E767" s="37"/>
      <c r="F767" s="37"/>
      <c r="G767" s="37"/>
      <c r="H767" s="37"/>
      <c r="I767" s="37"/>
      <c r="J767" s="1"/>
    </row>
    <row r="768" ht="15.75" customHeight="1">
      <c r="A768" s="36"/>
      <c r="B768" s="36"/>
      <c r="C768" s="36"/>
      <c r="D768" s="36"/>
      <c r="E768" s="37"/>
      <c r="F768" s="37"/>
      <c r="G768" s="37"/>
      <c r="H768" s="37"/>
      <c r="I768" s="37"/>
      <c r="J768" s="1"/>
    </row>
    <row r="769" ht="15.75" customHeight="1">
      <c r="A769" s="36"/>
      <c r="B769" s="36"/>
      <c r="C769" s="36"/>
      <c r="D769" s="36"/>
      <c r="E769" s="37"/>
      <c r="F769" s="37"/>
      <c r="G769" s="37"/>
      <c r="H769" s="37"/>
      <c r="I769" s="37"/>
      <c r="J769" s="1"/>
    </row>
    <row r="770" ht="15.75" customHeight="1">
      <c r="A770" s="36"/>
      <c r="B770" s="36"/>
      <c r="C770" s="36"/>
      <c r="D770" s="36"/>
      <c r="E770" s="37"/>
      <c r="F770" s="37"/>
      <c r="G770" s="37"/>
      <c r="H770" s="37"/>
      <c r="I770" s="37"/>
      <c r="J770" s="1"/>
    </row>
    <row r="771" ht="15.75" customHeight="1">
      <c r="A771" s="36"/>
      <c r="B771" s="36"/>
      <c r="C771" s="36"/>
      <c r="D771" s="36"/>
      <c r="E771" s="37"/>
      <c r="F771" s="37"/>
      <c r="G771" s="37"/>
      <c r="H771" s="37"/>
      <c r="I771" s="37"/>
      <c r="J771" s="1"/>
    </row>
    <row r="772" ht="15.75" customHeight="1">
      <c r="A772" s="36"/>
      <c r="B772" s="36"/>
      <c r="C772" s="36"/>
      <c r="D772" s="36"/>
      <c r="E772" s="37"/>
      <c r="F772" s="37"/>
      <c r="G772" s="37"/>
      <c r="H772" s="37"/>
      <c r="I772" s="37"/>
      <c r="J772" s="1"/>
    </row>
    <row r="773" ht="15.75" customHeight="1">
      <c r="A773" s="36"/>
      <c r="B773" s="36"/>
      <c r="C773" s="36"/>
      <c r="D773" s="36"/>
      <c r="E773" s="37"/>
      <c r="F773" s="37"/>
      <c r="G773" s="37"/>
      <c r="H773" s="37"/>
      <c r="I773" s="37"/>
      <c r="J773" s="1"/>
    </row>
    <row r="774" ht="15.75" customHeight="1">
      <c r="A774" s="36"/>
      <c r="B774" s="36"/>
      <c r="C774" s="36"/>
      <c r="D774" s="36"/>
      <c r="E774" s="37"/>
      <c r="F774" s="37"/>
      <c r="G774" s="37"/>
      <c r="H774" s="37"/>
      <c r="I774" s="37"/>
      <c r="J774" s="1"/>
    </row>
    <row r="775" ht="15.75" customHeight="1">
      <c r="A775" s="36"/>
      <c r="B775" s="36"/>
      <c r="C775" s="36"/>
      <c r="D775" s="36"/>
      <c r="E775" s="37"/>
      <c r="F775" s="37"/>
      <c r="G775" s="37"/>
      <c r="H775" s="37"/>
      <c r="I775" s="37"/>
      <c r="J775" s="1"/>
    </row>
    <row r="776" ht="15.75" customHeight="1">
      <c r="A776" s="36"/>
      <c r="B776" s="36"/>
      <c r="C776" s="36"/>
      <c r="D776" s="36"/>
      <c r="E776" s="37"/>
      <c r="F776" s="37"/>
      <c r="G776" s="37"/>
      <c r="H776" s="37"/>
      <c r="I776" s="37"/>
      <c r="J776" s="1"/>
    </row>
    <row r="777" ht="15.75" customHeight="1">
      <c r="A777" s="36"/>
      <c r="B777" s="36"/>
      <c r="C777" s="36"/>
      <c r="D777" s="36"/>
      <c r="E777" s="37"/>
      <c r="F777" s="37"/>
      <c r="G777" s="37"/>
      <c r="H777" s="37"/>
      <c r="I777" s="37"/>
      <c r="J777" s="1"/>
    </row>
    <row r="778" ht="15.75" customHeight="1">
      <c r="A778" s="36"/>
      <c r="B778" s="36"/>
      <c r="C778" s="36"/>
      <c r="D778" s="36"/>
      <c r="E778" s="37"/>
      <c r="F778" s="37"/>
      <c r="G778" s="37"/>
      <c r="H778" s="37"/>
      <c r="I778" s="37"/>
      <c r="J778" s="1"/>
    </row>
    <row r="779" ht="15.75" customHeight="1">
      <c r="A779" s="36"/>
      <c r="B779" s="36"/>
      <c r="C779" s="36"/>
      <c r="D779" s="36"/>
      <c r="E779" s="37"/>
      <c r="F779" s="37"/>
      <c r="G779" s="37"/>
      <c r="H779" s="37"/>
      <c r="I779" s="37"/>
      <c r="J779" s="1"/>
    </row>
    <row r="780" ht="15.75" customHeight="1">
      <c r="A780" s="36"/>
      <c r="B780" s="36"/>
      <c r="C780" s="36"/>
      <c r="D780" s="36"/>
      <c r="E780" s="37"/>
      <c r="F780" s="37"/>
      <c r="G780" s="37"/>
      <c r="H780" s="37"/>
      <c r="I780" s="37"/>
      <c r="J780" s="1"/>
    </row>
    <row r="781" ht="15.75" customHeight="1">
      <c r="A781" s="36"/>
      <c r="B781" s="36"/>
      <c r="C781" s="36"/>
      <c r="D781" s="36"/>
      <c r="E781" s="37"/>
      <c r="F781" s="37"/>
      <c r="G781" s="37"/>
      <c r="H781" s="37"/>
      <c r="I781" s="37"/>
      <c r="J781" s="1"/>
    </row>
    <row r="782" ht="15.75" customHeight="1">
      <c r="A782" s="36"/>
      <c r="B782" s="36"/>
      <c r="C782" s="36"/>
      <c r="D782" s="36"/>
      <c r="E782" s="37"/>
      <c r="F782" s="37"/>
      <c r="G782" s="37"/>
      <c r="H782" s="37"/>
      <c r="I782" s="37"/>
      <c r="J782" s="1"/>
    </row>
    <row r="783" ht="15.75" customHeight="1">
      <c r="A783" s="36"/>
      <c r="B783" s="36"/>
      <c r="C783" s="36"/>
      <c r="D783" s="36"/>
      <c r="E783" s="37"/>
      <c r="F783" s="37"/>
      <c r="G783" s="37"/>
      <c r="H783" s="37"/>
      <c r="I783" s="37"/>
      <c r="J783" s="1"/>
    </row>
    <row r="784" ht="15.75" customHeight="1">
      <c r="A784" s="36"/>
      <c r="B784" s="36"/>
      <c r="C784" s="36"/>
      <c r="D784" s="36"/>
      <c r="E784" s="37"/>
      <c r="F784" s="37"/>
      <c r="G784" s="37"/>
      <c r="H784" s="37"/>
      <c r="I784" s="37"/>
      <c r="J784" s="1"/>
    </row>
    <row r="785" ht="15.75" customHeight="1">
      <c r="A785" s="36"/>
      <c r="B785" s="36"/>
      <c r="C785" s="36"/>
      <c r="D785" s="36"/>
      <c r="E785" s="37"/>
      <c r="F785" s="37"/>
      <c r="G785" s="37"/>
      <c r="H785" s="37"/>
      <c r="I785" s="37"/>
      <c r="J785" s="1"/>
    </row>
    <row r="786" ht="15.75" customHeight="1">
      <c r="A786" s="36"/>
      <c r="B786" s="36"/>
      <c r="C786" s="36"/>
      <c r="D786" s="36"/>
      <c r="E786" s="37"/>
      <c r="F786" s="37"/>
      <c r="G786" s="37"/>
      <c r="H786" s="37"/>
      <c r="I786" s="37"/>
      <c r="J786" s="1"/>
    </row>
    <row r="787" ht="15.75" customHeight="1">
      <c r="A787" s="36"/>
      <c r="B787" s="36"/>
      <c r="C787" s="36"/>
      <c r="D787" s="36"/>
      <c r="E787" s="37"/>
      <c r="F787" s="37"/>
      <c r="G787" s="37"/>
      <c r="H787" s="37"/>
      <c r="I787" s="37"/>
      <c r="J787" s="1"/>
    </row>
    <row r="788" ht="15.75" customHeight="1">
      <c r="A788" s="36"/>
      <c r="B788" s="36"/>
      <c r="C788" s="36"/>
      <c r="D788" s="36"/>
      <c r="E788" s="37"/>
      <c r="F788" s="37"/>
      <c r="G788" s="37"/>
      <c r="H788" s="37"/>
      <c r="I788" s="37"/>
      <c r="J788" s="1"/>
    </row>
    <row r="789" ht="15.75" customHeight="1">
      <c r="A789" s="36"/>
      <c r="B789" s="36"/>
      <c r="C789" s="36"/>
      <c r="D789" s="36"/>
      <c r="E789" s="37"/>
      <c r="F789" s="37"/>
      <c r="G789" s="37"/>
      <c r="H789" s="37"/>
      <c r="I789" s="37"/>
      <c r="J789" s="1"/>
    </row>
    <row r="790" ht="15.75" customHeight="1">
      <c r="A790" s="36"/>
      <c r="B790" s="36"/>
      <c r="C790" s="36"/>
      <c r="D790" s="36"/>
      <c r="E790" s="37"/>
      <c r="F790" s="37"/>
      <c r="G790" s="37"/>
      <c r="H790" s="37"/>
      <c r="I790" s="37"/>
      <c r="J790" s="1"/>
    </row>
    <row r="791" ht="15.75" customHeight="1">
      <c r="A791" s="36"/>
      <c r="B791" s="36"/>
      <c r="C791" s="36"/>
      <c r="D791" s="36"/>
      <c r="E791" s="37"/>
      <c r="F791" s="37"/>
      <c r="G791" s="37"/>
      <c r="H791" s="37"/>
      <c r="I791" s="37"/>
      <c r="J791" s="1"/>
    </row>
    <row r="792" ht="15.75" customHeight="1">
      <c r="A792" s="36"/>
      <c r="B792" s="36"/>
      <c r="C792" s="36"/>
      <c r="D792" s="36"/>
      <c r="E792" s="37"/>
      <c r="F792" s="37"/>
      <c r="G792" s="37"/>
      <c r="H792" s="37"/>
      <c r="I792" s="37"/>
      <c r="J792" s="1"/>
    </row>
    <row r="793" ht="15.75" customHeight="1">
      <c r="A793" s="36"/>
      <c r="B793" s="36"/>
      <c r="C793" s="36"/>
      <c r="D793" s="36"/>
      <c r="E793" s="37"/>
      <c r="F793" s="37"/>
      <c r="G793" s="37"/>
      <c r="H793" s="37"/>
      <c r="I793" s="37"/>
      <c r="J793" s="1"/>
    </row>
    <row r="794" ht="15.75" customHeight="1">
      <c r="A794" s="36"/>
      <c r="B794" s="36"/>
      <c r="C794" s="36"/>
      <c r="D794" s="36"/>
      <c r="E794" s="37"/>
      <c r="F794" s="37"/>
      <c r="G794" s="37"/>
      <c r="H794" s="37"/>
      <c r="I794" s="37"/>
      <c r="J794" s="1"/>
    </row>
    <row r="795" ht="15.75" customHeight="1">
      <c r="A795" s="36"/>
      <c r="B795" s="36"/>
      <c r="C795" s="36"/>
      <c r="D795" s="36"/>
      <c r="E795" s="37"/>
      <c r="F795" s="37"/>
      <c r="G795" s="37"/>
      <c r="H795" s="37"/>
      <c r="I795" s="37"/>
      <c r="J795" s="1"/>
    </row>
    <row r="796" ht="15.75" customHeight="1">
      <c r="A796" s="36"/>
      <c r="B796" s="36"/>
      <c r="C796" s="36"/>
      <c r="D796" s="36"/>
      <c r="E796" s="37"/>
      <c r="F796" s="37"/>
      <c r="G796" s="37"/>
      <c r="H796" s="37"/>
      <c r="I796" s="37"/>
      <c r="J796" s="1"/>
    </row>
    <row r="797" ht="15.75" customHeight="1">
      <c r="A797" s="36"/>
      <c r="B797" s="36"/>
      <c r="C797" s="36"/>
      <c r="D797" s="36"/>
      <c r="E797" s="37"/>
      <c r="F797" s="37"/>
      <c r="G797" s="37"/>
      <c r="H797" s="37"/>
      <c r="I797" s="37"/>
      <c r="J797" s="1"/>
    </row>
    <row r="798" ht="15.75" customHeight="1">
      <c r="A798" s="36"/>
      <c r="B798" s="36"/>
      <c r="C798" s="36"/>
      <c r="D798" s="36"/>
      <c r="E798" s="37"/>
      <c r="F798" s="37"/>
      <c r="G798" s="37"/>
      <c r="H798" s="37"/>
      <c r="I798" s="37"/>
      <c r="J798" s="1"/>
    </row>
    <row r="799" ht="15.75" customHeight="1">
      <c r="A799" s="36"/>
      <c r="B799" s="36"/>
      <c r="C799" s="36"/>
      <c r="D799" s="36"/>
      <c r="E799" s="37"/>
      <c r="F799" s="37"/>
      <c r="G799" s="37"/>
      <c r="H799" s="37"/>
      <c r="I799" s="37"/>
      <c r="J799" s="1"/>
    </row>
    <row r="800" ht="15.75" customHeight="1">
      <c r="A800" s="36"/>
      <c r="B800" s="36"/>
      <c r="C800" s="36"/>
      <c r="D800" s="36"/>
      <c r="E800" s="37"/>
      <c r="F800" s="37"/>
      <c r="G800" s="37"/>
      <c r="H800" s="37"/>
      <c r="I800" s="37"/>
      <c r="J800" s="1"/>
    </row>
    <row r="801" ht="15.75" customHeight="1">
      <c r="A801" s="36"/>
      <c r="B801" s="36"/>
      <c r="C801" s="36"/>
      <c r="D801" s="36"/>
      <c r="E801" s="37"/>
      <c r="F801" s="37"/>
      <c r="G801" s="37"/>
      <c r="H801" s="37"/>
      <c r="I801" s="37"/>
      <c r="J801" s="1"/>
    </row>
    <row r="802" ht="15.75" customHeight="1">
      <c r="A802" s="36"/>
      <c r="B802" s="36"/>
      <c r="C802" s="36"/>
      <c r="D802" s="36"/>
      <c r="E802" s="37"/>
      <c r="F802" s="37"/>
      <c r="G802" s="37"/>
      <c r="H802" s="37"/>
      <c r="I802" s="37"/>
      <c r="J802" s="1"/>
    </row>
    <row r="803" ht="15.75" customHeight="1">
      <c r="A803" s="36"/>
      <c r="B803" s="36"/>
      <c r="C803" s="36"/>
      <c r="D803" s="36"/>
      <c r="E803" s="37"/>
      <c r="F803" s="37"/>
      <c r="G803" s="37"/>
      <c r="H803" s="37"/>
      <c r="I803" s="37"/>
      <c r="J803" s="1"/>
    </row>
    <row r="804" ht="15.75" customHeight="1">
      <c r="A804" s="36"/>
      <c r="B804" s="36"/>
      <c r="C804" s="36"/>
      <c r="D804" s="36"/>
      <c r="E804" s="37"/>
      <c r="F804" s="37"/>
      <c r="G804" s="37"/>
      <c r="H804" s="37"/>
      <c r="I804" s="37"/>
      <c r="J804" s="1"/>
    </row>
    <row r="805" ht="15.75" customHeight="1">
      <c r="A805" s="36"/>
      <c r="B805" s="36"/>
      <c r="C805" s="36"/>
      <c r="D805" s="36"/>
      <c r="E805" s="37"/>
      <c r="F805" s="37"/>
      <c r="G805" s="37"/>
      <c r="H805" s="37"/>
      <c r="I805" s="37"/>
      <c r="J805" s="1"/>
    </row>
    <row r="806" ht="15.75" customHeight="1">
      <c r="A806" s="36"/>
      <c r="B806" s="36"/>
      <c r="C806" s="36"/>
      <c r="D806" s="36"/>
      <c r="E806" s="37"/>
      <c r="F806" s="37"/>
      <c r="G806" s="37"/>
      <c r="H806" s="37"/>
      <c r="I806" s="37"/>
      <c r="J806" s="1"/>
    </row>
    <row r="807" ht="15.75" customHeight="1">
      <c r="A807" s="36"/>
      <c r="B807" s="36"/>
      <c r="C807" s="36"/>
      <c r="D807" s="36"/>
      <c r="E807" s="37"/>
      <c r="F807" s="37"/>
      <c r="G807" s="37"/>
      <c r="H807" s="37"/>
      <c r="I807" s="37"/>
      <c r="J807" s="1"/>
    </row>
    <row r="808" ht="15.75" customHeight="1">
      <c r="A808" s="36"/>
      <c r="B808" s="36"/>
      <c r="C808" s="36"/>
      <c r="D808" s="36"/>
      <c r="E808" s="37"/>
      <c r="F808" s="37"/>
      <c r="G808" s="37"/>
      <c r="H808" s="37"/>
      <c r="I808" s="37"/>
      <c r="J808" s="1"/>
    </row>
    <row r="809" ht="15.75" customHeight="1">
      <c r="A809" s="36"/>
      <c r="B809" s="36"/>
      <c r="C809" s="36"/>
      <c r="D809" s="36"/>
      <c r="E809" s="37"/>
      <c r="F809" s="37"/>
      <c r="G809" s="37"/>
      <c r="H809" s="37"/>
      <c r="I809" s="37"/>
      <c r="J809" s="1"/>
    </row>
    <row r="810" ht="15.75" customHeight="1">
      <c r="A810" s="36"/>
      <c r="B810" s="36"/>
      <c r="C810" s="36"/>
      <c r="D810" s="36"/>
      <c r="E810" s="37"/>
      <c r="F810" s="37"/>
      <c r="G810" s="37"/>
      <c r="H810" s="37"/>
      <c r="I810" s="37"/>
      <c r="J810" s="1"/>
    </row>
    <row r="811" ht="15.75" customHeight="1">
      <c r="A811" s="36"/>
      <c r="B811" s="36"/>
      <c r="C811" s="36"/>
      <c r="D811" s="36"/>
      <c r="E811" s="37"/>
      <c r="F811" s="37"/>
      <c r="G811" s="37"/>
      <c r="H811" s="37"/>
      <c r="I811" s="37"/>
      <c r="J811" s="1"/>
    </row>
    <row r="812" ht="15.75" customHeight="1">
      <c r="A812" s="36"/>
      <c r="B812" s="36"/>
      <c r="C812" s="36"/>
      <c r="D812" s="36"/>
      <c r="E812" s="37"/>
      <c r="F812" s="37"/>
      <c r="G812" s="37"/>
      <c r="H812" s="37"/>
      <c r="I812" s="37"/>
      <c r="J812" s="1"/>
    </row>
    <row r="813" ht="15.75" customHeight="1">
      <c r="A813" s="36"/>
      <c r="B813" s="36"/>
      <c r="C813" s="36"/>
      <c r="D813" s="36"/>
      <c r="E813" s="37"/>
      <c r="F813" s="37"/>
      <c r="G813" s="37"/>
      <c r="H813" s="37"/>
      <c r="I813" s="37"/>
      <c r="J813" s="1"/>
    </row>
    <row r="814" ht="15.75" customHeight="1">
      <c r="A814" s="36"/>
      <c r="B814" s="36"/>
      <c r="C814" s="36"/>
      <c r="D814" s="36"/>
      <c r="E814" s="37"/>
      <c r="F814" s="37"/>
      <c r="G814" s="37"/>
      <c r="H814" s="37"/>
      <c r="I814" s="37"/>
      <c r="J814" s="1"/>
    </row>
    <row r="815" ht="15.75" customHeight="1">
      <c r="A815" s="36"/>
      <c r="B815" s="36"/>
      <c r="C815" s="36"/>
      <c r="D815" s="36"/>
      <c r="E815" s="37"/>
      <c r="F815" s="37"/>
      <c r="G815" s="37"/>
      <c r="H815" s="37"/>
      <c r="I815" s="37"/>
      <c r="J815" s="1"/>
    </row>
    <row r="816" ht="15.75" customHeight="1">
      <c r="A816" s="36"/>
      <c r="B816" s="36"/>
      <c r="C816" s="36"/>
      <c r="D816" s="36"/>
      <c r="E816" s="37"/>
      <c r="F816" s="37"/>
      <c r="G816" s="37"/>
      <c r="H816" s="37"/>
      <c r="I816" s="37"/>
      <c r="J816" s="1"/>
    </row>
    <row r="817" ht="15.75" customHeight="1">
      <c r="A817" s="36"/>
      <c r="B817" s="36"/>
      <c r="C817" s="36"/>
      <c r="D817" s="36"/>
      <c r="E817" s="37"/>
      <c r="F817" s="37"/>
      <c r="G817" s="37"/>
      <c r="H817" s="37"/>
      <c r="I817" s="37"/>
      <c r="J817" s="1"/>
    </row>
    <row r="818" ht="15.75" customHeight="1">
      <c r="A818" s="36"/>
      <c r="B818" s="36"/>
      <c r="C818" s="36"/>
      <c r="D818" s="36"/>
      <c r="E818" s="37"/>
      <c r="F818" s="37"/>
      <c r="G818" s="37"/>
      <c r="H818" s="37"/>
      <c r="I818" s="37"/>
      <c r="J818" s="1"/>
    </row>
    <row r="819" ht="15.75" customHeight="1">
      <c r="A819" s="36"/>
      <c r="B819" s="36"/>
      <c r="C819" s="36"/>
      <c r="D819" s="36"/>
      <c r="E819" s="37"/>
      <c r="F819" s="37"/>
      <c r="G819" s="37"/>
      <c r="H819" s="37"/>
      <c r="I819" s="37"/>
      <c r="J819" s="1"/>
    </row>
    <row r="820" ht="15.75" customHeight="1">
      <c r="A820" s="36"/>
      <c r="B820" s="36"/>
      <c r="C820" s="36"/>
      <c r="D820" s="36"/>
      <c r="E820" s="37"/>
      <c r="F820" s="37"/>
      <c r="G820" s="37"/>
      <c r="H820" s="37"/>
      <c r="I820" s="37"/>
      <c r="J820" s="1"/>
    </row>
    <row r="821" ht="15.75" customHeight="1">
      <c r="A821" s="36"/>
      <c r="B821" s="36"/>
      <c r="C821" s="36"/>
      <c r="D821" s="36"/>
      <c r="E821" s="37"/>
      <c r="F821" s="37"/>
      <c r="G821" s="37"/>
      <c r="H821" s="37"/>
      <c r="I821" s="37"/>
      <c r="J821" s="1"/>
    </row>
    <row r="822" ht="15.75" customHeight="1">
      <c r="A822" s="36"/>
      <c r="B822" s="36"/>
      <c r="C822" s="36"/>
      <c r="D822" s="36"/>
      <c r="E822" s="37"/>
      <c r="F822" s="37"/>
      <c r="G822" s="37"/>
      <c r="H822" s="37"/>
      <c r="I822" s="37"/>
      <c r="J822" s="1"/>
    </row>
    <row r="823" ht="15.75" customHeight="1">
      <c r="A823" s="36"/>
      <c r="B823" s="36"/>
      <c r="C823" s="36"/>
      <c r="D823" s="36"/>
      <c r="E823" s="37"/>
      <c r="F823" s="37"/>
      <c r="G823" s="37"/>
      <c r="H823" s="37"/>
      <c r="I823" s="37"/>
      <c r="J823" s="1"/>
    </row>
    <row r="824" ht="15.75" customHeight="1">
      <c r="A824" s="36"/>
      <c r="B824" s="36"/>
      <c r="C824" s="36"/>
      <c r="D824" s="36"/>
      <c r="E824" s="37"/>
      <c r="F824" s="37"/>
      <c r="G824" s="37"/>
      <c r="H824" s="37"/>
      <c r="I824" s="37"/>
      <c r="J824" s="1"/>
    </row>
    <row r="825" ht="15.75" customHeight="1">
      <c r="A825" s="36"/>
      <c r="B825" s="36"/>
      <c r="C825" s="36"/>
      <c r="D825" s="36"/>
      <c r="E825" s="37"/>
      <c r="F825" s="37"/>
      <c r="G825" s="37"/>
      <c r="H825" s="37"/>
      <c r="I825" s="37"/>
      <c r="J825" s="1"/>
    </row>
    <row r="826" ht="15.75" customHeight="1">
      <c r="A826" s="36"/>
      <c r="B826" s="36"/>
      <c r="C826" s="36"/>
      <c r="D826" s="36"/>
      <c r="E826" s="37"/>
      <c r="F826" s="37"/>
      <c r="G826" s="37"/>
      <c r="H826" s="37"/>
      <c r="I826" s="37"/>
      <c r="J826" s="1"/>
    </row>
    <row r="827" ht="15.75" customHeight="1">
      <c r="A827" s="36"/>
      <c r="B827" s="36"/>
      <c r="C827" s="36"/>
      <c r="D827" s="36"/>
      <c r="E827" s="37"/>
      <c r="F827" s="37"/>
      <c r="G827" s="37"/>
      <c r="H827" s="37"/>
      <c r="I827" s="37"/>
      <c r="J827" s="1"/>
    </row>
    <row r="828" ht="15.75" customHeight="1">
      <c r="A828" s="36"/>
      <c r="B828" s="36"/>
      <c r="C828" s="36"/>
      <c r="D828" s="36"/>
      <c r="E828" s="37"/>
      <c r="F828" s="37"/>
      <c r="G828" s="37"/>
      <c r="H828" s="37"/>
      <c r="I828" s="37"/>
      <c r="J828" s="1"/>
    </row>
    <row r="829" ht="15.75" customHeight="1">
      <c r="A829" s="36"/>
      <c r="B829" s="36"/>
      <c r="C829" s="36"/>
      <c r="D829" s="36"/>
      <c r="E829" s="37"/>
      <c r="F829" s="37"/>
      <c r="G829" s="37"/>
      <c r="H829" s="37"/>
      <c r="I829" s="37"/>
      <c r="J829" s="1"/>
    </row>
    <row r="830" ht="15.75" customHeight="1">
      <c r="A830" s="36"/>
      <c r="B830" s="36"/>
      <c r="C830" s="36"/>
      <c r="D830" s="36"/>
      <c r="E830" s="37"/>
      <c r="F830" s="37"/>
      <c r="G830" s="37"/>
      <c r="H830" s="37"/>
      <c r="I830" s="37"/>
      <c r="J830" s="1"/>
    </row>
    <row r="831" ht="15.75" customHeight="1">
      <c r="A831" s="36"/>
      <c r="B831" s="36"/>
      <c r="C831" s="36"/>
      <c r="D831" s="36"/>
      <c r="E831" s="37"/>
      <c r="F831" s="37"/>
      <c r="G831" s="37"/>
      <c r="H831" s="37"/>
      <c r="I831" s="37"/>
      <c r="J831" s="1"/>
    </row>
    <row r="832" ht="15.75" customHeight="1">
      <c r="A832" s="36"/>
      <c r="B832" s="36"/>
      <c r="C832" s="36"/>
      <c r="D832" s="36"/>
      <c r="E832" s="37"/>
      <c r="F832" s="37"/>
      <c r="G832" s="37"/>
      <c r="H832" s="37"/>
      <c r="I832" s="37"/>
      <c r="J832" s="1"/>
    </row>
    <row r="833" ht="15.75" customHeight="1">
      <c r="A833" s="36"/>
      <c r="B833" s="36"/>
      <c r="C833" s="36"/>
      <c r="D833" s="36"/>
      <c r="E833" s="37"/>
      <c r="F833" s="37"/>
      <c r="G833" s="37"/>
      <c r="H833" s="37"/>
      <c r="I833" s="37"/>
      <c r="J833" s="1"/>
    </row>
    <row r="834" ht="15.75" customHeight="1">
      <c r="A834" s="36"/>
      <c r="B834" s="36"/>
      <c r="C834" s="36"/>
      <c r="D834" s="36"/>
      <c r="E834" s="37"/>
      <c r="F834" s="37"/>
      <c r="G834" s="37"/>
      <c r="H834" s="37"/>
      <c r="I834" s="37"/>
      <c r="J834" s="1"/>
    </row>
    <row r="835" ht="15.75" customHeight="1">
      <c r="A835" s="36"/>
      <c r="B835" s="36"/>
      <c r="C835" s="36"/>
      <c r="D835" s="36"/>
      <c r="E835" s="37"/>
      <c r="F835" s="37"/>
      <c r="G835" s="37"/>
      <c r="H835" s="37"/>
      <c r="I835" s="37"/>
      <c r="J835" s="1"/>
    </row>
    <row r="836" ht="15.75" customHeight="1">
      <c r="A836" s="36"/>
      <c r="B836" s="36"/>
      <c r="C836" s="36"/>
      <c r="D836" s="36"/>
      <c r="E836" s="37"/>
      <c r="F836" s="37"/>
      <c r="G836" s="37"/>
      <c r="H836" s="37"/>
      <c r="I836" s="37"/>
      <c r="J836" s="1"/>
    </row>
    <row r="837" ht="15.75" customHeight="1">
      <c r="A837" s="36"/>
      <c r="B837" s="36"/>
      <c r="C837" s="36"/>
      <c r="D837" s="36"/>
      <c r="E837" s="37"/>
      <c r="F837" s="37"/>
      <c r="G837" s="37"/>
      <c r="H837" s="37"/>
      <c r="I837" s="37"/>
      <c r="J837" s="1"/>
    </row>
    <row r="838" ht="15.75" customHeight="1">
      <c r="A838" s="36"/>
      <c r="B838" s="36"/>
      <c r="C838" s="36"/>
      <c r="D838" s="36"/>
      <c r="E838" s="37"/>
      <c r="F838" s="37"/>
      <c r="G838" s="37"/>
      <c r="H838" s="37"/>
      <c r="I838" s="37"/>
      <c r="J838" s="1"/>
    </row>
    <row r="839" ht="15.75" customHeight="1">
      <c r="A839" s="36"/>
      <c r="B839" s="36"/>
      <c r="C839" s="36"/>
      <c r="D839" s="36"/>
      <c r="E839" s="37"/>
      <c r="F839" s="37"/>
      <c r="G839" s="37"/>
      <c r="H839" s="37"/>
      <c r="I839" s="37"/>
      <c r="J839" s="1"/>
    </row>
    <row r="840" ht="15.75" customHeight="1">
      <c r="A840" s="36"/>
      <c r="B840" s="36"/>
      <c r="C840" s="36"/>
      <c r="D840" s="36"/>
      <c r="E840" s="37"/>
      <c r="F840" s="37"/>
      <c r="G840" s="37"/>
      <c r="H840" s="37"/>
      <c r="I840" s="37"/>
      <c r="J840" s="1"/>
    </row>
    <row r="841" ht="15.75" customHeight="1">
      <c r="A841" s="36"/>
      <c r="B841" s="36"/>
      <c r="C841" s="36"/>
      <c r="D841" s="36"/>
      <c r="E841" s="37"/>
      <c r="F841" s="37"/>
      <c r="G841" s="37"/>
      <c r="H841" s="37"/>
      <c r="I841" s="37"/>
      <c r="J841" s="1"/>
    </row>
    <row r="842" ht="15.75" customHeight="1">
      <c r="A842" s="36"/>
      <c r="B842" s="36"/>
      <c r="C842" s="36"/>
      <c r="D842" s="36"/>
      <c r="E842" s="37"/>
      <c r="F842" s="37"/>
      <c r="G842" s="37"/>
      <c r="H842" s="37"/>
      <c r="I842" s="37"/>
      <c r="J842" s="1"/>
    </row>
    <row r="843" ht="15.75" customHeight="1">
      <c r="A843" s="36"/>
      <c r="B843" s="36"/>
      <c r="C843" s="36"/>
      <c r="D843" s="36"/>
      <c r="E843" s="37"/>
      <c r="F843" s="37"/>
      <c r="G843" s="37"/>
      <c r="H843" s="37"/>
      <c r="I843" s="37"/>
      <c r="J843" s="1"/>
    </row>
    <row r="844" ht="15.75" customHeight="1">
      <c r="A844" s="36"/>
      <c r="B844" s="36"/>
      <c r="C844" s="36"/>
      <c r="D844" s="36"/>
      <c r="E844" s="37"/>
      <c r="F844" s="37"/>
      <c r="G844" s="37"/>
      <c r="H844" s="37"/>
      <c r="I844" s="37"/>
      <c r="J844" s="1"/>
    </row>
    <row r="845" ht="15.75" customHeight="1">
      <c r="A845" s="36"/>
      <c r="B845" s="36"/>
      <c r="C845" s="36"/>
      <c r="D845" s="36"/>
      <c r="E845" s="37"/>
      <c r="F845" s="37"/>
      <c r="G845" s="37"/>
      <c r="H845" s="37"/>
      <c r="I845" s="37"/>
      <c r="J845" s="1"/>
    </row>
    <row r="846" ht="15.75" customHeight="1">
      <c r="A846" s="36"/>
      <c r="B846" s="36"/>
      <c r="C846" s="36"/>
      <c r="D846" s="36"/>
      <c r="E846" s="37"/>
      <c r="F846" s="37"/>
      <c r="G846" s="37"/>
      <c r="H846" s="37"/>
      <c r="I846" s="37"/>
      <c r="J846" s="1"/>
    </row>
    <row r="847" ht="15.75" customHeight="1">
      <c r="A847" s="36"/>
      <c r="B847" s="36"/>
      <c r="C847" s="36"/>
      <c r="D847" s="36"/>
      <c r="E847" s="37"/>
      <c r="F847" s="37"/>
      <c r="G847" s="37"/>
      <c r="H847" s="37"/>
      <c r="I847" s="37"/>
      <c r="J847" s="1"/>
    </row>
    <row r="848" ht="15.75" customHeight="1">
      <c r="A848" s="36"/>
      <c r="B848" s="36"/>
      <c r="C848" s="36"/>
      <c r="D848" s="36"/>
      <c r="E848" s="37"/>
      <c r="F848" s="37"/>
      <c r="G848" s="37"/>
      <c r="H848" s="37"/>
      <c r="I848" s="37"/>
      <c r="J848" s="1"/>
    </row>
    <row r="849" ht="15.75" customHeight="1">
      <c r="A849" s="36"/>
      <c r="B849" s="36"/>
      <c r="C849" s="36"/>
      <c r="D849" s="36"/>
      <c r="E849" s="37"/>
      <c r="F849" s="37"/>
      <c r="G849" s="37"/>
      <c r="H849" s="37"/>
      <c r="I849" s="37"/>
      <c r="J849" s="1"/>
    </row>
    <row r="850" ht="15.75" customHeight="1">
      <c r="A850" s="36"/>
      <c r="B850" s="36"/>
      <c r="C850" s="36"/>
      <c r="D850" s="36"/>
      <c r="E850" s="37"/>
      <c r="F850" s="37"/>
      <c r="G850" s="37"/>
      <c r="H850" s="37"/>
      <c r="I850" s="37"/>
      <c r="J850" s="1"/>
    </row>
    <row r="851" ht="15.75" customHeight="1">
      <c r="A851" s="36"/>
      <c r="B851" s="36"/>
      <c r="C851" s="36"/>
      <c r="D851" s="36"/>
      <c r="E851" s="37"/>
      <c r="F851" s="37"/>
      <c r="G851" s="37"/>
      <c r="H851" s="37"/>
      <c r="I851" s="37"/>
      <c r="J851" s="1"/>
    </row>
    <row r="852" ht="15.75" customHeight="1">
      <c r="A852" s="36"/>
      <c r="B852" s="36"/>
      <c r="C852" s="36"/>
      <c r="D852" s="36"/>
      <c r="E852" s="37"/>
      <c r="F852" s="37"/>
      <c r="G852" s="37"/>
      <c r="H852" s="37"/>
      <c r="I852" s="37"/>
      <c r="J852" s="1"/>
    </row>
    <row r="853" ht="15.75" customHeight="1">
      <c r="A853" s="36"/>
      <c r="B853" s="36"/>
      <c r="C853" s="36"/>
      <c r="D853" s="36"/>
      <c r="E853" s="37"/>
      <c r="F853" s="37"/>
      <c r="G853" s="37"/>
      <c r="H853" s="37"/>
      <c r="I853" s="37"/>
      <c r="J853" s="1"/>
    </row>
    <row r="854" ht="15.75" customHeight="1">
      <c r="A854" s="36"/>
      <c r="B854" s="36"/>
      <c r="C854" s="36"/>
      <c r="D854" s="36"/>
      <c r="E854" s="37"/>
      <c r="F854" s="37"/>
      <c r="G854" s="37"/>
      <c r="H854" s="37"/>
      <c r="I854" s="37"/>
      <c r="J854" s="1"/>
    </row>
    <row r="855" ht="15.75" customHeight="1">
      <c r="A855" s="36"/>
      <c r="B855" s="36"/>
      <c r="C855" s="36"/>
      <c r="D855" s="36"/>
      <c r="E855" s="37"/>
      <c r="F855" s="37"/>
      <c r="G855" s="37"/>
      <c r="H855" s="37"/>
      <c r="I855" s="37"/>
      <c r="J855" s="1"/>
    </row>
    <row r="856" ht="15.75" customHeight="1">
      <c r="A856" s="36"/>
      <c r="B856" s="36"/>
      <c r="C856" s="36"/>
      <c r="D856" s="36"/>
      <c r="E856" s="37"/>
      <c r="F856" s="37"/>
      <c r="G856" s="37"/>
      <c r="H856" s="37"/>
      <c r="I856" s="37"/>
      <c r="J856" s="1"/>
    </row>
    <row r="857" ht="15.75" customHeight="1">
      <c r="A857" s="36"/>
      <c r="B857" s="36"/>
      <c r="C857" s="36"/>
      <c r="D857" s="36"/>
      <c r="E857" s="37"/>
      <c r="F857" s="37"/>
      <c r="G857" s="37"/>
      <c r="H857" s="37"/>
      <c r="I857" s="37"/>
      <c r="J857" s="1"/>
    </row>
    <row r="858" ht="15.75" customHeight="1">
      <c r="A858" s="36"/>
      <c r="B858" s="36"/>
      <c r="C858" s="36"/>
      <c r="D858" s="36"/>
      <c r="E858" s="37"/>
      <c r="F858" s="37"/>
      <c r="G858" s="37"/>
      <c r="H858" s="37"/>
      <c r="I858" s="37"/>
      <c r="J858" s="1"/>
    </row>
    <row r="859" ht="15.75" customHeight="1">
      <c r="A859" s="36"/>
      <c r="B859" s="36"/>
      <c r="C859" s="36"/>
      <c r="D859" s="36"/>
      <c r="E859" s="37"/>
      <c r="F859" s="37"/>
      <c r="G859" s="37"/>
      <c r="H859" s="37"/>
      <c r="I859" s="37"/>
      <c r="J859" s="1"/>
    </row>
    <row r="860" ht="15.75" customHeight="1">
      <c r="A860" s="36"/>
      <c r="B860" s="36"/>
      <c r="C860" s="36"/>
      <c r="D860" s="36"/>
      <c r="E860" s="37"/>
      <c r="F860" s="37"/>
      <c r="G860" s="37"/>
      <c r="H860" s="37"/>
      <c r="I860" s="37"/>
      <c r="J860" s="1"/>
    </row>
    <row r="861" ht="15.75" customHeight="1">
      <c r="A861" s="36"/>
      <c r="B861" s="36"/>
      <c r="C861" s="36"/>
      <c r="D861" s="36"/>
      <c r="E861" s="37"/>
      <c r="F861" s="37"/>
      <c r="G861" s="37"/>
      <c r="H861" s="37"/>
      <c r="I861" s="37"/>
      <c r="J861" s="1"/>
    </row>
    <row r="862" ht="15.75" customHeight="1">
      <c r="A862" s="36"/>
      <c r="B862" s="36"/>
      <c r="C862" s="36"/>
      <c r="D862" s="36"/>
      <c r="E862" s="37"/>
      <c r="F862" s="37"/>
      <c r="G862" s="37"/>
      <c r="H862" s="37"/>
      <c r="I862" s="37"/>
      <c r="J862" s="1"/>
    </row>
    <row r="863" ht="15.75" customHeight="1">
      <c r="A863" s="36"/>
      <c r="B863" s="36"/>
      <c r="C863" s="36"/>
      <c r="D863" s="36"/>
      <c r="E863" s="37"/>
      <c r="F863" s="37"/>
      <c r="G863" s="37"/>
      <c r="H863" s="37"/>
      <c r="I863" s="37"/>
      <c r="J863" s="1"/>
    </row>
    <row r="864" ht="15.75" customHeight="1">
      <c r="A864" s="36"/>
      <c r="B864" s="36"/>
      <c r="C864" s="36"/>
      <c r="D864" s="36"/>
      <c r="E864" s="37"/>
      <c r="F864" s="37"/>
      <c r="G864" s="37"/>
      <c r="H864" s="37"/>
      <c r="I864" s="37"/>
      <c r="J864" s="1"/>
    </row>
    <row r="865" ht="15.75" customHeight="1">
      <c r="A865" s="36"/>
      <c r="B865" s="36"/>
      <c r="C865" s="36"/>
      <c r="D865" s="36"/>
      <c r="E865" s="37"/>
      <c r="F865" s="37"/>
      <c r="G865" s="37"/>
      <c r="H865" s="37"/>
      <c r="I865" s="37"/>
      <c r="J865" s="1"/>
    </row>
    <row r="866" ht="15.75" customHeight="1">
      <c r="A866" s="36"/>
      <c r="B866" s="36"/>
      <c r="C866" s="36"/>
      <c r="D866" s="36"/>
      <c r="E866" s="37"/>
      <c r="F866" s="37"/>
      <c r="G866" s="37"/>
      <c r="H866" s="37"/>
      <c r="I866" s="37"/>
      <c r="J866" s="1"/>
    </row>
    <row r="867" ht="15.75" customHeight="1">
      <c r="A867" s="36"/>
      <c r="B867" s="36"/>
      <c r="C867" s="36"/>
      <c r="D867" s="36"/>
      <c r="E867" s="37"/>
      <c r="F867" s="37"/>
      <c r="G867" s="37"/>
      <c r="H867" s="37"/>
      <c r="I867" s="37"/>
      <c r="J867" s="1"/>
    </row>
    <row r="868" ht="15.75" customHeight="1">
      <c r="A868" s="36"/>
      <c r="B868" s="36"/>
      <c r="C868" s="36"/>
      <c r="D868" s="36"/>
      <c r="E868" s="37"/>
      <c r="F868" s="37"/>
      <c r="G868" s="37"/>
      <c r="H868" s="37"/>
      <c r="I868" s="37"/>
      <c r="J868" s="1"/>
    </row>
    <row r="869" ht="15.75" customHeight="1">
      <c r="A869" s="36"/>
      <c r="B869" s="36"/>
      <c r="C869" s="36"/>
      <c r="D869" s="36"/>
      <c r="E869" s="37"/>
      <c r="F869" s="37"/>
      <c r="G869" s="37"/>
      <c r="H869" s="37"/>
      <c r="I869" s="37"/>
      <c r="J869" s="1"/>
    </row>
    <row r="870" ht="15.75" customHeight="1">
      <c r="A870" s="36"/>
      <c r="B870" s="36"/>
      <c r="C870" s="36"/>
      <c r="D870" s="36"/>
      <c r="E870" s="37"/>
      <c r="F870" s="37"/>
      <c r="G870" s="37"/>
      <c r="H870" s="37"/>
      <c r="I870" s="37"/>
      <c r="J870" s="1"/>
    </row>
    <row r="871" ht="15.75" customHeight="1">
      <c r="A871" s="36"/>
      <c r="B871" s="36"/>
      <c r="C871" s="36"/>
      <c r="D871" s="36"/>
      <c r="E871" s="37"/>
      <c r="F871" s="37"/>
      <c r="G871" s="37"/>
      <c r="H871" s="37"/>
      <c r="I871" s="37"/>
      <c r="J871" s="1"/>
    </row>
    <row r="872" ht="15.75" customHeight="1">
      <c r="A872" s="36"/>
      <c r="B872" s="36"/>
      <c r="C872" s="36"/>
      <c r="D872" s="36"/>
      <c r="E872" s="37"/>
      <c r="F872" s="37"/>
      <c r="G872" s="37"/>
      <c r="H872" s="37"/>
      <c r="I872" s="37"/>
      <c r="J872" s="1"/>
    </row>
    <row r="873" ht="15.75" customHeight="1">
      <c r="A873" s="36"/>
      <c r="B873" s="36"/>
      <c r="C873" s="36"/>
      <c r="D873" s="36"/>
      <c r="E873" s="37"/>
      <c r="F873" s="37"/>
      <c r="G873" s="37"/>
      <c r="H873" s="37"/>
      <c r="I873" s="37"/>
      <c r="J873" s="1"/>
    </row>
    <row r="874" ht="15.75" customHeight="1">
      <c r="A874" s="36"/>
      <c r="B874" s="36"/>
      <c r="C874" s="36"/>
      <c r="D874" s="36"/>
      <c r="E874" s="37"/>
      <c r="F874" s="37"/>
      <c r="G874" s="37"/>
      <c r="H874" s="37"/>
      <c r="I874" s="37"/>
      <c r="J874" s="1"/>
    </row>
    <row r="875" ht="15.75" customHeight="1">
      <c r="A875" s="36"/>
      <c r="B875" s="36"/>
      <c r="C875" s="36"/>
      <c r="D875" s="36"/>
      <c r="E875" s="37"/>
      <c r="F875" s="37"/>
      <c r="G875" s="37"/>
      <c r="H875" s="37"/>
      <c r="I875" s="37"/>
      <c r="J875" s="1"/>
    </row>
    <row r="876" ht="15.75" customHeight="1">
      <c r="A876" s="36"/>
      <c r="B876" s="36"/>
      <c r="C876" s="36"/>
      <c r="D876" s="36"/>
      <c r="E876" s="37"/>
      <c r="F876" s="37"/>
      <c r="G876" s="37"/>
      <c r="H876" s="37"/>
      <c r="I876" s="37"/>
      <c r="J876" s="1"/>
    </row>
    <row r="877" ht="15.75" customHeight="1">
      <c r="A877" s="36"/>
      <c r="B877" s="36"/>
      <c r="C877" s="36"/>
      <c r="D877" s="36"/>
      <c r="E877" s="37"/>
      <c r="F877" s="37"/>
      <c r="G877" s="37"/>
      <c r="H877" s="37"/>
      <c r="I877" s="37"/>
      <c r="J877" s="1"/>
    </row>
    <row r="878" ht="15.75" customHeight="1">
      <c r="A878" s="36"/>
      <c r="B878" s="36"/>
      <c r="C878" s="36"/>
      <c r="D878" s="36"/>
      <c r="E878" s="37"/>
      <c r="F878" s="37"/>
      <c r="G878" s="37"/>
      <c r="H878" s="37"/>
      <c r="I878" s="37"/>
      <c r="J878" s="1"/>
    </row>
    <row r="879" ht="15.75" customHeight="1">
      <c r="A879" s="36"/>
      <c r="B879" s="36"/>
      <c r="C879" s="36"/>
      <c r="D879" s="36"/>
      <c r="E879" s="37"/>
      <c r="F879" s="37"/>
      <c r="G879" s="37"/>
      <c r="H879" s="37"/>
      <c r="I879" s="37"/>
      <c r="J879" s="1"/>
    </row>
    <row r="880" ht="15.75" customHeight="1">
      <c r="A880" s="36"/>
      <c r="B880" s="36"/>
      <c r="C880" s="36"/>
      <c r="D880" s="36"/>
      <c r="E880" s="37"/>
      <c r="F880" s="37"/>
      <c r="G880" s="37"/>
      <c r="H880" s="37"/>
      <c r="I880" s="37"/>
      <c r="J880" s="1"/>
    </row>
    <row r="881" ht="15.75" customHeight="1">
      <c r="A881" s="36"/>
      <c r="B881" s="36"/>
      <c r="C881" s="36"/>
      <c r="D881" s="36"/>
      <c r="E881" s="37"/>
      <c r="F881" s="37"/>
      <c r="G881" s="37"/>
      <c r="H881" s="37"/>
      <c r="I881" s="37"/>
      <c r="J881" s="1"/>
    </row>
    <row r="882" ht="15.75" customHeight="1">
      <c r="A882" s="36"/>
      <c r="B882" s="36"/>
      <c r="C882" s="36"/>
      <c r="D882" s="36"/>
      <c r="E882" s="37"/>
      <c r="F882" s="37"/>
      <c r="G882" s="37"/>
      <c r="H882" s="37"/>
      <c r="I882" s="37"/>
      <c r="J882" s="1"/>
    </row>
    <row r="883" ht="15.75" customHeight="1">
      <c r="A883" s="36"/>
      <c r="B883" s="36"/>
      <c r="C883" s="36"/>
      <c r="D883" s="36"/>
      <c r="E883" s="37"/>
      <c r="F883" s="37"/>
      <c r="G883" s="37"/>
      <c r="H883" s="37"/>
      <c r="I883" s="37"/>
      <c r="J883" s="1"/>
    </row>
    <row r="884" ht="15.75" customHeight="1">
      <c r="A884" s="36"/>
      <c r="B884" s="36"/>
      <c r="C884" s="36"/>
      <c r="D884" s="36"/>
      <c r="E884" s="37"/>
      <c r="F884" s="37"/>
      <c r="G884" s="37"/>
      <c r="H884" s="37"/>
      <c r="I884" s="37"/>
      <c r="J884" s="1"/>
    </row>
    <row r="885" ht="15.75" customHeight="1">
      <c r="A885" s="36"/>
      <c r="B885" s="36"/>
      <c r="C885" s="36"/>
      <c r="D885" s="36"/>
      <c r="E885" s="37"/>
      <c r="F885" s="37"/>
      <c r="G885" s="37"/>
      <c r="H885" s="37"/>
      <c r="I885" s="37"/>
      <c r="J885" s="1"/>
    </row>
    <row r="886" ht="15.75" customHeight="1">
      <c r="A886" s="36"/>
      <c r="B886" s="36"/>
      <c r="C886" s="36"/>
      <c r="D886" s="36"/>
      <c r="E886" s="37"/>
      <c r="F886" s="37"/>
      <c r="G886" s="37"/>
      <c r="H886" s="37"/>
      <c r="I886" s="37"/>
      <c r="J886" s="1"/>
    </row>
    <row r="887" ht="15.75" customHeight="1">
      <c r="A887" s="36"/>
      <c r="B887" s="36"/>
      <c r="C887" s="36"/>
      <c r="D887" s="36"/>
      <c r="E887" s="37"/>
      <c r="F887" s="37"/>
      <c r="G887" s="37"/>
      <c r="H887" s="37"/>
      <c r="I887" s="37"/>
      <c r="J887" s="1"/>
    </row>
    <row r="888" ht="15.75" customHeight="1">
      <c r="A888" s="36"/>
      <c r="B888" s="36"/>
      <c r="C888" s="36"/>
      <c r="D888" s="36"/>
      <c r="E888" s="37"/>
      <c r="F888" s="37"/>
      <c r="G888" s="37"/>
      <c r="H888" s="37"/>
      <c r="I888" s="37"/>
      <c r="J888" s="1"/>
    </row>
    <row r="889" ht="15.75" customHeight="1">
      <c r="A889" s="36"/>
      <c r="B889" s="36"/>
      <c r="C889" s="36"/>
      <c r="D889" s="36"/>
      <c r="E889" s="37"/>
      <c r="F889" s="37"/>
      <c r="G889" s="37"/>
      <c r="H889" s="37"/>
      <c r="I889" s="37"/>
      <c r="J889" s="1"/>
    </row>
    <row r="890" ht="15.75" customHeight="1">
      <c r="A890" s="36"/>
      <c r="B890" s="36"/>
      <c r="C890" s="36"/>
      <c r="D890" s="36"/>
      <c r="E890" s="37"/>
      <c r="F890" s="37"/>
      <c r="G890" s="37"/>
      <c r="H890" s="37"/>
      <c r="I890" s="37"/>
      <c r="J890" s="1"/>
    </row>
    <row r="891" ht="15.75" customHeight="1">
      <c r="A891" s="36"/>
      <c r="B891" s="36"/>
      <c r="C891" s="36"/>
      <c r="D891" s="36"/>
      <c r="E891" s="37"/>
      <c r="F891" s="37"/>
      <c r="G891" s="37"/>
      <c r="H891" s="37"/>
      <c r="I891" s="37"/>
      <c r="J891" s="1"/>
    </row>
    <row r="892" ht="15.75" customHeight="1">
      <c r="A892" s="36"/>
      <c r="B892" s="36"/>
      <c r="C892" s="36"/>
      <c r="D892" s="36"/>
      <c r="E892" s="37"/>
      <c r="F892" s="37"/>
      <c r="G892" s="37"/>
      <c r="H892" s="37"/>
      <c r="I892" s="37"/>
      <c r="J892" s="1"/>
    </row>
    <row r="893" ht="15.75" customHeight="1">
      <c r="A893" s="36"/>
      <c r="B893" s="36"/>
      <c r="C893" s="36"/>
      <c r="D893" s="36"/>
      <c r="E893" s="37"/>
      <c r="F893" s="37"/>
      <c r="G893" s="37"/>
      <c r="H893" s="37"/>
      <c r="I893" s="37"/>
      <c r="J893" s="1"/>
    </row>
    <row r="894" ht="15.75" customHeight="1">
      <c r="A894" s="36"/>
      <c r="B894" s="36"/>
      <c r="C894" s="36"/>
      <c r="D894" s="36"/>
      <c r="E894" s="37"/>
      <c r="F894" s="37"/>
      <c r="G894" s="37"/>
      <c r="H894" s="37"/>
      <c r="I894" s="37"/>
      <c r="J894" s="1"/>
    </row>
    <row r="895" ht="15.75" customHeight="1">
      <c r="A895" s="36"/>
      <c r="B895" s="36"/>
      <c r="C895" s="36"/>
      <c r="D895" s="36"/>
      <c r="E895" s="37"/>
      <c r="F895" s="37"/>
      <c r="G895" s="37"/>
      <c r="H895" s="37"/>
      <c r="I895" s="37"/>
      <c r="J895" s="1"/>
    </row>
    <row r="896" ht="15.75" customHeight="1">
      <c r="A896" s="36"/>
      <c r="B896" s="36"/>
      <c r="C896" s="36"/>
      <c r="D896" s="36"/>
      <c r="E896" s="37"/>
      <c r="F896" s="37"/>
      <c r="G896" s="37"/>
      <c r="H896" s="37"/>
      <c r="I896" s="37"/>
      <c r="J896" s="1"/>
    </row>
    <row r="897" ht="15.75" customHeight="1">
      <c r="A897" s="36"/>
      <c r="B897" s="36"/>
      <c r="C897" s="36"/>
      <c r="D897" s="36"/>
      <c r="E897" s="37"/>
      <c r="F897" s="37"/>
      <c r="G897" s="37"/>
      <c r="H897" s="37"/>
      <c r="I897" s="37"/>
      <c r="J897" s="1"/>
    </row>
    <row r="898" ht="15.75" customHeight="1">
      <c r="A898" s="36"/>
      <c r="B898" s="36"/>
      <c r="C898" s="36"/>
      <c r="D898" s="36"/>
      <c r="E898" s="37"/>
      <c r="F898" s="37"/>
      <c r="G898" s="37"/>
      <c r="H898" s="37"/>
      <c r="I898" s="37"/>
      <c r="J898" s="1"/>
    </row>
    <row r="899" ht="15.75" customHeight="1">
      <c r="A899" s="36"/>
      <c r="B899" s="36"/>
      <c r="C899" s="36"/>
      <c r="D899" s="36"/>
      <c r="E899" s="37"/>
      <c r="F899" s="37"/>
      <c r="G899" s="37"/>
      <c r="H899" s="37"/>
      <c r="I899" s="37"/>
      <c r="J899" s="1"/>
    </row>
    <row r="900" ht="15.75" customHeight="1">
      <c r="A900" s="36"/>
      <c r="B900" s="36"/>
      <c r="C900" s="36"/>
      <c r="D900" s="36"/>
      <c r="E900" s="37"/>
      <c r="F900" s="37"/>
      <c r="G900" s="37"/>
      <c r="H900" s="37"/>
      <c r="I900" s="37"/>
      <c r="J900" s="1"/>
    </row>
    <row r="901" ht="15.75" customHeight="1">
      <c r="A901" s="36"/>
      <c r="B901" s="36"/>
      <c r="C901" s="36"/>
      <c r="D901" s="36"/>
      <c r="E901" s="37"/>
      <c r="F901" s="37"/>
      <c r="G901" s="37"/>
      <c r="H901" s="37"/>
      <c r="I901" s="37"/>
      <c r="J901" s="1"/>
    </row>
    <row r="902" ht="15.75" customHeight="1">
      <c r="A902" s="36"/>
      <c r="B902" s="36"/>
      <c r="C902" s="36"/>
      <c r="D902" s="36"/>
      <c r="E902" s="37"/>
      <c r="F902" s="37"/>
      <c r="G902" s="37"/>
      <c r="H902" s="37"/>
      <c r="I902" s="37"/>
      <c r="J902" s="1"/>
    </row>
    <row r="903" ht="15.75" customHeight="1">
      <c r="A903" s="36"/>
      <c r="B903" s="36"/>
      <c r="C903" s="36"/>
      <c r="D903" s="36"/>
      <c r="E903" s="37"/>
      <c r="F903" s="37"/>
      <c r="G903" s="37"/>
      <c r="H903" s="37"/>
      <c r="I903" s="37"/>
      <c r="J903" s="1"/>
    </row>
    <row r="904" ht="15.75" customHeight="1">
      <c r="A904" s="36"/>
      <c r="B904" s="36"/>
      <c r="C904" s="36"/>
      <c r="D904" s="36"/>
      <c r="E904" s="37"/>
      <c r="F904" s="37"/>
      <c r="G904" s="37"/>
      <c r="H904" s="37"/>
      <c r="I904" s="37"/>
      <c r="J904" s="1"/>
    </row>
    <row r="905" ht="15.75" customHeight="1">
      <c r="A905" s="36"/>
      <c r="B905" s="36"/>
      <c r="C905" s="36"/>
      <c r="D905" s="36"/>
      <c r="E905" s="37"/>
      <c r="F905" s="37"/>
      <c r="G905" s="37"/>
      <c r="H905" s="37"/>
      <c r="I905" s="37"/>
      <c r="J905" s="1"/>
    </row>
    <row r="906" ht="15.75" customHeight="1">
      <c r="A906" s="36"/>
      <c r="B906" s="36"/>
      <c r="C906" s="36"/>
      <c r="D906" s="36"/>
      <c r="E906" s="37"/>
      <c r="F906" s="37"/>
      <c r="G906" s="37"/>
      <c r="H906" s="37"/>
      <c r="I906" s="37"/>
      <c r="J906" s="1"/>
    </row>
    <row r="907" ht="15.75" customHeight="1">
      <c r="A907" s="36"/>
      <c r="B907" s="36"/>
      <c r="C907" s="36"/>
      <c r="D907" s="36"/>
      <c r="E907" s="37"/>
      <c r="F907" s="37"/>
      <c r="G907" s="37"/>
      <c r="H907" s="37"/>
      <c r="I907" s="37"/>
      <c r="J907" s="1"/>
    </row>
    <row r="908" ht="15.75" customHeight="1">
      <c r="A908" s="36"/>
      <c r="B908" s="36"/>
      <c r="C908" s="36"/>
      <c r="D908" s="36"/>
      <c r="E908" s="37"/>
      <c r="F908" s="37"/>
      <c r="G908" s="37"/>
      <c r="H908" s="37"/>
      <c r="I908" s="37"/>
      <c r="J908" s="1"/>
    </row>
    <row r="909" ht="15.75" customHeight="1">
      <c r="A909" s="36"/>
      <c r="B909" s="36"/>
      <c r="C909" s="36"/>
      <c r="D909" s="36"/>
      <c r="E909" s="37"/>
      <c r="F909" s="37"/>
      <c r="G909" s="37"/>
      <c r="H909" s="37"/>
      <c r="I909" s="37"/>
      <c r="J909" s="1"/>
    </row>
    <row r="910" ht="15.75" customHeight="1">
      <c r="A910" s="36"/>
      <c r="B910" s="36"/>
      <c r="C910" s="36"/>
      <c r="D910" s="36"/>
      <c r="E910" s="37"/>
      <c r="F910" s="37"/>
      <c r="G910" s="37"/>
      <c r="H910" s="37"/>
      <c r="I910" s="37"/>
      <c r="J910" s="1"/>
    </row>
    <row r="911" ht="15.75" customHeight="1">
      <c r="A911" s="36"/>
      <c r="B911" s="36"/>
      <c r="C911" s="36"/>
      <c r="D911" s="36"/>
      <c r="E911" s="37"/>
      <c r="F911" s="37"/>
      <c r="G911" s="37"/>
      <c r="H911" s="37"/>
      <c r="I911" s="37"/>
      <c r="J911" s="1"/>
    </row>
    <row r="912" ht="15.75" customHeight="1">
      <c r="A912" s="36"/>
      <c r="B912" s="36"/>
      <c r="C912" s="36"/>
      <c r="D912" s="36"/>
      <c r="E912" s="37"/>
      <c r="F912" s="37"/>
      <c r="G912" s="37"/>
      <c r="H912" s="37"/>
      <c r="I912" s="37"/>
      <c r="J912" s="1"/>
    </row>
    <row r="913" ht="15.75" customHeight="1">
      <c r="A913" s="36"/>
      <c r="B913" s="36"/>
      <c r="C913" s="36"/>
      <c r="D913" s="36"/>
      <c r="E913" s="37"/>
      <c r="F913" s="37"/>
      <c r="G913" s="37"/>
      <c r="H913" s="37"/>
      <c r="I913" s="37"/>
      <c r="J913" s="1"/>
    </row>
    <row r="914" ht="15.75" customHeight="1">
      <c r="A914" s="36"/>
      <c r="B914" s="36"/>
      <c r="C914" s="36"/>
      <c r="D914" s="36"/>
      <c r="E914" s="37"/>
      <c r="F914" s="37"/>
      <c r="G914" s="37"/>
      <c r="H914" s="37"/>
      <c r="I914" s="37"/>
      <c r="J914" s="1"/>
    </row>
    <row r="915" ht="15.75" customHeight="1">
      <c r="A915" s="36"/>
      <c r="B915" s="36"/>
      <c r="C915" s="36"/>
      <c r="D915" s="36"/>
      <c r="E915" s="37"/>
      <c r="F915" s="37"/>
      <c r="G915" s="37"/>
      <c r="H915" s="37"/>
      <c r="I915" s="37"/>
      <c r="J915" s="1"/>
    </row>
    <row r="916" ht="15.75" customHeight="1">
      <c r="A916" s="36"/>
      <c r="B916" s="36"/>
      <c r="C916" s="36"/>
      <c r="D916" s="36"/>
      <c r="E916" s="37"/>
      <c r="F916" s="37"/>
      <c r="G916" s="37"/>
      <c r="H916" s="37"/>
      <c r="I916" s="37"/>
      <c r="J916" s="1"/>
    </row>
    <row r="917" ht="15.75" customHeight="1">
      <c r="A917" s="36"/>
      <c r="B917" s="36"/>
      <c r="C917" s="36"/>
      <c r="D917" s="36"/>
      <c r="E917" s="37"/>
      <c r="F917" s="37"/>
      <c r="G917" s="37"/>
      <c r="H917" s="37"/>
      <c r="I917" s="37"/>
      <c r="J917" s="1"/>
    </row>
    <row r="918" ht="15.75" customHeight="1">
      <c r="A918" s="36"/>
      <c r="B918" s="36"/>
      <c r="C918" s="36"/>
      <c r="D918" s="36"/>
      <c r="E918" s="37"/>
      <c r="F918" s="37"/>
      <c r="G918" s="37"/>
      <c r="H918" s="37"/>
      <c r="I918" s="37"/>
      <c r="J918" s="1"/>
    </row>
    <row r="919" ht="15.75" customHeight="1">
      <c r="A919" s="36"/>
      <c r="B919" s="36"/>
      <c r="C919" s="36"/>
      <c r="D919" s="36"/>
      <c r="E919" s="37"/>
      <c r="F919" s="37"/>
      <c r="G919" s="37"/>
      <c r="H919" s="37"/>
      <c r="I919" s="37"/>
      <c r="J919" s="1"/>
    </row>
    <row r="920" ht="15.75" customHeight="1">
      <c r="A920" s="36"/>
      <c r="B920" s="36"/>
      <c r="C920" s="36"/>
      <c r="D920" s="36"/>
      <c r="E920" s="37"/>
      <c r="F920" s="37"/>
      <c r="G920" s="37"/>
      <c r="H920" s="37"/>
      <c r="I920" s="37"/>
      <c r="J920" s="1"/>
    </row>
    <row r="921" ht="15.75" customHeight="1">
      <c r="A921" s="36"/>
      <c r="B921" s="36"/>
      <c r="C921" s="36"/>
      <c r="D921" s="36"/>
      <c r="E921" s="37"/>
      <c r="F921" s="37"/>
      <c r="G921" s="37"/>
      <c r="H921" s="37"/>
      <c r="I921" s="37"/>
      <c r="J921" s="1"/>
    </row>
    <row r="922" ht="15.75" customHeight="1">
      <c r="A922" s="36"/>
      <c r="B922" s="36"/>
      <c r="C922" s="36"/>
      <c r="D922" s="36"/>
      <c r="E922" s="37"/>
      <c r="F922" s="37"/>
      <c r="G922" s="37"/>
      <c r="H922" s="37"/>
      <c r="I922" s="37"/>
      <c r="J922" s="1"/>
    </row>
    <row r="923" ht="15.75" customHeight="1">
      <c r="A923" s="36"/>
      <c r="B923" s="36"/>
      <c r="C923" s="36"/>
      <c r="D923" s="36"/>
      <c r="E923" s="37"/>
      <c r="F923" s="37"/>
      <c r="G923" s="37"/>
      <c r="H923" s="37"/>
      <c r="I923" s="37"/>
      <c r="J923" s="1"/>
    </row>
    <row r="924" ht="15.75" customHeight="1">
      <c r="A924" s="36"/>
      <c r="B924" s="36"/>
      <c r="C924" s="36"/>
      <c r="D924" s="36"/>
      <c r="E924" s="37"/>
      <c r="F924" s="37"/>
      <c r="G924" s="37"/>
      <c r="H924" s="37"/>
      <c r="I924" s="37"/>
      <c r="J924" s="1"/>
    </row>
    <row r="925" ht="15.75" customHeight="1">
      <c r="A925" s="36"/>
      <c r="B925" s="36"/>
      <c r="C925" s="36"/>
      <c r="D925" s="36"/>
      <c r="E925" s="37"/>
      <c r="F925" s="37"/>
      <c r="G925" s="37"/>
      <c r="H925" s="37"/>
      <c r="I925" s="37"/>
      <c r="J925" s="1"/>
    </row>
    <row r="926" ht="15.75" customHeight="1">
      <c r="A926" s="36"/>
      <c r="B926" s="36"/>
      <c r="C926" s="36"/>
      <c r="D926" s="36"/>
      <c r="E926" s="37"/>
      <c r="F926" s="37"/>
      <c r="G926" s="37"/>
      <c r="H926" s="37"/>
      <c r="I926" s="37"/>
      <c r="J926" s="1"/>
    </row>
    <row r="927" ht="15.75" customHeight="1">
      <c r="A927" s="36"/>
      <c r="B927" s="36"/>
      <c r="C927" s="36"/>
      <c r="D927" s="36"/>
      <c r="E927" s="37"/>
      <c r="F927" s="37"/>
      <c r="G927" s="37"/>
      <c r="H927" s="37"/>
      <c r="I927" s="37"/>
      <c r="J927" s="1"/>
    </row>
    <row r="928" ht="15.75" customHeight="1">
      <c r="A928" s="36"/>
      <c r="B928" s="36"/>
      <c r="C928" s="36"/>
      <c r="D928" s="36"/>
      <c r="E928" s="37"/>
      <c r="F928" s="37"/>
      <c r="G928" s="37"/>
      <c r="H928" s="37"/>
      <c r="I928" s="37"/>
      <c r="J928" s="1"/>
    </row>
    <row r="929" ht="15.75" customHeight="1">
      <c r="A929" s="36"/>
      <c r="B929" s="36"/>
      <c r="C929" s="36"/>
      <c r="D929" s="36"/>
      <c r="E929" s="37"/>
      <c r="F929" s="37"/>
      <c r="G929" s="37"/>
      <c r="H929" s="37"/>
      <c r="I929" s="37"/>
      <c r="J929" s="1"/>
    </row>
    <row r="930" ht="15.75" customHeight="1">
      <c r="A930" s="36"/>
      <c r="B930" s="36"/>
      <c r="C930" s="36"/>
      <c r="D930" s="36"/>
      <c r="E930" s="37"/>
      <c r="F930" s="37"/>
      <c r="G930" s="37"/>
      <c r="H930" s="37"/>
      <c r="I930" s="37"/>
      <c r="J930" s="1"/>
    </row>
    <row r="931" ht="15.75" customHeight="1">
      <c r="A931" s="36"/>
      <c r="B931" s="36"/>
      <c r="C931" s="36"/>
      <c r="D931" s="36"/>
      <c r="E931" s="37"/>
      <c r="F931" s="37"/>
      <c r="G931" s="37"/>
      <c r="H931" s="37"/>
      <c r="I931" s="37"/>
      <c r="J931" s="1"/>
    </row>
    <row r="932" ht="15.75" customHeight="1">
      <c r="A932" s="36"/>
      <c r="B932" s="36"/>
      <c r="C932" s="36"/>
      <c r="D932" s="36"/>
      <c r="E932" s="37"/>
      <c r="F932" s="37"/>
      <c r="G932" s="37"/>
      <c r="H932" s="37"/>
      <c r="I932" s="37"/>
      <c r="J932" s="1"/>
    </row>
    <row r="933" ht="15.75" customHeight="1">
      <c r="A933" s="36"/>
      <c r="B933" s="36"/>
      <c r="C933" s="36"/>
      <c r="D933" s="36"/>
      <c r="E933" s="37"/>
      <c r="F933" s="37"/>
      <c r="G933" s="37"/>
      <c r="H933" s="37"/>
      <c r="I933" s="37"/>
      <c r="J933" s="1"/>
    </row>
    <row r="934" ht="15.75" customHeight="1">
      <c r="A934" s="36"/>
      <c r="B934" s="36"/>
      <c r="C934" s="36"/>
      <c r="D934" s="36"/>
      <c r="E934" s="37"/>
      <c r="F934" s="37"/>
      <c r="G934" s="37"/>
      <c r="H934" s="37"/>
      <c r="I934" s="37"/>
      <c r="J934" s="1"/>
    </row>
    <row r="935" ht="15.75" customHeight="1">
      <c r="A935" s="36"/>
      <c r="B935" s="36"/>
      <c r="C935" s="36"/>
      <c r="D935" s="36"/>
      <c r="E935" s="37"/>
      <c r="F935" s="37"/>
      <c r="G935" s="37"/>
      <c r="H935" s="37"/>
      <c r="I935" s="37"/>
      <c r="J935" s="1"/>
    </row>
    <row r="936" ht="15.75" customHeight="1">
      <c r="A936" s="36"/>
      <c r="B936" s="36"/>
      <c r="C936" s="36"/>
      <c r="D936" s="36"/>
      <c r="E936" s="37"/>
      <c r="F936" s="37"/>
      <c r="G936" s="37"/>
      <c r="H936" s="37"/>
      <c r="I936" s="37"/>
      <c r="J936" s="1"/>
    </row>
    <row r="937" ht="15.75" customHeight="1">
      <c r="A937" s="36"/>
      <c r="B937" s="36"/>
      <c r="C937" s="36"/>
      <c r="D937" s="36"/>
      <c r="E937" s="37"/>
      <c r="F937" s="37"/>
      <c r="G937" s="37"/>
      <c r="H937" s="37"/>
      <c r="I937" s="37"/>
      <c r="J937" s="1"/>
    </row>
    <row r="938" ht="15.75" customHeight="1">
      <c r="A938" s="36"/>
      <c r="B938" s="36"/>
      <c r="C938" s="36"/>
      <c r="D938" s="36"/>
      <c r="E938" s="37"/>
      <c r="F938" s="37"/>
      <c r="G938" s="37"/>
      <c r="H938" s="37"/>
      <c r="I938" s="37"/>
      <c r="J938" s="1"/>
    </row>
    <row r="939" ht="15.75" customHeight="1">
      <c r="A939" s="36"/>
      <c r="B939" s="36"/>
      <c r="C939" s="36"/>
      <c r="D939" s="36"/>
      <c r="E939" s="37"/>
      <c r="F939" s="37"/>
      <c r="G939" s="37"/>
      <c r="H939" s="37"/>
      <c r="I939" s="37"/>
      <c r="J939" s="1"/>
    </row>
    <row r="940" ht="15.75" customHeight="1">
      <c r="A940" s="36"/>
      <c r="B940" s="36"/>
      <c r="C940" s="36"/>
      <c r="D940" s="36"/>
      <c r="E940" s="37"/>
      <c r="F940" s="37"/>
      <c r="G940" s="37"/>
      <c r="H940" s="37"/>
      <c r="I940" s="37"/>
      <c r="J940" s="1"/>
    </row>
    <row r="941" ht="15.75" customHeight="1">
      <c r="A941" s="36"/>
      <c r="B941" s="36"/>
      <c r="C941" s="36"/>
      <c r="D941" s="36"/>
      <c r="E941" s="37"/>
      <c r="F941" s="37"/>
      <c r="G941" s="37"/>
      <c r="H941" s="37"/>
      <c r="I941" s="37"/>
      <c r="J941" s="1"/>
    </row>
    <row r="942" ht="15.75" customHeight="1">
      <c r="A942" s="36"/>
      <c r="B942" s="36"/>
      <c r="C942" s="36"/>
      <c r="D942" s="36"/>
      <c r="E942" s="37"/>
      <c r="F942" s="37"/>
      <c r="G942" s="37"/>
      <c r="H942" s="37"/>
      <c r="I942" s="37"/>
      <c r="J942" s="1"/>
    </row>
    <row r="943" ht="15.75" customHeight="1">
      <c r="A943" s="36"/>
      <c r="B943" s="36"/>
      <c r="C943" s="36"/>
      <c r="D943" s="36"/>
      <c r="E943" s="37"/>
      <c r="F943" s="37"/>
      <c r="G943" s="37"/>
      <c r="H943" s="37"/>
      <c r="I943" s="37"/>
      <c r="J943" s="1"/>
    </row>
    <row r="944" ht="15.75" customHeight="1">
      <c r="A944" s="36"/>
      <c r="B944" s="36"/>
      <c r="C944" s="36"/>
      <c r="D944" s="36"/>
      <c r="E944" s="37"/>
      <c r="F944" s="37"/>
      <c r="G944" s="37"/>
      <c r="H944" s="37"/>
      <c r="I944" s="37"/>
      <c r="J944" s="1"/>
    </row>
    <row r="945" ht="15.75" customHeight="1">
      <c r="A945" s="36"/>
      <c r="B945" s="36"/>
      <c r="C945" s="36"/>
      <c r="D945" s="36"/>
      <c r="E945" s="37"/>
      <c r="F945" s="37"/>
      <c r="G945" s="37"/>
      <c r="H945" s="37"/>
      <c r="I945" s="37"/>
      <c r="J945" s="1"/>
    </row>
    <row r="946" ht="15.75" customHeight="1">
      <c r="A946" s="36"/>
      <c r="B946" s="36"/>
      <c r="C946" s="36"/>
      <c r="D946" s="36"/>
      <c r="E946" s="37"/>
      <c r="F946" s="37"/>
      <c r="G946" s="37"/>
      <c r="H946" s="37"/>
      <c r="I946" s="37"/>
      <c r="J946" s="1"/>
    </row>
    <row r="947" ht="15.75" customHeight="1">
      <c r="A947" s="36"/>
      <c r="B947" s="36"/>
      <c r="C947" s="36"/>
      <c r="D947" s="36"/>
      <c r="E947" s="37"/>
      <c r="F947" s="37"/>
      <c r="G947" s="37"/>
      <c r="H947" s="37"/>
      <c r="I947" s="37"/>
      <c r="J947" s="1"/>
    </row>
    <row r="948" ht="15.75" customHeight="1">
      <c r="A948" s="36"/>
      <c r="B948" s="36"/>
      <c r="C948" s="36"/>
      <c r="D948" s="36"/>
      <c r="E948" s="37"/>
      <c r="F948" s="37"/>
      <c r="G948" s="37"/>
      <c r="H948" s="37"/>
      <c r="I948" s="37"/>
      <c r="J948" s="1"/>
    </row>
    <row r="949" ht="15.75" customHeight="1">
      <c r="A949" s="36"/>
      <c r="B949" s="36"/>
      <c r="C949" s="36"/>
      <c r="D949" s="36"/>
      <c r="E949" s="37"/>
      <c r="F949" s="37"/>
      <c r="G949" s="37"/>
      <c r="H949" s="37"/>
      <c r="I949" s="37"/>
      <c r="J949" s="1"/>
    </row>
    <row r="950" ht="15.75" customHeight="1">
      <c r="A950" s="36"/>
      <c r="B950" s="36"/>
      <c r="C950" s="36"/>
      <c r="D950" s="36"/>
      <c r="E950" s="37"/>
      <c r="F950" s="37"/>
      <c r="G950" s="37"/>
      <c r="H950" s="37"/>
      <c r="I950" s="37"/>
      <c r="J950" s="1"/>
    </row>
    <row r="951" ht="15.75" customHeight="1">
      <c r="A951" s="36"/>
      <c r="B951" s="36"/>
      <c r="C951" s="36"/>
      <c r="D951" s="36"/>
      <c r="E951" s="37"/>
      <c r="F951" s="37"/>
      <c r="G951" s="37"/>
      <c r="H951" s="37"/>
      <c r="I951" s="37"/>
      <c r="J951" s="1"/>
    </row>
    <row r="952" ht="15.75" customHeight="1">
      <c r="A952" s="36"/>
      <c r="B952" s="36"/>
      <c r="C952" s="36"/>
      <c r="D952" s="36"/>
      <c r="E952" s="37"/>
      <c r="F952" s="37"/>
      <c r="G952" s="37"/>
      <c r="H952" s="37"/>
      <c r="I952" s="37"/>
      <c r="J952" s="1"/>
    </row>
    <row r="953" ht="15.75" customHeight="1">
      <c r="A953" s="36"/>
      <c r="B953" s="36"/>
      <c r="C953" s="36"/>
      <c r="D953" s="36"/>
      <c r="E953" s="37"/>
      <c r="F953" s="37"/>
      <c r="G953" s="37"/>
      <c r="H953" s="37"/>
      <c r="I953" s="37"/>
      <c r="J953" s="1"/>
    </row>
    <row r="954" ht="15.75" customHeight="1">
      <c r="A954" s="36"/>
      <c r="B954" s="36"/>
      <c r="C954" s="36"/>
      <c r="D954" s="36"/>
      <c r="E954" s="37"/>
      <c r="F954" s="37"/>
      <c r="G954" s="37"/>
      <c r="H954" s="37"/>
      <c r="I954" s="37"/>
      <c r="J954" s="1"/>
    </row>
    <row r="955" ht="15.75" customHeight="1">
      <c r="A955" s="36"/>
      <c r="B955" s="36"/>
      <c r="C955" s="36"/>
      <c r="D955" s="36"/>
      <c r="E955" s="37"/>
      <c r="F955" s="37"/>
      <c r="G955" s="37"/>
      <c r="H955" s="37"/>
      <c r="I955" s="37"/>
      <c r="J955" s="1"/>
    </row>
    <row r="956" ht="15.75" customHeight="1">
      <c r="A956" s="36"/>
      <c r="B956" s="36"/>
      <c r="C956" s="36"/>
      <c r="D956" s="36"/>
      <c r="E956" s="37"/>
      <c r="F956" s="37"/>
      <c r="G956" s="37"/>
      <c r="H956" s="37"/>
      <c r="I956" s="37"/>
      <c r="J956" s="1"/>
    </row>
    <row r="957" ht="15.75" customHeight="1">
      <c r="A957" s="36"/>
      <c r="B957" s="36"/>
      <c r="C957" s="36"/>
      <c r="D957" s="36"/>
      <c r="E957" s="37"/>
      <c r="F957" s="37"/>
      <c r="G957" s="37"/>
      <c r="H957" s="37"/>
      <c r="I957" s="37"/>
      <c r="J957" s="1"/>
    </row>
    <row r="958" ht="15.75" customHeight="1">
      <c r="A958" s="36"/>
      <c r="B958" s="36"/>
      <c r="C958" s="36"/>
      <c r="D958" s="36"/>
      <c r="E958" s="37"/>
      <c r="F958" s="37"/>
      <c r="G958" s="37"/>
      <c r="H958" s="37"/>
      <c r="I958" s="37"/>
      <c r="J958" s="1"/>
    </row>
    <row r="959" ht="15.75" customHeight="1">
      <c r="A959" s="36"/>
      <c r="B959" s="36"/>
      <c r="C959" s="36"/>
      <c r="D959" s="36"/>
      <c r="E959" s="37"/>
      <c r="F959" s="37"/>
      <c r="G959" s="37"/>
      <c r="H959" s="37"/>
      <c r="I959" s="37"/>
      <c r="J959" s="1"/>
    </row>
    <row r="960" ht="15.75" customHeight="1">
      <c r="A960" s="36"/>
      <c r="B960" s="36"/>
      <c r="C960" s="36"/>
      <c r="D960" s="36"/>
      <c r="E960" s="37"/>
      <c r="F960" s="37"/>
      <c r="G960" s="37"/>
      <c r="H960" s="37"/>
      <c r="I960" s="37"/>
      <c r="J960" s="1"/>
    </row>
    <row r="961" ht="15.75" customHeight="1">
      <c r="A961" s="36"/>
      <c r="B961" s="36"/>
      <c r="C961" s="36"/>
      <c r="D961" s="36"/>
      <c r="E961" s="37"/>
      <c r="F961" s="37"/>
      <c r="G961" s="37"/>
      <c r="H961" s="37"/>
      <c r="I961" s="37"/>
      <c r="J961" s="1"/>
    </row>
    <row r="962" ht="15.75" customHeight="1">
      <c r="A962" s="36"/>
      <c r="B962" s="36"/>
      <c r="C962" s="36"/>
      <c r="D962" s="36"/>
      <c r="E962" s="37"/>
      <c r="F962" s="37"/>
      <c r="G962" s="37"/>
      <c r="H962" s="37"/>
      <c r="I962" s="37"/>
      <c r="J962" s="1"/>
    </row>
    <row r="963" ht="15.75" customHeight="1">
      <c r="A963" s="36"/>
      <c r="B963" s="36"/>
      <c r="C963" s="36"/>
      <c r="D963" s="36"/>
      <c r="E963" s="37"/>
      <c r="F963" s="37"/>
      <c r="G963" s="37"/>
      <c r="H963" s="37"/>
      <c r="I963" s="37"/>
      <c r="J963" s="1"/>
    </row>
    <row r="964" ht="15.75" customHeight="1">
      <c r="A964" s="36"/>
      <c r="B964" s="36"/>
      <c r="C964" s="36"/>
      <c r="D964" s="36"/>
      <c r="E964" s="37"/>
      <c r="F964" s="37"/>
      <c r="G964" s="37"/>
      <c r="H964" s="37"/>
      <c r="I964" s="37"/>
      <c r="J964" s="1"/>
    </row>
    <row r="965" ht="15.75" customHeight="1">
      <c r="A965" s="36"/>
      <c r="B965" s="36"/>
      <c r="C965" s="36"/>
      <c r="D965" s="36"/>
      <c r="E965" s="37"/>
      <c r="F965" s="37"/>
      <c r="G965" s="37"/>
      <c r="H965" s="37"/>
      <c r="I965" s="37"/>
      <c r="J965" s="1"/>
    </row>
    <row r="966" ht="15.75" customHeight="1">
      <c r="A966" s="36"/>
      <c r="B966" s="36"/>
      <c r="C966" s="36"/>
      <c r="D966" s="36"/>
      <c r="E966" s="37"/>
      <c r="F966" s="37"/>
      <c r="G966" s="37"/>
      <c r="H966" s="37"/>
      <c r="I966" s="37"/>
      <c r="J966" s="1"/>
    </row>
    <row r="967" ht="15.75" customHeight="1">
      <c r="A967" s="36"/>
      <c r="B967" s="36"/>
      <c r="C967" s="36"/>
      <c r="D967" s="36"/>
      <c r="E967" s="37"/>
      <c r="F967" s="37"/>
      <c r="G967" s="37"/>
      <c r="H967" s="37"/>
      <c r="I967" s="37"/>
      <c r="J967" s="1"/>
    </row>
    <row r="968" ht="15.75" customHeight="1">
      <c r="A968" s="36"/>
      <c r="B968" s="36"/>
      <c r="C968" s="36"/>
      <c r="D968" s="36"/>
      <c r="E968" s="37"/>
      <c r="F968" s="37"/>
      <c r="G968" s="37"/>
      <c r="H968" s="37"/>
      <c r="I968" s="37"/>
      <c r="J968" s="1"/>
    </row>
    <row r="969" ht="15.75" customHeight="1">
      <c r="A969" s="36"/>
      <c r="B969" s="36"/>
      <c r="C969" s="36"/>
      <c r="D969" s="36"/>
      <c r="E969" s="37"/>
      <c r="F969" s="37"/>
      <c r="G969" s="37"/>
      <c r="H969" s="37"/>
      <c r="I969" s="37"/>
      <c r="J969" s="1"/>
    </row>
    <row r="970" ht="15.75" customHeight="1">
      <c r="A970" s="36"/>
      <c r="B970" s="36"/>
      <c r="C970" s="36"/>
      <c r="D970" s="36"/>
      <c r="E970" s="37"/>
      <c r="F970" s="37"/>
      <c r="G970" s="37"/>
      <c r="H970" s="37"/>
      <c r="I970" s="37"/>
      <c r="J970" s="1"/>
    </row>
    <row r="971" ht="15.75" customHeight="1">
      <c r="A971" s="36"/>
      <c r="B971" s="36"/>
      <c r="C971" s="36"/>
      <c r="D971" s="36"/>
      <c r="E971" s="37"/>
      <c r="F971" s="37"/>
      <c r="G971" s="37"/>
      <c r="H971" s="37"/>
      <c r="I971" s="37"/>
      <c r="J971" s="1"/>
    </row>
    <row r="972" ht="15.75" customHeight="1">
      <c r="A972" s="36"/>
      <c r="B972" s="36"/>
      <c r="C972" s="36"/>
      <c r="D972" s="36"/>
      <c r="E972" s="37"/>
      <c r="F972" s="37"/>
      <c r="G972" s="37"/>
      <c r="H972" s="37"/>
      <c r="I972" s="37"/>
      <c r="J972" s="1"/>
    </row>
    <row r="973" ht="15.75" customHeight="1">
      <c r="A973" s="36"/>
      <c r="B973" s="36"/>
      <c r="C973" s="36"/>
      <c r="D973" s="36"/>
      <c r="E973" s="37"/>
      <c r="F973" s="37"/>
      <c r="G973" s="37"/>
      <c r="H973" s="37"/>
      <c r="I973" s="37"/>
      <c r="J973" s="1"/>
    </row>
    <row r="974" ht="15.75" customHeight="1">
      <c r="A974" s="36"/>
      <c r="B974" s="36"/>
      <c r="C974" s="36"/>
      <c r="D974" s="36"/>
      <c r="E974" s="37"/>
      <c r="F974" s="37"/>
      <c r="G974" s="37"/>
      <c r="H974" s="37"/>
      <c r="I974" s="37"/>
      <c r="J974" s="1"/>
    </row>
    <row r="975" ht="15.75" customHeight="1">
      <c r="A975" s="36"/>
      <c r="B975" s="36"/>
      <c r="C975" s="36"/>
      <c r="D975" s="36"/>
      <c r="E975" s="37"/>
      <c r="F975" s="37"/>
      <c r="G975" s="37"/>
      <c r="H975" s="37"/>
      <c r="I975" s="37"/>
      <c r="J975" s="1"/>
    </row>
    <row r="976" ht="15.75" customHeight="1">
      <c r="A976" s="36"/>
      <c r="B976" s="36"/>
      <c r="C976" s="36"/>
      <c r="D976" s="36"/>
      <c r="E976" s="37"/>
      <c r="F976" s="37"/>
      <c r="G976" s="37"/>
      <c r="H976" s="37"/>
      <c r="I976" s="37"/>
      <c r="J976" s="1"/>
    </row>
    <row r="977" ht="15.75" customHeight="1">
      <c r="A977" s="36"/>
      <c r="B977" s="36"/>
      <c r="C977" s="36"/>
      <c r="D977" s="36"/>
      <c r="E977" s="37"/>
      <c r="F977" s="37"/>
      <c r="G977" s="37"/>
      <c r="H977" s="37"/>
      <c r="I977" s="37"/>
      <c r="J977" s="1"/>
    </row>
    <row r="978" ht="15.75" customHeight="1">
      <c r="A978" s="36"/>
      <c r="B978" s="36"/>
      <c r="C978" s="36"/>
      <c r="D978" s="36"/>
      <c r="E978" s="37"/>
      <c r="F978" s="37"/>
      <c r="G978" s="37"/>
      <c r="H978" s="37"/>
      <c r="I978" s="37"/>
      <c r="J978" s="1"/>
    </row>
    <row r="979" ht="15.75" customHeight="1">
      <c r="A979" s="36"/>
      <c r="B979" s="36"/>
      <c r="C979" s="36"/>
      <c r="D979" s="36"/>
      <c r="E979" s="37"/>
      <c r="F979" s="37"/>
      <c r="G979" s="37"/>
      <c r="H979" s="37"/>
      <c r="I979" s="37"/>
      <c r="J979" s="1"/>
    </row>
    <row r="980" ht="15.75" customHeight="1">
      <c r="A980" s="36"/>
      <c r="B980" s="36"/>
      <c r="C980" s="36"/>
      <c r="D980" s="36"/>
      <c r="E980" s="37"/>
      <c r="F980" s="37"/>
      <c r="G980" s="37"/>
      <c r="H980" s="37"/>
      <c r="I980" s="37"/>
      <c r="J980" s="1"/>
    </row>
    <row r="981" ht="15.75" customHeight="1">
      <c r="A981" s="36"/>
      <c r="B981" s="36"/>
      <c r="C981" s="36"/>
      <c r="D981" s="36"/>
      <c r="E981" s="37"/>
      <c r="F981" s="37"/>
      <c r="G981" s="37"/>
      <c r="H981" s="37"/>
      <c r="I981" s="37"/>
      <c r="J981" s="1"/>
    </row>
    <row r="982" ht="15.75" customHeight="1">
      <c r="A982" s="36"/>
      <c r="B982" s="36"/>
      <c r="C982" s="36"/>
      <c r="D982" s="36"/>
      <c r="E982" s="37"/>
      <c r="F982" s="37"/>
      <c r="G982" s="37"/>
      <c r="H982" s="37"/>
      <c r="I982" s="37"/>
      <c r="J982" s="1"/>
    </row>
    <row r="983" ht="15.75" customHeight="1">
      <c r="A983" s="36"/>
      <c r="B983" s="36"/>
      <c r="C983" s="36"/>
      <c r="D983" s="36"/>
      <c r="E983" s="37"/>
      <c r="F983" s="37"/>
      <c r="G983" s="37"/>
      <c r="H983" s="37"/>
      <c r="I983" s="37"/>
      <c r="J983" s="1"/>
    </row>
    <row r="984" ht="15.75" customHeight="1">
      <c r="A984" s="36"/>
      <c r="B984" s="36"/>
      <c r="C984" s="36"/>
      <c r="D984" s="36"/>
      <c r="E984" s="37"/>
      <c r="F984" s="37"/>
      <c r="G984" s="37"/>
      <c r="H984" s="37"/>
      <c r="I984" s="37"/>
      <c r="J984" s="1"/>
    </row>
    <row r="985" ht="15.75" customHeight="1">
      <c r="A985" s="36"/>
      <c r="B985" s="36"/>
      <c r="C985" s="36"/>
      <c r="D985" s="36"/>
      <c r="E985" s="37"/>
      <c r="F985" s="37"/>
      <c r="G985" s="37"/>
      <c r="H985" s="37"/>
      <c r="I985" s="37"/>
      <c r="J985" s="1"/>
    </row>
    <row r="986" ht="15.75" customHeight="1">
      <c r="A986" s="36"/>
      <c r="B986" s="36"/>
      <c r="C986" s="36"/>
      <c r="D986" s="36"/>
      <c r="E986" s="37"/>
      <c r="F986" s="37"/>
      <c r="G986" s="37"/>
      <c r="H986" s="37"/>
      <c r="I986" s="37"/>
      <c r="J986" s="1"/>
    </row>
    <row r="987" ht="15.75" customHeight="1">
      <c r="A987" s="36"/>
      <c r="B987" s="36"/>
      <c r="C987" s="36"/>
      <c r="D987" s="36"/>
      <c r="E987" s="37"/>
      <c r="F987" s="37"/>
      <c r="G987" s="37"/>
      <c r="H987" s="37"/>
      <c r="I987" s="37"/>
      <c r="J987" s="1"/>
    </row>
    <row r="988" ht="15.75" customHeight="1">
      <c r="A988" s="36"/>
      <c r="B988" s="36"/>
      <c r="C988" s="36"/>
      <c r="D988" s="36"/>
      <c r="E988" s="37"/>
      <c r="F988" s="37"/>
      <c r="G988" s="37"/>
      <c r="H988" s="37"/>
      <c r="I988" s="37"/>
      <c r="J988" s="1"/>
    </row>
    <row r="989" ht="15.75" customHeight="1">
      <c r="A989" s="36"/>
      <c r="B989" s="36"/>
      <c r="C989" s="36"/>
      <c r="D989" s="36"/>
      <c r="E989" s="37"/>
      <c r="F989" s="37"/>
      <c r="G989" s="37"/>
      <c r="H989" s="37"/>
      <c r="I989" s="37"/>
      <c r="J989" s="1"/>
    </row>
    <row r="990" ht="15.75" customHeight="1">
      <c r="A990" s="36"/>
      <c r="B990" s="36"/>
      <c r="C990" s="36"/>
      <c r="D990" s="36"/>
      <c r="E990" s="37"/>
      <c r="F990" s="37"/>
      <c r="G990" s="37"/>
      <c r="H990" s="37"/>
      <c r="I990" s="37"/>
      <c r="J990" s="1"/>
    </row>
    <row r="991" ht="15.75" customHeight="1">
      <c r="A991" s="36"/>
      <c r="B991" s="36"/>
      <c r="C991" s="36"/>
      <c r="D991" s="36"/>
      <c r="E991" s="37"/>
      <c r="F991" s="37"/>
      <c r="G991" s="37"/>
      <c r="H991" s="37"/>
      <c r="I991" s="37"/>
      <c r="J991" s="1"/>
    </row>
    <row r="992" ht="15.75" customHeight="1">
      <c r="A992" s="36"/>
      <c r="B992" s="36"/>
      <c r="C992" s="36"/>
      <c r="D992" s="36"/>
      <c r="E992" s="37"/>
      <c r="F992" s="37"/>
      <c r="G992" s="37"/>
      <c r="H992" s="37"/>
      <c r="I992" s="37"/>
      <c r="J992" s="1"/>
    </row>
    <row r="993" ht="15.75" customHeight="1">
      <c r="A993" s="36"/>
      <c r="B993" s="36"/>
      <c r="C993" s="36"/>
      <c r="D993" s="36"/>
      <c r="E993" s="37"/>
      <c r="F993" s="37"/>
      <c r="G993" s="37"/>
      <c r="H993" s="37"/>
      <c r="I993" s="37"/>
      <c r="J993" s="1"/>
    </row>
    <row r="994" ht="15.75" customHeight="1">
      <c r="A994" s="36"/>
      <c r="B994" s="36"/>
      <c r="C994" s="36"/>
      <c r="D994" s="36"/>
      <c r="E994" s="37"/>
      <c r="F994" s="37"/>
      <c r="G994" s="37"/>
      <c r="H994" s="37"/>
      <c r="I994" s="37"/>
      <c r="J994" s="1"/>
    </row>
    <row r="995" ht="15.75" customHeight="1">
      <c r="A995" s="36"/>
      <c r="B995" s="36"/>
      <c r="C995" s="36"/>
      <c r="D995" s="36"/>
      <c r="E995" s="37"/>
      <c r="F995" s="37"/>
      <c r="G995" s="37"/>
      <c r="H995" s="37"/>
      <c r="I995" s="37"/>
      <c r="J995" s="1"/>
    </row>
    <row r="996" ht="15.75" customHeight="1">
      <c r="A996" s="36"/>
      <c r="B996" s="36"/>
      <c r="C996" s="36"/>
      <c r="D996" s="36"/>
      <c r="E996" s="37"/>
      <c r="F996" s="37"/>
      <c r="G996" s="37"/>
      <c r="H996" s="37"/>
      <c r="I996" s="37"/>
      <c r="J996" s="1"/>
    </row>
    <row r="997" ht="15.75" customHeight="1">
      <c r="A997" s="36"/>
      <c r="B997" s="36"/>
      <c r="C997" s="36"/>
      <c r="D997" s="36"/>
      <c r="E997" s="37"/>
      <c r="F997" s="37"/>
      <c r="G997" s="37"/>
      <c r="H997" s="37"/>
      <c r="I997" s="37"/>
      <c r="J997" s="1"/>
    </row>
    <row r="998" ht="15.75" customHeight="1">
      <c r="A998" s="36"/>
      <c r="B998" s="36"/>
      <c r="C998" s="36"/>
      <c r="D998" s="36"/>
      <c r="E998" s="37"/>
      <c r="F998" s="37"/>
      <c r="G998" s="37"/>
      <c r="H998" s="37"/>
      <c r="I998" s="37"/>
      <c r="J998" s="1"/>
    </row>
    <row r="999" ht="15.75" customHeight="1">
      <c r="A999" s="36"/>
      <c r="B999" s="36"/>
      <c r="C999" s="36"/>
      <c r="D999" s="36"/>
      <c r="E999" s="37"/>
      <c r="F999" s="37"/>
      <c r="G999" s="37"/>
      <c r="H999" s="37"/>
      <c r="I999" s="37"/>
      <c r="J999" s="1"/>
    </row>
    <row r="1000" ht="15.75" customHeight="1">
      <c r="A1000" s="36"/>
      <c r="B1000" s="36"/>
      <c r="C1000" s="36"/>
      <c r="D1000" s="36"/>
      <c r="E1000" s="37"/>
      <c r="F1000" s="37"/>
      <c r="G1000" s="37"/>
      <c r="H1000" s="37"/>
      <c r="I1000" s="37"/>
      <c r="J1000" s="1"/>
    </row>
  </sheetData>
  <mergeCells count="9">
    <mergeCell ref="A10:J10"/>
    <mergeCell ref="A66:J66"/>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4.71"/>
    <col customWidth="1" min="3" max="3" width="17.0"/>
    <col customWidth="1" min="4" max="4" width="19.71"/>
    <col customWidth="1" min="5" max="6" width="11.71"/>
    <col customWidth="1" min="7" max="7" width="16.0"/>
    <col customWidth="1" min="8" max="8" width="10.0"/>
    <col customWidth="1" min="9" max="9" width="9.14"/>
    <col customWidth="1" min="10" max="10" width="12.0"/>
    <col customWidth="1" min="11" max="11" width="21.14"/>
    <col customWidth="1" min="12" max="26" width="8.0"/>
  </cols>
  <sheetData>
    <row r="1">
      <c r="A1" s="36"/>
      <c r="B1" s="36"/>
      <c r="C1" s="36"/>
      <c r="D1" s="36"/>
      <c r="E1" s="520"/>
      <c r="F1" s="37"/>
      <c r="G1" s="37"/>
      <c r="H1" s="1"/>
      <c r="I1" s="1"/>
    </row>
    <row r="2">
      <c r="A2" s="38" t="s">
        <v>2503</v>
      </c>
      <c r="B2" s="39"/>
      <c r="C2" s="39"/>
      <c r="D2" s="39"/>
      <c r="E2" s="39"/>
      <c r="F2" s="39"/>
      <c r="G2" s="39"/>
      <c r="H2" s="39"/>
      <c r="I2" s="39"/>
      <c r="J2" s="40"/>
      <c r="K2" s="42"/>
      <c r="L2" s="42"/>
      <c r="M2" s="42"/>
      <c r="N2" s="42"/>
      <c r="O2" s="42"/>
      <c r="P2" s="42"/>
      <c r="Q2" s="42"/>
      <c r="R2" s="42"/>
      <c r="S2" s="42"/>
      <c r="T2" s="42"/>
      <c r="U2" s="42"/>
      <c r="V2" s="42"/>
      <c r="W2" s="42"/>
      <c r="X2" s="42"/>
      <c r="Y2" s="42"/>
      <c r="Z2" s="42"/>
    </row>
    <row r="3">
      <c r="A3" s="186"/>
      <c r="B3" s="186"/>
      <c r="C3" s="186"/>
      <c r="D3" s="186"/>
      <c r="E3" s="521"/>
      <c r="F3" s="186"/>
      <c r="G3" s="186"/>
      <c r="H3" s="186"/>
      <c r="I3" s="41"/>
      <c r="J3" s="42"/>
      <c r="K3" s="42"/>
      <c r="L3" s="42"/>
      <c r="M3" s="42"/>
      <c r="N3" s="42"/>
      <c r="O3" s="42"/>
      <c r="P3" s="42"/>
      <c r="Q3" s="42"/>
      <c r="R3" s="42"/>
      <c r="S3" s="42"/>
      <c r="T3" s="42"/>
      <c r="U3" s="42"/>
      <c r="V3" s="42"/>
      <c r="W3" s="42"/>
      <c r="X3" s="42"/>
      <c r="Y3" s="42"/>
      <c r="Z3" s="42"/>
    </row>
    <row r="4">
      <c r="A4" s="106" t="s">
        <v>2504</v>
      </c>
      <c r="B4" s="39"/>
      <c r="C4" s="39"/>
      <c r="D4" s="39"/>
      <c r="E4" s="39"/>
      <c r="F4" s="39"/>
      <c r="G4" s="39"/>
      <c r="H4" s="39"/>
      <c r="I4" s="39"/>
      <c r="J4" s="40"/>
    </row>
    <row r="5">
      <c r="A5" s="106" t="s">
        <v>2505</v>
      </c>
      <c r="B5" s="39"/>
      <c r="C5" s="39"/>
      <c r="D5" s="39"/>
      <c r="E5" s="39"/>
      <c r="F5" s="39"/>
      <c r="G5" s="39"/>
      <c r="H5" s="39"/>
      <c r="I5" s="39"/>
      <c r="J5" s="40"/>
    </row>
    <row r="6" ht="29.25" customHeight="1">
      <c r="A6" s="43" t="s">
        <v>2506</v>
      </c>
      <c r="B6" s="39"/>
      <c r="C6" s="39"/>
      <c r="D6" s="39"/>
      <c r="E6" s="39"/>
      <c r="F6" s="39"/>
      <c r="G6" s="39"/>
      <c r="H6" s="39"/>
      <c r="I6" s="39"/>
      <c r="J6" s="40"/>
      <c r="K6" s="519"/>
      <c r="L6" s="519"/>
      <c r="M6" s="519"/>
      <c r="N6" s="519"/>
      <c r="O6" s="519"/>
      <c r="P6" s="519"/>
      <c r="Q6" s="519"/>
      <c r="R6" s="519"/>
      <c r="S6" s="519"/>
      <c r="T6" s="519"/>
      <c r="U6" s="519"/>
      <c r="V6" s="519"/>
      <c r="W6" s="519"/>
      <c r="X6" s="519"/>
      <c r="Y6" s="519"/>
      <c r="Z6" s="519"/>
    </row>
    <row r="7" ht="26.25" customHeight="1">
      <c r="A7" s="43" t="s">
        <v>2507</v>
      </c>
      <c r="B7" s="39"/>
      <c r="C7" s="39"/>
      <c r="D7" s="39"/>
      <c r="E7" s="39"/>
      <c r="F7" s="39"/>
      <c r="G7" s="39"/>
      <c r="H7" s="39"/>
      <c r="I7" s="39"/>
      <c r="J7" s="40"/>
      <c r="K7" s="519"/>
    </row>
    <row r="8" ht="22.5" customHeight="1">
      <c r="A8" s="43" t="s">
        <v>2508</v>
      </c>
      <c r="B8" s="39"/>
      <c r="C8" s="39"/>
      <c r="D8" s="39"/>
      <c r="E8" s="39"/>
      <c r="F8" s="39"/>
      <c r="G8" s="39"/>
      <c r="H8" s="39"/>
      <c r="I8" s="39"/>
      <c r="J8" s="40"/>
      <c r="K8" s="519"/>
    </row>
    <row r="9" ht="13.5" customHeight="1">
      <c r="A9" s="43" t="s">
        <v>2509</v>
      </c>
      <c r="B9" s="39"/>
      <c r="C9" s="39"/>
      <c r="D9" s="39"/>
      <c r="E9" s="39"/>
      <c r="F9" s="39"/>
      <c r="G9" s="39"/>
      <c r="H9" s="39"/>
      <c r="I9" s="39"/>
      <c r="J9" s="40"/>
      <c r="K9" s="519"/>
    </row>
    <row r="10">
      <c r="A10" s="43" t="s">
        <v>2510</v>
      </c>
      <c r="B10" s="39"/>
      <c r="C10" s="39"/>
      <c r="D10" s="39"/>
      <c r="E10" s="39"/>
      <c r="F10" s="39"/>
      <c r="G10" s="39"/>
      <c r="H10" s="39"/>
      <c r="I10" s="39"/>
      <c r="J10" s="40"/>
      <c r="K10" s="519"/>
    </row>
    <row r="11" ht="123.75" customHeight="1">
      <c r="A11" s="43" t="s">
        <v>2511</v>
      </c>
      <c r="B11" s="39"/>
      <c r="C11" s="39"/>
      <c r="D11" s="39"/>
      <c r="E11" s="39"/>
      <c r="F11" s="39"/>
      <c r="G11" s="39"/>
      <c r="H11" s="39"/>
      <c r="I11" s="39"/>
      <c r="J11" s="40"/>
      <c r="K11" s="519"/>
      <c r="L11" s="519"/>
      <c r="M11" s="519"/>
      <c r="N11" s="519"/>
      <c r="O11" s="519"/>
      <c r="P11" s="519"/>
      <c r="Q11" s="519"/>
      <c r="R11" s="519"/>
      <c r="S11" s="519"/>
      <c r="T11" s="519"/>
      <c r="U11" s="519"/>
      <c r="V11" s="519"/>
      <c r="W11" s="519"/>
      <c r="X11" s="519"/>
      <c r="Y11" s="519"/>
      <c r="Z11" s="519"/>
    </row>
    <row r="12">
      <c r="A12" s="36"/>
      <c r="B12" s="36"/>
      <c r="C12" s="36"/>
      <c r="D12" s="36"/>
      <c r="E12" s="520"/>
      <c r="F12" s="37"/>
      <c r="G12" s="37"/>
      <c r="H12" s="1"/>
      <c r="I12" s="1"/>
    </row>
    <row r="13" ht="51.0" customHeight="1">
      <c r="A13" s="269" t="s">
        <v>8</v>
      </c>
      <c r="B13" s="228" t="s">
        <v>2493</v>
      </c>
      <c r="C13" s="228" t="s">
        <v>2512</v>
      </c>
      <c r="D13" s="228" t="s">
        <v>2513</v>
      </c>
      <c r="E13" s="228" t="s">
        <v>2495</v>
      </c>
      <c r="F13" s="109" t="s">
        <v>9</v>
      </c>
      <c r="G13" s="228" t="s">
        <v>2514</v>
      </c>
      <c r="H13" s="228" t="s">
        <v>2515</v>
      </c>
      <c r="I13" s="228" t="s">
        <v>2499</v>
      </c>
      <c r="J13" s="522" t="s">
        <v>117</v>
      </c>
      <c r="K13" s="49" t="s">
        <v>118</v>
      </c>
    </row>
    <row r="14" ht="135.0" customHeight="1">
      <c r="A14" s="407" t="s">
        <v>2405</v>
      </c>
      <c r="B14" s="304" t="s">
        <v>2516</v>
      </c>
      <c r="C14" s="523" t="s">
        <v>2517</v>
      </c>
      <c r="D14" s="523" t="s">
        <v>2518</v>
      </c>
      <c r="E14" s="524" t="s">
        <v>2405</v>
      </c>
      <c r="F14" s="523" t="s">
        <v>38</v>
      </c>
      <c r="G14" s="525" t="s">
        <v>2519</v>
      </c>
      <c r="H14" s="523" t="s">
        <v>2520</v>
      </c>
      <c r="I14" s="523">
        <v>100.0</v>
      </c>
      <c r="J14" s="526">
        <v>100.0</v>
      </c>
      <c r="K14" s="62" t="s">
        <v>618</v>
      </c>
    </row>
    <row r="15" ht="114.75" customHeight="1">
      <c r="A15" s="410" t="s">
        <v>532</v>
      </c>
      <c r="B15" s="304" t="s">
        <v>2521</v>
      </c>
      <c r="C15" s="527" t="s">
        <v>2522</v>
      </c>
      <c r="D15" s="527" t="s">
        <v>2523</v>
      </c>
      <c r="E15" s="527" t="s">
        <v>532</v>
      </c>
      <c r="F15" s="323" t="s">
        <v>38</v>
      </c>
      <c r="G15" s="323" t="s">
        <v>2524</v>
      </c>
      <c r="H15" s="528" t="s">
        <v>2525</v>
      </c>
      <c r="I15" s="323">
        <v>300.0</v>
      </c>
      <c r="J15" s="475">
        <v>300.0</v>
      </c>
      <c r="K15" s="62" t="s">
        <v>532</v>
      </c>
    </row>
    <row r="16" ht="102.0" customHeight="1">
      <c r="A16" s="410" t="s">
        <v>532</v>
      </c>
      <c r="B16" s="304" t="s">
        <v>2526</v>
      </c>
      <c r="C16" s="529" t="s">
        <v>2517</v>
      </c>
      <c r="D16" s="529" t="s">
        <v>2518</v>
      </c>
      <c r="E16" s="527" t="s">
        <v>532</v>
      </c>
      <c r="F16" s="449" t="s">
        <v>38</v>
      </c>
      <c r="G16" s="449" t="s">
        <v>2519</v>
      </c>
      <c r="H16" s="449" t="s">
        <v>2520</v>
      </c>
      <c r="I16" s="449">
        <v>100.0</v>
      </c>
      <c r="J16" s="530">
        <v>100.0</v>
      </c>
      <c r="K16" s="62" t="s">
        <v>532</v>
      </c>
    </row>
    <row r="17" ht="409.5" customHeight="1">
      <c r="A17" s="135" t="s">
        <v>230</v>
      </c>
      <c r="B17" s="135" t="s">
        <v>2527</v>
      </c>
      <c r="C17" s="348" t="s">
        <v>2528</v>
      </c>
      <c r="D17" s="348" t="s">
        <v>2529</v>
      </c>
      <c r="E17" s="348" t="s">
        <v>230</v>
      </c>
      <c r="F17" s="135" t="s">
        <v>38</v>
      </c>
      <c r="G17" s="70" t="s">
        <v>2530</v>
      </c>
      <c r="H17" s="531" t="s">
        <v>2531</v>
      </c>
      <c r="I17" s="135">
        <v>300.0</v>
      </c>
      <c r="J17" s="136">
        <v>300.0</v>
      </c>
      <c r="K17" s="62" t="s">
        <v>230</v>
      </c>
    </row>
    <row r="18" ht="267.75" customHeight="1">
      <c r="A18" s="410" t="s">
        <v>71</v>
      </c>
      <c r="B18" s="323" t="s">
        <v>2532</v>
      </c>
      <c r="C18" s="527" t="s">
        <v>2533</v>
      </c>
      <c r="D18" s="527" t="s">
        <v>2534</v>
      </c>
      <c r="E18" s="527" t="s">
        <v>2535</v>
      </c>
      <c r="F18" s="323" t="s">
        <v>38</v>
      </c>
      <c r="G18" s="239" t="s">
        <v>2536</v>
      </c>
      <c r="H18" s="528" t="s">
        <v>2537</v>
      </c>
      <c r="I18" s="323">
        <v>100.0</v>
      </c>
      <c r="J18" s="230">
        <v>63.5</v>
      </c>
      <c r="K18" s="62" t="s">
        <v>1877</v>
      </c>
    </row>
    <row r="19">
      <c r="A19" s="323"/>
      <c r="B19" s="532"/>
      <c r="C19" s="532"/>
      <c r="D19" s="532"/>
      <c r="E19" s="527"/>
      <c r="F19" s="323"/>
      <c r="G19" s="533"/>
      <c r="H19" s="534"/>
      <c r="I19" s="528"/>
      <c r="J19" s="230"/>
      <c r="K19" s="62"/>
    </row>
    <row r="20">
      <c r="A20" s="410"/>
      <c r="B20" s="535"/>
      <c r="C20" s="536"/>
      <c r="D20" s="536"/>
      <c r="E20" s="536"/>
      <c r="F20" s="535"/>
      <c r="G20" s="535"/>
      <c r="H20" s="537"/>
      <c r="I20" s="535"/>
      <c r="J20" s="538"/>
      <c r="K20" s="62"/>
    </row>
    <row r="21" ht="15.75" customHeight="1">
      <c r="A21" s="410"/>
      <c r="B21" s="535"/>
      <c r="C21" s="536"/>
      <c r="D21" s="536"/>
      <c r="E21" s="536"/>
      <c r="F21" s="535"/>
      <c r="G21" s="535"/>
      <c r="H21" s="537"/>
      <c r="I21" s="535"/>
      <c r="J21" s="538"/>
      <c r="K21" s="62"/>
    </row>
    <row r="22" ht="15.75" customHeight="1">
      <c r="A22" s="410"/>
      <c r="B22" s="535"/>
      <c r="C22" s="536"/>
      <c r="D22" s="536"/>
      <c r="E22" s="536"/>
      <c r="F22" s="535"/>
      <c r="G22" s="535"/>
      <c r="H22" s="537"/>
      <c r="I22" s="535"/>
      <c r="J22" s="538"/>
      <c r="K22" s="62"/>
    </row>
    <row r="23" ht="15.75" customHeight="1">
      <c r="A23" s="410"/>
      <c r="B23" s="535"/>
      <c r="C23" s="536"/>
      <c r="D23" s="536"/>
      <c r="E23" s="536"/>
      <c r="F23" s="535"/>
      <c r="G23" s="535"/>
      <c r="H23" s="537"/>
      <c r="I23" s="535"/>
      <c r="J23" s="538"/>
      <c r="K23" s="62"/>
    </row>
    <row r="24" ht="15.75" customHeight="1">
      <c r="A24" s="410"/>
      <c r="B24" s="535"/>
      <c r="C24" s="536"/>
      <c r="D24" s="536"/>
      <c r="E24" s="536"/>
      <c r="F24" s="535"/>
      <c r="G24" s="535"/>
      <c r="H24" s="537"/>
      <c r="I24" s="535"/>
      <c r="J24" s="538"/>
      <c r="K24" s="62"/>
    </row>
    <row r="25" ht="15.75" customHeight="1">
      <c r="A25" s="410"/>
      <c r="B25" s="535"/>
      <c r="C25" s="536"/>
      <c r="D25" s="536"/>
      <c r="E25" s="536"/>
      <c r="F25" s="535"/>
      <c r="G25" s="535"/>
      <c r="H25" s="537"/>
      <c r="I25" s="535"/>
      <c r="J25" s="538"/>
      <c r="K25" s="62"/>
    </row>
    <row r="26" ht="15.75" customHeight="1">
      <c r="A26" s="410"/>
      <c r="B26" s="535"/>
      <c r="C26" s="536"/>
      <c r="D26" s="536"/>
      <c r="E26" s="536"/>
      <c r="F26" s="535"/>
      <c r="G26" s="535"/>
      <c r="H26" s="537"/>
      <c r="I26" s="535"/>
      <c r="J26" s="538"/>
      <c r="K26" s="62"/>
    </row>
    <row r="27" ht="15.75" customHeight="1">
      <c r="A27" s="410"/>
      <c r="B27" s="535"/>
      <c r="C27" s="536"/>
      <c r="D27" s="536"/>
      <c r="E27" s="536"/>
      <c r="F27" s="535"/>
      <c r="G27" s="535"/>
      <c r="H27" s="537"/>
      <c r="I27" s="535"/>
      <c r="J27" s="538"/>
      <c r="K27" s="62"/>
    </row>
    <row r="28" ht="15.75" customHeight="1">
      <c r="A28" s="410"/>
      <c r="B28" s="535"/>
      <c r="C28" s="536"/>
      <c r="D28" s="536"/>
      <c r="E28" s="536"/>
      <c r="F28" s="535"/>
      <c r="G28" s="535"/>
      <c r="H28" s="537"/>
      <c r="I28" s="535"/>
      <c r="J28" s="538"/>
      <c r="K28" s="62"/>
    </row>
    <row r="29" ht="15.75" customHeight="1">
      <c r="A29" s="410"/>
      <c r="B29" s="535"/>
      <c r="C29" s="536"/>
      <c r="D29" s="536"/>
      <c r="E29" s="536"/>
      <c r="F29" s="535"/>
      <c r="G29" s="535"/>
      <c r="H29" s="537"/>
      <c r="I29" s="535"/>
      <c r="J29" s="538"/>
      <c r="K29" s="62"/>
    </row>
    <row r="30" ht="15.75" customHeight="1">
      <c r="A30" s="410"/>
      <c r="B30" s="535"/>
      <c r="C30" s="536"/>
      <c r="D30" s="536"/>
      <c r="E30" s="536"/>
      <c r="F30" s="535"/>
      <c r="G30" s="535"/>
      <c r="H30" s="537"/>
      <c r="I30" s="535"/>
      <c r="J30" s="538"/>
      <c r="K30" s="62"/>
    </row>
    <row r="31" ht="15.75" customHeight="1">
      <c r="A31" s="410"/>
      <c r="B31" s="535"/>
      <c r="C31" s="536"/>
      <c r="D31" s="536"/>
      <c r="E31" s="536"/>
      <c r="F31" s="535"/>
      <c r="G31" s="535"/>
      <c r="H31" s="537"/>
      <c r="I31" s="535"/>
      <c r="J31" s="538"/>
      <c r="K31" s="62"/>
    </row>
    <row r="32" ht="15.75" customHeight="1">
      <c r="A32" s="410"/>
      <c r="B32" s="535"/>
      <c r="C32" s="536"/>
      <c r="D32" s="536"/>
      <c r="E32" s="536"/>
      <c r="F32" s="535"/>
      <c r="G32" s="535"/>
      <c r="H32" s="537"/>
      <c r="I32" s="535"/>
      <c r="J32" s="538"/>
      <c r="K32" s="62"/>
    </row>
    <row r="33" ht="15.75" customHeight="1">
      <c r="A33" s="410"/>
      <c r="B33" s="535"/>
      <c r="C33" s="536"/>
      <c r="D33" s="536"/>
      <c r="E33" s="536"/>
      <c r="F33" s="535"/>
      <c r="G33" s="535"/>
      <c r="H33" s="537"/>
      <c r="I33" s="535"/>
      <c r="J33" s="538"/>
      <c r="K33" s="62"/>
    </row>
    <row r="34" ht="15.75" customHeight="1">
      <c r="A34" s="410"/>
      <c r="B34" s="535"/>
      <c r="C34" s="536"/>
      <c r="D34" s="536"/>
      <c r="E34" s="536"/>
      <c r="F34" s="535"/>
      <c r="G34" s="535"/>
      <c r="H34" s="537"/>
      <c r="I34" s="535"/>
      <c r="J34" s="538"/>
      <c r="K34" s="62"/>
    </row>
    <row r="35" ht="15.75" customHeight="1">
      <c r="A35" s="410"/>
      <c r="B35" s="535"/>
      <c r="C35" s="536"/>
      <c r="D35" s="536"/>
      <c r="E35" s="536"/>
      <c r="F35" s="535"/>
      <c r="G35" s="535"/>
      <c r="H35" s="537"/>
      <c r="I35" s="535"/>
      <c r="J35" s="538"/>
      <c r="K35" s="62"/>
    </row>
    <row r="36" ht="15.75" customHeight="1">
      <c r="A36" s="410"/>
      <c r="B36" s="535"/>
      <c r="C36" s="536"/>
      <c r="D36" s="536"/>
      <c r="E36" s="536"/>
      <c r="F36" s="535"/>
      <c r="G36" s="535"/>
      <c r="H36" s="537"/>
      <c r="I36" s="535"/>
      <c r="J36" s="538"/>
      <c r="K36" s="62"/>
    </row>
    <row r="37" ht="15.75" customHeight="1">
      <c r="A37" s="410"/>
      <c r="B37" s="535"/>
      <c r="C37" s="536"/>
      <c r="D37" s="536"/>
      <c r="E37" s="536"/>
      <c r="F37" s="535"/>
      <c r="G37" s="535"/>
      <c r="H37" s="537"/>
      <c r="I37" s="535"/>
      <c r="J37" s="538"/>
      <c r="K37" s="62"/>
    </row>
    <row r="38" ht="15.75" customHeight="1">
      <c r="A38" s="410"/>
      <c r="B38" s="535"/>
      <c r="C38" s="536"/>
      <c r="D38" s="536"/>
      <c r="E38" s="536"/>
      <c r="F38" s="535"/>
      <c r="G38" s="535"/>
      <c r="H38" s="537"/>
      <c r="I38" s="535"/>
      <c r="J38" s="538"/>
      <c r="K38" s="62"/>
    </row>
    <row r="39" ht="15.75" customHeight="1">
      <c r="A39" s="410"/>
      <c r="B39" s="535"/>
      <c r="C39" s="536"/>
      <c r="D39" s="536"/>
      <c r="E39" s="536"/>
      <c r="F39" s="535"/>
      <c r="G39" s="535"/>
      <c r="H39" s="537"/>
      <c r="I39" s="535"/>
      <c r="J39" s="538"/>
      <c r="K39" s="62"/>
    </row>
    <row r="40" ht="15.75" customHeight="1">
      <c r="A40" s="410"/>
      <c r="B40" s="535"/>
      <c r="C40" s="536"/>
      <c r="D40" s="536"/>
      <c r="E40" s="536"/>
      <c r="F40" s="535"/>
      <c r="G40" s="535"/>
      <c r="H40" s="537"/>
      <c r="I40" s="535"/>
      <c r="J40" s="538"/>
      <c r="K40" s="62"/>
    </row>
    <row r="41" ht="15.75" customHeight="1">
      <c r="A41" s="410"/>
      <c r="B41" s="535"/>
      <c r="C41" s="536"/>
      <c r="D41" s="536"/>
      <c r="E41" s="536"/>
      <c r="F41" s="535"/>
      <c r="G41" s="535"/>
      <c r="H41" s="537"/>
      <c r="I41" s="535"/>
      <c r="J41" s="538"/>
      <c r="K41" s="62"/>
    </row>
    <row r="42" ht="15.75" customHeight="1">
      <c r="A42" s="410"/>
      <c r="B42" s="535"/>
      <c r="C42" s="536"/>
      <c r="D42" s="536"/>
      <c r="E42" s="536"/>
      <c r="F42" s="535"/>
      <c r="G42" s="535"/>
      <c r="H42" s="537"/>
      <c r="I42" s="535"/>
      <c r="J42" s="538"/>
      <c r="K42" s="62"/>
    </row>
    <row r="43" ht="15.75" customHeight="1">
      <c r="A43" s="410"/>
      <c r="B43" s="535"/>
      <c r="C43" s="536"/>
      <c r="D43" s="536"/>
      <c r="E43" s="536"/>
      <c r="F43" s="535"/>
      <c r="G43" s="535"/>
      <c r="H43" s="537"/>
      <c r="I43" s="535"/>
      <c r="J43" s="538"/>
      <c r="K43" s="62"/>
    </row>
    <row r="44" ht="15.75" customHeight="1">
      <c r="A44" s="410"/>
      <c r="B44" s="535"/>
      <c r="C44" s="536"/>
      <c r="D44" s="536"/>
      <c r="E44" s="536"/>
      <c r="F44" s="535"/>
      <c r="G44" s="535"/>
      <c r="H44" s="537"/>
      <c r="I44" s="535"/>
      <c r="J44" s="538"/>
      <c r="K44" s="62"/>
    </row>
    <row r="45" ht="15.75" customHeight="1">
      <c r="A45" s="410"/>
      <c r="B45" s="535"/>
      <c r="C45" s="536"/>
      <c r="D45" s="536"/>
      <c r="E45" s="536"/>
      <c r="F45" s="535"/>
      <c r="G45" s="535"/>
      <c r="H45" s="537"/>
      <c r="I45" s="535"/>
      <c r="J45" s="538"/>
      <c r="K45" s="62"/>
    </row>
    <row r="46" ht="15.75" customHeight="1">
      <c r="A46" s="410"/>
      <c r="B46" s="535"/>
      <c r="C46" s="536"/>
      <c r="D46" s="536"/>
      <c r="E46" s="536"/>
      <c r="F46" s="535"/>
      <c r="G46" s="535"/>
      <c r="H46" s="537"/>
      <c r="I46" s="535"/>
      <c r="J46" s="538"/>
      <c r="K46" s="62"/>
    </row>
    <row r="47" ht="15.75" customHeight="1">
      <c r="A47" s="410"/>
      <c r="B47" s="535"/>
      <c r="C47" s="536"/>
      <c r="D47" s="536"/>
      <c r="E47" s="536"/>
      <c r="F47" s="535"/>
      <c r="G47" s="535"/>
      <c r="H47" s="537"/>
      <c r="I47" s="535"/>
      <c r="J47" s="538"/>
      <c r="K47" s="62"/>
    </row>
    <row r="48" ht="15.75" customHeight="1">
      <c r="A48" s="410"/>
      <c r="B48" s="535"/>
      <c r="C48" s="536"/>
      <c r="D48" s="536"/>
      <c r="E48" s="536"/>
      <c r="F48" s="535"/>
      <c r="G48" s="535"/>
      <c r="H48" s="537"/>
      <c r="I48" s="535"/>
      <c r="J48" s="538"/>
      <c r="K48" s="62"/>
    </row>
    <row r="49" ht="15.75" customHeight="1">
      <c r="A49" s="410"/>
      <c r="B49" s="535"/>
      <c r="C49" s="536"/>
      <c r="D49" s="536"/>
      <c r="E49" s="536"/>
      <c r="F49" s="535"/>
      <c r="G49" s="535"/>
      <c r="H49" s="537"/>
      <c r="I49" s="535"/>
      <c r="J49" s="538"/>
      <c r="K49" s="62"/>
    </row>
    <row r="50" ht="15.75" customHeight="1">
      <c r="A50" s="410"/>
      <c r="B50" s="535"/>
      <c r="C50" s="536"/>
      <c r="D50" s="536"/>
      <c r="E50" s="536"/>
      <c r="F50" s="535"/>
      <c r="G50" s="535"/>
      <c r="H50" s="537"/>
      <c r="I50" s="535"/>
      <c r="J50" s="538"/>
      <c r="K50" s="62"/>
    </row>
    <row r="51" ht="15.75" customHeight="1">
      <c r="A51" s="410"/>
      <c r="B51" s="535"/>
      <c r="C51" s="536"/>
      <c r="D51" s="536"/>
      <c r="E51" s="536"/>
      <c r="F51" s="535"/>
      <c r="G51" s="535"/>
      <c r="H51" s="537"/>
      <c r="I51" s="535"/>
      <c r="J51" s="538"/>
      <c r="K51" s="62"/>
    </row>
    <row r="52" ht="15.75" customHeight="1">
      <c r="A52" s="410"/>
      <c r="B52" s="535"/>
      <c r="C52" s="536"/>
      <c r="D52" s="536"/>
      <c r="E52" s="536"/>
      <c r="F52" s="535"/>
      <c r="G52" s="535"/>
      <c r="H52" s="537"/>
      <c r="I52" s="535"/>
      <c r="J52" s="538"/>
      <c r="K52" s="62"/>
    </row>
    <row r="53" ht="15.75" customHeight="1">
      <c r="A53" s="410"/>
      <c r="B53" s="535"/>
      <c r="C53" s="536"/>
      <c r="D53" s="536"/>
      <c r="E53" s="536"/>
      <c r="F53" s="535"/>
      <c r="G53" s="535"/>
      <c r="H53" s="537"/>
      <c r="I53" s="535"/>
      <c r="J53" s="538"/>
      <c r="K53" s="62"/>
    </row>
    <row r="54" ht="15.75" customHeight="1">
      <c r="A54" s="410"/>
      <c r="B54" s="535"/>
      <c r="C54" s="536"/>
      <c r="D54" s="536"/>
      <c r="E54" s="536"/>
      <c r="F54" s="535"/>
      <c r="G54" s="535"/>
      <c r="H54" s="537"/>
      <c r="I54" s="535"/>
      <c r="J54" s="538"/>
      <c r="K54" s="62"/>
    </row>
    <row r="55" ht="15.75" customHeight="1">
      <c r="A55" s="410"/>
      <c r="B55" s="535"/>
      <c r="C55" s="536"/>
      <c r="D55" s="536"/>
      <c r="E55" s="536"/>
      <c r="F55" s="535"/>
      <c r="G55" s="535"/>
      <c r="H55" s="537"/>
      <c r="I55" s="535"/>
      <c r="J55" s="538"/>
      <c r="K55" s="62"/>
    </row>
    <row r="56" ht="15.75" customHeight="1">
      <c r="A56" s="410"/>
      <c r="B56" s="535"/>
      <c r="C56" s="536"/>
      <c r="D56" s="536"/>
      <c r="E56" s="536"/>
      <c r="F56" s="535"/>
      <c r="G56" s="535"/>
      <c r="H56" s="537"/>
      <c r="I56" s="535"/>
      <c r="J56" s="538"/>
      <c r="K56" s="62"/>
    </row>
    <row r="57" ht="15.75" customHeight="1">
      <c r="A57" s="410"/>
      <c r="B57" s="535"/>
      <c r="C57" s="536"/>
      <c r="D57" s="536"/>
      <c r="E57" s="536"/>
      <c r="F57" s="535"/>
      <c r="G57" s="535"/>
      <c r="H57" s="537"/>
      <c r="I57" s="535"/>
      <c r="J57" s="538"/>
      <c r="K57" s="62"/>
    </row>
    <row r="58" ht="15.75" customHeight="1">
      <c r="A58" s="410"/>
      <c r="B58" s="529"/>
      <c r="C58" s="529"/>
      <c r="D58" s="529"/>
      <c r="E58" s="529"/>
      <c r="F58" s="449"/>
      <c r="G58" s="449"/>
      <c r="H58" s="449"/>
      <c r="I58" s="449"/>
      <c r="J58" s="530"/>
      <c r="K58" s="62"/>
    </row>
    <row r="59" ht="15.75" customHeight="1">
      <c r="A59" s="410"/>
      <c r="B59" s="52"/>
      <c r="C59" s="52"/>
      <c r="D59" s="52"/>
      <c r="E59" s="52"/>
      <c r="F59" s="60"/>
      <c r="G59" s="60"/>
      <c r="H59" s="60"/>
      <c r="I59" s="60"/>
      <c r="J59" s="209"/>
      <c r="K59" s="62"/>
    </row>
    <row r="60" ht="15.75" customHeight="1">
      <c r="A60" s="410"/>
      <c r="B60" s="52"/>
      <c r="C60" s="52"/>
      <c r="D60" s="52"/>
      <c r="E60" s="52"/>
      <c r="F60" s="60"/>
      <c r="G60" s="60"/>
      <c r="H60" s="60"/>
      <c r="I60" s="60"/>
      <c r="J60" s="209"/>
      <c r="K60" s="62"/>
    </row>
    <row r="61" ht="15.75" customHeight="1">
      <c r="A61" s="410"/>
      <c r="B61" s="52"/>
      <c r="C61" s="52"/>
      <c r="D61" s="52"/>
      <c r="E61" s="52"/>
      <c r="F61" s="60"/>
      <c r="G61" s="60"/>
      <c r="H61" s="60"/>
      <c r="I61" s="60"/>
      <c r="J61" s="209"/>
      <c r="K61" s="62"/>
    </row>
    <row r="62" ht="15.75" customHeight="1">
      <c r="A62" s="410"/>
      <c r="B62" s="52"/>
      <c r="C62" s="52"/>
      <c r="D62" s="52"/>
      <c r="E62" s="52"/>
      <c r="F62" s="60"/>
      <c r="G62" s="60"/>
      <c r="H62" s="60"/>
      <c r="I62" s="60"/>
      <c r="J62" s="209"/>
      <c r="K62" s="62"/>
    </row>
    <row r="63" ht="15.75" customHeight="1">
      <c r="A63" s="410"/>
      <c r="B63" s="52"/>
      <c r="C63" s="52"/>
      <c r="D63" s="52"/>
      <c r="E63" s="52"/>
      <c r="F63" s="60"/>
      <c r="G63" s="60"/>
      <c r="H63" s="60"/>
      <c r="I63" s="60"/>
      <c r="J63" s="209"/>
      <c r="K63" s="62"/>
    </row>
    <row r="64" ht="15.75" customHeight="1">
      <c r="A64" s="88" t="s">
        <v>88</v>
      </c>
      <c r="B64" s="36"/>
      <c r="C64" s="88"/>
      <c r="D64" s="88"/>
      <c r="E64" s="37"/>
      <c r="F64" s="37"/>
      <c r="G64" s="1"/>
      <c r="H64" s="1"/>
      <c r="I64" s="1"/>
      <c r="J64" s="472">
        <f>SUM(J14:J63)</f>
        <v>863.5</v>
      </c>
    </row>
    <row r="65" ht="15.75" customHeight="1">
      <c r="A65" s="36"/>
      <c r="B65" s="36"/>
      <c r="C65" s="36"/>
      <c r="D65" s="36"/>
      <c r="E65" s="520"/>
      <c r="F65" s="37"/>
      <c r="G65" s="37"/>
      <c r="H65" s="1"/>
      <c r="I65" s="1"/>
    </row>
    <row r="66" ht="15.75" customHeight="1">
      <c r="A66" s="36"/>
      <c r="B66" s="37"/>
      <c r="C66" s="37"/>
      <c r="D66" s="37"/>
      <c r="E66" s="37"/>
      <c r="F66" s="37"/>
      <c r="G66" s="1"/>
    </row>
    <row r="67" ht="15.75" customHeight="1">
      <c r="A67" s="473" t="s">
        <v>178</v>
      </c>
      <c r="B67" s="91"/>
      <c r="C67" s="91"/>
      <c r="D67" s="91"/>
      <c r="E67" s="91"/>
      <c r="F67" s="91"/>
      <c r="G67" s="91"/>
      <c r="H67" s="91"/>
      <c r="I67" s="91"/>
      <c r="J67" s="92"/>
    </row>
    <row r="68" ht="15.75" customHeight="1">
      <c r="A68" s="36"/>
      <c r="B68" s="36"/>
      <c r="C68" s="36"/>
      <c r="D68" s="36"/>
      <c r="E68" s="520"/>
      <c r="F68" s="37"/>
      <c r="G68" s="37"/>
      <c r="H68" s="1"/>
      <c r="I68" s="1"/>
    </row>
    <row r="69" ht="15.75" customHeight="1">
      <c r="A69" s="36"/>
      <c r="B69" s="36"/>
      <c r="C69" s="36"/>
      <c r="D69" s="36"/>
      <c r="E69" s="520"/>
      <c r="F69" s="37"/>
      <c r="G69" s="37"/>
      <c r="H69" s="1"/>
      <c r="I69" s="1"/>
    </row>
    <row r="70" ht="15.75" customHeight="1">
      <c r="A70" s="36"/>
      <c r="B70" s="36"/>
      <c r="C70" s="36"/>
      <c r="D70" s="36"/>
      <c r="E70" s="520"/>
      <c r="F70" s="37"/>
      <c r="G70" s="37"/>
      <c r="H70" s="1"/>
      <c r="I70" s="1"/>
    </row>
    <row r="71" ht="15.75" customHeight="1">
      <c r="A71" s="36"/>
      <c r="B71" s="36"/>
      <c r="C71" s="36"/>
      <c r="D71" s="36"/>
      <c r="E71" s="520"/>
      <c r="F71" s="37"/>
      <c r="G71" s="37"/>
      <c r="H71" s="1"/>
      <c r="I71" s="1"/>
    </row>
    <row r="72" ht="15.75" customHeight="1">
      <c r="A72" s="36"/>
      <c r="B72" s="36"/>
      <c r="C72" s="36"/>
      <c r="D72" s="36"/>
      <c r="E72" s="520"/>
      <c r="F72" s="37"/>
      <c r="G72" s="37"/>
      <c r="H72" s="1"/>
      <c r="I72" s="1"/>
    </row>
    <row r="73" ht="15.75" customHeight="1">
      <c r="A73" s="36"/>
      <c r="B73" s="36"/>
      <c r="C73" s="36"/>
      <c r="D73" s="36"/>
      <c r="E73" s="520"/>
      <c r="F73" s="37"/>
      <c r="G73" s="37"/>
      <c r="H73" s="1"/>
      <c r="I73" s="1"/>
    </row>
    <row r="74" ht="15.75" customHeight="1">
      <c r="A74" s="36"/>
      <c r="B74" s="36"/>
      <c r="C74" s="36"/>
      <c r="D74" s="36"/>
      <c r="E74" s="520"/>
      <c r="F74" s="37"/>
      <c r="G74" s="37"/>
      <c r="H74" s="1"/>
      <c r="I74" s="1"/>
    </row>
    <row r="75" ht="15.75" customHeight="1">
      <c r="A75" s="36"/>
      <c r="B75" s="36"/>
      <c r="C75" s="36"/>
      <c r="D75" s="36"/>
      <c r="E75" s="520"/>
      <c r="F75" s="37"/>
      <c r="G75" s="37"/>
      <c r="H75" s="1"/>
      <c r="I75" s="1"/>
    </row>
    <row r="76" ht="15.75" customHeight="1">
      <c r="A76" s="36"/>
      <c r="B76" s="36"/>
      <c r="C76" s="36"/>
      <c r="D76" s="36"/>
      <c r="E76" s="520"/>
      <c r="F76" s="37"/>
      <c r="G76" s="37"/>
      <c r="H76" s="1"/>
      <c r="I76" s="1"/>
    </row>
    <row r="77" ht="15.75" customHeight="1">
      <c r="A77" s="36"/>
      <c r="B77" s="36"/>
      <c r="C77" s="36"/>
      <c r="D77" s="36"/>
      <c r="E77" s="520"/>
      <c r="F77" s="37"/>
      <c r="G77" s="37"/>
      <c r="H77" s="1"/>
      <c r="I77" s="1"/>
    </row>
    <row r="78" ht="15.75" customHeight="1">
      <c r="A78" s="36"/>
      <c r="B78" s="36"/>
      <c r="C78" s="36"/>
      <c r="D78" s="36"/>
      <c r="E78" s="520"/>
      <c r="F78" s="37"/>
      <c r="G78" s="37"/>
      <c r="H78" s="1"/>
      <c r="I78" s="1"/>
    </row>
    <row r="79" ht="15.75" customHeight="1">
      <c r="A79" s="36"/>
      <c r="B79" s="36"/>
      <c r="C79" s="36"/>
      <c r="D79" s="36"/>
      <c r="E79" s="520"/>
      <c r="F79" s="37"/>
      <c r="G79" s="37"/>
      <c r="H79" s="1"/>
      <c r="I79" s="1"/>
    </row>
    <row r="80" ht="15.75" customHeight="1">
      <c r="A80" s="36"/>
      <c r="B80" s="36"/>
      <c r="C80" s="36"/>
      <c r="D80" s="36"/>
      <c r="E80" s="520"/>
      <c r="F80" s="37"/>
      <c r="G80" s="37"/>
      <c r="H80" s="1"/>
      <c r="I80" s="1"/>
    </row>
    <row r="81" ht="15.75" customHeight="1">
      <c r="A81" s="36"/>
      <c r="B81" s="36"/>
      <c r="C81" s="36"/>
      <c r="D81" s="36"/>
      <c r="E81" s="520"/>
      <c r="F81" s="37"/>
      <c r="G81" s="37"/>
      <c r="H81" s="1"/>
      <c r="I81" s="1"/>
    </row>
    <row r="82" ht="15.75" customHeight="1">
      <c r="A82" s="36"/>
      <c r="B82" s="36"/>
      <c r="C82" s="36"/>
      <c r="D82" s="36"/>
      <c r="E82" s="520"/>
      <c r="F82" s="37"/>
      <c r="G82" s="37"/>
      <c r="H82" s="1"/>
      <c r="I82" s="1"/>
    </row>
    <row r="83" ht="15.75" customHeight="1">
      <c r="A83" s="36"/>
      <c r="B83" s="36"/>
      <c r="C83" s="36"/>
      <c r="D83" s="36"/>
      <c r="E83" s="520"/>
      <c r="F83" s="37"/>
      <c r="G83" s="37"/>
      <c r="H83" s="1"/>
      <c r="I83" s="1"/>
    </row>
    <row r="84" ht="15.75" customHeight="1">
      <c r="A84" s="36"/>
      <c r="B84" s="36"/>
      <c r="C84" s="36"/>
      <c r="D84" s="36"/>
      <c r="E84" s="520"/>
      <c r="F84" s="37"/>
      <c r="G84" s="37"/>
      <c r="H84" s="1"/>
      <c r="I84" s="1"/>
    </row>
    <row r="85" ht="15.75" customHeight="1">
      <c r="A85" s="36"/>
      <c r="B85" s="36"/>
      <c r="C85" s="36"/>
      <c r="D85" s="36"/>
      <c r="E85" s="520"/>
      <c r="F85" s="37"/>
      <c r="G85" s="37"/>
      <c r="H85" s="1"/>
      <c r="I85" s="1"/>
    </row>
    <row r="86" ht="15.75" customHeight="1">
      <c r="A86" s="36"/>
      <c r="B86" s="36"/>
      <c r="C86" s="36"/>
      <c r="D86" s="36"/>
      <c r="E86" s="520"/>
      <c r="F86" s="37"/>
      <c r="G86" s="37"/>
      <c r="H86" s="1"/>
      <c r="I86" s="1"/>
    </row>
    <row r="87" ht="15.75" customHeight="1">
      <c r="A87" s="36"/>
      <c r="B87" s="36"/>
      <c r="C87" s="36"/>
      <c r="D87" s="36"/>
      <c r="E87" s="520"/>
      <c r="F87" s="37"/>
      <c r="G87" s="37"/>
      <c r="H87" s="1"/>
      <c r="I87" s="1"/>
    </row>
    <row r="88" ht="15.75" customHeight="1">
      <c r="A88" s="36"/>
      <c r="B88" s="36"/>
      <c r="C88" s="36"/>
      <c r="D88" s="36"/>
      <c r="E88" s="520"/>
      <c r="F88" s="37"/>
      <c r="G88" s="37"/>
      <c r="H88" s="1"/>
      <c r="I88" s="1"/>
    </row>
    <row r="89" ht="15.75" customHeight="1">
      <c r="A89" s="36"/>
      <c r="B89" s="36"/>
      <c r="C89" s="36"/>
      <c r="D89" s="36"/>
      <c r="E89" s="520"/>
      <c r="F89" s="37"/>
      <c r="G89" s="37"/>
      <c r="H89" s="1"/>
      <c r="I89" s="1"/>
    </row>
    <row r="90" ht="15.75" customHeight="1">
      <c r="A90" s="36"/>
      <c r="B90" s="36"/>
      <c r="C90" s="36"/>
      <c r="D90" s="36"/>
      <c r="E90" s="520"/>
      <c r="F90" s="37"/>
      <c r="G90" s="37"/>
      <c r="H90" s="1"/>
      <c r="I90" s="1"/>
    </row>
    <row r="91" ht="15.75" customHeight="1">
      <c r="A91" s="36"/>
      <c r="B91" s="36"/>
      <c r="C91" s="36"/>
      <c r="D91" s="36"/>
      <c r="E91" s="520"/>
      <c r="F91" s="37"/>
      <c r="G91" s="37"/>
      <c r="H91" s="1"/>
      <c r="I91" s="1"/>
    </row>
    <row r="92" ht="15.75" customHeight="1">
      <c r="A92" s="36"/>
      <c r="B92" s="36"/>
      <c r="C92" s="36"/>
      <c r="D92" s="36"/>
      <c r="E92" s="520"/>
      <c r="F92" s="37"/>
      <c r="G92" s="37"/>
      <c r="H92" s="1"/>
      <c r="I92" s="1"/>
    </row>
    <row r="93" ht="15.75" customHeight="1">
      <c r="A93" s="36"/>
      <c r="B93" s="36"/>
      <c r="C93" s="36"/>
      <c r="D93" s="36"/>
      <c r="E93" s="520"/>
      <c r="F93" s="37"/>
      <c r="G93" s="37"/>
      <c r="H93" s="1"/>
      <c r="I93" s="1"/>
    </row>
    <row r="94" ht="15.75" customHeight="1">
      <c r="A94" s="36"/>
      <c r="B94" s="36"/>
      <c r="C94" s="36"/>
      <c r="D94" s="36"/>
      <c r="E94" s="520"/>
      <c r="F94" s="37"/>
      <c r="G94" s="37"/>
      <c r="H94" s="1"/>
      <c r="I94" s="1"/>
    </row>
    <row r="95" ht="15.75" customHeight="1">
      <c r="A95" s="36"/>
      <c r="B95" s="36"/>
      <c r="C95" s="36"/>
      <c r="D95" s="36"/>
      <c r="E95" s="520"/>
      <c r="F95" s="37"/>
      <c r="G95" s="37"/>
      <c r="H95" s="1"/>
      <c r="I95" s="1"/>
    </row>
    <row r="96" ht="15.75" customHeight="1">
      <c r="A96" s="36"/>
      <c r="B96" s="36"/>
      <c r="C96" s="36"/>
      <c r="D96" s="36"/>
      <c r="E96" s="520"/>
      <c r="F96" s="37"/>
      <c r="G96" s="37"/>
      <c r="H96" s="1"/>
      <c r="I96" s="1"/>
    </row>
    <row r="97" ht="15.75" customHeight="1">
      <c r="A97" s="36"/>
      <c r="B97" s="36"/>
      <c r="C97" s="36"/>
      <c r="D97" s="36"/>
      <c r="E97" s="520"/>
      <c r="F97" s="37"/>
      <c r="G97" s="37"/>
      <c r="H97" s="1"/>
      <c r="I97" s="1"/>
    </row>
    <row r="98" ht="15.75" customHeight="1">
      <c r="A98" s="36"/>
      <c r="B98" s="36"/>
      <c r="C98" s="36"/>
      <c r="D98" s="36"/>
      <c r="E98" s="520"/>
      <c r="F98" s="37"/>
      <c r="G98" s="37"/>
      <c r="H98" s="1"/>
      <c r="I98" s="1"/>
    </row>
    <row r="99" ht="15.75" customHeight="1">
      <c r="A99" s="36"/>
      <c r="B99" s="36"/>
      <c r="C99" s="36"/>
      <c r="D99" s="36"/>
      <c r="E99" s="520"/>
      <c r="F99" s="37"/>
      <c r="G99" s="37"/>
      <c r="H99" s="1"/>
      <c r="I99" s="1"/>
    </row>
    <row r="100" ht="15.75" customHeight="1">
      <c r="A100" s="36"/>
      <c r="B100" s="36"/>
      <c r="C100" s="36"/>
      <c r="D100" s="36"/>
      <c r="E100" s="520"/>
      <c r="F100" s="37"/>
      <c r="G100" s="37"/>
      <c r="H100" s="1"/>
      <c r="I100" s="1"/>
    </row>
    <row r="101" ht="15.75" customHeight="1">
      <c r="A101" s="36"/>
      <c r="B101" s="36"/>
      <c r="C101" s="36"/>
      <c r="D101" s="36"/>
      <c r="E101" s="520"/>
      <c r="F101" s="37"/>
      <c r="G101" s="37"/>
      <c r="H101" s="1"/>
      <c r="I101" s="1"/>
    </row>
    <row r="102" ht="15.75" customHeight="1">
      <c r="A102" s="36"/>
      <c r="B102" s="36"/>
      <c r="C102" s="36"/>
      <c r="D102" s="36"/>
      <c r="E102" s="520"/>
      <c r="F102" s="37"/>
      <c r="G102" s="37"/>
      <c r="H102" s="1"/>
      <c r="I102" s="1"/>
    </row>
    <row r="103" ht="15.75" customHeight="1">
      <c r="A103" s="36"/>
      <c r="B103" s="36"/>
      <c r="C103" s="36"/>
      <c r="D103" s="36"/>
      <c r="E103" s="520"/>
      <c r="F103" s="37"/>
      <c r="G103" s="37"/>
      <c r="H103" s="1"/>
      <c r="I103" s="1"/>
    </row>
    <row r="104" ht="15.75" customHeight="1">
      <c r="A104" s="36"/>
      <c r="B104" s="36"/>
      <c r="C104" s="36"/>
      <c r="D104" s="36"/>
      <c r="E104" s="520"/>
      <c r="F104" s="37"/>
      <c r="G104" s="37"/>
      <c r="H104" s="1"/>
      <c r="I104" s="1"/>
    </row>
    <row r="105" ht="15.75" customHeight="1">
      <c r="A105" s="36"/>
      <c r="B105" s="36"/>
      <c r="C105" s="36"/>
      <c r="D105" s="36"/>
      <c r="E105" s="520"/>
      <c r="F105" s="37"/>
      <c r="G105" s="37"/>
      <c r="H105" s="1"/>
      <c r="I105" s="1"/>
    </row>
    <row r="106" ht="15.75" customHeight="1">
      <c r="A106" s="36"/>
      <c r="B106" s="36"/>
      <c r="C106" s="36"/>
      <c r="D106" s="36"/>
      <c r="E106" s="520"/>
      <c r="F106" s="37"/>
      <c r="G106" s="37"/>
      <c r="H106" s="1"/>
      <c r="I106" s="1"/>
    </row>
    <row r="107" ht="15.75" customHeight="1">
      <c r="A107" s="36"/>
      <c r="B107" s="36"/>
      <c r="C107" s="36"/>
      <c r="D107" s="36"/>
      <c r="E107" s="520"/>
      <c r="F107" s="37"/>
      <c r="G107" s="37"/>
      <c r="H107" s="1"/>
      <c r="I107" s="1"/>
    </row>
    <row r="108" ht="15.75" customHeight="1">
      <c r="A108" s="36"/>
      <c r="B108" s="36"/>
      <c r="C108" s="36"/>
      <c r="D108" s="36"/>
      <c r="E108" s="520"/>
      <c r="F108" s="37"/>
      <c r="G108" s="37"/>
      <c r="H108" s="1"/>
      <c r="I108" s="1"/>
    </row>
    <row r="109" ht="15.75" customHeight="1">
      <c r="A109" s="36"/>
      <c r="B109" s="36"/>
      <c r="C109" s="36"/>
      <c r="D109" s="36"/>
      <c r="E109" s="520"/>
      <c r="F109" s="37"/>
      <c r="G109" s="37"/>
      <c r="H109" s="1"/>
      <c r="I109" s="1"/>
    </row>
    <row r="110" ht="15.75" customHeight="1">
      <c r="A110" s="36"/>
      <c r="B110" s="36"/>
      <c r="C110" s="36"/>
      <c r="D110" s="36"/>
      <c r="E110" s="520"/>
      <c r="F110" s="37"/>
      <c r="G110" s="37"/>
      <c r="H110" s="1"/>
      <c r="I110" s="1"/>
    </row>
    <row r="111" ht="15.75" customHeight="1">
      <c r="A111" s="36"/>
      <c r="B111" s="36"/>
      <c r="C111" s="36"/>
      <c r="D111" s="36"/>
      <c r="E111" s="520"/>
      <c r="F111" s="37"/>
      <c r="G111" s="37"/>
      <c r="H111" s="1"/>
      <c r="I111" s="1"/>
    </row>
    <row r="112" ht="15.75" customHeight="1">
      <c r="A112" s="36"/>
      <c r="B112" s="36"/>
      <c r="C112" s="36"/>
      <c r="D112" s="36"/>
      <c r="E112" s="520"/>
      <c r="F112" s="37"/>
      <c r="G112" s="37"/>
      <c r="H112" s="1"/>
      <c r="I112" s="1"/>
    </row>
    <row r="113" ht="15.75" customHeight="1">
      <c r="A113" s="36"/>
      <c r="B113" s="36"/>
      <c r="C113" s="36"/>
      <c r="D113" s="36"/>
      <c r="E113" s="520"/>
      <c r="F113" s="37"/>
      <c r="G113" s="37"/>
      <c r="H113" s="1"/>
      <c r="I113" s="1"/>
    </row>
    <row r="114" ht="15.75" customHeight="1">
      <c r="A114" s="36"/>
      <c r="B114" s="36"/>
      <c r="C114" s="36"/>
      <c r="D114" s="36"/>
      <c r="E114" s="520"/>
      <c r="F114" s="37"/>
      <c r="G114" s="37"/>
      <c r="H114" s="1"/>
      <c r="I114" s="1"/>
    </row>
    <row r="115" ht="15.75" customHeight="1">
      <c r="A115" s="36"/>
      <c r="B115" s="36"/>
      <c r="C115" s="36"/>
      <c r="D115" s="36"/>
      <c r="E115" s="520"/>
      <c r="F115" s="37"/>
      <c r="G115" s="37"/>
      <c r="H115" s="1"/>
      <c r="I115" s="1"/>
    </row>
    <row r="116" ht="15.75" customHeight="1">
      <c r="A116" s="36"/>
      <c r="B116" s="36"/>
      <c r="C116" s="36"/>
      <c r="D116" s="36"/>
      <c r="E116" s="520"/>
      <c r="F116" s="37"/>
      <c r="G116" s="37"/>
      <c r="H116" s="1"/>
      <c r="I116" s="1"/>
    </row>
    <row r="117" ht="15.75" customHeight="1">
      <c r="A117" s="36"/>
      <c r="B117" s="36"/>
      <c r="C117" s="36"/>
      <c r="D117" s="36"/>
      <c r="E117" s="520"/>
      <c r="F117" s="37"/>
      <c r="G117" s="37"/>
      <c r="H117" s="1"/>
      <c r="I117" s="1"/>
    </row>
    <row r="118" ht="15.75" customHeight="1">
      <c r="A118" s="36"/>
      <c r="B118" s="36"/>
      <c r="C118" s="36"/>
      <c r="D118" s="36"/>
      <c r="E118" s="520"/>
      <c r="F118" s="37"/>
      <c r="G118" s="37"/>
      <c r="H118" s="1"/>
      <c r="I118" s="1"/>
    </row>
    <row r="119" ht="15.75" customHeight="1">
      <c r="A119" s="36"/>
      <c r="B119" s="36"/>
      <c r="C119" s="36"/>
      <c r="D119" s="36"/>
      <c r="E119" s="520"/>
      <c r="F119" s="37"/>
      <c r="G119" s="37"/>
      <c r="H119" s="1"/>
      <c r="I119" s="1"/>
    </row>
    <row r="120" ht="15.75" customHeight="1">
      <c r="A120" s="36"/>
      <c r="B120" s="36"/>
      <c r="C120" s="36"/>
      <c r="D120" s="36"/>
      <c r="E120" s="520"/>
      <c r="F120" s="37"/>
      <c r="G120" s="37"/>
      <c r="H120" s="1"/>
      <c r="I120" s="1"/>
    </row>
    <row r="121" ht="15.75" customHeight="1">
      <c r="A121" s="36"/>
      <c r="B121" s="36"/>
      <c r="C121" s="36"/>
      <c r="D121" s="36"/>
      <c r="E121" s="520"/>
      <c r="F121" s="37"/>
      <c r="G121" s="37"/>
      <c r="H121" s="1"/>
      <c r="I121" s="1"/>
    </row>
    <row r="122" ht="15.75" customHeight="1">
      <c r="A122" s="36"/>
      <c r="B122" s="36"/>
      <c r="C122" s="36"/>
      <c r="D122" s="36"/>
      <c r="E122" s="520"/>
      <c r="F122" s="37"/>
      <c r="G122" s="37"/>
      <c r="H122" s="1"/>
      <c r="I122" s="1"/>
    </row>
    <row r="123" ht="15.75" customHeight="1">
      <c r="A123" s="36"/>
      <c r="B123" s="36"/>
      <c r="C123" s="36"/>
      <c r="D123" s="36"/>
      <c r="E123" s="520"/>
      <c r="F123" s="37"/>
      <c r="G123" s="37"/>
      <c r="H123" s="1"/>
      <c r="I123" s="1"/>
    </row>
    <row r="124" ht="15.75" customHeight="1">
      <c r="A124" s="36"/>
      <c r="B124" s="36"/>
      <c r="C124" s="36"/>
      <c r="D124" s="36"/>
      <c r="E124" s="520"/>
      <c r="F124" s="37"/>
      <c r="G124" s="37"/>
      <c r="H124" s="1"/>
      <c r="I124" s="1"/>
    </row>
    <row r="125" ht="15.75" customHeight="1">
      <c r="A125" s="36"/>
      <c r="B125" s="36"/>
      <c r="C125" s="36"/>
      <c r="D125" s="36"/>
      <c r="E125" s="520"/>
      <c r="F125" s="37"/>
      <c r="G125" s="37"/>
      <c r="H125" s="1"/>
      <c r="I125" s="1"/>
    </row>
    <row r="126" ht="15.75" customHeight="1">
      <c r="A126" s="36"/>
      <c r="B126" s="36"/>
      <c r="C126" s="36"/>
      <c r="D126" s="36"/>
      <c r="E126" s="520"/>
      <c r="F126" s="37"/>
      <c r="G126" s="37"/>
      <c r="H126" s="1"/>
      <c r="I126" s="1"/>
    </row>
    <row r="127" ht="15.75" customHeight="1">
      <c r="A127" s="36"/>
      <c r="B127" s="36"/>
      <c r="C127" s="36"/>
      <c r="D127" s="36"/>
      <c r="E127" s="520"/>
      <c r="F127" s="37"/>
      <c r="G127" s="37"/>
      <c r="H127" s="1"/>
      <c r="I127" s="1"/>
    </row>
    <row r="128" ht="15.75" customHeight="1">
      <c r="A128" s="36"/>
      <c r="B128" s="36"/>
      <c r="C128" s="36"/>
      <c r="D128" s="36"/>
      <c r="E128" s="520"/>
      <c r="F128" s="37"/>
      <c r="G128" s="37"/>
      <c r="H128" s="1"/>
      <c r="I128" s="1"/>
    </row>
    <row r="129" ht="15.75" customHeight="1">
      <c r="A129" s="36"/>
      <c r="B129" s="36"/>
      <c r="C129" s="36"/>
      <c r="D129" s="36"/>
      <c r="E129" s="520"/>
      <c r="F129" s="37"/>
      <c r="G129" s="37"/>
      <c r="H129" s="1"/>
      <c r="I129" s="1"/>
    </row>
    <row r="130" ht="15.75" customHeight="1">
      <c r="A130" s="36"/>
      <c r="B130" s="36"/>
      <c r="C130" s="36"/>
      <c r="D130" s="36"/>
      <c r="E130" s="520"/>
      <c r="F130" s="37"/>
      <c r="G130" s="37"/>
      <c r="H130" s="1"/>
      <c r="I130" s="1"/>
    </row>
    <row r="131" ht="15.75" customHeight="1">
      <c r="A131" s="36"/>
      <c r="B131" s="36"/>
      <c r="C131" s="36"/>
      <c r="D131" s="36"/>
      <c r="E131" s="520"/>
      <c r="F131" s="37"/>
      <c r="G131" s="37"/>
      <c r="H131" s="1"/>
      <c r="I131" s="1"/>
    </row>
    <row r="132" ht="15.75" customHeight="1">
      <c r="A132" s="36"/>
      <c r="B132" s="36"/>
      <c r="C132" s="36"/>
      <c r="D132" s="36"/>
      <c r="E132" s="520"/>
      <c r="F132" s="37"/>
      <c r="G132" s="37"/>
      <c r="H132" s="1"/>
      <c r="I132" s="1"/>
    </row>
    <row r="133" ht="15.75" customHeight="1">
      <c r="A133" s="36"/>
      <c r="B133" s="36"/>
      <c r="C133" s="36"/>
      <c r="D133" s="36"/>
      <c r="E133" s="520"/>
      <c r="F133" s="37"/>
      <c r="G133" s="37"/>
      <c r="H133" s="1"/>
      <c r="I133" s="1"/>
    </row>
    <row r="134" ht="15.75" customHeight="1">
      <c r="A134" s="36"/>
      <c r="B134" s="36"/>
      <c r="C134" s="36"/>
      <c r="D134" s="36"/>
      <c r="E134" s="520"/>
      <c r="F134" s="37"/>
      <c r="G134" s="37"/>
      <c r="H134" s="1"/>
      <c r="I134" s="1"/>
    </row>
    <row r="135" ht="15.75" customHeight="1">
      <c r="A135" s="36"/>
      <c r="B135" s="36"/>
      <c r="C135" s="36"/>
      <c r="D135" s="36"/>
      <c r="E135" s="520"/>
      <c r="F135" s="37"/>
      <c r="G135" s="37"/>
      <c r="H135" s="1"/>
      <c r="I135" s="1"/>
    </row>
    <row r="136" ht="15.75" customHeight="1">
      <c r="A136" s="36"/>
      <c r="B136" s="36"/>
      <c r="C136" s="36"/>
      <c r="D136" s="36"/>
      <c r="E136" s="520"/>
      <c r="F136" s="37"/>
      <c r="G136" s="37"/>
      <c r="H136" s="1"/>
      <c r="I136" s="1"/>
    </row>
    <row r="137" ht="15.75" customHeight="1">
      <c r="A137" s="36"/>
      <c r="B137" s="36"/>
      <c r="C137" s="36"/>
      <c r="D137" s="36"/>
      <c r="E137" s="520"/>
      <c r="F137" s="37"/>
      <c r="G137" s="37"/>
      <c r="H137" s="1"/>
      <c r="I137" s="1"/>
    </row>
    <row r="138" ht="15.75" customHeight="1">
      <c r="A138" s="36"/>
      <c r="B138" s="36"/>
      <c r="C138" s="36"/>
      <c r="D138" s="36"/>
      <c r="E138" s="520"/>
      <c r="F138" s="37"/>
      <c r="G138" s="37"/>
      <c r="H138" s="1"/>
      <c r="I138" s="1"/>
    </row>
    <row r="139" ht="15.75" customHeight="1">
      <c r="A139" s="36"/>
      <c r="B139" s="36"/>
      <c r="C139" s="36"/>
      <c r="D139" s="36"/>
      <c r="E139" s="520"/>
      <c r="F139" s="37"/>
      <c r="G139" s="37"/>
      <c r="H139" s="1"/>
      <c r="I139" s="1"/>
    </row>
    <row r="140" ht="15.75" customHeight="1">
      <c r="A140" s="36"/>
      <c r="B140" s="36"/>
      <c r="C140" s="36"/>
      <c r="D140" s="36"/>
      <c r="E140" s="520"/>
      <c r="F140" s="37"/>
      <c r="G140" s="37"/>
      <c r="H140" s="1"/>
      <c r="I140" s="1"/>
    </row>
    <row r="141" ht="15.75" customHeight="1">
      <c r="A141" s="36"/>
      <c r="B141" s="36"/>
      <c r="C141" s="36"/>
      <c r="D141" s="36"/>
      <c r="E141" s="520"/>
      <c r="F141" s="37"/>
      <c r="G141" s="37"/>
      <c r="H141" s="1"/>
      <c r="I141" s="1"/>
    </row>
    <row r="142" ht="15.75" customHeight="1">
      <c r="A142" s="36"/>
      <c r="B142" s="36"/>
      <c r="C142" s="36"/>
      <c r="D142" s="36"/>
      <c r="E142" s="520"/>
      <c r="F142" s="37"/>
      <c r="G142" s="37"/>
      <c r="H142" s="1"/>
      <c r="I142" s="1"/>
    </row>
    <row r="143" ht="15.75" customHeight="1">
      <c r="A143" s="36"/>
      <c r="B143" s="36"/>
      <c r="C143" s="36"/>
      <c r="D143" s="36"/>
      <c r="E143" s="520"/>
      <c r="F143" s="37"/>
      <c r="G143" s="37"/>
      <c r="H143" s="1"/>
      <c r="I143" s="1"/>
    </row>
    <row r="144" ht="15.75" customHeight="1">
      <c r="A144" s="36"/>
      <c r="B144" s="36"/>
      <c r="C144" s="36"/>
      <c r="D144" s="36"/>
      <c r="E144" s="520"/>
      <c r="F144" s="37"/>
      <c r="G144" s="37"/>
      <c r="H144" s="1"/>
      <c r="I144" s="1"/>
    </row>
    <row r="145" ht="15.75" customHeight="1">
      <c r="A145" s="36"/>
      <c r="B145" s="36"/>
      <c r="C145" s="36"/>
      <c r="D145" s="36"/>
      <c r="E145" s="520"/>
      <c r="F145" s="37"/>
      <c r="G145" s="37"/>
      <c r="H145" s="1"/>
      <c r="I145" s="1"/>
    </row>
    <row r="146" ht="15.75" customHeight="1">
      <c r="A146" s="36"/>
      <c r="B146" s="36"/>
      <c r="C146" s="36"/>
      <c r="D146" s="36"/>
      <c r="E146" s="520"/>
      <c r="F146" s="37"/>
      <c r="G146" s="37"/>
      <c r="H146" s="1"/>
      <c r="I146" s="1"/>
    </row>
    <row r="147" ht="15.75" customHeight="1">
      <c r="A147" s="36"/>
      <c r="B147" s="36"/>
      <c r="C147" s="36"/>
      <c r="D147" s="36"/>
      <c r="E147" s="520"/>
      <c r="F147" s="37"/>
      <c r="G147" s="37"/>
      <c r="H147" s="1"/>
      <c r="I147" s="1"/>
    </row>
    <row r="148" ht="15.75" customHeight="1">
      <c r="A148" s="36"/>
      <c r="B148" s="36"/>
      <c r="C148" s="36"/>
      <c r="D148" s="36"/>
      <c r="E148" s="520"/>
      <c r="F148" s="37"/>
      <c r="G148" s="37"/>
      <c r="H148" s="1"/>
      <c r="I148" s="1"/>
    </row>
    <row r="149" ht="15.75" customHeight="1">
      <c r="A149" s="36"/>
      <c r="B149" s="36"/>
      <c r="C149" s="36"/>
      <c r="D149" s="36"/>
      <c r="E149" s="520"/>
      <c r="F149" s="37"/>
      <c r="G149" s="37"/>
      <c r="H149" s="1"/>
      <c r="I149" s="1"/>
    </row>
    <row r="150" ht="15.75" customHeight="1">
      <c r="A150" s="36"/>
      <c r="B150" s="36"/>
      <c r="C150" s="36"/>
      <c r="D150" s="36"/>
      <c r="E150" s="520"/>
      <c r="F150" s="37"/>
      <c r="G150" s="37"/>
      <c r="H150" s="1"/>
      <c r="I150" s="1"/>
    </row>
    <row r="151" ht="15.75" customHeight="1">
      <c r="A151" s="36"/>
      <c r="B151" s="36"/>
      <c r="C151" s="36"/>
      <c r="D151" s="36"/>
      <c r="E151" s="520"/>
      <c r="F151" s="37"/>
      <c r="G151" s="37"/>
      <c r="H151" s="1"/>
      <c r="I151" s="1"/>
    </row>
    <row r="152" ht="15.75" customHeight="1">
      <c r="A152" s="36"/>
      <c r="B152" s="36"/>
      <c r="C152" s="36"/>
      <c r="D152" s="36"/>
      <c r="E152" s="520"/>
      <c r="F152" s="37"/>
      <c r="G152" s="37"/>
      <c r="H152" s="1"/>
      <c r="I152" s="1"/>
    </row>
    <row r="153" ht="15.75" customHeight="1">
      <c r="A153" s="36"/>
      <c r="B153" s="36"/>
      <c r="C153" s="36"/>
      <c r="D153" s="36"/>
      <c r="E153" s="520"/>
      <c r="F153" s="37"/>
      <c r="G153" s="37"/>
      <c r="H153" s="1"/>
      <c r="I153" s="1"/>
    </row>
    <row r="154" ht="15.75" customHeight="1">
      <c r="A154" s="36"/>
      <c r="B154" s="36"/>
      <c r="C154" s="36"/>
      <c r="D154" s="36"/>
      <c r="E154" s="520"/>
      <c r="F154" s="37"/>
      <c r="G154" s="37"/>
      <c r="H154" s="1"/>
      <c r="I154" s="1"/>
    </row>
    <row r="155" ht="15.75" customHeight="1">
      <c r="A155" s="36"/>
      <c r="B155" s="36"/>
      <c r="C155" s="36"/>
      <c r="D155" s="36"/>
      <c r="E155" s="520"/>
      <c r="F155" s="37"/>
      <c r="G155" s="37"/>
      <c r="H155" s="1"/>
      <c r="I155" s="1"/>
    </row>
    <row r="156" ht="15.75" customHeight="1">
      <c r="A156" s="36"/>
      <c r="B156" s="36"/>
      <c r="C156" s="36"/>
      <c r="D156" s="36"/>
      <c r="E156" s="520"/>
      <c r="F156" s="37"/>
      <c r="G156" s="37"/>
      <c r="H156" s="1"/>
      <c r="I156" s="1"/>
    </row>
    <row r="157" ht="15.75" customHeight="1">
      <c r="A157" s="36"/>
      <c r="B157" s="36"/>
      <c r="C157" s="36"/>
      <c r="D157" s="36"/>
      <c r="E157" s="520"/>
      <c r="F157" s="37"/>
      <c r="G157" s="37"/>
      <c r="H157" s="1"/>
      <c r="I157" s="1"/>
    </row>
    <row r="158" ht="15.75" customHeight="1">
      <c r="A158" s="36"/>
      <c r="B158" s="36"/>
      <c r="C158" s="36"/>
      <c r="D158" s="36"/>
      <c r="E158" s="520"/>
      <c r="F158" s="37"/>
      <c r="G158" s="37"/>
      <c r="H158" s="1"/>
      <c r="I158" s="1"/>
    </row>
    <row r="159" ht="15.75" customHeight="1">
      <c r="A159" s="36"/>
      <c r="B159" s="36"/>
      <c r="C159" s="36"/>
      <c r="D159" s="36"/>
      <c r="E159" s="520"/>
      <c r="F159" s="37"/>
      <c r="G159" s="37"/>
      <c r="H159" s="1"/>
      <c r="I159" s="1"/>
    </row>
    <row r="160" ht="15.75" customHeight="1">
      <c r="A160" s="36"/>
      <c r="B160" s="36"/>
      <c r="C160" s="36"/>
      <c r="D160" s="36"/>
      <c r="E160" s="520"/>
      <c r="F160" s="37"/>
      <c r="G160" s="37"/>
      <c r="H160" s="1"/>
      <c r="I160" s="1"/>
    </row>
    <row r="161" ht="15.75" customHeight="1">
      <c r="A161" s="36"/>
      <c r="B161" s="36"/>
      <c r="C161" s="36"/>
      <c r="D161" s="36"/>
      <c r="E161" s="520"/>
      <c r="F161" s="37"/>
      <c r="G161" s="37"/>
      <c r="H161" s="1"/>
      <c r="I161" s="1"/>
    </row>
    <row r="162" ht="15.75" customHeight="1">
      <c r="A162" s="36"/>
      <c r="B162" s="36"/>
      <c r="C162" s="36"/>
      <c r="D162" s="36"/>
      <c r="E162" s="520"/>
      <c r="F162" s="37"/>
      <c r="G162" s="37"/>
      <c r="H162" s="1"/>
      <c r="I162" s="1"/>
    </row>
    <row r="163" ht="15.75" customHeight="1">
      <c r="A163" s="36"/>
      <c r="B163" s="36"/>
      <c r="C163" s="36"/>
      <c r="D163" s="36"/>
      <c r="E163" s="520"/>
      <c r="F163" s="37"/>
      <c r="G163" s="37"/>
      <c r="H163" s="1"/>
      <c r="I163" s="1"/>
    </row>
    <row r="164" ht="15.75" customHeight="1">
      <c r="A164" s="36"/>
      <c r="B164" s="36"/>
      <c r="C164" s="36"/>
      <c r="D164" s="36"/>
      <c r="E164" s="520"/>
      <c r="F164" s="37"/>
      <c r="G164" s="37"/>
      <c r="H164" s="1"/>
      <c r="I164" s="1"/>
    </row>
    <row r="165" ht="15.75" customHeight="1">
      <c r="A165" s="36"/>
      <c r="B165" s="36"/>
      <c r="C165" s="36"/>
      <c r="D165" s="36"/>
      <c r="E165" s="520"/>
      <c r="F165" s="37"/>
      <c r="G165" s="37"/>
      <c r="H165" s="1"/>
      <c r="I165" s="1"/>
    </row>
    <row r="166" ht="15.75" customHeight="1">
      <c r="A166" s="36"/>
      <c r="B166" s="36"/>
      <c r="C166" s="36"/>
      <c r="D166" s="36"/>
      <c r="E166" s="520"/>
      <c r="F166" s="37"/>
      <c r="G166" s="37"/>
      <c r="H166" s="1"/>
      <c r="I166" s="1"/>
    </row>
    <row r="167" ht="15.75" customHeight="1">
      <c r="A167" s="36"/>
      <c r="B167" s="36"/>
      <c r="C167" s="36"/>
      <c r="D167" s="36"/>
      <c r="E167" s="520"/>
      <c r="F167" s="37"/>
      <c r="G167" s="37"/>
      <c r="H167" s="1"/>
      <c r="I167" s="1"/>
    </row>
    <row r="168" ht="15.75" customHeight="1">
      <c r="A168" s="36"/>
      <c r="B168" s="36"/>
      <c r="C168" s="36"/>
      <c r="D168" s="36"/>
      <c r="E168" s="520"/>
      <c r="F168" s="37"/>
      <c r="G168" s="37"/>
      <c r="H168" s="1"/>
      <c r="I168" s="1"/>
    </row>
    <row r="169" ht="15.75" customHeight="1">
      <c r="A169" s="36"/>
      <c r="B169" s="36"/>
      <c r="C169" s="36"/>
      <c r="D169" s="36"/>
      <c r="E169" s="520"/>
      <c r="F169" s="37"/>
      <c r="G169" s="37"/>
      <c r="H169" s="1"/>
      <c r="I169" s="1"/>
    </row>
    <row r="170" ht="15.75" customHeight="1">
      <c r="A170" s="36"/>
      <c r="B170" s="36"/>
      <c r="C170" s="36"/>
      <c r="D170" s="36"/>
      <c r="E170" s="520"/>
      <c r="F170" s="37"/>
      <c r="G170" s="37"/>
      <c r="H170" s="1"/>
      <c r="I170" s="1"/>
    </row>
    <row r="171" ht="15.75" customHeight="1">
      <c r="A171" s="36"/>
      <c r="B171" s="36"/>
      <c r="C171" s="36"/>
      <c r="D171" s="36"/>
      <c r="E171" s="520"/>
      <c r="F171" s="37"/>
      <c r="G171" s="37"/>
      <c r="H171" s="1"/>
      <c r="I171" s="1"/>
    </row>
    <row r="172" ht="15.75" customHeight="1">
      <c r="A172" s="36"/>
      <c r="B172" s="36"/>
      <c r="C172" s="36"/>
      <c r="D172" s="36"/>
      <c r="E172" s="520"/>
      <c r="F172" s="37"/>
      <c r="G172" s="37"/>
      <c r="H172" s="1"/>
      <c r="I172" s="1"/>
    </row>
    <row r="173" ht="15.75" customHeight="1">
      <c r="A173" s="36"/>
      <c r="B173" s="36"/>
      <c r="C173" s="36"/>
      <c r="D173" s="36"/>
      <c r="E173" s="520"/>
      <c r="F173" s="37"/>
      <c r="G173" s="37"/>
      <c r="H173" s="1"/>
      <c r="I173" s="1"/>
    </row>
    <row r="174" ht="15.75" customHeight="1">
      <c r="A174" s="36"/>
      <c r="B174" s="36"/>
      <c r="C174" s="36"/>
      <c r="D174" s="36"/>
      <c r="E174" s="520"/>
      <c r="F174" s="37"/>
      <c r="G174" s="37"/>
      <c r="H174" s="1"/>
      <c r="I174" s="1"/>
    </row>
    <row r="175" ht="15.75" customHeight="1">
      <c r="A175" s="36"/>
      <c r="B175" s="36"/>
      <c r="C175" s="36"/>
      <c r="D175" s="36"/>
      <c r="E175" s="520"/>
      <c r="F175" s="37"/>
      <c r="G175" s="37"/>
      <c r="H175" s="1"/>
      <c r="I175" s="1"/>
    </row>
    <row r="176" ht="15.75" customHeight="1">
      <c r="A176" s="36"/>
      <c r="B176" s="36"/>
      <c r="C176" s="36"/>
      <c r="D176" s="36"/>
      <c r="E176" s="520"/>
      <c r="F176" s="37"/>
      <c r="G176" s="37"/>
      <c r="H176" s="1"/>
      <c r="I176" s="1"/>
    </row>
    <row r="177" ht="15.75" customHeight="1">
      <c r="A177" s="36"/>
      <c r="B177" s="36"/>
      <c r="C177" s="36"/>
      <c r="D177" s="36"/>
      <c r="E177" s="520"/>
      <c r="F177" s="37"/>
      <c r="G177" s="37"/>
      <c r="H177" s="1"/>
      <c r="I177" s="1"/>
    </row>
    <row r="178" ht="15.75" customHeight="1">
      <c r="A178" s="36"/>
      <c r="B178" s="36"/>
      <c r="C178" s="36"/>
      <c r="D178" s="36"/>
      <c r="E178" s="520"/>
      <c r="F178" s="37"/>
      <c r="G178" s="37"/>
      <c r="H178" s="1"/>
      <c r="I178" s="1"/>
    </row>
    <row r="179" ht="15.75" customHeight="1">
      <c r="A179" s="36"/>
      <c r="B179" s="36"/>
      <c r="C179" s="36"/>
      <c r="D179" s="36"/>
      <c r="E179" s="520"/>
      <c r="F179" s="37"/>
      <c r="G179" s="37"/>
      <c r="H179" s="1"/>
      <c r="I179" s="1"/>
    </row>
    <row r="180" ht="15.75" customHeight="1">
      <c r="A180" s="36"/>
      <c r="B180" s="36"/>
      <c r="C180" s="36"/>
      <c r="D180" s="36"/>
      <c r="E180" s="520"/>
      <c r="F180" s="37"/>
      <c r="G180" s="37"/>
      <c r="H180" s="1"/>
      <c r="I180" s="1"/>
    </row>
    <row r="181" ht="15.75" customHeight="1">
      <c r="A181" s="36"/>
      <c r="B181" s="36"/>
      <c r="C181" s="36"/>
      <c r="D181" s="36"/>
      <c r="E181" s="520"/>
      <c r="F181" s="37"/>
      <c r="G181" s="37"/>
      <c r="H181" s="1"/>
      <c r="I181" s="1"/>
    </row>
    <row r="182" ht="15.75" customHeight="1">
      <c r="A182" s="36"/>
      <c r="B182" s="36"/>
      <c r="C182" s="36"/>
      <c r="D182" s="36"/>
      <c r="E182" s="520"/>
      <c r="F182" s="37"/>
      <c r="G182" s="37"/>
      <c r="H182" s="1"/>
      <c r="I182" s="1"/>
    </row>
    <row r="183" ht="15.75" customHeight="1">
      <c r="A183" s="36"/>
      <c r="B183" s="36"/>
      <c r="C183" s="36"/>
      <c r="D183" s="36"/>
      <c r="E183" s="520"/>
      <c r="F183" s="37"/>
      <c r="G183" s="37"/>
      <c r="H183" s="1"/>
      <c r="I183" s="1"/>
    </row>
    <row r="184" ht="15.75" customHeight="1">
      <c r="A184" s="36"/>
      <c r="B184" s="36"/>
      <c r="C184" s="36"/>
      <c r="D184" s="36"/>
      <c r="E184" s="520"/>
      <c r="F184" s="37"/>
      <c r="G184" s="37"/>
      <c r="H184" s="1"/>
      <c r="I184" s="1"/>
    </row>
    <row r="185" ht="15.75" customHeight="1">
      <c r="A185" s="36"/>
      <c r="B185" s="36"/>
      <c r="C185" s="36"/>
      <c r="D185" s="36"/>
      <c r="E185" s="520"/>
      <c r="F185" s="37"/>
      <c r="G185" s="37"/>
      <c r="H185" s="1"/>
      <c r="I185" s="1"/>
    </row>
    <row r="186" ht="15.75" customHeight="1">
      <c r="A186" s="36"/>
      <c r="B186" s="36"/>
      <c r="C186" s="36"/>
      <c r="D186" s="36"/>
      <c r="E186" s="520"/>
      <c r="F186" s="37"/>
      <c r="G186" s="37"/>
      <c r="H186" s="1"/>
      <c r="I186" s="1"/>
    </row>
    <row r="187" ht="15.75" customHeight="1">
      <c r="A187" s="36"/>
      <c r="B187" s="36"/>
      <c r="C187" s="36"/>
      <c r="D187" s="36"/>
      <c r="E187" s="520"/>
      <c r="F187" s="37"/>
      <c r="G187" s="37"/>
      <c r="H187" s="1"/>
      <c r="I187" s="1"/>
    </row>
    <row r="188" ht="15.75" customHeight="1">
      <c r="A188" s="36"/>
      <c r="B188" s="36"/>
      <c r="C188" s="36"/>
      <c r="D188" s="36"/>
      <c r="E188" s="520"/>
      <c r="F188" s="37"/>
      <c r="G188" s="37"/>
      <c r="H188" s="1"/>
      <c r="I188" s="1"/>
    </row>
    <row r="189" ht="15.75" customHeight="1">
      <c r="A189" s="36"/>
      <c r="B189" s="36"/>
      <c r="C189" s="36"/>
      <c r="D189" s="36"/>
      <c r="E189" s="520"/>
      <c r="F189" s="37"/>
      <c r="G189" s="37"/>
      <c r="H189" s="1"/>
      <c r="I189" s="1"/>
    </row>
    <row r="190" ht="15.75" customHeight="1">
      <c r="A190" s="36"/>
      <c r="B190" s="36"/>
      <c r="C190" s="36"/>
      <c r="D190" s="36"/>
      <c r="E190" s="520"/>
      <c r="F190" s="37"/>
      <c r="G190" s="37"/>
      <c r="H190" s="1"/>
      <c r="I190" s="1"/>
    </row>
    <row r="191" ht="15.75" customHeight="1">
      <c r="A191" s="36"/>
      <c r="B191" s="36"/>
      <c r="C191" s="36"/>
      <c r="D191" s="36"/>
      <c r="E191" s="520"/>
      <c r="F191" s="37"/>
      <c r="G191" s="37"/>
      <c r="H191" s="1"/>
      <c r="I191" s="1"/>
    </row>
    <row r="192" ht="15.75" customHeight="1">
      <c r="A192" s="36"/>
      <c r="B192" s="36"/>
      <c r="C192" s="36"/>
      <c r="D192" s="36"/>
      <c r="E192" s="520"/>
      <c r="F192" s="37"/>
      <c r="G192" s="37"/>
      <c r="H192" s="1"/>
      <c r="I192" s="1"/>
    </row>
    <row r="193" ht="15.75" customHeight="1">
      <c r="A193" s="36"/>
      <c r="B193" s="36"/>
      <c r="C193" s="36"/>
      <c r="D193" s="36"/>
      <c r="E193" s="520"/>
      <c r="F193" s="37"/>
      <c r="G193" s="37"/>
      <c r="H193" s="1"/>
      <c r="I193" s="1"/>
    </row>
    <row r="194" ht="15.75" customHeight="1">
      <c r="A194" s="36"/>
      <c r="B194" s="36"/>
      <c r="C194" s="36"/>
      <c r="D194" s="36"/>
      <c r="E194" s="520"/>
      <c r="F194" s="37"/>
      <c r="G194" s="37"/>
      <c r="H194" s="1"/>
      <c r="I194" s="1"/>
    </row>
    <row r="195" ht="15.75" customHeight="1">
      <c r="A195" s="36"/>
      <c r="B195" s="36"/>
      <c r="C195" s="36"/>
      <c r="D195" s="36"/>
      <c r="E195" s="520"/>
      <c r="F195" s="37"/>
      <c r="G195" s="37"/>
      <c r="H195" s="1"/>
      <c r="I195" s="1"/>
    </row>
    <row r="196" ht="15.75" customHeight="1">
      <c r="A196" s="36"/>
      <c r="B196" s="36"/>
      <c r="C196" s="36"/>
      <c r="D196" s="36"/>
      <c r="E196" s="520"/>
      <c r="F196" s="37"/>
      <c r="G196" s="37"/>
      <c r="H196" s="1"/>
      <c r="I196" s="1"/>
    </row>
    <row r="197" ht="15.75" customHeight="1">
      <c r="A197" s="36"/>
      <c r="B197" s="36"/>
      <c r="C197" s="36"/>
      <c r="D197" s="36"/>
      <c r="E197" s="520"/>
      <c r="F197" s="37"/>
      <c r="G197" s="37"/>
      <c r="H197" s="1"/>
      <c r="I197" s="1"/>
    </row>
    <row r="198" ht="15.75" customHeight="1">
      <c r="A198" s="36"/>
      <c r="B198" s="36"/>
      <c r="C198" s="36"/>
      <c r="D198" s="36"/>
      <c r="E198" s="520"/>
      <c r="F198" s="37"/>
      <c r="G198" s="37"/>
      <c r="H198" s="1"/>
      <c r="I198" s="1"/>
    </row>
    <row r="199" ht="15.75" customHeight="1">
      <c r="A199" s="36"/>
      <c r="B199" s="36"/>
      <c r="C199" s="36"/>
      <c r="D199" s="36"/>
      <c r="E199" s="520"/>
      <c r="F199" s="37"/>
      <c r="G199" s="37"/>
      <c r="H199" s="1"/>
      <c r="I199" s="1"/>
    </row>
    <row r="200" ht="15.75" customHeight="1">
      <c r="A200" s="36"/>
      <c r="B200" s="36"/>
      <c r="C200" s="36"/>
      <c r="D200" s="36"/>
      <c r="E200" s="520"/>
      <c r="F200" s="37"/>
      <c r="G200" s="37"/>
      <c r="H200" s="1"/>
      <c r="I200" s="1"/>
    </row>
    <row r="201" ht="15.75" customHeight="1">
      <c r="A201" s="36"/>
      <c r="B201" s="36"/>
      <c r="C201" s="36"/>
      <c r="D201" s="36"/>
      <c r="E201" s="520"/>
      <c r="F201" s="37"/>
      <c r="G201" s="37"/>
      <c r="H201" s="1"/>
      <c r="I201" s="1"/>
    </row>
    <row r="202" ht="15.75" customHeight="1">
      <c r="A202" s="36"/>
      <c r="B202" s="36"/>
      <c r="C202" s="36"/>
      <c r="D202" s="36"/>
      <c r="E202" s="520"/>
      <c r="F202" s="37"/>
      <c r="G202" s="37"/>
      <c r="H202" s="1"/>
      <c r="I202" s="1"/>
    </row>
    <row r="203" ht="15.75" customHeight="1">
      <c r="A203" s="36"/>
      <c r="B203" s="36"/>
      <c r="C203" s="36"/>
      <c r="D203" s="36"/>
      <c r="E203" s="520"/>
      <c r="F203" s="37"/>
      <c r="G203" s="37"/>
      <c r="H203" s="1"/>
      <c r="I203" s="1"/>
    </row>
    <row r="204" ht="15.75" customHeight="1">
      <c r="A204" s="36"/>
      <c r="B204" s="36"/>
      <c r="C204" s="36"/>
      <c r="D204" s="36"/>
      <c r="E204" s="520"/>
      <c r="F204" s="37"/>
      <c r="G204" s="37"/>
      <c r="H204" s="1"/>
      <c r="I204" s="1"/>
    </row>
    <row r="205" ht="15.75" customHeight="1">
      <c r="A205" s="36"/>
      <c r="B205" s="36"/>
      <c r="C205" s="36"/>
      <c r="D205" s="36"/>
      <c r="E205" s="520"/>
      <c r="F205" s="37"/>
      <c r="G205" s="37"/>
      <c r="H205" s="1"/>
      <c r="I205" s="1"/>
    </row>
    <row r="206" ht="15.75" customHeight="1">
      <c r="A206" s="36"/>
      <c r="B206" s="36"/>
      <c r="C206" s="36"/>
      <c r="D206" s="36"/>
      <c r="E206" s="520"/>
      <c r="F206" s="37"/>
      <c r="G206" s="37"/>
      <c r="H206" s="1"/>
      <c r="I206" s="1"/>
    </row>
    <row r="207" ht="15.75" customHeight="1">
      <c r="A207" s="36"/>
      <c r="B207" s="36"/>
      <c r="C207" s="36"/>
      <c r="D207" s="36"/>
      <c r="E207" s="520"/>
      <c r="F207" s="37"/>
      <c r="G207" s="37"/>
      <c r="H207" s="1"/>
      <c r="I207" s="1"/>
    </row>
    <row r="208" ht="15.75" customHeight="1">
      <c r="A208" s="36"/>
      <c r="B208" s="36"/>
      <c r="C208" s="36"/>
      <c r="D208" s="36"/>
      <c r="E208" s="520"/>
      <c r="F208" s="37"/>
      <c r="G208" s="37"/>
      <c r="H208" s="1"/>
      <c r="I208" s="1"/>
    </row>
    <row r="209" ht="15.75" customHeight="1">
      <c r="A209" s="36"/>
      <c r="B209" s="36"/>
      <c r="C209" s="36"/>
      <c r="D209" s="36"/>
      <c r="E209" s="520"/>
      <c r="F209" s="37"/>
      <c r="G209" s="37"/>
      <c r="H209" s="1"/>
      <c r="I209" s="1"/>
    </row>
    <row r="210" ht="15.75" customHeight="1">
      <c r="A210" s="36"/>
      <c r="B210" s="36"/>
      <c r="C210" s="36"/>
      <c r="D210" s="36"/>
      <c r="E210" s="520"/>
      <c r="F210" s="37"/>
      <c r="G210" s="37"/>
      <c r="H210" s="1"/>
      <c r="I210" s="1"/>
    </row>
    <row r="211" ht="15.75" customHeight="1">
      <c r="A211" s="36"/>
      <c r="B211" s="36"/>
      <c r="C211" s="36"/>
      <c r="D211" s="36"/>
      <c r="E211" s="520"/>
      <c r="F211" s="37"/>
      <c r="G211" s="37"/>
      <c r="H211" s="1"/>
      <c r="I211" s="1"/>
    </row>
    <row r="212" ht="15.75" customHeight="1">
      <c r="A212" s="36"/>
      <c r="B212" s="36"/>
      <c r="C212" s="36"/>
      <c r="D212" s="36"/>
      <c r="E212" s="520"/>
      <c r="F212" s="37"/>
      <c r="G212" s="37"/>
      <c r="H212" s="1"/>
      <c r="I212" s="1"/>
    </row>
    <row r="213" ht="15.75" customHeight="1">
      <c r="A213" s="36"/>
      <c r="B213" s="36"/>
      <c r="C213" s="36"/>
      <c r="D213" s="36"/>
      <c r="E213" s="520"/>
      <c r="F213" s="37"/>
      <c r="G213" s="37"/>
      <c r="H213" s="1"/>
      <c r="I213" s="1"/>
    </row>
    <row r="214" ht="15.75" customHeight="1">
      <c r="A214" s="36"/>
      <c r="B214" s="36"/>
      <c r="C214" s="36"/>
      <c r="D214" s="36"/>
      <c r="E214" s="520"/>
      <c r="F214" s="37"/>
      <c r="G214" s="37"/>
      <c r="H214" s="1"/>
      <c r="I214" s="1"/>
    </row>
    <row r="215" ht="15.75" customHeight="1">
      <c r="A215" s="36"/>
      <c r="B215" s="36"/>
      <c r="C215" s="36"/>
      <c r="D215" s="36"/>
      <c r="E215" s="520"/>
      <c r="F215" s="37"/>
      <c r="G215" s="37"/>
      <c r="H215" s="1"/>
      <c r="I215" s="1"/>
    </row>
    <row r="216" ht="15.75" customHeight="1">
      <c r="A216" s="36"/>
      <c r="B216" s="36"/>
      <c r="C216" s="36"/>
      <c r="D216" s="36"/>
      <c r="E216" s="520"/>
      <c r="F216" s="37"/>
      <c r="G216" s="37"/>
      <c r="H216" s="1"/>
      <c r="I216" s="1"/>
    </row>
    <row r="217" ht="15.75" customHeight="1">
      <c r="A217" s="36"/>
      <c r="B217" s="36"/>
      <c r="C217" s="36"/>
      <c r="D217" s="36"/>
      <c r="E217" s="520"/>
      <c r="F217" s="37"/>
      <c r="G217" s="37"/>
      <c r="H217" s="1"/>
      <c r="I217" s="1"/>
    </row>
    <row r="218" ht="15.75" customHeight="1">
      <c r="A218" s="36"/>
      <c r="B218" s="36"/>
      <c r="C218" s="36"/>
      <c r="D218" s="36"/>
      <c r="E218" s="520"/>
      <c r="F218" s="37"/>
      <c r="G218" s="37"/>
      <c r="H218" s="1"/>
      <c r="I218" s="1"/>
    </row>
    <row r="219" ht="15.75" customHeight="1">
      <c r="A219" s="36"/>
      <c r="B219" s="36"/>
      <c r="C219" s="36"/>
      <c r="D219" s="36"/>
      <c r="E219" s="520"/>
      <c r="F219" s="37"/>
      <c r="G219" s="37"/>
      <c r="H219" s="1"/>
      <c r="I219" s="1"/>
    </row>
    <row r="220" ht="15.75" customHeight="1">
      <c r="A220" s="36"/>
      <c r="B220" s="36"/>
      <c r="C220" s="36"/>
      <c r="D220" s="36"/>
      <c r="E220" s="520"/>
      <c r="F220" s="37"/>
      <c r="G220" s="37"/>
      <c r="H220" s="1"/>
      <c r="I220" s="1"/>
    </row>
    <row r="221" ht="15.75" customHeight="1">
      <c r="A221" s="36"/>
      <c r="B221" s="36"/>
      <c r="C221" s="36"/>
      <c r="D221" s="36"/>
      <c r="E221" s="520"/>
      <c r="F221" s="37"/>
      <c r="G221" s="37"/>
      <c r="H221" s="1"/>
      <c r="I221" s="1"/>
    </row>
    <row r="222" ht="15.75" customHeight="1">
      <c r="A222" s="36"/>
      <c r="B222" s="36"/>
      <c r="C222" s="36"/>
      <c r="D222" s="36"/>
      <c r="E222" s="520"/>
      <c r="F222" s="37"/>
      <c r="G222" s="37"/>
      <c r="H222" s="1"/>
      <c r="I222" s="1"/>
    </row>
    <row r="223" ht="15.75" customHeight="1">
      <c r="A223" s="36"/>
      <c r="B223" s="36"/>
      <c r="C223" s="36"/>
      <c r="D223" s="36"/>
      <c r="E223" s="520"/>
      <c r="F223" s="37"/>
      <c r="G223" s="37"/>
      <c r="H223" s="1"/>
      <c r="I223" s="1"/>
    </row>
    <row r="224" ht="15.75" customHeight="1">
      <c r="A224" s="36"/>
      <c r="B224" s="36"/>
      <c r="C224" s="36"/>
      <c r="D224" s="36"/>
      <c r="E224" s="520"/>
      <c r="F224" s="37"/>
      <c r="G224" s="37"/>
      <c r="H224" s="1"/>
      <c r="I224" s="1"/>
    </row>
    <row r="225" ht="15.75" customHeight="1">
      <c r="A225" s="36"/>
      <c r="B225" s="36"/>
      <c r="C225" s="36"/>
      <c r="D225" s="36"/>
      <c r="E225" s="520"/>
      <c r="F225" s="37"/>
      <c r="G225" s="37"/>
      <c r="H225" s="1"/>
      <c r="I225" s="1"/>
    </row>
    <row r="226" ht="15.75" customHeight="1">
      <c r="A226" s="36"/>
      <c r="B226" s="36"/>
      <c r="C226" s="36"/>
      <c r="D226" s="36"/>
      <c r="E226" s="520"/>
      <c r="F226" s="37"/>
      <c r="G226" s="37"/>
      <c r="H226" s="1"/>
      <c r="I226" s="1"/>
    </row>
    <row r="227" ht="15.75" customHeight="1">
      <c r="A227" s="36"/>
      <c r="B227" s="36"/>
      <c r="C227" s="36"/>
      <c r="D227" s="36"/>
      <c r="E227" s="520"/>
      <c r="F227" s="37"/>
      <c r="G227" s="37"/>
      <c r="H227" s="1"/>
      <c r="I227" s="1"/>
    </row>
    <row r="228" ht="15.75" customHeight="1">
      <c r="A228" s="36"/>
      <c r="B228" s="36"/>
      <c r="C228" s="36"/>
      <c r="D228" s="36"/>
      <c r="E228" s="520"/>
      <c r="F228" s="37"/>
      <c r="G228" s="37"/>
      <c r="H228" s="1"/>
      <c r="I228" s="1"/>
    </row>
    <row r="229" ht="15.75" customHeight="1">
      <c r="A229" s="36"/>
      <c r="B229" s="36"/>
      <c r="C229" s="36"/>
      <c r="D229" s="36"/>
      <c r="E229" s="520"/>
      <c r="F229" s="37"/>
      <c r="G229" s="37"/>
      <c r="H229" s="1"/>
      <c r="I229" s="1"/>
    </row>
    <row r="230" ht="15.75" customHeight="1">
      <c r="A230" s="36"/>
      <c r="B230" s="36"/>
      <c r="C230" s="36"/>
      <c r="D230" s="36"/>
      <c r="E230" s="520"/>
      <c r="F230" s="37"/>
      <c r="G230" s="37"/>
      <c r="H230" s="1"/>
      <c r="I230" s="1"/>
    </row>
    <row r="231" ht="15.75" customHeight="1">
      <c r="A231" s="36"/>
      <c r="B231" s="36"/>
      <c r="C231" s="36"/>
      <c r="D231" s="36"/>
      <c r="E231" s="520"/>
      <c r="F231" s="37"/>
      <c r="G231" s="37"/>
      <c r="H231" s="1"/>
      <c r="I231" s="1"/>
    </row>
    <row r="232" ht="15.75" customHeight="1">
      <c r="A232" s="36"/>
      <c r="B232" s="36"/>
      <c r="C232" s="36"/>
      <c r="D232" s="36"/>
      <c r="E232" s="520"/>
      <c r="F232" s="37"/>
      <c r="G232" s="37"/>
      <c r="H232" s="1"/>
      <c r="I232" s="1"/>
    </row>
    <row r="233" ht="15.75" customHeight="1">
      <c r="A233" s="36"/>
      <c r="B233" s="36"/>
      <c r="C233" s="36"/>
      <c r="D233" s="36"/>
      <c r="E233" s="520"/>
      <c r="F233" s="37"/>
      <c r="G233" s="37"/>
      <c r="H233" s="1"/>
      <c r="I233" s="1"/>
    </row>
    <row r="234" ht="15.75" customHeight="1">
      <c r="A234" s="36"/>
      <c r="B234" s="36"/>
      <c r="C234" s="36"/>
      <c r="D234" s="36"/>
      <c r="E234" s="520"/>
      <c r="F234" s="37"/>
      <c r="G234" s="37"/>
      <c r="H234" s="1"/>
      <c r="I234" s="1"/>
    </row>
    <row r="235" ht="15.75" customHeight="1">
      <c r="A235" s="36"/>
      <c r="B235" s="36"/>
      <c r="C235" s="36"/>
      <c r="D235" s="36"/>
      <c r="E235" s="520"/>
      <c r="F235" s="37"/>
      <c r="G235" s="37"/>
      <c r="H235" s="1"/>
      <c r="I235" s="1"/>
    </row>
    <row r="236" ht="15.75" customHeight="1">
      <c r="A236" s="36"/>
      <c r="B236" s="36"/>
      <c r="C236" s="36"/>
      <c r="D236" s="36"/>
      <c r="E236" s="520"/>
      <c r="F236" s="37"/>
      <c r="G236" s="37"/>
      <c r="H236" s="1"/>
      <c r="I236" s="1"/>
    </row>
    <row r="237" ht="15.75" customHeight="1">
      <c r="A237" s="36"/>
      <c r="B237" s="36"/>
      <c r="C237" s="36"/>
      <c r="D237" s="36"/>
      <c r="E237" s="520"/>
      <c r="F237" s="37"/>
      <c r="G237" s="37"/>
      <c r="H237" s="1"/>
      <c r="I237" s="1"/>
    </row>
    <row r="238" ht="15.75" customHeight="1">
      <c r="A238" s="36"/>
      <c r="B238" s="36"/>
      <c r="C238" s="36"/>
      <c r="D238" s="36"/>
      <c r="E238" s="520"/>
      <c r="F238" s="37"/>
      <c r="G238" s="37"/>
      <c r="H238" s="1"/>
      <c r="I238" s="1"/>
    </row>
    <row r="239" ht="15.75" customHeight="1">
      <c r="A239" s="36"/>
      <c r="B239" s="36"/>
      <c r="C239" s="36"/>
      <c r="D239" s="36"/>
      <c r="E239" s="520"/>
      <c r="F239" s="37"/>
      <c r="G239" s="37"/>
      <c r="H239" s="1"/>
      <c r="I239" s="1"/>
    </row>
    <row r="240" ht="15.75" customHeight="1">
      <c r="A240" s="36"/>
      <c r="B240" s="36"/>
      <c r="C240" s="36"/>
      <c r="D240" s="36"/>
      <c r="E240" s="520"/>
      <c r="F240" s="37"/>
      <c r="G240" s="37"/>
      <c r="H240" s="1"/>
      <c r="I240" s="1"/>
    </row>
    <row r="241" ht="15.75" customHeight="1">
      <c r="A241" s="36"/>
      <c r="B241" s="36"/>
      <c r="C241" s="36"/>
      <c r="D241" s="36"/>
      <c r="E241" s="520"/>
      <c r="F241" s="37"/>
      <c r="G241" s="37"/>
      <c r="H241" s="1"/>
      <c r="I241" s="1"/>
    </row>
    <row r="242" ht="15.75" customHeight="1">
      <c r="A242" s="36"/>
      <c r="B242" s="36"/>
      <c r="C242" s="36"/>
      <c r="D242" s="36"/>
      <c r="E242" s="520"/>
      <c r="F242" s="37"/>
      <c r="G242" s="37"/>
      <c r="H242" s="1"/>
      <c r="I242" s="1"/>
    </row>
    <row r="243" ht="15.75" customHeight="1">
      <c r="A243" s="36"/>
      <c r="B243" s="36"/>
      <c r="C243" s="36"/>
      <c r="D243" s="36"/>
      <c r="E243" s="520"/>
      <c r="F243" s="37"/>
      <c r="G243" s="37"/>
      <c r="H243" s="1"/>
      <c r="I243" s="1"/>
    </row>
    <row r="244" ht="15.75" customHeight="1">
      <c r="A244" s="36"/>
      <c r="B244" s="36"/>
      <c r="C244" s="36"/>
      <c r="D244" s="36"/>
      <c r="E244" s="520"/>
      <c r="F244" s="37"/>
      <c r="G244" s="37"/>
      <c r="H244" s="1"/>
      <c r="I244" s="1"/>
    </row>
    <row r="245" ht="15.75" customHeight="1">
      <c r="A245" s="36"/>
      <c r="B245" s="36"/>
      <c r="C245" s="36"/>
      <c r="D245" s="36"/>
      <c r="E245" s="520"/>
      <c r="F245" s="37"/>
      <c r="G245" s="37"/>
      <c r="H245" s="1"/>
      <c r="I245" s="1"/>
    </row>
    <row r="246" ht="15.75" customHeight="1">
      <c r="A246" s="36"/>
      <c r="B246" s="36"/>
      <c r="C246" s="36"/>
      <c r="D246" s="36"/>
      <c r="E246" s="520"/>
      <c r="F246" s="37"/>
      <c r="G246" s="37"/>
      <c r="H246" s="1"/>
      <c r="I246" s="1"/>
    </row>
    <row r="247" ht="15.75" customHeight="1">
      <c r="A247" s="36"/>
      <c r="B247" s="36"/>
      <c r="C247" s="36"/>
      <c r="D247" s="36"/>
      <c r="E247" s="520"/>
      <c r="F247" s="37"/>
      <c r="G247" s="37"/>
      <c r="H247" s="1"/>
      <c r="I247" s="1"/>
    </row>
    <row r="248" ht="15.75" customHeight="1">
      <c r="A248" s="36"/>
      <c r="B248" s="36"/>
      <c r="C248" s="36"/>
      <c r="D248" s="36"/>
      <c r="E248" s="520"/>
      <c r="F248" s="37"/>
      <c r="G248" s="37"/>
      <c r="H248" s="1"/>
      <c r="I248" s="1"/>
    </row>
    <row r="249" ht="15.75" customHeight="1">
      <c r="A249" s="36"/>
      <c r="B249" s="36"/>
      <c r="C249" s="36"/>
      <c r="D249" s="36"/>
      <c r="E249" s="520"/>
      <c r="F249" s="37"/>
      <c r="G249" s="37"/>
      <c r="H249" s="1"/>
      <c r="I249" s="1"/>
    </row>
    <row r="250" ht="15.75" customHeight="1">
      <c r="A250" s="36"/>
      <c r="B250" s="36"/>
      <c r="C250" s="36"/>
      <c r="D250" s="36"/>
      <c r="E250" s="520"/>
      <c r="F250" s="37"/>
      <c r="G250" s="37"/>
      <c r="H250" s="1"/>
      <c r="I250" s="1"/>
    </row>
    <row r="251" ht="15.75" customHeight="1">
      <c r="A251" s="36"/>
      <c r="B251" s="36"/>
      <c r="C251" s="36"/>
      <c r="D251" s="36"/>
      <c r="E251" s="520"/>
      <c r="F251" s="37"/>
      <c r="G251" s="37"/>
      <c r="H251" s="1"/>
      <c r="I251" s="1"/>
    </row>
    <row r="252" ht="15.75" customHeight="1">
      <c r="A252" s="36"/>
      <c r="B252" s="36"/>
      <c r="C252" s="36"/>
      <c r="D252" s="36"/>
      <c r="E252" s="520"/>
      <c r="F252" s="37"/>
      <c r="G252" s="37"/>
      <c r="H252" s="1"/>
      <c r="I252" s="1"/>
    </row>
    <row r="253" ht="15.75" customHeight="1">
      <c r="A253" s="36"/>
      <c r="B253" s="36"/>
      <c r="C253" s="36"/>
      <c r="D253" s="36"/>
      <c r="E253" s="520"/>
      <c r="F253" s="37"/>
      <c r="G253" s="37"/>
      <c r="H253" s="1"/>
      <c r="I253" s="1"/>
    </row>
    <row r="254" ht="15.75" customHeight="1">
      <c r="A254" s="36"/>
      <c r="B254" s="36"/>
      <c r="C254" s="36"/>
      <c r="D254" s="36"/>
      <c r="E254" s="520"/>
      <c r="F254" s="37"/>
      <c r="G254" s="37"/>
      <c r="H254" s="1"/>
      <c r="I254" s="1"/>
    </row>
    <row r="255" ht="15.75" customHeight="1">
      <c r="A255" s="36"/>
      <c r="B255" s="36"/>
      <c r="C255" s="36"/>
      <c r="D255" s="36"/>
      <c r="E255" s="520"/>
      <c r="F255" s="37"/>
      <c r="G255" s="37"/>
      <c r="H255" s="1"/>
      <c r="I255" s="1"/>
    </row>
    <row r="256" ht="15.75" customHeight="1">
      <c r="A256" s="36"/>
      <c r="B256" s="36"/>
      <c r="C256" s="36"/>
      <c r="D256" s="36"/>
      <c r="E256" s="520"/>
      <c r="F256" s="37"/>
      <c r="G256" s="37"/>
      <c r="H256" s="1"/>
      <c r="I256" s="1"/>
    </row>
    <row r="257" ht="15.75" customHeight="1">
      <c r="A257" s="36"/>
      <c r="B257" s="36"/>
      <c r="C257" s="36"/>
      <c r="D257" s="36"/>
      <c r="E257" s="520"/>
      <c r="F257" s="37"/>
      <c r="G257" s="37"/>
      <c r="H257" s="1"/>
      <c r="I257" s="1"/>
    </row>
    <row r="258" ht="15.75" customHeight="1">
      <c r="A258" s="36"/>
      <c r="B258" s="36"/>
      <c r="C258" s="36"/>
      <c r="D258" s="36"/>
      <c r="E258" s="520"/>
      <c r="F258" s="37"/>
      <c r="G258" s="37"/>
      <c r="H258" s="1"/>
      <c r="I258" s="1"/>
    </row>
    <row r="259" ht="15.75" customHeight="1">
      <c r="A259" s="36"/>
      <c r="B259" s="36"/>
      <c r="C259" s="36"/>
      <c r="D259" s="36"/>
      <c r="E259" s="520"/>
      <c r="F259" s="37"/>
      <c r="G259" s="37"/>
      <c r="H259" s="1"/>
      <c r="I259" s="1"/>
    </row>
    <row r="260" ht="15.75" customHeight="1">
      <c r="A260" s="36"/>
      <c r="B260" s="36"/>
      <c r="C260" s="36"/>
      <c r="D260" s="36"/>
      <c r="E260" s="520"/>
      <c r="F260" s="37"/>
      <c r="G260" s="37"/>
      <c r="H260" s="1"/>
      <c r="I260" s="1"/>
    </row>
    <row r="261" ht="15.75" customHeight="1">
      <c r="A261" s="36"/>
      <c r="B261" s="36"/>
      <c r="C261" s="36"/>
      <c r="D261" s="36"/>
      <c r="E261" s="520"/>
      <c r="F261" s="37"/>
      <c r="G261" s="37"/>
      <c r="H261" s="1"/>
      <c r="I261" s="1"/>
    </row>
    <row r="262" ht="15.75" customHeight="1">
      <c r="A262" s="36"/>
      <c r="B262" s="36"/>
      <c r="C262" s="36"/>
      <c r="D262" s="36"/>
      <c r="E262" s="520"/>
      <c r="F262" s="37"/>
      <c r="G262" s="37"/>
      <c r="H262" s="1"/>
      <c r="I262" s="1"/>
    </row>
    <row r="263" ht="15.75" customHeight="1">
      <c r="A263" s="36"/>
      <c r="B263" s="36"/>
      <c r="C263" s="36"/>
      <c r="D263" s="36"/>
      <c r="E263" s="520"/>
      <c r="F263" s="37"/>
      <c r="G263" s="37"/>
      <c r="H263" s="1"/>
      <c r="I263" s="1"/>
    </row>
    <row r="264" ht="15.75" customHeight="1">
      <c r="A264" s="36"/>
      <c r="B264" s="36"/>
      <c r="C264" s="36"/>
      <c r="D264" s="36"/>
      <c r="E264" s="520"/>
      <c r="F264" s="37"/>
      <c r="G264" s="37"/>
      <c r="H264" s="1"/>
      <c r="I264" s="1"/>
    </row>
    <row r="265" ht="15.75" customHeight="1">
      <c r="A265" s="36"/>
      <c r="B265" s="36"/>
      <c r="C265" s="36"/>
      <c r="D265" s="36"/>
      <c r="E265" s="520"/>
      <c r="F265" s="37"/>
      <c r="G265" s="37"/>
      <c r="H265" s="1"/>
      <c r="I265" s="1"/>
    </row>
    <row r="266" ht="15.75" customHeight="1">
      <c r="A266" s="36"/>
      <c r="B266" s="36"/>
      <c r="C266" s="36"/>
      <c r="D266" s="36"/>
      <c r="E266" s="520"/>
      <c r="F266" s="37"/>
      <c r="G266" s="37"/>
      <c r="H266" s="1"/>
      <c r="I266" s="1"/>
    </row>
    <row r="267" ht="15.75" customHeight="1">
      <c r="A267" s="36"/>
      <c r="B267" s="36"/>
      <c r="C267" s="36"/>
      <c r="D267" s="36"/>
      <c r="E267" s="520"/>
      <c r="F267" s="37"/>
      <c r="G267" s="37"/>
      <c r="H267" s="1"/>
      <c r="I267" s="1"/>
    </row>
    <row r="268" ht="15.75" customHeight="1">
      <c r="A268" s="36"/>
      <c r="B268" s="36"/>
      <c r="C268" s="36"/>
      <c r="D268" s="36"/>
      <c r="E268" s="520"/>
      <c r="F268" s="37"/>
      <c r="G268" s="37"/>
      <c r="H268" s="1"/>
      <c r="I268" s="1"/>
    </row>
    <row r="269" ht="15.75" customHeight="1">
      <c r="A269" s="36"/>
      <c r="B269" s="36"/>
      <c r="C269" s="36"/>
      <c r="D269" s="36"/>
      <c r="E269" s="520"/>
      <c r="F269" s="37"/>
      <c r="G269" s="37"/>
      <c r="H269" s="1"/>
      <c r="I269" s="1"/>
    </row>
    <row r="270" ht="15.75" customHeight="1">
      <c r="A270" s="36"/>
      <c r="B270" s="36"/>
      <c r="C270" s="36"/>
      <c r="D270" s="36"/>
      <c r="E270" s="520"/>
      <c r="F270" s="37"/>
      <c r="G270" s="37"/>
      <c r="H270" s="1"/>
      <c r="I270" s="1"/>
    </row>
    <row r="271" ht="15.75" customHeight="1">
      <c r="A271" s="36"/>
      <c r="B271" s="36"/>
      <c r="C271" s="36"/>
      <c r="D271" s="36"/>
      <c r="E271" s="520"/>
      <c r="F271" s="37"/>
      <c r="G271" s="37"/>
      <c r="H271" s="1"/>
      <c r="I271" s="1"/>
    </row>
    <row r="272" ht="15.75" customHeight="1">
      <c r="A272" s="36"/>
      <c r="B272" s="36"/>
      <c r="C272" s="36"/>
      <c r="D272" s="36"/>
      <c r="E272" s="520"/>
      <c r="F272" s="37"/>
      <c r="G272" s="37"/>
      <c r="H272" s="1"/>
      <c r="I272" s="1"/>
    </row>
    <row r="273" ht="15.75" customHeight="1">
      <c r="A273" s="36"/>
      <c r="B273" s="36"/>
      <c r="C273" s="36"/>
      <c r="D273" s="36"/>
      <c r="E273" s="520"/>
      <c r="F273" s="37"/>
      <c r="G273" s="37"/>
      <c r="H273" s="1"/>
      <c r="I273" s="1"/>
    </row>
    <row r="274" ht="15.75" customHeight="1">
      <c r="A274" s="36"/>
      <c r="B274" s="36"/>
      <c r="C274" s="36"/>
      <c r="D274" s="36"/>
      <c r="E274" s="520"/>
      <c r="F274" s="37"/>
      <c r="G274" s="37"/>
      <c r="H274" s="1"/>
      <c r="I274" s="1"/>
    </row>
    <row r="275" ht="15.75" customHeight="1">
      <c r="A275" s="36"/>
      <c r="B275" s="36"/>
      <c r="C275" s="36"/>
      <c r="D275" s="36"/>
      <c r="E275" s="520"/>
      <c r="F275" s="37"/>
      <c r="G275" s="37"/>
      <c r="H275" s="1"/>
      <c r="I275" s="1"/>
    </row>
    <row r="276" ht="15.75" customHeight="1">
      <c r="A276" s="36"/>
      <c r="B276" s="36"/>
      <c r="C276" s="36"/>
      <c r="D276" s="36"/>
      <c r="E276" s="520"/>
      <c r="F276" s="37"/>
      <c r="G276" s="37"/>
      <c r="H276" s="1"/>
      <c r="I276" s="1"/>
    </row>
    <row r="277" ht="15.75" customHeight="1">
      <c r="A277" s="36"/>
      <c r="B277" s="36"/>
      <c r="C277" s="36"/>
      <c r="D277" s="36"/>
      <c r="E277" s="520"/>
      <c r="F277" s="37"/>
      <c r="G277" s="37"/>
      <c r="H277" s="1"/>
      <c r="I277" s="1"/>
    </row>
    <row r="278" ht="15.75" customHeight="1">
      <c r="A278" s="36"/>
      <c r="B278" s="36"/>
      <c r="C278" s="36"/>
      <c r="D278" s="36"/>
      <c r="E278" s="520"/>
      <c r="F278" s="37"/>
      <c r="G278" s="37"/>
      <c r="H278" s="1"/>
      <c r="I278" s="1"/>
    </row>
    <row r="279" ht="15.75" customHeight="1">
      <c r="A279" s="36"/>
      <c r="B279" s="36"/>
      <c r="C279" s="36"/>
      <c r="D279" s="36"/>
      <c r="E279" s="520"/>
      <c r="F279" s="37"/>
      <c r="G279" s="37"/>
      <c r="H279" s="1"/>
      <c r="I279" s="1"/>
    </row>
    <row r="280" ht="15.75" customHeight="1">
      <c r="A280" s="36"/>
      <c r="B280" s="36"/>
      <c r="C280" s="36"/>
      <c r="D280" s="36"/>
      <c r="E280" s="520"/>
      <c r="F280" s="37"/>
      <c r="G280" s="37"/>
      <c r="H280" s="1"/>
      <c r="I280" s="1"/>
    </row>
    <row r="281" ht="15.75" customHeight="1">
      <c r="A281" s="36"/>
      <c r="B281" s="36"/>
      <c r="C281" s="36"/>
      <c r="D281" s="36"/>
      <c r="E281" s="520"/>
      <c r="F281" s="37"/>
      <c r="G281" s="37"/>
      <c r="H281" s="1"/>
      <c r="I281" s="1"/>
    </row>
    <row r="282" ht="15.75" customHeight="1">
      <c r="A282" s="36"/>
      <c r="B282" s="36"/>
      <c r="C282" s="36"/>
      <c r="D282" s="36"/>
      <c r="E282" s="520"/>
      <c r="F282" s="37"/>
      <c r="G282" s="37"/>
      <c r="H282" s="1"/>
      <c r="I282" s="1"/>
    </row>
    <row r="283" ht="15.75" customHeight="1">
      <c r="A283" s="36"/>
      <c r="B283" s="36"/>
      <c r="C283" s="36"/>
      <c r="D283" s="36"/>
      <c r="E283" s="520"/>
      <c r="F283" s="37"/>
      <c r="G283" s="37"/>
      <c r="H283" s="1"/>
      <c r="I283" s="1"/>
    </row>
    <row r="284" ht="15.75" customHeight="1">
      <c r="A284" s="36"/>
      <c r="B284" s="36"/>
      <c r="C284" s="36"/>
      <c r="D284" s="36"/>
      <c r="E284" s="520"/>
      <c r="F284" s="37"/>
      <c r="G284" s="37"/>
      <c r="H284" s="1"/>
      <c r="I284" s="1"/>
    </row>
    <row r="285" ht="15.75" customHeight="1">
      <c r="A285" s="36"/>
      <c r="B285" s="36"/>
      <c r="C285" s="36"/>
      <c r="D285" s="36"/>
      <c r="E285" s="520"/>
      <c r="F285" s="37"/>
      <c r="G285" s="37"/>
      <c r="H285" s="1"/>
      <c r="I285" s="1"/>
    </row>
    <row r="286" ht="15.75" customHeight="1">
      <c r="A286" s="36"/>
      <c r="B286" s="36"/>
      <c r="C286" s="36"/>
      <c r="D286" s="36"/>
      <c r="E286" s="520"/>
      <c r="F286" s="37"/>
      <c r="G286" s="37"/>
      <c r="H286" s="1"/>
      <c r="I286" s="1"/>
    </row>
    <row r="287" ht="15.75" customHeight="1">
      <c r="A287" s="36"/>
      <c r="B287" s="36"/>
      <c r="C287" s="36"/>
      <c r="D287" s="36"/>
      <c r="E287" s="520"/>
      <c r="F287" s="37"/>
      <c r="G287" s="37"/>
      <c r="H287" s="1"/>
      <c r="I287" s="1"/>
    </row>
    <row r="288" ht="15.75" customHeight="1">
      <c r="A288" s="36"/>
      <c r="B288" s="36"/>
      <c r="C288" s="36"/>
      <c r="D288" s="36"/>
      <c r="E288" s="520"/>
      <c r="F288" s="37"/>
      <c r="G288" s="37"/>
      <c r="H288" s="1"/>
      <c r="I288" s="1"/>
    </row>
    <row r="289" ht="15.75" customHeight="1">
      <c r="A289" s="36"/>
      <c r="B289" s="36"/>
      <c r="C289" s="36"/>
      <c r="D289" s="36"/>
      <c r="E289" s="520"/>
      <c r="F289" s="37"/>
      <c r="G289" s="37"/>
      <c r="H289" s="1"/>
      <c r="I289" s="1"/>
    </row>
    <row r="290" ht="15.75" customHeight="1">
      <c r="A290" s="36"/>
      <c r="B290" s="36"/>
      <c r="C290" s="36"/>
      <c r="D290" s="36"/>
      <c r="E290" s="520"/>
      <c r="F290" s="37"/>
      <c r="G290" s="37"/>
      <c r="H290" s="1"/>
      <c r="I290" s="1"/>
    </row>
    <row r="291" ht="15.75" customHeight="1">
      <c r="A291" s="36"/>
      <c r="B291" s="36"/>
      <c r="C291" s="36"/>
      <c r="D291" s="36"/>
      <c r="E291" s="520"/>
      <c r="F291" s="37"/>
      <c r="G291" s="37"/>
      <c r="H291" s="1"/>
      <c r="I291" s="1"/>
    </row>
    <row r="292" ht="15.75" customHeight="1">
      <c r="A292" s="36"/>
      <c r="B292" s="36"/>
      <c r="C292" s="36"/>
      <c r="D292" s="36"/>
      <c r="E292" s="520"/>
      <c r="F292" s="37"/>
      <c r="G292" s="37"/>
      <c r="H292" s="1"/>
      <c r="I292" s="1"/>
    </row>
    <row r="293" ht="15.75" customHeight="1">
      <c r="A293" s="36"/>
      <c r="B293" s="36"/>
      <c r="C293" s="36"/>
      <c r="D293" s="36"/>
      <c r="E293" s="520"/>
      <c r="F293" s="37"/>
      <c r="G293" s="37"/>
      <c r="H293" s="1"/>
      <c r="I293" s="1"/>
    </row>
    <row r="294" ht="15.75" customHeight="1">
      <c r="A294" s="36"/>
      <c r="B294" s="36"/>
      <c r="C294" s="36"/>
      <c r="D294" s="36"/>
      <c r="E294" s="520"/>
      <c r="F294" s="37"/>
      <c r="G294" s="37"/>
      <c r="H294" s="1"/>
      <c r="I294" s="1"/>
    </row>
    <row r="295" ht="15.75" customHeight="1">
      <c r="A295" s="36"/>
      <c r="B295" s="36"/>
      <c r="C295" s="36"/>
      <c r="D295" s="36"/>
      <c r="E295" s="520"/>
      <c r="F295" s="37"/>
      <c r="G295" s="37"/>
      <c r="H295" s="1"/>
      <c r="I295" s="1"/>
    </row>
    <row r="296" ht="15.75" customHeight="1">
      <c r="A296" s="36"/>
      <c r="B296" s="36"/>
      <c r="C296" s="36"/>
      <c r="D296" s="36"/>
      <c r="E296" s="520"/>
      <c r="F296" s="37"/>
      <c r="G296" s="37"/>
      <c r="H296" s="1"/>
      <c r="I296" s="1"/>
    </row>
    <row r="297" ht="15.75" customHeight="1">
      <c r="A297" s="36"/>
      <c r="B297" s="36"/>
      <c r="C297" s="36"/>
      <c r="D297" s="36"/>
      <c r="E297" s="520"/>
      <c r="F297" s="37"/>
      <c r="G297" s="37"/>
      <c r="H297" s="1"/>
      <c r="I297" s="1"/>
    </row>
    <row r="298" ht="15.75" customHeight="1">
      <c r="A298" s="36"/>
      <c r="B298" s="36"/>
      <c r="C298" s="36"/>
      <c r="D298" s="36"/>
      <c r="E298" s="520"/>
      <c r="F298" s="37"/>
      <c r="G298" s="37"/>
      <c r="H298" s="1"/>
      <c r="I298" s="1"/>
    </row>
    <row r="299" ht="15.75" customHeight="1">
      <c r="A299" s="36"/>
      <c r="B299" s="36"/>
      <c r="C299" s="36"/>
      <c r="D299" s="36"/>
      <c r="E299" s="520"/>
      <c r="F299" s="37"/>
      <c r="G299" s="37"/>
      <c r="H299" s="1"/>
      <c r="I299" s="1"/>
    </row>
    <row r="300" ht="15.75" customHeight="1">
      <c r="A300" s="36"/>
      <c r="B300" s="36"/>
      <c r="C300" s="36"/>
      <c r="D300" s="36"/>
      <c r="E300" s="520"/>
      <c r="F300" s="37"/>
      <c r="G300" s="37"/>
      <c r="H300" s="1"/>
      <c r="I300" s="1"/>
    </row>
    <row r="301" ht="15.75" customHeight="1">
      <c r="A301" s="36"/>
      <c r="B301" s="36"/>
      <c r="C301" s="36"/>
      <c r="D301" s="36"/>
      <c r="E301" s="520"/>
      <c r="F301" s="37"/>
      <c r="G301" s="37"/>
      <c r="H301" s="1"/>
      <c r="I301" s="1"/>
    </row>
    <row r="302" ht="15.75" customHeight="1">
      <c r="A302" s="36"/>
      <c r="B302" s="36"/>
      <c r="C302" s="36"/>
      <c r="D302" s="36"/>
      <c r="E302" s="520"/>
      <c r="F302" s="37"/>
      <c r="G302" s="37"/>
      <c r="H302" s="1"/>
      <c r="I302" s="1"/>
    </row>
    <row r="303" ht="15.75" customHeight="1">
      <c r="A303" s="36"/>
      <c r="B303" s="36"/>
      <c r="C303" s="36"/>
      <c r="D303" s="36"/>
      <c r="E303" s="520"/>
      <c r="F303" s="37"/>
      <c r="G303" s="37"/>
      <c r="H303" s="1"/>
      <c r="I303" s="1"/>
    </row>
    <row r="304" ht="15.75" customHeight="1">
      <c r="A304" s="36"/>
      <c r="B304" s="36"/>
      <c r="C304" s="36"/>
      <c r="D304" s="36"/>
      <c r="E304" s="520"/>
      <c r="F304" s="37"/>
      <c r="G304" s="37"/>
      <c r="H304" s="1"/>
      <c r="I304" s="1"/>
    </row>
    <row r="305" ht="15.75" customHeight="1">
      <c r="A305" s="36"/>
      <c r="B305" s="36"/>
      <c r="C305" s="36"/>
      <c r="D305" s="36"/>
      <c r="E305" s="520"/>
      <c r="F305" s="37"/>
      <c r="G305" s="37"/>
      <c r="H305" s="1"/>
      <c r="I305" s="1"/>
    </row>
    <row r="306" ht="15.75" customHeight="1">
      <c r="A306" s="36"/>
      <c r="B306" s="36"/>
      <c r="C306" s="36"/>
      <c r="D306" s="36"/>
      <c r="E306" s="520"/>
      <c r="F306" s="37"/>
      <c r="G306" s="37"/>
      <c r="H306" s="1"/>
      <c r="I306" s="1"/>
    </row>
    <row r="307" ht="15.75" customHeight="1">
      <c r="A307" s="36"/>
      <c r="B307" s="36"/>
      <c r="C307" s="36"/>
      <c r="D307" s="36"/>
      <c r="E307" s="520"/>
      <c r="F307" s="37"/>
      <c r="G307" s="37"/>
      <c r="H307" s="1"/>
      <c r="I307" s="1"/>
    </row>
    <row r="308" ht="15.75" customHeight="1">
      <c r="A308" s="36"/>
      <c r="B308" s="36"/>
      <c r="C308" s="36"/>
      <c r="D308" s="36"/>
      <c r="E308" s="520"/>
      <c r="F308" s="37"/>
      <c r="G308" s="37"/>
      <c r="H308" s="1"/>
      <c r="I308" s="1"/>
    </row>
    <row r="309" ht="15.75" customHeight="1">
      <c r="A309" s="36"/>
      <c r="B309" s="36"/>
      <c r="C309" s="36"/>
      <c r="D309" s="36"/>
      <c r="E309" s="520"/>
      <c r="F309" s="37"/>
      <c r="G309" s="37"/>
      <c r="H309" s="1"/>
      <c r="I309" s="1"/>
    </row>
    <row r="310" ht="15.75" customHeight="1">
      <c r="A310" s="36"/>
      <c r="B310" s="36"/>
      <c r="C310" s="36"/>
      <c r="D310" s="36"/>
      <c r="E310" s="520"/>
      <c r="F310" s="37"/>
      <c r="G310" s="37"/>
      <c r="H310" s="1"/>
      <c r="I310" s="1"/>
    </row>
    <row r="311" ht="15.75" customHeight="1">
      <c r="A311" s="36"/>
      <c r="B311" s="36"/>
      <c r="C311" s="36"/>
      <c r="D311" s="36"/>
      <c r="E311" s="520"/>
      <c r="F311" s="37"/>
      <c r="G311" s="37"/>
      <c r="H311" s="1"/>
      <c r="I311" s="1"/>
    </row>
    <row r="312" ht="15.75" customHeight="1">
      <c r="A312" s="36"/>
      <c r="B312" s="36"/>
      <c r="C312" s="36"/>
      <c r="D312" s="36"/>
      <c r="E312" s="520"/>
      <c r="F312" s="37"/>
      <c r="G312" s="37"/>
      <c r="H312" s="1"/>
      <c r="I312" s="1"/>
    </row>
    <row r="313" ht="15.75" customHeight="1">
      <c r="A313" s="36"/>
      <c r="B313" s="36"/>
      <c r="C313" s="36"/>
      <c r="D313" s="36"/>
      <c r="E313" s="520"/>
      <c r="F313" s="37"/>
      <c r="G313" s="37"/>
      <c r="H313" s="1"/>
      <c r="I313" s="1"/>
    </row>
    <row r="314" ht="15.75" customHeight="1">
      <c r="A314" s="36"/>
      <c r="B314" s="36"/>
      <c r="C314" s="36"/>
      <c r="D314" s="36"/>
      <c r="E314" s="520"/>
      <c r="F314" s="37"/>
      <c r="G314" s="37"/>
      <c r="H314" s="1"/>
      <c r="I314" s="1"/>
    </row>
    <row r="315" ht="15.75" customHeight="1">
      <c r="A315" s="36"/>
      <c r="B315" s="36"/>
      <c r="C315" s="36"/>
      <c r="D315" s="36"/>
      <c r="E315" s="520"/>
      <c r="F315" s="37"/>
      <c r="G315" s="37"/>
      <c r="H315" s="1"/>
      <c r="I315" s="1"/>
    </row>
    <row r="316" ht="15.75" customHeight="1">
      <c r="A316" s="36"/>
      <c r="B316" s="36"/>
      <c r="C316" s="36"/>
      <c r="D316" s="36"/>
      <c r="E316" s="520"/>
      <c r="F316" s="37"/>
      <c r="G316" s="37"/>
      <c r="H316" s="1"/>
      <c r="I316" s="1"/>
    </row>
    <row r="317" ht="15.75" customHeight="1">
      <c r="A317" s="36"/>
      <c r="B317" s="36"/>
      <c r="C317" s="36"/>
      <c r="D317" s="36"/>
      <c r="E317" s="520"/>
      <c r="F317" s="37"/>
      <c r="G317" s="37"/>
      <c r="H317" s="1"/>
      <c r="I317" s="1"/>
    </row>
    <row r="318" ht="15.75" customHeight="1">
      <c r="A318" s="36"/>
      <c r="B318" s="36"/>
      <c r="C318" s="36"/>
      <c r="D318" s="36"/>
      <c r="E318" s="520"/>
      <c r="F318" s="37"/>
      <c r="G318" s="37"/>
      <c r="H318" s="1"/>
      <c r="I318" s="1"/>
    </row>
    <row r="319" ht="15.75" customHeight="1">
      <c r="A319" s="36"/>
      <c r="B319" s="36"/>
      <c r="C319" s="36"/>
      <c r="D319" s="36"/>
      <c r="E319" s="520"/>
      <c r="F319" s="37"/>
      <c r="G319" s="37"/>
      <c r="H319" s="1"/>
      <c r="I319" s="1"/>
    </row>
    <row r="320" ht="15.75" customHeight="1">
      <c r="A320" s="36"/>
      <c r="B320" s="36"/>
      <c r="C320" s="36"/>
      <c r="D320" s="36"/>
      <c r="E320" s="520"/>
      <c r="F320" s="37"/>
      <c r="G320" s="37"/>
      <c r="H320" s="1"/>
      <c r="I320" s="1"/>
    </row>
    <row r="321" ht="15.75" customHeight="1">
      <c r="A321" s="36"/>
      <c r="B321" s="36"/>
      <c r="C321" s="36"/>
      <c r="D321" s="36"/>
      <c r="E321" s="520"/>
      <c r="F321" s="37"/>
      <c r="G321" s="37"/>
      <c r="H321" s="1"/>
      <c r="I321" s="1"/>
    </row>
    <row r="322" ht="15.75" customHeight="1">
      <c r="A322" s="36"/>
      <c r="B322" s="36"/>
      <c r="C322" s="36"/>
      <c r="D322" s="36"/>
      <c r="E322" s="520"/>
      <c r="F322" s="37"/>
      <c r="G322" s="37"/>
      <c r="H322" s="1"/>
      <c r="I322" s="1"/>
    </row>
    <row r="323" ht="15.75" customHeight="1">
      <c r="A323" s="36"/>
      <c r="B323" s="36"/>
      <c r="C323" s="36"/>
      <c r="D323" s="36"/>
      <c r="E323" s="520"/>
      <c r="F323" s="37"/>
      <c r="G323" s="37"/>
      <c r="H323" s="1"/>
      <c r="I323" s="1"/>
    </row>
    <row r="324" ht="15.75" customHeight="1">
      <c r="A324" s="36"/>
      <c r="B324" s="36"/>
      <c r="C324" s="36"/>
      <c r="D324" s="36"/>
      <c r="E324" s="520"/>
      <c r="F324" s="37"/>
      <c r="G324" s="37"/>
      <c r="H324" s="1"/>
      <c r="I324" s="1"/>
    </row>
    <row r="325" ht="15.75" customHeight="1">
      <c r="A325" s="36"/>
      <c r="B325" s="36"/>
      <c r="C325" s="36"/>
      <c r="D325" s="36"/>
      <c r="E325" s="520"/>
      <c r="F325" s="37"/>
      <c r="G325" s="37"/>
      <c r="H325" s="1"/>
      <c r="I325" s="1"/>
    </row>
    <row r="326" ht="15.75" customHeight="1">
      <c r="A326" s="36"/>
      <c r="B326" s="36"/>
      <c r="C326" s="36"/>
      <c r="D326" s="36"/>
      <c r="E326" s="520"/>
      <c r="F326" s="37"/>
      <c r="G326" s="37"/>
      <c r="H326" s="1"/>
      <c r="I326" s="1"/>
    </row>
    <row r="327" ht="15.75" customHeight="1">
      <c r="A327" s="36"/>
      <c r="B327" s="36"/>
      <c r="C327" s="36"/>
      <c r="D327" s="36"/>
      <c r="E327" s="520"/>
      <c r="F327" s="37"/>
      <c r="G327" s="37"/>
      <c r="H327" s="1"/>
      <c r="I327" s="1"/>
    </row>
    <row r="328" ht="15.75" customHeight="1">
      <c r="A328" s="36"/>
      <c r="B328" s="36"/>
      <c r="C328" s="36"/>
      <c r="D328" s="36"/>
      <c r="E328" s="520"/>
      <c r="F328" s="37"/>
      <c r="G328" s="37"/>
      <c r="H328" s="1"/>
      <c r="I328" s="1"/>
    </row>
    <row r="329" ht="15.75" customHeight="1">
      <c r="A329" s="36"/>
      <c r="B329" s="36"/>
      <c r="C329" s="36"/>
      <c r="D329" s="36"/>
      <c r="E329" s="520"/>
      <c r="F329" s="37"/>
      <c r="G329" s="37"/>
      <c r="H329" s="1"/>
      <c r="I329" s="1"/>
    </row>
    <row r="330" ht="15.75" customHeight="1">
      <c r="A330" s="36"/>
      <c r="B330" s="36"/>
      <c r="C330" s="36"/>
      <c r="D330" s="36"/>
      <c r="E330" s="520"/>
      <c r="F330" s="37"/>
      <c r="G330" s="37"/>
      <c r="H330" s="1"/>
      <c r="I330" s="1"/>
    </row>
    <row r="331" ht="15.75" customHeight="1">
      <c r="A331" s="36"/>
      <c r="B331" s="36"/>
      <c r="C331" s="36"/>
      <c r="D331" s="36"/>
      <c r="E331" s="520"/>
      <c r="F331" s="37"/>
      <c r="G331" s="37"/>
      <c r="H331" s="1"/>
      <c r="I331" s="1"/>
    </row>
    <row r="332" ht="15.75" customHeight="1">
      <c r="A332" s="36"/>
      <c r="B332" s="36"/>
      <c r="C332" s="36"/>
      <c r="D332" s="36"/>
      <c r="E332" s="520"/>
      <c r="F332" s="37"/>
      <c r="G332" s="37"/>
      <c r="H332" s="1"/>
      <c r="I332" s="1"/>
    </row>
    <row r="333" ht="15.75" customHeight="1">
      <c r="A333" s="36"/>
      <c r="B333" s="36"/>
      <c r="C333" s="36"/>
      <c r="D333" s="36"/>
      <c r="E333" s="520"/>
      <c r="F333" s="37"/>
      <c r="G333" s="37"/>
      <c r="H333" s="1"/>
      <c r="I333" s="1"/>
    </row>
    <row r="334" ht="15.75" customHeight="1">
      <c r="A334" s="36"/>
      <c r="B334" s="36"/>
      <c r="C334" s="36"/>
      <c r="D334" s="36"/>
      <c r="E334" s="520"/>
      <c r="F334" s="37"/>
      <c r="G334" s="37"/>
      <c r="H334" s="1"/>
      <c r="I334" s="1"/>
    </row>
    <row r="335" ht="15.75" customHeight="1">
      <c r="A335" s="36"/>
      <c r="B335" s="36"/>
      <c r="C335" s="36"/>
      <c r="D335" s="36"/>
      <c r="E335" s="520"/>
      <c r="F335" s="37"/>
      <c r="G335" s="37"/>
      <c r="H335" s="1"/>
      <c r="I335" s="1"/>
    </row>
    <row r="336" ht="15.75" customHeight="1">
      <c r="A336" s="36"/>
      <c r="B336" s="36"/>
      <c r="C336" s="36"/>
      <c r="D336" s="36"/>
      <c r="E336" s="520"/>
      <c r="F336" s="37"/>
      <c r="G336" s="37"/>
      <c r="H336" s="1"/>
      <c r="I336" s="1"/>
    </row>
    <row r="337" ht="15.75" customHeight="1">
      <c r="A337" s="36"/>
      <c r="B337" s="36"/>
      <c r="C337" s="36"/>
      <c r="D337" s="36"/>
      <c r="E337" s="520"/>
      <c r="F337" s="37"/>
      <c r="G337" s="37"/>
      <c r="H337" s="1"/>
      <c r="I337" s="1"/>
    </row>
    <row r="338" ht="15.75" customHeight="1">
      <c r="A338" s="36"/>
      <c r="B338" s="36"/>
      <c r="C338" s="36"/>
      <c r="D338" s="36"/>
      <c r="E338" s="520"/>
      <c r="F338" s="37"/>
      <c r="G338" s="37"/>
      <c r="H338" s="1"/>
      <c r="I338" s="1"/>
    </row>
    <row r="339" ht="15.75" customHeight="1">
      <c r="A339" s="36"/>
      <c r="B339" s="36"/>
      <c r="C339" s="36"/>
      <c r="D339" s="36"/>
      <c r="E339" s="520"/>
      <c r="F339" s="37"/>
      <c r="G339" s="37"/>
      <c r="H339" s="1"/>
      <c r="I339" s="1"/>
    </row>
    <row r="340" ht="15.75" customHeight="1">
      <c r="A340" s="36"/>
      <c r="B340" s="36"/>
      <c r="C340" s="36"/>
      <c r="D340" s="36"/>
      <c r="E340" s="520"/>
      <c r="F340" s="37"/>
      <c r="G340" s="37"/>
      <c r="H340" s="1"/>
      <c r="I340" s="1"/>
    </row>
    <row r="341" ht="15.75" customHeight="1">
      <c r="A341" s="36"/>
      <c r="B341" s="36"/>
      <c r="C341" s="36"/>
      <c r="D341" s="36"/>
      <c r="E341" s="520"/>
      <c r="F341" s="37"/>
      <c r="G341" s="37"/>
      <c r="H341" s="1"/>
      <c r="I341" s="1"/>
    </row>
    <row r="342" ht="15.75" customHeight="1">
      <c r="A342" s="36"/>
      <c r="B342" s="36"/>
      <c r="C342" s="36"/>
      <c r="D342" s="36"/>
      <c r="E342" s="520"/>
      <c r="F342" s="37"/>
      <c r="G342" s="37"/>
      <c r="H342" s="1"/>
      <c r="I342" s="1"/>
    </row>
    <row r="343" ht="15.75" customHeight="1">
      <c r="A343" s="36"/>
      <c r="B343" s="36"/>
      <c r="C343" s="36"/>
      <c r="D343" s="36"/>
      <c r="E343" s="520"/>
      <c r="F343" s="37"/>
      <c r="G343" s="37"/>
      <c r="H343" s="1"/>
      <c r="I343" s="1"/>
    </row>
    <row r="344" ht="15.75" customHeight="1">
      <c r="A344" s="36"/>
      <c r="B344" s="36"/>
      <c r="C344" s="36"/>
      <c r="D344" s="36"/>
      <c r="E344" s="520"/>
      <c r="F344" s="37"/>
      <c r="G344" s="37"/>
      <c r="H344" s="1"/>
      <c r="I344" s="1"/>
    </row>
    <row r="345" ht="15.75" customHeight="1">
      <c r="A345" s="36"/>
      <c r="B345" s="36"/>
      <c r="C345" s="36"/>
      <c r="D345" s="36"/>
      <c r="E345" s="520"/>
      <c r="F345" s="37"/>
      <c r="G345" s="37"/>
      <c r="H345" s="1"/>
      <c r="I345" s="1"/>
    </row>
    <row r="346" ht="15.75" customHeight="1">
      <c r="A346" s="36"/>
      <c r="B346" s="36"/>
      <c r="C346" s="36"/>
      <c r="D346" s="36"/>
      <c r="E346" s="520"/>
      <c r="F346" s="37"/>
      <c r="G346" s="37"/>
      <c r="H346" s="1"/>
      <c r="I346" s="1"/>
    </row>
    <row r="347" ht="15.75" customHeight="1">
      <c r="A347" s="36"/>
      <c r="B347" s="36"/>
      <c r="C347" s="36"/>
      <c r="D347" s="36"/>
      <c r="E347" s="520"/>
      <c r="F347" s="37"/>
      <c r="G347" s="37"/>
      <c r="H347" s="1"/>
      <c r="I347" s="1"/>
    </row>
    <row r="348" ht="15.75" customHeight="1">
      <c r="A348" s="36"/>
      <c r="B348" s="36"/>
      <c r="C348" s="36"/>
      <c r="D348" s="36"/>
      <c r="E348" s="520"/>
      <c r="F348" s="37"/>
      <c r="G348" s="37"/>
      <c r="H348" s="1"/>
      <c r="I348" s="1"/>
    </row>
    <row r="349" ht="15.75" customHeight="1">
      <c r="A349" s="36"/>
      <c r="B349" s="36"/>
      <c r="C349" s="36"/>
      <c r="D349" s="36"/>
      <c r="E349" s="520"/>
      <c r="F349" s="37"/>
      <c r="G349" s="37"/>
      <c r="H349" s="1"/>
      <c r="I349" s="1"/>
    </row>
    <row r="350" ht="15.75" customHeight="1">
      <c r="A350" s="36"/>
      <c r="B350" s="36"/>
      <c r="C350" s="36"/>
      <c r="D350" s="36"/>
      <c r="E350" s="520"/>
      <c r="F350" s="37"/>
      <c r="G350" s="37"/>
      <c r="H350" s="1"/>
      <c r="I350" s="1"/>
    </row>
    <row r="351" ht="15.75" customHeight="1">
      <c r="A351" s="36"/>
      <c r="B351" s="36"/>
      <c r="C351" s="36"/>
      <c r="D351" s="36"/>
      <c r="E351" s="520"/>
      <c r="F351" s="37"/>
      <c r="G351" s="37"/>
      <c r="H351" s="1"/>
      <c r="I351" s="1"/>
    </row>
    <row r="352" ht="15.75" customHeight="1">
      <c r="A352" s="36"/>
      <c r="B352" s="36"/>
      <c r="C352" s="36"/>
      <c r="D352" s="36"/>
      <c r="E352" s="520"/>
      <c r="F352" s="37"/>
      <c r="G352" s="37"/>
      <c r="H352" s="1"/>
      <c r="I352" s="1"/>
    </row>
    <row r="353" ht="15.75" customHeight="1">
      <c r="A353" s="36"/>
      <c r="B353" s="36"/>
      <c r="C353" s="36"/>
      <c r="D353" s="36"/>
      <c r="E353" s="520"/>
      <c r="F353" s="37"/>
      <c r="G353" s="37"/>
      <c r="H353" s="1"/>
      <c r="I353" s="1"/>
    </row>
    <row r="354" ht="15.75" customHeight="1">
      <c r="A354" s="36"/>
      <c r="B354" s="36"/>
      <c r="C354" s="36"/>
      <c r="D354" s="36"/>
      <c r="E354" s="520"/>
      <c r="F354" s="37"/>
      <c r="G354" s="37"/>
      <c r="H354" s="1"/>
      <c r="I354" s="1"/>
    </row>
    <row r="355" ht="15.75" customHeight="1">
      <c r="A355" s="36"/>
      <c r="B355" s="36"/>
      <c r="C355" s="36"/>
      <c r="D355" s="36"/>
      <c r="E355" s="520"/>
      <c r="F355" s="37"/>
      <c r="G355" s="37"/>
      <c r="H355" s="1"/>
      <c r="I355" s="1"/>
    </row>
    <row r="356" ht="15.75" customHeight="1">
      <c r="A356" s="36"/>
      <c r="B356" s="36"/>
      <c r="C356" s="36"/>
      <c r="D356" s="36"/>
      <c r="E356" s="520"/>
      <c r="F356" s="37"/>
      <c r="G356" s="37"/>
      <c r="H356" s="1"/>
      <c r="I356" s="1"/>
    </row>
    <row r="357" ht="15.75" customHeight="1">
      <c r="A357" s="36"/>
      <c r="B357" s="36"/>
      <c r="C357" s="36"/>
      <c r="D357" s="36"/>
      <c r="E357" s="520"/>
      <c r="F357" s="37"/>
      <c r="G357" s="37"/>
      <c r="H357" s="1"/>
      <c r="I357" s="1"/>
    </row>
    <row r="358" ht="15.75" customHeight="1">
      <c r="A358" s="36"/>
      <c r="B358" s="36"/>
      <c r="C358" s="36"/>
      <c r="D358" s="36"/>
      <c r="E358" s="520"/>
      <c r="F358" s="37"/>
      <c r="G358" s="37"/>
      <c r="H358" s="1"/>
      <c r="I358" s="1"/>
    </row>
    <row r="359" ht="15.75" customHeight="1">
      <c r="A359" s="36"/>
      <c r="B359" s="36"/>
      <c r="C359" s="36"/>
      <c r="D359" s="36"/>
      <c r="E359" s="520"/>
      <c r="F359" s="37"/>
      <c r="G359" s="37"/>
      <c r="H359" s="1"/>
      <c r="I359" s="1"/>
    </row>
    <row r="360" ht="15.75" customHeight="1">
      <c r="A360" s="36"/>
      <c r="B360" s="36"/>
      <c r="C360" s="36"/>
      <c r="D360" s="36"/>
      <c r="E360" s="520"/>
      <c r="F360" s="37"/>
      <c r="G360" s="37"/>
      <c r="H360" s="1"/>
      <c r="I360" s="1"/>
    </row>
    <row r="361" ht="15.75" customHeight="1">
      <c r="A361" s="36"/>
      <c r="B361" s="36"/>
      <c r="C361" s="36"/>
      <c r="D361" s="36"/>
      <c r="E361" s="520"/>
      <c r="F361" s="37"/>
      <c r="G361" s="37"/>
      <c r="H361" s="1"/>
      <c r="I361" s="1"/>
    </row>
    <row r="362" ht="15.75" customHeight="1">
      <c r="A362" s="36"/>
      <c r="B362" s="36"/>
      <c r="C362" s="36"/>
      <c r="D362" s="36"/>
      <c r="E362" s="520"/>
      <c r="F362" s="37"/>
      <c r="G362" s="37"/>
      <c r="H362" s="1"/>
      <c r="I362" s="1"/>
    </row>
    <row r="363" ht="15.75" customHeight="1">
      <c r="A363" s="36"/>
      <c r="B363" s="36"/>
      <c r="C363" s="36"/>
      <c r="D363" s="36"/>
      <c r="E363" s="520"/>
      <c r="F363" s="37"/>
      <c r="G363" s="37"/>
      <c r="H363" s="1"/>
      <c r="I363" s="1"/>
    </row>
    <row r="364" ht="15.75" customHeight="1">
      <c r="A364" s="36"/>
      <c r="B364" s="36"/>
      <c r="C364" s="36"/>
      <c r="D364" s="36"/>
      <c r="E364" s="520"/>
      <c r="F364" s="37"/>
      <c r="G364" s="37"/>
      <c r="H364" s="1"/>
      <c r="I364" s="1"/>
    </row>
    <row r="365" ht="15.75" customHeight="1">
      <c r="A365" s="36"/>
      <c r="B365" s="36"/>
      <c r="C365" s="36"/>
      <c r="D365" s="36"/>
      <c r="E365" s="520"/>
      <c r="F365" s="37"/>
      <c r="G365" s="37"/>
      <c r="H365" s="1"/>
      <c r="I365" s="1"/>
    </row>
    <row r="366" ht="15.75" customHeight="1">
      <c r="A366" s="36"/>
      <c r="B366" s="36"/>
      <c r="C366" s="36"/>
      <c r="D366" s="36"/>
      <c r="E366" s="520"/>
      <c r="F366" s="37"/>
      <c r="G366" s="37"/>
      <c r="H366" s="1"/>
      <c r="I366" s="1"/>
    </row>
    <row r="367" ht="15.75" customHeight="1">
      <c r="A367" s="36"/>
      <c r="B367" s="36"/>
      <c r="C367" s="36"/>
      <c r="D367" s="36"/>
      <c r="E367" s="520"/>
      <c r="F367" s="37"/>
      <c r="G367" s="37"/>
      <c r="H367" s="1"/>
      <c r="I367" s="1"/>
    </row>
    <row r="368" ht="15.75" customHeight="1">
      <c r="A368" s="36"/>
      <c r="B368" s="36"/>
      <c r="C368" s="36"/>
      <c r="D368" s="36"/>
      <c r="E368" s="520"/>
      <c r="F368" s="37"/>
      <c r="G368" s="37"/>
      <c r="H368" s="1"/>
      <c r="I368" s="1"/>
    </row>
    <row r="369" ht="15.75" customHeight="1">
      <c r="A369" s="36"/>
      <c r="B369" s="36"/>
      <c r="C369" s="36"/>
      <c r="D369" s="36"/>
      <c r="E369" s="520"/>
      <c r="F369" s="37"/>
      <c r="G369" s="37"/>
      <c r="H369" s="1"/>
      <c r="I369" s="1"/>
    </row>
    <row r="370" ht="15.75" customHeight="1">
      <c r="A370" s="36"/>
      <c r="B370" s="36"/>
      <c r="C370" s="36"/>
      <c r="D370" s="36"/>
      <c r="E370" s="520"/>
      <c r="F370" s="37"/>
      <c r="G370" s="37"/>
      <c r="H370" s="1"/>
      <c r="I370" s="1"/>
    </row>
    <row r="371" ht="15.75" customHeight="1">
      <c r="A371" s="36"/>
      <c r="B371" s="36"/>
      <c r="C371" s="36"/>
      <c r="D371" s="36"/>
      <c r="E371" s="520"/>
      <c r="F371" s="37"/>
      <c r="G371" s="37"/>
      <c r="H371" s="1"/>
      <c r="I371" s="1"/>
    </row>
    <row r="372" ht="15.75" customHeight="1">
      <c r="A372" s="36"/>
      <c r="B372" s="36"/>
      <c r="C372" s="36"/>
      <c r="D372" s="36"/>
      <c r="E372" s="520"/>
      <c r="F372" s="37"/>
      <c r="G372" s="37"/>
      <c r="H372" s="1"/>
      <c r="I372" s="1"/>
    </row>
    <row r="373" ht="15.75" customHeight="1">
      <c r="A373" s="36"/>
      <c r="B373" s="36"/>
      <c r="C373" s="36"/>
      <c r="D373" s="36"/>
      <c r="E373" s="520"/>
      <c r="F373" s="37"/>
      <c r="G373" s="37"/>
      <c r="H373" s="1"/>
      <c r="I373" s="1"/>
    </row>
    <row r="374" ht="15.75" customHeight="1">
      <c r="A374" s="36"/>
      <c r="B374" s="36"/>
      <c r="C374" s="36"/>
      <c r="D374" s="36"/>
      <c r="E374" s="520"/>
      <c r="F374" s="37"/>
      <c r="G374" s="37"/>
      <c r="H374" s="1"/>
      <c r="I374" s="1"/>
    </row>
    <row r="375" ht="15.75" customHeight="1">
      <c r="A375" s="36"/>
      <c r="B375" s="36"/>
      <c r="C375" s="36"/>
      <c r="D375" s="36"/>
      <c r="E375" s="520"/>
      <c r="F375" s="37"/>
      <c r="G375" s="37"/>
      <c r="H375" s="1"/>
      <c r="I375" s="1"/>
    </row>
    <row r="376" ht="15.75" customHeight="1">
      <c r="A376" s="36"/>
      <c r="B376" s="36"/>
      <c r="C376" s="36"/>
      <c r="D376" s="36"/>
      <c r="E376" s="520"/>
      <c r="F376" s="37"/>
      <c r="G376" s="37"/>
      <c r="H376" s="1"/>
      <c r="I376" s="1"/>
    </row>
    <row r="377" ht="15.75" customHeight="1">
      <c r="A377" s="36"/>
      <c r="B377" s="36"/>
      <c r="C377" s="36"/>
      <c r="D377" s="36"/>
      <c r="E377" s="520"/>
      <c r="F377" s="37"/>
      <c r="G377" s="37"/>
      <c r="H377" s="1"/>
      <c r="I377" s="1"/>
    </row>
    <row r="378" ht="15.75" customHeight="1">
      <c r="A378" s="36"/>
      <c r="B378" s="36"/>
      <c r="C378" s="36"/>
      <c r="D378" s="36"/>
      <c r="E378" s="520"/>
      <c r="F378" s="37"/>
      <c r="G378" s="37"/>
      <c r="H378" s="1"/>
      <c r="I378" s="1"/>
    </row>
    <row r="379" ht="15.75" customHeight="1">
      <c r="A379" s="36"/>
      <c r="B379" s="36"/>
      <c r="C379" s="36"/>
      <c r="D379" s="36"/>
      <c r="E379" s="520"/>
      <c r="F379" s="37"/>
      <c r="G379" s="37"/>
      <c r="H379" s="1"/>
      <c r="I379" s="1"/>
    </row>
    <row r="380" ht="15.75" customHeight="1">
      <c r="A380" s="36"/>
      <c r="B380" s="36"/>
      <c r="C380" s="36"/>
      <c r="D380" s="36"/>
      <c r="E380" s="520"/>
      <c r="F380" s="37"/>
      <c r="G380" s="37"/>
      <c r="H380" s="1"/>
      <c r="I380" s="1"/>
    </row>
    <row r="381" ht="15.75" customHeight="1">
      <c r="A381" s="36"/>
      <c r="B381" s="36"/>
      <c r="C381" s="36"/>
      <c r="D381" s="36"/>
      <c r="E381" s="520"/>
      <c r="F381" s="37"/>
      <c r="G381" s="37"/>
      <c r="H381" s="1"/>
      <c r="I381" s="1"/>
    </row>
    <row r="382" ht="15.75" customHeight="1">
      <c r="A382" s="36"/>
      <c r="B382" s="36"/>
      <c r="C382" s="36"/>
      <c r="D382" s="36"/>
      <c r="E382" s="520"/>
      <c r="F382" s="37"/>
      <c r="G382" s="37"/>
      <c r="H382" s="1"/>
      <c r="I382" s="1"/>
    </row>
    <row r="383" ht="15.75" customHeight="1">
      <c r="A383" s="36"/>
      <c r="B383" s="36"/>
      <c r="C383" s="36"/>
      <c r="D383" s="36"/>
      <c r="E383" s="520"/>
      <c r="F383" s="37"/>
      <c r="G383" s="37"/>
      <c r="H383" s="1"/>
      <c r="I383" s="1"/>
    </row>
    <row r="384" ht="15.75" customHeight="1">
      <c r="A384" s="36"/>
      <c r="B384" s="36"/>
      <c r="C384" s="36"/>
      <c r="D384" s="36"/>
      <c r="E384" s="520"/>
      <c r="F384" s="37"/>
      <c r="G384" s="37"/>
      <c r="H384" s="1"/>
      <c r="I384" s="1"/>
    </row>
    <row r="385" ht="15.75" customHeight="1">
      <c r="A385" s="36"/>
      <c r="B385" s="36"/>
      <c r="C385" s="36"/>
      <c r="D385" s="36"/>
      <c r="E385" s="520"/>
      <c r="F385" s="37"/>
      <c r="G385" s="37"/>
      <c r="H385" s="1"/>
      <c r="I385" s="1"/>
    </row>
    <row r="386" ht="15.75" customHeight="1">
      <c r="A386" s="36"/>
      <c r="B386" s="36"/>
      <c r="C386" s="36"/>
      <c r="D386" s="36"/>
      <c r="E386" s="520"/>
      <c r="F386" s="37"/>
      <c r="G386" s="37"/>
      <c r="H386" s="1"/>
      <c r="I386" s="1"/>
    </row>
    <row r="387" ht="15.75" customHeight="1">
      <c r="A387" s="36"/>
      <c r="B387" s="36"/>
      <c r="C387" s="36"/>
      <c r="D387" s="36"/>
      <c r="E387" s="520"/>
      <c r="F387" s="37"/>
      <c r="G387" s="37"/>
      <c r="H387" s="1"/>
      <c r="I387" s="1"/>
    </row>
    <row r="388" ht="15.75" customHeight="1">
      <c r="A388" s="36"/>
      <c r="B388" s="36"/>
      <c r="C388" s="36"/>
      <c r="D388" s="36"/>
      <c r="E388" s="520"/>
      <c r="F388" s="37"/>
      <c r="G388" s="37"/>
      <c r="H388" s="1"/>
      <c r="I388" s="1"/>
    </row>
    <row r="389" ht="15.75" customHeight="1">
      <c r="A389" s="36"/>
      <c r="B389" s="36"/>
      <c r="C389" s="36"/>
      <c r="D389" s="36"/>
      <c r="E389" s="520"/>
      <c r="F389" s="37"/>
      <c r="G389" s="37"/>
      <c r="H389" s="1"/>
      <c r="I389" s="1"/>
    </row>
    <row r="390" ht="15.75" customHeight="1">
      <c r="A390" s="36"/>
      <c r="B390" s="36"/>
      <c r="C390" s="36"/>
      <c r="D390" s="36"/>
      <c r="E390" s="520"/>
      <c r="F390" s="37"/>
      <c r="G390" s="37"/>
      <c r="H390" s="1"/>
      <c r="I390" s="1"/>
    </row>
    <row r="391" ht="15.75" customHeight="1">
      <c r="A391" s="36"/>
      <c r="B391" s="36"/>
      <c r="C391" s="36"/>
      <c r="D391" s="36"/>
      <c r="E391" s="520"/>
      <c r="F391" s="37"/>
      <c r="G391" s="37"/>
      <c r="H391" s="1"/>
      <c r="I391" s="1"/>
    </row>
    <row r="392" ht="15.75" customHeight="1">
      <c r="A392" s="36"/>
      <c r="B392" s="36"/>
      <c r="C392" s="36"/>
      <c r="D392" s="36"/>
      <c r="E392" s="520"/>
      <c r="F392" s="37"/>
      <c r="G392" s="37"/>
      <c r="H392" s="1"/>
      <c r="I392" s="1"/>
    </row>
    <row r="393" ht="15.75" customHeight="1">
      <c r="A393" s="36"/>
      <c r="B393" s="36"/>
      <c r="C393" s="36"/>
      <c r="D393" s="36"/>
      <c r="E393" s="520"/>
      <c r="F393" s="37"/>
      <c r="G393" s="37"/>
      <c r="H393" s="1"/>
      <c r="I393" s="1"/>
    </row>
    <row r="394" ht="15.75" customHeight="1">
      <c r="A394" s="36"/>
      <c r="B394" s="36"/>
      <c r="C394" s="36"/>
      <c r="D394" s="36"/>
      <c r="E394" s="520"/>
      <c r="F394" s="37"/>
      <c r="G394" s="37"/>
      <c r="H394" s="1"/>
      <c r="I394" s="1"/>
    </row>
    <row r="395" ht="15.75" customHeight="1">
      <c r="A395" s="36"/>
      <c r="B395" s="36"/>
      <c r="C395" s="36"/>
      <c r="D395" s="36"/>
      <c r="E395" s="520"/>
      <c r="F395" s="37"/>
      <c r="G395" s="37"/>
      <c r="H395" s="1"/>
      <c r="I395" s="1"/>
    </row>
    <row r="396" ht="15.75" customHeight="1">
      <c r="A396" s="36"/>
      <c r="B396" s="36"/>
      <c r="C396" s="36"/>
      <c r="D396" s="36"/>
      <c r="E396" s="520"/>
      <c r="F396" s="37"/>
      <c r="G396" s="37"/>
      <c r="H396" s="1"/>
      <c r="I396" s="1"/>
    </row>
    <row r="397" ht="15.75" customHeight="1">
      <c r="A397" s="36"/>
      <c r="B397" s="36"/>
      <c r="C397" s="36"/>
      <c r="D397" s="36"/>
      <c r="E397" s="520"/>
      <c r="F397" s="37"/>
      <c r="G397" s="37"/>
      <c r="H397" s="1"/>
      <c r="I397" s="1"/>
    </row>
    <row r="398" ht="15.75" customHeight="1">
      <c r="A398" s="36"/>
      <c r="B398" s="36"/>
      <c r="C398" s="36"/>
      <c r="D398" s="36"/>
      <c r="E398" s="520"/>
      <c r="F398" s="37"/>
      <c r="G398" s="37"/>
      <c r="H398" s="1"/>
      <c r="I398" s="1"/>
    </row>
    <row r="399" ht="15.75" customHeight="1">
      <c r="A399" s="36"/>
      <c r="B399" s="36"/>
      <c r="C399" s="36"/>
      <c r="D399" s="36"/>
      <c r="E399" s="520"/>
      <c r="F399" s="37"/>
      <c r="G399" s="37"/>
      <c r="H399" s="1"/>
      <c r="I399" s="1"/>
    </row>
    <row r="400" ht="15.75" customHeight="1">
      <c r="A400" s="36"/>
      <c r="B400" s="36"/>
      <c r="C400" s="36"/>
      <c r="D400" s="36"/>
      <c r="E400" s="520"/>
      <c r="F400" s="37"/>
      <c r="G400" s="37"/>
      <c r="H400" s="1"/>
      <c r="I400" s="1"/>
    </row>
    <row r="401" ht="15.75" customHeight="1">
      <c r="A401" s="36"/>
      <c r="B401" s="36"/>
      <c r="C401" s="36"/>
      <c r="D401" s="36"/>
      <c r="E401" s="520"/>
      <c r="F401" s="37"/>
      <c r="G401" s="37"/>
      <c r="H401" s="1"/>
      <c r="I401" s="1"/>
    </row>
    <row r="402" ht="15.75" customHeight="1">
      <c r="A402" s="36"/>
      <c r="B402" s="36"/>
      <c r="C402" s="36"/>
      <c r="D402" s="36"/>
      <c r="E402" s="520"/>
      <c r="F402" s="37"/>
      <c r="G402" s="37"/>
      <c r="H402" s="1"/>
      <c r="I402" s="1"/>
    </row>
    <row r="403" ht="15.75" customHeight="1">
      <c r="A403" s="36"/>
      <c r="B403" s="36"/>
      <c r="C403" s="36"/>
      <c r="D403" s="36"/>
      <c r="E403" s="520"/>
      <c r="F403" s="37"/>
      <c r="G403" s="37"/>
      <c r="H403" s="1"/>
      <c r="I403" s="1"/>
    </row>
    <row r="404" ht="15.75" customHeight="1">
      <c r="A404" s="36"/>
      <c r="B404" s="36"/>
      <c r="C404" s="36"/>
      <c r="D404" s="36"/>
      <c r="E404" s="520"/>
      <c r="F404" s="37"/>
      <c r="G404" s="37"/>
      <c r="H404" s="1"/>
      <c r="I404" s="1"/>
    </row>
    <row r="405" ht="15.75" customHeight="1">
      <c r="A405" s="36"/>
      <c r="B405" s="36"/>
      <c r="C405" s="36"/>
      <c r="D405" s="36"/>
      <c r="E405" s="520"/>
      <c r="F405" s="37"/>
      <c r="G405" s="37"/>
      <c r="H405" s="1"/>
      <c r="I405" s="1"/>
    </row>
    <row r="406" ht="15.75" customHeight="1">
      <c r="A406" s="36"/>
      <c r="B406" s="36"/>
      <c r="C406" s="36"/>
      <c r="D406" s="36"/>
      <c r="E406" s="520"/>
      <c r="F406" s="37"/>
      <c r="G406" s="37"/>
      <c r="H406" s="1"/>
      <c r="I406" s="1"/>
    </row>
    <row r="407" ht="15.75" customHeight="1">
      <c r="A407" s="36"/>
      <c r="B407" s="36"/>
      <c r="C407" s="36"/>
      <c r="D407" s="36"/>
      <c r="E407" s="520"/>
      <c r="F407" s="37"/>
      <c r="G407" s="37"/>
      <c r="H407" s="1"/>
      <c r="I407" s="1"/>
    </row>
    <row r="408" ht="15.75" customHeight="1">
      <c r="A408" s="36"/>
      <c r="B408" s="36"/>
      <c r="C408" s="36"/>
      <c r="D408" s="36"/>
      <c r="E408" s="520"/>
      <c r="F408" s="37"/>
      <c r="G408" s="37"/>
      <c r="H408" s="1"/>
      <c r="I408" s="1"/>
    </row>
    <row r="409" ht="15.75" customHeight="1">
      <c r="A409" s="36"/>
      <c r="B409" s="36"/>
      <c r="C409" s="36"/>
      <c r="D409" s="36"/>
      <c r="E409" s="520"/>
      <c r="F409" s="37"/>
      <c r="G409" s="37"/>
      <c r="H409" s="1"/>
      <c r="I409" s="1"/>
    </row>
    <row r="410" ht="15.75" customHeight="1">
      <c r="A410" s="36"/>
      <c r="B410" s="36"/>
      <c r="C410" s="36"/>
      <c r="D410" s="36"/>
      <c r="E410" s="520"/>
      <c r="F410" s="37"/>
      <c r="G410" s="37"/>
      <c r="H410" s="1"/>
      <c r="I410" s="1"/>
    </row>
    <row r="411" ht="15.75" customHeight="1">
      <c r="A411" s="36"/>
      <c r="B411" s="36"/>
      <c r="C411" s="36"/>
      <c r="D411" s="36"/>
      <c r="E411" s="520"/>
      <c r="F411" s="37"/>
      <c r="G411" s="37"/>
      <c r="H411" s="1"/>
      <c r="I411" s="1"/>
    </row>
    <row r="412" ht="15.75" customHeight="1">
      <c r="A412" s="36"/>
      <c r="B412" s="36"/>
      <c r="C412" s="36"/>
      <c r="D412" s="36"/>
      <c r="E412" s="520"/>
      <c r="F412" s="37"/>
      <c r="G412" s="37"/>
      <c r="H412" s="1"/>
      <c r="I412" s="1"/>
    </row>
    <row r="413" ht="15.75" customHeight="1">
      <c r="A413" s="36"/>
      <c r="B413" s="36"/>
      <c r="C413" s="36"/>
      <c r="D413" s="36"/>
      <c r="E413" s="520"/>
      <c r="F413" s="37"/>
      <c r="G413" s="37"/>
      <c r="H413" s="1"/>
      <c r="I413" s="1"/>
    </row>
    <row r="414" ht="15.75" customHeight="1">
      <c r="A414" s="36"/>
      <c r="B414" s="36"/>
      <c r="C414" s="36"/>
      <c r="D414" s="36"/>
      <c r="E414" s="520"/>
      <c r="F414" s="37"/>
      <c r="G414" s="37"/>
      <c r="H414" s="1"/>
      <c r="I414" s="1"/>
    </row>
    <row r="415" ht="15.75" customHeight="1">
      <c r="A415" s="36"/>
      <c r="B415" s="36"/>
      <c r="C415" s="36"/>
      <c r="D415" s="36"/>
      <c r="E415" s="520"/>
      <c r="F415" s="37"/>
      <c r="G415" s="37"/>
      <c r="H415" s="1"/>
      <c r="I415" s="1"/>
    </row>
    <row r="416" ht="15.75" customHeight="1">
      <c r="A416" s="36"/>
      <c r="B416" s="36"/>
      <c r="C416" s="36"/>
      <c r="D416" s="36"/>
      <c r="E416" s="520"/>
      <c r="F416" s="37"/>
      <c r="G416" s="37"/>
      <c r="H416" s="1"/>
      <c r="I416" s="1"/>
    </row>
    <row r="417" ht="15.75" customHeight="1">
      <c r="A417" s="36"/>
      <c r="B417" s="36"/>
      <c r="C417" s="36"/>
      <c r="D417" s="36"/>
      <c r="E417" s="520"/>
      <c r="F417" s="37"/>
      <c r="G417" s="37"/>
      <c r="H417" s="1"/>
      <c r="I417" s="1"/>
    </row>
    <row r="418" ht="15.75" customHeight="1">
      <c r="A418" s="36"/>
      <c r="B418" s="36"/>
      <c r="C418" s="36"/>
      <c r="D418" s="36"/>
      <c r="E418" s="520"/>
      <c r="F418" s="37"/>
      <c r="G418" s="37"/>
      <c r="H418" s="1"/>
      <c r="I418" s="1"/>
    </row>
    <row r="419" ht="15.75" customHeight="1">
      <c r="A419" s="36"/>
      <c r="B419" s="36"/>
      <c r="C419" s="36"/>
      <c r="D419" s="36"/>
      <c r="E419" s="520"/>
      <c r="F419" s="37"/>
      <c r="G419" s="37"/>
      <c r="H419" s="1"/>
      <c r="I419" s="1"/>
    </row>
    <row r="420" ht="15.75" customHeight="1">
      <c r="A420" s="36"/>
      <c r="B420" s="36"/>
      <c r="C420" s="36"/>
      <c r="D420" s="36"/>
      <c r="E420" s="520"/>
      <c r="F420" s="37"/>
      <c r="G420" s="37"/>
      <c r="H420" s="1"/>
      <c r="I420" s="1"/>
    </row>
    <row r="421" ht="15.75" customHeight="1">
      <c r="A421" s="36"/>
      <c r="B421" s="36"/>
      <c r="C421" s="36"/>
      <c r="D421" s="36"/>
      <c r="E421" s="520"/>
      <c r="F421" s="37"/>
      <c r="G421" s="37"/>
      <c r="H421" s="1"/>
      <c r="I421" s="1"/>
    </row>
    <row r="422" ht="15.75" customHeight="1">
      <c r="A422" s="36"/>
      <c r="B422" s="36"/>
      <c r="C422" s="36"/>
      <c r="D422" s="36"/>
      <c r="E422" s="520"/>
      <c r="F422" s="37"/>
      <c r="G422" s="37"/>
      <c r="H422" s="1"/>
      <c r="I422" s="1"/>
    </row>
    <row r="423" ht="15.75" customHeight="1">
      <c r="A423" s="36"/>
      <c r="B423" s="36"/>
      <c r="C423" s="36"/>
      <c r="D423" s="36"/>
      <c r="E423" s="520"/>
      <c r="F423" s="37"/>
      <c r="G423" s="37"/>
      <c r="H423" s="1"/>
      <c r="I423" s="1"/>
    </row>
    <row r="424" ht="15.75" customHeight="1">
      <c r="A424" s="36"/>
      <c r="B424" s="36"/>
      <c r="C424" s="36"/>
      <c r="D424" s="36"/>
      <c r="E424" s="520"/>
      <c r="F424" s="37"/>
      <c r="G424" s="37"/>
      <c r="H424" s="1"/>
      <c r="I424" s="1"/>
    </row>
    <row r="425" ht="15.75" customHeight="1">
      <c r="A425" s="36"/>
      <c r="B425" s="36"/>
      <c r="C425" s="36"/>
      <c r="D425" s="36"/>
      <c r="E425" s="520"/>
      <c r="F425" s="37"/>
      <c r="G425" s="37"/>
      <c r="H425" s="1"/>
      <c r="I425" s="1"/>
    </row>
    <row r="426" ht="15.75" customHeight="1">
      <c r="A426" s="36"/>
      <c r="B426" s="36"/>
      <c r="C426" s="36"/>
      <c r="D426" s="36"/>
      <c r="E426" s="520"/>
      <c r="F426" s="37"/>
      <c r="G426" s="37"/>
      <c r="H426" s="1"/>
      <c r="I426" s="1"/>
    </row>
    <row r="427" ht="15.75" customHeight="1">
      <c r="A427" s="36"/>
      <c r="B427" s="36"/>
      <c r="C427" s="36"/>
      <c r="D427" s="36"/>
      <c r="E427" s="520"/>
      <c r="F427" s="37"/>
      <c r="G427" s="37"/>
      <c r="H427" s="1"/>
      <c r="I427" s="1"/>
    </row>
    <row r="428" ht="15.75" customHeight="1">
      <c r="A428" s="36"/>
      <c r="B428" s="36"/>
      <c r="C428" s="36"/>
      <c r="D428" s="36"/>
      <c r="E428" s="520"/>
      <c r="F428" s="37"/>
      <c r="G428" s="37"/>
      <c r="H428" s="1"/>
      <c r="I428" s="1"/>
    </row>
    <row r="429" ht="15.75" customHeight="1">
      <c r="A429" s="36"/>
      <c r="B429" s="36"/>
      <c r="C429" s="36"/>
      <c r="D429" s="36"/>
      <c r="E429" s="520"/>
      <c r="F429" s="37"/>
      <c r="G429" s="37"/>
      <c r="H429" s="1"/>
      <c r="I429" s="1"/>
    </row>
    <row r="430" ht="15.75" customHeight="1">
      <c r="A430" s="36"/>
      <c r="B430" s="36"/>
      <c r="C430" s="36"/>
      <c r="D430" s="36"/>
      <c r="E430" s="520"/>
      <c r="F430" s="37"/>
      <c r="G430" s="37"/>
      <c r="H430" s="1"/>
      <c r="I430" s="1"/>
    </row>
    <row r="431" ht="15.75" customHeight="1">
      <c r="A431" s="36"/>
      <c r="B431" s="36"/>
      <c r="C431" s="36"/>
      <c r="D431" s="36"/>
      <c r="E431" s="520"/>
      <c r="F431" s="37"/>
      <c r="G431" s="37"/>
      <c r="H431" s="1"/>
      <c r="I431" s="1"/>
    </row>
    <row r="432" ht="15.75" customHeight="1">
      <c r="A432" s="36"/>
      <c r="B432" s="36"/>
      <c r="C432" s="36"/>
      <c r="D432" s="36"/>
      <c r="E432" s="520"/>
      <c r="F432" s="37"/>
      <c r="G432" s="37"/>
      <c r="H432" s="1"/>
      <c r="I432" s="1"/>
    </row>
    <row r="433" ht="15.75" customHeight="1">
      <c r="A433" s="36"/>
      <c r="B433" s="36"/>
      <c r="C433" s="36"/>
      <c r="D433" s="36"/>
      <c r="E433" s="520"/>
      <c r="F433" s="37"/>
      <c r="G433" s="37"/>
      <c r="H433" s="1"/>
      <c r="I433" s="1"/>
    </row>
    <row r="434" ht="15.75" customHeight="1">
      <c r="A434" s="36"/>
      <c r="B434" s="36"/>
      <c r="C434" s="36"/>
      <c r="D434" s="36"/>
      <c r="E434" s="520"/>
      <c r="F434" s="37"/>
      <c r="G434" s="37"/>
      <c r="H434" s="1"/>
      <c r="I434" s="1"/>
    </row>
    <row r="435" ht="15.75" customHeight="1">
      <c r="A435" s="36"/>
      <c r="B435" s="36"/>
      <c r="C435" s="36"/>
      <c r="D435" s="36"/>
      <c r="E435" s="520"/>
      <c r="F435" s="37"/>
      <c r="G435" s="37"/>
      <c r="H435" s="1"/>
      <c r="I435" s="1"/>
    </row>
    <row r="436" ht="15.75" customHeight="1">
      <c r="A436" s="36"/>
      <c r="B436" s="36"/>
      <c r="C436" s="36"/>
      <c r="D436" s="36"/>
      <c r="E436" s="520"/>
      <c r="F436" s="37"/>
      <c r="G436" s="37"/>
      <c r="H436" s="1"/>
      <c r="I436" s="1"/>
    </row>
    <row r="437" ht="15.75" customHeight="1">
      <c r="A437" s="36"/>
      <c r="B437" s="36"/>
      <c r="C437" s="36"/>
      <c r="D437" s="36"/>
      <c r="E437" s="520"/>
      <c r="F437" s="37"/>
      <c r="G437" s="37"/>
      <c r="H437" s="1"/>
      <c r="I437" s="1"/>
    </row>
    <row r="438" ht="15.75" customHeight="1">
      <c r="A438" s="36"/>
      <c r="B438" s="36"/>
      <c r="C438" s="36"/>
      <c r="D438" s="36"/>
      <c r="E438" s="520"/>
      <c r="F438" s="37"/>
      <c r="G438" s="37"/>
      <c r="H438" s="1"/>
      <c r="I438" s="1"/>
    </row>
    <row r="439" ht="15.75" customHeight="1">
      <c r="A439" s="36"/>
      <c r="B439" s="36"/>
      <c r="C439" s="36"/>
      <c r="D439" s="36"/>
      <c r="E439" s="520"/>
      <c r="F439" s="37"/>
      <c r="G439" s="37"/>
      <c r="H439" s="1"/>
      <c r="I439" s="1"/>
    </row>
    <row r="440" ht="15.75" customHeight="1">
      <c r="A440" s="36"/>
      <c r="B440" s="36"/>
      <c r="C440" s="36"/>
      <c r="D440" s="36"/>
      <c r="E440" s="520"/>
      <c r="F440" s="37"/>
      <c r="G440" s="37"/>
      <c r="H440" s="1"/>
      <c r="I440" s="1"/>
    </row>
    <row r="441" ht="15.75" customHeight="1">
      <c r="A441" s="36"/>
      <c r="B441" s="36"/>
      <c r="C441" s="36"/>
      <c r="D441" s="36"/>
      <c r="E441" s="520"/>
      <c r="F441" s="37"/>
      <c r="G441" s="37"/>
      <c r="H441" s="1"/>
      <c r="I441" s="1"/>
    </row>
    <row r="442" ht="15.75" customHeight="1">
      <c r="A442" s="36"/>
      <c r="B442" s="36"/>
      <c r="C442" s="36"/>
      <c r="D442" s="36"/>
      <c r="E442" s="520"/>
      <c r="F442" s="37"/>
      <c r="G442" s="37"/>
      <c r="H442" s="1"/>
      <c r="I442" s="1"/>
    </row>
    <row r="443" ht="15.75" customHeight="1">
      <c r="A443" s="36"/>
      <c r="B443" s="36"/>
      <c r="C443" s="36"/>
      <c r="D443" s="36"/>
      <c r="E443" s="520"/>
      <c r="F443" s="37"/>
      <c r="G443" s="37"/>
      <c r="H443" s="1"/>
      <c r="I443" s="1"/>
    </row>
    <row r="444" ht="15.75" customHeight="1">
      <c r="A444" s="36"/>
      <c r="B444" s="36"/>
      <c r="C444" s="36"/>
      <c r="D444" s="36"/>
      <c r="E444" s="520"/>
      <c r="F444" s="37"/>
      <c r="G444" s="37"/>
      <c r="H444" s="1"/>
      <c r="I444" s="1"/>
    </row>
    <row r="445" ht="15.75" customHeight="1">
      <c r="A445" s="36"/>
      <c r="B445" s="36"/>
      <c r="C445" s="36"/>
      <c r="D445" s="36"/>
      <c r="E445" s="520"/>
      <c r="F445" s="37"/>
      <c r="G445" s="37"/>
      <c r="H445" s="1"/>
      <c r="I445" s="1"/>
    </row>
    <row r="446" ht="15.75" customHeight="1">
      <c r="A446" s="36"/>
      <c r="B446" s="36"/>
      <c r="C446" s="36"/>
      <c r="D446" s="36"/>
      <c r="E446" s="520"/>
      <c r="F446" s="37"/>
      <c r="G446" s="37"/>
      <c r="H446" s="1"/>
      <c r="I446" s="1"/>
    </row>
    <row r="447" ht="15.75" customHeight="1">
      <c r="A447" s="36"/>
      <c r="B447" s="36"/>
      <c r="C447" s="36"/>
      <c r="D447" s="36"/>
      <c r="E447" s="520"/>
      <c r="F447" s="37"/>
      <c r="G447" s="37"/>
      <c r="H447" s="1"/>
      <c r="I447" s="1"/>
    </row>
    <row r="448" ht="15.75" customHeight="1">
      <c r="A448" s="36"/>
      <c r="B448" s="36"/>
      <c r="C448" s="36"/>
      <c r="D448" s="36"/>
      <c r="E448" s="520"/>
      <c r="F448" s="37"/>
      <c r="G448" s="37"/>
      <c r="H448" s="1"/>
      <c r="I448" s="1"/>
    </row>
    <row r="449" ht="15.75" customHeight="1">
      <c r="A449" s="36"/>
      <c r="B449" s="36"/>
      <c r="C449" s="36"/>
      <c r="D449" s="36"/>
      <c r="E449" s="520"/>
      <c r="F449" s="37"/>
      <c r="G449" s="37"/>
      <c r="H449" s="1"/>
      <c r="I449" s="1"/>
    </row>
    <row r="450" ht="15.75" customHeight="1">
      <c r="A450" s="36"/>
      <c r="B450" s="36"/>
      <c r="C450" s="36"/>
      <c r="D450" s="36"/>
      <c r="E450" s="520"/>
      <c r="F450" s="37"/>
      <c r="G450" s="37"/>
      <c r="H450" s="1"/>
      <c r="I450" s="1"/>
    </row>
    <row r="451" ht="15.75" customHeight="1">
      <c r="A451" s="36"/>
      <c r="B451" s="36"/>
      <c r="C451" s="36"/>
      <c r="D451" s="36"/>
      <c r="E451" s="520"/>
      <c r="F451" s="37"/>
      <c r="G451" s="37"/>
      <c r="H451" s="1"/>
      <c r="I451" s="1"/>
    </row>
    <row r="452" ht="15.75" customHeight="1">
      <c r="A452" s="36"/>
      <c r="B452" s="36"/>
      <c r="C452" s="36"/>
      <c r="D452" s="36"/>
      <c r="E452" s="520"/>
      <c r="F452" s="37"/>
      <c r="G452" s="37"/>
      <c r="H452" s="1"/>
      <c r="I452" s="1"/>
    </row>
    <row r="453" ht="15.75" customHeight="1">
      <c r="A453" s="36"/>
      <c r="B453" s="36"/>
      <c r="C453" s="36"/>
      <c r="D453" s="36"/>
      <c r="E453" s="520"/>
      <c r="F453" s="37"/>
      <c r="G453" s="37"/>
      <c r="H453" s="1"/>
      <c r="I453" s="1"/>
    </row>
    <row r="454" ht="15.75" customHeight="1">
      <c r="A454" s="36"/>
      <c r="B454" s="36"/>
      <c r="C454" s="36"/>
      <c r="D454" s="36"/>
      <c r="E454" s="520"/>
      <c r="F454" s="37"/>
      <c r="G454" s="37"/>
      <c r="H454" s="1"/>
      <c r="I454" s="1"/>
    </row>
    <row r="455" ht="15.75" customHeight="1">
      <c r="A455" s="36"/>
      <c r="B455" s="36"/>
      <c r="C455" s="36"/>
      <c r="D455" s="36"/>
      <c r="E455" s="520"/>
      <c r="F455" s="37"/>
      <c r="G455" s="37"/>
      <c r="H455" s="1"/>
      <c r="I455" s="1"/>
    </row>
    <row r="456" ht="15.75" customHeight="1">
      <c r="A456" s="36"/>
      <c r="B456" s="36"/>
      <c r="C456" s="36"/>
      <c r="D456" s="36"/>
      <c r="E456" s="520"/>
      <c r="F456" s="37"/>
      <c r="G456" s="37"/>
      <c r="H456" s="1"/>
      <c r="I456" s="1"/>
    </row>
    <row r="457" ht="15.75" customHeight="1">
      <c r="A457" s="36"/>
      <c r="B457" s="36"/>
      <c r="C457" s="36"/>
      <c r="D457" s="36"/>
      <c r="E457" s="520"/>
      <c r="F457" s="37"/>
      <c r="G457" s="37"/>
      <c r="H457" s="1"/>
      <c r="I457" s="1"/>
    </row>
    <row r="458" ht="15.75" customHeight="1">
      <c r="A458" s="36"/>
      <c r="B458" s="36"/>
      <c r="C458" s="36"/>
      <c r="D458" s="36"/>
      <c r="E458" s="520"/>
      <c r="F458" s="37"/>
      <c r="G458" s="37"/>
      <c r="H458" s="1"/>
      <c r="I458" s="1"/>
    </row>
    <row r="459" ht="15.75" customHeight="1">
      <c r="A459" s="36"/>
      <c r="B459" s="36"/>
      <c r="C459" s="36"/>
      <c r="D459" s="36"/>
      <c r="E459" s="520"/>
      <c r="F459" s="37"/>
      <c r="G459" s="37"/>
      <c r="H459" s="1"/>
      <c r="I459" s="1"/>
    </row>
    <row r="460" ht="15.75" customHeight="1">
      <c r="A460" s="36"/>
      <c r="B460" s="36"/>
      <c r="C460" s="36"/>
      <c r="D460" s="36"/>
      <c r="E460" s="520"/>
      <c r="F460" s="37"/>
      <c r="G460" s="37"/>
      <c r="H460" s="1"/>
      <c r="I460" s="1"/>
    </row>
    <row r="461" ht="15.75" customHeight="1">
      <c r="A461" s="36"/>
      <c r="B461" s="36"/>
      <c r="C461" s="36"/>
      <c r="D461" s="36"/>
      <c r="E461" s="520"/>
      <c r="F461" s="37"/>
      <c r="G461" s="37"/>
      <c r="H461" s="1"/>
      <c r="I461" s="1"/>
    </row>
    <row r="462" ht="15.75" customHeight="1">
      <c r="A462" s="36"/>
      <c r="B462" s="36"/>
      <c r="C462" s="36"/>
      <c r="D462" s="36"/>
      <c r="E462" s="520"/>
      <c r="F462" s="37"/>
      <c r="G462" s="37"/>
      <c r="H462" s="1"/>
      <c r="I462" s="1"/>
    </row>
    <row r="463" ht="15.75" customHeight="1">
      <c r="A463" s="36"/>
      <c r="B463" s="36"/>
      <c r="C463" s="36"/>
      <c r="D463" s="36"/>
      <c r="E463" s="520"/>
      <c r="F463" s="37"/>
      <c r="G463" s="37"/>
      <c r="H463" s="1"/>
      <c r="I463" s="1"/>
    </row>
    <row r="464" ht="15.75" customHeight="1">
      <c r="A464" s="36"/>
      <c r="B464" s="36"/>
      <c r="C464" s="36"/>
      <c r="D464" s="36"/>
      <c r="E464" s="520"/>
      <c r="F464" s="37"/>
      <c r="G464" s="37"/>
      <c r="H464" s="1"/>
      <c r="I464" s="1"/>
    </row>
    <row r="465" ht="15.75" customHeight="1">
      <c r="A465" s="36"/>
      <c r="B465" s="36"/>
      <c r="C465" s="36"/>
      <c r="D465" s="36"/>
      <c r="E465" s="520"/>
      <c r="F465" s="37"/>
      <c r="G465" s="37"/>
      <c r="H465" s="1"/>
      <c r="I465" s="1"/>
    </row>
    <row r="466" ht="15.75" customHeight="1">
      <c r="A466" s="36"/>
      <c r="B466" s="36"/>
      <c r="C466" s="36"/>
      <c r="D466" s="36"/>
      <c r="E466" s="520"/>
      <c r="F466" s="37"/>
      <c r="G466" s="37"/>
      <c r="H466" s="1"/>
      <c r="I466" s="1"/>
    </row>
    <row r="467" ht="15.75" customHeight="1">
      <c r="A467" s="36"/>
      <c r="B467" s="36"/>
      <c r="C467" s="36"/>
      <c r="D467" s="36"/>
      <c r="E467" s="520"/>
      <c r="F467" s="37"/>
      <c r="G467" s="37"/>
      <c r="H467" s="1"/>
      <c r="I467" s="1"/>
    </row>
    <row r="468" ht="15.75" customHeight="1">
      <c r="A468" s="36"/>
      <c r="B468" s="36"/>
      <c r="C468" s="36"/>
      <c r="D468" s="36"/>
      <c r="E468" s="520"/>
      <c r="F468" s="37"/>
      <c r="G468" s="37"/>
      <c r="H468" s="1"/>
      <c r="I468" s="1"/>
    </row>
    <row r="469" ht="15.75" customHeight="1">
      <c r="A469" s="36"/>
      <c r="B469" s="36"/>
      <c r="C469" s="36"/>
      <c r="D469" s="36"/>
      <c r="E469" s="520"/>
      <c r="F469" s="37"/>
      <c r="G469" s="37"/>
      <c r="H469" s="1"/>
      <c r="I469" s="1"/>
    </row>
    <row r="470" ht="15.75" customHeight="1">
      <c r="A470" s="36"/>
      <c r="B470" s="36"/>
      <c r="C470" s="36"/>
      <c r="D470" s="36"/>
      <c r="E470" s="520"/>
      <c r="F470" s="37"/>
      <c r="G470" s="37"/>
      <c r="H470" s="1"/>
      <c r="I470" s="1"/>
    </row>
    <row r="471" ht="15.75" customHeight="1">
      <c r="A471" s="36"/>
      <c r="B471" s="36"/>
      <c r="C471" s="36"/>
      <c r="D471" s="36"/>
      <c r="E471" s="520"/>
      <c r="F471" s="37"/>
      <c r="G471" s="37"/>
      <c r="H471" s="1"/>
      <c r="I471" s="1"/>
    </row>
    <row r="472" ht="15.75" customHeight="1">
      <c r="A472" s="36"/>
      <c r="B472" s="36"/>
      <c r="C472" s="36"/>
      <c r="D472" s="36"/>
      <c r="E472" s="520"/>
      <c r="F472" s="37"/>
      <c r="G472" s="37"/>
      <c r="H472" s="1"/>
      <c r="I472" s="1"/>
    </row>
    <row r="473" ht="15.75" customHeight="1">
      <c r="A473" s="36"/>
      <c r="B473" s="36"/>
      <c r="C473" s="36"/>
      <c r="D473" s="36"/>
      <c r="E473" s="520"/>
      <c r="F473" s="37"/>
      <c r="G473" s="37"/>
      <c r="H473" s="1"/>
      <c r="I473" s="1"/>
    </row>
    <row r="474" ht="15.75" customHeight="1">
      <c r="A474" s="36"/>
      <c r="B474" s="36"/>
      <c r="C474" s="36"/>
      <c r="D474" s="36"/>
      <c r="E474" s="520"/>
      <c r="F474" s="37"/>
      <c r="G474" s="37"/>
      <c r="H474" s="1"/>
      <c r="I474" s="1"/>
    </row>
    <row r="475" ht="15.75" customHeight="1">
      <c r="A475" s="36"/>
      <c r="B475" s="36"/>
      <c r="C475" s="36"/>
      <c r="D475" s="36"/>
      <c r="E475" s="520"/>
      <c r="F475" s="37"/>
      <c r="G475" s="37"/>
      <c r="H475" s="1"/>
      <c r="I475" s="1"/>
    </row>
    <row r="476" ht="15.75" customHeight="1">
      <c r="A476" s="36"/>
      <c r="B476" s="36"/>
      <c r="C476" s="36"/>
      <c r="D476" s="36"/>
      <c r="E476" s="520"/>
      <c r="F476" s="37"/>
      <c r="G476" s="37"/>
      <c r="H476" s="1"/>
      <c r="I476" s="1"/>
    </row>
    <row r="477" ht="15.75" customHeight="1">
      <c r="A477" s="36"/>
      <c r="B477" s="36"/>
      <c r="C477" s="36"/>
      <c r="D477" s="36"/>
      <c r="E477" s="520"/>
      <c r="F477" s="37"/>
      <c r="G477" s="37"/>
      <c r="H477" s="1"/>
      <c r="I477" s="1"/>
    </row>
    <row r="478" ht="15.75" customHeight="1">
      <c r="A478" s="36"/>
      <c r="B478" s="36"/>
      <c r="C478" s="36"/>
      <c r="D478" s="36"/>
      <c r="E478" s="520"/>
      <c r="F478" s="37"/>
      <c r="G478" s="37"/>
      <c r="H478" s="1"/>
      <c r="I478" s="1"/>
    </row>
    <row r="479" ht="15.75" customHeight="1">
      <c r="A479" s="36"/>
      <c r="B479" s="36"/>
      <c r="C479" s="36"/>
      <c r="D479" s="36"/>
      <c r="E479" s="520"/>
      <c r="F479" s="37"/>
      <c r="G479" s="37"/>
      <c r="H479" s="1"/>
      <c r="I479" s="1"/>
    </row>
    <row r="480" ht="15.75" customHeight="1">
      <c r="A480" s="36"/>
      <c r="B480" s="36"/>
      <c r="C480" s="36"/>
      <c r="D480" s="36"/>
      <c r="E480" s="520"/>
      <c r="F480" s="37"/>
      <c r="G480" s="37"/>
      <c r="H480" s="1"/>
      <c r="I480" s="1"/>
    </row>
    <row r="481" ht="15.75" customHeight="1">
      <c r="A481" s="36"/>
      <c r="B481" s="36"/>
      <c r="C481" s="36"/>
      <c r="D481" s="36"/>
      <c r="E481" s="520"/>
      <c r="F481" s="37"/>
      <c r="G481" s="37"/>
      <c r="H481" s="1"/>
      <c r="I481" s="1"/>
    </row>
    <row r="482" ht="15.75" customHeight="1">
      <c r="A482" s="36"/>
      <c r="B482" s="36"/>
      <c r="C482" s="36"/>
      <c r="D482" s="36"/>
      <c r="E482" s="520"/>
      <c r="F482" s="37"/>
      <c r="G482" s="37"/>
      <c r="H482" s="1"/>
      <c r="I482" s="1"/>
    </row>
    <row r="483" ht="15.75" customHeight="1">
      <c r="A483" s="36"/>
      <c r="B483" s="36"/>
      <c r="C483" s="36"/>
      <c r="D483" s="36"/>
      <c r="E483" s="520"/>
      <c r="F483" s="37"/>
      <c r="G483" s="37"/>
      <c r="H483" s="1"/>
      <c r="I483" s="1"/>
    </row>
    <row r="484" ht="15.75" customHeight="1">
      <c r="A484" s="36"/>
      <c r="B484" s="36"/>
      <c r="C484" s="36"/>
      <c r="D484" s="36"/>
      <c r="E484" s="520"/>
      <c r="F484" s="37"/>
      <c r="G484" s="37"/>
      <c r="H484" s="1"/>
      <c r="I484" s="1"/>
    </row>
    <row r="485" ht="15.75" customHeight="1">
      <c r="A485" s="36"/>
      <c r="B485" s="36"/>
      <c r="C485" s="36"/>
      <c r="D485" s="36"/>
      <c r="E485" s="520"/>
      <c r="F485" s="37"/>
      <c r="G485" s="37"/>
      <c r="H485" s="1"/>
      <c r="I485" s="1"/>
    </row>
    <row r="486" ht="15.75" customHeight="1">
      <c r="A486" s="36"/>
      <c r="B486" s="36"/>
      <c r="C486" s="36"/>
      <c r="D486" s="36"/>
      <c r="E486" s="520"/>
      <c r="F486" s="37"/>
      <c r="G486" s="37"/>
      <c r="H486" s="1"/>
      <c r="I486" s="1"/>
    </row>
    <row r="487" ht="15.75" customHeight="1">
      <c r="A487" s="36"/>
      <c r="B487" s="36"/>
      <c r="C487" s="36"/>
      <c r="D487" s="36"/>
      <c r="E487" s="520"/>
      <c r="F487" s="37"/>
      <c r="G487" s="37"/>
      <c r="H487" s="1"/>
      <c r="I487" s="1"/>
    </row>
    <row r="488" ht="15.75" customHeight="1">
      <c r="A488" s="36"/>
      <c r="B488" s="36"/>
      <c r="C488" s="36"/>
      <c r="D488" s="36"/>
      <c r="E488" s="520"/>
      <c r="F488" s="37"/>
      <c r="G488" s="37"/>
      <c r="H488" s="1"/>
      <c r="I488" s="1"/>
    </row>
    <row r="489" ht="15.75" customHeight="1">
      <c r="A489" s="36"/>
      <c r="B489" s="36"/>
      <c r="C489" s="36"/>
      <c r="D489" s="36"/>
      <c r="E489" s="520"/>
      <c r="F489" s="37"/>
      <c r="G489" s="37"/>
      <c r="H489" s="1"/>
      <c r="I489" s="1"/>
    </row>
    <row r="490" ht="15.75" customHeight="1">
      <c r="A490" s="36"/>
      <c r="B490" s="36"/>
      <c r="C490" s="36"/>
      <c r="D490" s="36"/>
      <c r="E490" s="520"/>
      <c r="F490" s="37"/>
      <c r="G490" s="37"/>
      <c r="H490" s="1"/>
      <c r="I490" s="1"/>
    </row>
    <row r="491" ht="15.75" customHeight="1">
      <c r="A491" s="36"/>
      <c r="B491" s="36"/>
      <c r="C491" s="36"/>
      <c r="D491" s="36"/>
      <c r="E491" s="520"/>
      <c r="F491" s="37"/>
      <c r="G491" s="37"/>
      <c r="H491" s="1"/>
      <c r="I491" s="1"/>
    </row>
    <row r="492" ht="15.75" customHeight="1">
      <c r="A492" s="36"/>
      <c r="B492" s="36"/>
      <c r="C492" s="36"/>
      <c r="D492" s="36"/>
      <c r="E492" s="520"/>
      <c r="F492" s="37"/>
      <c r="G492" s="37"/>
      <c r="H492" s="1"/>
      <c r="I492" s="1"/>
    </row>
    <row r="493" ht="15.75" customHeight="1">
      <c r="A493" s="36"/>
      <c r="B493" s="36"/>
      <c r="C493" s="36"/>
      <c r="D493" s="36"/>
      <c r="E493" s="520"/>
      <c r="F493" s="37"/>
      <c r="G493" s="37"/>
      <c r="H493" s="1"/>
      <c r="I493" s="1"/>
    </row>
    <row r="494" ht="15.75" customHeight="1">
      <c r="A494" s="36"/>
      <c r="B494" s="36"/>
      <c r="C494" s="36"/>
      <c r="D494" s="36"/>
      <c r="E494" s="520"/>
      <c r="F494" s="37"/>
      <c r="G494" s="37"/>
      <c r="H494" s="1"/>
      <c r="I494" s="1"/>
    </row>
    <row r="495" ht="15.75" customHeight="1">
      <c r="A495" s="36"/>
      <c r="B495" s="36"/>
      <c r="C495" s="36"/>
      <c r="D495" s="36"/>
      <c r="E495" s="520"/>
      <c r="F495" s="37"/>
      <c r="G495" s="37"/>
      <c r="H495" s="1"/>
      <c r="I495" s="1"/>
    </row>
    <row r="496" ht="15.75" customHeight="1">
      <c r="A496" s="36"/>
      <c r="B496" s="36"/>
      <c r="C496" s="36"/>
      <c r="D496" s="36"/>
      <c r="E496" s="520"/>
      <c r="F496" s="37"/>
      <c r="G496" s="37"/>
      <c r="H496" s="1"/>
      <c r="I496" s="1"/>
    </row>
    <row r="497" ht="15.75" customHeight="1">
      <c r="A497" s="36"/>
      <c r="B497" s="36"/>
      <c r="C497" s="36"/>
      <c r="D497" s="36"/>
      <c r="E497" s="520"/>
      <c r="F497" s="37"/>
      <c r="G497" s="37"/>
      <c r="H497" s="1"/>
      <c r="I497" s="1"/>
    </row>
    <row r="498" ht="15.75" customHeight="1">
      <c r="A498" s="36"/>
      <c r="B498" s="36"/>
      <c r="C498" s="36"/>
      <c r="D498" s="36"/>
      <c r="E498" s="520"/>
      <c r="F498" s="37"/>
      <c r="G498" s="37"/>
      <c r="H498" s="1"/>
      <c r="I498" s="1"/>
    </row>
    <row r="499" ht="15.75" customHeight="1">
      <c r="A499" s="36"/>
      <c r="B499" s="36"/>
      <c r="C499" s="36"/>
      <c r="D499" s="36"/>
      <c r="E499" s="520"/>
      <c r="F499" s="37"/>
      <c r="G499" s="37"/>
      <c r="H499" s="1"/>
      <c r="I499" s="1"/>
    </row>
    <row r="500" ht="15.75" customHeight="1">
      <c r="A500" s="36"/>
      <c r="B500" s="36"/>
      <c r="C500" s="36"/>
      <c r="D500" s="36"/>
      <c r="E500" s="520"/>
      <c r="F500" s="37"/>
      <c r="G500" s="37"/>
      <c r="H500" s="1"/>
      <c r="I500" s="1"/>
    </row>
    <row r="501" ht="15.75" customHeight="1">
      <c r="A501" s="36"/>
      <c r="B501" s="36"/>
      <c r="C501" s="36"/>
      <c r="D501" s="36"/>
      <c r="E501" s="520"/>
      <c r="F501" s="37"/>
      <c r="G501" s="37"/>
      <c r="H501" s="1"/>
      <c r="I501" s="1"/>
    </row>
    <row r="502" ht="15.75" customHeight="1">
      <c r="A502" s="36"/>
      <c r="B502" s="36"/>
      <c r="C502" s="36"/>
      <c r="D502" s="36"/>
      <c r="E502" s="520"/>
      <c r="F502" s="37"/>
      <c r="G502" s="37"/>
      <c r="H502" s="1"/>
      <c r="I502" s="1"/>
    </row>
    <row r="503" ht="15.75" customHeight="1">
      <c r="A503" s="36"/>
      <c r="B503" s="36"/>
      <c r="C503" s="36"/>
      <c r="D503" s="36"/>
      <c r="E503" s="520"/>
      <c r="F503" s="37"/>
      <c r="G503" s="37"/>
      <c r="H503" s="1"/>
      <c r="I503" s="1"/>
    </row>
    <row r="504" ht="15.75" customHeight="1">
      <c r="A504" s="36"/>
      <c r="B504" s="36"/>
      <c r="C504" s="36"/>
      <c r="D504" s="36"/>
      <c r="E504" s="520"/>
      <c r="F504" s="37"/>
      <c r="G504" s="37"/>
      <c r="H504" s="1"/>
      <c r="I504" s="1"/>
    </row>
    <row r="505" ht="15.75" customHeight="1">
      <c r="A505" s="36"/>
      <c r="B505" s="36"/>
      <c r="C505" s="36"/>
      <c r="D505" s="36"/>
      <c r="E505" s="520"/>
      <c r="F505" s="37"/>
      <c r="G505" s="37"/>
      <c r="H505" s="1"/>
      <c r="I505" s="1"/>
    </row>
    <row r="506" ht="15.75" customHeight="1">
      <c r="A506" s="36"/>
      <c r="B506" s="36"/>
      <c r="C506" s="36"/>
      <c r="D506" s="36"/>
      <c r="E506" s="520"/>
      <c r="F506" s="37"/>
      <c r="G506" s="37"/>
      <c r="H506" s="1"/>
      <c r="I506" s="1"/>
    </row>
    <row r="507" ht="15.75" customHeight="1">
      <c r="A507" s="36"/>
      <c r="B507" s="36"/>
      <c r="C507" s="36"/>
      <c r="D507" s="36"/>
      <c r="E507" s="520"/>
      <c r="F507" s="37"/>
      <c r="G507" s="37"/>
      <c r="H507" s="1"/>
      <c r="I507" s="1"/>
    </row>
    <row r="508" ht="15.75" customHeight="1">
      <c r="A508" s="36"/>
      <c r="B508" s="36"/>
      <c r="C508" s="36"/>
      <c r="D508" s="36"/>
      <c r="E508" s="520"/>
      <c r="F508" s="37"/>
      <c r="G508" s="37"/>
      <c r="H508" s="1"/>
      <c r="I508" s="1"/>
    </row>
    <row r="509" ht="15.75" customHeight="1">
      <c r="A509" s="36"/>
      <c r="B509" s="36"/>
      <c r="C509" s="36"/>
      <c r="D509" s="36"/>
      <c r="E509" s="520"/>
      <c r="F509" s="37"/>
      <c r="G509" s="37"/>
      <c r="H509" s="1"/>
      <c r="I509" s="1"/>
    </row>
    <row r="510" ht="15.75" customHeight="1">
      <c r="A510" s="36"/>
      <c r="B510" s="36"/>
      <c r="C510" s="36"/>
      <c r="D510" s="36"/>
      <c r="E510" s="520"/>
      <c r="F510" s="37"/>
      <c r="G510" s="37"/>
      <c r="H510" s="1"/>
      <c r="I510" s="1"/>
    </row>
    <row r="511" ht="15.75" customHeight="1">
      <c r="A511" s="36"/>
      <c r="B511" s="36"/>
      <c r="C511" s="36"/>
      <c r="D511" s="36"/>
      <c r="E511" s="520"/>
      <c r="F511" s="37"/>
      <c r="G511" s="37"/>
      <c r="H511" s="1"/>
      <c r="I511" s="1"/>
    </row>
    <row r="512" ht="15.75" customHeight="1">
      <c r="A512" s="36"/>
      <c r="B512" s="36"/>
      <c r="C512" s="36"/>
      <c r="D512" s="36"/>
      <c r="E512" s="520"/>
      <c r="F512" s="37"/>
      <c r="G512" s="37"/>
      <c r="H512" s="1"/>
      <c r="I512" s="1"/>
    </row>
    <row r="513" ht="15.75" customHeight="1">
      <c r="A513" s="36"/>
      <c r="B513" s="36"/>
      <c r="C513" s="36"/>
      <c r="D513" s="36"/>
      <c r="E513" s="520"/>
      <c r="F513" s="37"/>
      <c r="G513" s="37"/>
      <c r="H513" s="1"/>
      <c r="I513" s="1"/>
    </row>
    <row r="514" ht="15.75" customHeight="1">
      <c r="A514" s="36"/>
      <c r="B514" s="36"/>
      <c r="C514" s="36"/>
      <c r="D514" s="36"/>
      <c r="E514" s="520"/>
      <c r="F514" s="37"/>
      <c r="G514" s="37"/>
      <c r="H514" s="1"/>
      <c r="I514" s="1"/>
    </row>
    <row r="515" ht="15.75" customHeight="1">
      <c r="A515" s="36"/>
      <c r="B515" s="36"/>
      <c r="C515" s="36"/>
      <c r="D515" s="36"/>
      <c r="E515" s="520"/>
      <c r="F515" s="37"/>
      <c r="G515" s="37"/>
      <c r="H515" s="1"/>
      <c r="I515" s="1"/>
    </row>
    <row r="516" ht="15.75" customHeight="1">
      <c r="A516" s="36"/>
      <c r="B516" s="36"/>
      <c r="C516" s="36"/>
      <c r="D516" s="36"/>
      <c r="E516" s="520"/>
      <c r="F516" s="37"/>
      <c r="G516" s="37"/>
      <c r="H516" s="1"/>
      <c r="I516" s="1"/>
    </row>
    <row r="517" ht="15.75" customHeight="1">
      <c r="A517" s="36"/>
      <c r="B517" s="36"/>
      <c r="C517" s="36"/>
      <c r="D517" s="36"/>
      <c r="E517" s="520"/>
      <c r="F517" s="37"/>
      <c r="G517" s="37"/>
      <c r="H517" s="1"/>
      <c r="I517" s="1"/>
    </row>
    <row r="518" ht="15.75" customHeight="1">
      <c r="A518" s="36"/>
      <c r="B518" s="36"/>
      <c r="C518" s="36"/>
      <c r="D518" s="36"/>
      <c r="E518" s="520"/>
      <c r="F518" s="37"/>
      <c r="G518" s="37"/>
      <c r="H518" s="1"/>
      <c r="I518" s="1"/>
    </row>
    <row r="519" ht="15.75" customHeight="1">
      <c r="A519" s="36"/>
      <c r="B519" s="36"/>
      <c r="C519" s="36"/>
      <c r="D519" s="36"/>
      <c r="E519" s="520"/>
      <c r="F519" s="37"/>
      <c r="G519" s="37"/>
      <c r="H519" s="1"/>
      <c r="I519" s="1"/>
    </row>
    <row r="520" ht="15.75" customHeight="1">
      <c r="A520" s="36"/>
      <c r="B520" s="36"/>
      <c r="C520" s="36"/>
      <c r="D520" s="36"/>
      <c r="E520" s="520"/>
      <c r="F520" s="37"/>
      <c r="G520" s="37"/>
      <c r="H520" s="1"/>
      <c r="I520" s="1"/>
    </row>
    <row r="521" ht="15.75" customHeight="1">
      <c r="A521" s="36"/>
      <c r="B521" s="36"/>
      <c r="C521" s="36"/>
      <c r="D521" s="36"/>
      <c r="E521" s="520"/>
      <c r="F521" s="37"/>
      <c r="G521" s="37"/>
      <c r="H521" s="1"/>
      <c r="I521" s="1"/>
    </row>
    <row r="522" ht="15.75" customHeight="1">
      <c r="A522" s="36"/>
      <c r="B522" s="36"/>
      <c r="C522" s="36"/>
      <c r="D522" s="36"/>
      <c r="E522" s="520"/>
      <c r="F522" s="37"/>
      <c r="G522" s="37"/>
      <c r="H522" s="1"/>
      <c r="I522" s="1"/>
    </row>
    <row r="523" ht="15.75" customHeight="1">
      <c r="A523" s="36"/>
      <c r="B523" s="36"/>
      <c r="C523" s="36"/>
      <c r="D523" s="36"/>
      <c r="E523" s="520"/>
      <c r="F523" s="37"/>
      <c r="G523" s="37"/>
      <c r="H523" s="1"/>
      <c r="I523" s="1"/>
    </row>
    <row r="524" ht="15.75" customHeight="1">
      <c r="A524" s="36"/>
      <c r="B524" s="36"/>
      <c r="C524" s="36"/>
      <c r="D524" s="36"/>
      <c r="E524" s="520"/>
      <c r="F524" s="37"/>
      <c r="G524" s="37"/>
      <c r="H524" s="1"/>
      <c r="I524" s="1"/>
    </row>
    <row r="525" ht="15.75" customHeight="1">
      <c r="A525" s="36"/>
      <c r="B525" s="36"/>
      <c r="C525" s="36"/>
      <c r="D525" s="36"/>
      <c r="E525" s="520"/>
      <c r="F525" s="37"/>
      <c r="G525" s="37"/>
      <c r="H525" s="1"/>
      <c r="I525" s="1"/>
    </row>
    <row r="526" ht="15.75" customHeight="1">
      <c r="A526" s="36"/>
      <c r="B526" s="36"/>
      <c r="C526" s="36"/>
      <c r="D526" s="36"/>
      <c r="E526" s="520"/>
      <c r="F526" s="37"/>
      <c r="G526" s="37"/>
      <c r="H526" s="1"/>
      <c r="I526" s="1"/>
    </row>
    <row r="527" ht="15.75" customHeight="1">
      <c r="A527" s="36"/>
      <c r="B527" s="36"/>
      <c r="C527" s="36"/>
      <c r="D527" s="36"/>
      <c r="E527" s="520"/>
      <c r="F527" s="37"/>
      <c r="G527" s="37"/>
      <c r="H527" s="1"/>
      <c r="I527" s="1"/>
    </row>
    <row r="528" ht="15.75" customHeight="1">
      <c r="A528" s="36"/>
      <c r="B528" s="36"/>
      <c r="C528" s="36"/>
      <c r="D528" s="36"/>
      <c r="E528" s="520"/>
      <c r="F528" s="37"/>
      <c r="G528" s="37"/>
      <c r="H528" s="1"/>
      <c r="I528" s="1"/>
    </row>
    <row r="529" ht="15.75" customHeight="1">
      <c r="A529" s="36"/>
      <c r="B529" s="36"/>
      <c r="C529" s="36"/>
      <c r="D529" s="36"/>
      <c r="E529" s="520"/>
      <c r="F529" s="37"/>
      <c r="G529" s="37"/>
      <c r="H529" s="1"/>
      <c r="I529" s="1"/>
    </row>
    <row r="530" ht="15.75" customHeight="1">
      <c r="A530" s="36"/>
      <c r="B530" s="36"/>
      <c r="C530" s="36"/>
      <c r="D530" s="36"/>
      <c r="E530" s="520"/>
      <c r="F530" s="37"/>
      <c r="G530" s="37"/>
      <c r="H530" s="1"/>
      <c r="I530" s="1"/>
    </row>
    <row r="531" ht="15.75" customHeight="1">
      <c r="A531" s="36"/>
      <c r="B531" s="36"/>
      <c r="C531" s="36"/>
      <c r="D531" s="36"/>
      <c r="E531" s="520"/>
      <c r="F531" s="37"/>
      <c r="G531" s="37"/>
      <c r="H531" s="1"/>
      <c r="I531" s="1"/>
    </row>
    <row r="532" ht="15.75" customHeight="1">
      <c r="A532" s="36"/>
      <c r="B532" s="36"/>
      <c r="C532" s="36"/>
      <c r="D532" s="36"/>
      <c r="E532" s="520"/>
      <c r="F532" s="37"/>
      <c r="G532" s="37"/>
      <c r="H532" s="1"/>
      <c r="I532" s="1"/>
    </row>
    <row r="533" ht="15.75" customHeight="1">
      <c r="A533" s="36"/>
      <c r="B533" s="36"/>
      <c r="C533" s="36"/>
      <c r="D533" s="36"/>
      <c r="E533" s="520"/>
      <c r="F533" s="37"/>
      <c r="G533" s="37"/>
      <c r="H533" s="1"/>
      <c r="I533" s="1"/>
    </row>
    <row r="534" ht="15.75" customHeight="1">
      <c r="A534" s="36"/>
      <c r="B534" s="36"/>
      <c r="C534" s="36"/>
      <c r="D534" s="36"/>
      <c r="E534" s="520"/>
      <c r="F534" s="37"/>
      <c r="G534" s="37"/>
      <c r="H534" s="1"/>
      <c r="I534" s="1"/>
    </row>
    <row r="535" ht="15.75" customHeight="1">
      <c r="A535" s="36"/>
      <c r="B535" s="36"/>
      <c r="C535" s="36"/>
      <c r="D535" s="36"/>
      <c r="E535" s="520"/>
      <c r="F535" s="37"/>
      <c r="G535" s="37"/>
      <c r="H535" s="1"/>
      <c r="I535" s="1"/>
    </row>
    <row r="536" ht="15.75" customHeight="1">
      <c r="A536" s="36"/>
      <c r="B536" s="36"/>
      <c r="C536" s="36"/>
      <c r="D536" s="36"/>
      <c r="E536" s="520"/>
      <c r="F536" s="37"/>
      <c r="G536" s="37"/>
      <c r="H536" s="1"/>
      <c r="I536" s="1"/>
    </row>
    <row r="537" ht="15.75" customHeight="1">
      <c r="A537" s="36"/>
      <c r="B537" s="36"/>
      <c r="C537" s="36"/>
      <c r="D537" s="36"/>
      <c r="E537" s="520"/>
      <c r="F537" s="37"/>
      <c r="G537" s="37"/>
      <c r="H537" s="1"/>
      <c r="I537" s="1"/>
    </row>
    <row r="538" ht="15.75" customHeight="1">
      <c r="A538" s="36"/>
      <c r="B538" s="36"/>
      <c r="C538" s="36"/>
      <c r="D538" s="36"/>
      <c r="E538" s="520"/>
      <c r="F538" s="37"/>
      <c r="G538" s="37"/>
      <c r="H538" s="1"/>
      <c r="I538" s="1"/>
    </row>
    <row r="539" ht="15.75" customHeight="1">
      <c r="A539" s="36"/>
      <c r="B539" s="36"/>
      <c r="C539" s="36"/>
      <c r="D539" s="36"/>
      <c r="E539" s="520"/>
      <c r="F539" s="37"/>
      <c r="G539" s="37"/>
      <c r="H539" s="1"/>
      <c r="I539" s="1"/>
    </row>
    <row r="540" ht="15.75" customHeight="1">
      <c r="A540" s="36"/>
      <c r="B540" s="36"/>
      <c r="C540" s="36"/>
      <c r="D540" s="36"/>
      <c r="E540" s="520"/>
      <c r="F540" s="37"/>
      <c r="G540" s="37"/>
      <c r="H540" s="1"/>
      <c r="I540" s="1"/>
    </row>
    <row r="541" ht="15.75" customHeight="1">
      <c r="A541" s="36"/>
      <c r="B541" s="36"/>
      <c r="C541" s="36"/>
      <c r="D541" s="36"/>
      <c r="E541" s="520"/>
      <c r="F541" s="37"/>
      <c r="G541" s="37"/>
      <c r="H541" s="1"/>
      <c r="I541" s="1"/>
    </row>
    <row r="542" ht="15.75" customHeight="1">
      <c r="A542" s="36"/>
      <c r="B542" s="36"/>
      <c r="C542" s="36"/>
      <c r="D542" s="36"/>
      <c r="E542" s="520"/>
      <c r="F542" s="37"/>
      <c r="G542" s="37"/>
      <c r="H542" s="1"/>
      <c r="I542" s="1"/>
    </row>
    <row r="543" ht="15.75" customHeight="1">
      <c r="A543" s="36"/>
      <c r="B543" s="36"/>
      <c r="C543" s="36"/>
      <c r="D543" s="36"/>
      <c r="E543" s="520"/>
      <c r="F543" s="37"/>
      <c r="G543" s="37"/>
      <c r="H543" s="1"/>
      <c r="I543" s="1"/>
    </row>
    <row r="544" ht="15.75" customHeight="1">
      <c r="A544" s="36"/>
      <c r="B544" s="36"/>
      <c r="C544" s="36"/>
      <c r="D544" s="36"/>
      <c r="E544" s="520"/>
      <c r="F544" s="37"/>
      <c r="G544" s="37"/>
      <c r="H544" s="1"/>
      <c r="I544" s="1"/>
    </row>
    <row r="545" ht="15.75" customHeight="1">
      <c r="A545" s="36"/>
      <c r="B545" s="36"/>
      <c r="C545" s="36"/>
      <c r="D545" s="36"/>
      <c r="E545" s="520"/>
      <c r="F545" s="37"/>
      <c r="G545" s="37"/>
      <c r="H545" s="1"/>
      <c r="I545" s="1"/>
    </row>
    <row r="546" ht="15.75" customHeight="1">
      <c r="A546" s="36"/>
      <c r="B546" s="36"/>
      <c r="C546" s="36"/>
      <c r="D546" s="36"/>
      <c r="E546" s="520"/>
      <c r="F546" s="37"/>
      <c r="G546" s="37"/>
      <c r="H546" s="1"/>
      <c r="I546" s="1"/>
    </row>
    <row r="547" ht="15.75" customHeight="1">
      <c r="A547" s="36"/>
      <c r="B547" s="36"/>
      <c r="C547" s="36"/>
      <c r="D547" s="36"/>
      <c r="E547" s="520"/>
      <c r="F547" s="37"/>
      <c r="G547" s="37"/>
      <c r="H547" s="1"/>
      <c r="I547" s="1"/>
    </row>
    <row r="548" ht="15.75" customHeight="1">
      <c r="A548" s="36"/>
      <c r="B548" s="36"/>
      <c r="C548" s="36"/>
      <c r="D548" s="36"/>
      <c r="E548" s="520"/>
      <c r="F548" s="37"/>
      <c r="G548" s="37"/>
      <c r="H548" s="1"/>
      <c r="I548" s="1"/>
    </row>
    <row r="549" ht="15.75" customHeight="1">
      <c r="A549" s="36"/>
      <c r="B549" s="36"/>
      <c r="C549" s="36"/>
      <c r="D549" s="36"/>
      <c r="E549" s="520"/>
      <c r="F549" s="37"/>
      <c r="G549" s="37"/>
      <c r="H549" s="1"/>
      <c r="I549" s="1"/>
    </row>
    <row r="550" ht="15.75" customHeight="1">
      <c r="A550" s="36"/>
      <c r="B550" s="36"/>
      <c r="C550" s="36"/>
      <c r="D550" s="36"/>
      <c r="E550" s="520"/>
      <c r="F550" s="37"/>
      <c r="G550" s="37"/>
      <c r="H550" s="1"/>
      <c r="I550" s="1"/>
    </row>
    <row r="551" ht="15.75" customHeight="1">
      <c r="A551" s="36"/>
      <c r="B551" s="36"/>
      <c r="C551" s="36"/>
      <c r="D551" s="36"/>
      <c r="E551" s="520"/>
      <c r="F551" s="37"/>
      <c r="G551" s="37"/>
      <c r="H551" s="1"/>
      <c r="I551" s="1"/>
    </row>
    <row r="552" ht="15.75" customHeight="1">
      <c r="A552" s="36"/>
      <c r="B552" s="36"/>
      <c r="C552" s="36"/>
      <c r="D552" s="36"/>
      <c r="E552" s="520"/>
      <c r="F552" s="37"/>
      <c r="G552" s="37"/>
      <c r="H552" s="1"/>
      <c r="I552" s="1"/>
    </row>
    <row r="553" ht="15.75" customHeight="1">
      <c r="A553" s="36"/>
      <c r="B553" s="36"/>
      <c r="C553" s="36"/>
      <c r="D553" s="36"/>
      <c r="E553" s="520"/>
      <c r="F553" s="37"/>
      <c r="G553" s="37"/>
      <c r="H553" s="1"/>
      <c r="I553" s="1"/>
    </row>
    <row r="554" ht="15.75" customHeight="1">
      <c r="A554" s="36"/>
      <c r="B554" s="36"/>
      <c r="C554" s="36"/>
      <c r="D554" s="36"/>
      <c r="E554" s="520"/>
      <c r="F554" s="37"/>
      <c r="G554" s="37"/>
      <c r="H554" s="1"/>
      <c r="I554" s="1"/>
    </row>
    <row r="555" ht="15.75" customHeight="1">
      <c r="A555" s="36"/>
      <c r="B555" s="36"/>
      <c r="C555" s="36"/>
      <c r="D555" s="36"/>
      <c r="E555" s="520"/>
      <c r="F555" s="37"/>
      <c r="G555" s="37"/>
      <c r="H555" s="1"/>
      <c r="I555" s="1"/>
    </row>
    <row r="556" ht="15.75" customHeight="1">
      <c r="A556" s="36"/>
      <c r="B556" s="36"/>
      <c r="C556" s="36"/>
      <c r="D556" s="36"/>
      <c r="E556" s="520"/>
      <c r="F556" s="37"/>
      <c r="G556" s="37"/>
      <c r="H556" s="1"/>
      <c r="I556" s="1"/>
    </row>
    <row r="557" ht="15.75" customHeight="1">
      <c r="A557" s="36"/>
      <c r="B557" s="36"/>
      <c r="C557" s="36"/>
      <c r="D557" s="36"/>
      <c r="E557" s="520"/>
      <c r="F557" s="37"/>
      <c r="G557" s="37"/>
      <c r="H557" s="1"/>
      <c r="I557" s="1"/>
    </row>
    <row r="558" ht="15.75" customHeight="1">
      <c r="A558" s="36"/>
      <c r="B558" s="36"/>
      <c r="C558" s="36"/>
      <c r="D558" s="36"/>
      <c r="E558" s="520"/>
      <c r="F558" s="37"/>
      <c r="G558" s="37"/>
      <c r="H558" s="1"/>
      <c r="I558" s="1"/>
    </row>
    <row r="559" ht="15.75" customHeight="1">
      <c r="A559" s="36"/>
      <c r="B559" s="36"/>
      <c r="C559" s="36"/>
      <c r="D559" s="36"/>
      <c r="E559" s="520"/>
      <c r="F559" s="37"/>
      <c r="G559" s="37"/>
      <c r="H559" s="1"/>
      <c r="I559" s="1"/>
    </row>
    <row r="560" ht="15.75" customHeight="1">
      <c r="A560" s="36"/>
      <c r="B560" s="36"/>
      <c r="C560" s="36"/>
      <c r="D560" s="36"/>
      <c r="E560" s="520"/>
      <c r="F560" s="37"/>
      <c r="G560" s="37"/>
      <c r="H560" s="1"/>
      <c r="I560" s="1"/>
    </row>
    <row r="561" ht="15.75" customHeight="1">
      <c r="A561" s="36"/>
      <c r="B561" s="36"/>
      <c r="C561" s="36"/>
      <c r="D561" s="36"/>
      <c r="E561" s="520"/>
      <c r="F561" s="37"/>
      <c r="G561" s="37"/>
      <c r="H561" s="1"/>
      <c r="I561" s="1"/>
    </row>
    <row r="562" ht="15.75" customHeight="1">
      <c r="A562" s="36"/>
      <c r="B562" s="36"/>
      <c r="C562" s="36"/>
      <c r="D562" s="36"/>
      <c r="E562" s="520"/>
      <c r="F562" s="37"/>
      <c r="G562" s="37"/>
      <c r="H562" s="1"/>
      <c r="I562" s="1"/>
    </row>
    <row r="563" ht="15.75" customHeight="1">
      <c r="A563" s="36"/>
      <c r="B563" s="36"/>
      <c r="C563" s="36"/>
      <c r="D563" s="36"/>
      <c r="E563" s="520"/>
      <c r="F563" s="37"/>
      <c r="G563" s="37"/>
      <c r="H563" s="1"/>
      <c r="I563" s="1"/>
    </row>
    <row r="564" ht="15.75" customHeight="1">
      <c r="A564" s="36"/>
      <c r="B564" s="36"/>
      <c r="C564" s="36"/>
      <c r="D564" s="36"/>
      <c r="E564" s="520"/>
      <c r="F564" s="37"/>
      <c r="G564" s="37"/>
      <c r="H564" s="1"/>
      <c r="I564" s="1"/>
    </row>
    <row r="565" ht="15.75" customHeight="1">
      <c r="A565" s="36"/>
      <c r="B565" s="36"/>
      <c r="C565" s="36"/>
      <c r="D565" s="36"/>
      <c r="E565" s="520"/>
      <c r="F565" s="37"/>
      <c r="G565" s="37"/>
      <c r="H565" s="1"/>
      <c r="I565" s="1"/>
    </row>
    <row r="566" ht="15.75" customHeight="1">
      <c r="A566" s="36"/>
      <c r="B566" s="36"/>
      <c r="C566" s="36"/>
      <c r="D566" s="36"/>
      <c r="E566" s="520"/>
      <c r="F566" s="37"/>
      <c r="G566" s="37"/>
      <c r="H566" s="1"/>
      <c r="I566" s="1"/>
    </row>
    <row r="567" ht="15.75" customHeight="1">
      <c r="A567" s="36"/>
      <c r="B567" s="36"/>
      <c r="C567" s="36"/>
      <c r="D567" s="36"/>
      <c r="E567" s="520"/>
      <c r="F567" s="37"/>
      <c r="G567" s="37"/>
      <c r="H567" s="1"/>
      <c r="I567" s="1"/>
    </row>
    <row r="568" ht="15.75" customHeight="1">
      <c r="A568" s="36"/>
      <c r="B568" s="36"/>
      <c r="C568" s="36"/>
      <c r="D568" s="36"/>
      <c r="E568" s="520"/>
      <c r="F568" s="37"/>
      <c r="G568" s="37"/>
      <c r="H568" s="1"/>
      <c r="I568" s="1"/>
    </row>
    <row r="569" ht="15.75" customHeight="1">
      <c r="A569" s="36"/>
      <c r="B569" s="36"/>
      <c r="C569" s="36"/>
      <c r="D569" s="36"/>
      <c r="E569" s="520"/>
      <c r="F569" s="37"/>
      <c r="G569" s="37"/>
      <c r="H569" s="1"/>
      <c r="I569" s="1"/>
    </row>
    <row r="570" ht="15.75" customHeight="1">
      <c r="A570" s="36"/>
      <c r="B570" s="36"/>
      <c r="C570" s="36"/>
      <c r="D570" s="36"/>
      <c r="E570" s="520"/>
      <c r="F570" s="37"/>
      <c r="G570" s="37"/>
      <c r="H570" s="1"/>
      <c r="I570" s="1"/>
    </row>
    <row r="571" ht="15.75" customHeight="1">
      <c r="A571" s="36"/>
      <c r="B571" s="36"/>
      <c r="C571" s="36"/>
      <c r="D571" s="36"/>
      <c r="E571" s="520"/>
      <c r="F571" s="37"/>
      <c r="G571" s="37"/>
      <c r="H571" s="1"/>
      <c r="I571" s="1"/>
    </row>
    <row r="572" ht="15.75" customHeight="1">
      <c r="A572" s="36"/>
      <c r="B572" s="36"/>
      <c r="C572" s="36"/>
      <c r="D572" s="36"/>
      <c r="E572" s="520"/>
      <c r="F572" s="37"/>
      <c r="G572" s="37"/>
      <c r="H572" s="1"/>
      <c r="I572" s="1"/>
    </row>
    <row r="573" ht="15.75" customHeight="1">
      <c r="A573" s="36"/>
      <c r="B573" s="36"/>
      <c r="C573" s="36"/>
      <c r="D573" s="36"/>
      <c r="E573" s="520"/>
      <c r="F573" s="37"/>
      <c r="G573" s="37"/>
      <c r="H573" s="1"/>
      <c r="I573" s="1"/>
    </row>
    <row r="574" ht="15.75" customHeight="1">
      <c r="A574" s="36"/>
      <c r="B574" s="36"/>
      <c r="C574" s="36"/>
      <c r="D574" s="36"/>
      <c r="E574" s="520"/>
      <c r="F574" s="37"/>
      <c r="G574" s="37"/>
      <c r="H574" s="1"/>
      <c r="I574" s="1"/>
    </row>
    <row r="575" ht="15.75" customHeight="1">
      <c r="A575" s="36"/>
      <c r="B575" s="36"/>
      <c r="C575" s="36"/>
      <c r="D575" s="36"/>
      <c r="E575" s="520"/>
      <c r="F575" s="37"/>
      <c r="G575" s="37"/>
      <c r="H575" s="1"/>
      <c r="I575" s="1"/>
    </row>
    <row r="576" ht="15.75" customHeight="1">
      <c r="A576" s="36"/>
      <c r="B576" s="36"/>
      <c r="C576" s="36"/>
      <c r="D576" s="36"/>
      <c r="E576" s="520"/>
      <c r="F576" s="37"/>
      <c r="G576" s="37"/>
      <c r="H576" s="1"/>
      <c r="I576" s="1"/>
    </row>
    <row r="577" ht="15.75" customHeight="1">
      <c r="A577" s="36"/>
      <c r="B577" s="36"/>
      <c r="C577" s="36"/>
      <c r="D577" s="36"/>
      <c r="E577" s="520"/>
      <c r="F577" s="37"/>
      <c r="G577" s="37"/>
      <c r="H577" s="1"/>
      <c r="I577" s="1"/>
    </row>
    <row r="578" ht="15.75" customHeight="1">
      <c r="A578" s="36"/>
      <c r="B578" s="36"/>
      <c r="C578" s="36"/>
      <c r="D578" s="36"/>
      <c r="E578" s="520"/>
      <c r="F578" s="37"/>
      <c r="G578" s="37"/>
      <c r="H578" s="1"/>
      <c r="I578" s="1"/>
    </row>
    <row r="579" ht="15.75" customHeight="1">
      <c r="A579" s="36"/>
      <c r="B579" s="36"/>
      <c r="C579" s="36"/>
      <c r="D579" s="36"/>
      <c r="E579" s="520"/>
      <c r="F579" s="37"/>
      <c r="G579" s="37"/>
      <c r="H579" s="1"/>
      <c r="I579" s="1"/>
    </row>
    <row r="580" ht="15.75" customHeight="1">
      <c r="A580" s="36"/>
      <c r="B580" s="36"/>
      <c r="C580" s="36"/>
      <c r="D580" s="36"/>
      <c r="E580" s="520"/>
      <c r="F580" s="37"/>
      <c r="G580" s="37"/>
      <c r="H580" s="1"/>
      <c r="I580" s="1"/>
    </row>
    <row r="581" ht="15.75" customHeight="1">
      <c r="A581" s="36"/>
      <c r="B581" s="36"/>
      <c r="C581" s="36"/>
      <c r="D581" s="36"/>
      <c r="E581" s="520"/>
      <c r="F581" s="37"/>
      <c r="G581" s="37"/>
      <c r="H581" s="1"/>
      <c r="I581" s="1"/>
    </row>
    <row r="582" ht="15.75" customHeight="1">
      <c r="A582" s="36"/>
      <c r="B582" s="36"/>
      <c r="C582" s="36"/>
      <c r="D582" s="36"/>
      <c r="E582" s="520"/>
      <c r="F582" s="37"/>
      <c r="G582" s="37"/>
      <c r="H582" s="1"/>
      <c r="I582" s="1"/>
    </row>
    <row r="583" ht="15.75" customHeight="1">
      <c r="A583" s="36"/>
      <c r="B583" s="36"/>
      <c r="C583" s="36"/>
      <c r="D583" s="36"/>
      <c r="E583" s="520"/>
      <c r="F583" s="37"/>
      <c r="G583" s="37"/>
      <c r="H583" s="1"/>
      <c r="I583" s="1"/>
    </row>
    <row r="584" ht="15.75" customHeight="1">
      <c r="A584" s="36"/>
      <c r="B584" s="36"/>
      <c r="C584" s="36"/>
      <c r="D584" s="36"/>
      <c r="E584" s="520"/>
      <c r="F584" s="37"/>
      <c r="G584" s="37"/>
      <c r="H584" s="1"/>
      <c r="I584" s="1"/>
    </row>
    <row r="585" ht="15.75" customHeight="1">
      <c r="A585" s="36"/>
      <c r="B585" s="36"/>
      <c r="C585" s="36"/>
      <c r="D585" s="36"/>
      <c r="E585" s="520"/>
      <c r="F585" s="37"/>
      <c r="G585" s="37"/>
      <c r="H585" s="1"/>
      <c r="I585" s="1"/>
    </row>
    <row r="586" ht="15.75" customHeight="1">
      <c r="A586" s="36"/>
      <c r="B586" s="36"/>
      <c r="C586" s="36"/>
      <c r="D586" s="36"/>
      <c r="E586" s="520"/>
      <c r="F586" s="37"/>
      <c r="G586" s="37"/>
      <c r="H586" s="1"/>
      <c r="I586" s="1"/>
    </row>
    <row r="587" ht="15.75" customHeight="1">
      <c r="A587" s="36"/>
      <c r="B587" s="36"/>
      <c r="C587" s="36"/>
      <c r="D587" s="36"/>
      <c r="E587" s="520"/>
      <c r="F587" s="37"/>
      <c r="G587" s="37"/>
      <c r="H587" s="1"/>
      <c r="I587" s="1"/>
    </row>
    <row r="588" ht="15.75" customHeight="1">
      <c r="A588" s="36"/>
      <c r="B588" s="36"/>
      <c r="C588" s="36"/>
      <c r="D588" s="36"/>
      <c r="E588" s="520"/>
      <c r="F588" s="37"/>
      <c r="G588" s="37"/>
      <c r="H588" s="1"/>
      <c r="I588" s="1"/>
    </row>
    <row r="589" ht="15.75" customHeight="1">
      <c r="A589" s="36"/>
      <c r="B589" s="36"/>
      <c r="C589" s="36"/>
      <c r="D589" s="36"/>
      <c r="E589" s="520"/>
      <c r="F589" s="37"/>
      <c r="G589" s="37"/>
      <c r="H589" s="1"/>
      <c r="I589" s="1"/>
    </row>
    <row r="590" ht="15.75" customHeight="1">
      <c r="A590" s="36"/>
      <c r="B590" s="36"/>
      <c r="C590" s="36"/>
      <c r="D590" s="36"/>
      <c r="E590" s="520"/>
      <c r="F590" s="37"/>
      <c r="G590" s="37"/>
      <c r="H590" s="1"/>
      <c r="I590" s="1"/>
    </row>
    <row r="591" ht="15.75" customHeight="1">
      <c r="A591" s="36"/>
      <c r="B591" s="36"/>
      <c r="C591" s="36"/>
      <c r="D591" s="36"/>
      <c r="E591" s="520"/>
      <c r="F591" s="37"/>
      <c r="G591" s="37"/>
      <c r="H591" s="1"/>
      <c r="I591" s="1"/>
    </row>
    <row r="592" ht="15.75" customHeight="1">
      <c r="A592" s="36"/>
      <c r="B592" s="36"/>
      <c r="C592" s="36"/>
      <c r="D592" s="36"/>
      <c r="E592" s="520"/>
      <c r="F592" s="37"/>
      <c r="G592" s="37"/>
      <c r="H592" s="1"/>
      <c r="I592" s="1"/>
    </row>
    <row r="593" ht="15.75" customHeight="1">
      <c r="A593" s="36"/>
      <c r="B593" s="36"/>
      <c r="C593" s="36"/>
      <c r="D593" s="36"/>
      <c r="E593" s="520"/>
      <c r="F593" s="37"/>
      <c r="G593" s="37"/>
      <c r="H593" s="1"/>
      <c r="I593" s="1"/>
    </row>
    <row r="594" ht="15.75" customHeight="1">
      <c r="A594" s="36"/>
      <c r="B594" s="36"/>
      <c r="C594" s="36"/>
      <c r="D594" s="36"/>
      <c r="E594" s="520"/>
      <c r="F594" s="37"/>
      <c r="G594" s="37"/>
      <c r="H594" s="1"/>
      <c r="I594" s="1"/>
    </row>
    <row r="595" ht="15.75" customHeight="1">
      <c r="A595" s="36"/>
      <c r="B595" s="36"/>
      <c r="C595" s="36"/>
      <c r="D595" s="36"/>
      <c r="E595" s="520"/>
      <c r="F595" s="37"/>
      <c r="G595" s="37"/>
      <c r="H595" s="1"/>
      <c r="I595" s="1"/>
    </row>
    <row r="596" ht="15.75" customHeight="1">
      <c r="A596" s="36"/>
      <c r="B596" s="36"/>
      <c r="C596" s="36"/>
      <c r="D596" s="36"/>
      <c r="E596" s="520"/>
      <c r="F596" s="37"/>
      <c r="G596" s="37"/>
      <c r="H596" s="1"/>
      <c r="I596" s="1"/>
    </row>
    <row r="597" ht="15.75" customHeight="1">
      <c r="A597" s="36"/>
      <c r="B597" s="36"/>
      <c r="C597" s="36"/>
      <c r="D597" s="36"/>
      <c r="E597" s="520"/>
      <c r="F597" s="37"/>
      <c r="G597" s="37"/>
      <c r="H597" s="1"/>
      <c r="I597" s="1"/>
    </row>
    <row r="598" ht="15.75" customHeight="1">
      <c r="A598" s="36"/>
      <c r="B598" s="36"/>
      <c r="C598" s="36"/>
      <c r="D598" s="36"/>
      <c r="E598" s="520"/>
      <c r="F598" s="37"/>
      <c r="G598" s="37"/>
      <c r="H598" s="1"/>
      <c r="I598" s="1"/>
    </row>
    <row r="599" ht="15.75" customHeight="1">
      <c r="A599" s="36"/>
      <c r="B599" s="36"/>
      <c r="C599" s="36"/>
      <c r="D599" s="36"/>
      <c r="E599" s="520"/>
      <c r="F599" s="37"/>
      <c r="G599" s="37"/>
      <c r="H599" s="1"/>
      <c r="I599" s="1"/>
    </row>
    <row r="600" ht="15.75" customHeight="1">
      <c r="A600" s="36"/>
      <c r="B600" s="36"/>
      <c r="C600" s="36"/>
      <c r="D600" s="36"/>
      <c r="E600" s="520"/>
      <c r="F600" s="37"/>
      <c r="G600" s="37"/>
      <c r="H600" s="1"/>
      <c r="I600" s="1"/>
    </row>
    <row r="601" ht="15.75" customHeight="1">
      <c r="A601" s="36"/>
      <c r="B601" s="36"/>
      <c r="C601" s="36"/>
      <c r="D601" s="36"/>
      <c r="E601" s="520"/>
      <c r="F601" s="37"/>
      <c r="G601" s="37"/>
      <c r="H601" s="1"/>
      <c r="I601" s="1"/>
    </row>
    <row r="602" ht="15.75" customHeight="1">
      <c r="A602" s="36"/>
      <c r="B602" s="36"/>
      <c r="C602" s="36"/>
      <c r="D602" s="36"/>
      <c r="E602" s="520"/>
      <c r="F602" s="37"/>
      <c r="G602" s="37"/>
      <c r="H602" s="1"/>
      <c r="I602" s="1"/>
    </row>
    <row r="603" ht="15.75" customHeight="1">
      <c r="A603" s="36"/>
      <c r="B603" s="36"/>
      <c r="C603" s="36"/>
      <c r="D603" s="36"/>
      <c r="E603" s="520"/>
      <c r="F603" s="37"/>
      <c r="G603" s="37"/>
      <c r="H603" s="1"/>
      <c r="I603" s="1"/>
    </row>
    <row r="604" ht="15.75" customHeight="1">
      <c r="A604" s="36"/>
      <c r="B604" s="36"/>
      <c r="C604" s="36"/>
      <c r="D604" s="36"/>
      <c r="E604" s="520"/>
      <c r="F604" s="37"/>
      <c r="G604" s="37"/>
      <c r="H604" s="1"/>
      <c r="I604" s="1"/>
    </row>
    <row r="605" ht="15.75" customHeight="1">
      <c r="A605" s="36"/>
      <c r="B605" s="36"/>
      <c r="C605" s="36"/>
      <c r="D605" s="36"/>
      <c r="E605" s="520"/>
      <c r="F605" s="37"/>
      <c r="G605" s="37"/>
      <c r="H605" s="1"/>
      <c r="I605" s="1"/>
    </row>
    <row r="606" ht="15.75" customHeight="1">
      <c r="A606" s="36"/>
      <c r="B606" s="36"/>
      <c r="C606" s="36"/>
      <c r="D606" s="36"/>
      <c r="E606" s="520"/>
      <c r="F606" s="37"/>
      <c r="G606" s="37"/>
      <c r="H606" s="1"/>
      <c r="I606" s="1"/>
    </row>
    <row r="607" ht="15.75" customHeight="1">
      <c r="A607" s="36"/>
      <c r="B607" s="36"/>
      <c r="C607" s="36"/>
      <c r="D607" s="36"/>
      <c r="E607" s="520"/>
      <c r="F607" s="37"/>
      <c r="G607" s="37"/>
      <c r="H607" s="1"/>
      <c r="I607" s="1"/>
    </row>
    <row r="608" ht="15.75" customHeight="1">
      <c r="A608" s="36"/>
      <c r="B608" s="36"/>
      <c r="C608" s="36"/>
      <c r="D608" s="36"/>
      <c r="E608" s="520"/>
      <c r="F608" s="37"/>
      <c r="G608" s="37"/>
      <c r="H608" s="1"/>
      <c r="I608" s="1"/>
    </row>
    <row r="609" ht="15.75" customHeight="1">
      <c r="A609" s="36"/>
      <c r="B609" s="36"/>
      <c r="C609" s="36"/>
      <c r="D609" s="36"/>
      <c r="E609" s="520"/>
      <c r="F609" s="37"/>
      <c r="G609" s="37"/>
      <c r="H609" s="1"/>
      <c r="I609" s="1"/>
    </row>
    <row r="610" ht="15.75" customHeight="1">
      <c r="A610" s="36"/>
      <c r="B610" s="36"/>
      <c r="C610" s="36"/>
      <c r="D610" s="36"/>
      <c r="E610" s="520"/>
      <c r="F610" s="37"/>
      <c r="G610" s="37"/>
      <c r="H610" s="1"/>
      <c r="I610" s="1"/>
    </row>
    <row r="611" ht="15.75" customHeight="1">
      <c r="A611" s="36"/>
      <c r="B611" s="36"/>
      <c r="C611" s="36"/>
      <c r="D611" s="36"/>
      <c r="E611" s="520"/>
      <c r="F611" s="37"/>
      <c r="G611" s="37"/>
      <c r="H611" s="1"/>
      <c r="I611" s="1"/>
    </row>
    <row r="612" ht="15.75" customHeight="1">
      <c r="A612" s="36"/>
      <c r="B612" s="36"/>
      <c r="C612" s="36"/>
      <c r="D612" s="36"/>
      <c r="E612" s="520"/>
      <c r="F612" s="37"/>
      <c r="G612" s="37"/>
      <c r="H612" s="1"/>
      <c r="I612" s="1"/>
    </row>
    <row r="613" ht="15.75" customHeight="1">
      <c r="A613" s="36"/>
      <c r="B613" s="36"/>
      <c r="C613" s="36"/>
      <c r="D613" s="36"/>
      <c r="E613" s="520"/>
      <c r="F613" s="37"/>
      <c r="G613" s="37"/>
      <c r="H613" s="1"/>
      <c r="I613" s="1"/>
    </row>
    <row r="614" ht="15.75" customHeight="1">
      <c r="A614" s="36"/>
      <c r="B614" s="36"/>
      <c r="C614" s="36"/>
      <c r="D614" s="36"/>
      <c r="E614" s="520"/>
      <c r="F614" s="37"/>
      <c r="G614" s="37"/>
      <c r="H614" s="1"/>
      <c r="I614" s="1"/>
    </row>
    <row r="615" ht="15.75" customHeight="1">
      <c r="A615" s="36"/>
      <c r="B615" s="36"/>
      <c r="C615" s="36"/>
      <c r="D615" s="36"/>
      <c r="E615" s="520"/>
      <c r="F615" s="37"/>
      <c r="G615" s="37"/>
      <c r="H615" s="1"/>
      <c r="I615" s="1"/>
    </row>
    <row r="616" ht="15.75" customHeight="1">
      <c r="A616" s="36"/>
      <c r="B616" s="36"/>
      <c r="C616" s="36"/>
      <c r="D616" s="36"/>
      <c r="E616" s="520"/>
      <c r="F616" s="37"/>
      <c r="G616" s="37"/>
      <c r="H616" s="1"/>
      <c r="I616" s="1"/>
    </row>
    <row r="617" ht="15.75" customHeight="1">
      <c r="A617" s="36"/>
      <c r="B617" s="36"/>
      <c r="C617" s="36"/>
      <c r="D617" s="36"/>
      <c r="E617" s="520"/>
      <c r="F617" s="37"/>
      <c r="G617" s="37"/>
      <c r="H617" s="1"/>
      <c r="I617" s="1"/>
    </row>
    <row r="618" ht="15.75" customHeight="1">
      <c r="A618" s="36"/>
      <c r="B618" s="36"/>
      <c r="C618" s="36"/>
      <c r="D618" s="36"/>
      <c r="E618" s="520"/>
      <c r="F618" s="37"/>
      <c r="G618" s="37"/>
      <c r="H618" s="1"/>
      <c r="I618" s="1"/>
    </row>
    <row r="619" ht="15.75" customHeight="1">
      <c r="A619" s="36"/>
      <c r="B619" s="36"/>
      <c r="C619" s="36"/>
      <c r="D619" s="36"/>
      <c r="E619" s="520"/>
      <c r="F619" s="37"/>
      <c r="G619" s="37"/>
      <c r="H619" s="1"/>
      <c r="I619" s="1"/>
    </row>
    <row r="620" ht="15.75" customHeight="1">
      <c r="A620" s="36"/>
      <c r="B620" s="36"/>
      <c r="C620" s="36"/>
      <c r="D620" s="36"/>
      <c r="E620" s="520"/>
      <c r="F620" s="37"/>
      <c r="G620" s="37"/>
      <c r="H620" s="1"/>
      <c r="I620" s="1"/>
    </row>
    <row r="621" ht="15.75" customHeight="1">
      <c r="A621" s="36"/>
      <c r="B621" s="36"/>
      <c r="C621" s="36"/>
      <c r="D621" s="36"/>
      <c r="E621" s="520"/>
      <c r="F621" s="37"/>
      <c r="G621" s="37"/>
      <c r="H621" s="1"/>
      <c r="I621" s="1"/>
    </row>
    <row r="622" ht="15.75" customHeight="1">
      <c r="A622" s="36"/>
      <c r="B622" s="36"/>
      <c r="C622" s="36"/>
      <c r="D622" s="36"/>
      <c r="E622" s="520"/>
      <c r="F622" s="37"/>
      <c r="G622" s="37"/>
      <c r="H622" s="1"/>
      <c r="I622" s="1"/>
    </row>
    <row r="623" ht="15.75" customHeight="1">
      <c r="A623" s="36"/>
      <c r="B623" s="36"/>
      <c r="C623" s="36"/>
      <c r="D623" s="36"/>
      <c r="E623" s="520"/>
      <c r="F623" s="37"/>
      <c r="G623" s="37"/>
      <c r="H623" s="1"/>
      <c r="I623" s="1"/>
    </row>
    <row r="624" ht="15.75" customHeight="1">
      <c r="A624" s="36"/>
      <c r="B624" s="36"/>
      <c r="C624" s="36"/>
      <c r="D624" s="36"/>
      <c r="E624" s="520"/>
      <c r="F624" s="37"/>
      <c r="G624" s="37"/>
      <c r="H624" s="1"/>
      <c r="I624" s="1"/>
    </row>
    <row r="625" ht="15.75" customHeight="1">
      <c r="A625" s="36"/>
      <c r="B625" s="36"/>
      <c r="C625" s="36"/>
      <c r="D625" s="36"/>
      <c r="E625" s="520"/>
      <c r="F625" s="37"/>
      <c r="G625" s="37"/>
      <c r="H625" s="1"/>
      <c r="I625" s="1"/>
    </row>
    <row r="626" ht="15.75" customHeight="1">
      <c r="A626" s="36"/>
      <c r="B626" s="36"/>
      <c r="C626" s="36"/>
      <c r="D626" s="36"/>
      <c r="E626" s="520"/>
      <c r="F626" s="37"/>
      <c r="G626" s="37"/>
      <c r="H626" s="1"/>
      <c r="I626" s="1"/>
    </row>
    <row r="627" ht="15.75" customHeight="1">
      <c r="A627" s="36"/>
      <c r="B627" s="36"/>
      <c r="C627" s="36"/>
      <c r="D627" s="36"/>
      <c r="E627" s="520"/>
      <c r="F627" s="37"/>
      <c r="G627" s="37"/>
      <c r="H627" s="1"/>
      <c r="I627" s="1"/>
    </row>
    <row r="628" ht="15.75" customHeight="1">
      <c r="A628" s="36"/>
      <c r="B628" s="36"/>
      <c r="C628" s="36"/>
      <c r="D628" s="36"/>
      <c r="E628" s="520"/>
      <c r="F628" s="37"/>
      <c r="G628" s="37"/>
      <c r="H628" s="1"/>
      <c r="I628" s="1"/>
    </row>
    <row r="629" ht="15.75" customHeight="1">
      <c r="A629" s="36"/>
      <c r="B629" s="36"/>
      <c r="C629" s="36"/>
      <c r="D629" s="36"/>
      <c r="E629" s="520"/>
      <c r="F629" s="37"/>
      <c r="G629" s="37"/>
      <c r="H629" s="1"/>
      <c r="I629" s="1"/>
    </row>
    <row r="630" ht="15.75" customHeight="1">
      <c r="A630" s="36"/>
      <c r="B630" s="36"/>
      <c r="C630" s="36"/>
      <c r="D630" s="36"/>
      <c r="E630" s="520"/>
      <c r="F630" s="37"/>
      <c r="G630" s="37"/>
      <c r="H630" s="1"/>
      <c r="I630" s="1"/>
    </row>
    <row r="631" ht="15.75" customHeight="1">
      <c r="A631" s="36"/>
      <c r="B631" s="36"/>
      <c r="C631" s="36"/>
      <c r="D631" s="36"/>
      <c r="E631" s="520"/>
      <c r="F631" s="37"/>
      <c r="G631" s="37"/>
      <c r="H631" s="1"/>
      <c r="I631" s="1"/>
    </row>
    <row r="632" ht="15.75" customHeight="1">
      <c r="A632" s="36"/>
      <c r="B632" s="36"/>
      <c r="C632" s="36"/>
      <c r="D632" s="36"/>
      <c r="E632" s="520"/>
      <c r="F632" s="37"/>
      <c r="G632" s="37"/>
      <c r="H632" s="1"/>
      <c r="I632" s="1"/>
    </row>
    <row r="633" ht="15.75" customHeight="1">
      <c r="A633" s="36"/>
      <c r="B633" s="36"/>
      <c r="C633" s="36"/>
      <c r="D633" s="36"/>
      <c r="E633" s="520"/>
      <c r="F633" s="37"/>
      <c r="G633" s="37"/>
      <c r="H633" s="1"/>
      <c r="I633" s="1"/>
    </row>
    <row r="634" ht="15.75" customHeight="1">
      <c r="A634" s="36"/>
      <c r="B634" s="36"/>
      <c r="C634" s="36"/>
      <c r="D634" s="36"/>
      <c r="E634" s="520"/>
      <c r="F634" s="37"/>
      <c r="G634" s="37"/>
      <c r="H634" s="1"/>
      <c r="I634" s="1"/>
    </row>
    <row r="635" ht="15.75" customHeight="1">
      <c r="A635" s="36"/>
      <c r="B635" s="36"/>
      <c r="C635" s="36"/>
      <c r="D635" s="36"/>
      <c r="E635" s="520"/>
      <c r="F635" s="37"/>
      <c r="G635" s="37"/>
      <c r="H635" s="1"/>
      <c r="I635" s="1"/>
    </row>
    <row r="636" ht="15.75" customHeight="1">
      <c r="A636" s="36"/>
      <c r="B636" s="36"/>
      <c r="C636" s="36"/>
      <c r="D636" s="36"/>
      <c r="E636" s="520"/>
      <c r="F636" s="37"/>
      <c r="G636" s="37"/>
      <c r="H636" s="1"/>
      <c r="I636" s="1"/>
    </row>
    <row r="637" ht="15.75" customHeight="1">
      <c r="A637" s="36"/>
      <c r="B637" s="36"/>
      <c r="C637" s="36"/>
      <c r="D637" s="36"/>
      <c r="E637" s="520"/>
      <c r="F637" s="37"/>
      <c r="G637" s="37"/>
      <c r="H637" s="1"/>
      <c r="I637" s="1"/>
    </row>
    <row r="638" ht="15.75" customHeight="1">
      <c r="A638" s="36"/>
      <c r="B638" s="36"/>
      <c r="C638" s="36"/>
      <c r="D638" s="36"/>
      <c r="E638" s="520"/>
      <c r="F638" s="37"/>
      <c r="G638" s="37"/>
      <c r="H638" s="1"/>
      <c r="I638" s="1"/>
    </row>
    <row r="639" ht="15.75" customHeight="1">
      <c r="A639" s="36"/>
      <c r="B639" s="36"/>
      <c r="C639" s="36"/>
      <c r="D639" s="36"/>
      <c r="E639" s="520"/>
      <c r="F639" s="37"/>
      <c r="G639" s="37"/>
      <c r="H639" s="1"/>
      <c r="I639" s="1"/>
    </row>
    <row r="640" ht="15.75" customHeight="1">
      <c r="A640" s="36"/>
      <c r="B640" s="36"/>
      <c r="C640" s="36"/>
      <c r="D640" s="36"/>
      <c r="E640" s="520"/>
      <c r="F640" s="37"/>
      <c r="G640" s="37"/>
      <c r="H640" s="1"/>
      <c r="I640" s="1"/>
    </row>
    <row r="641" ht="15.75" customHeight="1">
      <c r="A641" s="36"/>
      <c r="B641" s="36"/>
      <c r="C641" s="36"/>
      <c r="D641" s="36"/>
      <c r="E641" s="520"/>
      <c r="F641" s="37"/>
      <c r="G641" s="37"/>
      <c r="H641" s="1"/>
      <c r="I641" s="1"/>
    </row>
    <row r="642" ht="15.75" customHeight="1">
      <c r="A642" s="36"/>
      <c r="B642" s="36"/>
      <c r="C642" s="36"/>
      <c r="D642" s="36"/>
      <c r="E642" s="520"/>
      <c r="F642" s="37"/>
      <c r="G642" s="37"/>
      <c r="H642" s="1"/>
      <c r="I642" s="1"/>
    </row>
    <row r="643" ht="15.75" customHeight="1">
      <c r="A643" s="36"/>
      <c r="B643" s="36"/>
      <c r="C643" s="36"/>
      <c r="D643" s="36"/>
      <c r="E643" s="520"/>
      <c r="F643" s="37"/>
      <c r="G643" s="37"/>
      <c r="H643" s="1"/>
      <c r="I643" s="1"/>
    </row>
    <row r="644" ht="15.75" customHeight="1">
      <c r="A644" s="36"/>
      <c r="B644" s="36"/>
      <c r="C644" s="36"/>
      <c r="D644" s="36"/>
      <c r="E644" s="520"/>
      <c r="F644" s="37"/>
      <c r="G644" s="37"/>
      <c r="H644" s="1"/>
      <c r="I644" s="1"/>
    </row>
    <row r="645" ht="15.75" customHeight="1">
      <c r="A645" s="36"/>
      <c r="B645" s="36"/>
      <c r="C645" s="36"/>
      <c r="D645" s="36"/>
      <c r="E645" s="520"/>
      <c r="F645" s="37"/>
      <c r="G645" s="37"/>
      <c r="H645" s="1"/>
      <c r="I645" s="1"/>
    </row>
    <row r="646" ht="15.75" customHeight="1">
      <c r="A646" s="36"/>
      <c r="B646" s="36"/>
      <c r="C646" s="36"/>
      <c r="D646" s="36"/>
      <c r="E646" s="520"/>
      <c r="F646" s="37"/>
      <c r="G646" s="37"/>
      <c r="H646" s="1"/>
      <c r="I646" s="1"/>
    </row>
    <row r="647" ht="15.75" customHeight="1">
      <c r="A647" s="36"/>
      <c r="B647" s="36"/>
      <c r="C647" s="36"/>
      <c r="D647" s="36"/>
      <c r="E647" s="520"/>
      <c r="F647" s="37"/>
      <c r="G647" s="37"/>
      <c r="H647" s="1"/>
      <c r="I647" s="1"/>
    </row>
    <row r="648" ht="15.75" customHeight="1">
      <c r="A648" s="36"/>
      <c r="B648" s="36"/>
      <c r="C648" s="36"/>
      <c r="D648" s="36"/>
      <c r="E648" s="520"/>
      <c r="F648" s="37"/>
      <c r="G648" s="37"/>
      <c r="H648" s="1"/>
      <c r="I648" s="1"/>
    </row>
    <row r="649" ht="15.75" customHeight="1">
      <c r="A649" s="36"/>
      <c r="B649" s="36"/>
      <c r="C649" s="36"/>
      <c r="D649" s="36"/>
      <c r="E649" s="520"/>
      <c r="F649" s="37"/>
      <c r="G649" s="37"/>
      <c r="H649" s="1"/>
      <c r="I649" s="1"/>
    </row>
    <row r="650" ht="15.75" customHeight="1">
      <c r="A650" s="36"/>
      <c r="B650" s="36"/>
      <c r="C650" s="36"/>
      <c r="D650" s="36"/>
      <c r="E650" s="520"/>
      <c r="F650" s="37"/>
      <c r="G650" s="37"/>
      <c r="H650" s="1"/>
      <c r="I650" s="1"/>
    </row>
    <row r="651" ht="15.75" customHeight="1">
      <c r="A651" s="36"/>
      <c r="B651" s="36"/>
      <c r="C651" s="36"/>
      <c r="D651" s="36"/>
      <c r="E651" s="520"/>
      <c r="F651" s="37"/>
      <c r="G651" s="37"/>
      <c r="H651" s="1"/>
      <c r="I651" s="1"/>
    </row>
    <row r="652" ht="15.75" customHeight="1">
      <c r="A652" s="36"/>
      <c r="B652" s="36"/>
      <c r="C652" s="36"/>
      <c r="D652" s="36"/>
      <c r="E652" s="520"/>
      <c r="F652" s="37"/>
      <c r="G652" s="37"/>
      <c r="H652" s="1"/>
      <c r="I652" s="1"/>
    </row>
    <row r="653" ht="15.75" customHeight="1">
      <c r="A653" s="36"/>
      <c r="B653" s="36"/>
      <c r="C653" s="36"/>
      <c r="D653" s="36"/>
      <c r="E653" s="520"/>
      <c r="F653" s="37"/>
      <c r="G653" s="37"/>
      <c r="H653" s="1"/>
      <c r="I653" s="1"/>
    </row>
    <row r="654" ht="15.75" customHeight="1">
      <c r="A654" s="36"/>
      <c r="B654" s="36"/>
      <c r="C654" s="36"/>
      <c r="D654" s="36"/>
      <c r="E654" s="520"/>
      <c r="F654" s="37"/>
      <c r="G654" s="37"/>
      <c r="H654" s="1"/>
      <c r="I654" s="1"/>
    </row>
    <row r="655" ht="15.75" customHeight="1">
      <c r="A655" s="36"/>
      <c r="B655" s="36"/>
      <c r="C655" s="36"/>
      <c r="D655" s="36"/>
      <c r="E655" s="520"/>
      <c r="F655" s="37"/>
      <c r="G655" s="37"/>
      <c r="H655" s="1"/>
      <c r="I655" s="1"/>
    </row>
    <row r="656" ht="15.75" customHeight="1">
      <c r="A656" s="36"/>
      <c r="B656" s="36"/>
      <c r="C656" s="36"/>
      <c r="D656" s="36"/>
      <c r="E656" s="520"/>
      <c r="F656" s="37"/>
      <c r="G656" s="37"/>
      <c r="H656" s="1"/>
      <c r="I656" s="1"/>
    </row>
    <row r="657" ht="15.75" customHeight="1">
      <c r="A657" s="36"/>
      <c r="B657" s="36"/>
      <c r="C657" s="36"/>
      <c r="D657" s="36"/>
      <c r="E657" s="520"/>
      <c r="F657" s="37"/>
      <c r="G657" s="37"/>
      <c r="H657" s="1"/>
      <c r="I657" s="1"/>
    </row>
    <row r="658" ht="15.75" customHeight="1">
      <c r="A658" s="36"/>
      <c r="B658" s="36"/>
      <c r="C658" s="36"/>
      <c r="D658" s="36"/>
      <c r="E658" s="520"/>
      <c r="F658" s="37"/>
      <c r="G658" s="37"/>
      <c r="H658" s="1"/>
      <c r="I658" s="1"/>
    </row>
    <row r="659" ht="15.75" customHeight="1">
      <c r="A659" s="36"/>
      <c r="B659" s="36"/>
      <c r="C659" s="36"/>
      <c r="D659" s="36"/>
      <c r="E659" s="520"/>
      <c r="F659" s="37"/>
      <c r="G659" s="37"/>
      <c r="H659" s="1"/>
      <c r="I659" s="1"/>
    </row>
    <row r="660" ht="15.75" customHeight="1">
      <c r="A660" s="36"/>
      <c r="B660" s="36"/>
      <c r="C660" s="36"/>
      <c r="D660" s="36"/>
      <c r="E660" s="520"/>
      <c r="F660" s="37"/>
      <c r="G660" s="37"/>
      <c r="H660" s="1"/>
      <c r="I660" s="1"/>
    </row>
    <row r="661" ht="15.75" customHeight="1">
      <c r="A661" s="36"/>
      <c r="B661" s="36"/>
      <c r="C661" s="36"/>
      <c r="D661" s="36"/>
      <c r="E661" s="520"/>
      <c r="F661" s="37"/>
      <c r="G661" s="37"/>
      <c r="H661" s="1"/>
      <c r="I661" s="1"/>
    </row>
    <row r="662" ht="15.75" customHeight="1">
      <c r="A662" s="36"/>
      <c r="B662" s="36"/>
      <c r="C662" s="36"/>
      <c r="D662" s="36"/>
      <c r="E662" s="520"/>
      <c r="F662" s="37"/>
      <c r="G662" s="37"/>
      <c r="H662" s="1"/>
      <c r="I662" s="1"/>
    </row>
    <row r="663" ht="15.75" customHeight="1">
      <c r="A663" s="36"/>
      <c r="B663" s="36"/>
      <c r="C663" s="36"/>
      <c r="D663" s="36"/>
      <c r="E663" s="520"/>
      <c r="F663" s="37"/>
      <c r="G663" s="37"/>
      <c r="H663" s="1"/>
      <c r="I663" s="1"/>
    </row>
    <row r="664" ht="15.75" customHeight="1">
      <c r="A664" s="36"/>
      <c r="B664" s="36"/>
      <c r="C664" s="36"/>
      <c r="D664" s="36"/>
      <c r="E664" s="520"/>
      <c r="F664" s="37"/>
      <c r="G664" s="37"/>
      <c r="H664" s="1"/>
      <c r="I664" s="1"/>
    </row>
    <row r="665" ht="15.75" customHeight="1">
      <c r="A665" s="36"/>
      <c r="B665" s="36"/>
      <c r="C665" s="36"/>
      <c r="D665" s="36"/>
      <c r="E665" s="520"/>
      <c r="F665" s="37"/>
      <c r="G665" s="37"/>
      <c r="H665" s="1"/>
      <c r="I665" s="1"/>
    </row>
    <row r="666" ht="15.75" customHeight="1">
      <c r="A666" s="36"/>
      <c r="B666" s="36"/>
      <c r="C666" s="36"/>
      <c r="D666" s="36"/>
      <c r="E666" s="520"/>
      <c r="F666" s="37"/>
      <c r="G666" s="37"/>
      <c r="H666" s="1"/>
      <c r="I666" s="1"/>
    </row>
    <row r="667" ht="15.75" customHeight="1">
      <c r="A667" s="36"/>
      <c r="B667" s="36"/>
      <c r="C667" s="36"/>
      <c r="D667" s="36"/>
      <c r="E667" s="520"/>
      <c r="F667" s="37"/>
      <c r="G667" s="37"/>
      <c r="H667" s="1"/>
      <c r="I667" s="1"/>
    </row>
    <row r="668" ht="15.75" customHeight="1">
      <c r="A668" s="36"/>
      <c r="B668" s="36"/>
      <c r="C668" s="36"/>
      <c r="D668" s="36"/>
      <c r="E668" s="520"/>
      <c r="F668" s="37"/>
      <c r="G668" s="37"/>
      <c r="H668" s="1"/>
      <c r="I668" s="1"/>
    </row>
    <row r="669" ht="15.75" customHeight="1">
      <c r="A669" s="36"/>
      <c r="B669" s="36"/>
      <c r="C669" s="36"/>
      <c r="D669" s="36"/>
      <c r="E669" s="520"/>
      <c r="F669" s="37"/>
      <c r="G669" s="37"/>
      <c r="H669" s="1"/>
      <c r="I669" s="1"/>
    </row>
    <row r="670" ht="15.75" customHeight="1">
      <c r="A670" s="36"/>
      <c r="B670" s="36"/>
      <c r="C670" s="36"/>
      <c r="D670" s="36"/>
      <c r="E670" s="520"/>
      <c r="F670" s="37"/>
      <c r="G670" s="37"/>
      <c r="H670" s="1"/>
      <c r="I670" s="1"/>
    </row>
    <row r="671" ht="15.75" customHeight="1">
      <c r="A671" s="36"/>
      <c r="B671" s="36"/>
      <c r="C671" s="36"/>
      <c r="D671" s="36"/>
      <c r="E671" s="520"/>
      <c r="F671" s="37"/>
      <c r="G671" s="37"/>
      <c r="H671" s="1"/>
      <c r="I671" s="1"/>
    </row>
    <row r="672" ht="15.75" customHeight="1">
      <c r="A672" s="36"/>
      <c r="B672" s="36"/>
      <c r="C672" s="36"/>
      <c r="D672" s="36"/>
      <c r="E672" s="520"/>
      <c r="F672" s="37"/>
      <c r="G672" s="37"/>
      <c r="H672" s="1"/>
      <c r="I672" s="1"/>
    </row>
    <row r="673" ht="15.75" customHeight="1">
      <c r="A673" s="36"/>
      <c r="B673" s="36"/>
      <c r="C673" s="36"/>
      <c r="D673" s="36"/>
      <c r="E673" s="520"/>
      <c r="F673" s="37"/>
      <c r="G673" s="37"/>
      <c r="H673" s="1"/>
      <c r="I673" s="1"/>
    </row>
    <row r="674" ht="15.75" customHeight="1">
      <c r="A674" s="36"/>
      <c r="B674" s="36"/>
      <c r="C674" s="36"/>
      <c r="D674" s="36"/>
      <c r="E674" s="520"/>
      <c r="F674" s="37"/>
      <c r="G674" s="37"/>
      <c r="H674" s="1"/>
      <c r="I674" s="1"/>
    </row>
    <row r="675" ht="15.75" customHeight="1">
      <c r="A675" s="36"/>
      <c r="B675" s="36"/>
      <c r="C675" s="36"/>
      <c r="D675" s="36"/>
      <c r="E675" s="520"/>
      <c r="F675" s="37"/>
      <c r="G675" s="37"/>
      <c r="H675" s="1"/>
      <c r="I675" s="1"/>
    </row>
    <row r="676" ht="15.75" customHeight="1">
      <c r="A676" s="36"/>
      <c r="B676" s="36"/>
      <c r="C676" s="36"/>
      <c r="D676" s="36"/>
      <c r="E676" s="520"/>
      <c r="F676" s="37"/>
      <c r="G676" s="37"/>
      <c r="H676" s="1"/>
      <c r="I676" s="1"/>
    </row>
    <row r="677" ht="15.75" customHeight="1">
      <c r="A677" s="36"/>
      <c r="B677" s="36"/>
      <c r="C677" s="36"/>
      <c r="D677" s="36"/>
      <c r="E677" s="520"/>
      <c r="F677" s="37"/>
      <c r="G677" s="37"/>
      <c r="H677" s="1"/>
      <c r="I677" s="1"/>
    </row>
    <row r="678" ht="15.75" customHeight="1">
      <c r="A678" s="36"/>
      <c r="B678" s="36"/>
      <c r="C678" s="36"/>
      <c r="D678" s="36"/>
      <c r="E678" s="520"/>
      <c r="F678" s="37"/>
      <c r="G678" s="37"/>
      <c r="H678" s="1"/>
      <c r="I678" s="1"/>
    </row>
    <row r="679" ht="15.75" customHeight="1">
      <c r="A679" s="36"/>
      <c r="B679" s="36"/>
      <c r="C679" s="36"/>
      <c r="D679" s="36"/>
      <c r="E679" s="520"/>
      <c r="F679" s="37"/>
      <c r="G679" s="37"/>
      <c r="H679" s="1"/>
      <c r="I679" s="1"/>
    </row>
    <row r="680" ht="15.75" customHeight="1">
      <c r="A680" s="36"/>
      <c r="B680" s="36"/>
      <c r="C680" s="36"/>
      <c r="D680" s="36"/>
      <c r="E680" s="520"/>
      <c r="F680" s="37"/>
      <c r="G680" s="37"/>
      <c r="H680" s="1"/>
      <c r="I680" s="1"/>
    </row>
    <row r="681" ht="15.75" customHeight="1">
      <c r="A681" s="36"/>
      <c r="B681" s="36"/>
      <c r="C681" s="36"/>
      <c r="D681" s="36"/>
      <c r="E681" s="520"/>
      <c r="F681" s="37"/>
      <c r="G681" s="37"/>
      <c r="H681" s="1"/>
      <c r="I681" s="1"/>
    </row>
    <row r="682" ht="15.75" customHeight="1">
      <c r="A682" s="36"/>
      <c r="B682" s="36"/>
      <c r="C682" s="36"/>
      <c r="D682" s="36"/>
      <c r="E682" s="520"/>
      <c r="F682" s="37"/>
      <c r="G682" s="37"/>
      <c r="H682" s="1"/>
      <c r="I682" s="1"/>
    </row>
    <row r="683" ht="15.75" customHeight="1">
      <c r="A683" s="36"/>
      <c r="B683" s="36"/>
      <c r="C683" s="36"/>
      <c r="D683" s="36"/>
      <c r="E683" s="520"/>
      <c r="F683" s="37"/>
      <c r="G683" s="37"/>
      <c r="H683" s="1"/>
      <c r="I683" s="1"/>
    </row>
    <row r="684" ht="15.75" customHeight="1">
      <c r="A684" s="36"/>
      <c r="B684" s="36"/>
      <c r="C684" s="36"/>
      <c r="D684" s="36"/>
      <c r="E684" s="520"/>
      <c r="F684" s="37"/>
      <c r="G684" s="37"/>
      <c r="H684" s="1"/>
      <c r="I684" s="1"/>
    </row>
    <row r="685" ht="15.75" customHeight="1">
      <c r="A685" s="36"/>
      <c r="B685" s="36"/>
      <c r="C685" s="36"/>
      <c r="D685" s="36"/>
      <c r="E685" s="520"/>
      <c r="F685" s="37"/>
      <c r="G685" s="37"/>
      <c r="H685" s="1"/>
      <c r="I685" s="1"/>
    </row>
    <row r="686" ht="15.75" customHeight="1">
      <c r="A686" s="36"/>
      <c r="B686" s="36"/>
      <c r="C686" s="36"/>
      <c r="D686" s="36"/>
      <c r="E686" s="520"/>
      <c r="F686" s="37"/>
      <c r="G686" s="37"/>
      <c r="H686" s="1"/>
      <c r="I686" s="1"/>
    </row>
    <row r="687" ht="15.75" customHeight="1">
      <c r="A687" s="36"/>
      <c r="B687" s="36"/>
      <c r="C687" s="36"/>
      <c r="D687" s="36"/>
      <c r="E687" s="520"/>
      <c r="F687" s="37"/>
      <c r="G687" s="37"/>
      <c r="H687" s="1"/>
      <c r="I687" s="1"/>
    </row>
    <row r="688" ht="15.75" customHeight="1">
      <c r="A688" s="36"/>
      <c r="B688" s="36"/>
      <c r="C688" s="36"/>
      <c r="D688" s="36"/>
      <c r="E688" s="520"/>
      <c r="F688" s="37"/>
      <c r="G688" s="37"/>
      <c r="H688" s="1"/>
      <c r="I688" s="1"/>
    </row>
    <row r="689" ht="15.75" customHeight="1">
      <c r="A689" s="36"/>
      <c r="B689" s="36"/>
      <c r="C689" s="36"/>
      <c r="D689" s="36"/>
      <c r="E689" s="520"/>
      <c r="F689" s="37"/>
      <c r="G689" s="37"/>
      <c r="H689" s="1"/>
      <c r="I689" s="1"/>
    </row>
    <row r="690" ht="15.75" customHeight="1">
      <c r="A690" s="36"/>
      <c r="B690" s="36"/>
      <c r="C690" s="36"/>
      <c r="D690" s="36"/>
      <c r="E690" s="520"/>
      <c r="F690" s="37"/>
      <c r="G690" s="37"/>
      <c r="H690" s="1"/>
      <c r="I690" s="1"/>
    </row>
    <row r="691" ht="15.75" customHeight="1">
      <c r="A691" s="36"/>
      <c r="B691" s="36"/>
      <c r="C691" s="36"/>
      <c r="D691" s="36"/>
      <c r="E691" s="520"/>
      <c r="F691" s="37"/>
      <c r="G691" s="37"/>
      <c r="H691" s="1"/>
      <c r="I691" s="1"/>
    </row>
    <row r="692" ht="15.75" customHeight="1">
      <c r="A692" s="36"/>
      <c r="B692" s="36"/>
      <c r="C692" s="36"/>
      <c r="D692" s="36"/>
      <c r="E692" s="520"/>
      <c r="F692" s="37"/>
      <c r="G692" s="37"/>
      <c r="H692" s="1"/>
      <c r="I692" s="1"/>
    </row>
    <row r="693" ht="15.75" customHeight="1">
      <c r="A693" s="36"/>
      <c r="B693" s="36"/>
      <c r="C693" s="36"/>
      <c r="D693" s="36"/>
      <c r="E693" s="520"/>
      <c r="F693" s="37"/>
      <c r="G693" s="37"/>
      <c r="H693" s="1"/>
      <c r="I693" s="1"/>
    </row>
    <row r="694" ht="15.75" customHeight="1">
      <c r="A694" s="36"/>
      <c r="B694" s="36"/>
      <c r="C694" s="36"/>
      <c r="D694" s="36"/>
      <c r="E694" s="520"/>
      <c r="F694" s="37"/>
      <c r="G694" s="37"/>
      <c r="H694" s="1"/>
      <c r="I694" s="1"/>
    </row>
    <row r="695" ht="15.75" customHeight="1">
      <c r="A695" s="36"/>
      <c r="B695" s="36"/>
      <c r="C695" s="36"/>
      <c r="D695" s="36"/>
      <c r="E695" s="520"/>
      <c r="F695" s="37"/>
      <c r="G695" s="37"/>
      <c r="H695" s="1"/>
      <c r="I695" s="1"/>
    </row>
    <row r="696" ht="15.75" customHeight="1">
      <c r="A696" s="36"/>
      <c r="B696" s="36"/>
      <c r="C696" s="36"/>
      <c r="D696" s="36"/>
      <c r="E696" s="520"/>
      <c r="F696" s="37"/>
      <c r="G696" s="37"/>
      <c r="H696" s="1"/>
      <c r="I696" s="1"/>
    </row>
    <row r="697" ht="15.75" customHeight="1">
      <c r="A697" s="36"/>
      <c r="B697" s="36"/>
      <c r="C697" s="36"/>
      <c r="D697" s="36"/>
      <c r="E697" s="520"/>
      <c r="F697" s="37"/>
      <c r="G697" s="37"/>
      <c r="H697" s="1"/>
      <c r="I697" s="1"/>
    </row>
    <row r="698" ht="15.75" customHeight="1">
      <c r="A698" s="36"/>
      <c r="B698" s="36"/>
      <c r="C698" s="36"/>
      <c r="D698" s="36"/>
      <c r="E698" s="520"/>
      <c r="F698" s="37"/>
      <c r="G698" s="37"/>
      <c r="H698" s="1"/>
      <c r="I698" s="1"/>
    </row>
    <row r="699" ht="15.75" customHeight="1">
      <c r="A699" s="36"/>
      <c r="B699" s="36"/>
      <c r="C699" s="36"/>
      <c r="D699" s="36"/>
      <c r="E699" s="520"/>
      <c r="F699" s="37"/>
      <c r="G699" s="37"/>
      <c r="H699" s="1"/>
      <c r="I699" s="1"/>
    </row>
    <row r="700" ht="15.75" customHeight="1">
      <c r="A700" s="36"/>
      <c r="B700" s="36"/>
      <c r="C700" s="36"/>
      <c r="D700" s="36"/>
      <c r="E700" s="520"/>
      <c r="F700" s="37"/>
      <c r="G700" s="37"/>
      <c r="H700" s="1"/>
      <c r="I700" s="1"/>
    </row>
    <row r="701" ht="15.75" customHeight="1">
      <c r="A701" s="36"/>
      <c r="B701" s="36"/>
      <c r="C701" s="36"/>
      <c r="D701" s="36"/>
      <c r="E701" s="520"/>
      <c r="F701" s="37"/>
      <c r="G701" s="37"/>
      <c r="H701" s="1"/>
      <c r="I701" s="1"/>
    </row>
    <row r="702" ht="15.75" customHeight="1">
      <c r="A702" s="36"/>
      <c r="B702" s="36"/>
      <c r="C702" s="36"/>
      <c r="D702" s="36"/>
      <c r="E702" s="520"/>
      <c r="F702" s="37"/>
      <c r="G702" s="37"/>
      <c r="H702" s="1"/>
      <c r="I702" s="1"/>
    </row>
    <row r="703" ht="15.75" customHeight="1">
      <c r="A703" s="36"/>
      <c r="B703" s="36"/>
      <c r="C703" s="36"/>
      <c r="D703" s="36"/>
      <c r="E703" s="520"/>
      <c r="F703" s="37"/>
      <c r="G703" s="37"/>
      <c r="H703" s="1"/>
      <c r="I703" s="1"/>
    </row>
    <row r="704" ht="15.75" customHeight="1">
      <c r="A704" s="36"/>
      <c r="B704" s="36"/>
      <c r="C704" s="36"/>
      <c r="D704" s="36"/>
      <c r="E704" s="520"/>
      <c r="F704" s="37"/>
      <c r="G704" s="37"/>
      <c r="H704" s="1"/>
      <c r="I704" s="1"/>
    </row>
    <row r="705" ht="15.75" customHeight="1">
      <c r="A705" s="36"/>
      <c r="B705" s="36"/>
      <c r="C705" s="36"/>
      <c r="D705" s="36"/>
      <c r="E705" s="520"/>
      <c r="F705" s="37"/>
      <c r="G705" s="37"/>
      <c r="H705" s="1"/>
      <c r="I705" s="1"/>
    </row>
    <row r="706" ht="15.75" customHeight="1">
      <c r="A706" s="36"/>
      <c r="B706" s="36"/>
      <c r="C706" s="36"/>
      <c r="D706" s="36"/>
      <c r="E706" s="520"/>
      <c r="F706" s="37"/>
      <c r="G706" s="37"/>
      <c r="H706" s="1"/>
      <c r="I706" s="1"/>
    </row>
    <row r="707" ht="15.75" customHeight="1">
      <c r="A707" s="36"/>
      <c r="B707" s="36"/>
      <c r="C707" s="36"/>
      <c r="D707" s="36"/>
      <c r="E707" s="520"/>
      <c r="F707" s="37"/>
      <c r="G707" s="37"/>
      <c r="H707" s="1"/>
      <c r="I707" s="1"/>
    </row>
    <row r="708" ht="15.75" customHeight="1">
      <c r="A708" s="36"/>
      <c r="B708" s="36"/>
      <c r="C708" s="36"/>
      <c r="D708" s="36"/>
      <c r="E708" s="520"/>
      <c r="F708" s="37"/>
      <c r="G708" s="37"/>
      <c r="H708" s="1"/>
      <c r="I708" s="1"/>
    </row>
    <row r="709" ht="15.75" customHeight="1">
      <c r="A709" s="36"/>
      <c r="B709" s="36"/>
      <c r="C709" s="36"/>
      <c r="D709" s="36"/>
      <c r="E709" s="520"/>
      <c r="F709" s="37"/>
      <c r="G709" s="37"/>
      <c r="H709" s="1"/>
      <c r="I709" s="1"/>
    </row>
    <row r="710" ht="15.75" customHeight="1">
      <c r="A710" s="36"/>
      <c r="B710" s="36"/>
      <c r="C710" s="36"/>
      <c r="D710" s="36"/>
      <c r="E710" s="520"/>
      <c r="F710" s="37"/>
      <c r="G710" s="37"/>
      <c r="H710" s="1"/>
      <c r="I710" s="1"/>
    </row>
    <row r="711" ht="15.75" customHeight="1">
      <c r="A711" s="36"/>
      <c r="B711" s="36"/>
      <c r="C711" s="36"/>
      <c r="D711" s="36"/>
      <c r="E711" s="520"/>
      <c r="F711" s="37"/>
      <c r="G711" s="37"/>
      <c r="H711" s="1"/>
      <c r="I711" s="1"/>
    </row>
    <row r="712" ht="15.75" customHeight="1">
      <c r="A712" s="36"/>
      <c r="B712" s="36"/>
      <c r="C712" s="36"/>
      <c r="D712" s="36"/>
      <c r="E712" s="520"/>
      <c r="F712" s="37"/>
      <c r="G712" s="37"/>
      <c r="H712" s="1"/>
      <c r="I712" s="1"/>
    </row>
    <row r="713" ht="15.75" customHeight="1">
      <c r="A713" s="36"/>
      <c r="B713" s="36"/>
      <c r="C713" s="36"/>
      <c r="D713" s="36"/>
      <c r="E713" s="520"/>
      <c r="F713" s="37"/>
      <c r="G713" s="37"/>
      <c r="H713" s="1"/>
      <c r="I713" s="1"/>
    </row>
    <row r="714" ht="15.75" customHeight="1">
      <c r="A714" s="36"/>
      <c r="B714" s="36"/>
      <c r="C714" s="36"/>
      <c r="D714" s="36"/>
      <c r="E714" s="520"/>
      <c r="F714" s="37"/>
      <c r="G714" s="37"/>
      <c r="H714" s="1"/>
      <c r="I714" s="1"/>
    </row>
    <row r="715" ht="15.75" customHeight="1">
      <c r="A715" s="36"/>
      <c r="B715" s="36"/>
      <c r="C715" s="36"/>
      <c r="D715" s="36"/>
      <c r="E715" s="520"/>
      <c r="F715" s="37"/>
      <c r="G715" s="37"/>
      <c r="H715" s="1"/>
      <c r="I715" s="1"/>
    </row>
    <row r="716" ht="15.75" customHeight="1">
      <c r="A716" s="36"/>
      <c r="B716" s="36"/>
      <c r="C716" s="36"/>
      <c r="D716" s="36"/>
      <c r="E716" s="520"/>
      <c r="F716" s="37"/>
      <c r="G716" s="37"/>
      <c r="H716" s="1"/>
      <c r="I716" s="1"/>
    </row>
    <row r="717" ht="15.75" customHeight="1">
      <c r="A717" s="36"/>
      <c r="B717" s="36"/>
      <c r="C717" s="36"/>
      <c r="D717" s="36"/>
      <c r="E717" s="520"/>
      <c r="F717" s="37"/>
      <c r="G717" s="37"/>
      <c r="H717" s="1"/>
      <c r="I717" s="1"/>
    </row>
    <row r="718" ht="15.75" customHeight="1">
      <c r="A718" s="36"/>
      <c r="B718" s="36"/>
      <c r="C718" s="36"/>
      <c r="D718" s="36"/>
      <c r="E718" s="520"/>
      <c r="F718" s="37"/>
      <c r="G718" s="37"/>
      <c r="H718" s="1"/>
      <c r="I718" s="1"/>
    </row>
    <row r="719" ht="15.75" customHeight="1">
      <c r="A719" s="36"/>
      <c r="B719" s="36"/>
      <c r="C719" s="36"/>
      <c r="D719" s="36"/>
      <c r="E719" s="520"/>
      <c r="F719" s="37"/>
      <c r="G719" s="37"/>
      <c r="H719" s="1"/>
      <c r="I719" s="1"/>
    </row>
    <row r="720" ht="15.75" customHeight="1">
      <c r="A720" s="36"/>
      <c r="B720" s="36"/>
      <c r="C720" s="36"/>
      <c r="D720" s="36"/>
      <c r="E720" s="520"/>
      <c r="F720" s="37"/>
      <c r="G720" s="37"/>
      <c r="H720" s="1"/>
      <c r="I720" s="1"/>
    </row>
    <row r="721" ht="15.75" customHeight="1">
      <c r="A721" s="36"/>
      <c r="B721" s="36"/>
      <c r="C721" s="36"/>
      <c r="D721" s="36"/>
      <c r="E721" s="520"/>
      <c r="F721" s="37"/>
      <c r="G721" s="37"/>
      <c r="H721" s="1"/>
      <c r="I721" s="1"/>
    </row>
    <row r="722" ht="15.75" customHeight="1">
      <c r="A722" s="36"/>
      <c r="B722" s="36"/>
      <c r="C722" s="36"/>
      <c r="D722" s="36"/>
      <c r="E722" s="520"/>
      <c r="F722" s="37"/>
      <c r="G722" s="37"/>
      <c r="H722" s="1"/>
      <c r="I722" s="1"/>
    </row>
    <row r="723" ht="15.75" customHeight="1">
      <c r="A723" s="36"/>
      <c r="B723" s="36"/>
      <c r="C723" s="36"/>
      <c r="D723" s="36"/>
      <c r="E723" s="520"/>
      <c r="F723" s="37"/>
      <c r="G723" s="37"/>
      <c r="H723" s="1"/>
      <c r="I723" s="1"/>
    </row>
    <row r="724" ht="15.75" customHeight="1">
      <c r="A724" s="36"/>
      <c r="B724" s="36"/>
      <c r="C724" s="36"/>
      <c r="D724" s="36"/>
      <c r="E724" s="520"/>
      <c r="F724" s="37"/>
      <c r="G724" s="37"/>
      <c r="H724" s="1"/>
      <c r="I724" s="1"/>
    </row>
    <row r="725" ht="15.75" customHeight="1">
      <c r="A725" s="36"/>
      <c r="B725" s="36"/>
      <c r="C725" s="36"/>
      <c r="D725" s="36"/>
      <c r="E725" s="520"/>
      <c r="F725" s="37"/>
      <c r="G725" s="37"/>
      <c r="H725" s="1"/>
      <c r="I725" s="1"/>
    </row>
    <row r="726" ht="15.75" customHeight="1">
      <c r="A726" s="36"/>
      <c r="B726" s="36"/>
      <c r="C726" s="36"/>
      <c r="D726" s="36"/>
      <c r="E726" s="520"/>
      <c r="F726" s="37"/>
      <c r="G726" s="37"/>
      <c r="H726" s="1"/>
      <c r="I726" s="1"/>
    </row>
    <row r="727" ht="15.75" customHeight="1">
      <c r="A727" s="36"/>
      <c r="B727" s="36"/>
      <c r="C727" s="36"/>
      <c r="D727" s="36"/>
      <c r="E727" s="520"/>
      <c r="F727" s="37"/>
      <c r="G727" s="37"/>
      <c r="H727" s="1"/>
      <c r="I727" s="1"/>
    </row>
    <row r="728" ht="15.75" customHeight="1">
      <c r="A728" s="36"/>
      <c r="B728" s="36"/>
      <c r="C728" s="36"/>
      <c r="D728" s="36"/>
      <c r="E728" s="520"/>
      <c r="F728" s="37"/>
      <c r="G728" s="37"/>
      <c r="H728" s="1"/>
      <c r="I728" s="1"/>
    </row>
    <row r="729" ht="15.75" customHeight="1">
      <c r="A729" s="36"/>
      <c r="B729" s="36"/>
      <c r="C729" s="36"/>
      <c r="D729" s="36"/>
      <c r="E729" s="520"/>
      <c r="F729" s="37"/>
      <c r="G729" s="37"/>
      <c r="H729" s="1"/>
      <c r="I729" s="1"/>
    </row>
    <row r="730" ht="15.75" customHeight="1">
      <c r="A730" s="36"/>
      <c r="B730" s="36"/>
      <c r="C730" s="36"/>
      <c r="D730" s="36"/>
      <c r="E730" s="520"/>
      <c r="F730" s="37"/>
      <c r="G730" s="37"/>
      <c r="H730" s="1"/>
      <c r="I730" s="1"/>
    </row>
    <row r="731" ht="15.75" customHeight="1">
      <c r="A731" s="36"/>
      <c r="B731" s="36"/>
      <c r="C731" s="36"/>
      <c r="D731" s="36"/>
      <c r="E731" s="520"/>
      <c r="F731" s="37"/>
      <c r="G731" s="37"/>
      <c r="H731" s="1"/>
      <c r="I731" s="1"/>
    </row>
    <row r="732" ht="15.75" customHeight="1">
      <c r="A732" s="36"/>
      <c r="B732" s="36"/>
      <c r="C732" s="36"/>
      <c r="D732" s="36"/>
      <c r="E732" s="520"/>
      <c r="F732" s="37"/>
      <c r="G732" s="37"/>
      <c r="H732" s="1"/>
      <c r="I732" s="1"/>
    </row>
    <row r="733" ht="15.75" customHeight="1">
      <c r="A733" s="36"/>
      <c r="B733" s="36"/>
      <c r="C733" s="36"/>
      <c r="D733" s="36"/>
      <c r="E733" s="520"/>
      <c r="F733" s="37"/>
      <c r="G733" s="37"/>
      <c r="H733" s="1"/>
      <c r="I733" s="1"/>
    </row>
    <row r="734" ht="15.75" customHeight="1">
      <c r="A734" s="36"/>
      <c r="B734" s="36"/>
      <c r="C734" s="36"/>
      <c r="D734" s="36"/>
      <c r="E734" s="520"/>
      <c r="F734" s="37"/>
      <c r="G734" s="37"/>
      <c r="H734" s="1"/>
      <c r="I734" s="1"/>
    </row>
    <row r="735" ht="15.75" customHeight="1">
      <c r="A735" s="36"/>
      <c r="B735" s="36"/>
      <c r="C735" s="36"/>
      <c r="D735" s="36"/>
      <c r="E735" s="520"/>
      <c r="F735" s="37"/>
      <c r="G735" s="37"/>
      <c r="H735" s="1"/>
      <c r="I735" s="1"/>
    </row>
    <row r="736" ht="15.75" customHeight="1">
      <c r="A736" s="36"/>
      <c r="B736" s="36"/>
      <c r="C736" s="36"/>
      <c r="D736" s="36"/>
      <c r="E736" s="520"/>
      <c r="F736" s="37"/>
      <c r="G736" s="37"/>
      <c r="H736" s="1"/>
      <c r="I736" s="1"/>
    </row>
    <row r="737" ht="15.75" customHeight="1">
      <c r="A737" s="36"/>
      <c r="B737" s="36"/>
      <c r="C737" s="36"/>
      <c r="D737" s="36"/>
      <c r="E737" s="520"/>
      <c r="F737" s="37"/>
      <c r="G737" s="37"/>
      <c r="H737" s="1"/>
      <c r="I737" s="1"/>
    </row>
    <row r="738" ht="15.75" customHeight="1">
      <c r="A738" s="36"/>
      <c r="B738" s="36"/>
      <c r="C738" s="36"/>
      <c r="D738" s="36"/>
      <c r="E738" s="520"/>
      <c r="F738" s="37"/>
      <c r="G738" s="37"/>
      <c r="H738" s="1"/>
      <c r="I738" s="1"/>
    </row>
    <row r="739" ht="15.75" customHeight="1">
      <c r="A739" s="36"/>
      <c r="B739" s="36"/>
      <c r="C739" s="36"/>
      <c r="D739" s="36"/>
      <c r="E739" s="520"/>
      <c r="F739" s="37"/>
      <c r="G739" s="37"/>
      <c r="H739" s="1"/>
      <c r="I739" s="1"/>
    </row>
    <row r="740" ht="15.75" customHeight="1">
      <c r="A740" s="36"/>
      <c r="B740" s="36"/>
      <c r="C740" s="36"/>
      <c r="D740" s="36"/>
      <c r="E740" s="520"/>
      <c r="F740" s="37"/>
      <c r="G740" s="37"/>
      <c r="H740" s="1"/>
      <c r="I740" s="1"/>
    </row>
    <row r="741" ht="15.75" customHeight="1">
      <c r="A741" s="36"/>
      <c r="B741" s="36"/>
      <c r="C741" s="36"/>
      <c r="D741" s="36"/>
      <c r="E741" s="520"/>
      <c r="F741" s="37"/>
      <c r="G741" s="37"/>
      <c r="H741" s="1"/>
      <c r="I741" s="1"/>
    </row>
    <row r="742" ht="15.75" customHeight="1">
      <c r="A742" s="36"/>
      <c r="B742" s="36"/>
      <c r="C742" s="36"/>
      <c r="D742" s="36"/>
      <c r="E742" s="520"/>
      <c r="F742" s="37"/>
      <c r="G742" s="37"/>
      <c r="H742" s="1"/>
      <c r="I742" s="1"/>
    </row>
    <row r="743" ht="15.75" customHeight="1">
      <c r="A743" s="36"/>
      <c r="B743" s="36"/>
      <c r="C743" s="36"/>
      <c r="D743" s="36"/>
      <c r="E743" s="520"/>
      <c r="F743" s="37"/>
      <c r="G743" s="37"/>
      <c r="H743" s="1"/>
      <c r="I743" s="1"/>
    </row>
    <row r="744" ht="15.75" customHeight="1">
      <c r="A744" s="36"/>
      <c r="B744" s="36"/>
      <c r="C744" s="36"/>
      <c r="D744" s="36"/>
      <c r="E744" s="520"/>
      <c r="F744" s="37"/>
      <c r="G744" s="37"/>
      <c r="H744" s="1"/>
      <c r="I744" s="1"/>
    </row>
    <row r="745" ht="15.75" customHeight="1">
      <c r="A745" s="36"/>
      <c r="B745" s="36"/>
      <c r="C745" s="36"/>
      <c r="D745" s="36"/>
      <c r="E745" s="520"/>
      <c r="F745" s="37"/>
      <c r="G745" s="37"/>
      <c r="H745" s="1"/>
      <c r="I745" s="1"/>
    </row>
    <row r="746" ht="15.75" customHeight="1">
      <c r="A746" s="36"/>
      <c r="B746" s="36"/>
      <c r="C746" s="36"/>
      <c r="D746" s="36"/>
      <c r="E746" s="520"/>
      <c r="F746" s="37"/>
      <c r="G746" s="37"/>
      <c r="H746" s="1"/>
      <c r="I746" s="1"/>
    </row>
    <row r="747" ht="15.75" customHeight="1">
      <c r="A747" s="36"/>
      <c r="B747" s="36"/>
      <c r="C747" s="36"/>
      <c r="D747" s="36"/>
      <c r="E747" s="520"/>
      <c r="F747" s="37"/>
      <c r="G747" s="37"/>
      <c r="H747" s="1"/>
      <c r="I747" s="1"/>
    </row>
    <row r="748" ht="15.75" customHeight="1">
      <c r="A748" s="36"/>
      <c r="B748" s="36"/>
      <c r="C748" s="36"/>
      <c r="D748" s="36"/>
      <c r="E748" s="520"/>
      <c r="F748" s="37"/>
      <c r="G748" s="37"/>
      <c r="H748" s="1"/>
      <c r="I748" s="1"/>
    </row>
    <row r="749" ht="15.75" customHeight="1">
      <c r="A749" s="36"/>
      <c r="B749" s="36"/>
      <c r="C749" s="36"/>
      <c r="D749" s="36"/>
      <c r="E749" s="520"/>
      <c r="F749" s="37"/>
      <c r="G749" s="37"/>
      <c r="H749" s="1"/>
      <c r="I749" s="1"/>
    </row>
    <row r="750" ht="15.75" customHeight="1">
      <c r="A750" s="36"/>
      <c r="B750" s="36"/>
      <c r="C750" s="36"/>
      <c r="D750" s="36"/>
      <c r="E750" s="520"/>
      <c r="F750" s="37"/>
      <c r="G750" s="37"/>
      <c r="H750" s="1"/>
      <c r="I750" s="1"/>
    </row>
    <row r="751" ht="15.75" customHeight="1">
      <c r="A751" s="36"/>
      <c r="B751" s="36"/>
      <c r="C751" s="36"/>
      <c r="D751" s="36"/>
      <c r="E751" s="520"/>
      <c r="F751" s="37"/>
      <c r="G751" s="37"/>
      <c r="H751" s="1"/>
      <c r="I751" s="1"/>
    </row>
    <row r="752" ht="15.75" customHeight="1">
      <c r="A752" s="36"/>
      <c r="B752" s="36"/>
      <c r="C752" s="36"/>
      <c r="D752" s="36"/>
      <c r="E752" s="520"/>
      <c r="F752" s="37"/>
      <c r="G752" s="37"/>
      <c r="H752" s="1"/>
      <c r="I752" s="1"/>
    </row>
    <row r="753" ht="15.75" customHeight="1">
      <c r="A753" s="36"/>
      <c r="B753" s="36"/>
      <c r="C753" s="36"/>
      <c r="D753" s="36"/>
      <c r="E753" s="520"/>
      <c r="F753" s="37"/>
      <c r="G753" s="37"/>
      <c r="H753" s="1"/>
      <c r="I753" s="1"/>
    </row>
    <row r="754" ht="15.75" customHeight="1">
      <c r="A754" s="36"/>
      <c r="B754" s="36"/>
      <c r="C754" s="36"/>
      <c r="D754" s="36"/>
      <c r="E754" s="520"/>
      <c r="F754" s="37"/>
      <c r="G754" s="37"/>
      <c r="H754" s="1"/>
      <c r="I754" s="1"/>
    </row>
    <row r="755" ht="15.75" customHeight="1">
      <c r="A755" s="36"/>
      <c r="B755" s="36"/>
      <c r="C755" s="36"/>
      <c r="D755" s="36"/>
      <c r="E755" s="520"/>
      <c r="F755" s="37"/>
      <c r="G755" s="37"/>
      <c r="H755" s="1"/>
      <c r="I755" s="1"/>
    </row>
    <row r="756" ht="15.75" customHeight="1">
      <c r="A756" s="36"/>
      <c r="B756" s="36"/>
      <c r="C756" s="36"/>
      <c r="D756" s="36"/>
      <c r="E756" s="520"/>
      <c r="F756" s="37"/>
      <c r="G756" s="37"/>
      <c r="H756" s="1"/>
      <c r="I756" s="1"/>
    </row>
    <row r="757" ht="15.75" customHeight="1">
      <c r="A757" s="36"/>
      <c r="B757" s="36"/>
      <c r="C757" s="36"/>
      <c r="D757" s="36"/>
      <c r="E757" s="520"/>
      <c r="F757" s="37"/>
      <c r="G757" s="37"/>
      <c r="H757" s="1"/>
      <c r="I757" s="1"/>
    </row>
    <row r="758" ht="15.75" customHeight="1">
      <c r="A758" s="36"/>
      <c r="B758" s="36"/>
      <c r="C758" s="36"/>
      <c r="D758" s="36"/>
      <c r="E758" s="520"/>
      <c r="F758" s="37"/>
      <c r="G758" s="37"/>
      <c r="H758" s="1"/>
      <c r="I758" s="1"/>
    </row>
    <row r="759" ht="15.75" customHeight="1">
      <c r="A759" s="36"/>
      <c r="B759" s="36"/>
      <c r="C759" s="36"/>
      <c r="D759" s="36"/>
      <c r="E759" s="520"/>
      <c r="F759" s="37"/>
      <c r="G759" s="37"/>
      <c r="H759" s="1"/>
      <c r="I759" s="1"/>
    </row>
    <row r="760" ht="15.75" customHeight="1">
      <c r="A760" s="36"/>
      <c r="B760" s="36"/>
      <c r="C760" s="36"/>
      <c r="D760" s="36"/>
      <c r="E760" s="520"/>
      <c r="F760" s="37"/>
      <c r="G760" s="37"/>
      <c r="H760" s="1"/>
      <c r="I760" s="1"/>
    </row>
    <row r="761" ht="15.75" customHeight="1">
      <c r="A761" s="36"/>
      <c r="B761" s="36"/>
      <c r="C761" s="36"/>
      <c r="D761" s="36"/>
      <c r="E761" s="520"/>
      <c r="F761" s="37"/>
      <c r="G761" s="37"/>
      <c r="H761" s="1"/>
      <c r="I761" s="1"/>
    </row>
    <row r="762" ht="15.75" customHeight="1">
      <c r="A762" s="36"/>
      <c r="B762" s="36"/>
      <c r="C762" s="36"/>
      <c r="D762" s="36"/>
      <c r="E762" s="520"/>
      <c r="F762" s="37"/>
      <c r="G762" s="37"/>
      <c r="H762" s="1"/>
      <c r="I762" s="1"/>
    </row>
    <row r="763" ht="15.75" customHeight="1">
      <c r="A763" s="36"/>
      <c r="B763" s="36"/>
      <c r="C763" s="36"/>
      <c r="D763" s="36"/>
      <c r="E763" s="520"/>
      <c r="F763" s="37"/>
      <c r="G763" s="37"/>
      <c r="H763" s="1"/>
      <c r="I763" s="1"/>
    </row>
    <row r="764" ht="15.75" customHeight="1">
      <c r="A764" s="36"/>
      <c r="B764" s="36"/>
      <c r="C764" s="36"/>
      <c r="D764" s="36"/>
      <c r="E764" s="520"/>
      <c r="F764" s="37"/>
      <c r="G764" s="37"/>
      <c r="H764" s="1"/>
      <c r="I764" s="1"/>
    </row>
    <row r="765" ht="15.75" customHeight="1">
      <c r="A765" s="36"/>
      <c r="B765" s="36"/>
      <c r="C765" s="36"/>
      <c r="D765" s="36"/>
      <c r="E765" s="520"/>
      <c r="F765" s="37"/>
      <c r="G765" s="37"/>
      <c r="H765" s="1"/>
      <c r="I765" s="1"/>
    </row>
    <row r="766" ht="15.75" customHeight="1">
      <c r="A766" s="36"/>
      <c r="B766" s="36"/>
      <c r="C766" s="36"/>
      <c r="D766" s="36"/>
      <c r="E766" s="520"/>
      <c r="F766" s="37"/>
      <c r="G766" s="37"/>
      <c r="H766" s="1"/>
      <c r="I766" s="1"/>
    </row>
    <row r="767" ht="15.75" customHeight="1">
      <c r="A767" s="36"/>
      <c r="B767" s="36"/>
      <c r="C767" s="36"/>
      <c r="D767" s="36"/>
      <c r="E767" s="520"/>
      <c r="F767" s="37"/>
      <c r="G767" s="37"/>
      <c r="H767" s="1"/>
      <c r="I767" s="1"/>
    </row>
    <row r="768" ht="15.75" customHeight="1">
      <c r="A768" s="36"/>
      <c r="B768" s="36"/>
      <c r="C768" s="36"/>
      <c r="D768" s="36"/>
      <c r="E768" s="520"/>
      <c r="F768" s="37"/>
      <c r="G768" s="37"/>
      <c r="H768" s="1"/>
      <c r="I768" s="1"/>
    </row>
    <row r="769" ht="15.75" customHeight="1">
      <c r="A769" s="36"/>
      <c r="B769" s="36"/>
      <c r="C769" s="36"/>
      <c r="D769" s="36"/>
      <c r="E769" s="520"/>
      <c r="F769" s="37"/>
      <c r="G769" s="37"/>
      <c r="H769" s="1"/>
      <c r="I769" s="1"/>
    </row>
    <row r="770" ht="15.75" customHeight="1">
      <c r="A770" s="36"/>
      <c r="B770" s="36"/>
      <c r="C770" s="36"/>
      <c r="D770" s="36"/>
      <c r="E770" s="520"/>
      <c r="F770" s="37"/>
      <c r="G770" s="37"/>
      <c r="H770" s="1"/>
      <c r="I770" s="1"/>
    </row>
    <row r="771" ht="15.75" customHeight="1">
      <c r="A771" s="36"/>
      <c r="B771" s="36"/>
      <c r="C771" s="36"/>
      <c r="D771" s="36"/>
      <c r="E771" s="520"/>
      <c r="F771" s="37"/>
      <c r="G771" s="37"/>
      <c r="H771" s="1"/>
      <c r="I771" s="1"/>
    </row>
    <row r="772" ht="15.75" customHeight="1">
      <c r="A772" s="36"/>
      <c r="B772" s="36"/>
      <c r="C772" s="36"/>
      <c r="D772" s="36"/>
      <c r="E772" s="520"/>
      <c r="F772" s="37"/>
      <c r="G772" s="37"/>
      <c r="H772" s="1"/>
      <c r="I772" s="1"/>
    </row>
    <row r="773" ht="15.75" customHeight="1">
      <c r="A773" s="36"/>
      <c r="B773" s="36"/>
      <c r="C773" s="36"/>
      <c r="D773" s="36"/>
      <c r="E773" s="520"/>
      <c r="F773" s="37"/>
      <c r="G773" s="37"/>
      <c r="H773" s="1"/>
      <c r="I773" s="1"/>
    </row>
    <row r="774" ht="15.75" customHeight="1">
      <c r="A774" s="36"/>
      <c r="B774" s="36"/>
      <c r="C774" s="36"/>
      <c r="D774" s="36"/>
      <c r="E774" s="520"/>
      <c r="F774" s="37"/>
      <c r="G774" s="37"/>
      <c r="H774" s="1"/>
      <c r="I774" s="1"/>
    </row>
    <row r="775" ht="15.75" customHeight="1">
      <c r="A775" s="36"/>
      <c r="B775" s="36"/>
      <c r="C775" s="36"/>
      <c r="D775" s="36"/>
      <c r="E775" s="520"/>
      <c r="F775" s="37"/>
      <c r="G775" s="37"/>
      <c r="H775" s="1"/>
      <c r="I775" s="1"/>
    </row>
    <row r="776" ht="15.75" customHeight="1">
      <c r="A776" s="36"/>
      <c r="B776" s="36"/>
      <c r="C776" s="36"/>
      <c r="D776" s="36"/>
      <c r="E776" s="520"/>
      <c r="F776" s="37"/>
      <c r="G776" s="37"/>
      <c r="H776" s="1"/>
      <c r="I776" s="1"/>
    </row>
    <row r="777" ht="15.75" customHeight="1">
      <c r="A777" s="36"/>
      <c r="B777" s="36"/>
      <c r="C777" s="36"/>
      <c r="D777" s="36"/>
      <c r="E777" s="520"/>
      <c r="F777" s="37"/>
      <c r="G777" s="37"/>
      <c r="H777" s="1"/>
      <c r="I777" s="1"/>
    </row>
    <row r="778" ht="15.75" customHeight="1">
      <c r="A778" s="36"/>
      <c r="B778" s="36"/>
      <c r="C778" s="36"/>
      <c r="D778" s="36"/>
      <c r="E778" s="520"/>
      <c r="F778" s="37"/>
      <c r="G778" s="37"/>
      <c r="H778" s="1"/>
      <c r="I778" s="1"/>
    </row>
    <row r="779" ht="15.75" customHeight="1">
      <c r="A779" s="36"/>
      <c r="B779" s="36"/>
      <c r="C779" s="36"/>
      <c r="D779" s="36"/>
      <c r="E779" s="520"/>
      <c r="F779" s="37"/>
      <c r="G779" s="37"/>
      <c r="H779" s="1"/>
      <c r="I779" s="1"/>
    </row>
    <row r="780" ht="15.75" customHeight="1">
      <c r="A780" s="36"/>
      <c r="B780" s="36"/>
      <c r="C780" s="36"/>
      <c r="D780" s="36"/>
      <c r="E780" s="520"/>
      <c r="F780" s="37"/>
      <c r="G780" s="37"/>
      <c r="H780" s="1"/>
      <c r="I780" s="1"/>
    </row>
    <row r="781" ht="15.75" customHeight="1">
      <c r="A781" s="36"/>
      <c r="B781" s="36"/>
      <c r="C781" s="36"/>
      <c r="D781" s="36"/>
      <c r="E781" s="520"/>
      <c r="F781" s="37"/>
      <c r="G781" s="37"/>
      <c r="H781" s="1"/>
      <c r="I781" s="1"/>
    </row>
    <row r="782" ht="15.75" customHeight="1">
      <c r="A782" s="36"/>
      <c r="B782" s="36"/>
      <c r="C782" s="36"/>
      <c r="D782" s="36"/>
      <c r="E782" s="520"/>
      <c r="F782" s="37"/>
      <c r="G782" s="37"/>
      <c r="H782" s="1"/>
      <c r="I782" s="1"/>
    </row>
    <row r="783" ht="15.75" customHeight="1">
      <c r="A783" s="36"/>
      <c r="B783" s="36"/>
      <c r="C783" s="36"/>
      <c r="D783" s="36"/>
      <c r="E783" s="520"/>
      <c r="F783" s="37"/>
      <c r="G783" s="37"/>
      <c r="H783" s="1"/>
      <c r="I783" s="1"/>
    </row>
    <row r="784" ht="15.75" customHeight="1">
      <c r="A784" s="36"/>
      <c r="B784" s="36"/>
      <c r="C784" s="36"/>
      <c r="D784" s="36"/>
      <c r="E784" s="520"/>
      <c r="F784" s="37"/>
      <c r="G784" s="37"/>
      <c r="H784" s="1"/>
      <c r="I784" s="1"/>
    </row>
    <row r="785" ht="15.75" customHeight="1">
      <c r="A785" s="36"/>
      <c r="B785" s="36"/>
      <c r="C785" s="36"/>
      <c r="D785" s="36"/>
      <c r="E785" s="520"/>
      <c r="F785" s="37"/>
      <c r="G785" s="37"/>
      <c r="H785" s="1"/>
      <c r="I785" s="1"/>
    </row>
    <row r="786" ht="15.75" customHeight="1">
      <c r="A786" s="36"/>
      <c r="B786" s="36"/>
      <c r="C786" s="36"/>
      <c r="D786" s="36"/>
      <c r="E786" s="520"/>
      <c r="F786" s="37"/>
      <c r="G786" s="37"/>
      <c r="H786" s="1"/>
      <c r="I786" s="1"/>
    </row>
    <row r="787" ht="15.75" customHeight="1">
      <c r="A787" s="36"/>
      <c r="B787" s="36"/>
      <c r="C787" s="36"/>
      <c r="D787" s="36"/>
      <c r="E787" s="520"/>
      <c r="F787" s="37"/>
      <c r="G787" s="37"/>
      <c r="H787" s="1"/>
      <c r="I787" s="1"/>
    </row>
    <row r="788" ht="15.75" customHeight="1">
      <c r="A788" s="36"/>
      <c r="B788" s="36"/>
      <c r="C788" s="36"/>
      <c r="D788" s="36"/>
      <c r="E788" s="520"/>
      <c r="F788" s="37"/>
      <c r="G788" s="37"/>
      <c r="H788" s="1"/>
      <c r="I788" s="1"/>
    </row>
    <row r="789" ht="15.75" customHeight="1">
      <c r="A789" s="36"/>
      <c r="B789" s="36"/>
      <c r="C789" s="36"/>
      <c r="D789" s="36"/>
      <c r="E789" s="520"/>
      <c r="F789" s="37"/>
      <c r="G789" s="37"/>
      <c r="H789" s="1"/>
      <c r="I789" s="1"/>
    </row>
    <row r="790" ht="15.75" customHeight="1">
      <c r="A790" s="36"/>
      <c r="B790" s="36"/>
      <c r="C790" s="36"/>
      <c r="D790" s="36"/>
      <c r="E790" s="520"/>
      <c r="F790" s="37"/>
      <c r="G790" s="37"/>
      <c r="H790" s="1"/>
      <c r="I790" s="1"/>
    </row>
    <row r="791" ht="15.75" customHeight="1">
      <c r="A791" s="36"/>
      <c r="B791" s="36"/>
      <c r="C791" s="36"/>
      <c r="D791" s="36"/>
      <c r="E791" s="520"/>
      <c r="F791" s="37"/>
      <c r="G791" s="37"/>
      <c r="H791" s="1"/>
      <c r="I791" s="1"/>
    </row>
    <row r="792" ht="15.75" customHeight="1">
      <c r="A792" s="36"/>
      <c r="B792" s="36"/>
      <c r="C792" s="36"/>
      <c r="D792" s="36"/>
      <c r="E792" s="520"/>
      <c r="F792" s="37"/>
      <c r="G792" s="37"/>
      <c r="H792" s="1"/>
      <c r="I792" s="1"/>
    </row>
    <row r="793" ht="15.75" customHeight="1">
      <c r="A793" s="36"/>
      <c r="B793" s="36"/>
      <c r="C793" s="36"/>
      <c r="D793" s="36"/>
      <c r="E793" s="520"/>
      <c r="F793" s="37"/>
      <c r="G793" s="37"/>
      <c r="H793" s="1"/>
      <c r="I793" s="1"/>
    </row>
    <row r="794" ht="15.75" customHeight="1">
      <c r="A794" s="36"/>
      <c r="B794" s="36"/>
      <c r="C794" s="36"/>
      <c r="D794" s="36"/>
      <c r="E794" s="520"/>
      <c r="F794" s="37"/>
      <c r="G794" s="37"/>
      <c r="H794" s="1"/>
      <c r="I794" s="1"/>
    </row>
    <row r="795" ht="15.75" customHeight="1">
      <c r="A795" s="36"/>
      <c r="B795" s="36"/>
      <c r="C795" s="36"/>
      <c r="D795" s="36"/>
      <c r="E795" s="520"/>
      <c r="F795" s="37"/>
      <c r="G795" s="37"/>
      <c r="H795" s="1"/>
      <c r="I795" s="1"/>
    </row>
    <row r="796" ht="15.75" customHeight="1">
      <c r="A796" s="36"/>
      <c r="B796" s="36"/>
      <c r="C796" s="36"/>
      <c r="D796" s="36"/>
      <c r="E796" s="520"/>
      <c r="F796" s="37"/>
      <c r="G796" s="37"/>
      <c r="H796" s="1"/>
      <c r="I796" s="1"/>
    </row>
    <row r="797" ht="15.75" customHeight="1">
      <c r="A797" s="36"/>
      <c r="B797" s="36"/>
      <c r="C797" s="36"/>
      <c r="D797" s="36"/>
      <c r="E797" s="520"/>
      <c r="F797" s="37"/>
      <c r="G797" s="37"/>
      <c r="H797" s="1"/>
      <c r="I797" s="1"/>
    </row>
    <row r="798" ht="15.75" customHeight="1">
      <c r="A798" s="36"/>
      <c r="B798" s="36"/>
      <c r="C798" s="36"/>
      <c r="D798" s="36"/>
      <c r="E798" s="520"/>
      <c r="F798" s="37"/>
      <c r="G798" s="37"/>
      <c r="H798" s="1"/>
      <c r="I798" s="1"/>
    </row>
    <row r="799" ht="15.75" customHeight="1">
      <c r="A799" s="36"/>
      <c r="B799" s="36"/>
      <c r="C799" s="36"/>
      <c r="D799" s="36"/>
      <c r="E799" s="520"/>
      <c r="F799" s="37"/>
      <c r="G799" s="37"/>
      <c r="H799" s="1"/>
      <c r="I799" s="1"/>
    </row>
    <row r="800" ht="15.75" customHeight="1">
      <c r="A800" s="36"/>
      <c r="B800" s="36"/>
      <c r="C800" s="36"/>
      <c r="D800" s="36"/>
      <c r="E800" s="520"/>
      <c r="F800" s="37"/>
      <c r="G800" s="37"/>
      <c r="H800" s="1"/>
      <c r="I800" s="1"/>
    </row>
    <row r="801" ht="15.75" customHeight="1">
      <c r="A801" s="36"/>
      <c r="B801" s="36"/>
      <c r="C801" s="36"/>
      <c r="D801" s="36"/>
      <c r="E801" s="520"/>
      <c r="F801" s="37"/>
      <c r="G801" s="37"/>
      <c r="H801" s="1"/>
      <c r="I801" s="1"/>
    </row>
    <row r="802" ht="15.75" customHeight="1">
      <c r="A802" s="36"/>
      <c r="B802" s="36"/>
      <c r="C802" s="36"/>
      <c r="D802" s="36"/>
      <c r="E802" s="520"/>
      <c r="F802" s="37"/>
      <c r="G802" s="37"/>
      <c r="H802" s="1"/>
      <c r="I802" s="1"/>
    </row>
    <row r="803" ht="15.75" customHeight="1">
      <c r="A803" s="36"/>
      <c r="B803" s="36"/>
      <c r="C803" s="36"/>
      <c r="D803" s="36"/>
      <c r="E803" s="520"/>
      <c r="F803" s="37"/>
      <c r="G803" s="37"/>
      <c r="H803" s="1"/>
      <c r="I803" s="1"/>
    </row>
    <row r="804" ht="15.75" customHeight="1">
      <c r="A804" s="36"/>
      <c r="B804" s="36"/>
      <c r="C804" s="36"/>
      <c r="D804" s="36"/>
      <c r="E804" s="520"/>
      <c r="F804" s="37"/>
      <c r="G804" s="37"/>
      <c r="H804" s="1"/>
      <c r="I804" s="1"/>
    </row>
    <row r="805" ht="15.75" customHeight="1">
      <c r="A805" s="36"/>
      <c r="B805" s="36"/>
      <c r="C805" s="36"/>
      <c r="D805" s="36"/>
      <c r="E805" s="520"/>
      <c r="F805" s="37"/>
      <c r="G805" s="37"/>
      <c r="H805" s="1"/>
      <c r="I805" s="1"/>
    </row>
    <row r="806" ht="15.75" customHeight="1">
      <c r="A806" s="36"/>
      <c r="B806" s="36"/>
      <c r="C806" s="36"/>
      <c r="D806" s="36"/>
      <c r="E806" s="520"/>
      <c r="F806" s="37"/>
      <c r="G806" s="37"/>
      <c r="H806" s="1"/>
      <c r="I806" s="1"/>
    </row>
    <row r="807" ht="15.75" customHeight="1">
      <c r="A807" s="36"/>
      <c r="B807" s="36"/>
      <c r="C807" s="36"/>
      <c r="D807" s="36"/>
      <c r="E807" s="520"/>
      <c r="F807" s="37"/>
      <c r="G807" s="37"/>
      <c r="H807" s="1"/>
      <c r="I807" s="1"/>
    </row>
    <row r="808" ht="15.75" customHeight="1">
      <c r="A808" s="36"/>
      <c r="B808" s="36"/>
      <c r="C808" s="36"/>
      <c r="D808" s="36"/>
      <c r="E808" s="520"/>
      <c r="F808" s="37"/>
      <c r="G808" s="37"/>
      <c r="H808" s="1"/>
      <c r="I808" s="1"/>
    </row>
    <row r="809" ht="15.75" customHeight="1">
      <c r="A809" s="36"/>
      <c r="B809" s="36"/>
      <c r="C809" s="36"/>
      <c r="D809" s="36"/>
      <c r="E809" s="520"/>
      <c r="F809" s="37"/>
      <c r="G809" s="37"/>
      <c r="H809" s="1"/>
      <c r="I809" s="1"/>
    </row>
    <row r="810" ht="15.75" customHeight="1">
      <c r="A810" s="36"/>
      <c r="B810" s="36"/>
      <c r="C810" s="36"/>
      <c r="D810" s="36"/>
      <c r="E810" s="520"/>
      <c r="F810" s="37"/>
      <c r="G810" s="37"/>
      <c r="H810" s="1"/>
      <c r="I810" s="1"/>
    </row>
    <row r="811" ht="15.75" customHeight="1">
      <c r="A811" s="36"/>
      <c r="B811" s="36"/>
      <c r="C811" s="36"/>
      <c r="D811" s="36"/>
      <c r="E811" s="520"/>
      <c r="F811" s="37"/>
      <c r="G811" s="37"/>
      <c r="H811" s="1"/>
      <c r="I811" s="1"/>
    </row>
    <row r="812" ht="15.75" customHeight="1">
      <c r="A812" s="36"/>
      <c r="B812" s="36"/>
      <c r="C812" s="36"/>
      <c r="D812" s="36"/>
      <c r="E812" s="520"/>
      <c r="F812" s="37"/>
      <c r="G812" s="37"/>
      <c r="H812" s="1"/>
      <c r="I812" s="1"/>
    </row>
    <row r="813" ht="15.75" customHeight="1">
      <c r="A813" s="36"/>
      <c r="B813" s="36"/>
      <c r="C813" s="36"/>
      <c r="D813" s="36"/>
      <c r="E813" s="520"/>
      <c r="F813" s="37"/>
      <c r="G813" s="37"/>
      <c r="H813" s="1"/>
      <c r="I813" s="1"/>
    </row>
    <row r="814" ht="15.75" customHeight="1">
      <c r="A814" s="36"/>
      <c r="B814" s="36"/>
      <c r="C814" s="36"/>
      <c r="D814" s="36"/>
      <c r="E814" s="520"/>
      <c r="F814" s="37"/>
      <c r="G814" s="37"/>
      <c r="H814" s="1"/>
      <c r="I814" s="1"/>
    </row>
    <row r="815" ht="15.75" customHeight="1">
      <c r="A815" s="36"/>
      <c r="B815" s="36"/>
      <c r="C815" s="36"/>
      <c r="D815" s="36"/>
      <c r="E815" s="520"/>
      <c r="F815" s="37"/>
      <c r="G815" s="37"/>
      <c r="H815" s="1"/>
      <c r="I815" s="1"/>
    </row>
    <row r="816" ht="15.75" customHeight="1">
      <c r="A816" s="36"/>
      <c r="B816" s="36"/>
      <c r="C816" s="36"/>
      <c r="D816" s="36"/>
      <c r="E816" s="520"/>
      <c r="F816" s="37"/>
      <c r="G816" s="37"/>
      <c r="H816" s="1"/>
      <c r="I816" s="1"/>
    </row>
    <row r="817" ht="15.75" customHeight="1">
      <c r="A817" s="36"/>
      <c r="B817" s="36"/>
      <c r="C817" s="36"/>
      <c r="D817" s="36"/>
      <c r="E817" s="520"/>
      <c r="F817" s="37"/>
      <c r="G817" s="37"/>
      <c r="H817" s="1"/>
      <c r="I817" s="1"/>
    </row>
    <row r="818" ht="15.75" customHeight="1">
      <c r="A818" s="36"/>
      <c r="B818" s="36"/>
      <c r="C818" s="36"/>
      <c r="D818" s="36"/>
      <c r="E818" s="520"/>
      <c r="F818" s="37"/>
      <c r="G818" s="37"/>
      <c r="H818" s="1"/>
      <c r="I818" s="1"/>
    </row>
    <row r="819" ht="15.75" customHeight="1">
      <c r="A819" s="36"/>
      <c r="B819" s="36"/>
      <c r="C819" s="36"/>
      <c r="D819" s="36"/>
      <c r="E819" s="520"/>
      <c r="F819" s="37"/>
      <c r="G819" s="37"/>
      <c r="H819" s="1"/>
      <c r="I819" s="1"/>
    </row>
    <row r="820" ht="15.75" customHeight="1">
      <c r="A820" s="36"/>
      <c r="B820" s="36"/>
      <c r="C820" s="36"/>
      <c r="D820" s="36"/>
      <c r="E820" s="520"/>
      <c r="F820" s="37"/>
      <c r="G820" s="37"/>
      <c r="H820" s="1"/>
      <c r="I820" s="1"/>
    </row>
    <row r="821" ht="15.75" customHeight="1">
      <c r="A821" s="36"/>
      <c r="B821" s="36"/>
      <c r="C821" s="36"/>
      <c r="D821" s="36"/>
      <c r="E821" s="520"/>
      <c r="F821" s="37"/>
      <c r="G821" s="37"/>
      <c r="H821" s="1"/>
      <c r="I821" s="1"/>
    </row>
    <row r="822" ht="15.75" customHeight="1">
      <c r="A822" s="36"/>
      <c r="B822" s="36"/>
      <c r="C822" s="36"/>
      <c r="D822" s="36"/>
      <c r="E822" s="520"/>
      <c r="F822" s="37"/>
      <c r="G822" s="37"/>
      <c r="H822" s="1"/>
      <c r="I822" s="1"/>
    </row>
    <row r="823" ht="15.75" customHeight="1">
      <c r="A823" s="36"/>
      <c r="B823" s="36"/>
      <c r="C823" s="36"/>
      <c r="D823" s="36"/>
      <c r="E823" s="520"/>
      <c r="F823" s="37"/>
      <c r="G823" s="37"/>
      <c r="H823" s="1"/>
      <c r="I823" s="1"/>
    </row>
    <row r="824" ht="15.75" customHeight="1">
      <c r="A824" s="36"/>
      <c r="B824" s="36"/>
      <c r="C824" s="36"/>
      <c r="D824" s="36"/>
      <c r="E824" s="520"/>
      <c r="F824" s="37"/>
      <c r="G824" s="37"/>
      <c r="H824" s="1"/>
      <c r="I824" s="1"/>
    </row>
    <row r="825" ht="15.75" customHeight="1">
      <c r="A825" s="36"/>
      <c r="B825" s="36"/>
      <c r="C825" s="36"/>
      <c r="D825" s="36"/>
      <c r="E825" s="520"/>
      <c r="F825" s="37"/>
      <c r="G825" s="37"/>
      <c r="H825" s="1"/>
      <c r="I825" s="1"/>
    </row>
    <row r="826" ht="15.75" customHeight="1">
      <c r="A826" s="36"/>
      <c r="B826" s="36"/>
      <c r="C826" s="36"/>
      <c r="D826" s="36"/>
      <c r="E826" s="520"/>
      <c r="F826" s="37"/>
      <c r="G826" s="37"/>
      <c r="H826" s="1"/>
      <c r="I826" s="1"/>
    </row>
    <row r="827" ht="15.75" customHeight="1">
      <c r="A827" s="36"/>
      <c r="B827" s="36"/>
      <c r="C827" s="36"/>
      <c r="D827" s="36"/>
      <c r="E827" s="520"/>
      <c r="F827" s="37"/>
      <c r="G827" s="37"/>
      <c r="H827" s="1"/>
      <c r="I827" s="1"/>
    </row>
    <row r="828" ht="15.75" customHeight="1">
      <c r="A828" s="36"/>
      <c r="B828" s="36"/>
      <c r="C828" s="36"/>
      <c r="D828" s="36"/>
      <c r="E828" s="520"/>
      <c r="F828" s="37"/>
      <c r="G828" s="37"/>
      <c r="H828" s="1"/>
      <c r="I828" s="1"/>
    </row>
    <row r="829" ht="15.75" customHeight="1">
      <c r="A829" s="36"/>
      <c r="B829" s="36"/>
      <c r="C829" s="36"/>
      <c r="D829" s="36"/>
      <c r="E829" s="520"/>
      <c r="F829" s="37"/>
      <c r="G829" s="37"/>
      <c r="H829" s="1"/>
      <c r="I829" s="1"/>
    </row>
    <row r="830" ht="15.75" customHeight="1">
      <c r="A830" s="36"/>
      <c r="B830" s="36"/>
      <c r="C830" s="36"/>
      <c r="D830" s="36"/>
      <c r="E830" s="520"/>
      <c r="F830" s="37"/>
      <c r="G830" s="37"/>
      <c r="H830" s="1"/>
      <c r="I830" s="1"/>
    </row>
    <row r="831" ht="15.75" customHeight="1">
      <c r="A831" s="36"/>
      <c r="B831" s="36"/>
      <c r="C831" s="36"/>
      <c r="D831" s="36"/>
      <c r="E831" s="520"/>
      <c r="F831" s="37"/>
      <c r="G831" s="37"/>
      <c r="H831" s="1"/>
      <c r="I831" s="1"/>
    </row>
    <row r="832" ht="15.75" customHeight="1">
      <c r="A832" s="36"/>
      <c r="B832" s="36"/>
      <c r="C832" s="36"/>
      <c r="D832" s="36"/>
      <c r="E832" s="520"/>
      <c r="F832" s="37"/>
      <c r="G832" s="37"/>
      <c r="H832" s="1"/>
      <c r="I832" s="1"/>
    </row>
    <row r="833" ht="15.75" customHeight="1">
      <c r="A833" s="36"/>
      <c r="B833" s="36"/>
      <c r="C833" s="36"/>
      <c r="D833" s="36"/>
      <c r="E833" s="520"/>
      <c r="F833" s="37"/>
      <c r="G833" s="37"/>
      <c r="H833" s="1"/>
      <c r="I833" s="1"/>
    </row>
    <row r="834" ht="15.75" customHeight="1">
      <c r="A834" s="36"/>
      <c r="B834" s="36"/>
      <c r="C834" s="36"/>
      <c r="D834" s="36"/>
      <c r="E834" s="520"/>
      <c r="F834" s="37"/>
      <c r="G834" s="37"/>
      <c r="H834" s="1"/>
      <c r="I834" s="1"/>
    </row>
    <row r="835" ht="15.75" customHeight="1">
      <c r="A835" s="36"/>
      <c r="B835" s="36"/>
      <c r="C835" s="36"/>
      <c r="D835" s="36"/>
      <c r="E835" s="520"/>
      <c r="F835" s="37"/>
      <c r="G835" s="37"/>
      <c r="H835" s="1"/>
      <c r="I835" s="1"/>
    </row>
    <row r="836" ht="15.75" customHeight="1">
      <c r="A836" s="36"/>
      <c r="B836" s="36"/>
      <c r="C836" s="36"/>
      <c r="D836" s="36"/>
      <c r="E836" s="520"/>
      <c r="F836" s="37"/>
      <c r="G836" s="37"/>
      <c r="H836" s="1"/>
      <c r="I836" s="1"/>
    </row>
    <row r="837" ht="15.75" customHeight="1">
      <c r="A837" s="36"/>
      <c r="B837" s="36"/>
      <c r="C837" s="36"/>
      <c r="D837" s="36"/>
      <c r="E837" s="520"/>
      <c r="F837" s="37"/>
      <c r="G837" s="37"/>
      <c r="H837" s="1"/>
      <c r="I837" s="1"/>
    </row>
    <row r="838" ht="15.75" customHeight="1">
      <c r="A838" s="36"/>
      <c r="B838" s="36"/>
      <c r="C838" s="36"/>
      <c r="D838" s="36"/>
      <c r="E838" s="520"/>
      <c r="F838" s="37"/>
      <c r="G838" s="37"/>
      <c r="H838" s="1"/>
      <c r="I838" s="1"/>
    </row>
    <row r="839" ht="15.75" customHeight="1">
      <c r="A839" s="36"/>
      <c r="B839" s="36"/>
      <c r="C839" s="36"/>
      <c r="D839" s="36"/>
      <c r="E839" s="520"/>
      <c r="F839" s="37"/>
      <c r="G839" s="37"/>
      <c r="H839" s="1"/>
      <c r="I839" s="1"/>
    </row>
    <row r="840" ht="15.75" customHeight="1">
      <c r="A840" s="36"/>
      <c r="B840" s="36"/>
      <c r="C840" s="36"/>
      <c r="D840" s="36"/>
      <c r="E840" s="520"/>
      <c r="F840" s="37"/>
      <c r="G840" s="37"/>
      <c r="H840" s="1"/>
      <c r="I840" s="1"/>
    </row>
    <row r="841" ht="15.75" customHeight="1">
      <c r="A841" s="36"/>
      <c r="B841" s="36"/>
      <c r="C841" s="36"/>
      <c r="D841" s="36"/>
      <c r="E841" s="520"/>
      <c r="F841" s="37"/>
      <c r="G841" s="37"/>
      <c r="H841" s="1"/>
      <c r="I841" s="1"/>
    </row>
    <row r="842" ht="15.75" customHeight="1">
      <c r="A842" s="36"/>
      <c r="B842" s="36"/>
      <c r="C842" s="36"/>
      <c r="D842" s="36"/>
      <c r="E842" s="520"/>
      <c r="F842" s="37"/>
      <c r="G842" s="37"/>
      <c r="H842" s="1"/>
      <c r="I842" s="1"/>
    </row>
    <row r="843" ht="15.75" customHeight="1">
      <c r="A843" s="36"/>
      <c r="B843" s="36"/>
      <c r="C843" s="36"/>
      <c r="D843" s="36"/>
      <c r="E843" s="520"/>
      <c r="F843" s="37"/>
      <c r="G843" s="37"/>
      <c r="H843" s="1"/>
      <c r="I843" s="1"/>
    </row>
    <row r="844" ht="15.75" customHeight="1">
      <c r="A844" s="36"/>
      <c r="B844" s="36"/>
      <c r="C844" s="36"/>
      <c r="D844" s="36"/>
      <c r="E844" s="520"/>
      <c r="F844" s="37"/>
      <c r="G844" s="37"/>
      <c r="H844" s="1"/>
      <c r="I844" s="1"/>
    </row>
    <row r="845" ht="15.75" customHeight="1">
      <c r="A845" s="36"/>
      <c r="B845" s="36"/>
      <c r="C845" s="36"/>
      <c r="D845" s="36"/>
      <c r="E845" s="520"/>
      <c r="F845" s="37"/>
      <c r="G845" s="37"/>
      <c r="H845" s="1"/>
      <c r="I845" s="1"/>
    </row>
    <row r="846" ht="15.75" customHeight="1">
      <c r="A846" s="36"/>
      <c r="B846" s="36"/>
      <c r="C846" s="36"/>
      <c r="D846" s="36"/>
      <c r="E846" s="520"/>
      <c r="F846" s="37"/>
      <c r="G846" s="37"/>
      <c r="H846" s="1"/>
      <c r="I846" s="1"/>
    </row>
    <row r="847" ht="15.75" customHeight="1">
      <c r="A847" s="36"/>
      <c r="B847" s="36"/>
      <c r="C847" s="36"/>
      <c r="D847" s="36"/>
      <c r="E847" s="520"/>
      <c r="F847" s="37"/>
      <c r="G847" s="37"/>
      <c r="H847" s="1"/>
      <c r="I847" s="1"/>
    </row>
    <row r="848" ht="15.75" customHeight="1">
      <c r="A848" s="36"/>
      <c r="B848" s="36"/>
      <c r="C848" s="36"/>
      <c r="D848" s="36"/>
      <c r="E848" s="520"/>
      <c r="F848" s="37"/>
      <c r="G848" s="37"/>
      <c r="H848" s="1"/>
      <c r="I848" s="1"/>
    </row>
    <row r="849" ht="15.75" customHeight="1">
      <c r="A849" s="36"/>
      <c r="B849" s="36"/>
      <c r="C849" s="36"/>
      <c r="D849" s="36"/>
      <c r="E849" s="520"/>
      <c r="F849" s="37"/>
      <c r="G849" s="37"/>
      <c r="H849" s="1"/>
      <c r="I849" s="1"/>
    </row>
    <row r="850" ht="15.75" customHeight="1">
      <c r="A850" s="36"/>
      <c r="B850" s="36"/>
      <c r="C850" s="36"/>
      <c r="D850" s="36"/>
      <c r="E850" s="520"/>
      <c r="F850" s="37"/>
      <c r="G850" s="37"/>
      <c r="H850" s="1"/>
      <c r="I850" s="1"/>
    </row>
    <row r="851" ht="15.75" customHeight="1">
      <c r="A851" s="36"/>
      <c r="B851" s="36"/>
      <c r="C851" s="36"/>
      <c r="D851" s="36"/>
      <c r="E851" s="520"/>
      <c r="F851" s="37"/>
      <c r="G851" s="37"/>
      <c r="H851" s="1"/>
      <c r="I851" s="1"/>
    </row>
    <row r="852" ht="15.75" customHeight="1">
      <c r="A852" s="36"/>
      <c r="B852" s="36"/>
      <c r="C852" s="36"/>
      <c r="D852" s="36"/>
      <c r="E852" s="520"/>
      <c r="F852" s="37"/>
      <c r="G852" s="37"/>
      <c r="H852" s="1"/>
      <c r="I852" s="1"/>
    </row>
    <row r="853" ht="15.75" customHeight="1">
      <c r="A853" s="36"/>
      <c r="B853" s="36"/>
      <c r="C853" s="36"/>
      <c r="D853" s="36"/>
      <c r="E853" s="520"/>
      <c r="F853" s="37"/>
      <c r="G853" s="37"/>
      <c r="H853" s="1"/>
      <c r="I853" s="1"/>
    </row>
    <row r="854" ht="15.75" customHeight="1">
      <c r="A854" s="36"/>
      <c r="B854" s="36"/>
      <c r="C854" s="36"/>
      <c r="D854" s="36"/>
      <c r="E854" s="520"/>
      <c r="F854" s="37"/>
      <c r="G854" s="37"/>
      <c r="H854" s="1"/>
      <c r="I854" s="1"/>
    </row>
    <row r="855" ht="15.75" customHeight="1">
      <c r="A855" s="36"/>
      <c r="B855" s="36"/>
      <c r="C855" s="36"/>
      <c r="D855" s="36"/>
      <c r="E855" s="520"/>
      <c r="F855" s="37"/>
      <c r="G855" s="37"/>
      <c r="H855" s="1"/>
      <c r="I855" s="1"/>
    </row>
    <row r="856" ht="15.75" customHeight="1">
      <c r="A856" s="36"/>
      <c r="B856" s="36"/>
      <c r="C856" s="36"/>
      <c r="D856" s="36"/>
      <c r="E856" s="520"/>
      <c r="F856" s="37"/>
      <c r="G856" s="37"/>
      <c r="H856" s="1"/>
      <c r="I856" s="1"/>
    </row>
    <row r="857" ht="15.75" customHeight="1">
      <c r="A857" s="36"/>
      <c r="B857" s="36"/>
      <c r="C857" s="36"/>
      <c r="D857" s="36"/>
      <c r="E857" s="520"/>
      <c r="F857" s="37"/>
      <c r="G857" s="37"/>
      <c r="H857" s="1"/>
      <c r="I857" s="1"/>
    </row>
    <row r="858" ht="15.75" customHeight="1">
      <c r="A858" s="36"/>
      <c r="B858" s="36"/>
      <c r="C858" s="36"/>
      <c r="D858" s="36"/>
      <c r="E858" s="520"/>
      <c r="F858" s="37"/>
      <c r="G858" s="37"/>
      <c r="H858" s="1"/>
      <c r="I858" s="1"/>
    </row>
    <row r="859" ht="15.75" customHeight="1">
      <c r="A859" s="36"/>
      <c r="B859" s="36"/>
      <c r="C859" s="36"/>
      <c r="D859" s="36"/>
      <c r="E859" s="520"/>
      <c r="F859" s="37"/>
      <c r="G859" s="37"/>
      <c r="H859" s="1"/>
      <c r="I859" s="1"/>
    </row>
    <row r="860" ht="15.75" customHeight="1">
      <c r="A860" s="36"/>
      <c r="B860" s="36"/>
      <c r="C860" s="36"/>
      <c r="D860" s="36"/>
      <c r="E860" s="520"/>
      <c r="F860" s="37"/>
      <c r="G860" s="37"/>
      <c r="H860" s="1"/>
      <c r="I860" s="1"/>
    </row>
    <row r="861" ht="15.75" customHeight="1">
      <c r="A861" s="36"/>
      <c r="B861" s="36"/>
      <c r="C861" s="36"/>
      <c r="D861" s="36"/>
      <c r="E861" s="520"/>
      <c r="F861" s="37"/>
      <c r="G861" s="37"/>
      <c r="H861" s="1"/>
      <c r="I861" s="1"/>
    </row>
    <row r="862" ht="15.75" customHeight="1">
      <c r="A862" s="36"/>
      <c r="B862" s="36"/>
      <c r="C862" s="36"/>
      <c r="D862" s="36"/>
      <c r="E862" s="520"/>
      <c r="F862" s="37"/>
      <c r="G862" s="37"/>
      <c r="H862" s="1"/>
      <c r="I862" s="1"/>
    </row>
    <row r="863" ht="15.75" customHeight="1">
      <c r="A863" s="36"/>
      <c r="B863" s="36"/>
      <c r="C863" s="36"/>
      <c r="D863" s="36"/>
      <c r="E863" s="520"/>
      <c r="F863" s="37"/>
      <c r="G863" s="37"/>
      <c r="H863" s="1"/>
      <c r="I863" s="1"/>
    </row>
    <row r="864" ht="15.75" customHeight="1">
      <c r="A864" s="36"/>
      <c r="B864" s="36"/>
      <c r="C864" s="36"/>
      <c r="D864" s="36"/>
      <c r="E864" s="520"/>
      <c r="F864" s="37"/>
      <c r="G864" s="37"/>
      <c r="H864" s="1"/>
      <c r="I864" s="1"/>
    </row>
    <row r="865" ht="15.75" customHeight="1">
      <c r="A865" s="36"/>
      <c r="B865" s="36"/>
      <c r="C865" s="36"/>
      <c r="D865" s="36"/>
      <c r="E865" s="520"/>
      <c r="F865" s="37"/>
      <c r="G865" s="37"/>
      <c r="H865" s="1"/>
      <c r="I865" s="1"/>
    </row>
    <row r="866" ht="15.75" customHeight="1">
      <c r="A866" s="36"/>
      <c r="B866" s="36"/>
      <c r="C866" s="36"/>
      <c r="D866" s="36"/>
      <c r="E866" s="520"/>
      <c r="F866" s="37"/>
      <c r="G866" s="37"/>
      <c r="H866" s="1"/>
      <c r="I866" s="1"/>
    </row>
    <row r="867" ht="15.75" customHeight="1">
      <c r="A867" s="36"/>
      <c r="B867" s="36"/>
      <c r="C867" s="36"/>
      <c r="D867" s="36"/>
      <c r="E867" s="520"/>
      <c r="F867" s="37"/>
      <c r="G867" s="37"/>
      <c r="H867" s="1"/>
      <c r="I867" s="1"/>
    </row>
    <row r="868" ht="15.75" customHeight="1">
      <c r="A868" s="36"/>
      <c r="B868" s="36"/>
      <c r="C868" s="36"/>
      <c r="D868" s="36"/>
      <c r="E868" s="520"/>
      <c r="F868" s="37"/>
      <c r="G868" s="37"/>
      <c r="H868" s="1"/>
      <c r="I868" s="1"/>
    </row>
    <row r="869" ht="15.75" customHeight="1">
      <c r="A869" s="36"/>
      <c r="B869" s="36"/>
      <c r="C869" s="36"/>
      <c r="D869" s="36"/>
      <c r="E869" s="520"/>
      <c r="F869" s="37"/>
      <c r="G869" s="37"/>
      <c r="H869" s="1"/>
      <c r="I869" s="1"/>
    </row>
    <row r="870" ht="15.75" customHeight="1">
      <c r="A870" s="36"/>
      <c r="B870" s="36"/>
      <c r="C870" s="36"/>
      <c r="D870" s="36"/>
      <c r="E870" s="520"/>
      <c r="F870" s="37"/>
      <c r="G870" s="37"/>
      <c r="H870" s="1"/>
      <c r="I870" s="1"/>
    </row>
    <row r="871" ht="15.75" customHeight="1">
      <c r="A871" s="36"/>
      <c r="B871" s="36"/>
      <c r="C871" s="36"/>
      <c r="D871" s="36"/>
      <c r="E871" s="520"/>
      <c r="F871" s="37"/>
      <c r="G871" s="37"/>
      <c r="H871" s="1"/>
      <c r="I871" s="1"/>
    </row>
    <row r="872" ht="15.75" customHeight="1">
      <c r="A872" s="36"/>
      <c r="B872" s="36"/>
      <c r="C872" s="36"/>
      <c r="D872" s="36"/>
      <c r="E872" s="520"/>
      <c r="F872" s="37"/>
      <c r="G872" s="37"/>
      <c r="H872" s="1"/>
      <c r="I872" s="1"/>
    </row>
    <row r="873" ht="15.75" customHeight="1">
      <c r="A873" s="36"/>
      <c r="B873" s="36"/>
      <c r="C873" s="36"/>
      <c r="D873" s="36"/>
      <c r="E873" s="520"/>
      <c r="F873" s="37"/>
      <c r="G873" s="37"/>
      <c r="H873" s="1"/>
      <c r="I873" s="1"/>
    </row>
    <row r="874" ht="15.75" customHeight="1">
      <c r="A874" s="36"/>
      <c r="B874" s="36"/>
      <c r="C874" s="36"/>
      <c r="D874" s="36"/>
      <c r="E874" s="520"/>
      <c r="F874" s="37"/>
      <c r="G874" s="37"/>
      <c r="H874" s="1"/>
      <c r="I874" s="1"/>
    </row>
    <row r="875" ht="15.75" customHeight="1">
      <c r="A875" s="36"/>
      <c r="B875" s="36"/>
      <c r="C875" s="36"/>
      <c r="D875" s="36"/>
      <c r="E875" s="520"/>
      <c r="F875" s="37"/>
      <c r="G875" s="37"/>
      <c r="H875" s="1"/>
      <c r="I875" s="1"/>
    </row>
    <row r="876" ht="15.75" customHeight="1">
      <c r="A876" s="36"/>
      <c r="B876" s="36"/>
      <c r="C876" s="36"/>
      <c r="D876" s="36"/>
      <c r="E876" s="520"/>
      <c r="F876" s="37"/>
      <c r="G876" s="37"/>
      <c r="H876" s="1"/>
      <c r="I876" s="1"/>
    </row>
    <row r="877" ht="15.75" customHeight="1">
      <c r="A877" s="36"/>
      <c r="B877" s="36"/>
      <c r="C877" s="36"/>
      <c r="D877" s="36"/>
      <c r="E877" s="520"/>
      <c r="F877" s="37"/>
      <c r="G877" s="37"/>
      <c r="H877" s="1"/>
      <c r="I877" s="1"/>
    </row>
    <row r="878" ht="15.75" customHeight="1">
      <c r="A878" s="36"/>
      <c r="B878" s="36"/>
      <c r="C878" s="36"/>
      <c r="D878" s="36"/>
      <c r="E878" s="520"/>
      <c r="F878" s="37"/>
      <c r="G878" s="37"/>
      <c r="H878" s="1"/>
      <c r="I878" s="1"/>
    </row>
    <row r="879" ht="15.75" customHeight="1">
      <c r="A879" s="36"/>
      <c r="B879" s="36"/>
      <c r="C879" s="36"/>
      <c r="D879" s="36"/>
      <c r="E879" s="520"/>
      <c r="F879" s="37"/>
      <c r="G879" s="37"/>
      <c r="H879" s="1"/>
      <c r="I879" s="1"/>
    </row>
    <row r="880" ht="15.75" customHeight="1">
      <c r="A880" s="36"/>
      <c r="B880" s="36"/>
      <c r="C880" s="36"/>
      <c r="D880" s="36"/>
      <c r="E880" s="520"/>
      <c r="F880" s="37"/>
      <c r="G880" s="37"/>
      <c r="H880" s="1"/>
      <c r="I880" s="1"/>
    </row>
    <row r="881" ht="15.75" customHeight="1">
      <c r="A881" s="36"/>
      <c r="B881" s="36"/>
      <c r="C881" s="36"/>
      <c r="D881" s="36"/>
      <c r="E881" s="520"/>
      <c r="F881" s="37"/>
      <c r="G881" s="37"/>
      <c r="H881" s="1"/>
      <c r="I881" s="1"/>
    </row>
    <row r="882" ht="15.75" customHeight="1">
      <c r="A882" s="36"/>
      <c r="B882" s="36"/>
      <c r="C882" s="36"/>
      <c r="D882" s="36"/>
      <c r="E882" s="520"/>
      <c r="F882" s="37"/>
      <c r="G882" s="37"/>
      <c r="H882" s="1"/>
      <c r="I882" s="1"/>
    </row>
    <row r="883" ht="15.75" customHeight="1">
      <c r="A883" s="36"/>
      <c r="B883" s="36"/>
      <c r="C883" s="36"/>
      <c r="D883" s="36"/>
      <c r="E883" s="520"/>
      <c r="F883" s="37"/>
      <c r="G883" s="37"/>
      <c r="H883" s="1"/>
      <c r="I883" s="1"/>
    </row>
    <row r="884" ht="15.75" customHeight="1">
      <c r="A884" s="36"/>
      <c r="B884" s="36"/>
      <c r="C884" s="36"/>
      <c r="D884" s="36"/>
      <c r="E884" s="520"/>
      <c r="F884" s="37"/>
      <c r="G884" s="37"/>
      <c r="H884" s="1"/>
      <c r="I884" s="1"/>
    </row>
    <row r="885" ht="15.75" customHeight="1">
      <c r="A885" s="36"/>
      <c r="B885" s="36"/>
      <c r="C885" s="36"/>
      <c r="D885" s="36"/>
      <c r="E885" s="520"/>
      <c r="F885" s="37"/>
      <c r="G885" s="37"/>
      <c r="H885" s="1"/>
      <c r="I885" s="1"/>
    </row>
    <row r="886" ht="15.75" customHeight="1">
      <c r="A886" s="36"/>
      <c r="B886" s="36"/>
      <c r="C886" s="36"/>
      <c r="D886" s="36"/>
      <c r="E886" s="520"/>
      <c r="F886" s="37"/>
      <c r="G886" s="37"/>
      <c r="H886" s="1"/>
      <c r="I886" s="1"/>
    </row>
    <row r="887" ht="15.75" customHeight="1">
      <c r="A887" s="36"/>
      <c r="B887" s="36"/>
      <c r="C887" s="36"/>
      <c r="D887" s="36"/>
      <c r="E887" s="520"/>
      <c r="F887" s="37"/>
      <c r="G887" s="37"/>
      <c r="H887" s="1"/>
      <c r="I887" s="1"/>
    </row>
    <row r="888" ht="15.75" customHeight="1">
      <c r="A888" s="36"/>
      <c r="B888" s="36"/>
      <c r="C888" s="36"/>
      <c r="D888" s="36"/>
      <c r="E888" s="520"/>
      <c r="F888" s="37"/>
      <c r="G888" s="37"/>
      <c r="H888" s="1"/>
      <c r="I888" s="1"/>
    </row>
    <row r="889" ht="15.75" customHeight="1">
      <c r="A889" s="36"/>
      <c r="B889" s="36"/>
      <c r="C889" s="36"/>
      <c r="D889" s="36"/>
      <c r="E889" s="520"/>
      <c r="F889" s="37"/>
      <c r="G889" s="37"/>
      <c r="H889" s="1"/>
      <c r="I889" s="1"/>
    </row>
    <row r="890" ht="15.75" customHeight="1">
      <c r="A890" s="36"/>
      <c r="B890" s="36"/>
      <c r="C890" s="36"/>
      <c r="D890" s="36"/>
      <c r="E890" s="520"/>
      <c r="F890" s="37"/>
      <c r="G890" s="37"/>
      <c r="H890" s="1"/>
      <c r="I890" s="1"/>
    </row>
    <row r="891" ht="15.75" customHeight="1">
      <c r="A891" s="36"/>
      <c r="B891" s="36"/>
      <c r="C891" s="36"/>
      <c r="D891" s="36"/>
      <c r="E891" s="520"/>
      <c r="F891" s="37"/>
      <c r="G891" s="37"/>
      <c r="H891" s="1"/>
      <c r="I891" s="1"/>
    </row>
    <row r="892" ht="15.75" customHeight="1">
      <c r="A892" s="36"/>
      <c r="B892" s="36"/>
      <c r="C892" s="36"/>
      <c r="D892" s="36"/>
      <c r="E892" s="520"/>
      <c r="F892" s="37"/>
      <c r="G892" s="37"/>
      <c r="H892" s="1"/>
      <c r="I892" s="1"/>
    </row>
    <row r="893" ht="15.75" customHeight="1">
      <c r="A893" s="36"/>
      <c r="B893" s="36"/>
      <c r="C893" s="36"/>
      <c r="D893" s="36"/>
      <c r="E893" s="520"/>
      <c r="F893" s="37"/>
      <c r="G893" s="37"/>
      <c r="H893" s="1"/>
      <c r="I893" s="1"/>
    </row>
    <row r="894" ht="15.75" customHeight="1">
      <c r="A894" s="36"/>
      <c r="B894" s="36"/>
      <c r="C894" s="36"/>
      <c r="D894" s="36"/>
      <c r="E894" s="520"/>
      <c r="F894" s="37"/>
      <c r="G894" s="37"/>
      <c r="H894" s="1"/>
      <c r="I894" s="1"/>
    </row>
    <row r="895" ht="15.75" customHeight="1">
      <c r="A895" s="36"/>
      <c r="B895" s="36"/>
      <c r="C895" s="36"/>
      <c r="D895" s="36"/>
      <c r="E895" s="520"/>
      <c r="F895" s="37"/>
      <c r="G895" s="37"/>
      <c r="H895" s="1"/>
      <c r="I895" s="1"/>
    </row>
    <row r="896" ht="15.75" customHeight="1">
      <c r="A896" s="36"/>
      <c r="B896" s="36"/>
      <c r="C896" s="36"/>
      <c r="D896" s="36"/>
      <c r="E896" s="520"/>
      <c r="F896" s="37"/>
      <c r="G896" s="37"/>
      <c r="H896" s="1"/>
      <c r="I896" s="1"/>
    </row>
    <row r="897" ht="15.75" customHeight="1">
      <c r="A897" s="36"/>
      <c r="B897" s="36"/>
      <c r="C897" s="36"/>
      <c r="D897" s="36"/>
      <c r="E897" s="520"/>
      <c r="F897" s="37"/>
      <c r="G897" s="37"/>
      <c r="H897" s="1"/>
      <c r="I897" s="1"/>
    </row>
    <row r="898" ht="15.75" customHeight="1">
      <c r="A898" s="36"/>
      <c r="B898" s="36"/>
      <c r="C898" s="36"/>
      <c r="D898" s="36"/>
      <c r="E898" s="520"/>
      <c r="F898" s="37"/>
      <c r="G898" s="37"/>
      <c r="H898" s="1"/>
      <c r="I898" s="1"/>
    </row>
    <row r="899" ht="15.75" customHeight="1">
      <c r="A899" s="36"/>
      <c r="B899" s="36"/>
      <c r="C899" s="36"/>
      <c r="D899" s="36"/>
      <c r="E899" s="520"/>
      <c r="F899" s="37"/>
      <c r="G899" s="37"/>
      <c r="H899" s="1"/>
      <c r="I899" s="1"/>
    </row>
    <row r="900" ht="15.75" customHeight="1">
      <c r="A900" s="36"/>
      <c r="B900" s="36"/>
      <c r="C900" s="36"/>
      <c r="D900" s="36"/>
      <c r="E900" s="520"/>
      <c r="F900" s="37"/>
      <c r="G900" s="37"/>
      <c r="H900" s="1"/>
      <c r="I900" s="1"/>
    </row>
    <row r="901" ht="15.75" customHeight="1">
      <c r="A901" s="36"/>
      <c r="B901" s="36"/>
      <c r="C901" s="36"/>
      <c r="D901" s="36"/>
      <c r="E901" s="520"/>
      <c r="F901" s="37"/>
      <c r="G901" s="37"/>
      <c r="H901" s="1"/>
      <c r="I901" s="1"/>
    </row>
    <row r="902" ht="15.75" customHeight="1">
      <c r="A902" s="36"/>
      <c r="B902" s="36"/>
      <c r="C902" s="36"/>
      <c r="D902" s="36"/>
      <c r="E902" s="520"/>
      <c r="F902" s="37"/>
      <c r="G902" s="37"/>
      <c r="H902" s="1"/>
      <c r="I902" s="1"/>
    </row>
    <row r="903" ht="15.75" customHeight="1">
      <c r="A903" s="36"/>
      <c r="B903" s="36"/>
      <c r="C903" s="36"/>
      <c r="D903" s="36"/>
      <c r="E903" s="520"/>
      <c r="F903" s="37"/>
      <c r="G903" s="37"/>
      <c r="H903" s="1"/>
      <c r="I903" s="1"/>
    </row>
    <row r="904" ht="15.75" customHeight="1">
      <c r="A904" s="36"/>
      <c r="B904" s="36"/>
      <c r="C904" s="36"/>
      <c r="D904" s="36"/>
      <c r="E904" s="520"/>
      <c r="F904" s="37"/>
      <c r="G904" s="37"/>
      <c r="H904" s="1"/>
      <c r="I904" s="1"/>
    </row>
    <row r="905" ht="15.75" customHeight="1">
      <c r="A905" s="36"/>
      <c r="B905" s="36"/>
      <c r="C905" s="36"/>
      <c r="D905" s="36"/>
      <c r="E905" s="520"/>
      <c r="F905" s="37"/>
      <c r="G905" s="37"/>
      <c r="H905" s="1"/>
      <c r="I905" s="1"/>
    </row>
    <row r="906" ht="15.75" customHeight="1">
      <c r="A906" s="36"/>
      <c r="B906" s="36"/>
      <c r="C906" s="36"/>
      <c r="D906" s="36"/>
      <c r="E906" s="520"/>
      <c r="F906" s="37"/>
      <c r="G906" s="37"/>
      <c r="H906" s="1"/>
      <c r="I906" s="1"/>
    </row>
    <row r="907" ht="15.75" customHeight="1">
      <c r="A907" s="36"/>
      <c r="B907" s="36"/>
      <c r="C907" s="36"/>
      <c r="D907" s="36"/>
      <c r="E907" s="520"/>
      <c r="F907" s="37"/>
      <c r="G907" s="37"/>
      <c r="H907" s="1"/>
      <c r="I907" s="1"/>
    </row>
    <row r="908" ht="15.75" customHeight="1">
      <c r="A908" s="36"/>
      <c r="B908" s="36"/>
      <c r="C908" s="36"/>
      <c r="D908" s="36"/>
      <c r="E908" s="520"/>
      <c r="F908" s="37"/>
      <c r="G908" s="37"/>
      <c r="H908" s="1"/>
      <c r="I908" s="1"/>
    </row>
    <row r="909" ht="15.75" customHeight="1">
      <c r="A909" s="36"/>
      <c r="B909" s="36"/>
      <c r="C909" s="36"/>
      <c r="D909" s="36"/>
      <c r="E909" s="520"/>
      <c r="F909" s="37"/>
      <c r="G909" s="37"/>
      <c r="H909" s="1"/>
      <c r="I909" s="1"/>
    </row>
    <row r="910" ht="15.75" customHeight="1">
      <c r="A910" s="36"/>
      <c r="B910" s="36"/>
      <c r="C910" s="36"/>
      <c r="D910" s="36"/>
      <c r="E910" s="520"/>
      <c r="F910" s="37"/>
      <c r="G910" s="37"/>
      <c r="H910" s="1"/>
      <c r="I910" s="1"/>
    </row>
    <row r="911" ht="15.75" customHeight="1">
      <c r="A911" s="36"/>
      <c r="B911" s="36"/>
      <c r="C911" s="36"/>
      <c r="D911" s="36"/>
      <c r="E911" s="520"/>
      <c r="F911" s="37"/>
      <c r="G911" s="37"/>
      <c r="H911" s="1"/>
      <c r="I911" s="1"/>
    </row>
    <row r="912" ht="15.75" customHeight="1">
      <c r="A912" s="36"/>
      <c r="B912" s="36"/>
      <c r="C912" s="36"/>
      <c r="D912" s="36"/>
      <c r="E912" s="520"/>
      <c r="F912" s="37"/>
      <c r="G912" s="37"/>
      <c r="H912" s="1"/>
      <c r="I912" s="1"/>
    </row>
    <row r="913" ht="15.75" customHeight="1">
      <c r="A913" s="36"/>
      <c r="B913" s="36"/>
      <c r="C913" s="36"/>
      <c r="D913" s="36"/>
      <c r="E913" s="520"/>
      <c r="F913" s="37"/>
      <c r="G913" s="37"/>
      <c r="H913" s="1"/>
      <c r="I913" s="1"/>
    </row>
    <row r="914" ht="15.75" customHeight="1">
      <c r="A914" s="36"/>
      <c r="B914" s="36"/>
      <c r="C914" s="36"/>
      <c r="D914" s="36"/>
      <c r="E914" s="520"/>
      <c r="F914" s="37"/>
      <c r="G914" s="37"/>
      <c r="H914" s="1"/>
      <c r="I914" s="1"/>
    </row>
    <row r="915" ht="15.75" customHeight="1">
      <c r="A915" s="36"/>
      <c r="B915" s="36"/>
      <c r="C915" s="36"/>
      <c r="D915" s="36"/>
      <c r="E915" s="520"/>
      <c r="F915" s="37"/>
      <c r="G915" s="37"/>
      <c r="H915" s="1"/>
      <c r="I915" s="1"/>
    </row>
    <row r="916" ht="15.75" customHeight="1">
      <c r="A916" s="36"/>
      <c r="B916" s="36"/>
      <c r="C916" s="36"/>
      <c r="D916" s="36"/>
      <c r="E916" s="520"/>
      <c r="F916" s="37"/>
      <c r="G916" s="37"/>
      <c r="H916" s="1"/>
      <c r="I916" s="1"/>
    </row>
    <row r="917" ht="15.75" customHeight="1">
      <c r="A917" s="36"/>
      <c r="B917" s="36"/>
      <c r="C917" s="36"/>
      <c r="D917" s="36"/>
      <c r="E917" s="520"/>
      <c r="F917" s="37"/>
      <c r="G917" s="37"/>
      <c r="H917" s="1"/>
      <c r="I917" s="1"/>
    </row>
    <row r="918" ht="15.75" customHeight="1">
      <c r="A918" s="36"/>
      <c r="B918" s="36"/>
      <c r="C918" s="36"/>
      <c r="D918" s="36"/>
      <c r="E918" s="520"/>
      <c r="F918" s="37"/>
      <c r="G918" s="37"/>
      <c r="H918" s="1"/>
      <c r="I918" s="1"/>
    </row>
    <row r="919" ht="15.75" customHeight="1">
      <c r="A919" s="36"/>
      <c r="B919" s="36"/>
      <c r="C919" s="36"/>
      <c r="D919" s="36"/>
      <c r="E919" s="520"/>
      <c r="F919" s="37"/>
      <c r="G919" s="37"/>
      <c r="H919" s="1"/>
      <c r="I919" s="1"/>
    </row>
    <row r="920" ht="15.75" customHeight="1">
      <c r="A920" s="36"/>
      <c r="B920" s="36"/>
      <c r="C920" s="36"/>
      <c r="D920" s="36"/>
      <c r="E920" s="520"/>
      <c r="F920" s="37"/>
      <c r="G920" s="37"/>
      <c r="H920" s="1"/>
      <c r="I920" s="1"/>
    </row>
    <row r="921" ht="15.75" customHeight="1">
      <c r="A921" s="36"/>
      <c r="B921" s="36"/>
      <c r="C921" s="36"/>
      <c r="D921" s="36"/>
      <c r="E921" s="520"/>
      <c r="F921" s="37"/>
      <c r="G921" s="37"/>
      <c r="H921" s="1"/>
      <c r="I921" s="1"/>
    </row>
    <row r="922" ht="15.75" customHeight="1">
      <c r="A922" s="36"/>
      <c r="B922" s="36"/>
      <c r="C922" s="36"/>
      <c r="D922" s="36"/>
      <c r="E922" s="520"/>
      <c r="F922" s="37"/>
      <c r="G922" s="37"/>
      <c r="H922" s="1"/>
      <c r="I922" s="1"/>
    </row>
    <row r="923" ht="15.75" customHeight="1">
      <c r="A923" s="36"/>
      <c r="B923" s="36"/>
      <c r="C923" s="36"/>
      <c r="D923" s="36"/>
      <c r="E923" s="520"/>
      <c r="F923" s="37"/>
      <c r="G923" s="37"/>
      <c r="H923" s="1"/>
      <c r="I923" s="1"/>
    </row>
    <row r="924" ht="15.75" customHeight="1">
      <c r="A924" s="36"/>
      <c r="B924" s="36"/>
      <c r="C924" s="36"/>
      <c r="D924" s="36"/>
      <c r="E924" s="520"/>
      <c r="F924" s="37"/>
      <c r="G924" s="37"/>
      <c r="H924" s="1"/>
      <c r="I924" s="1"/>
    </row>
    <row r="925" ht="15.75" customHeight="1">
      <c r="A925" s="36"/>
      <c r="B925" s="36"/>
      <c r="C925" s="36"/>
      <c r="D925" s="36"/>
      <c r="E925" s="520"/>
      <c r="F925" s="37"/>
      <c r="G925" s="37"/>
      <c r="H925" s="1"/>
      <c r="I925" s="1"/>
    </row>
    <row r="926" ht="15.75" customHeight="1">
      <c r="A926" s="36"/>
      <c r="B926" s="36"/>
      <c r="C926" s="36"/>
      <c r="D926" s="36"/>
      <c r="E926" s="520"/>
      <c r="F926" s="37"/>
      <c r="G926" s="37"/>
      <c r="H926" s="1"/>
      <c r="I926" s="1"/>
    </row>
    <row r="927" ht="15.75" customHeight="1">
      <c r="A927" s="36"/>
      <c r="B927" s="36"/>
      <c r="C927" s="36"/>
      <c r="D927" s="36"/>
      <c r="E927" s="520"/>
      <c r="F927" s="37"/>
      <c r="G927" s="37"/>
      <c r="H927" s="1"/>
      <c r="I927" s="1"/>
    </row>
    <row r="928" ht="15.75" customHeight="1">
      <c r="A928" s="36"/>
      <c r="B928" s="36"/>
      <c r="C928" s="36"/>
      <c r="D928" s="36"/>
      <c r="E928" s="520"/>
      <c r="F928" s="37"/>
      <c r="G928" s="37"/>
      <c r="H928" s="1"/>
      <c r="I928" s="1"/>
    </row>
    <row r="929" ht="15.75" customHeight="1">
      <c r="A929" s="36"/>
      <c r="B929" s="36"/>
      <c r="C929" s="36"/>
      <c r="D929" s="36"/>
      <c r="E929" s="520"/>
      <c r="F929" s="37"/>
      <c r="G929" s="37"/>
      <c r="H929" s="1"/>
      <c r="I929" s="1"/>
    </row>
    <row r="930" ht="15.75" customHeight="1">
      <c r="A930" s="36"/>
      <c r="B930" s="36"/>
      <c r="C930" s="36"/>
      <c r="D930" s="36"/>
      <c r="E930" s="520"/>
      <c r="F930" s="37"/>
      <c r="G930" s="37"/>
      <c r="H930" s="1"/>
      <c r="I930" s="1"/>
    </row>
    <row r="931" ht="15.75" customHeight="1">
      <c r="A931" s="36"/>
      <c r="B931" s="36"/>
      <c r="C931" s="36"/>
      <c r="D931" s="36"/>
      <c r="E931" s="520"/>
      <c r="F931" s="37"/>
      <c r="G931" s="37"/>
      <c r="H931" s="1"/>
      <c r="I931" s="1"/>
    </row>
    <row r="932" ht="15.75" customHeight="1">
      <c r="A932" s="36"/>
      <c r="B932" s="36"/>
      <c r="C932" s="36"/>
      <c r="D932" s="36"/>
      <c r="E932" s="520"/>
      <c r="F932" s="37"/>
      <c r="G932" s="37"/>
      <c r="H932" s="1"/>
      <c r="I932" s="1"/>
    </row>
    <row r="933" ht="15.75" customHeight="1">
      <c r="A933" s="36"/>
      <c r="B933" s="36"/>
      <c r="C933" s="36"/>
      <c r="D933" s="36"/>
      <c r="E933" s="520"/>
      <c r="F933" s="37"/>
      <c r="G933" s="37"/>
      <c r="H933" s="1"/>
      <c r="I933" s="1"/>
    </row>
    <row r="934" ht="15.75" customHeight="1">
      <c r="A934" s="36"/>
      <c r="B934" s="36"/>
      <c r="C934" s="36"/>
      <c r="D934" s="36"/>
      <c r="E934" s="520"/>
      <c r="F934" s="37"/>
      <c r="G934" s="37"/>
      <c r="H934" s="1"/>
      <c r="I934" s="1"/>
    </row>
    <row r="935" ht="15.75" customHeight="1">
      <c r="A935" s="36"/>
      <c r="B935" s="36"/>
      <c r="C935" s="36"/>
      <c r="D935" s="36"/>
      <c r="E935" s="520"/>
      <c r="F935" s="37"/>
      <c r="G935" s="37"/>
      <c r="H935" s="1"/>
      <c r="I935" s="1"/>
    </row>
    <row r="936" ht="15.75" customHeight="1">
      <c r="A936" s="36"/>
      <c r="B936" s="36"/>
      <c r="C936" s="36"/>
      <c r="D936" s="36"/>
      <c r="E936" s="520"/>
      <c r="F936" s="37"/>
      <c r="G936" s="37"/>
      <c r="H936" s="1"/>
      <c r="I936" s="1"/>
    </row>
    <row r="937" ht="15.75" customHeight="1">
      <c r="A937" s="36"/>
      <c r="B937" s="36"/>
      <c r="C937" s="36"/>
      <c r="D937" s="36"/>
      <c r="E937" s="520"/>
      <c r="F937" s="37"/>
      <c r="G937" s="37"/>
      <c r="H937" s="1"/>
      <c r="I937" s="1"/>
    </row>
    <row r="938" ht="15.75" customHeight="1">
      <c r="A938" s="36"/>
      <c r="B938" s="36"/>
      <c r="C938" s="36"/>
      <c r="D938" s="36"/>
      <c r="E938" s="520"/>
      <c r="F938" s="37"/>
      <c r="G938" s="37"/>
      <c r="H938" s="1"/>
      <c r="I938" s="1"/>
    </row>
    <row r="939" ht="15.75" customHeight="1">
      <c r="A939" s="36"/>
      <c r="B939" s="36"/>
      <c r="C939" s="36"/>
      <c r="D939" s="36"/>
      <c r="E939" s="520"/>
      <c r="F939" s="37"/>
      <c r="G939" s="37"/>
      <c r="H939" s="1"/>
      <c r="I939" s="1"/>
    </row>
    <row r="940" ht="15.75" customHeight="1">
      <c r="A940" s="36"/>
      <c r="B940" s="36"/>
      <c r="C940" s="36"/>
      <c r="D940" s="36"/>
      <c r="E940" s="520"/>
      <c r="F940" s="37"/>
      <c r="G940" s="37"/>
      <c r="H940" s="1"/>
      <c r="I940" s="1"/>
    </row>
    <row r="941" ht="15.75" customHeight="1">
      <c r="A941" s="36"/>
      <c r="B941" s="36"/>
      <c r="C941" s="36"/>
      <c r="D941" s="36"/>
      <c r="E941" s="520"/>
      <c r="F941" s="37"/>
      <c r="G941" s="37"/>
      <c r="H941" s="1"/>
      <c r="I941" s="1"/>
    </row>
    <row r="942" ht="15.75" customHeight="1">
      <c r="A942" s="36"/>
      <c r="B942" s="36"/>
      <c r="C942" s="36"/>
      <c r="D942" s="36"/>
      <c r="E942" s="520"/>
      <c r="F942" s="37"/>
      <c r="G942" s="37"/>
      <c r="H942" s="1"/>
      <c r="I942" s="1"/>
    </row>
    <row r="943" ht="15.75" customHeight="1">
      <c r="A943" s="36"/>
      <c r="B943" s="36"/>
      <c r="C943" s="36"/>
      <c r="D943" s="36"/>
      <c r="E943" s="520"/>
      <c r="F943" s="37"/>
      <c r="G943" s="37"/>
      <c r="H943" s="1"/>
      <c r="I943" s="1"/>
    </row>
    <row r="944" ht="15.75" customHeight="1">
      <c r="A944" s="36"/>
      <c r="B944" s="36"/>
      <c r="C944" s="36"/>
      <c r="D944" s="36"/>
      <c r="E944" s="520"/>
      <c r="F944" s="37"/>
      <c r="G944" s="37"/>
      <c r="H944" s="1"/>
      <c r="I944" s="1"/>
    </row>
    <row r="945" ht="15.75" customHeight="1">
      <c r="A945" s="36"/>
      <c r="B945" s="36"/>
      <c r="C945" s="36"/>
      <c r="D945" s="36"/>
      <c r="E945" s="520"/>
      <c r="F945" s="37"/>
      <c r="G945" s="37"/>
      <c r="H945" s="1"/>
      <c r="I945" s="1"/>
    </row>
    <row r="946" ht="15.75" customHeight="1">
      <c r="A946" s="36"/>
      <c r="B946" s="36"/>
      <c r="C946" s="36"/>
      <c r="D946" s="36"/>
      <c r="E946" s="520"/>
      <c r="F946" s="37"/>
      <c r="G946" s="37"/>
      <c r="H946" s="1"/>
      <c r="I946" s="1"/>
    </row>
    <row r="947" ht="15.75" customHeight="1">
      <c r="A947" s="36"/>
      <c r="B947" s="36"/>
      <c r="C947" s="36"/>
      <c r="D947" s="36"/>
      <c r="E947" s="520"/>
      <c r="F947" s="37"/>
      <c r="G947" s="37"/>
      <c r="H947" s="1"/>
      <c r="I947" s="1"/>
    </row>
    <row r="948" ht="15.75" customHeight="1">
      <c r="A948" s="36"/>
      <c r="B948" s="36"/>
      <c r="C948" s="36"/>
      <c r="D948" s="36"/>
      <c r="E948" s="520"/>
      <c r="F948" s="37"/>
      <c r="G948" s="37"/>
      <c r="H948" s="1"/>
      <c r="I948" s="1"/>
    </row>
    <row r="949" ht="15.75" customHeight="1">
      <c r="A949" s="36"/>
      <c r="B949" s="36"/>
      <c r="C949" s="36"/>
      <c r="D949" s="36"/>
      <c r="E949" s="520"/>
      <c r="F949" s="37"/>
      <c r="G949" s="37"/>
      <c r="H949" s="1"/>
      <c r="I949" s="1"/>
    </row>
    <row r="950" ht="15.75" customHeight="1">
      <c r="A950" s="36"/>
      <c r="B950" s="36"/>
      <c r="C950" s="36"/>
      <c r="D950" s="36"/>
      <c r="E950" s="520"/>
      <c r="F950" s="37"/>
      <c r="G950" s="37"/>
      <c r="H950" s="1"/>
      <c r="I950" s="1"/>
    </row>
    <row r="951" ht="15.75" customHeight="1">
      <c r="A951" s="36"/>
      <c r="B951" s="36"/>
      <c r="C951" s="36"/>
      <c r="D951" s="36"/>
      <c r="E951" s="520"/>
      <c r="F951" s="37"/>
      <c r="G951" s="37"/>
      <c r="H951" s="1"/>
      <c r="I951" s="1"/>
    </row>
    <row r="952" ht="15.75" customHeight="1">
      <c r="A952" s="36"/>
      <c r="B952" s="36"/>
      <c r="C952" s="36"/>
      <c r="D952" s="36"/>
      <c r="E952" s="520"/>
      <c r="F952" s="37"/>
      <c r="G952" s="37"/>
      <c r="H952" s="1"/>
      <c r="I952" s="1"/>
    </row>
    <row r="953" ht="15.75" customHeight="1">
      <c r="A953" s="36"/>
      <c r="B953" s="36"/>
      <c r="C953" s="36"/>
      <c r="D953" s="36"/>
      <c r="E953" s="520"/>
      <c r="F953" s="37"/>
      <c r="G953" s="37"/>
      <c r="H953" s="1"/>
      <c r="I953" s="1"/>
    </row>
    <row r="954" ht="15.75" customHeight="1">
      <c r="A954" s="36"/>
      <c r="B954" s="36"/>
      <c r="C954" s="36"/>
      <c r="D954" s="36"/>
      <c r="E954" s="520"/>
      <c r="F954" s="37"/>
      <c r="G954" s="37"/>
      <c r="H954" s="1"/>
      <c r="I954" s="1"/>
    </row>
    <row r="955" ht="15.75" customHeight="1">
      <c r="A955" s="36"/>
      <c r="B955" s="36"/>
      <c r="C955" s="36"/>
      <c r="D955" s="36"/>
      <c r="E955" s="520"/>
      <c r="F955" s="37"/>
      <c r="G955" s="37"/>
      <c r="H955" s="1"/>
      <c r="I955" s="1"/>
    </row>
    <row r="956" ht="15.75" customHeight="1">
      <c r="A956" s="36"/>
      <c r="B956" s="36"/>
      <c r="C956" s="36"/>
      <c r="D956" s="36"/>
      <c r="E956" s="520"/>
      <c r="F956" s="37"/>
      <c r="G956" s="37"/>
      <c r="H956" s="1"/>
      <c r="I956" s="1"/>
    </row>
    <row r="957" ht="15.75" customHeight="1">
      <c r="A957" s="36"/>
      <c r="B957" s="36"/>
      <c r="C957" s="36"/>
      <c r="D957" s="36"/>
      <c r="E957" s="520"/>
      <c r="F957" s="37"/>
      <c r="G957" s="37"/>
      <c r="H957" s="1"/>
      <c r="I957" s="1"/>
    </row>
    <row r="958" ht="15.75" customHeight="1">
      <c r="A958" s="36"/>
      <c r="B958" s="36"/>
      <c r="C958" s="36"/>
      <c r="D958" s="36"/>
      <c r="E958" s="520"/>
      <c r="F958" s="37"/>
      <c r="G958" s="37"/>
      <c r="H958" s="1"/>
      <c r="I958" s="1"/>
    </row>
    <row r="959" ht="15.75" customHeight="1">
      <c r="A959" s="36"/>
      <c r="B959" s="36"/>
      <c r="C959" s="36"/>
      <c r="D959" s="36"/>
      <c r="E959" s="520"/>
      <c r="F959" s="37"/>
      <c r="G959" s="37"/>
      <c r="H959" s="1"/>
      <c r="I959" s="1"/>
    </row>
    <row r="960" ht="15.75" customHeight="1">
      <c r="A960" s="36"/>
      <c r="B960" s="36"/>
      <c r="C960" s="36"/>
      <c r="D960" s="36"/>
      <c r="E960" s="520"/>
      <c r="F960" s="37"/>
      <c r="G960" s="37"/>
      <c r="H960" s="1"/>
      <c r="I960" s="1"/>
    </row>
    <row r="961" ht="15.75" customHeight="1">
      <c r="A961" s="36"/>
      <c r="B961" s="36"/>
      <c r="C961" s="36"/>
      <c r="D961" s="36"/>
      <c r="E961" s="520"/>
      <c r="F961" s="37"/>
      <c r="G961" s="37"/>
      <c r="H961" s="1"/>
      <c r="I961" s="1"/>
    </row>
    <row r="962" ht="15.75" customHeight="1">
      <c r="A962" s="36"/>
      <c r="B962" s="36"/>
      <c r="C962" s="36"/>
      <c r="D962" s="36"/>
      <c r="E962" s="520"/>
      <c r="F962" s="37"/>
      <c r="G962" s="37"/>
      <c r="H962" s="1"/>
      <c r="I962" s="1"/>
    </row>
    <row r="963" ht="15.75" customHeight="1">
      <c r="A963" s="36"/>
      <c r="B963" s="36"/>
      <c r="C963" s="36"/>
      <c r="D963" s="36"/>
      <c r="E963" s="520"/>
      <c r="F963" s="37"/>
      <c r="G963" s="37"/>
      <c r="H963" s="1"/>
      <c r="I963" s="1"/>
    </row>
    <row r="964" ht="15.75" customHeight="1">
      <c r="A964" s="36"/>
      <c r="B964" s="36"/>
      <c r="C964" s="36"/>
      <c r="D964" s="36"/>
      <c r="E964" s="520"/>
      <c r="F964" s="37"/>
      <c r="G964" s="37"/>
      <c r="H964" s="1"/>
      <c r="I964" s="1"/>
    </row>
    <row r="965" ht="15.75" customHeight="1">
      <c r="A965" s="36"/>
      <c r="B965" s="36"/>
      <c r="C965" s="36"/>
      <c r="D965" s="36"/>
      <c r="E965" s="520"/>
      <c r="F965" s="37"/>
      <c r="G965" s="37"/>
      <c r="H965" s="1"/>
      <c r="I965" s="1"/>
    </row>
    <row r="966" ht="15.75" customHeight="1">
      <c r="A966" s="36"/>
      <c r="B966" s="36"/>
      <c r="C966" s="36"/>
      <c r="D966" s="36"/>
      <c r="E966" s="520"/>
      <c r="F966" s="37"/>
      <c r="G966" s="37"/>
      <c r="H966" s="1"/>
      <c r="I966" s="1"/>
    </row>
    <row r="967" ht="15.75" customHeight="1">
      <c r="A967" s="36"/>
      <c r="B967" s="36"/>
      <c r="C967" s="36"/>
      <c r="D967" s="36"/>
      <c r="E967" s="520"/>
      <c r="F967" s="37"/>
      <c r="G967" s="37"/>
      <c r="H967" s="1"/>
      <c r="I967" s="1"/>
    </row>
    <row r="968" ht="15.75" customHeight="1">
      <c r="A968" s="36"/>
      <c r="B968" s="36"/>
      <c r="C968" s="36"/>
      <c r="D968" s="36"/>
      <c r="E968" s="520"/>
      <c r="F968" s="37"/>
      <c r="G968" s="37"/>
      <c r="H968" s="1"/>
      <c r="I968" s="1"/>
    </row>
    <row r="969" ht="15.75" customHeight="1">
      <c r="A969" s="36"/>
      <c r="B969" s="36"/>
      <c r="C969" s="36"/>
      <c r="D969" s="36"/>
      <c r="E969" s="520"/>
      <c r="F969" s="37"/>
      <c r="G969" s="37"/>
      <c r="H969" s="1"/>
      <c r="I969" s="1"/>
    </row>
    <row r="970" ht="15.75" customHeight="1">
      <c r="A970" s="36"/>
      <c r="B970" s="36"/>
      <c r="C970" s="36"/>
      <c r="D970" s="36"/>
      <c r="E970" s="520"/>
      <c r="F970" s="37"/>
      <c r="G970" s="37"/>
      <c r="H970" s="1"/>
      <c r="I970" s="1"/>
    </row>
    <row r="971" ht="15.75" customHeight="1">
      <c r="A971" s="36"/>
      <c r="B971" s="36"/>
      <c r="C971" s="36"/>
      <c r="D971" s="36"/>
      <c r="E971" s="520"/>
      <c r="F971" s="37"/>
      <c r="G971" s="37"/>
      <c r="H971" s="1"/>
      <c r="I971" s="1"/>
    </row>
    <row r="972" ht="15.75" customHeight="1">
      <c r="A972" s="36"/>
      <c r="B972" s="36"/>
      <c r="C972" s="36"/>
      <c r="D972" s="36"/>
      <c r="E972" s="520"/>
      <c r="F972" s="37"/>
      <c r="G972" s="37"/>
      <c r="H972" s="1"/>
      <c r="I972" s="1"/>
    </row>
    <row r="973" ht="15.75" customHeight="1">
      <c r="A973" s="36"/>
      <c r="B973" s="36"/>
      <c r="C973" s="36"/>
      <c r="D973" s="36"/>
      <c r="E973" s="520"/>
      <c r="F973" s="37"/>
      <c r="G973" s="37"/>
      <c r="H973" s="1"/>
      <c r="I973" s="1"/>
    </row>
    <row r="974" ht="15.75" customHeight="1">
      <c r="A974" s="36"/>
      <c r="B974" s="36"/>
      <c r="C974" s="36"/>
      <c r="D974" s="36"/>
      <c r="E974" s="520"/>
      <c r="F974" s="37"/>
      <c r="G974" s="37"/>
      <c r="H974" s="1"/>
      <c r="I974" s="1"/>
    </row>
    <row r="975" ht="15.75" customHeight="1">
      <c r="A975" s="36"/>
      <c r="B975" s="36"/>
      <c r="C975" s="36"/>
      <c r="D975" s="36"/>
      <c r="E975" s="520"/>
      <c r="F975" s="37"/>
      <c r="G975" s="37"/>
      <c r="H975" s="1"/>
      <c r="I975" s="1"/>
    </row>
    <row r="976" ht="15.75" customHeight="1">
      <c r="A976" s="36"/>
      <c r="B976" s="36"/>
      <c r="C976" s="36"/>
      <c r="D976" s="36"/>
      <c r="E976" s="520"/>
      <c r="F976" s="37"/>
      <c r="G976" s="37"/>
      <c r="H976" s="1"/>
      <c r="I976" s="1"/>
    </row>
    <row r="977" ht="15.75" customHeight="1">
      <c r="A977" s="36"/>
      <c r="B977" s="36"/>
      <c r="C977" s="36"/>
      <c r="D977" s="36"/>
      <c r="E977" s="520"/>
      <c r="F977" s="37"/>
      <c r="G977" s="37"/>
      <c r="H977" s="1"/>
      <c r="I977" s="1"/>
    </row>
    <row r="978" ht="15.75" customHeight="1">
      <c r="A978" s="36"/>
      <c r="B978" s="36"/>
      <c r="C978" s="36"/>
      <c r="D978" s="36"/>
      <c r="E978" s="520"/>
      <c r="F978" s="37"/>
      <c r="G978" s="37"/>
      <c r="H978" s="1"/>
      <c r="I978" s="1"/>
    </row>
    <row r="979" ht="15.75" customHeight="1">
      <c r="A979" s="36"/>
      <c r="B979" s="36"/>
      <c r="C979" s="36"/>
      <c r="D979" s="36"/>
      <c r="E979" s="520"/>
      <c r="F979" s="37"/>
      <c r="G979" s="37"/>
      <c r="H979" s="1"/>
      <c r="I979" s="1"/>
    </row>
    <row r="980" ht="15.75" customHeight="1">
      <c r="A980" s="36"/>
      <c r="B980" s="36"/>
      <c r="C980" s="36"/>
      <c r="D980" s="36"/>
      <c r="E980" s="520"/>
      <c r="F980" s="37"/>
      <c r="G980" s="37"/>
      <c r="H980" s="1"/>
      <c r="I980" s="1"/>
    </row>
    <row r="981" ht="15.75" customHeight="1">
      <c r="A981" s="36"/>
      <c r="B981" s="36"/>
      <c r="C981" s="36"/>
      <c r="D981" s="36"/>
      <c r="E981" s="520"/>
      <c r="F981" s="37"/>
      <c r="G981" s="37"/>
      <c r="H981" s="1"/>
      <c r="I981" s="1"/>
    </row>
    <row r="982" ht="15.75" customHeight="1">
      <c r="A982" s="36"/>
      <c r="B982" s="36"/>
      <c r="C982" s="36"/>
      <c r="D982" s="36"/>
      <c r="E982" s="520"/>
      <c r="F982" s="37"/>
      <c r="G982" s="37"/>
      <c r="H982" s="1"/>
      <c r="I982" s="1"/>
    </row>
    <row r="983" ht="15.75" customHeight="1">
      <c r="A983" s="36"/>
      <c r="B983" s="36"/>
      <c r="C983" s="36"/>
      <c r="D983" s="36"/>
      <c r="E983" s="520"/>
      <c r="F983" s="37"/>
      <c r="G983" s="37"/>
      <c r="H983" s="1"/>
      <c r="I983" s="1"/>
    </row>
    <row r="984" ht="15.75" customHeight="1">
      <c r="A984" s="36"/>
      <c r="B984" s="36"/>
      <c r="C984" s="36"/>
      <c r="D984" s="36"/>
      <c r="E984" s="520"/>
      <c r="F984" s="37"/>
      <c r="G984" s="37"/>
      <c r="H984" s="1"/>
      <c r="I984" s="1"/>
    </row>
    <row r="985" ht="15.75" customHeight="1">
      <c r="A985" s="36"/>
      <c r="B985" s="36"/>
      <c r="C985" s="36"/>
      <c r="D985" s="36"/>
      <c r="E985" s="520"/>
      <c r="F985" s="37"/>
      <c r="G985" s="37"/>
      <c r="H985" s="1"/>
      <c r="I985" s="1"/>
    </row>
    <row r="986" ht="15.75" customHeight="1">
      <c r="A986" s="36"/>
      <c r="B986" s="36"/>
      <c r="C986" s="36"/>
      <c r="D986" s="36"/>
      <c r="E986" s="520"/>
      <c r="F986" s="37"/>
      <c r="G986" s="37"/>
      <c r="H986" s="1"/>
      <c r="I986" s="1"/>
    </row>
    <row r="987" ht="15.75" customHeight="1">
      <c r="A987" s="36"/>
      <c r="B987" s="36"/>
      <c r="C987" s="36"/>
      <c r="D987" s="36"/>
      <c r="E987" s="520"/>
      <c r="F987" s="37"/>
      <c r="G987" s="37"/>
      <c r="H987" s="1"/>
      <c r="I987" s="1"/>
    </row>
    <row r="988" ht="15.75" customHeight="1">
      <c r="A988" s="36"/>
      <c r="B988" s="36"/>
      <c r="C988" s="36"/>
      <c r="D988" s="36"/>
      <c r="E988" s="520"/>
      <c r="F988" s="37"/>
      <c r="G988" s="37"/>
      <c r="H988" s="1"/>
      <c r="I988" s="1"/>
    </row>
    <row r="989" ht="15.75" customHeight="1">
      <c r="A989" s="36"/>
      <c r="B989" s="36"/>
      <c r="C989" s="36"/>
      <c r="D989" s="36"/>
      <c r="E989" s="520"/>
      <c r="F989" s="37"/>
      <c r="G989" s="37"/>
      <c r="H989" s="1"/>
      <c r="I989" s="1"/>
    </row>
    <row r="990" ht="15.75" customHeight="1">
      <c r="A990" s="36"/>
      <c r="B990" s="36"/>
      <c r="C990" s="36"/>
      <c r="D990" s="36"/>
      <c r="E990" s="520"/>
      <c r="F990" s="37"/>
      <c r="G990" s="37"/>
      <c r="H990" s="1"/>
      <c r="I990" s="1"/>
    </row>
    <row r="991" ht="15.75" customHeight="1">
      <c r="A991" s="36"/>
      <c r="B991" s="36"/>
      <c r="C991" s="36"/>
      <c r="D991" s="36"/>
      <c r="E991" s="520"/>
      <c r="F991" s="37"/>
      <c r="G991" s="37"/>
      <c r="H991" s="1"/>
      <c r="I991" s="1"/>
    </row>
    <row r="992" ht="15.75" customHeight="1">
      <c r="A992" s="36"/>
      <c r="B992" s="36"/>
      <c r="C992" s="36"/>
      <c r="D992" s="36"/>
      <c r="E992" s="520"/>
      <c r="F992" s="37"/>
      <c r="G992" s="37"/>
      <c r="H992" s="1"/>
      <c r="I992" s="1"/>
    </row>
    <row r="993" ht="15.75" customHeight="1">
      <c r="A993" s="36"/>
      <c r="B993" s="36"/>
      <c r="C993" s="36"/>
      <c r="D993" s="36"/>
      <c r="E993" s="520"/>
      <c r="F993" s="37"/>
      <c r="G993" s="37"/>
      <c r="H993" s="1"/>
      <c r="I993" s="1"/>
    </row>
    <row r="994" ht="15.75" customHeight="1">
      <c r="A994" s="36"/>
      <c r="B994" s="36"/>
      <c r="C994" s="36"/>
      <c r="D994" s="36"/>
      <c r="E994" s="520"/>
      <c r="F994" s="37"/>
      <c r="G994" s="37"/>
      <c r="H994" s="1"/>
      <c r="I994" s="1"/>
    </row>
    <row r="995" ht="15.75" customHeight="1">
      <c r="A995" s="36"/>
      <c r="B995" s="36"/>
      <c r="C995" s="36"/>
      <c r="D995" s="36"/>
      <c r="E995" s="520"/>
      <c r="F995" s="37"/>
      <c r="G995" s="37"/>
      <c r="H995" s="1"/>
      <c r="I995" s="1"/>
    </row>
    <row r="996" ht="15.75" customHeight="1">
      <c r="A996" s="36"/>
      <c r="B996" s="36"/>
      <c r="C996" s="36"/>
      <c r="D996" s="36"/>
      <c r="E996" s="520"/>
      <c r="F996" s="37"/>
      <c r="G996" s="37"/>
      <c r="H996" s="1"/>
      <c r="I996" s="1"/>
    </row>
    <row r="997" ht="15.75" customHeight="1">
      <c r="A997" s="36"/>
      <c r="B997" s="36"/>
      <c r="C997" s="36"/>
      <c r="D997" s="36"/>
      <c r="E997" s="520"/>
      <c r="F997" s="37"/>
      <c r="G997" s="37"/>
      <c r="H997" s="1"/>
      <c r="I997" s="1"/>
    </row>
    <row r="998" ht="15.75" customHeight="1">
      <c r="A998" s="36"/>
      <c r="B998" s="36"/>
      <c r="C998" s="36"/>
      <c r="D998" s="36"/>
      <c r="E998" s="520"/>
      <c r="F998" s="37"/>
      <c r="G998" s="37"/>
      <c r="H998" s="1"/>
      <c r="I998" s="1"/>
    </row>
    <row r="999" ht="15.75" customHeight="1">
      <c r="A999" s="36"/>
      <c r="B999" s="36"/>
      <c r="C999" s="36"/>
      <c r="D999" s="36"/>
      <c r="E999" s="520"/>
      <c r="F999" s="37"/>
      <c r="G999" s="37"/>
      <c r="H999" s="1"/>
      <c r="I999" s="1"/>
    </row>
    <row r="1000" ht="15.75" customHeight="1">
      <c r="A1000" s="36"/>
      <c r="B1000" s="36"/>
      <c r="C1000" s="36"/>
      <c r="D1000" s="36"/>
      <c r="E1000" s="520"/>
      <c r="F1000" s="37"/>
      <c r="G1000" s="37"/>
      <c r="H1000" s="1"/>
      <c r="I1000" s="1"/>
    </row>
  </sheetData>
  <mergeCells count="10">
    <mergeCell ref="A10:J10"/>
    <mergeCell ref="A11:J11"/>
    <mergeCell ref="A67:J67"/>
    <mergeCell ref="A2:J2"/>
    <mergeCell ref="A4:J4"/>
    <mergeCell ref="A5:J5"/>
    <mergeCell ref="A6:J6"/>
    <mergeCell ref="A7:J7"/>
    <mergeCell ref="A8:J8"/>
    <mergeCell ref="A9:J9"/>
  </mergeCells>
  <hyperlinks>
    <hyperlink r:id="rId1" ref="G14"/>
    <hyperlink r:id="rId2" ref="G17"/>
    <hyperlink r:id="rId3" ref="G18"/>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5.43"/>
    <col customWidth="1" min="3" max="3" width="11.43"/>
    <col customWidth="1" min="4" max="4" width="19.43"/>
    <col customWidth="1" min="5" max="5" width="8.71"/>
    <col customWidth="1" min="6" max="6" width="8.0"/>
    <col customWidth="1" min="7" max="7" width="9.71"/>
    <col customWidth="1" min="8" max="8" width="7.14"/>
    <col customWidth="1" min="9" max="9" width="9.14"/>
    <col customWidth="1" min="10" max="11" width="8.71"/>
    <col customWidth="1" min="12" max="12" width="20.71"/>
    <col customWidth="1" min="13" max="26" width="8.0"/>
  </cols>
  <sheetData>
    <row r="1">
      <c r="A1" s="36"/>
      <c r="B1" s="36"/>
      <c r="C1" s="37"/>
      <c r="D1" s="37"/>
      <c r="E1" s="37"/>
      <c r="F1" s="37"/>
      <c r="G1" s="37"/>
      <c r="H1" s="1"/>
      <c r="I1" s="1"/>
    </row>
    <row r="2">
      <c r="A2" s="38" t="s">
        <v>2538</v>
      </c>
      <c r="B2" s="39"/>
      <c r="C2" s="39"/>
      <c r="D2" s="39"/>
      <c r="E2" s="39"/>
      <c r="F2" s="39"/>
      <c r="G2" s="39"/>
      <c r="H2" s="39"/>
      <c r="I2" s="39"/>
      <c r="J2" s="39"/>
      <c r="K2" s="40"/>
    </row>
    <row r="3">
      <c r="A3" s="186"/>
      <c r="B3" s="186"/>
      <c r="C3" s="186"/>
      <c r="D3" s="186"/>
      <c r="E3" s="186"/>
      <c r="F3" s="186"/>
      <c r="G3" s="186"/>
      <c r="H3" s="186"/>
      <c r="I3" s="41"/>
    </row>
    <row r="4" ht="82.5" customHeight="1">
      <c r="A4" s="44" t="s">
        <v>2539</v>
      </c>
      <c r="B4" s="39"/>
      <c r="C4" s="39"/>
      <c r="D4" s="39"/>
      <c r="E4" s="39"/>
      <c r="F4" s="39"/>
      <c r="G4" s="39"/>
      <c r="H4" s="39"/>
      <c r="I4" s="39"/>
      <c r="J4" s="39"/>
      <c r="K4" s="40"/>
    </row>
    <row r="5">
      <c r="A5" s="36"/>
      <c r="B5" s="36"/>
      <c r="C5" s="37"/>
      <c r="D5" s="37"/>
      <c r="E5" s="37"/>
      <c r="F5" s="37"/>
      <c r="G5" s="37"/>
      <c r="H5" s="1"/>
      <c r="I5" s="1"/>
    </row>
    <row r="6" ht="51.0" customHeight="1">
      <c r="A6" s="228" t="s">
        <v>102</v>
      </c>
      <c r="B6" s="228" t="s">
        <v>603</v>
      </c>
      <c r="C6" s="228" t="s">
        <v>104</v>
      </c>
      <c r="D6" s="109" t="s">
        <v>105</v>
      </c>
      <c r="E6" s="48" t="s">
        <v>2540</v>
      </c>
      <c r="F6" s="109" t="s">
        <v>2541</v>
      </c>
      <c r="G6" s="48" t="s">
        <v>112</v>
      </c>
      <c r="H6" s="48" t="s">
        <v>113</v>
      </c>
      <c r="I6" s="47" t="s">
        <v>260</v>
      </c>
      <c r="J6" s="47" t="s">
        <v>116</v>
      </c>
      <c r="K6" s="47" t="s">
        <v>117</v>
      </c>
      <c r="L6" s="49" t="s">
        <v>118</v>
      </c>
    </row>
    <row r="7">
      <c r="A7" s="304"/>
      <c r="B7" s="477"/>
      <c r="C7" s="477"/>
      <c r="D7" s="304"/>
      <c r="E7" s="477"/>
      <c r="F7" s="539"/>
      <c r="G7" s="539"/>
      <c r="H7" s="540"/>
      <c r="I7" s="523"/>
      <c r="J7" s="61"/>
      <c r="K7" s="209"/>
      <c r="L7" s="62"/>
    </row>
    <row r="8">
      <c r="A8" s="54"/>
      <c r="B8" s="53"/>
      <c r="C8" s="54"/>
      <c r="D8" s="54"/>
      <c r="E8" s="53"/>
      <c r="F8" s="65"/>
      <c r="G8" s="65"/>
      <c r="H8" s="263"/>
      <c r="I8" s="263"/>
      <c r="J8" s="61"/>
      <c r="K8" s="209"/>
      <c r="L8" s="62"/>
    </row>
    <row r="9">
      <c r="A9" s="54"/>
      <c r="B9" s="53"/>
      <c r="C9" s="54"/>
      <c r="D9" s="54"/>
      <c r="E9" s="53"/>
      <c r="F9" s="65"/>
      <c r="G9" s="65"/>
      <c r="H9" s="263"/>
      <c r="I9" s="263"/>
      <c r="J9" s="61"/>
      <c r="K9" s="209"/>
      <c r="L9" s="62"/>
    </row>
    <row r="10">
      <c r="A10" s="54"/>
      <c r="B10" s="53"/>
      <c r="C10" s="54"/>
      <c r="D10" s="54"/>
      <c r="E10" s="53"/>
      <c r="F10" s="65"/>
      <c r="G10" s="65"/>
      <c r="H10" s="263"/>
      <c r="I10" s="263"/>
      <c r="J10" s="61"/>
      <c r="K10" s="209"/>
      <c r="L10" s="62"/>
    </row>
    <row r="11">
      <c r="A11" s="54"/>
      <c r="B11" s="53"/>
      <c r="C11" s="54"/>
      <c r="D11" s="54"/>
      <c r="E11" s="53"/>
      <c r="F11" s="65"/>
      <c r="G11" s="65"/>
      <c r="H11" s="263"/>
      <c r="I11" s="263"/>
      <c r="J11" s="61"/>
      <c r="K11" s="209"/>
      <c r="L11" s="62"/>
    </row>
    <row r="12">
      <c r="A12" s="54"/>
      <c r="B12" s="53"/>
      <c r="C12" s="54"/>
      <c r="D12" s="54"/>
      <c r="E12" s="53"/>
      <c r="F12" s="65"/>
      <c r="G12" s="65"/>
      <c r="H12" s="263"/>
      <c r="I12" s="263"/>
      <c r="J12" s="61"/>
      <c r="K12" s="209"/>
      <c r="L12" s="62"/>
    </row>
    <row r="13">
      <c r="A13" s="54"/>
      <c r="B13" s="53"/>
      <c r="C13" s="54"/>
      <c r="D13" s="54"/>
      <c r="E13" s="53"/>
      <c r="F13" s="65"/>
      <c r="G13" s="65"/>
      <c r="H13" s="263"/>
      <c r="I13" s="263"/>
      <c r="J13" s="61"/>
      <c r="K13" s="209"/>
      <c r="L13" s="62"/>
    </row>
    <row r="14">
      <c r="A14" s="54"/>
      <c r="B14" s="53"/>
      <c r="C14" s="54"/>
      <c r="D14" s="54"/>
      <c r="E14" s="53"/>
      <c r="F14" s="65"/>
      <c r="G14" s="65"/>
      <c r="H14" s="263"/>
      <c r="I14" s="263"/>
      <c r="J14" s="61"/>
      <c r="K14" s="209"/>
      <c r="L14" s="62"/>
    </row>
    <row r="15">
      <c r="A15" s="54"/>
      <c r="B15" s="53"/>
      <c r="C15" s="54"/>
      <c r="D15" s="54"/>
      <c r="E15" s="53"/>
      <c r="F15" s="65"/>
      <c r="G15" s="65"/>
      <c r="H15" s="263"/>
      <c r="I15" s="263"/>
      <c r="J15" s="61"/>
      <c r="K15" s="209"/>
      <c r="L15" s="62"/>
    </row>
    <row r="16">
      <c r="A16" s="54"/>
      <c r="B16" s="53"/>
      <c r="C16" s="54"/>
      <c r="D16" s="54"/>
      <c r="E16" s="53"/>
      <c r="F16" s="65"/>
      <c r="G16" s="65"/>
      <c r="H16" s="263"/>
      <c r="I16" s="263"/>
      <c r="J16" s="61"/>
      <c r="K16" s="209"/>
      <c r="L16" s="62"/>
    </row>
    <row r="17">
      <c r="A17" s="54"/>
      <c r="B17" s="53"/>
      <c r="C17" s="54"/>
      <c r="D17" s="54"/>
      <c r="E17" s="53"/>
      <c r="F17" s="65"/>
      <c r="G17" s="65"/>
      <c r="H17" s="263"/>
      <c r="I17" s="263"/>
      <c r="J17" s="61"/>
      <c r="K17" s="209"/>
      <c r="L17" s="62"/>
    </row>
    <row r="18">
      <c r="A18" s="54"/>
      <c r="B18" s="53"/>
      <c r="C18" s="54"/>
      <c r="D18" s="54"/>
      <c r="E18" s="53"/>
      <c r="F18" s="65"/>
      <c r="G18" s="65"/>
      <c r="H18" s="263"/>
      <c r="I18" s="263"/>
      <c r="J18" s="61"/>
      <c r="K18" s="209"/>
      <c r="L18" s="62"/>
    </row>
    <row r="19">
      <c r="A19" s="54"/>
      <c r="B19" s="53"/>
      <c r="C19" s="54"/>
      <c r="D19" s="54"/>
      <c r="E19" s="53"/>
      <c r="F19" s="65"/>
      <c r="G19" s="65"/>
      <c r="H19" s="263"/>
      <c r="I19" s="263"/>
      <c r="J19" s="61"/>
      <c r="K19" s="209"/>
      <c r="L19" s="62"/>
    </row>
    <row r="20">
      <c r="A20" s="54"/>
      <c r="B20" s="53"/>
      <c r="C20" s="54"/>
      <c r="D20" s="54"/>
      <c r="E20" s="53"/>
      <c r="F20" s="65"/>
      <c r="G20" s="65"/>
      <c r="H20" s="263"/>
      <c r="I20" s="263"/>
      <c r="J20" s="61"/>
      <c r="K20" s="209"/>
      <c r="L20" s="62"/>
    </row>
    <row r="21" ht="15.75" customHeight="1">
      <c r="A21" s="54"/>
      <c r="B21" s="53"/>
      <c r="C21" s="54"/>
      <c r="D21" s="54"/>
      <c r="E21" s="53"/>
      <c r="F21" s="65"/>
      <c r="G21" s="65"/>
      <c r="H21" s="263"/>
      <c r="I21" s="263"/>
      <c r="J21" s="61"/>
      <c r="K21" s="209"/>
      <c r="L21" s="62"/>
    </row>
    <row r="22" ht="15.75" customHeight="1">
      <c r="A22" s="54"/>
      <c r="B22" s="53"/>
      <c r="C22" s="54"/>
      <c r="D22" s="54"/>
      <c r="E22" s="53"/>
      <c r="F22" s="65"/>
      <c r="G22" s="65"/>
      <c r="H22" s="263"/>
      <c r="I22" s="263"/>
      <c r="J22" s="61"/>
      <c r="K22" s="209"/>
      <c r="L22" s="62"/>
    </row>
    <row r="23" ht="15.75" customHeight="1">
      <c r="A23" s="54"/>
      <c r="B23" s="53"/>
      <c r="C23" s="54"/>
      <c r="D23" s="54"/>
      <c r="E23" s="53"/>
      <c r="F23" s="65"/>
      <c r="G23" s="65"/>
      <c r="H23" s="263"/>
      <c r="I23" s="263"/>
      <c r="J23" s="61"/>
      <c r="K23" s="209"/>
      <c r="L23" s="62"/>
    </row>
    <row r="24" ht="15.75" customHeight="1">
      <c r="A24" s="54"/>
      <c r="B24" s="53"/>
      <c r="C24" s="54"/>
      <c r="D24" s="54"/>
      <c r="E24" s="53"/>
      <c r="F24" s="65"/>
      <c r="G24" s="65"/>
      <c r="H24" s="263"/>
      <c r="I24" s="263"/>
      <c r="J24" s="61"/>
      <c r="K24" s="209"/>
      <c r="L24" s="62"/>
    </row>
    <row r="25" ht="15.75" customHeight="1">
      <c r="A25" s="54"/>
      <c r="B25" s="53"/>
      <c r="C25" s="54"/>
      <c r="D25" s="54"/>
      <c r="E25" s="53"/>
      <c r="F25" s="65"/>
      <c r="G25" s="65"/>
      <c r="H25" s="263"/>
      <c r="I25" s="263"/>
      <c r="J25" s="61"/>
      <c r="K25" s="209"/>
      <c r="L25" s="62"/>
    </row>
    <row r="26" ht="15.75" customHeight="1">
      <c r="A26" s="54"/>
      <c r="B26" s="53"/>
      <c r="C26" s="54"/>
      <c r="D26" s="54"/>
      <c r="E26" s="53"/>
      <c r="F26" s="65"/>
      <c r="G26" s="65"/>
      <c r="H26" s="263"/>
      <c r="I26" s="263"/>
      <c r="J26" s="61"/>
      <c r="K26" s="209"/>
      <c r="L26" s="62"/>
    </row>
    <row r="27" ht="15.75" customHeight="1">
      <c r="A27" s="54"/>
      <c r="B27" s="53"/>
      <c r="C27" s="54"/>
      <c r="D27" s="54"/>
      <c r="E27" s="53"/>
      <c r="F27" s="65"/>
      <c r="G27" s="65"/>
      <c r="H27" s="263"/>
      <c r="I27" s="263"/>
      <c r="J27" s="61"/>
      <c r="K27" s="209"/>
      <c r="L27" s="62"/>
    </row>
    <row r="28" ht="15.75" customHeight="1">
      <c r="A28" s="54"/>
      <c r="B28" s="53"/>
      <c r="C28" s="54"/>
      <c r="D28" s="54"/>
      <c r="E28" s="53"/>
      <c r="F28" s="65"/>
      <c r="G28" s="65"/>
      <c r="H28" s="263"/>
      <c r="I28" s="263"/>
      <c r="J28" s="61"/>
      <c r="K28" s="209"/>
      <c r="L28" s="62"/>
    </row>
    <row r="29" ht="15.75" customHeight="1">
      <c r="A29" s="54"/>
      <c r="B29" s="53"/>
      <c r="C29" s="54"/>
      <c r="D29" s="54"/>
      <c r="E29" s="53"/>
      <c r="F29" s="65"/>
      <c r="G29" s="65"/>
      <c r="H29" s="263"/>
      <c r="I29" s="263"/>
      <c r="J29" s="61"/>
      <c r="K29" s="209"/>
      <c r="L29" s="62"/>
    </row>
    <row r="30" ht="15.75" customHeight="1">
      <c r="A30" s="54"/>
      <c r="B30" s="53"/>
      <c r="C30" s="54"/>
      <c r="D30" s="54"/>
      <c r="E30" s="53"/>
      <c r="F30" s="65"/>
      <c r="G30" s="65"/>
      <c r="H30" s="263"/>
      <c r="I30" s="263"/>
      <c r="J30" s="61"/>
      <c r="K30" s="209"/>
      <c r="L30" s="62"/>
    </row>
    <row r="31" ht="15.75" customHeight="1">
      <c r="A31" s="54"/>
      <c r="B31" s="53"/>
      <c r="C31" s="54"/>
      <c r="D31" s="54"/>
      <c r="E31" s="53"/>
      <c r="F31" s="65"/>
      <c r="G31" s="65"/>
      <c r="H31" s="263"/>
      <c r="I31" s="263"/>
      <c r="J31" s="61"/>
      <c r="K31" s="209"/>
      <c r="L31" s="62"/>
    </row>
    <row r="32" ht="15.75" customHeight="1">
      <c r="A32" s="54"/>
      <c r="B32" s="53"/>
      <c r="C32" s="54"/>
      <c r="D32" s="54"/>
      <c r="E32" s="53"/>
      <c r="F32" s="65"/>
      <c r="G32" s="65"/>
      <c r="H32" s="263"/>
      <c r="I32" s="263"/>
      <c r="J32" s="61"/>
      <c r="K32" s="209"/>
      <c r="L32" s="62"/>
    </row>
    <row r="33" ht="15.75" customHeight="1">
      <c r="A33" s="54"/>
      <c r="B33" s="53"/>
      <c r="C33" s="54"/>
      <c r="D33" s="54"/>
      <c r="E33" s="53"/>
      <c r="F33" s="65"/>
      <c r="G33" s="65"/>
      <c r="H33" s="263"/>
      <c r="I33" s="263"/>
      <c r="J33" s="61"/>
      <c r="K33" s="209"/>
      <c r="L33" s="62"/>
    </row>
    <row r="34" ht="15.75" customHeight="1">
      <c r="A34" s="54"/>
      <c r="B34" s="53"/>
      <c r="C34" s="54"/>
      <c r="D34" s="54"/>
      <c r="E34" s="53"/>
      <c r="F34" s="65"/>
      <c r="G34" s="65"/>
      <c r="H34" s="263"/>
      <c r="I34" s="263"/>
      <c r="J34" s="61"/>
      <c r="K34" s="209"/>
      <c r="L34" s="62"/>
    </row>
    <row r="35" ht="15.75" customHeight="1">
      <c r="A35" s="54"/>
      <c r="B35" s="53"/>
      <c r="C35" s="54"/>
      <c r="D35" s="54"/>
      <c r="E35" s="53"/>
      <c r="F35" s="65"/>
      <c r="G35" s="65"/>
      <c r="H35" s="263"/>
      <c r="I35" s="263"/>
      <c r="J35" s="61"/>
      <c r="K35" s="209"/>
      <c r="L35" s="62"/>
    </row>
    <row r="36" ht="15.75" customHeight="1">
      <c r="A36" s="54"/>
      <c r="B36" s="53"/>
      <c r="C36" s="54"/>
      <c r="D36" s="54"/>
      <c r="E36" s="53"/>
      <c r="F36" s="65"/>
      <c r="G36" s="65"/>
      <c r="H36" s="263"/>
      <c r="I36" s="263"/>
      <c r="J36" s="61"/>
      <c r="K36" s="209"/>
      <c r="L36" s="62"/>
    </row>
    <row r="37" ht="15.75" customHeight="1">
      <c r="A37" s="54"/>
      <c r="B37" s="53"/>
      <c r="C37" s="54"/>
      <c r="D37" s="54"/>
      <c r="E37" s="53"/>
      <c r="F37" s="65"/>
      <c r="G37" s="65"/>
      <c r="H37" s="263"/>
      <c r="I37" s="263"/>
      <c r="J37" s="61"/>
      <c r="K37" s="209"/>
      <c r="L37" s="62"/>
    </row>
    <row r="38" ht="15.75" customHeight="1">
      <c r="A38" s="54"/>
      <c r="B38" s="53"/>
      <c r="C38" s="54"/>
      <c r="D38" s="54"/>
      <c r="E38" s="53"/>
      <c r="F38" s="65"/>
      <c r="G38" s="65"/>
      <c r="H38" s="263"/>
      <c r="I38" s="263"/>
      <c r="J38" s="61"/>
      <c r="K38" s="209"/>
      <c r="L38" s="62"/>
    </row>
    <row r="39" ht="15.75" customHeight="1">
      <c r="A39" s="54"/>
      <c r="B39" s="53"/>
      <c r="C39" s="54"/>
      <c r="D39" s="54"/>
      <c r="E39" s="53"/>
      <c r="F39" s="65"/>
      <c r="G39" s="65"/>
      <c r="H39" s="263"/>
      <c r="I39" s="263"/>
      <c r="J39" s="61"/>
      <c r="K39" s="209"/>
      <c r="L39" s="62"/>
    </row>
    <row r="40" ht="15.75" customHeight="1">
      <c r="A40" s="54"/>
      <c r="B40" s="53"/>
      <c r="C40" s="54"/>
      <c r="D40" s="54"/>
      <c r="E40" s="53"/>
      <c r="F40" s="65"/>
      <c r="G40" s="65"/>
      <c r="H40" s="263"/>
      <c r="I40" s="263"/>
      <c r="J40" s="61"/>
      <c r="K40" s="209"/>
      <c r="L40" s="62"/>
    </row>
    <row r="41" ht="15.75" customHeight="1">
      <c r="A41" s="54"/>
      <c r="B41" s="53"/>
      <c r="C41" s="54"/>
      <c r="D41" s="54"/>
      <c r="E41" s="53"/>
      <c r="F41" s="65"/>
      <c r="G41" s="65"/>
      <c r="H41" s="263"/>
      <c r="I41" s="263"/>
      <c r="J41" s="61"/>
      <c r="K41" s="209"/>
      <c r="L41" s="62"/>
    </row>
    <row r="42" ht="15.75" customHeight="1">
      <c r="A42" s="54"/>
      <c r="B42" s="53"/>
      <c r="C42" s="54"/>
      <c r="D42" s="54"/>
      <c r="E42" s="53"/>
      <c r="F42" s="65"/>
      <c r="G42" s="65"/>
      <c r="H42" s="263"/>
      <c r="I42" s="263"/>
      <c r="J42" s="61"/>
      <c r="K42" s="209"/>
      <c r="L42" s="62"/>
    </row>
    <row r="43" ht="15.75" customHeight="1">
      <c r="A43" s="54"/>
      <c r="B43" s="53"/>
      <c r="C43" s="54"/>
      <c r="D43" s="54"/>
      <c r="E43" s="53"/>
      <c r="F43" s="65"/>
      <c r="G43" s="65"/>
      <c r="H43" s="263"/>
      <c r="I43" s="263"/>
      <c r="J43" s="61"/>
      <c r="K43" s="209"/>
      <c r="L43" s="62"/>
    </row>
    <row r="44" ht="15.75" customHeight="1">
      <c r="A44" s="54"/>
      <c r="B44" s="53"/>
      <c r="C44" s="54"/>
      <c r="D44" s="54"/>
      <c r="E44" s="53"/>
      <c r="F44" s="65"/>
      <c r="G44" s="65"/>
      <c r="H44" s="263"/>
      <c r="I44" s="263"/>
      <c r="J44" s="61"/>
      <c r="K44" s="209"/>
      <c r="L44" s="62"/>
    </row>
    <row r="45" ht="15.75" customHeight="1">
      <c r="A45" s="54"/>
      <c r="B45" s="53"/>
      <c r="C45" s="54"/>
      <c r="D45" s="54"/>
      <c r="E45" s="53"/>
      <c r="F45" s="65"/>
      <c r="G45" s="65"/>
      <c r="H45" s="263"/>
      <c r="I45" s="263"/>
      <c r="J45" s="61"/>
      <c r="K45" s="209"/>
      <c r="L45" s="62"/>
    </row>
    <row r="46" ht="15.75" customHeight="1">
      <c r="A46" s="54"/>
      <c r="B46" s="53"/>
      <c r="C46" s="54"/>
      <c r="D46" s="54"/>
      <c r="E46" s="53"/>
      <c r="F46" s="65"/>
      <c r="G46" s="65"/>
      <c r="H46" s="263"/>
      <c r="I46" s="263"/>
      <c r="J46" s="61"/>
      <c r="K46" s="209"/>
      <c r="L46" s="62"/>
    </row>
    <row r="47" ht="15.75" customHeight="1">
      <c r="A47" s="54"/>
      <c r="B47" s="53"/>
      <c r="C47" s="54"/>
      <c r="D47" s="54"/>
      <c r="E47" s="53"/>
      <c r="F47" s="65"/>
      <c r="G47" s="65"/>
      <c r="H47" s="263"/>
      <c r="I47" s="263"/>
      <c r="J47" s="61"/>
      <c r="K47" s="209"/>
      <c r="L47" s="62"/>
    </row>
    <row r="48" ht="15.75" customHeight="1">
      <c r="A48" s="54"/>
      <c r="B48" s="53"/>
      <c r="C48" s="54"/>
      <c r="D48" s="54"/>
      <c r="E48" s="53"/>
      <c r="F48" s="65"/>
      <c r="G48" s="65"/>
      <c r="H48" s="263"/>
      <c r="I48" s="263"/>
      <c r="J48" s="61"/>
      <c r="K48" s="209"/>
      <c r="L48" s="62"/>
    </row>
    <row r="49" ht="15.75" customHeight="1">
      <c r="A49" s="54"/>
      <c r="B49" s="53"/>
      <c r="C49" s="54"/>
      <c r="D49" s="54"/>
      <c r="E49" s="53"/>
      <c r="F49" s="65"/>
      <c r="G49" s="65"/>
      <c r="H49" s="263"/>
      <c r="I49" s="263"/>
      <c r="J49" s="61"/>
      <c r="K49" s="209"/>
      <c r="L49" s="62"/>
    </row>
    <row r="50" ht="15.75" customHeight="1">
      <c r="A50" s="54"/>
      <c r="B50" s="53"/>
      <c r="C50" s="54"/>
      <c r="D50" s="54"/>
      <c r="E50" s="53"/>
      <c r="F50" s="65"/>
      <c r="G50" s="65"/>
      <c r="H50" s="263"/>
      <c r="I50" s="263"/>
      <c r="J50" s="253"/>
      <c r="K50" s="209"/>
      <c r="L50" s="62"/>
    </row>
    <row r="51" ht="15.75" customHeight="1">
      <c r="A51" s="52"/>
      <c r="B51" s="60"/>
      <c r="C51" s="60"/>
      <c r="D51" s="60"/>
      <c r="E51" s="60"/>
      <c r="F51" s="74"/>
      <c r="G51" s="74"/>
      <c r="H51" s="541"/>
      <c r="I51" s="541"/>
      <c r="J51" s="253"/>
      <c r="K51" s="209"/>
      <c r="L51" s="62"/>
    </row>
    <row r="52" ht="15.75" customHeight="1">
      <c r="A52" s="52"/>
      <c r="B52" s="60"/>
      <c r="C52" s="60"/>
      <c r="D52" s="60"/>
      <c r="E52" s="60"/>
      <c r="F52" s="74"/>
      <c r="G52" s="74"/>
      <c r="H52" s="541"/>
      <c r="I52" s="541"/>
      <c r="J52" s="253"/>
      <c r="K52" s="209"/>
      <c r="L52" s="62"/>
    </row>
    <row r="53" ht="15.75" customHeight="1">
      <c r="A53" s="52"/>
      <c r="B53" s="60"/>
      <c r="C53" s="60"/>
      <c r="D53" s="60"/>
      <c r="E53" s="60"/>
      <c r="F53" s="74"/>
      <c r="G53" s="74"/>
      <c r="H53" s="541"/>
      <c r="I53" s="541"/>
      <c r="J53" s="253"/>
      <c r="K53" s="209"/>
      <c r="L53" s="62"/>
    </row>
    <row r="54" ht="15.75" customHeight="1">
      <c r="A54" s="52"/>
      <c r="B54" s="60"/>
      <c r="C54" s="60"/>
      <c r="D54" s="60"/>
      <c r="E54" s="60"/>
      <c r="F54" s="74"/>
      <c r="G54" s="74"/>
      <c r="H54" s="541"/>
      <c r="I54" s="541"/>
      <c r="J54" s="253"/>
      <c r="K54" s="209"/>
      <c r="L54" s="62"/>
    </row>
    <row r="55" ht="15.75" customHeight="1">
      <c r="A55" s="52"/>
      <c r="B55" s="60"/>
      <c r="C55" s="60"/>
      <c r="D55" s="60"/>
      <c r="E55" s="60"/>
      <c r="F55" s="74"/>
      <c r="G55" s="74"/>
      <c r="H55" s="541"/>
      <c r="I55" s="541"/>
      <c r="J55" s="253"/>
      <c r="K55" s="209"/>
      <c r="L55" s="62"/>
    </row>
    <row r="56" ht="15.75" customHeight="1">
      <c r="A56" s="52"/>
      <c r="B56" s="60"/>
      <c r="C56" s="60"/>
      <c r="D56" s="60"/>
      <c r="E56" s="60"/>
      <c r="F56" s="74"/>
      <c r="G56" s="74"/>
      <c r="H56" s="541"/>
      <c r="I56" s="541"/>
      <c r="J56" s="253"/>
      <c r="K56" s="209"/>
      <c r="L56" s="62"/>
    </row>
    <row r="57" ht="15.75" customHeight="1">
      <c r="A57" s="88" t="s">
        <v>88</v>
      </c>
      <c r="B57" s="88"/>
      <c r="C57" s="37"/>
      <c r="D57" s="37"/>
      <c r="E57" s="37"/>
      <c r="F57" s="1"/>
      <c r="G57" s="1"/>
      <c r="H57" s="1"/>
      <c r="I57" s="1"/>
      <c r="J57" s="41"/>
      <c r="K57" s="472">
        <f>SUM(K7:K56)</f>
        <v>0</v>
      </c>
    </row>
    <row r="58" ht="15.75" customHeight="1">
      <c r="A58" s="36"/>
      <c r="B58" s="36"/>
      <c r="C58" s="37"/>
      <c r="D58" s="37"/>
      <c r="E58" s="37"/>
      <c r="F58" s="37"/>
      <c r="G58" s="37"/>
      <c r="H58" s="1"/>
      <c r="I58" s="1"/>
    </row>
    <row r="59" ht="15.75" customHeight="1">
      <c r="A59" s="36"/>
      <c r="B59" s="37"/>
      <c r="C59" s="37"/>
      <c r="D59" s="37"/>
      <c r="E59" s="37"/>
      <c r="F59" s="37"/>
      <c r="G59" s="1"/>
    </row>
    <row r="60" ht="15.75" customHeight="1">
      <c r="A60" s="473" t="s">
        <v>178</v>
      </c>
      <c r="B60" s="91"/>
      <c r="C60" s="91"/>
      <c r="D60" s="91"/>
      <c r="E60" s="91"/>
      <c r="F60" s="91"/>
      <c r="G60" s="91"/>
      <c r="H60" s="91"/>
      <c r="I60" s="91"/>
      <c r="J60" s="91"/>
      <c r="K60" s="92"/>
    </row>
    <row r="61" ht="15.75" customHeight="1">
      <c r="A61" s="36"/>
      <c r="B61" s="36"/>
      <c r="C61" s="37"/>
      <c r="D61" s="37"/>
      <c r="E61" s="37"/>
      <c r="F61" s="37"/>
      <c r="G61" s="37"/>
      <c r="H61" s="1"/>
      <c r="I61" s="1"/>
    </row>
    <row r="62" ht="15.75" customHeight="1">
      <c r="A62" s="36"/>
      <c r="B62" s="36"/>
      <c r="C62" s="37"/>
      <c r="D62" s="37"/>
      <c r="E62" s="37"/>
      <c r="F62" s="37"/>
      <c r="G62" s="37"/>
      <c r="H62" s="1"/>
      <c r="I62" s="1"/>
    </row>
    <row r="63" ht="15.75" customHeight="1">
      <c r="A63" s="36"/>
      <c r="B63" s="36"/>
      <c r="C63" s="37"/>
      <c r="D63" s="37"/>
      <c r="E63" s="37"/>
      <c r="F63" s="37"/>
      <c r="G63" s="37"/>
      <c r="H63" s="1"/>
      <c r="I63" s="1"/>
    </row>
    <row r="64" ht="15.75" customHeight="1">
      <c r="A64" s="36"/>
      <c r="B64" s="36"/>
      <c r="C64" s="37"/>
      <c r="D64" s="37"/>
      <c r="E64" s="37"/>
      <c r="F64" s="37"/>
      <c r="G64" s="37"/>
      <c r="H64" s="1"/>
      <c r="I64" s="1"/>
    </row>
    <row r="65" ht="15.75" customHeight="1">
      <c r="A65" s="36"/>
      <c r="B65" s="36"/>
      <c r="C65" s="37"/>
      <c r="D65" s="37"/>
      <c r="E65" s="37"/>
      <c r="F65" s="37"/>
      <c r="G65" s="37"/>
      <c r="H65" s="1"/>
      <c r="I65" s="1"/>
    </row>
    <row r="66" ht="15.75" customHeight="1">
      <c r="A66" s="36"/>
      <c r="B66" s="36"/>
      <c r="C66" s="37"/>
      <c r="D66" s="37"/>
      <c r="E66" s="37"/>
      <c r="F66" s="37"/>
      <c r="G66" s="37"/>
      <c r="H66" s="1"/>
      <c r="I66" s="1"/>
    </row>
    <row r="67" ht="15.75" customHeight="1">
      <c r="A67" s="36"/>
      <c r="B67" s="36"/>
      <c r="C67" s="37"/>
      <c r="D67" s="37"/>
      <c r="E67" s="37"/>
      <c r="F67" s="37"/>
      <c r="G67" s="37"/>
      <c r="H67" s="1"/>
      <c r="I67" s="1"/>
    </row>
    <row r="68" ht="15.75" customHeight="1">
      <c r="A68" s="36"/>
      <c r="B68" s="36"/>
      <c r="C68" s="37"/>
      <c r="D68" s="37"/>
      <c r="E68" s="37"/>
      <c r="F68" s="37"/>
      <c r="G68" s="37"/>
      <c r="H68" s="1"/>
      <c r="I68" s="1"/>
    </row>
    <row r="69" ht="15.75" customHeight="1">
      <c r="A69" s="36"/>
      <c r="B69" s="36"/>
      <c r="C69" s="37"/>
      <c r="D69" s="37"/>
      <c r="E69" s="37"/>
      <c r="F69" s="37"/>
      <c r="G69" s="37"/>
      <c r="H69" s="1"/>
      <c r="I69" s="1"/>
    </row>
    <row r="70" ht="15.75" customHeight="1">
      <c r="A70" s="36"/>
      <c r="B70" s="36"/>
      <c r="C70" s="37"/>
      <c r="D70" s="37"/>
      <c r="E70" s="37"/>
      <c r="F70" s="37"/>
      <c r="G70" s="37"/>
      <c r="H70" s="1"/>
      <c r="I70" s="1"/>
    </row>
    <row r="71" ht="15.75" customHeight="1">
      <c r="A71" s="36"/>
      <c r="B71" s="36"/>
      <c r="C71" s="37"/>
      <c r="D71" s="37"/>
      <c r="E71" s="37"/>
      <c r="F71" s="37"/>
      <c r="G71" s="37"/>
      <c r="H71" s="1"/>
      <c r="I71" s="1"/>
    </row>
    <row r="72" ht="15.75" customHeight="1">
      <c r="A72" s="36"/>
      <c r="B72" s="36"/>
      <c r="C72" s="37"/>
      <c r="D72" s="37"/>
      <c r="E72" s="37"/>
      <c r="F72" s="37"/>
      <c r="G72" s="37"/>
      <c r="H72" s="1"/>
      <c r="I72" s="1"/>
    </row>
    <row r="73" ht="15.75" customHeight="1">
      <c r="A73" s="36"/>
      <c r="B73" s="36"/>
      <c r="C73" s="37"/>
      <c r="D73" s="37"/>
      <c r="E73" s="37"/>
      <c r="F73" s="37"/>
      <c r="G73" s="37"/>
      <c r="H73" s="1"/>
      <c r="I73" s="1"/>
    </row>
    <row r="74" ht="15.75" customHeight="1">
      <c r="A74" s="36"/>
      <c r="B74" s="36"/>
      <c r="C74" s="37"/>
      <c r="D74" s="37"/>
      <c r="E74" s="37"/>
      <c r="F74" s="37"/>
      <c r="G74" s="37"/>
      <c r="H74" s="1"/>
      <c r="I74" s="1"/>
    </row>
    <row r="75" ht="15.75" customHeight="1">
      <c r="A75" s="36"/>
      <c r="B75" s="36"/>
      <c r="C75" s="37"/>
      <c r="D75" s="37"/>
      <c r="E75" s="37"/>
      <c r="F75" s="37"/>
      <c r="G75" s="37"/>
      <c r="H75" s="1"/>
      <c r="I75" s="1"/>
    </row>
    <row r="76" ht="15.75" customHeight="1">
      <c r="A76" s="36"/>
      <c r="B76" s="36"/>
      <c r="C76" s="37"/>
      <c r="D76" s="37"/>
      <c r="E76" s="37"/>
      <c r="F76" s="37"/>
      <c r="G76" s="37"/>
      <c r="H76" s="1"/>
      <c r="I76" s="1"/>
    </row>
    <row r="77" ht="15.75" customHeight="1">
      <c r="A77" s="36"/>
      <c r="B77" s="36"/>
      <c r="C77" s="37"/>
      <c r="D77" s="37"/>
      <c r="E77" s="37"/>
      <c r="F77" s="37"/>
      <c r="G77" s="37"/>
      <c r="H77" s="1"/>
      <c r="I77" s="1"/>
    </row>
    <row r="78" ht="15.75" customHeight="1">
      <c r="A78" s="36"/>
      <c r="B78" s="36"/>
      <c r="C78" s="37"/>
      <c r="D78" s="37"/>
      <c r="E78" s="37"/>
      <c r="F78" s="37"/>
      <c r="G78" s="37"/>
      <c r="H78" s="1"/>
      <c r="I78" s="1"/>
    </row>
    <row r="79" ht="15.75" customHeight="1">
      <c r="A79" s="36"/>
      <c r="B79" s="36"/>
      <c r="C79" s="37"/>
      <c r="D79" s="37"/>
      <c r="E79" s="37"/>
      <c r="F79" s="37"/>
      <c r="G79" s="37"/>
      <c r="H79" s="1"/>
      <c r="I79" s="1"/>
    </row>
    <row r="80" ht="15.75" customHeight="1">
      <c r="A80" s="36"/>
      <c r="B80" s="36"/>
      <c r="C80" s="37"/>
      <c r="D80" s="37"/>
      <c r="E80" s="37"/>
      <c r="F80" s="37"/>
      <c r="G80" s="37"/>
      <c r="H80" s="1"/>
      <c r="I80" s="1"/>
    </row>
    <row r="81" ht="15.75" customHeight="1">
      <c r="A81" s="36"/>
      <c r="B81" s="36"/>
      <c r="C81" s="37"/>
      <c r="D81" s="37"/>
      <c r="E81" s="37"/>
      <c r="F81" s="37"/>
      <c r="G81" s="37"/>
      <c r="H81" s="1"/>
      <c r="I81" s="1"/>
    </row>
    <row r="82" ht="15.75" customHeight="1">
      <c r="A82" s="36"/>
      <c r="B82" s="36"/>
      <c r="C82" s="37"/>
      <c r="D82" s="37"/>
      <c r="E82" s="37"/>
      <c r="F82" s="37"/>
      <c r="G82" s="37"/>
      <c r="H82" s="1"/>
      <c r="I82" s="1"/>
    </row>
    <row r="83" ht="15.75" customHeight="1">
      <c r="A83" s="36"/>
      <c r="B83" s="36"/>
      <c r="C83" s="37"/>
      <c r="D83" s="37"/>
      <c r="E83" s="37"/>
      <c r="F83" s="37"/>
      <c r="G83" s="37"/>
      <c r="H83" s="1"/>
      <c r="I83" s="1"/>
    </row>
    <row r="84" ht="15.75" customHeight="1">
      <c r="A84" s="36"/>
      <c r="B84" s="36"/>
      <c r="C84" s="37"/>
      <c r="D84" s="37"/>
      <c r="E84" s="37"/>
      <c r="F84" s="37"/>
      <c r="G84" s="37"/>
      <c r="H84" s="1"/>
      <c r="I84" s="1"/>
    </row>
    <row r="85" ht="15.75" customHeight="1">
      <c r="A85" s="36"/>
      <c r="B85" s="36"/>
      <c r="C85" s="37"/>
      <c r="D85" s="37"/>
      <c r="E85" s="37"/>
      <c r="F85" s="37"/>
      <c r="G85" s="37"/>
      <c r="H85" s="1"/>
      <c r="I85" s="1"/>
    </row>
    <row r="86" ht="15.75" customHeight="1">
      <c r="A86" s="36"/>
      <c r="B86" s="36"/>
      <c r="C86" s="37"/>
      <c r="D86" s="37"/>
      <c r="E86" s="37"/>
      <c r="F86" s="37"/>
      <c r="G86" s="37"/>
      <c r="H86" s="1"/>
      <c r="I86" s="1"/>
    </row>
    <row r="87" ht="15.75" customHeight="1">
      <c r="A87" s="36"/>
      <c r="B87" s="36"/>
      <c r="C87" s="37"/>
      <c r="D87" s="37"/>
      <c r="E87" s="37"/>
      <c r="F87" s="37"/>
      <c r="G87" s="37"/>
      <c r="H87" s="1"/>
      <c r="I87" s="1"/>
    </row>
    <row r="88" ht="15.75" customHeight="1">
      <c r="A88" s="36"/>
      <c r="B88" s="36"/>
      <c r="C88" s="37"/>
      <c r="D88" s="37"/>
      <c r="E88" s="37"/>
      <c r="F88" s="37"/>
      <c r="G88" s="37"/>
      <c r="H88" s="1"/>
      <c r="I88" s="1"/>
    </row>
    <row r="89" ht="15.75" customHeight="1">
      <c r="A89" s="36"/>
      <c r="B89" s="36"/>
      <c r="C89" s="37"/>
      <c r="D89" s="37"/>
      <c r="E89" s="37"/>
      <c r="F89" s="37"/>
      <c r="G89" s="37"/>
      <c r="H89" s="1"/>
      <c r="I89" s="1"/>
    </row>
    <row r="90" ht="15.75" customHeight="1">
      <c r="A90" s="36"/>
      <c r="B90" s="36"/>
      <c r="C90" s="37"/>
      <c r="D90" s="37"/>
      <c r="E90" s="37"/>
      <c r="F90" s="37"/>
      <c r="G90" s="37"/>
      <c r="H90" s="1"/>
      <c r="I90" s="1"/>
    </row>
    <row r="91" ht="15.75" customHeight="1">
      <c r="A91" s="36"/>
      <c r="B91" s="36"/>
      <c r="C91" s="37"/>
      <c r="D91" s="37"/>
      <c r="E91" s="37"/>
      <c r="F91" s="37"/>
      <c r="G91" s="37"/>
      <c r="H91" s="1"/>
      <c r="I91" s="1"/>
    </row>
    <row r="92" ht="15.75" customHeight="1">
      <c r="A92" s="36"/>
      <c r="B92" s="36"/>
      <c r="C92" s="37"/>
      <c r="D92" s="37"/>
      <c r="E92" s="37"/>
      <c r="F92" s="37"/>
      <c r="G92" s="37"/>
      <c r="H92" s="1"/>
      <c r="I92" s="1"/>
    </row>
    <row r="93" ht="15.75" customHeight="1">
      <c r="A93" s="36"/>
      <c r="B93" s="36"/>
      <c r="C93" s="37"/>
      <c r="D93" s="37"/>
      <c r="E93" s="37"/>
      <c r="F93" s="37"/>
      <c r="G93" s="37"/>
      <c r="H93" s="1"/>
      <c r="I93" s="1"/>
    </row>
    <row r="94" ht="15.75" customHeight="1">
      <c r="A94" s="36"/>
      <c r="B94" s="36"/>
      <c r="C94" s="37"/>
      <c r="D94" s="37"/>
      <c r="E94" s="37"/>
      <c r="F94" s="37"/>
      <c r="G94" s="37"/>
      <c r="H94" s="1"/>
      <c r="I94" s="1"/>
    </row>
    <row r="95" ht="15.75" customHeight="1">
      <c r="A95" s="36"/>
      <c r="B95" s="36"/>
      <c r="C95" s="37"/>
      <c r="D95" s="37"/>
      <c r="E95" s="37"/>
      <c r="F95" s="37"/>
      <c r="G95" s="37"/>
      <c r="H95" s="1"/>
      <c r="I95" s="1"/>
    </row>
    <row r="96" ht="15.75" customHeight="1">
      <c r="A96" s="36"/>
      <c r="B96" s="36"/>
      <c r="C96" s="37"/>
      <c r="D96" s="37"/>
      <c r="E96" s="37"/>
      <c r="F96" s="37"/>
      <c r="G96" s="37"/>
      <c r="H96" s="1"/>
      <c r="I96" s="1"/>
    </row>
    <row r="97" ht="15.75" customHeight="1">
      <c r="A97" s="36"/>
      <c r="B97" s="36"/>
      <c r="C97" s="37"/>
      <c r="D97" s="37"/>
      <c r="E97" s="37"/>
      <c r="F97" s="37"/>
      <c r="G97" s="37"/>
      <c r="H97" s="1"/>
      <c r="I97" s="1"/>
    </row>
    <row r="98" ht="15.75" customHeight="1">
      <c r="A98" s="36"/>
      <c r="B98" s="36"/>
      <c r="C98" s="37"/>
      <c r="D98" s="37"/>
      <c r="E98" s="37"/>
      <c r="F98" s="37"/>
      <c r="G98" s="37"/>
      <c r="H98" s="1"/>
      <c r="I98" s="1"/>
    </row>
    <row r="99" ht="15.75" customHeight="1">
      <c r="A99" s="36"/>
      <c r="B99" s="36"/>
      <c r="C99" s="37"/>
      <c r="D99" s="37"/>
      <c r="E99" s="37"/>
      <c r="F99" s="37"/>
      <c r="G99" s="37"/>
      <c r="H99" s="1"/>
      <c r="I99" s="1"/>
    </row>
    <row r="100" ht="15.75" customHeight="1">
      <c r="A100" s="36"/>
      <c r="B100" s="36"/>
      <c r="C100" s="37"/>
      <c r="D100" s="37"/>
      <c r="E100" s="37"/>
      <c r="F100" s="37"/>
      <c r="G100" s="37"/>
      <c r="H100" s="1"/>
      <c r="I100" s="1"/>
    </row>
    <row r="101" ht="15.75" customHeight="1">
      <c r="A101" s="36"/>
      <c r="B101" s="36"/>
      <c r="C101" s="37"/>
      <c r="D101" s="37"/>
      <c r="E101" s="37"/>
      <c r="F101" s="37"/>
      <c r="G101" s="37"/>
      <c r="H101" s="1"/>
      <c r="I101" s="1"/>
    </row>
    <row r="102" ht="15.75" customHeight="1">
      <c r="A102" s="36"/>
      <c r="B102" s="36"/>
      <c r="C102" s="37"/>
      <c r="D102" s="37"/>
      <c r="E102" s="37"/>
      <c r="F102" s="37"/>
      <c r="G102" s="37"/>
      <c r="H102" s="1"/>
      <c r="I102" s="1"/>
    </row>
    <row r="103" ht="15.75" customHeight="1">
      <c r="A103" s="36"/>
      <c r="B103" s="36"/>
      <c r="C103" s="37"/>
      <c r="D103" s="37"/>
      <c r="E103" s="37"/>
      <c r="F103" s="37"/>
      <c r="G103" s="37"/>
      <c r="H103" s="1"/>
      <c r="I103" s="1"/>
    </row>
    <row r="104" ht="15.75" customHeight="1">
      <c r="A104" s="36"/>
      <c r="B104" s="36"/>
      <c r="C104" s="37"/>
      <c r="D104" s="37"/>
      <c r="E104" s="37"/>
      <c r="F104" s="37"/>
      <c r="G104" s="37"/>
      <c r="H104" s="1"/>
      <c r="I104" s="1"/>
    </row>
    <row r="105" ht="15.75" customHeight="1">
      <c r="A105" s="36"/>
      <c r="B105" s="36"/>
      <c r="C105" s="37"/>
      <c r="D105" s="37"/>
      <c r="E105" s="37"/>
      <c r="F105" s="37"/>
      <c r="G105" s="37"/>
      <c r="H105" s="1"/>
      <c r="I105" s="1"/>
    </row>
    <row r="106" ht="15.75" customHeight="1">
      <c r="A106" s="36"/>
      <c r="B106" s="36"/>
      <c r="C106" s="37"/>
      <c r="D106" s="37"/>
      <c r="E106" s="37"/>
      <c r="F106" s="37"/>
      <c r="G106" s="37"/>
      <c r="H106" s="1"/>
      <c r="I106" s="1"/>
    </row>
    <row r="107" ht="15.75" customHeight="1">
      <c r="A107" s="36"/>
      <c r="B107" s="36"/>
      <c r="C107" s="37"/>
      <c r="D107" s="37"/>
      <c r="E107" s="37"/>
      <c r="F107" s="37"/>
      <c r="G107" s="37"/>
      <c r="H107" s="1"/>
      <c r="I107" s="1"/>
    </row>
    <row r="108" ht="15.75" customHeight="1">
      <c r="A108" s="36"/>
      <c r="B108" s="36"/>
      <c r="C108" s="37"/>
      <c r="D108" s="37"/>
      <c r="E108" s="37"/>
      <c r="F108" s="37"/>
      <c r="G108" s="37"/>
      <c r="H108" s="1"/>
      <c r="I108" s="1"/>
    </row>
    <row r="109" ht="15.75" customHeight="1">
      <c r="A109" s="36"/>
      <c r="B109" s="36"/>
      <c r="C109" s="37"/>
      <c r="D109" s="37"/>
      <c r="E109" s="37"/>
      <c r="F109" s="37"/>
      <c r="G109" s="37"/>
      <c r="H109" s="1"/>
      <c r="I109" s="1"/>
    </row>
    <row r="110" ht="15.75" customHeight="1">
      <c r="A110" s="36"/>
      <c r="B110" s="36"/>
      <c r="C110" s="37"/>
      <c r="D110" s="37"/>
      <c r="E110" s="37"/>
      <c r="F110" s="37"/>
      <c r="G110" s="37"/>
      <c r="H110" s="1"/>
      <c r="I110" s="1"/>
    </row>
    <row r="111" ht="15.75" customHeight="1">
      <c r="A111" s="36"/>
      <c r="B111" s="36"/>
      <c r="C111" s="37"/>
      <c r="D111" s="37"/>
      <c r="E111" s="37"/>
      <c r="F111" s="37"/>
      <c r="G111" s="37"/>
      <c r="H111" s="1"/>
      <c r="I111" s="1"/>
    </row>
    <row r="112" ht="15.75" customHeight="1">
      <c r="A112" s="36"/>
      <c r="B112" s="36"/>
      <c r="C112" s="37"/>
      <c r="D112" s="37"/>
      <c r="E112" s="37"/>
      <c r="F112" s="37"/>
      <c r="G112" s="37"/>
      <c r="H112" s="1"/>
      <c r="I112" s="1"/>
    </row>
    <row r="113" ht="15.75" customHeight="1">
      <c r="A113" s="36"/>
      <c r="B113" s="36"/>
      <c r="C113" s="37"/>
      <c r="D113" s="37"/>
      <c r="E113" s="37"/>
      <c r="F113" s="37"/>
      <c r="G113" s="37"/>
      <c r="H113" s="1"/>
      <c r="I113" s="1"/>
    </row>
    <row r="114" ht="15.75" customHeight="1">
      <c r="A114" s="36"/>
      <c r="B114" s="36"/>
      <c r="C114" s="37"/>
      <c r="D114" s="37"/>
      <c r="E114" s="37"/>
      <c r="F114" s="37"/>
      <c r="G114" s="37"/>
      <c r="H114" s="1"/>
      <c r="I114" s="1"/>
    </row>
    <row r="115" ht="15.75" customHeight="1">
      <c r="A115" s="36"/>
      <c r="B115" s="36"/>
      <c r="C115" s="37"/>
      <c r="D115" s="37"/>
      <c r="E115" s="37"/>
      <c r="F115" s="37"/>
      <c r="G115" s="37"/>
      <c r="H115" s="1"/>
      <c r="I115" s="1"/>
    </row>
    <row r="116" ht="15.75" customHeight="1">
      <c r="A116" s="36"/>
      <c r="B116" s="36"/>
      <c r="C116" s="37"/>
      <c r="D116" s="37"/>
      <c r="E116" s="37"/>
      <c r="F116" s="37"/>
      <c r="G116" s="37"/>
      <c r="H116" s="1"/>
      <c r="I116" s="1"/>
    </row>
    <row r="117" ht="15.75" customHeight="1">
      <c r="A117" s="36"/>
      <c r="B117" s="36"/>
      <c r="C117" s="37"/>
      <c r="D117" s="37"/>
      <c r="E117" s="37"/>
      <c r="F117" s="37"/>
      <c r="G117" s="37"/>
      <c r="H117" s="1"/>
      <c r="I117" s="1"/>
    </row>
    <row r="118" ht="15.75" customHeight="1">
      <c r="A118" s="36"/>
      <c r="B118" s="36"/>
      <c r="C118" s="37"/>
      <c r="D118" s="37"/>
      <c r="E118" s="37"/>
      <c r="F118" s="37"/>
      <c r="G118" s="37"/>
      <c r="H118" s="1"/>
      <c r="I118" s="1"/>
    </row>
    <row r="119" ht="15.75" customHeight="1">
      <c r="A119" s="36"/>
      <c r="B119" s="36"/>
      <c r="C119" s="37"/>
      <c r="D119" s="37"/>
      <c r="E119" s="37"/>
      <c r="F119" s="37"/>
      <c r="G119" s="37"/>
      <c r="H119" s="1"/>
      <c r="I119" s="1"/>
    </row>
    <row r="120" ht="15.75" customHeight="1">
      <c r="A120" s="36"/>
      <c r="B120" s="36"/>
      <c r="C120" s="37"/>
      <c r="D120" s="37"/>
      <c r="E120" s="37"/>
      <c r="F120" s="37"/>
      <c r="G120" s="37"/>
      <c r="H120" s="1"/>
      <c r="I120" s="1"/>
    </row>
    <row r="121" ht="15.75" customHeight="1">
      <c r="A121" s="36"/>
      <c r="B121" s="36"/>
      <c r="C121" s="37"/>
      <c r="D121" s="37"/>
      <c r="E121" s="37"/>
      <c r="F121" s="37"/>
      <c r="G121" s="37"/>
      <c r="H121" s="1"/>
      <c r="I121" s="1"/>
    </row>
    <row r="122" ht="15.75" customHeight="1">
      <c r="A122" s="36"/>
      <c r="B122" s="36"/>
      <c r="C122" s="37"/>
      <c r="D122" s="37"/>
      <c r="E122" s="37"/>
      <c r="F122" s="37"/>
      <c r="G122" s="37"/>
      <c r="H122" s="1"/>
      <c r="I122" s="1"/>
    </row>
    <row r="123" ht="15.75" customHeight="1">
      <c r="A123" s="36"/>
      <c r="B123" s="36"/>
      <c r="C123" s="37"/>
      <c r="D123" s="37"/>
      <c r="E123" s="37"/>
      <c r="F123" s="37"/>
      <c r="G123" s="37"/>
      <c r="H123" s="1"/>
      <c r="I123" s="1"/>
    </row>
    <row r="124" ht="15.75" customHeight="1">
      <c r="A124" s="36"/>
      <c r="B124" s="36"/>
      <c r="C124" s="37"/>
      <c r="D124" s="37"/>
      <c r="E124" s="37"/>
      <c r="F124" s="37"/>
      <c r="G124" s="37"/>
      <c r="H124" s="1"/>
      <c r="I124" s="1"/>
    </row>
    <row r="125" ht="15.75" customHeight="1">
      <c r="A125" s="36"/>
      <c r="B125" s="36"/>
      <c r="C125" s="37"/>
      <c r="D125" s="37"/>
      <c r="E125" s="37"/>
      <c r="F125" s="37"/>
      <c r="G125" s="37"/>
      <c r="H125" s="1"/>
      <c r="I125" s="1"/>
    </row>
    <row r="126" ht="15.75" customHeight="1">
      <c r="A126" s="36"/>
      <c r="B126" s="36"/>
      <c r="C126" s="37"/>
      <c r="D126" s="37"/>
      <c r="E126" s="37"/>
      <c r="F126" s="37"/>
      <c r="G126" s="37"/>
      <c r="H126" s="1"/>
      <c r="I126" s="1"/>
    </row>
    <row r="127" ht="15.75" customHeight="1">
      <c r="A127" s="36"/>
      <c r="B127" s="36"/>
      <c r="C127" s="37"/>
      <c r="D127" s="37"/>
      <c r="E127" s="37"/>
      <c r="F127" s="37"/>
      <c r="G127" s="37"/>
      <c r="H127" s="1"/>
      <c r="I127" s="1"/>
    </row>
    <row r="128" ht="15.75" customHeight="1">
      <c r="A128" s="36"/>
      <c r="B128" s="36"/>
      <c r="C128" s="37"/>
      <c r="D128" s="37"/>
      <c r="E128" s="37"/>
      <c r="F128" s="37"/>
      <c r="G128" s="37"/>
      <c r="H128" s="1"/>
      <c r="I128" s="1"/>
    </row>
    <row r="129" ht="15.75" customHeight="1">
      <c r="A129" s="36"/>
      <c r="B129" s="36"/>
      <c r="C129" s="37"/>
      <c r="D129" s="37"/>
      <c r="E129" s="37"/>
      <c r="F129" s="37"/>
      <c r="G129" s="37"/>
      <c r="H129" s="1"/>
      <c r="I129" s="1"/>
    </row>
    <row r="130" ht="15.75" customHeight="1">
      <c r="A130" s="36"/>
      <c r="B130" s="36"/>
      <c r="C130" s="37"/>
      <c r="D130" s="37"/>
      <c r="E130" s="37"/>
      <c r="F130" s="37"/>
      <c r="G130" s="37"/>
      <c r="H130" s="1"/>
      <c r="I130" s="1"/>
    </row>
    <row r="131" ht="15.75" customHeight="1">
      <c r="A131" s="36"/>
      <c r="B131" s="36"/>
      <c r="C131" s="37"/>
      <c r="D131" s="37"/>
      <c r="E131" s="37"/>
      <c r="F131" s="37"/>
      <c r="G131" s="37"/>
      <c r="H131" s="1"/>
      <c r="I131" s="1"/>
    </row>
    <row r="132" ht="15.75" customHeight="1">
      <c r="A132" s="36"/>
      <c r="B132" s="36"/>
      <c r="C132" s="37"/>
      <c r="D132" s="37"/>
      <c r="E132" s="37"/>
      <c r="F132" s="37"/>
      <c r="G132" s="37"/>
      <c r="H132" s="1"/>
      <c r="I132" s="1"/>
    </row>
    <row r="133" ht="15.75" customHeight="1">
      <c r="A133" s="36"/>
      <c r="B133" s="36"/>
      <c r="C133" s="37"/>
      <c r="D133" s="37"/>
      <c r="E133" s="37"/>
      <c r="F133" s="37"/>
      <c r="G133" s="37"/>
      <c r="H133" s="1"/>
      <c r="I133" s="1"/>
    </row>
    <row r="134" ht="15.75" customHeight="1">
      <c r="A134" s="36"/>
      <c r="B134" s="36"/>
      <c r="C134" s="37"/>
      <c r="D134" s="37"/>
      <c r="E134" s="37"/>
      <c r="F134" s="37"/>
      <c r="G134" s="37"/>
      <c r="H134" s="1"/>
      <c r="I134" s="1"/>
    </row>
    <row r="135" ht="15.75" customHeight="1">
      <c r="A135" s="36"/>
      <c r="B135" s="36"/>
      <c r="C135" s="37"/>
      <c r="D135" s="37"/>
      <c r="E135" s="37"/>
      <c r="F135" s="37"/>
      <c r="G135" s="37"/>
      <c r="H135" s="1"/>
      <c r="I135" s="1"/>
    </row>
    <row r="136" ht="15.75" customHeight="1">
      <c r="A136" s="36"/>
      <c r="B136" s="36"/>
      <c r="C136" s="37"/>
      <c r="D136" s="37"/>
      <c r="E136" s="37"/>
      <c r="F136" s="37"/>
      <c r="G136" s="37"/>
      <c r="H136" s="1"/>
      <c r="I136" s="1"/>
    </row>
    <row r="137" ht="15.75" customHeight="1">
      <c r="A137" s="36"/>
      <c r="B137" s="36"/>
      <c r="C137" s="37"/>
      <c r="D137" s="37"/>
      <c r="E137" s="37"/>
      <c r="F137" s="37"/>
      <c r="G137" s="37"/>
      <c r="H137" s="1"/>
      <c r="I137" s="1"/>
    </row>
    <row r="138" ht="15.75" customHeight="1">
      <c r="A138" s="36"/>
      <c r="B138" s="36"/>
      <c r="C138" s="37"/>
      <c r="D138" s="37"/>
      <c r="E138" s="37"/>
      <c r="F138" s="37"/>
      <c r="G138" s="37"/>
      <c r="H138" s="1"/>
      <c r="I138" s="1"/>
    </row>
    <row r="139" ht="15.75" customHeight="1">
      <c r="A139" s="36"/>
      <c r="B139" s="36"/>
      <c r="C139" s="37"/>
      <c r="D139" s="37"/>
      <c r="E139" s="37"/>
      <c r="F139" s="37"/>
      <c r="G139" s="37"/>
      <c r="H139" s="1"/>
      <c r="I139" s="1"/>
    </row>
    <row r="140" ht="15.75" customHeight="1">
      <c r="A140" s="36"/>
      <c r="B140" s="36"/>
      <c r="C140" s="37"/>
      <c r="D140" s="37"/>
      <c r="E140" s="37"/>
      <c r="F140" s="37"/>
      <c r="G140" s="37"/>
      <c r="H140" s="1"/>
      <c r="I140" s="1"/>
    </row>
    <row r="141" ht="15.75" customHeight="1">
      <c r="A141" s="36"/>
      <c r="B141" s="36"/>
      <c r="C141" s="37"/>
      <c r="D141" s="37"/>
      <c r="E141" s="37"/>
      <c r="F141" s="37"/>
      <c r="G141" s="37"/>
      <c r="H141" s="1"/>
      <c r="I141" s="1"/>
    </row>
    <row r="142" ht="15.75" customHeight="1">
      <c r="A142" s="36"/>
      <c r="B142" s="36"/>
      <c r="C142" s="37"/>
      <c r="D142" s="37"/>
      <c r="E142" s="37"/>
      <c r="F142" s="37"/>
      <c r="G142" s="37"/>
      <c r="H142" s="1"/>
      <c r="I142" s="1"/>
    </row>
    <row r="143" ht="15.75" customHeight="1">
      <c r="A143" s="36"/>
      <c r="B143" s="36"/>
      <c r="C143" s="37"/>
      <c r="D143" s="37"/>
      <c r="E143" s="37"/>
      <c r="F143" s="37"/>
      <c r="G143" s="37"/>
      <c r="H143" s="1"/>
      <c r="I143" s="1"/>
    </row>
    <row r="144" ht="15.75" customHeight="1">
      <c r="A144" s="36"/>
      <c r="B144" s="36"/>
      <c r="C144" s="37"/>
      <c r="D144" s="37"/>
      <c r="E144" s="37"/>
      <c r="F144" s="37"/>
      <c r="G144" s="37"/>
      <c r="H144" s="1"/>
      <c r="I144" s="1"/>
    </row>
    <row r="145" ht="15.75" customHeight="1">
      <c r="A145" s="36"/>
      <c r="B145" s="36"/>
      <c r="C145" s="37"/>
      <c r="D145" s="37"/>
      <c r="E145" s="37"/>
      <c r="F145" s="37"/>
      <c r="G145" s="37"/>
      <c r="H145" s="1"/>
      <c r="I145" s="1"/>
    </row>
    <row r="146" ht="15.75" customHeight="1">
      <c r="A146" s="36"/>
      <c r="B146" s="36"/>
      <c r="C146" s="37"/>
      <c r="D146" s="37"/>
      <c r="E146" s="37"/>
      <c r="F146" s="37"/>
      <c r="G146" s="37"/>
      <c r="H146" s="1"/>
      <c r="I146" s="1"/>
    </row>
    <row r="147" ht="15.75" customHeight="1">
      <c r="A147" s="36"/>
      <c r="B147" s="36"/>
      <c r="C147" s="37"/>
      <c r="D147" s="37"/>
      <c r="E147" s="37"/>
      <c r="F147" s="37"/>
      <c r="G147" s="37"/>
      <c r="H147" s="1"/>
      <c r="I147" s="1"/>
    </row>
    <row r="148" ht="15.75" customHeight="1">
      <c r="A148" s="36"/>
      <c r="B148" s="36"/>
      <c r="C148" s="37"/>
      <c r="D148" s="37"/>
      <c r="E148" s="37"/>
      <c r="F148" s="37"/>
      <c r="G148" s="37"/>
      <c r="H148" s="1"/>
      <c r="I148" s="1"/>
    </row>
    <row r="149" ht="15.75" customHeight="1">
      <c r="A149" s="36"/>
      <c r="B149" s="36"/>
      <c r="C149" s="37"/>
      <c r="D149" s="37"/>
      <c r="E149" s="37"/>
      <c r="F149" s="37"/>
      <c r="G149" s="37"/>
      <c r="H149" s="1"/>
      <c r="I149" s="1"/>
    </row>
    <row r="150" ht="15.75" customHeight="1">
      <c r="A150" s="36"/>
      <c r="B150" s="36"/>
      <c r="C150" s="37"/>
      <c r="D150" s="37"/>
      <c r="E150" s="37"/>
      <c r="F150" s="37"/>
      <c r="G150" s="37"/>
      <c r="H150" s="1"/>
      <c r="I150" s="1"/>
    </row>
    <row r="151" ht="15.75" customHeight="1">
      <c r="A151" s="36"/>
      <c r="B151" s="36"/>
      <c r="C151" s="37"/>
      <c r="D151" s="37"/>
      <c r="E151" s="37"/>
      <c r="F151" s="37"/>
      <c r="G151" s="37"/>
      <c r="H151" s="1"/>
      <c r="I151" s="1"/>
    </row>
    <row r="152" ht="15.75" customHeight="1">
      <c r="A152" s="36"/>
      <c r="B152" s="36"/>
      <c r="C152" s="37"/>
      <c r="D152" s="37"/>
      <c r="E152" s="37"/>
      <c r="F152" s="37"/>
      <c r="G152" s="37"/>
      <c r="H152" s="1"/>
      <c r="I152" s="1"/>
    </row>
    <row r="153" ht="15.75" customHeight="1">
      <c r="A153" s="36"/>
      <c r="B153" s="36"/>
      <c r="C153" s="37"/>
      <c r="D153" s="37"/>
      <c r="E153" s="37"/>
      <c r="F153" s="37"/>
      <c r="G153" s="37"/>
      <c r="H153" s="1"/>
      <c r="I153" s="1"/>
    </row>
    <row r="154" ht="15.75" customHeight="1">
      <c r="A154" s="36"/>
      <c r="B154" s="36"/>
      <c r="C154" s="37"/>
      <c r="D154" s="37"/>
      <c r="E154" s="37"/>
      <c r="F154" s="37"/>
      <c r="G154" s="37"/>
      <c r="H154" s="1"/>
      <c r="I154" s="1"/>
    </row>
    <row r="155" ht="15.75" customHeight="1">
      <c r="A155" s="36"/>
      <c r="B155" s="36"/>
      <c r="C155" s="37"/>
      <c r="D155" s="37"/>
      <c r="E155" s="37"/>
      <c r="F155" s="37"/>
      <c r="G155" s="37"/>
      <c r="H155" s="1"/>
      <c r="I155" s="1"/>
    </row>
    <row r="156" ht="15.75" customHeight="1">
      <c r="A156" s="36"/>
      <c r="B156" s="36"/>
      <c r="C156" s="37"/>
      <c r="D156" s="37"/>
      <c r="E156" s="37"/>
      <c r="F156" s="37"/>
      <c r="G156" s="37"/>
      <c r="H156" s="1"/>
      <c r="I156" s="1"/>
    </row>
    <row r="157" ht="15.75" customHeight="1">
      <c r="A157" s="36"/>
      <c r="B157" s="36"/>
      <c r="C157" s="37"/>
      <c r="D157" s="37"/>
      <c r="E157" s="37"/>
      <c r="F157" s="37"/>
      <c r="G157" s="37"/>
      <c r="H157" s="1"/>
      <c r="I157" s="1"/>
    </row>
    <row r="158" ht="15.75" customHeight="1">
      <c r="A158" s="36"/>
      <c r="B158" s="36"/>
      <c r="C158" s="37"/>
      <c r="D158" s="37"/>
      <c r="E158" s="37"/>
      <c r="F158" s="37"/>
      <c r="G158" s="37"/>
      <c r="H158" s="1"/>
      <c r="I158" s="1"/>
    </row>
    <row r="159" ht="15.75" customHeight="1">
      <c r="A159" s="36"/>
      <c r="B159" s="36"/>
      <c r="C159" s="37"/>
      <c r="D159" s="37"/>
      <c r="E159" s="37"/>
      <c r="F159" s="37"/>
      <c r="G159" s="37"/>
      <c r="H159" s="1"/>
      <c r="I159" s="1"/>
    </row>
    <row r="160" ht="15.75" customHeight="1">
      <c r="A160" s="36"/>
      <c r="B160" s="36"/>
      <c r="C160" s="37"/>
      <c r="D160" s="37"/>
      <c r="E160" s="37"/>
      <c r="F160" s="37"/>
      <c r="G160" s="37"/>
      <c r="H160" s="1"/>
      <c r="I160" s="1"/>
    </row>
    <row r="161" ht="15.75" customHeight="1">
      <c r="A161" s="36"/>
      <c r="B161" s="36"/>
      <c r="C161" s="37"/>
      <c r="D161" s="37"/>
      <c r="E161" s="37"/>
      <c r="F161" s="37"/>
      <c r="G161" s="37"/>
      <c r="H161" s="1"/>
      <c r="I161" s="1"/>
    </row>
    <row r="162" ht="15.75" customHeight="1">
      <c r="A162" s="36"/>
      <c r="B162" s="36"/>
      <c r="C162" s="37"/>
      <c r="D162" s="37"/>
      <c r="E162" s="37"/>
      <c r="F162" s="37"/>
      <c r="G162" s="37"/>
      <c r="H162" s="1"/>
      <c r="I162" s="1"/>
    </row>
    <row r="163" ht="15.75" customHeight="1">
      <c r="A163" s="36"/>
      <c r="B163" s="36"/>
      <c r="C163" s="37"/>
      <c r="D163" s="37"/>
      <c r="E163" s="37"/>
      <c r="F163" s="37"/>
      <c r="G163" s="37"/>
      <c r="H163" s="1"/>
      <c r="I163" s="1"/>
    </row>
    <row r="164" ht="15.75" customHeight="1">
      <c r="A164" s="36"/>
      <c r="B164" s="36"/>
      <c r="C164" s="37"/>
      <c r="D164" s="37"/>
      <c r="E164" s="37"/>
      <c r="F164" s="37"/>
      <c r="G164" s="37"/>
      <c r="H164" s="1"/>
      <c r="I164" s="1"/>
    </row>
    <row r="165" ht="15.75" customHeight="1">
      <c r="A165" s="36"/>
      <c r="B165" s="36"/>
      <c r="C165" s="37"/>
      <c r="D165" s="37"/>
      <c r="E165" s="37"/>
      <c r="F165" s="37"/>
      <c r="G165" s="37"/>
      <c r="H165" s="1"/>
      <c r="I165" s="1"/>
    </row>
    <row r="166" ht="15.75" customHeight="1">
      <c r="A166" s="36"/>
      <c r="B166" s="36"/>
      <c r="C166" s="37"/>
      <c r="D166" s="37"/>
      <c r="E166" s="37"/>
      <c r="F166" s="37"/>
      <c r="G166" s="37"/>
      <c r="H166" s="1"/>
      <c r="I166" s="1"/>
    </row>
    <row r="167" ht="15.75" customHeight="1">
      <c r="A167" s="36"/>
      <c r="B167" s="36"/>
      <c r="C167" s="37"/>
      <c r="D167" s="37"/>
      <c r="E167" s="37"/>
      <c r="F167" s="37"/>
      <c r="G167" s="37"/>
      <c r="H167" s="1"/>
      <c r="I167" s="1"/>
    </row>
    <row r="168" ht="15.75" customHeight="1">
      <c r="A168" s="36"/>
      <c r="B168" s="36"/>
      <c r="C168" s="37"/>
      <c r="D168" s="37"/>
      <c r="E168" s="37"/>
      <c r="F168" s="37"/>
      <c r="G168" s="37"/>
      <c r="H168" s="1"/>
      <c r="I168" s="1"/>
    </row>
    <row r="169" ht="15.75" customHeight="1">
      <c r="A169" s="36"/>
      <c r="B169" s="36"/>
      <c r="C169" s="37"/>
      <c r="D169" s="37"/>
      <c r="E169" s="37"/>
      <c r="F169" s="37"/>
      <c r="G169" s="37"/>
      <c r="H169" s="1"/>
      <c r="I169" s="1"/>
    </row>
    <row r="170" ht="15.75" customHeight="1">
      <c r="A170" s="36"/>
      <c r="B170" s="36"/>
      <c r="C170" s="37"/>
      <c r="D170" s="37"/>
      <c r="E170" s="37"/>
      <c r="F170" s="37"/>
      <c r="G170" s="37"/>
      <c r="H170" s="1"/>
      <c r="I170" s="1"/>
    </row>
    <row r="171" ht="15.75" customHeight="1">
      <c r="A171" s="36"/>
      <c r="B171" s="36"/>
      <c r="C171" s="37"/>
      <c r="D171" s="37"/>
      <c r="E171" s="37"/>
      <c r="F171" s="37"/>
      <c r="G171" s="37"/>
      <c r="H171" s="1"/>
      <c r="I171" s="1"/>
    </row>
    <row r="172" ht="15.75" customHeight="1">
      <c r="A172" s="36"/>
      <c r="B172" s="36"/>
      <c r="C172" s="37"/>
      <c r="D172" s="37"/>
      <c r="E172" s="37"/>
      <c r="F172" s="37"/>
      <c r="G172" s="37"/>
      <c r="H172" s="1"/>
      <c r="I172" s="1"/>
    </row>
    <row r="173" ht="15.75" customHeight="1">
      <c r="A173" s="36"/>
      <c r="B173" s="36"/>
      <c r="C173" s="37"/>
      <c r="D173" s="37"/>
      <c r="E173" s="37"/>
      <c r="F173" s="37"/>
      <c r="G173" s="37"/>
      <c r="H173" s="1"/>
      <c r="I173" s="1"/>
    </row>
    <row r="174" ht="15.75" customHeight="1">
      <c r="A174" s="36"/>
      <c r="B174" s="36"/>
      <c r="C174" s="37"/>
      <c r="D174" s="37"/>
      <c r="E174" s="37"/>
      <c r="F174" s="37"/>
      <c r="G174" s="37"/>
      <c r="H174" s="1"/>
      <c r="I174" s="1"/>
    </row>
    <row r="175" ht="15.75" customHeight="1">
      <c r="A175" s="36"/>
      <c r="B175" s="36"/>
      <c r="C175" s="37"/>
      <c r="D175" s="37"/>
      <c r="E175" s="37"/>
      <c r="F175" s="37"/>
      <c r="G175" s="37"/>
      <c r="H175" s="1"/>
      <c r="I175" s="1"/>
    </row>
    <row r="176" ht="15.75" customHeight="1">
      <c r="A176" s="36"/>
      <c r="B176" s="36"/>
      <c r="C176" s="37"/>
      <c r="D176" s="37"/>
      <c r="E176" s="37"/>
      <c r="F176" s="37"/>
      <c r="G176" s="37"/>
      <c r="H176" s="1"/>
      <c r="I176" s="1"/>
    </row>
    <row r="177" ht="15.75" customHeight="1">
      <c r="A177" s="36"/>
      <c r="B177" s="36"/>
      <c r="C177" s="37"/>
      <c r="D177" s="37"/>
      <c r="E177" s="37"/>
      <c r="F177" s="37"/>
      <c r="G177" s="37"/>
      <c r="H177" s="1"/>
      <c r="I177" s="1"/>
    </row>
    <row r="178" ht="15.75" customHeight="1">
      <c r="A178" s="36"/>
      <c r="B178" s="36"/>
      <c r="C178" s="37"/>
      <c r="D178" s="37"/>
      <c r="E178" s="37"/>
      <c r="F178" s="37"/>
      <c r="G178" s="37"/>
      <c r="H178" s="1"/>
      <c r="I178" s="1"/>
    </row>
    <row r="179" ht="15.75" customHeight="1">
      <c r="A179" s="36"/>
      <c r="B179" s="36"/>
      <c r="C179" s="37"/>
      <c r="D179" s="37"/>
      <c r="E179" s="37"/>
      <c r="F179" s="37"/>
      <c r="G179" s="37"/>
      <c r="H179" s="1"/>
      <c r="I179" s="1"/>
    </row>
    <row r="180" ht="15.75" customHeight="1">
      <c r="A180" s="36"/>
      <c r="B180" s="36"/>
      <c r="C180" s="37"/>
      <c r="D180" s="37"/>
      <c r="E180" s="37"/>
      <c r="F180" s="37"/>
      <c r="G180" s="37"/>
      <c r="H180" s="1"/>
      <c r="I180" s="1"/>
    </row>
    <row r="181" ht="15.75" customHeight="1">
      <c r="A181" s="36"/>
      <c r="B181" s="36"/>
      <c r="C181" s="37"/>
      <c r="D181" s="37"/>
      <c r="E181" s="37"/>
      <c r="F181" s="37"/>
      <c r="G181" s="37"/>
      <c r="H181" s="1"/>
      <c r="I181" s="1"/>
    </row>
    <row r="182" ht="15.75" customHeight="1">
      <c r="A182" s="36"/>
      <c r="B182" s="36"/>
      <c r="C182" s="37"/>
      <c r="D182" s="37"/>
      <c r="E182" s="37"/>
      <c r="F182" s="37"/>
      <c r="G182" s="37"/>
      <c r="H182" s="1"/>
      <c r="I182" s="1"/>
    </row>
    <row r="183" ht="15.75" customHeight="1">
      <c r="A183" s="36"/>
      <c r="B183" s="36"/>
      <c r="C183" s="37"/>
      <c r="D183" s="37"/>
      <c r="E183" s="37"/>
      <c r="F183" s="37"/>
      <c r="G183" s="37"/>
      <c r="H183" s="1"/>
      <c r="I183" s="1"/>
    </row>
    <row r="184" ht="15.75" customHeight="1">
      <c r="A184" s="36"/>
      <c r="B184" s="36"/>
      <c r="C184" s="37"/>
      <c r="D184" s="37"/>
      <c r="E184" s="37"/>
      <c r="F184" s="37"/>
      <c r="G184" s="37"/>
      <c r="H184" s="1"/>
      <c r="I184" s="1"/>
    </row>
    <row r="185" ht="15.75" customHeight="1">
      <c r="A185" s="36"/>
      <c r="B185" s="36"/>
      <c r="C185" s="37"/>
      <c r="D185" s="37"/>
      <c r="E185" s="37"/>
      <c r="F185" s="37"/>
      <c r="G185" s="37"/>
      <c r="H185" s="1"/>
      <c r="I185" s="1"/>
    </row>
    <row r="186" ht="15.75" customHeight="1">
      <c r="A186" s="36"/>
      <c r="B186" s="36"/>
      <c r="C186" s="37"/>
      <c r="D186" s="37"/>
      <c r="E186" s="37"/>
      <c r="F186" s="37"/>
      <c r="G186" s="37"/>
      <c r="H186" s="1"/>
      <c r="I186" s="1"/>
    </row>
    <row r="187" ht="15.75" customHeight="1">
      <c r="A187" s="36"/>
      <c r="B187" s="36"/>
      <c r="C187" s="37"/>
      <c r="D187" s="37"/>
      <c r="E187" s="37"/>
      <c r="F187" s="37"/>
      <c r="G187" s="37"/>
      <c r="H187" s="1"/>
      <c r="I187" s="1"/>
    </row>
    <row r="188" ht="15.75" customHeight="1">
      <c r="A188" s="36"/>
      <c r="B188" s="36"/>
      <c r="C188" s="37"/>
      <c r="D188" s="37"/>
      <c r="E188" s="37"/>
      <c r="F188" s="37"/>
      <c r="G188" s="37"/>
      <c r="H188" s="1"/>
      <c r="I188" s="1"/>
    </row>
    <row r="189" ht="15.75" customHeight="1">
      <c r="A189" s="36"/>
      <c r="B189" s="36"/>
      <c r="C189" s="37"/>
      <c r="D189" s="37"/>
      <c r="E189" s="37"/>
      <c r="F189" s="37"/>
      <c r="G189" s="37"/>
      <c r="H189" s="1"/>
      <c r="I189" s="1"/>
    </row>
    <row r="190" ht="15.75" customHeight="1">
      <c r="A190" s="36"/>
      <c r="B190" s="36"/>
      <c r="C190" s="37"/>
      <c r="D190" s="37"/>
      <c r="E190" s="37"/>
      <c r="F190" s="37"/>
      <c r="G190" s="37"/>
      <c r="H190" s="1"/>
      <c r="I190" s="1"/>
    </row>
    <row r="191" ht="15.75" customHeight="1">
      <c r="A191" s="36"/>
      <c r="B191" s="36"/>
      <c r="C191" s="37"/>
      <c r="D191" s="37"/>
      <c r="E191" s="37"/>
      <c r="F191" s="37"/>
      <c r="G191" s="37"/>
      <c r="H191" s="1"/>
      <c r="I191" s="1"/>
    </row>
    <row r="192" ht="15.75" customHeight="1">
      <c r="A192" s="36"/>
      <c r="B192" s="36"/>
      <c r="C192" s="37"/>
      <c r="D192" s="37"/>
      <c r="E192" s="37"/>
      <c r="F192" s="37"/>
      <c r="G192" s="37"/>
      <c r="H192" s="1"/>
      <c r="I192" s="1"/>
    </row>
    <row r="193" ht="15.75" customHeight="1">
      <c r="A193" s="36"/>
      <c r="B193" s="36"/>
      <c r="C193" s="37"/>
      <c r="D193" s="37"/>
      <c r="E193" s="37"/>
      <c r="F193" s="37"/>
      <c r="G193" s="37"/>
      <c r="H193" s="1"/>
      <c r="I193" s="1"/>
    </row>
    <row r="194" ht="15.75" customHeight="1">
      <c r="A194" s="36"/>
      <c r="B194" s="36"/>
      <c r="C194" s="37"/>
      <c r="D194" s="37"/>
      <c r="E194" s="37"/>
      <c r="F194" s="37"/>
      <c r="G194" s="37"/>
      <c r="H194" s="1"/>
      <c r="I194" s="1"/>
    </row>
    <row r="195" ht="15.75" customHeight="1">
      <c r="A195" s="36"/>
      <c r="B195" s="36"/>
      <c r="C195" s="37"/>
      <c r="D195" s="37"/>
      <c r="E195" s="37"/>
      <c r="F195" s="37"/>
      <c r="G195" s="37"/>
      <c r="H195" s="1"/>
      <c r="I195" s="1"/>
    </row>
    <row r="196" ht="15.75" customHeight="1">
      <c r="A196" s="36"/>
      <c r="B196" s="36"/>
      <c r="C196" s="37"/>
      <c r="D196" s="37"/>
      <c r="E196" s="37"/>
      <c r="F196" s="37"/>
      <c r="G196" s="37"/>
      <c r="H196" s="1"/>
      <c r="I196" s="1"/>
    </row>
    <row r="197" ht="15.75" customHeight="1">
      <c r="A197" s="36"/>
      <c r="B197" s="36"/>
      <c r="C197" s="37"/>
      <c r="D197" s="37"/>
      <c r="E197" s="37"/>
      <c r="F197" s="37"/>
      <c r="G197" s="37"/>
      <c r="H197" s="1"/>
      <c r="I197" s="1"/>
    </row>
    <row r="198" ht="15.75" customHeight="1">
      <c r="A198" s="36"/>
      <c r="B198" s="36"/>
      <c r="C198" s="37"/>
      <c r="D198" s="37"/>
      <c r="E198" s="37"/>
      <c r="F198" s="37"/>
      <c r="G198" s="37"/>
      <c r="H198" s="1"/>
      <c r="I198" s="1"/>
    </row>
    <row r="199" ht="15.75" customHeight="1">
      <c r="A199" s="36"/>
      <c r="B199" s="36"/>
      <c r="C199" s="37"/>
      <c r="D199" s="37"/>
      <c r="E199" s="37"/>
      <c r="F199" s="37"/>
      <c r="G199" s="37"/>
      <c r="H199" s="1"/>
      <c r="I199" s="1"/>
    </row>
    <row r="200" ht="15.75" customHeight="1">
      <c r="A200" s="36"/>
      <c r="B200" s="36"/>
      <c r="C200" s="37"/>
      <c r="D200" s="37"/>
      <c r="E200" s="37"/>
      <c r="F200" s="37"/>
      <c r="G200" s="37"/>
      <c r="H200" s="1"/>
      <c r="I200" s="1"/>
    </row>
    <row r="201" ht="15.75" customHeight="1">
      <c r="A201" s="36"/>
      <c r="B201" s="36"/>
      <c r="C201" s="37"/>
      <c r="D201" s="37"/>
      <c r="E201" s="37"/>
      <c r="F201" s="37"/>
      <c r="G201" s="37"/>
      <c r="H201" s="1"/>
      <c r="I201" s="1"/>
    </row>
    <row r="202" ht="15.75" customHeight="1">
      <c r="A202" s="36"/>
      <c r="B202" s="36"/>
      <c r="C202" s="37"/>
      <c r="D202" s="37"/>
      <c r="E202" s="37"/>
      <c r="F202" s="37"/>
      <c r="G202" s="37"/>
      <c r="H202" s="1"/>
      <c r="I202" s="1"/>
    </row>
    <row r="203" ht="15.75" customHeight="1">
      <c r="A203" s="36"/>
      <c r="B203" s="36"/>
      <c r="C203" s="37"/>
      <c r="D203" s="37"/>
      <c r="E203" s="37"/>
      <c r="F203" s="37"/>
      <c r="G203" s="37"/>
      <c r="H203" s="1"/>
      <c r="I203" s="1"/>
    </row>
    <row r="204" ht="15.75" customHeight="1">
      <c r="A204" s="36"/>
      <c r="B204" s="36"/>
      <c r="C204" s="37"/>
      <c r="D204" s="37"/>
      <c r="E204" s="37"/>
      <c r="F204" s="37"/>
      <c r="G204" s="37"/>
      <c r="H204" s="1"/>
      <c r="I204" s="1"/>
    </row>
    <row r="205" ht="15.75" customHeight="1">
      <c r="A205" s="36"/>
      <c r="B205" s="36"/>
      <c r="C205" s="37"/>
      <c r="D205" s="37"/>
      <c r="E205" s="37"/>
      <c r="F205" s="37"/>
      <c r="G205" s="37"/>
      <c r="H205" s="1"/>
      <c r="I205" s="1"/>
    </row>
    <row r="206" ht="15.75" customHeight="1">
      <c r="A206" s="36"/>
      <c r="B206" s="36"/>
      <c r="C206" s="37"/>
      <c r="D206" s="37"/>
      <c r="E206" s="37"/>
      <c r="F206" s="37"/>
      <c r="G206" s="37"/>
      <c r="H206" s="1"/>
      <c r="I206" s="1"/>
    </row>
    <row r="207" ht="15.75" customHeight="1">
      <c r="A207" s="36"/>
      <c r="B207" s="36"/>
      <c r="C207" s="37"/>
      <c r="D207" s="37"/>
      <c r="E207" s="37"/>
      <c r="F207" s="37"/>
      <c r="G207" s="37"/>
      <c r="H207" s="1"/>
      <c r="I207" s="1"/>
    </row>
    <row r="208" ht="15.75" customHeight="1">
      <c r="A208" s="36"/>
      <c r="B208" s="36"/>
      <c r="C208" s="37"/>
      <c r="D208" s="37"/>
      <c r="E208" s="37"/>
      <c r="F208" s="37"/>
      <c r="G208" s="37"/>
      <c r="H208" s="1"/>
      <c r="I208" s="1"/>
    </row>
    <row r="209" ht="15.75" customHeight="1">
      <c r="A209" s="36"/>
      <c r="B209" s="36"/>
      <c r="C209" s="37"/>
      <c r="D209" s="37"/>
      <c r="E209" s="37"/>
      <c r="F209" s="37"/>
      <c r="G209" s="37"/>
      <c r="H209" s="1"/>
      <c r="I209" s="1"/>
    </row>
    <row r="210" ht="15.75" customHeight="1">
      <c r="A210" s="36"/>
      <c r="B210" s="36"/>
      <c r="C210" s="37"/>
      <c r="D210" s="37"/>
      <c r="E210" s="37"/>
      <c r="F210" s="37"/>
      <c r="G210" s="37"/>
      <c r="H210" s="1"/>
      <c r="I210" s="1"/>
    </row>
    <row r="211" ht="15.75" customHeight="1">
      <c r="A211" s="36"/>
      <c r="B211" s="36"/>
      <c r="C211" s="37"/>
      <c r="D211" s="37"/>
      <c r="E211" s="37"/>
      <c r="F211" s="37"/>
      <c r="G211" s="37"/>
      <c r="H211" s="1"/>
      <c r="I211" s="1"/>
    </row>
    <row r="212" ht="15.75" customHeight="1">
      <c r="A212" s="36"/>
      <c r="B212" s="36"/>
      <c r="C212" s="37"/>
      <c r="D212" s="37"/>
      <c r="E212" s="37"/>
      <c r="F212" s="37"/>
      <c r="G212" s="37"/>
      <c r="H212" s="1"/>
      <c r="I212" s="1"/>
    </row>
    <row r="213" ht="15.75" customHeight="1">
      <c r="A213" s="36"/>
      <c r="B213" s="36"/>
      <c r="C213" s="37"/>
      <c r="D213" s="37"/>
      <c r="E213" s="37"/>
      <c r="F213" s="37"/>
      <c r="G213" s="37"/>
      <c r="H213" s="1"/>
      <c r="I213" s="1"/>
    </row>
    <row r="214" ht="15.75" customHeight="1">
      <c r="A214" s="36"/>
      <c r="B214" s="36"/>
      <c r="C214" s="37"/>
      <c r="D214" s="37"/>
      <c r="E214" s="37"/>
      <c r="F214" s="37"/>
      <c r="G214" s="37"/>
      <c r="H214" s="1"/>
      <c r="I214" s="1"/>
    </row>
    <row r="215" ht="15.75" customHeight="1">
      <c r="A215" s="36"/>
      <c r="B215" s="36"/>
      <c r="C215" s="37"/>
      <c r="D215" s="37"/>
      <c r="E215" s="37"/>
      <c r="F215" s="37"/>
      <c r="G215" s="37"/>
      <c r="H215" s="1"/>
      <c r="I215" s="1"/>
    </row>
    <row r="216" ht="15.75" customHeight="1">
      <c r="A216" s="36"/>
      <c r="B216" s="36"/>
      <c r="C216" s="37"/>
      <c r="D216" s="37"/>
      <c r="E216" s="37"/>
      <c r="F216" s="37"/>
      <c r="G216" s="37"/>
      <c r="H216" s="1"/>
      <c r="I216" s="1"/>
    </row>
    <row r="217" ht="15.75" customHeight="1">
      <c r="A217" s="36"/>
      <c r="B217" s="36"/>
      <c r="C217" s="37"/>
      <c r="D217" s="37"/>
      <c r="E217" s="37"/>
      <c r="F217" s="37"/>
      <c r="G217" s="37"/>
      <c r="H217" s="1"/>
      <c r="I217" s="1"/>
    </row>
    <row r="218" ht="15.75" customHeight="1">
      <c r="A218" s="36"/>
      <c r="B218" s="36"/>
      <c r="C218" s="37"/>
      <c r="D218" s="37"/>
      <c r="E218" s="37"/>
      <c r="F218" s="37"/>
      <c r="G218" s="37"/>
      <c r="H218" s="1"/>
      <c r="I218" s="1"/>
    </row>
    <row r="219" ht="15.75" customHeight="1">
      <c r="A219" s="36"/>
      <c r="B219" s="36"/>
      <c r="C219" s="37"/>
      <c r="D219" s="37"/>
      <c r="E219" s="37"/>
      <c r="F219" s="37"/>
      <c r="G219" s="37"/>
      <c r="H219" s="1"/>
      <c r="I219" s="1"/>
    </row>
    <row r="220" ht="15.75" customHeight="1">
      <c r="A220" s="36"/>
      <c r="B220" s="36"/>
      <c r="C220" s="37"/>
      <c r="D220" s="37"/>
      <c r="E220" s="37"/>
      <c r="F220" s="37"/>
      <c r="G220" s="37"/>
      <c r="H220" s="1"/>
      <c r="I220" s="1"/>
    </row>
    <row r="221" ht="15.75" customHeight="1">
      <c r="A221" s="36"/>
      <c r="B221" s="36"/>
      <c r="C221" s="37"/>
      <c r="D221" s="37"/>
      <c r="E221" s="37"/>
      <c r="F221" s="37"/>
      <c r="G221" s="37"/>
      <c r="H221" s="1"/>
      <c r="I221" s="1"/>
    </row>
    <row r="222" ht="15.75" customHeight="1">
      <c r="A222" s="36"/>
      <c r="B222" s="36"/>
      <c r="C222" s="37"/>
      <c r="D222" s="37"/>
      <c r="E222" s="37"/>
      <c r="F222" s="37"/>
      <c r="G222" s="37"/>
      <c r="H222" s="1"/>
      <c r="I222" s="1"/>
    </row>
    <row r="223" ht="15.75" customHeight="1">
      <c r="A223" s="36"/>
      <c r="B223" s="36"/>
      <c r="C223" s="37"/>
      <c r="D223" s="37"/>
      <c r="E223" s="37"/>
      <c r="F223" s="37"/>
      <c r="G223" s="37"/>
      <c r="H223" s="1"/>
      <c r="I223" s="1"/>
    </row>
    <row r="224" ht="15.75" customHeight="1">
      <c r="A224" s="36"/>
      <c r="B224" s="36"/>
      <c r="C224" s="37"/>
      <c r="D224" s="37"/>
      <c r="E224" s="37"/>
      <c r="F224" s="37"/>
      <c r="G224" s="37"/>
      <c r="H224" s="1"/>
      <c r="I224" s="1"/>
    </row>
    <row r="225" ht="15.75" customHeight="1">
      <c r="A225" s="36"/>
      <c r="B225" s="36"/>
      <c r="C225" s="37"/>
      <c r="D225" s="37"/>
      <c r="E225" s="37"/>
      <c r="F225" s="37"/>
      <c r="G225" s="37"/>
      <c r="H225" s="1"/>
      <c r="I225" s="1"/>
    </row>
    <row r="226" ht="15.75" customHeight="1">
      <c r="A226" s="36"/>
      <c r="B226" s="36"/>
      <c r="C226" s="37"/>
      <c r="D226" s="37"/>
      <c r="E226" s="37"/>
      <c r="F226" s="37"/>
      <c r="G226" s="37"/>
      <c r="H226" s="1"/>
      <c r="I226" s="1"/>
    </row>
    <row r="227" ht="15.75" customHeight="1">
      <c r="A227" s="36"/>
      <c r="B227" s="36"/>
      <c r="C227" s="37"/>
      <c r="D227" s="37"/>
      <c r="E227" s="37"/>
      <c r="F227" s="37"/>
      <c r="G227" s="37"/>
      <c r="H227" s="1"/>
      <c r="I227" s="1"/>
    </row>
    <row r="228" ht="15.75" customHeight="1">
      <c r="A228" s="36"/>
      <c r="B228" s="36"/>
      <c r="C228" s="37"/>
      <c r="D228" s="37"/>
      <c r="E228" s="37"/>
      <c r="F228" s="37"/>
      <c r="G228" s="37"/>
      <c r="H228" s="1"/>
      <c r="I228" s="1"/>
    </row>
    <row r="229" ht="15.75" customHeight="1">
      <c r="A229" s="36"/>
      <c r="B229" s="36"/>
      <c r="C229" s="37"/>
      <c r="D229" s="37"/>
      <c r="E229" s="37"/>
      <c r="F229" s="37"/>
      <c r="G229" s="37"/>
      <c r="H229" s="1"/>
      <c r="I229" s="1"/>
    </row>
    <row r="230" ht="15.75" customHeight="1">
      <c r="A230" s="36"/>
      <c r="B230" s="36"/>
      <c r="C230" s="37"/>
      <c r="D230" s="37"/>
      <c r="E230" s="37"/>
      <c r="F230" s="37"/>
      <c r="G230" s="37"/>
      <c r="H230" s="1"/>
      <c r="I230" s="1"/>
    </row>
    <row r="231" ht="15.75" customHeight="1">
      <c r="A231" s="36"/>
      <c r="B231" s="36"/>
      <c r="C231" s="37"/>
      <c r="D231" s="37"/>
      <c r="E231" s="37"/>
      <c r="F231" s="37"/>
      <c r="G231" s="37"/>
      <c r="H231" s="1"/>
      <c r="I231" s="1"/>
    </row>
    <row r="232" ht="15.75" customHeight="1">
      <c r="A232" s="36"/>
      <c r="B232" s="36"/>
      <c r="C232" s="37"/>
      <c r="D232" s="37"/>
      <c r="E232" s="37"/>
      <c r="F232" s="37"/>
      <c r="G232" s="37"/>
      <c r="H232" s="1"/>
      <c r="I232" s="1"/>
    </row>
    <row r="233" ht="15.75" customHeight="1">
      <c r="A233" s="36"/>
      <c r="B233" s="36"/>
      <c r="C233" s="37"/>
      <c r="D233" s="37"/>
      <c r="E233" s="37"/>
      <c r="F233" s="37"/>
      <c r="G233" s="37"/>
      <c r="H233" s="1"/>
      <c r="I233" s="1"/>
    </row>
    <row r="234" ht="15.75" customHeight="1">
      <c r="A234" s="36"/>
      <c r="B234" s="36"/>
      <c r="C234" s="37"/>
      <c r="D234" s="37"/>
      <c r="E234" s="37"/>
      <c r="F234" s="37"/>
      <c r="G234" s="37"/>
      <c r="H234" s="1"/>
      <c r="I234" s="1"/>
    </row>
    <row r="235" ht="15.75" customHeight="1">
      <c r="A235" s="36"/>
      <c r="B235" s="36"/>
      <c r="C235" s="37"/>
      <c r="D235" s="37"/>
      <c r="E235" s="37"/>
      <c r="F235" s="37"/>
      <c r="G235" s="37"/>
      <c r="H235" s="1"/>
      <c r="I235" s="1"/>
    </row>
    <row r="236" ht="15.75" customHeight="1">
      <c r="A236" s="36"/>
      <c r="B236" s="36"/>
      <c r="C236" s="37"/>
      <c r="D236" s="37"/>
      <c r="E236" s="37"/>
      <c r="F236" s="37"/>
      <c r="G236" s="37"/>
      <c r="H236" s="1"/>
      <c r="I236" s="1"/>
    </row>
    <row r="237" ht="15.75" customHeight="1">
      <c r="A237" s="36"/>
      <c r="B237" s="36"/>
      <c r="C237" s="37"/>
      <c r="D237" s="37"/>
      <c r="E237" s="37"/>
      <c r="F237" s="37"/>
      <c r="G237" s="37"/>
      <c r="H237" s="1"/>
      <c r="I237" s="1"/>
    </row>
    <row r="238" ht="15.75" customHeight="1">
      <c r="A238" s="36"/>
      <c r="B238" s="36"/>
      <c r="C238" s="37"/>
      <c r="D238" s="37"/>
      <c r="E238" s="37"/>
      <c r="F238" s="37"/>
      <c r="G238" s="37"/>
      <c r="H238" s="1"/>
      <c r="I238" s="1"/>
    </row>
    <row r="239" ht="15.75" customHeight="1">
      <c r="A239" s="36"/>
      <c r="B239" s="36"/>
      <c r="C239" s="37"/>
      <c r="D239" s="37"/>
      <c r="E239" s="37"/>
      <c r="F239" s="37"/>
      <c r="G239" s="37"/>
      <c r="H239" s="1"/>
      <c r="I239" s="1"/>
    </row>
    <row r="240" ht="15.75" customHeight="1">
      <c r="A240" s="36"/>
      <c r="B240" s="36"/>
      <c r="C240" s="37"/>
      <c r="D240" s="37"/>
      <c r="E240" s="37"/>
      <c r="F240" s="37"/>
      <c r="G240" s="37"/>
      <c r="H240" s="1"/>
      <c r="I240" s="1"/>
    </row>
    <row r="241" ht="15.75" customHeight="1">
      <c r="A241" s="36"/>
      <c r="B241" s="36"/>
      <c r="C241" s="37"/>
      <c r="D241" s="37"/>
      <c r="E241" s="37"/>
      <c r="F241" s="37"/>
      <c r="G241" s="37"/>
      <c r="H241" s="1"/>
      <c r="I241" s="1"/>
    </row>
    <row r="242" ht="15.75" customHeight="1">
      <c r="A242" s="36"/>
      <c r="B242" s="36"/>
      <c r="C242" s="37"/>
      <c r="D242" s="37"/>
      <c r="E242" s="37"/>
      <c r="F242" s="37"/>
      <c r="G242" s="37"/>
      <c r="H242" s="1"/>
      <c r="I242" s="1"/>
    </row>
    <row r="243" ht="15.75" customHeight="1">
      <c r="A243" s="36"/>
      <c r="B243" s="36"/>
      <c r="C243" s="37"/>
      <c r="D243" s="37"/>
      <c r="E243" s="37"/>
      <c r="F243" s="37"/>
      <c r="G243" s="37"/>
      <c r="H243" s="1"/>
      <c r="I243" s="1"/>
    </row>
    <row r="244" ht="15.75" customHeight="1">
      <c r="A244" s="36"/>
      <c r="B244" s="36"/>
      <c r="C244" s="37"/>
      <c r="D244" s="37"/>
      <c r="E244" s="37"/>
      <c r="F244" s="37"/>
      <c r="G244" s="37"/>
      <c r="H244" s="1"/>
      <c r="I244" s="1"/>
    </row>
    <row r="245" ht="15.75" customHeight="1">
      <c r="A245" s="36"/>
      <c r="B245" s="36"/>
      <c r="C245" s="37"/>
      <c r="D245" s="37"/>
      <c r="E245" s="37"/>
      <c r="F245" s="37"/>
      <c r="G245" s="37"/>
      <c r="H245" s="1"/>
      <c r="I245" s="1"/>
    </row>
    <row r="246" ht="15.75" customHeight="1">
      <c r="A246" s="36"/>
      <c r="B246" s="36"/>
      <c r="C246" s="37"/>
      <c r="D246" s="37"/>
      <c r="E246" s="37"/>
      <c r="F246" s="37"/>
      <c r="G246" s="37"/>
      <c r="H246" s="1"/>
      <c r="I246" s="1"/>
    </row>
    <row r="247" ht="15.75" customHeight="1">
      <c r="A247" s="36"/>
      <c r="B247" s="36"/>
      <c r="C247" s="37"/>
      <c r="D247" s="37"/>
      <c r="E247" s="37"/>
      <c r="F247" s="37"/>
      <c r="G247" s="37"/>
      <c r="H247" s="1"/>
      <c r="I247" s="1"/>
    </row>
    <row r="248" ht="15.75" customHeight="1">
      <c r="A248" s="36"/>
      <c r="B248" s="36"/>
      <c r="C248" s="37"/>
      <c r="D248" s="37"/>
      <c r="E248" s="37"/>
      <c r="F248" s="37"/>
      <c r="G248" s="37"/>
      <c r="H248" s="1"/>
      <c r="I248" s="1"/>
    </row>
    <row r="249" ht="15.75" customHeight="1">
      <c r="A249" s="36"/>
      <c r="B249" s="36"/>
      <c r="C249" s="37"/>
      <c r="D249" s="37"/>
      <c r="E249" s="37"/>
      <c r="F249" s="37"/>
      <c r="G249" s="37"/>
      <c r="H249" s="1"/>
      <c r="I249" s="1"/>
    </row>
    <row r="250" ht="15.75" customHeight="1">
      <c r="A250" s="36"/>
      <c r="B250" s="36"/>
      <c r="C250" s="37"/>
      <c r="D250" s="37"/>
      <c r="E250" s="37"/>
      <c r="F250" s="37"/>
      <c r="G250" s="37"/>
      <c r="H250" s="1"/>
      <c r="I250" s="1"/>
    </row>
    <row r="251" ht="15.75" customHeight="1">
      <c r="A251" s="36"/>
      <c r="B251" s="36"/>
      <c r="C251" s="37"/>
      <c r="D251" s="37"/>
      <c r="E251" s="37"/>
      <c r="F251" s="37"/>
      <c r="G251" s="37"/>
      <c r="H251" s="1"/>
      <c r="I251" s="1"/>
    </row>
    <row r="252" ht="15.75" customHeight="1">
      <c r="A252" s="36"/>
      <c r="B252" s="36"/>
      <c r="C252" s="37"/>
      <c r="D252" s="37"/>
      <c r="E252" s="37"/>
      <c r="F252" s="37"/>
      <c r="G252" s="37"/>
      <c r="H252" s="1"/>
      <c r="I252" s="1"/>
    </row>
    <row r="253" ht="15.75" customHeight="1">
      <c r="A253" s="36"/>
      <c r="B253" s="36"/>
      <c r="C253" s="37"/>
      <c r="D253" s="37"/>
      <c r="E253" s="37"/>
      <c r="F253" s="37"/>
      <c r="G253" s="37"/>
      <c r="H253" s="1"/>
      <c r="I253" s="1"/>
    </row>
    <row r="254" ht="15.75" customHeight="1">
      <c r="A254" s="36"/>
      <c r="B254" s="36"/>
      <c r="C254" s="37"/>
      <c r="D254" s="37"/>
      <c r="E254" s="37"/>
      <c r="F254" s="37"/>
      <c r="G254" s="37"/>
      <c r="H254" s="1"/>
      <c r="I254" s="1"/>
    </row>
    <row r="255" ht="15.75" customHeight="1">
      <c r="A255" s="36"/>
      <c r="B255" s="36"/>
      <c r="C255" s="37"/>
      <c r="D255" s="37"/>
      <c r="E255" s="37"/>
      <c r="F255" s="37"/>
      <c r="G255" s="37"/>
      <c r="H255" s="1"/>
      <c r="I255" s="1"/>
    </row>
    <row r="256" ht="15.75" customHeight="1">
      <c r="A256" s="36"/>
      <c r="B256" s="36"/>
      <c r="C256" s="37"/>
      <c r="D256" s="37"/>
      <c r="E256" s="37"/>
      <c r="F256" s="37"/>
      <c r="G256" s="37"/>
      <c r="H256" s="1"/>
      <c r="I256" s="1"/>
    </row>
    <row r="257" ht="15.75" customHeight="1">
      <c r="A257" s="36"/>
      <c r="B257" s="36"/>
      <c r="C257" s="37"/>
      <c r="D257" s="37"/>
      <c r="E257" s="37"/>
      <c r="F257" s="37"/>
      <c r="G257" s="37"/>
      <c r="H257" s="1"/>
      <c r="I257" s="1"/>
    </row>
    <row r="258" ht="15.75" customHeight="1">
      <c r="A258" s="36"/>
      <c r="B258" s="36"/>
      <c r="C258" s="37"/>
      <c r="D258" s="37"/>
      <c r="E258" s="37"/>
      <c r="F258" s="37"/>
      <c r="G258" s="37"/>
      <c r="H258" s="1"/>
      <c r="I258" s="1"/>
    </row>
    <row r="259" ht="15.75" customHeight="1">
      <c r="A259" s="36"/>
      <c r="B259" s="36"/>
      <c r="C259" s="37"/>
      <c r="D259" s="37"/>
      <c r="E259" s="37"/>
      <c r="F259" s="37"/>
      <c r="G259" s="37"/>
      <c r="H259" s="1"/>
      <c r="I259" s="1"/>
    </row>
    <row r="260" ht="15.75" customHeight="1">
      <c r="A260" s="36"/>
      <c r="B260" s="36"/>
      <c r="C260" s="37"/>
      <c r="D260" s="37"/>
      <c r="E260" s="37"/>
      <c r="F260" s="37"/>
      <c r="G260" s="37"/>
      <c r="H260" s="1"/>
      <c r="I260" s="1"/>
    </row>
    <row r="261" ht="15.75" customHeight="1">
      <c r="A261" s="36"/>
      <c r="B261" s="36"/>
      <c r="C261" s="37"/>
      <c r="D261" s="37"/>
      <c r="E261" s="37"/>
      <c r="F261" s="37"/>
      <c r="G261" s="37"/>
      <c r="H261" s="1"/>
      <c r="I261" s="1"/>
    </row>
    <row r="262" ht="15.75" customHeight="1">
      <c r="A262" s="36"/>
      <c r="B262" s="36"/>
      <c r="C262" s="37"/>
      <c r="D262" s="37"/>
      <c r="E262" s="37"/>
      <c r="F262" s="37"/>
      <c r="G262" s="37"/>
      <c r="H262" s="1"/>
      <c r="I262" s="1"/>
    </row>
    <row r="263" ht="15.75" customHeight="1">
      <c r="A263" s="36"/>
      <c r="B263" s="36"/>
      <c r="C263" s="37"/>
      <c r="D263" s="37"/>
      <c r="E263" s="37"/>
      <c r="F263" s="37"/>
      <c r="G263" s="37"/>
      <c r="H263" s="1"/>
      <c r="I263" s="1"/>
    </row>
    <row r="264" ht="15.75" customHeight="1">
      <c r="A264" s="36"/>
      <c r="B264" s="36"/>
      <c r="C264" s="37"/>
      <c r="D264" s="37"/>
      <c r="E264" s="37"/>
      <c r="F264" s="37"/>
      <c r="G264" s="37"/>
      <c r="H264" s="1"/>
      <c r="I264" s="1"/>
    </row>
    <row r="265" ht="15.75" customHeight="1">
      <c r="A265" s="36"/>
      <c r="B265" s="36"/>
      <c r="C265" s="37"/>
      <c r="D265" s="37"/>
      <c r="E265" s="37"/>
      <c r="F265" s="37"/>
      <c r="G265" s="37"/>
      <c r="H265" s="1"/>
      <c r="I265" s="1"/>
    </row>
    <row r="266" ht="15.75" customHeight="1">
      <c r="A266" s="36"/>
      <c r="B266" s="36"/>
      <c r="C266" s="37"/>
      <c r="D266" s="37"/>
      <c r="E266" s="37"/>
      <c r="F266" s="37"/>
      <c r="G266" s="37"/>
      <c r="H266" s="1"/>
      <c r="I266" s="1"/>
    </row>
    <row r="267" ht="15.75" customHeight="1">
      <c r="A267" s="36"/>
      <c r="B267" s="36"/>
      <c r="C267" s="37"/>
      <c r="D267" s="37"/>
      <c r="E267" s="37"/>
      <c r="F267" s="37"/>
      <c r="G267" s="37"/>
      <c r="H267" s="1"/>
      <c r="I267" s="1"/>
    </row>
    <row r="268" ht="15.75" customHeight="1">
      <c r="A268" s="36"/>
      <c r="B268" s="36"/>
      <c r="C268" s="37"/>
      <c r="D268" s="37"/>
      <c r="E268" s="37"/>
      <c r="F268" s="37"/>
      <c r="G268" s="37"/>
      <c r="H268" s="1"/>
      <c r="I268" s="1"/>
    </row>
    <row r="269" ht="15.75" customHeight="1">
      <c r="A269" s="36"/>
      <c r="B269" s="36"/>
      <c r="C269" s="37"/>
      <c r="D269" s="37"/>
      <c r="E269" s="37"/>
      <c r="F269" s="37"/>
      <c r="G269" s="37"/>
      <c r="H269" s="1"/>
      <c r="I269" s="1"/>
    </row>
    <row r="270" ht="15.75" customHeight="1">
      <c r="A270" s="36"/>
      <c r="B270" s="36"/>
      <c r="C270" s="37"/>
      <c r="D270" s="37"/>
      <c r="E270" s="37"/>
      <c r="F270" s="37"/>
      <c r="G270" s="37"/>
      <c r="H270" s="1"/>
      <c r="I270" s="1"/>
    </row>
    <row r="271" ht="15.75" customHeight="1">
      <c r="A271" s="36"/>
      <c r="B271" s="36"/>
      <c r="C271" s="37"/>
      <c r="D271" s="37"/>
      <c r="E271" s="37"/>
      <c r="F271" s="37"/>
      <c r="G271" s="37"/>
      <c r="H271" s="1"/>
      <c r="I271" s="1"/>
    </row>
    <row r="272" ht="15.75" customHeight="1">
      <c r="A272" s="36"/>
      <c r="B272" s="36"/>
      <c r="C272" s="37"/>
      <c r="D272" s="37"/>
      <c r="E272" s="37"/>
      <c r="F272" s="37"/>
      <c r="G272" s="37"/>
      <c r="H272" s="1"/>
      <c r="I272" s="1"/>
    </row>
    <row r="273" ht="15.75" customHeight="1">
      <c r="A273" s="36"/>
      <c r="B273" s="36"/>
      <c r="C273" s="37"/>
      <c r="D273" s="37"/>
      <c r="E273" s="37"/>
      <c r="F273" s="37"/>
      <c r="G273" s="37"/>
      <c r="H273" s="1"/>
      <c r="I273" s="1"/>
    </row>
    <row r="274" ht="15.75" customHeight="1">
      <c r="A274" s="36"/>
      <c r="B274" s="36"/>
      <c r="C274" s="37"/>
      <c r="D274" s="37"/>
      <c r="E274" s="37"/>
      <c r="F274" s="37"/>
      <c r="G274" s="37"/>
      <c r="H274" s="1"/>
      <c r="I274" s="1"/>
    </row>
    <row r="275" ht="15.75" customHeight="1">
      <c r="A275" s="36"/>
      <c r="B275" s="36"/>
      <c r="C275" s="37"/>
      <c r="D275" s="37"/>
      <c r="E275" s="37"/>
      <c r="F275" s="37"/>
      <c r="G275" s="37"/>
      <c r="H275" s="1"/>
      <c r="I275" s="1"/>
    </row>
    <row r="276" ht="15.75" customHeight="1">
      <c r="A276" s="36"/>
      <c r="B276" s="36"/>
      <c r="C276" s="37"/>
      <c r="D276" s="37"/>
      <c r="E276" s="37"/>
      <c r="F276" s="37"/>
      <c r="G276" s="37"/>
      <c r="H276" s="1"/>
      <c r="I276" s="1"/>
    </row>
    <row r="277" ht="15.75" customHeight="1">
      <c r="A277" s="36"/>
      <c r="B277" s="36"/>
      <c r="C277" s="37"/>
      <c r="D277" s="37"/>
      <c r="E277" s="37"/>
      <c r="F277" s="37"/>
      <c r="G277" s="37"/>
      <c r="H277" s="1"/>
      <c r="I277" s="1"/>
    </row>
    <row r="278" ht="15.75" customHeight="1">
      <c r="A278" s="36"/>
      <c r="B278" s="36"/>
      <c r="C278" s="37"/>
      <c r="D278" s="37"/>
      <c r="E278" s="37"/>
      <c r="F278" s="37"/>
      <c r="G278" s="37"/>
      <c r="H278" s="1"/>
      <c r="I278" s="1"/>
    </row>
    <row r="279" ht="15.75" customHeight="1">
      <c r="A279" s="36"/>
      <c r="B279" s="36"/>
      <c r="C279" s="37"/>
      <c r="D279" s="37"/>
      <c r="E279" s="37"/>
      <c r="F279" s="37"/>
      <c r="G279" s="37"/>
      <c r="H279" s="1"/>
      <c r="I279" s="1"/>
    </row>
    <row r="280" ht="15.75" customHeight="1">
      <c r="A280" s="36"/>
      <c r="B280" s="36"/>
      <c r="C280" s="37"/>
      <c r="D280" s="37"/>
      <c r="E280" s="37"/>
      <c r="F280" s="37"/>
      <c r="G280" s="37"/>
      <c r="H280" s="1"/>
      <c r="I280" s="1"/>
    </row>
    <row r="281" ht="15.75" customHeight="1">
      <c r="A281" s="36"/>
      <c r="B281" s="36"/>
      <c r="C281" s="37"/>
      <c r="D281" s="37"/>
      <c r="E281" s="37"/>
      <c r="F281" s="37"/>
      <c r="G281" s="37"/>
      <c r="H281" s="1"/>
      <c r="I281" s="1"/>
    </row>
    <row r="282" ht="15.75" customHeight="1">
      <c r="A282" s="36"/>
      <c r="B282" s="36"/>
      <c r="C282" s="37"/>
      <c r="D282" s="37"/>
      <c r="E282" s="37"/>
      <c r="F282" s="37"/>
      <c r="G282" s="37"/>
      <c r="H282" s="1"/>
      <c r="I282" s="1"/>
    </row>
    <row r="283" ht="15.75" customHeight="1">
      <c r="A283" s="36"/>
      <c r="B283" s="36"/>
      <c r="C283" s="37"/>
      <c r="D283" s="37"/>
      <c r="E283" s="37"/>
      <c r="F283" s="37"/>
      <c r="G283" s="37"/>
      <c r="H283" s="1"/>
      <c r="I283" s="1"/>
    </row>
    <row r="284" ht="15.75" customHeight="1">
      <c r="A284" s="36"/>
      <c r="B284" s="36"/>
      <c r="C284" s="37"/>
      <c r="D284" s="37"/>
      <c r="E284" s="37"/>
      <c r="F284" s="37"/>
      <c r="G284" s="37"/>
      <c r="H284" s="1"/>
      <c r="I284" s="1"/>
    </row>
    <row r="285" ht="15.75" customHeight="1">
      <c r="A285" s="36"/>
      <c r="B285" s="36"/>
      <c r="C285" s="37"/>
      <c r="D285" s="37"/>
      <c r="E285" s="37"/>
      <c r="F285" s="37"/>
      <c r="G285" s="37"/>
      <c r="H285" s="1"/>
      <c r="I285" s="1"/>
    </row>
    <row r="286" ht="15.75" customHeight="1">
      <c r="A286" s="36"/>
      <c r="B286" s="36"/>
      <c r="C286" s="37"/>
      <c r="D286" s="37"/>
      <c r="E286" s="37"/>
      <c r="F286" s="37"/>
      <c r="G286" s="37"/>
      <c r="H286" s="1"/>
      <c r="I286" s="1"/>
    </row>
    <row r="287" ht="15.75" customHeight="1">
      <c r="A287" s="36"/>
      <c r="B287" s="36"/>
      <c r="C287" s="37"/>
      <c r="D287" s="37"/>
      <c r="E287" s="37"/>
      <c r="F287" s="37"/>
      <c r="G287" s="37"/>
      <c r="H287" s="1"/>
      <c r="I287" s="1"/>
    </row>
    <row r="288" ht="15.75" customHeight="1">
      <c r="A288" s="36"/>
      <c r="B288" s="36"/>
      <c r="C288" s="37"/>
      <c r="D288" s="37"/>
      <c r="E288" s="37"/>
      <c r="F288" s="37"/>
      <c r="G288" s="37"/>
      <c r="H288" s="1"/>
      <c r="I288" s="1"/>
    </row>
    <row r="289" ht="15.75" customHeight="1">
      <c r="A289" s="36"/>
      <c r="B289" s="36"/>
      <c r="C289" s="37"/>
      <c r="D289" s="37"/>
      <c r="E289" s="37"/>
      <c r="F289" s="37"/>
      <c r="G289" s="37"/>
      <c r="H289" s="1"/>
      <c r="I289" s="1"/>
    </row>
    <row r="290" ht="15.75" customHeight="1">
      <c r="A290" s="36"/>
      <c r="B290" s="36"/>
      <c r="C290" s="37"/>
      <c r="D290" s="37"/>
      <c r="E290" s="37"/>
      <c r="F290" s="37"/>
      <c r="G290" s="37"/>
      <c r="H290" s="1"/>
      <c r="I290" s="1"/>
    </row>
    <row r="291" ht="15.75" customHeight="1">
      <c r="A291" s="36"/>
      <c r="B291" s="36"/>
      <c r="C291" s="37"/>
      <c r="D291" s="37"/>
      <c r="E291" s="37"/>
      <c r="F291" s="37"/>
      <c r="G291" s="37"/>
      <c r="H291" s="1"/>
      <c r="I291" s="1"/>
    </row>
    <row r="292" ht="15.75" customHeight="1">
      <c r="A292" s="36"/>
      <c r="B292" s="36"/>
      <c r="C292" s="37"/>
      <c r="D292" s="37"/>
      <c r="E292" s="37"/>
      <c r="F292" s="37"/>
      <c r="G292" s="37"/>
      <c r="H292" s="1"/>
      <c r="I292" s="1"/>
    </row>
    <row r="293" ht="15.75" customHeight="1">
      <c r="A293" s="36"/>
      <c r="B293" s="36"/>
      <c r="C293" s="37"/>
      <c r="D293" s="37"/>
      <c r="E293" s="37"/>
      <c r="F293" s="37"/>
      <c r="G293" s="37"/>
      <c r="H293" s="1"/>
      <c r="I293" s="1"/>
    </row>
    <row r="294" ht="15.75" customHeight="1">
      <c r="A294" s="36"/>
      <c r="B294" s="36"/>
      <c r="C294" s="37"/>
      <c r="D294" s="37"/>
      <c r="E294" s="37"/>
      <c r="F294" s="37"/>
      <c r="G294" s="37"/>
      <c r="H294" s="1"/>
      <c r="I294" s="1"/>
    </row>
    <row r="295" ht="15.75" customHeight="1">
      <c r="A295" s="36"/>
      <c r="B295" s="36"/>
      <c r="C295" s="37"/>
      <c r="D295" s="37"/>
      <c r="E295" s="37"/>
      <c r="F295" s="37"/>
      <c r="G295" s="37"/>
      <c r="H295" s="1"/>
      <c r="I295" s="1"/>
    </row>
    <row r="296" ht="15.75" customHeight="1">
      <c r="A296" s="36"/>
      <c r="B296" s="36"/>
      <c r="C296" s="37"/>
      <c r="D296" s="37"/>
      <c r="E296" s="37"/>
      <c r="F296" s="37"/>
      <c r="G296" s="37"/>
      <c r="H296" s="1"/>
      <c r="I296" s="1"/>
    </row>
    <row r="297" ht="15.75" customHeight="1">
      <c r="A297" s="36"/>
      <c r="B297" s="36"/>
      <c r="C297" s="37"/>
      <c r="D297" s="37"/>
      <c r="E297" s="37"/>
      <c r="F297" s="37"/>
      <c r="G297" s="37"/>
      <c r="H297" s="1"/>
      <c r="I297" s="1"/>
    </row>
    <row r="298" ht="15.75" customHeight="1">
      <c r="A298" s="36"/>
      <c r="B298" s="36"/>
      <c r="C298" s="37"/>
      <c r="D298" s="37"/>
      <c r="E298" s="37"/>
      <c r="F298" s="37"/>
      <c r="G298" s="37"/>
      <c r="H298" s="1"/>
      <c r="I298" s="1"/>
    </row>
    <row r="299" ht="15.75" customHeight="1">
      <c r="A299" s="36"/>
      <c r="B299" s="36"/>
      <c r="C299" s="37"/>
      <c r="D299" s="37"/>
      <c r="E299" s="37"/>
      <c r="F299" s="37"/>
      <c r="G299" s="37"/>
      <c r="H299" s="1"/>
      <c r="I299" s="1"/>
    </row>
    <row r="300" ht="15.75" customHeight="1">
      <c r="A300" s="36"/>
      <c r="B300" s="36"/>
      <c r="C300" s="37"/>
      <c r="D300" s="37"/>
      <c r="E300" s="37"/>
      <c r="F300" s="37"/>
      <c r="G300" s="37"/>
      <c r="H300" s="1"/>
      <c r="I300" s="1"/>
    </row>
    <row r="301" ht="15.75" customHeight="1">
      <c r="A301" s="36"/>
      <c r="B301" s="36"/>
      <c r="C301" s="37"/>
      <c r="D301" s="37"/>
      <c r="E301" s="37"/>
      <c r="F301" s="37"/>
      <c r="G301" s="37"/>
      <c r="H301" s="1"/>
      <c r="I301" s="1"/>
    </row>
    <row r="302" ht="15.75" customHeight="1">
      <c r="A302" s="36"/>
      <c r="B302" s="36"/>
      <c r="C302" s="37"/>
      <c r="D302" s="37"/>
      <c r="E302" s="37"/>
      <c r="F302" s="37"/>
      <c r="G302" s="37"/>
      <c r="H302" s="1"/>
      <c r="I302" s="1"/>
    </row>
    <row r="303" ht="15.75" customHeight="1">
      <c r="A303" s="36"/>
      <c r="B303" s="36"/>
      <c r="C303" s="37"/>
      <c r="D303" s="37"/>
      <c r="E303" s="37"/>
      <c r="F303" s="37"/>
      <c r="G303" s="37"/>
      <c r="H303" s="1"/>
      <c r="I303" s="1"/>
    </row>
    <row r="304" ht="15.75" customHeight="1">
      <c r="A304" s="36"/>
      <c r="B304" s="36"/>
      <c r="C304" s="37"/>
      <c r="D304" s="37"/>
      <c r="E304" s="37"/>
      <c r="F304" s="37"/>
      <c r="G304" s="37"/>
      <c r="H304" s="1"/>
      <c r="I304" s="1"/>
    </row>
    <row r="305" ht="15.75" customHeight="1">
      <c r="A305" s="36"/>
      <c r="B305" s="36"/>
      <c r="C305" s="37"/>
      <c r="D305" s="37"/>
      <c r="E305" s="37"/>
      <c r="F305" s="37"/>
      <c r="G305" s="37"/>
      <c r="H305" s="1"/>
      <c r="I305" s="1"/>
    </row>
    <row r="306" ht="15.75" customHeight="1">
      <c r="A306" s="36"/>
      <c r="B306" s="36"/>
      <c r="C306" s="37"/>
      <c r="D306" s="37"/>
      <c r="E306" s="37"/>
      <c r="F306" s="37"/>
      <c r="G306" s="37"/>
      <c r="H306" s="1"/>
      <c r="I306" s="1"/>
    </row>
    <row r="307" ht="15.75" customHeight="1">
      <c r="A307" s="36"/>
      <c r="B307" s="36"/>
      <c r="C307" s="37"/>
      <c r="D307" s="37"/>
      <c r="E307" s="37"/>
      <c r="F307" s="37"/>
      <c r="G307" s="37"/>
      <c r="H307" s="1"/>
      <c r="I307" s="1"/>
    </row>
    <row r="308" ht="15.75" customHeight="1">
      <c r="A308" s="36"/>
      <c r="B308" s="36"/>
      <c r="C308" s="37"/>
      <c r="D308" s="37"/>
      <c r="E308" s="37"/>
      <c r="F308" s="37"/>
      <c r="G308" s="37"/>
      <c r="H308" s="1"/>
      <c r="I308" s="1"/>
    </row>
    <row r="309" ht="15.75" customHeight="1">
      <c r="A309" s="36"/>
      <c r="B309" s="36"/>
      <c r="C309" s="37"/>
      <c r="D309" s="37"/>
      <c r="E309" s="37"/>
      <c r="F309" s="37"/>
      <c r="G309" s="37"/>
      <c r="H309" s="1"/>
      <c r="I309" s="1"/>
    </row>
    <row r="310" ht="15.75" customHeight="1">
      <c r="A310" s="36"/>
      <c r="B310" s="36"/>
      <c r="C310" s="37"/>
      <c r="D310" s="37"/>
      <c r="E310" s="37"/>
      <c r="F310" s="37"/>
      <c r="G310" s="37"/>
      <c r="H310" s="1"/>
      <c r="I310" s="1"/>
    </row>
    <row r="311" ht="15.75" customHeight="1">
      <c r="A311" s="36"/>
      <c r="B311" s="36"/>
      <c r="C311" s="37"/>
      <c r="D311" s="37"/>
      <c r="E311" s="37"/>
      <c r="F311" s="37"/>
      <c r="G311" s="37"/>
      <c r="H311" s="1"/>
      <c r="I311" s="1"/>
    </row>
    <row r="312" ht="15.75" customHeight="1">
      <c r="A312" s="36"/>
      <c r="B312" s="36"/>
      <c r="C312" s="37"/>
      <c r="D312" s="37"/>
      <c r="E312" s="37"/>
      <c r="F312" s="37"/>
      <c r="G312" s="37"/>
      <c r="H312" s="1"/>
      <c r="I312" s="1"/>
    </row>
    <row r="313" ht="15.75" customHeight="1">
      <c r="A313" s="36"/>
      <c r="B313" s="36"/>
      <c r="C313" s="37"/>
      <c r="D313" s="37"/>
      <c r="E313" s="37"/>
      <c r="F313" s="37"/>
      <c r="G313" s="37"/>
      <c r="H313" s="1"/>
      <c r="I313" s="1"/>
    </row>
    <row r="314" ht="15.75" customHeight="1">
      <c r="A314" s="36"/>
      <c r="B314" s="36"/>
      <c r="C314" s="37"/>
      <c r="D314" s="37"/>
      <c r="E314" s="37"/>
      <c r="F314" s="37"/>
      <c r="G314" s="37"/>
      <c r="H314" s="1"/>
      <c r="I314" s="1"/>
    </row>
    <row r="315" ht="15.75" customHeight="1">
      <c r="A315" s="36"/>
      <c r="B315" s="36"/>
      <c r="C315" s="37"/>
      <c r="D315" s="37"/>
      <c r="E315" s="37"/>
      <c r="F315" s="37"/>
      <c r="G315" s="37"/>
      <c r="H315" s="1"/>
      <c r="I315" s="1"/>
    </row>
    <row r="316" ht="15.75" customHeight="1">
      <c r="A316" s="36"/>
      <c r="B316" s="36"/>
      <c r="C316" s="37"/>
      <c r="D316" s="37"/>
      <c r="E316" s="37"/>
      <c r="F316" s="37"/>
      <c r="G316" s="37"/>
      <c r="H316" s="1"/>
      <c r="I316" s="1"/>
    </row>
    <row r="317" ht="15.75" customHeight="1">
      <c r="A317" s="36"/>
      <c r="B317" s="36"/>
      <c r="C317" s="37"/>
      <c r="D317" s="37"/>
      <c r="E317" s="37"/>
      <c r="F317" s="37"/>
      <c r="G317" s="37"/>
      <c r="H317" s="1"/>
      <c r="I317" s="1"/>
    </row>
    <row r="318" ht="15.75" customHeight="1">
      <c r="A318" s="36"/>
      <c r="B318" s="36"/>
      <c r="C318" s="37"/>
      <c r="D318" s="37"/>
      <c r="E318" s="37"/>
      <c r="F318" s="37"/>
      <c r="G318" s="37"/>
      <c r="H318" s="1"/>
      <c r="I318" s="1"/>
    </row>
    <row r="319" ht="15.75" customHeight="1">
      <c r="A319" s="36"/>
      <c r="B319" s="36"/>
      <c r="C319" s="37"/>
      <c r="D319" s="37"/>
      <c r="E319" s="37"/>
      <c r="F319" s="37"/>
      <c r="G319" s="37"/>
      <c r="H319" s="1"/>
      <c r="I319" s="1"/>
    </row>
    <row r="320" ht="15.75" customHeight="1">
      <c r="A320" s="36"/>
      <c r="B320" s="36"/>
      <c r="C320" s="37"/>
      <c r="D320" s="37"/>
      <c r="E320" s="37"/>
      <c r="F320" s="37"/>
      <c r="G320" s="37"/>
      <c r="H320" s="1"/>
      <c r="I320" s="1"/>
    </row>
    <row r="321" ht="15.75" customHeight="1">
      <c r="A321" s="36"/>
      <c r="B321" s="36"/>
      <c r="C321" s="37"/>
      <c r="D321" s="37"/>
      <c r="E321" s="37"/>
      <c r="F321" s="37"/>
      <c r="G321" s="37"/>
      <c r="H321" s="1"/>
      <c r="I321" s="1"/>
    </row>
    <row r="322" ht="15.75" customHeight="1">
      <c r="A322" s="36"/>
      <c r="B322" s="36"/>
      <c r="C322" s="37"/>
      <c r="D322" s="37"/>
      <c r="E322" s="37"/>
      <c r="F322" s="37"/>
      <c r="G322" s="37"/>
      <c r="H322" s="1"/>
      <c r="I322" s="1"/>
    </row>
    <row r="323" ht="15.75" customHeight="1">
      <c r="A323" s="36"/>
      <c r="B323" s="36"/>
      <c r="C323" s="37"/>
      <c r="D323" s="37"/>
      <c r="E323" s="37"/>
      <c r="F323" s="37"/>
      <c r="G323" s="37"/>
      <c r="H323" s="1"/>
      <c r="I323" s="1"/>
    </row>
    <row r="324" ht="15.75" customHeight="1">
      <c r="A324" s="36"/>
      <c r="B324" s="36"/>
      <c r="C324" s="37"/>
      <c r="D324" s="37"/>
      <c r="E324" s="37"/>
      <c r="F324" s="37"/>
      <c r="G324" s="37"/>
      <c r="H324" s="1"/>
      <c r="I324" s="1"/>
    </row>
    <row r="325" ht="15.75" customHeight="1">
      <c r="A325" s="36"/>
      <c r="B325" s="36"/>
      <c r="C325" s="37"/>
      <c r="D325" s="37"/>
      <c r="E325" s="37"/>
      <c r="F325" s="37"/>
      <c r="G325" s="37"/>
      <c r="H325" s="1"/>
      <c r="I325" s="1"/>
    </row>
    <row r="326" ht="15.75" customHeight="1">
      <c r="A326" s="36"/>
      <c r="B326" s="36"/>
      <c r="C326" s="37"/>
      <c r="D326" s="37"/>
      <c r="E326" s="37"/>
      <c r="F326" s="37"/>
      <c r="G326" s="37"/>
      <c r="H326" s="1"/>
      <c r="I326" s="1"/>
    </row>
    <row r="327" ht="15.75" customHeight="1">
      <c r="A327" s="36"/>
      <c r="B327" s="36"/>
      <c r="C327" s="37"/>
      <c r="D327" s="37"/>
      <c r="E327" s="37"/>
      <c r="F327" s="37"/>
      <c r="G327" s="37"/>
      <c r="H327" s="1"/>
      <c r="I327" s="1"/>
    </row>
    <row r="328" ht="15.75" customHeight="1">
      <c r="A328" s="36"/>
      <c r="B328" s="36"/>
      <c r="C328" s="37"/>
      <c r="D328" s="37"/>
      <c r="E328" s="37"/>
      <c r="F328" s="37"/>
      <c r="G328" s="37"/>
      <c r="H328" s="1"/>
      <c r="I328" s="1"/>
    </row>
    <row r="329" ht="15.75" customHeight="1">
      <c r="A329" s="36"/>
      <c r="B329" s="36"/>
      <c r="C329" s="37"/>
      <c r="D329" s="37"/>
      <c r="E329" s="37"/>
      <c r="F329" s="37"/>
      <c r="G329" s="37"/>
      <c r="H329" s="1"/>
      <c r="I329" s="1"/>
    </row>
    <row r="330" ht="15.75" customHeight="1">
      <c r="A330" s="36"/>
      <c r="B330" s="36"/>
      <c r="C330" s="37"/>
      <c r="D330" s="37"/>
      <c r="E330" s="37"/>
      <c r="F330" s="37"/>
      <c r="G330" s="37"/>
      <c r="H330" s="1"/>
      <c r="I330" s="1"/>
    </row>
    <row r="331" ht="15.75" customHeight="1">
      <c r="A331" s="36"/>
      <c r="B331" s="36"/>
      <c r="C331" s="37"/>
      <c r="D331" s="37"/>
      <c r="E331" s="37"/>
      <c r="F331" s="37"/>
      <c r="G331" s="37"/>
      <c r="H331" s="1"/>
      <c r="I331" s="1"/>
    </row>
    <row r="332" ht="15.75" customHeight="1">
      <c r="A332" s="36"/>
      <c r="B332" s="36"/>
      <c r="C332" s="37"/>
      <c r="D332" s="37"/>
      <c r="E332" s="37"/>
      <c r="F332" s="37"/>
      <c r="G332" s="37"/>
      <c r="H332" s="1"/>
      <c r="I332" s="1"/>
    </row>
    <row r="333" ht="15.75" customHeight="1">
      <c r="A333" s="36"/>
      <c r="B333" s="36"/>
      <c r="C333" s="37"/>
      <c r="D333" s="37"/>
      <c r="E333" s="37"/>
      <c r="F333" s="37"/>
      <c r="G333" s="37"/>
      <c r="H333" s="1"/>
      <c r="I333" s="1"/>
    </row>
    <row r="334" ht="15.75" customHeight="1">
      <c r="A334" s="36"/>
      <c r="B334" s="36"/>
      <c r="C334" s="37"/>
      <c r="D334" s="37"/>
      <c r="E334" s="37"/>
      <c r="F334" s="37"/>
      <c r="G334" s="37"/>
      <c r="H334" s="1"/>
      <c r="I334" s="1"/>
    </row>
    <row r="335" ht="15.75" customHeight="1">
      <c r="A335" s="36"/>
      <c r="B335" s="36"/>
      <c r="C335" s="37"/>
      <c r="D335" s="37"/>
      <c r="E335" s="37"/>
      <c r="F335" s="37"/>
      <c r="G335" s="37"/>
      <c r="H335" s="1"/>
      <c r="I335" s="1"/>
    </row>
    <row r="336" ht="15.75" customHeight="1">
      <c r="A336" s="36"/>
      <c r="B336" s="36"/>
      <c r="C336" s="37"/>
      <c r="D336" s="37"/>
      <c r="E336" s="37"/>
      <c r="F336" s="37"/>
      <c r="G336" s="37"/>
      <c r="H336" s="1"/>
      <c r="I336" s="1"/>
    </row>
    <row r="337" ht="15.75" customHeight="1">
      <c r="A337" s="36"/>
      <c r="B337" s="36"/>
      <c r="C337" s="37"/>
      <c r="D337" s="37"/>
      <c r="E337" s="37"/>
      <c r="F337" s="37"/>
      <c r="G337" s="37"/>
      <c r="H337" s="1"/>
      <c r="I337" s="1"/>
    </row>
    <row r="338" ht="15.75" customHeight="1">
      <c r="A338" s="36"/>
      <c r="B338" s="36"/>
      <c r="C338" s="37"/>
      <c r="D338" s="37"/>
      <c r="E338" s="37"/>
      <c r="F338" s="37"/>
      <c r="G338" s="37"/>
      <c r="H338" s="1"/>
      <c r="I338" s="1"/>
    </row>
    <row r="339" ht="15.75" customHeight="1">
      <c r="A339" s="36"/>
      <c r="B339" s="36"/>
      <c r="C339" s="37"/>
      <c r="D339" s="37"/>
      <c r="E339" s="37"/>
      <c r="F339" s="37"/>
      <c r="G339" s="37"/>
      <c r="H339" s="1"/>
      <c r="I339" s="1"/>
    </row>
    <row r="340" ht="15.75" customHeight="1">
      <c r="A340" s="36"/>
      <c r="B340" s="36"/>
      <c r="C340" s="37"/>
      <c r="D340" s="37"/>
      <c r="E340" s="37"/>
      <c r="F340" s="37"/>
      <c r="G340" s="37"/>
      <c r="H340" s="1"/>
      <c r="I340" s="1"/>
    </row>
    <row r="341" ht="15.75" customHeight="1">
      <c r="A341" s="36"/>
      <c r="B341" s="36"/>
      <c r="C341" s="37"/>
      <c r="D341" s="37"/>
      <c r="E341" s="37"/>
      <c r="F341" s="37"/>
      <c r="G341" s="37"/>
      <c r="H341" s="1"/>
      <c r="I341" s="1"/>
    </row>
    <row r="342" ht="15.75" customHeight="1">
      <c r="A342" s="36"/>
      <c r="B342" s="36"/>
      <c r="C342" s="37"/>
      <c r="D342" s="37"/>
      <c r="E342" s="37"/>
      <c r="F342" s="37"/>
      <c r="G342" s="37"/>
      <c r="H342" s="1"/>
      <c r="I342" s="1"/>
    </row>
    <row r="343" ht="15.75" customHeight="1">
      <c r="A343" s="36"/>
      <c r="B343" s="36"/>
      <c r="C343" s="37"/>
      <c r="D343" s="37"/>
      <c r="E343" s="37"/>
      <c r="F343" s="37"/>
      <c r="G343" s="37"/>
      <c r="H343" s="1"/>
      <c r="I343" s="1"/>
    </row>
    <row r="344" ht="15.75" customHeight="1">
      <c r="A344" s="36"/>
      <c r="B344" s="36"/>
      <c r="C344" s="37"/>
      <c r="D344" s="37"/>
      <c r="E344" s="37"/>
      <c r="F344" s="37"/>
      <c r="G344" s="37"/>
      <c r="H344" s="1"/>
      <c r="I344" s="1"/>
    </row>
    <row r="345" ht="15.75" customHeight="1">
      <c r="A345" s="36"/>
      <c r="B345" s="36"/>
      <c r="C345" s="37"/>
      <c r="D345" s="37"/>
      <c r="E345" s="37"/>
      <c r="F345" s="37"/>
      <c r="G345" s="37"/>
      <c r="H345" s="1"/>
      <c r="I345" s="1"/>
    </row>
    <row r="346" ht="15.75" customHeight="1">
      <c r="A346" s="36"/>
      <c r="B346" s="36"/>
      <c r="C346" s="37"/>
      <c r="D346" s="37"/>
      <c r="E346" s="37"/>
      <c r="F346" s="37"/>
      <c r="G346" s="37"/>
      <c r="H346" s="1"/>
      <c r="I346" s="1"/>
    </row>
    <row r="347" ht="15.75" customHeight="1">
      <c r="A347" s="36"/>
      <c r="B347" s="36"/>
      <c r="C347" s="37"/>
      <c r="D347" s="37"/>
      <c r="E347" s="37"/>
      <c r="F347" s="37"/>
      <c r="G347" s="37"/>
      <c r="H347" s="1"/>
      <c r="I347" s="1"/>
    </row>
    <row r="348" ht="15.75" customHeight="1">
      <c r="A348" s="36"/>
      <c r="B348" s="36"/>
      <c r="C348" s="37"/>
      <c r="D348" s="37"/>
      <c r="E348" s="37"/>
      <c r="F348" s="37"/>
      <c r="G348" s="37"/>
      <c r="H348" s="1"/>
      <c r="I348" s="1"/>
    </row>
    <row r="349" ht="15.75" customHeight="1">
      <c r="A349" s="36"/>
      <c r="B349" s="36"/>
      <c r="C349" s="37"/>
      <c r="D349" s="37"/>
      <c r="E349" s="37"/>
      <c r="F349" s="37"/>
      <c r="G349" s="37"/>
      <c r="H349" s="1"/>
      <c r="I349" s="1"/>
    </row>
    <row r="350" ht="15.75" customHeight="1">
      <c r="A350" s="36"/>
      <c r="B350" s="36"/>
      <c r="C350" s="37"/>
      <c r="D350" s="37"/>
      <c r="E350" s="37"/>
      <c r="F350" s="37"/>
      <c r="G350" s="37"/>
      <c r="H350" s="1"/>
      <c r="I350" s="1"/>
    </row>
    <row r="351" ht="15.75" customHeight="1">
      <c r="A351" s="36"/>
      <c r="B351" s="36"/>
      <c r="C351" s="37"/>
      <c r="D351" s="37"/>
      <c r="E351" s="37"/>
      <c r="F351" s="37"/>
      <c r="G351" s="37"/>
      <c r="H351" s="1"/>
      <c r="I351" s="1"/>
    </row>
    <row r="352" ht="15.75" customHeight="1">
      <c r="A352" s="36"/>
      <c r="B352" s="36"/>
      <c r="C352" s="37"/>
      <c r="D352" s="37"/>
      <c r="E352" s="37"/>
      <c r="F352" s="37"/>
      <c r="G352" s="37"/>
      <c r="H352" s="1"/>
      <c r="I352" s="1"/>
    </row>
    <row r="353" ht="15.75" customHeight="1">
      <c r="A353" s="36"/>
      <c r="B353" s="36"/>
      <c r="C353" s="37"/>
      <c r="D353" s="37"/>
      <c r="E353" s="37"/>
      <c r="F353" s="37"/>
      <c r="G353" s="37"/>
      <c r="H353" s="1"/>
      <c r="I353" s="1"/>
    </row>
    <row r="354" ht="15.75" customHeight="1">
      <c r="A354" s="36"/>
      <c r="B354" s="36"/>
      <c r="C354" s="37"/>
      <c r="D354" s="37"/>
      <c r="E354" s="37"/>
      <c r="F354" s="37"/>
      <c r="G354" s="37"/>
      <c r="H354" s="1"/>
      <c r="I354" s="1"/>
    </row>
    <row r="355" ht="15.75" customHeight="1">
      <c r="A355" s="36"/>
      <c r="B355" s="36"/>
      <c r="C355" s="37"/>
      <c r="D355" s="37"/>
      <c r="E355" s="37"/>
      <c r="F355" s="37"/>
      <c r="G355" s="37"/>
      <c r="H355" s="1"/>
      <c r="I355" s="1"/>
    </row>
    <row r="356" ht="15.75" customHeight="1">
      <c r="A356" s="36"/>
      <c r="B356" s="36"/>
      <c r="C356" s="37"/>
      <c r="D356" s="37"/>
      <c r="E356" s="37"/>
      <c r="F356" s="37"/>
      <c r="G356" s="37"/>
      <c r="H356" s="1"/>
      <c r="I356" s="1"/>
    </row>
    <row r="357" ht="15.75" customHeight="1">
      <c r="A357" s="36"/>
      <c r="B357" s="36"/>
      <c r="C357" s="37"/>
      <c r="D357" s="37"/>
      <c r="E357" s="37"/>
      <c r="F357" s="37"/>
      <c r="G357" s="37"/>
      <c r="H357" s="1"/>
      <c r="I357" s="1"/>
    </row>
    <row r="358" ht="15.75" customHeight="1">
      <c r="A358" s="36"/>
      <c r="B358" s="36"/>
      <c r="C358" s="37"/>
      <c r="D358" s="37"/>
      <c r="E358" s="37"/>
      <c r="F358" s="37"/>
      <c r="G358" s="37"/>
      <c r="H358" s="1"/>
      <c r="I358" s="1"/>
    </row>
    <row r="359" ht="15.75" customHeight="1">
      <c r="A359" s="36"/>
      <c r="B359" s="36"/>
      <c r="C359" s="37"/>
      <c r="D359" s="37"/>
      <c r="E359" s="37"/>
      <c r="F359" s="37"/>
      <c r="G359" s="37"/>
      <c r="H359" s="1"/>
      <c r="I359" s="1"/>
    </row>
    <row r="360" ht="15.75" customHeight="1">
      <c r="A360" s="36"/>
      <c r="B360" s="36"/>
      <c r="C360" s="37"/>
      <c r="D360" s="37"/>
      <c r="E360" s="37"/>
      <c r="F360" s="37"/>
      <c r="G360" s="37"/>
      <c r="H360" s="1"/>
      <c r="I360" s="1"/>
    </row>
    <row r="361" ht="15.75" customHeight="1">
      <c r="A361" s="36"/>
      <c r="B361" s="36"/>
      <c r="C361" s="37"/>
      <c r="D361" s="37"/>
      <c r="E361" s="37"/>
      <c r="F361" s="37"/>
      <c r="G361" s="37"/>
      <c r="H361" s="1"/>
      <c r="I361" s="1"/>
    </row>
    <row r="362" ht="15.75" customHeight="1">
      <c r="A362" s="36"/>
      <c r="B362" s="36"/>
      <c r="C362" s="37"/>
      <c r="D362" s="37"/>
      <c r="E362" s="37"/>
      <c r="F362" s="37"/>
      <c r="G362" s="37"/>
      <c r="H362" s="1"/>
      <c r="I362" s="1"/>
    </row>
    <row r="363" ht="15.75" customHeight="1">
      <c r="A363" s="36"/>
      <c r="B363" s="36"/>
      <c r="C363" s="37"/>
      <c r="D363" s="37"/>
      <c r="E363" s="37"/>
      <c r="F363" s="37"/>
      <c r="G363" s="37"/>
      <c r="H363" s="1"/>
      <c r="I363" s="1"/>
    </row>
    <row r="364" ht="15.75" customHeight="1">
      <c r="A364" s="36"/>
      <c r="B364" s="36"/>
      <c r="C364" s="37"/>
      <c r="D364" s="37"/>
      <c r="E364" s="37"/>
      <c r="F364" s="37"/>
      <c r="G364" s="37"/>
      <c r="H364" s="1"/>
      <c r="I364" s="1"/>
    </row>
    <row r="365" ht="15.75" customHeight="1">
      <c r="A365" s="36"/>
      <c r="B365" s="36"/>
      <c r="C365" s="37"/>
      <c r="D365" s="37"/>
      <c r="E365" s="37"/>
      <c r="F365" s="37"/>
      <c r="G365" s="37"/>
      <c r="H365" s="1"/>
      <c r="I365" s="1"/>
    </row>
    <row r="366" ht="15.75" customHeight="1">
      <c r="A366" s="36"/>
      <c r="B366" s="36"/>
      <c r="C366" s="37"/>
      <c r="D366" s="37"/>
      <c r="E366" s="37"/>
      <c r="F366" s="37"/>
      <c r="G366" s="37"/>
      <c r="H366" s="1"/>
      <c r="I366" s="1"/>
    </row>
    <row r="367" ht="15.75" customHeight="1">
      <c r="A367" s="36"/>
      <c r="B367" s="36"/>
      <c r="C367" s="37"/>
      <c r="D367" s="37"/>
      <c r="E367" s="37"/>
      <c r="F367" s="37"/>
      <c r="G367" s="37"/>
      <c r="H367" s="1"/>
      <c r="I367" s="1"/>
    </row>
    <row r="368" ht="15.75" customHeight="1">
      <c r="A368" s="36"/>
      <c r="B368" s="36"/>
      <c r="C368" s="37"/>
      <c r="D368" s="37"/>
      <c r="E368" s="37"/>
      <c r="F368" s="37"/>
      <c r="G368" s="37"/>
      <c r="H368" s="1"/>
      <c r="I368" s="1"/>
    </row>
    <row r="369" ht="15.75" customHeight="1">
      <c r="A369" s="36"/>
      <c r="B369" s="36"/>
      <c r="C369" s="37"/>
      <c r="D369" s="37"/>
      <c r="E369" s="37"/>
      <c r="F369" s="37"/>
      <c r="G369" s="37"/>
      <c r="H369" s="1"/>
      <c r="I369" s="1"/>
    </row>
    <row r="370" ht="15.75" customHeight="1">
      <c r="A370" s="36"/>
      <c r="B370" s="36"/>
      <c r="C370" s="37"/>
      <c r="D370" s="37"/>
      <c r="E370" s="37"/>
      <c r="F370" s="37"/>
      <c r="G370" s="37"/>
      <c r="H370" s="1"/>
      <c r="I370" s="1"/>
    </row>
    <row r="371" ht="15.75" customHeight="1">
      <c r="A371" s="36"/>
      <c r="B371" s="36"/>
      <c r="C371" s="37"/>
      <c r="D371" s="37"/>
      <c r="E371" s="37"/>
      <c r="F371" s="37"/>
      <c r="G371" s="37"/>
      <c r="H371" s="1"/>
      <c r="I371" s="1"/>
    </row>
    <row r="372" ht="15.75" customHeight="1">
      <c r="A372" s="36"/>
      <c r="B372" s="36"/>
      <c r="C372" s="37"/>
      <c r="D372" s="37"/>
      <c r="E372" s="37"/>
      <c r="F372" s="37"/>
      <c r="G372" s="37"/>
      <c r="H372" s="1"/>
      <c r="I372" s="1"/>
    </row>
    <row r="373" ht="15.75" customHeight="1">
      <c r="A373" s="36"/>
      <c r="B373" s="36"/>
      <c r="C373" s="37"/>
      <c r="D373" s="37"/>
      <c r="E373" s="37"/>
      <c r="F373" s="37"/>
      <c r="G373" s="37"/>
      <c r="H373" s="1"/>
      <c r="I373" s="1"/>
    </row>
    <row r="374" ht="15.75" customHeight="1">
      <c r="A374" s="36"/>
      <c r="B374" s="36"/>
      <c r="C374" s="37"/>
      <c r="D374" s="37"/>
      <c r="E374" s="37"/>
      <c r="F374" s="37"/>
      <c r="G374" s="37"/>
      <c r="H374" s="1"/>
      <c r="I374" s="1"/>
    </row>
    <row r="375" ht="15.75" customHeight="1">
      <c r="A375" s="36"/>
      <c r="B375" s="36"/>
      <c r="C375" s="37"/>
      <c r="D375" s="37"/>
      <c r="E375" s="37"/>
      <c r="F375" s="37"/>
      <c r="G375" s="37"/>
      <c r="H375" s="1"/>
      <c r="I375" s="1"/>
    </row>
    <row r="376" ht="15.75" customHeight="1">
      <c r="A376" s="36"/>
      <c r="B376" s="36"/>
      <c r="C376" s="37"/>
      <c r="D376" s="37"/>
      <c r="E376" s="37"/>
      <c r="F376" s="37"/>
      <c r="G376" s="37"/>
      <c r="H376" s="1"/>
      <c r="I376" s="1"/>
    </row>
    <row r="377" ht="15.75" customHeight="1">
      <c r="A377" s="36"/>
      <c r="B377" s="36"/>
      <c r="C377" s="37"/>
      <c r="D377" s="37"/>
      <c r="E377" s="37"/>
      <c r="F377" s="37"/>
      <c r="G377" s="37"/>
      <c r="H377" s="1"/>
      <c r="I377" s="1"/>
    </row>
    <row r="378" ht="15.75" customHeight="1">
      <c r="A378" s="36"/>
      <c r="B378" s="36"/>
      <c r="C378" s="37"/>
      <c r="D378" s="37"/>
      <c r="E378" s="37"/>
      <c r="F378" s="37"/>
      <c r="G378" s="37"/>
      <c r="H378" s="1"/>
      <c r="I378" s="1"/>
    </row>
    <row r="379" ht="15.75" customHeight="1">
      <c r="A379" s="36"/>
      <c r="B379" s="36"/>
      <c r="C379" s="37"/>
      <c r="D379" s="37"/>
      <c r="E379" s="37"/>
      <c r="F379" s="37"/>
      <c r="G379" s="37"/>
      <c r="H379" s="1"/>
      <c r="I379" s="1"/>
    </row>
    <row r="380" ht="15.75" customHeight="1">
      <c r="A380" s="36"/>
      <c r="B380" s="36"/>
      <c r="C380" s="37"/>
      <c r="D380" s="37"/>
      <c r="E380" s="37"/>
      <c r="F380" s="37"/>
      <c r="G380" s="37"/>
      <c r="H380" s="1"/>
      <c r="I380" s="1"/>
    </row>
    <row r="381" ht="15.75" customHeight="1">
      <c r="A381" s="36"/>
      <c r="B381" s="36"/>
      <c r="C381" s="37"/>
      <c r="D381" s="37"/>
      <c r="E381" s="37"/>
      <c r="F381" s="37"/>
      <c r="G381" s="37"/>
      <c r="H381" s="1"/>
      <c r="I381" s="1"/>
    </row>
    <row r="382" ht="15.75" customHeight="1">
      <c r="A382" s="36"/>
      <c r="B382" s="36"/>
      <c r="C382" s="37"/>
      <c r="D382" s="37"/>
      <c r="E382" s="37"/>
      <c r="F382" s="37"/>
      <c r="G382" s="37"/>
      <c r="H382" s="1"/>
      <c r="I382" s="1"/>
    </row>
    <row r="383" ht="15.75" customHeight="1">
      <c r="A383" s="36"/>
      <c r="B383" s="36"/>
      <c r="C383" s="37"/>
      <c r="D383" s="37"/>
      <c r="E383" s="37"/>
      <c r="F383" s="37"/>
      <c r="G383" s="37"/>
      <c r="H383" s="1"/>
      <c r="I383" s="1"/>
    </row>
    <row r="384" ht="15.75" customHeight="1">
      <c r="A384" s="36"/>
      <c r="B384" s="36"/>
      <c r="C384" s="37"/>
      <c r="D384" s="37"/>
      <c r="E384" s="37"/>
      <c r="F384" s="37"/>
      <c r="G384" s="37"/>
      <c r="H384" s="1"/>
      <c r="I384" s="1"/>
    </row>
    <row r="385" ht="15.75" customHeight="1">
      <c r="A385" s="36"/>
      <c r="B385" s="36"/>
      <c r="C385" s="37"/>
      <c r="D385" s="37"/>
      <c r="E385" s="37"/>
      <c r="F385" s="37"/>
      <c r="G385" s="37"/>
      <c r="H385" s="1"/>
      <c r="I385" s="1"/>
    </row>
    <row r="386" ht="15.75" customHeight="1">
      <c r="A386" s="36"/>
      <c r="B386" s="36"/>
      <c r="C386" s="37"/>
      <c r="D386" s="37"/>
      <c r="E386" s="37"/>
      <c r="F386" s="37"/>
      <c r="G386" s="37"/>
      <c r="H386" s="1"/>
      <c r="I386" s="1"/>
    </row>
    <row r="387" ht="15.75" customHeight="1">
      <c r="A387" s="36"/>
      <c r="B387" s="36"/>
      <c r="C387" s="37"/>
      <c r="D387" s="37"/>
      <c r="E387" s="37"/>
      <c r="F387" s="37"/>
      <c r="G387" s="37"/>
      <c r="H387" s="1"/>
      <c r="I387" s="1"/>
    </row>
    <row r="388" ht="15.75" customHeight="1">
      <c r="A388" s="36"/>
      <c r="B388" s="36"/>
      <c r="C388" s="37"/>
      <c r="D388" s="37"/>
      <c r="E388" s="37"/>
      <c r="F388" s="37"/>
      <c r="G388" s="37"/>
      <c r="H388" s="1"/>
      <c r="I388" s="1"/>
    </row>
    <row r="389" ht="15.75" customHeight="1">
      <c r="A389" s="36"/>
      <c r="B389" s="36"/>
      <c r="C389" s="37"/>
      <c r="D389" s="37"/>
      <c r="E389" s="37"/>
      <c r="F389" s="37"/>
      <c r="G389" s="37"/>
      <c r="H389" s="1"/>
      <c r="I389" s="1"/>
    </row>
    <row r="390" ht="15.75" customHeight="1">
      <c r="A390" s="36"/>
      <c r="B390" s="36"/>
      <c r="C390" s="37"/>
      <c r="D390" s="37"/>
      <c r="E390" s="37"/>
      <c r="F390" s="37"/>
      <c r="G390" s="37"/>
      <c r="H390" s="1"/>
      <c r="I390" s="1"/>
    </row>
    <row r="391" ht="15.75" customHeight="1">
      <c r="A391" s="36"/>
      <c r="B391" s="36"/>
      <c r="C391" s="37"/>
      <c r="D391" s="37"/>
      <c r="E391" s="37"/>
      <c r="F391" s="37"/>
      <c r="G391" s="37"/>
      <c r="H391" s="1"/>
      <c r="I391" s="1"/>
    </row>
    <row r="392" ht="15.75" customHeight="1">
      <c r="A392" s="36"/>
      <c r="B392" s="36"/>
      <c r="C392" s="37"/>
      <c r="D392" s="37"/>
      <c r="E392" s="37"/>
      <c r="F392" s="37"/>
      <c r="G392" s="37"/>
      <c r="H392" s="1"/>
      <c r="I392" s="1"/>
    </row>
    <row r="393" ht="15.75" customHeight="1">
      <c r="A393" s="36"/>
      <c r="B393" s="36"/>
      <c r="C393" s="37"/>
      <c r="D393" s="37"/>
      <c r="E393" s="37"/>
      <c r="F393" s="37"/>
      <c r="G393" s="37"/>
      <c r="H393" s="1"/>
      <c r="I393" s="1"/>
    </row>
    <row r="394" ht="15.75" customHeight="1">
      <c r="A394" s="36"/>
      <c r="B394" s="36"/>
      <c r="C394" s="37"/>
      <c r="D394" s="37"/>
      <c r="E394" s="37"/>
      <c r="F394" s="37"/>
      <c r="G394" s="37"/>
      <c r="H394" s="1"/>
      <c r="I394" s="1"/>
    </row>
    <row r="395" ht="15.75" customHeight="1">
      <c r="A395" s="36"/>
      <c r="B395" s="36"/>
      <c r="C395" s="37"/>
      <c r="D395" s="37"/>
      <c r="E395" s="37"/>
      <c r="F395" s="37"/>
      <c r="G395" s="37"/>
      <c r="H395" s="1"/>
      <c r="I395" s="1"/>
    </row>
    <row r="396" ht="15.75" customHeight="1">
      <c r="A396" s="36"/>
      <c r="B396" s="36"/>
      <c r="C396" s="37"/>
      <c r="D396" s="37"/>
      <c r="E396" s="37"/>
      <c r="F396" s="37"/>
      <c r="G396" s="37"/>
      <c r="H396" s="1"/>
      <c r="I396" s="1"/>
    </row>
    <row r="397" ht="15.75" customHeight="1">
      <c r="A397" s="36"/>
      <c r="B397" s="36"/>
      <c r="C397" s="37"/>
      <c r="D397" s="37"/>
      <c r="E397" s="37"/>
      <c r="F397" s="37"/>
      <c r="G397" s="37"/>
      <c r="H397" s="1"/>
      <c r="I397" s="1"/>
    </row>
    <row r="398" ht="15.75" customHeight="1">
      <c r="A398" s="36"/>
      <c r="B398" s="36"/>
      <c r="C398" s="37"/>
      <c r="D398" s="37"/>
      <c r="E398" s="37"/>
      <c r="F398" s="37"/>
      <c r="G398" s="37"/>
      <c r="H398" s="1"/>
      <c r="I398" s="1"/>
    </row>
    <row r="399" ht="15.75" customHeight="1">
      <c r="A399" s="36"/>
      <c r="B399" s="36"/>
      <c r="C399" s="37"/>
      <c r="D399" s="37"/>
      <c r="E399" s="37"/>
      <c r="F399" s="37"/>
      <c r="G399" s="37"/>
      <c r="H399" s="1"/>
      <c r="I399" s="1"/>
    </row>
    <row r="400" ht="15.75" customHeight="1">
      <c r="A400" s="36"/>
      <c r="B400" s="36"/>
      <c r="C400" s="37"/>
      <c r="D400" s="37"/>
      <c r="E400" s="37"/>
      <c r="F400" s="37"/>
      <c r="G400" s="37"/>
      <c r="H400" s="1"/>
      <c r="I400" s="1"/>
    </row>
    <row r="401" ht="15.75" customHeight="1">
      <c r="A401" s="36"/>
      <c r="B401" s="36"/>
      <c r="C401" s="37"/>
      <c r="D401" s="37"/>
      <c r="E401" s="37"/>
      <c r="F401" s="37"/>
      <c r="G401" s="37"/>
      <c r="H401" s="1"/>
      <c r="I401" s="1"/>
    </row>
    <row r="402" ht="15.75" customHeight="1">
      <c r="A402" s="36"/>
      <c r="B402" s="36"/>
      <c r="C402" s="37"/>
      <c r="D402" s="37"/>
      <c r="E402" s="37"/>
      <c r="F402" s="37"/>
      <c r="G402" s="37"/>
      <c r="H402" s="1"/>
      <c r="I402" s="1"/>
    </row>
    <row r="403" ht="15.75" customHeight="1">
      <c r="A403" s="36"/>
      <c r="B403" s="36"/>
      <c r="C403" s="37"/>
      <c r="D403" s="37"/>
      <c r="E403" s="37"/>
      <c r="F403" s="37"/>
      <c r="G403" s="37"/>
      <c r="H403" s="1"/>
      <c r="I403" s="1"/>
    </row>
    <row r="404" ht="15.75" customHeight="1">
      <c r="A404" s="36"/>
      <c r="B404" s="36"/>
      <c r="C404" s="37"/>
      <c r="D404" s="37"/>
      <c r="E404" s="37"/>
      <c r="F404" s="37"/>
      <c r="G404" s="37"/>
      <c r="H404" s="1"/>
      <c r="I404" s="1"/>
    </row>
    <row r="405" ht="15.75" customHeight="1">
      <c r="A405" s="36"/>
      <c r="B405" s="36"/>
      <c r="C405" s="37"/>
      <c r="D405" s="37"/>
      <c r="E405" s="37"/>
      <c r="F405" s="37"/>
      <c r="G405" s="37"/>
      <c r="H405" s="1"/>
      <c r="I405" s="1"/>
    </row>
    <row r="406" ht="15.75" customHeight="1">
      <c r="A406" s="36"/>
      <c r="B406" s="36"/>
      <c r="C406" s="37"/>
      <c r="D406" s="37"/>
      <c r="E406" s="37"/>
      <c r="F406" s="37"/>
      <c r="G406" s="37"/>
      <c r="H406" s="1"/>
      <c r="I406" s="1"/>
    </row>
    <row r="407" ht="15.75" customHeight="1">
      <c r="A407" s="36"/>
      <c r="B407" s="36"/>
      <c r="C407" s="37"/>
      <c r="D407" s="37"/>
      <c r="E407" s="37"/>
      <c r="F407" s="37"/>
      <c r="G407" s="37"/>
      <c r="H407" s="1"/>
      <c r="I407" s="1"/>
    </row>
    <row r="408" ht="15.75" customHeight="1">
      <c r="A408" s="36"/>
      <c r="B408" s="36"/>
      <c r="C408" s="37"/>
      <c r="D408" s="37"/>
      <c r="E408" s="37"/>
      <c r="F408" s="37"/>
      <c r="G408" s="37"/>
      <c r="H408" s="1"/>
      <c r="I408" s="1"/>
    </row>
    <row r="409" ht="15.75" customHeight="1">
      <c r="A409" s="36"/>
      <c r="B409" s="36"/>
      <c r="C409" s="37"/>
      <c r="D409" s="37"/>
      <c r="E409" s="37"/>
      <c r="F409" s="37"/>
      <c r="G409" s="37"/>
      <c r="H409" s="1"/>
      <c r="I409" s="1"/>
    </row>
    <row r="410" ht="15.75" customHeight="1">
      <c r="A410" s="36"/>
      <c r="B410" s="36"/>
      <c r="C410" s="37"/>
      <c r="D410" s="37"/>
      <c r="E410" s="37"/>
      <c r="F410" s="37"/>
      <c r="G410" s="37"/>
      <c r="H410" s="1"/>
      <c r="I410" s="1"/>
    </row>
    <row r="411" ht="15.75" customHeight="1">
      <c r="A411" s="36"/>
      <c r="B411" s="36"/>
      <c r="C411" s="37"/>
      <c r="D411" s="37"/>
      <c r="E411" s="37"/>
      <c r="F411" s="37"/>
      <c r="G411" s="37"/>
      <c r="H411" s="1"/>
      <c r="I411" s="1"/>
    </row>
    <row r="412" ht="15.75" customHeight="1">
      <c r="A412" s="36"/>
      <c r="B412" s="36"/>
      <c r="C412" s="37"/>
      <c r="D412" s="37"/>
      <c r="E412" s="37"/>
      <c r="F412" s="37"/>
      <c r="G412" s="37"/>
      <c r="H412" s="1"/>
      <c r="I412" s="1"/>
    </row>
    <row r="413" ht="15.75" customHeight="1">
      <c r="A413" s="36"/>
      <c r="B413" s="36"/>
      <c r="C413" s="37"/>
      <c r="D413" s="37"/>
      <c r="E413" s="37"/>
      <c r="F413" s="37"/>
      <c r="G413" s="37"/>
      <c r="H413" s="1"/>
      <c r="I413" s="1"/>
    </row>
    <row r="414" ht="15.75" customHeight="1">
      <c r="A414" s="36"/>
      <c r="B414" s="36"/>
      <c r="C414" s="37"/>
      <c r="D414" s="37"/>
      <c r="E414" s="37"/>
      <c r="F414" s="37"/>
      <c r="G414" s="37"/>
      <c r="H414" s="1"/>
      <c r="I414" s="1"/>
    </row>
    <row r="415" ht="15.75" customHeight="1">
      <c r="A415" s="36"/>
      <c r="B415" s="36"/>
      <c r="C415" s="37"/>
      <c r="D415" s="37"/>
      <c r="E415" s="37"/>
      <c r="F415" s="37"/>
      <c r="G415" s="37"/>
      <c r="H415" s="1"/>
      <c r="I415" s="1"/>
    </row>
    <row r="416" ht="15.75" customHeight="1">
      <c r="A416" s="36"/>
      <c r="B416" s="36"/>
      <c r="C416" s="37"/>
      <c r="D416" s="37"/>
      <c r="E416" s="37"/>
      <c r="F416" s="37"/>
      <c r="G416" s="37"/>
      <c r="H416" s="1"/>
      <c r="I416" s="1"/>
    </row>
    <row r="417" ht="15.75" customHeight="1">
      <c r="A417" s="36"/>
      <c r="B417" s="36"/>
      <c r="C417" s="37"/>
      <c r="D417" s="37"/>
      <c r="E417" s="37"/>
      <c r="F417" s="37"/>
      <c r="G417" s="37"/>
      <c r="H417" s="1"/>
      <c r="I417" s="1"/>
    </row>
    <row r="418" ht="15.75" customHeight="1">
      <c r="A418" s="36"/>
      <c r="B418" s="36"/>
      <c r="C418" s="37"/>
      <c r="D418" s="37"/>
      <c r="E418" s="37"/>
      <c r="F418" s="37"/>
      <c r="G418" s="37"/>
      <c r="H418" s="1"/>
      <c r="I418" s="1"/>
    </row>
    <row r="419" ht="15.75" customHeight="1">
      <c r="A419" s="36"/>
      <c r="B419" s="36"/>
      <c r="C419" s="37"/>
      <c r="D419" s="37"/>
      <c r="E419" s="37"/>
      <c r="F419" s="37"/>
      <c r="G419" s="37"/>
      <c r="H419" s="1"/>
      <c r="I419" s="1"/>
    </row>
    <row r="420" ht="15.75" customHeight="1">
      <c r="A420" s="36"/>
      <c r="B420" s="36"/>
      <c r="C420" s="37"/>
      <c r="D420" s="37"/>
      <c r="E420" s="37"/>
      <c r="F420" s="37"/>
      <c r="G420" s="37"/>
      <c r="H420" s="1"/>
      <c r="I420" s="1"/>
    </row>
    <row r="421" ht="15.75" customHeight="1">
      <c r="A421" s="36"/>
      <c r="B421" s="36"/>
      <c r="C421" s="37"/>
      <c r="D421" s="37"/>
      <c r="E421" s="37"/>
      <c r="F421" s="37"/>
      <c r="G421" s="37"/>
      <c r="H421" s="1"/>
      <c r="I421" s="1"/>
    </row>
    <row r="422" ht="15.75" customHeight="1">
      <c r="A422" s="36"/>
      <c r="B422" s="36"/>
      <c r="C422" s="37"/>
      <c r="D422" s="37"/>
      <c r="E422" s="37"/>
      <c r="F422" s="37"/>
      <c r="G422" s="37"/>
      <c r="H422" s="1"/>
      <c r="I422" s="1"/>
    </row>
    <row r="423" ht="15.75" customHeight="1">
      <c r="A423" s="36"/>
      <c r="B423" s="36"/>
      <c r="C423" s="37"/>
      <c r="D423" s="37"/>
      <c r="E423" s="37"/>
      <c r="F423" s="37"/>
      <c r="G423" s="37"/>
      <c r="H423" s="1"/>
      <c r="I423" s="1"/>
    </row>
    <row r="424" ht="15.75" customHeight="1">
      <c r="A424" s="36"/>
      <c r="B424" s="36"/>
      <c r="C424" s="37"/>
      <c r="D424" s="37"/>
      <c r="E424" s="37"/>
      <c r="F424" s="37"/>
      <c r="G424" s="37"/>
      <c r="H424" s="1"/>
      <c r="I424" s="1"/>
    </row>
    <row r="425" ht="15.75" customHeight="1">
      <c r="A425" s="36"/>
      <c r="B425" s="36"/>
      <c r="C425" s="37"/>
      <c r="D425" s="37"/>
      <c r="E425" s="37"/>
      <c r="F425" s="37"/>
      <c r="G425" s="37"/>
      <c r="H425" s="1"/>
      <c r="I425" s="1"/>
    </row>
    <row r="426" ht="15.75" customHeight="1">
      <c r="A426" s="36"/>
      <c r="B426" s="36"/>
      <c r="C426" s="37"/>
      <c r="D426" s="37"/>
      <c r="E426" s="37"/>
      <c r="F426" s="37"/>
      <c r="G426" s="37"/>
      <c r="H426" s="1"/>
      <c r="I426" s="1"/>
    </row>
    <row r="427" ht="15.75" customHeight="1">
      <c r="A427" s="36"/>
      <c r="B427" s="36"/>
      <c r="C427" s="37"/>
      <c r="D427" s="37"/>
      <c r="E427" s="37"/>
      <c r="F427" s="37"/>
      <c r="G427" s="37"/>
      <c r="H427" s="1"/>
      <c r="I427" s="1"/>
    </row>
    <row r="428" ht="15.75" customHeight="1">
      <c r="A428" s="36"/>
      <c r="B428" s="36"/>
      <c r="C428" s="37"/>
      <c r="D428" s="37"/>
      <c r="E428" s="37"/>
      <c r="F428" s="37"/>
      <c r="G428" s="37"/>
      <c r="H428" s="1"/>
      <c r="I428" s="1"/>
    </row>
    <row r="429" ht="15.75" customHeight="1">
      <c r="A429" s="36"/>
      <c r="B429" s="36"/>
      <c r="C429" s="37"/>
      <c r="D429" s="37"/>
      <c r="E429" s="37"/>
      <c r="F429" s="37"/>
      <c r="G429" s="37"/>
      <c r="H429" s="1"/>
      <c r="I429" s="1"/>
    </row>
    <row r="430" ht="15.75" customHeight="1">
      <c r="A430" s="36"/>
      <c r="B430" s="36"/>
      <c r="C430" s="37"/>
      <c r="D430" s="37"/>
      <c r="E430" s="37"/>
      <c r="F430" s="37"/>
      <c r="G430" s="37"/>
      <c r="H430" s="1"/>
      <c r="I430" s="1"/>
    </row>
    <row r="431" ht="15.75" customHeight="1">
      <c r="A431" s="36"/>
      <c r="B431" s="36"/>
      <c r="C431" s="37"/>
      <c r="D431" s="37"/>
      <c r="E431" s="37"/>
      <c r="F431" s="37"/>
      <c r="G431" s="37"/>
      <c r="H431" s="1"/>
      <c r="I431" s="1"/>
    </row>
    <row r="432" ht="15.75" customHeight="1">
      <c r="A432" s="36"/>
      <c r="B432" s="36"/>
      <c r="C432" s="37"/>
      <c r="D432" s="37"/>
      <c r="E432" s="37"/>
      <c r="F432" s="37"/>
      <c r="G432" s="37"/>
      <c r="H432" s="1"/>
      <c r="I432" s="1"/>
    </row>
    <row r="433" ht="15.75" customHeight="1">
      <c r="A433" s="36"/>
      <c r="B433" s="36"/>
      <c r="C433" s="37"/>
      <c r="D433" s="37"/>
      <c r="E433" s="37"/>
      <c r="F433" s="37"/>
      <c r="G433" s="37"/>
      <c r="H433" s="1"/>
      <c r="I433" s="1"/>
    </row>
    <row r="434" ht="15.75" customHeight="1">
      <c r="A434" s="36"/>
      <c r="B434" s="36"/>
      <c r="C434" s="37"/>
      <c r="D434" s="37"/>
      <c r="E434" s="37"/>
      <c r="F434" s="37"/>
      <c r="G434" s="37"/>
      <c r="H434" s="1"/>
      <c r="I434" s="1"/>
    </row>
    <row r="435" ht="15.75" customHeight="1">
      <c r="A435" s="36"/>
      <c r="B435" s="36"/>
      <c r="C435" s="37"/>
      <c r="D435" s="37"/>
      <c r="E435" s="37"/>
      <c r="F435" s="37"/>
      <c r="G435" s="37"/>
      <c r="H435" s="1"/>
      <c r="I435" s="1"/>
    </row>
    <row r="436" ht="15.75" customHeight="1">
      <c r="A436" s="36"/>
      <c r="B436" s="36"/>
      <c r="C436" s="37"/>
      <c r="D436" s="37"/>
      <c r="E436" s="37"/>
      <c r="F436" s="37"/>
      <c r="G436" s="37"/>
      <c r="H436" s="1"/>
      <c r="I436" s="1"/>
    </row>
    <row r="437" ht="15.75" customHeight="1">
      <c r="A437" s="36"/>
      <c r="B437" s="36"/>
      <c r="C437" s="37"/>
      <c r="D437" s="37"/>
      <c r="E437" s="37"/>
      <c r="F437" s="37"/>
      <c r="G437" s="37"/>
      <c r="H437" s="1"/>
      <c r="I437" s="1"/>
    </row>
    <row r="438" ht="15.75" customHeight="1">
      <c r="A438" s="36"/>
      <c r="B438" s="36"/>
      <c r="C438" s="37"/>
      <c r="D438" s="37"/>
      <c r="E438" s="37"/>
      <c r="F438" s="37"/>
      <c r="G438" s="37"/>
      <c r="H438" s="1"/>
      <c r="I438" s="1"/>
    </row>
    <row r="439" ht="15.75" customHeight="1">
      <c r="A439" s="36"/>
      <c r="B439" s="36"/>
      <c r="C439" s="37"/>
      <c r="D439" s="37"/>
      <c r="E439" s="37"/>
      <c r="F439" s="37"/>
      <c r="G439" s="37"/>
      <c r="H439" s="1"/>
      <c r="I439" s="1"/>
    </row>
    <row r="440" ht="15.75" customHeight="1">
      <c r="A440" s="36"/>
      <c r="B440" s="36"/>
      <c r="C440" s="37"/>
      <c r="D440" s="37"/>
      <c r="E440" s="37"/>
      <c r="F440" s="37"/>
      <c r="G440" s="37"/>
      <c r="H440" s="1"/>
      <c r="I440" s="1"/>
    </row>
    <row r="441" ht="15.75" customHeight="1">
      <c r="A441" s="36"/>
      <c r="B441" s="36"/>
      <c r="C441" s="37"/>
      <c r="D441" s="37"/>
      <c r="E441" s="37"/>
      <c r="F441" s="37"/>
      <c r="G441" s="37"/>
      <c r="H441" s="1"/>
      <c r="I441" s="1"/>
    </row>
    <row r="442" ht="15.75" customHeight="1">
      <c r="A442" s="36"/>
      <c r="B442" s="36"/>
      <c r="C442" s="37"/>
      <c r="D442" s="37"/>
      <c r="E442" s="37"/>
      <c r="F442" s="37"/>
      <c r="G442" s="37"/>
      <c r="H442" s="1"/>
      <c r="I442" s="1"/>
    </row>
    <row r="443" ht="15.75" customHeight="1">
      <c r="A443" s="36"/>
      <c r="B443" s="36"/>
      <c r="C443" s="37"/>
      <c r="D443" s="37"/>
      <c r="E443" s="37"/>
      <c r="F443" s="37"/>
      <c r="G443" s="37"/>
      <c r="H443" s="1"/>
      <c r="I443" s="1"/>
    </row>
    <row r="444" ht="15.75" customHeight="1">
      <c r="A444" s="36"/>
      <c r="B444" s="36"/>
      <c r="C444" s="37"/>
      <c r="D444" s="37"/>
      <c r="E444" s="37"/>
      <c r="F444" s="37"/>
      <c r="G444" s="37"/>
      <c r="H444" s="1"/>
      <c r="I444" s="1"/>
    </row>
    <row r="445" ht="15.75" customHeight="1">
      <c r="A445" s="36"/>
      <c r="B445" s="36"/>
      <c r="C445" s="37"/>
      <c r="D445" s="37"/>
      <c r="E445" s="37"/>
      <c r="F445" s="37"/>
      <c r="G445" s="37"/>
      <c r="H445" s="1"/>
      <c r="I445" s="1"/>
    </row>
    <row r="446" ht="15.75" customHeight="1">
      <c r="A446" s="36"/>
      <c r="B446" s="36"/>
      <c r="C446" s="37"/>
      <c r="D446" s="37"/>
      <c r="E446" s="37"/>
      <c r="F446" s="37"/>
      <c r="G446" s="37"/>
      <c r="H446" s="1"/>
      <c r="I446" s="1"/>
    </row>
    <row r="447" ht="15.75" customHeight="1">
      <c r="A447" s="36"/>
      <c r="B447" s="36"/>
      <c r="C447" s="37"/>
      <c r="D447" s="37"/>
      <c r="E447" s="37"/>
      <c r="F447" s="37"/>
      <c r="G447" s="37"/>
      <c r="H447" s="1"/>
      <c r="I447" s="1"/>
    </row>
    <row r="448" ht="15.75" customHeight="1">
      <c r="A448" s="36"/>
      <c r="B448" s="36"/>
      <c r="C448" s="37"/>
      <c r="D448" s="37"/>
      <c r="E448" s="37"/>
      <c r="F448" s="37"/>
      <c r="G448" s="37"/>
      <c r="H448" s="1"/>
      <c r="I448" s="1"/>
    </row>
    <row r="449" ht="15.75" customHeight="1">
      <c r="A449" s="36"/>
      <c r="B449" s="36"/>
      <c r="C449" s="37"/>
      <c r="D449" s="37"/>
      <c r="E449" s="37"/>
      <c r="F449" s="37"/>
      <c r="G449" s="37"/>
      <c r="H449" s="1"/>
      <c r="I449" s="1"/>
    </row>
    <row r="450" ht="15.75" customHeight="1">
      <c r="A450" s="36"/>
      <c r="B450" s="36"/>
      <c r="C450" s="37"/>
      <c r="D450" s="37"/>
      <c r="E450" s="37"/>
      <c r="F450" s="37"/>
      <c r="G450" s="37"/>
      <c r="H450" s="1"/>
      <c r="I450" s="1"/>
    </row>
    <row r="451" ht="15.75" customHeight="1">
      <c r="A451" s="36"/>
      <c r="B451" s="36"/>
      <c r="C451" s="37"/>
      <c r="D451" s="37"/>
      <c r="E451" s="37"/>
      <c r="F451" s="37"/>
      <c r="G451" s="37"/>
      <c r="H451" s="1"/>
      <c r="I451" s="1"/>
    </row>
    <row r="452" ht="15.75" customHeight="1">
      <c r="A452" s="36"/>
      <c r="B452" s="36"/>
      <c r="C452" s="37"/>
      <c r="D452" s="37"/>
      <c r="E452" s="37"/>
      <c r="F452" s="37"/>
      <c r="G452" s="37"/>
      <c r="H452" s="1"/>
      <c r="I452" s="1"/>
    </row>
    <row r="453" ht="15.75" customHeight="1">
      <c r="A453" s="36"/>
      <c r="B453" s="36"/>
      <c r="C453" s="37"/>
      <c r="D453" s="37"/>
      <c r="E453" s="37"/>
      <c r="F453" s="37"/>
      <c r="G453" s="37"/>
      <c r="H453" s="1"/>
      <c r="I453" s="1"/>
    </row>
    <row r="454" ht="15.75" customHeight="1">
      <c r="A454" s="36"/>
      <c r="B454" s="36"/>
      <c r="C454" s="37"/>
      <c r="D454" s="37"/>
      <c r="E454" s="37"/>
      <c r="F454" s="37"/>
      <c r="G454" s="37"/>
      <c r="H454" s="1"/>
      <c r="I454" s="1"/>
    </row>
    <row r="455" ht="15.75" customHeight="1">
      <c r="A455" s="36"/>
      <c r="B455" s="36"/>
      <c r="C455" s="37"/>
      <c r="D455" s="37"/>
      <c r="E455" s="37"/>
      <c r="F455" s="37"/>
      <c r="G455" s="37"/>
      <c r="H455" s="1"/>
      <c r="I455" s="1"/>
    </row>
    <row r="456" ht="15.75" customHeight="1">
      <c r="A456" s="36"/>
      <c r="B456" s="36"/>
      <c r="C456" s="37"/>
      <c r="D456" s="37"/>
      <c r="E456" s="37"/>
      <c r="F456" s="37"/>
      <c r="G456" s="37"/>
      <c r="H456" s="1"/>
      <c r="I456" s="1"/>
    </row>
    <row r="457" ht="15.75" customHeight="1">
      <c r="A457" s="36"/>
      <c r="B457" s="36"/>
      <c r="C457" s="37"/>
      <c r="D457" s="37"/>
      <c r="E457" s="37"/>
      <c r="F457" s="37"/>
      <c r="G457" s="37"/>
      <c r="H457" s="1"/>
      <c r="I457" s="1"/>
    </row>
    <row r="458" ht="15.75" customHeight="1">
      <c r="A458" s="36"/>
      <c r="B458" s="36"/>
      <c r="C458" s="37"/>
      <c r="D458" s="37"/>
      <c r="E458" s="37"/>
      <c r="F458" s="37"/>
      <c r="G458" s="37"/>
      <c r="H458" s="1"/>
      <c r="I458" s="1"/>
    </row>
    <row r="459" ht="15.75" customHeight="1">
      <c r="A459" s="36"/>
      <c r="B459" s="36"/>
      <c r="C459" s="37"/>
      <c r="D459" s="37"/>
      <c r="E459" s="37"/>
      <c r="F459" s="37"/>
      <c r="G459" s="37"/>
      <c r="H459" s="1"/>
      <c r="I459" s="1"/>
    </row>
    <row r="460" ht="15.75" customHeight="1">
      <c r="A460" s="36"/>
      <c r="B460" s="36"/>
      <c r="C460" s="37"/>
      <c r="D460" s="37"/>
      <c r="E460" s="37"/>
      <c r="F460" s="37"/>
      <c r="G460" s="37"/>
      <c r="H460" s="1"/>
      <c r="I460" s="1"/>
    </row>
    <row r="461" ht="15.75" customHeight="1">
      <c r="A461" s="36"/>
      <c r="B461" s="36"/>
      <c r="C461" s="37"/>
      <c r="D461" s="37"/>
      <c r="E461" s="37"/>
      <c r="F461" s="37"/>
      <c r="G461" s="37"/>
      <c r="H461" s="1"/>
      <c r="I461" s="1"/>
    </row>
    <row r="462" ht="15.75" customHeight="1">
      <c r="A462" s="36"/>
      <c r="B462" s="36"/>
      <c r="C462" s="37"/>
      <c r="D462" s="37"/>
      <c r="E462" s="37"/>
      <c r="F462" s="37"/>
      <c r="G462" s="37"/>
      <c r="H462" s="1"/>
      <c r="I462" s="1"/>
    </row>
    <row r="463" ht="15.75" customHeight="1">
      <c r="A463" s="36"/>
      <c r="B463" s="36"/>
      <c r="C463" s="37"/>
      <c r="D463" s="37"/>
      <c r="E463" s="37"/>
      <c r="F463" s="37"/>
      <c r="G463" s="37"/>
      <c r="H463" s="1"/>
      <c r="I463" s="1"/>
    </row>
    <row r="464" ht="15.75" customHeight="1">
      <c r="A464" s="36"/>
      <c r="B464" s="36"/>
      <c r="C464" s="37"/>
      <c r="D464" s="37"/>
      <c r="E464" s="37"/>
      <c r="F464" s="37"/>
      <c r="G464" s="37"/>
      <c r="H464" s="1"/>
      <c r="I464" s="1"/>
    </row>
    <row r="465" ht="15.75" customHeight="1">
      <c r="A465" s="36"/>
      <c r="B465" s="36"/>
      <c r="C465" s="37"/>
      <c r="D465" s="37"/>
      <c r="E465" s="37"/>
      <c r="F465" s="37"/>
      <c r="G465" s="37"/>
      <c r="H465" s="1"/>
      <c r="I465" s="1"/>
    </row>
    <row r="466" ht="15.75" customHeight="1">
      <c r="A466" s="36"/>
      <c r="B466" s="36"/>
      <c r="C466" s="37"/>
      <c r="D466" s="37"/>
      <c r="E466" s="37"/>
      <c r="F466" s="37"/>
      <c r="G466" s="37"/>
      <c r="H466" s="1"/>
      <c r="I466" s="1"/>
    </row>
    <row r="467" ht="15.75" customHeight="1">
      <c r="A467" s="36"/>
      <c r="B467" s="36"/>
      <c r="C467" s="37"/>
      <c r="D467" s="37"/>
      <c r="E467" s="37"/>
      <c r="F467" s="37"/>
      <c r="G467" s="37"/>
      <c r="H467" s="1"/>
      <c r="I467" s="1"/>
    </row>
    <row r="468" ht="15.75" customHeight="1">
      <c r="A468" s="36"/>
      <c r="B468" s="36"/>
      <c r="C468" s="37"/>
      <c r="D468" s="37"/>
      <c r="E468" s="37"/>
      <c r="F468" s="37"/>
      <c r="G468" s="37"/>
      <c r="H468" s="1"/>
      <c r="I468" s="1"/>
    </row>
    <row r="469" ht="15.75" customHeight="1">
      <c r="A469" s="36"/>
      <c r="B469" s="36"/>
      <c r="C469" s="37"/>
      <c r="D469" s="37"/>
      <c r="E469" s="37"/>
      <c r="F469" s="37"/>
      <c r="G469" s="37"/>
      <c r="H469" s="1"/>
      <c r="I469" s="1"/>
    </row>
    <row r="470" ht="15.75" customHeight="1">
      <c r="A470" s="36"/>
      <c r="B470" s="36"/>
      <c r="C470" s="37"/>
      <c r="D470" s="37"/>
      <c r="E470" s="37"/>
      <c r="F470" s="37"/>
      <c r="G470" s="37"/>
      <c r="H470" s="1"/>
      <c r="I470" s="1"/>
    </row>
    <row r="471" ht="15.75" customHeight="1">
      <c r="A471" s="36"/>
      <c r="B471" s="36"/>
      <c r="C471" s="37"/>
      <c r="D471" s="37"/>
      <c r="E471" s="37"/>
      <c r="F471" s="37"/>
      <c r="G471" s="37"/>
      <c r="H471" s="1"/>
      <c r="I471" s="1"/>
    </row>
    <row r="472" ht="15.75" customHeight="1">
      <c r="A472" s="36"/>
      <c r="B472" s="36"/>
      <c r="C472" s="37"/>
      <c r="D472" s="37"/>
      <c r="E472" s="37"/>
      <c r="F472" s="37"/>
      <c r="G472" s="37"/>
      <c r="H472" s="1"/>
      <c r="I472" s="1"/>
    </row>
    <row r="473" ht="15.75" customHeight="1">
      <c r="A473" s="36"/>
      <c r="B473" s="36"/>
      <c r="C473" s="37"/>
      <c r="D473" s="37"/>
      <c r="E473" s="37"/>
      <c r="F473" s="37"/>
      <c r="G473" s="37"/>
      <c r="H473" s="1"/>
      <c r="I473" s="1"/>
    </row>
    <row r="474" ht="15.75" customHeight="1">
      <c r="A474" s="36"/>
      <c r="B474" s="36"/>
      <c r="C474" s="37"/>
      <c r="D474" s="37"/>
      <c r="E474" s="37"/>
      <c r="F474" s="37"/>
      <c r="G474" s="37"/>
      <c r="H474" s="1"/>
      <c r="I474" s="1"/>
    </row>
    <row r="475" ht="15.75" customHeight="1">
      <c r="A475" s="36"/>
      <c r="B475" s="36"/>
      <c r="C475" s="37"/>
      <c r="D475" s="37"/>
      <c r="E475" s="37"/>
      <c r="F475" s="37"/>
      <c r="G475" s="37"/>
      <c r="H475" s="1"/>
      <c r="I475" s="1"/>
    </row>
    <row r="476" ht="15.75" customHeight="1">
      <c r="A476" s="36"/>
      <c r="B476" s="36"/>
      <c r="C476" s="37"/>
      <c r="D476" s="37"/>
      <c r="E476" s="37"/>
      <c r="F476" s="37"/>
      <c r="G476" s="37"/>
      <c r="H476" s="1"/>
      <c r="I476" s="1"/>
    </row>
    <row r="477" ht="15.75" customHeight="1">
      <c r="A477" s="36"/>
      <c r="B477" s="36"/>
      <c r="C477" s="37"/>
      <c r="D477" s="37"/>
      <c r="E477" s="37"/>
      <c r="F477" s="37"/>
      <c r="G477" s="37"/>
      <c r="H477" s="1"/>
      <c r="I477" s="1"/>
    </row>
    <row r="478" ht="15.75" customHeight="1">
      <c r="A478" s="36"/>
      <c r="B478" s="36"/>
      <c r="C478" s="37"/>
      <c r="D478" s="37"/>
      <c r="E478" s="37"/>
      <c r="F478" s="37"/>
      <c r="G478" s="37"/>
      <c r="H478" s="1"/>
      <c r="I478" s="1"/>
    </row>
    <row r="479" ht="15.75" customHeight="1">
      <c r="A479" s="36"/>
      <c r="B479" s="36"/>
      <c r="C479" s="37"/>
      <c r="D479" s="37"/>
      <c r="E479" s="37"/>
      <c r="F479" s="37"/>
      <c r="G479" s="37"/>
      <c r="H479" s="1"/>
      <c r="I479" s="1"/>
    </row>
    <row r="480" ht="15.75" customHeight="1">
      <c r="A480" s="36"/>
      <c r="B480" s="36"/>
      <c r="C480" s="37"/>
      <c r="D480" s="37"/>
      <c r="E480" s="37"/>
      <c r="F480" s="37"/>
      <c r="G480" s="37"/>
      <c r="H480" s="1"/>
      <c r="I480" s="1"/>
    </row>
    <row r="481" ht="15.75" customHeight="1">
      <c r="A481" s="36"/>
      <c r="B481" s="36"/>
      <c r="C481" s="37"/>
      <c r="D481" s="37"/>
      <c r="E481" s="37"/>
      <c r="F481" s="37"/>
      <c r="G481" s="37"/>
      <c r="H481" s="1"/>
      <c r="I481" s="1"/>
    </row>
    <row r="482" ht="15.75" customHeight="1">
      <c r="A482" s="36"/>
      <c r="B482" s="36"/>
      <c r="C482" s="37"/>
      <c r="D482" s="37"/>
      <c r="E482" s="37"/>
      <c r="F482" s="37"/>
      <c r="G482" s="37"/>
      <c r="H482" s="1"/>
      <c r="I482" s="1"/>
    </row>
    <row r="483" ht="15.75" customHeight="1">
      <c r="A483" s="36"/>
      <c r="B483" s="36"/>
      <c r="C483" s="37"/>
      <c r="D483" s="37"/>
      <c r="E483" s="37"/>
      <c r="F483" s="37"/>
      <c r="G483" s="37"/>
      <c r="H483" s="1"/>
      <c r="I483" s="1"/>
    </row>
    <row r="484" ht="15.75" customHeight="1">
      <c r="A484" s="36"/>
      <c r="B484" s="36"/>
      <c r="C484" s="37"/>
      <c r="D484" s="37"/>
      <c r="E484" s="37"/>
      <c r="F484" s="37"/>
      <c r="G484" s="37"/>
      <c r="H484" s="1"/>
      <c r="I484" s="1"/>
    </row>
    <row r="485" ht="15.75" customHeight="1">
      <c r="A485" s="36"/>
      <c r="B485" s="36"/>
      <c r="C485" s="37"/>
      <c r="D485" s="37"/>
      <c r="E485" s="37"/>
      <c r="F485" s="37"/>
      <c r="G485" s="37"/>
      <c r="H485" s="1"/>
      <c r="I485" s="1"/>
    </row>
    <row r="486" ht="15.75" customHeight="1">
      <c r="A486" s="36"/>
      <c r="B486" s="36"/>
      <c r="C486" s="37"/>
      <c r="D486" s="37"/>
      <c r="E486" s="37"/>
      <c r="F486" s="37"/>
      <c r="G486" s="37"/>
      <c r="H486" s="1"/>
      <c r="I486" s="1"/>
    </row>
    <row r="487" ht="15.75" customHeight="1">
      <c r="A487" s="36"/>
      <c r="B487" s="36"/>
      <c r="C487" s="37"/>
      <c r="D487" s="37"/>
      <c r="E487" s="37"/>
      <c r="F487" s="37"/>
      <c r="G487" s="37"/>
      <c r="H487" s="1"/>
      <c r="I487" s="1"/>
    </row>
    <row r="488" ht="15.75" customHeight="1">
      <c r="A488" s="36"/>
      <c r="B488" s="36"/>
      <c r="C488" s="37"/>
      <c r="D488" s="37"/>
      <c r="E488" s="37"/>
      <c r="F488" s="37"/>
      <c r="G488" s="37"/>
      <c r="H488" s="1"/>
      <c r="I488" s="1"/>
    </row>
    <row r="489" ht="15.75" customHeight="1">
      <c r="A489" s="36"/>
      <c r="B489" s="36"/>
      <c r="C489" s="37"/>
      <c r="D489" s="37"/>
      <c r="E489" s="37"/>
      <c r="F489" s="37"/>
      <c r="G489" s="37"/>
      <c r="H489" s="1"/>
      <c r="I489" s="1"/>
    </row>
    <row r="490" ht="15.75" customHeight="1">
      <c r="A490" s="36"/>
      <c r="B490" s="36"/>
      <c r="C490" s="37"/>
      <c r="D490" s="37"/>
      <c r="E490" s="37"/>
      <c r="F490" s="37"/>
      <c r="G490" s="37"/>
      <c r="H490" s="1"/>
      <c r="I490" s="1"/>
    </row>
    <row r="491" ht="15.75" customHeight="1">
      <c r="A491" s="36"/>
      <c r="B491" s="36"/>
      <c r="C491" s="37"/>
      <c r="D491" s="37"/>
      <c r="E491" s="37"/>
      <c r="F491" s="37"/>
      <c r="G491" s="37"/>
      <c r="H491" s="1"/>
      <c r="I491" s="1"/>
    </row>
    <row r="492" ht="15.75" customHeight="1">
      <c r="A492" s="36"/>
      <c r="B492" s="36"/>
      <c r="C492" s="37"/>
      <c r="D492" s="37"/>
      <c r="E492" s="37"/>
      <c r="F492" s="37"/>
      <c r="G492" s="37"/>
      <c r="H492" s="1"/>
      <c r="I492" s="1"/>
    </row>
    <row r="493" ht="15.75" customHeight="1">
      <c r="A493" s="36"/>
      <c r="B493" s="36"/>
      <c r="C493" s="37"/>
      <c r="D493" s="37"/>
      <c r="E493" s="37"/>
      <c r="F493" s="37"/>
      <c r="G493" s="37"/>
      <c r="H493" s="1"/>
      <c r="I493" s="1"/>
    </row>
    <row r="494" ht="15.75" customHeight="1">
      <c r="A494" s="36"/>
      <c r="B494" s="36"/>
      <c r="C494" s="37"/>
      <c r="D494" s="37"/>
      <c r="E494" s="37"/>
      <c r="F494" s="37"/>
      <c r="G494" s="37"/>
      <c r="H494" s="1"/>
      <c r="I494" s="1"/>
    </row>
    <row r="495" ht="15.75" customHeight="1">
      <c r="A495" s="36"/>
      <c r="B495" s="36"/>
      <c r="C495" s="37"/>
      <c r="D495" s="37"/>
      <c r="E495" s="37"/>
      <c r="F495" s="37"/>
      <c r="G495" s="37"/>
      <c r="H495" s="1"/>
      <c r="I495" s="1"/>
    </row>
    <row r="496" ht="15.75" customHeight="1">
      <c r="A496" s="36"/>
      <c r="B496" s="36"/>
      <c r="C496" s="37"/>
      <c r="D496" s="37"/>
      <c r="E496" s="37"/>
      <c r="F496" s="37"/>
      <c r="G496" s="37"/>
      <c r="H496" s="1"/>
      <c r="I496" s="1"/>
    </row>
    <row r="497" ht="15.75" customHeight="1">
      <c r="A497" s="36"/>
      <c r="B497" s="36"/>
      <c r="C497" s="37"/>
      <c r="D497" s="37"/>
      <c r="E497" s="37"/>
      <c r="F497" s="37"/>
      <c r="G497" s="37"/>
      <c r="H497" s="1"/>
      <c r="I497" s="1"/>
    </row>
    <row r="498" ht="15.75" customHeight="1">
      <c r="A498" s="36"/>
      <c r="B498" s="36"/>
      <c r="C498" s="37"/>
      <c r="D498" s="37"/>
      <c r="E498" s="37"/>
      <c r="F498" s="37"/>
      <c r="G498" s="37"/>
      <c r="H498" s="1"/>
      <c r="I498" s="1"/>
    </row>
    <row r="499" ht="15.75" customHeight="1">
      <c r="A499" s="36"/>
      <c r="B499" s="36"/>
      <c r="C499" s="37"/>
      <c r="D499" s="37"/>
      <c r="E499" s="37"/>
      <c r="F499" s="37"/>
      <c r="G499" s="37"/>
      <c r="H499" s="1"/>
      <c r="I499" s="1"/>
    </row>
    <row r="500" ht="15.75" customHeight="1">
      <c r="A500" s="36"/>
      <c r="B500" s="36"/>
      <c r="C500" s="37"/>
      <c r="D500" s="37"/>
      <c r="E500" s="37"/>
      <c r="F500" s="37"/>
      <c r="G500" s="37"/>
      <c r="H500" s="1"/>
      <c r="I500" s="1"/>
    </row>
    <row r="501" ht="15.75" customHeight="1">
      <c r="A501" s="36"/>
      <c r="B501" s="36"/>
      <c r="C501" s="37"/>
      <c r="D501" s="37"/>
      <c r="E501" s="37"/>
      <c r="F501" s="37"/>
      <c r="G501" s="37"/>
      <c r="H501" s="1"/>
      <c r="I501" s="1"/>
    </row>
    <row r="502" ht="15.75" customHeight="1">
      <c r="A502" s="36"/>
      <c r="B502" s="36"/>
      <c r="C502" s="37"/>
      <c r="D502" s="37"/>
      <c r="E502" s="37"/>
      <c r="F502" s="37"/>
      <c r="G502" s="37"/>
      <c r="H502" s="1"/>
      <c r="I502" s="1"/>
    </row>
    <row r="503" ht="15.75" customHeight="1">
      <c r="A503" s="36"/>
      <c r="B503" s="36"/>
      <c r="C503" s="37"/>
      <c r="D503" s="37"/>
      <c r="E503" s="37"/>
      <c r="F503" s="37"/>
      <c r="G503" s="37"/>
      <c r="H503" s="1"/>
      <c r="I503" s="1"/>
    </row>
    <row r="504" ht="15.75" customHeight="1">
      <c r="A504" s="36"/>
      <c r="B504" s="36"/>
      <c r="C504" s="37"/>
      <c r="D504" s="37"/>
      <c r="E504" s="37"/>
      <c r="F504" s="37"/>
      <c r="G504" s="37"/>
      <c r="H504" s="1"/>
      <c r="I504" s="1"/>
    </row>
    <row r="505" ht="15.75" customHeight="1">
      <c r="A505" s="36"/>
      <c r="B505" s="36"/>
      <c r="C505" s="37"/>
      <c r="D505" s="37"/>
      <c r="E505" s="37"/>
      <c r="F505" s="37"/>
      <c r="G505" s="37"/>
      <c r="H505" s="1"/>
      <c r="I505" s="1"/>
    </row>
    <row r="506" ht="15.75" customHeight="1">
      <c r="A506" s="36"/>
      <c r="B506" s="36"/>
      <c r="C506" s="37"/>
      <c r="D506" s="37"/>
      <c r="E506" s="37"/>
      <c r="F506" s="37"/>
      <c r="G506" s="37"/>
      <c r="H506" s="1"/>
      <c r="I506" s="1"/>
    </row>
    <row r="507" ht="15.75" customHeight="1">
      <c r="A507" s="36"/>
      <c r="B507" s="36"/>
      <c r="C507" s="37"/>
      <c r="D507" s="37"/>
      <c r="E507" s="37"/>
      <c r="F507" s="37"/>
      <c r="G507" s="37"/>
      <c r="H507" s="1"/>
      <c r="I507" s="1"/>
    </row>
    <row r="508" ht="15.75" customHeight="1">
      <c r="A508" s="36"/>
      <c r="B508" s="36"/>
      <c r="C508" s="37"/>
      <c r="D508" s="37"/>
      <c r="E508" s="37"/>
      <c r="F508" s="37"/>
      <c r="G508" s="37"/>
      <c r="H508" s="1"/>
      <c r="I508" s="1"/>
    </row>
    <row r="509" ht="15.75" customHeight="1">
      <c r="A509" s="36"/>
      <c r="B509" s="36"/>
      <c r="C509" s="37"/>
      <c r="D509" s="37"/>
      <c r="E509" s="37"/>
      <c r="F509" s="37"/>
      <c r="G509" s="37"/>
      <c r="H509" s="1"/>
      <c r="I509" s="1"/>
    </row>
    <row r="510" ht="15.75" customHeight="1">
      <c r="A510" s="36"/>
      <c r="B510" s="36"/>
      <c r="C510" s="37"/>
      <c r="D510" s="37"/>
      <c r="E510" s="37"/>
      <c r="F510" s="37"/>
      <c r="G510" s="37"/>
      <c r="H510" s="1"/>
      <c r="I510" s="1"/>
    </row>
    <row r="511" ht="15.75" customHeight="1">
      <c r="A511" s="36"/>
      <c r="B511" s="36"/>
      <c r="C511" s="37"/>
      <c r="D511" s="37"/>
      <c r="E511" s="37"/>
      <c r="F511" s="37"/>
      <c r="G511" s="37"/>
      <c r="H511" s="1"/>
      <c r="I511" s="1"/>
    </row>
    <row r="512" ht="15.75" customHeight="1">
      <c r="A512" s="36"/>
      <c r="B512" s="36"/>
      <c r="C512" s="37"/>
      <c r="D512" s="37"/>
      <c r="E512" s="37"/>
      <c r="F512" s="37"/>
      <c r="G512" s="37"/>
      <c r="H512" s="1"/>
      <c r="I512" s="1"/>
    </row>
    <row r="513" ht="15.75" customHeight="1">
      <c r="A513" s="36"/>
      <c r="B513" s="36"/>
      <c r="C513" s="37"/>
      <c r="D513" s="37"/>
      <c r="E513" s="37"/>
      <c r="F513" s="37"/>
      <c r="G513" s="37"/>
      <c r="H513" s="1"/>
      <c r="I513" s="1"/>
    </row>
    <row r="514" ht="15.75" customHeight="1">
      <c r="A514" s="36"/>
      <c r="B514" s="36"/>
      <c r="C514" s="37"/>
      <c r="D514" s="37"/>
      <c r="E514" s="37"/>
      <c r="F514" s="37"/>
      <c r="G514" s="37"/>
      <c r="H514" s="1"/>
      <c r="I514" s="1"/>
    </row>
    <row r="515" ht="15.75" customHeight="1">
      <c r="A515" s="36"/>
      <c r="B515" s="36"/>
      <c r="C515" s="37"/>
      <c r="D515" s="37"/>
      <c r="E515" s="37"/>
      <c r="F515" s="37"/>
      <c r="G515" s="37"/>
      <c r="H515" s="1"/>
      <c r="I515" s="1"/>
    </row>
    <row r="516" ht="15.75" customHeight="1">
      <c r="A516" s="36"/>
      <c r="B516" s="36"/>
      <c r="C516" s="37"/>
      <c r="D516" s="37"/>
      <c r="E516" s="37"/>
      <c r="F516" s="37"/>
      <c r="G516" s="37"/>
      <c r="H516" s="1"/>
      <c r="I516" s="1"/>
    </row>
    <row r="517" ht="15.75" customHeight="1">
      <c r="A517" s="36"/>
      <c r="B517" s="36"/>
      <c r="C517" s="37"/>
      <c r="D517" s="37"/>
      <c r="E517" s="37"/>
      <c r="F517" s="37"/>
      <c r="G517" s="37"/>
      <c r="H517" s="1"/>
      <c r="I517" s="1"/>
    </row>
    <row r="518" ht="15.75" customHeight="1">
      <c r="A518" s="36"/>
      <c r="B518" s="36"/>
      <c r="C518" s="37"/>
      <c r="D518" s="37"/>
      <c r="E518" s="37"/>
      <c r="F518" s="37"/>
      <c r="G518" s="37"/>
      <c r="H518" s="1"/>
      <c r="I518" s="1"/>
    </row>
    <row r="519" ht="15.75" customHeight="1">
      <c r="A519" s="36"/>
      <c r="B519" s="36"/>
      <c r="C519" s="37"/>
      <c r="D519" s="37"/>
      <c r="E519" s="37"/>
      <c r="F519" s="37"/>
      <c r="G519" s="37"/>
      <c r="H519" s="1"/>
      <c r="I519" s="1"/>
    </row>
    <row r="520" ht="15.75" customHeight="1">
      <c r="A520" s="36"/>
      <c r="B520" s="36"/>
      <c r="C520" s="37"/>
      <c r="D520" s="37"/>
      <c r="E520" s="37"/>
      <c r="F520" s="37"/>
      <c r="G520" s="37"/>
      <c r="H520" s="1"/>
      <c r="I520" s="1"/>
    </row>
    <row r="521" ht="15.75" customHeight="1">
      <c r="A521" s="36"/>
      <c r="B521" s="36"/>
      <c r="C521" s="37"/>
      <c r="D521" s="37"/>
      <c r="E521" s="37"/>
      <c r="F521" s="37"/>
      <c r="G521" s="37"/>
      <c r="H521" s="1"/>
      <c r="I521" s="1"/>
    </row>
    <row r="522" ht="15.75" customHeight="1">
      <c r="A522" s="36"/>
      <c r="B522" s="36"/>
      <c r="C522" s="37"/>
      <c r="D522" s="37"/>
      <c r="E522" s="37"/>
      <c r="F522" s="37"/>
      <c r="G522" s="37"/>
      <c r="H522" s="1"/>
      <c r="I522" s="1"/>
    </row>
    <row r="523" ht="15.75" customHeight="1">
      <c r="A523" s="36"/>
      <c r="B523" s="36"/>
      <c r="C523" s="37"/>
      <c r="D523" s="37"/>
      <c r="E523" s="37"/>
      <c r="F523" s="37"/>
      <c r="G523" s="37"/>
      <c r="H523" s="1"/>
      <c r="I523" s="1"/>
    </row>
    <row r="524" ht="15.75" customHeight="1">
      <c r="A524" s="36"/>
      <c r="B524" s="36"/>
      <c r="C524" s="37"/>
      <c r="D524" s="37"/>
      <c r="E524" s="37"/>
      <c r="F524" s="37"/>
      <c r="G524" s="37"/>
      <c r="H524" s="1"/>
      <c r="I524" s="1"/>
    </row>
    <row r="525" ht="15.75" customHeight="1">
      <c r="A525" s="36"/>
      <c r="B525" s="36"/>
      <c r="C525" s="37"/>
      <c r="D525" s="37"/>
      <c r="E525" s="37"/>
      <c r="F525" s="37"/>
      <c r="G525" s="37"/>
      <c r="H525" s="1"/>
      <c r="I525" s="1"/>
    </row>
    <row r="526" ht="15.75" customHeight="1">
      <c r="A526" s="36"/>
      <c r="B526" s="36"/>
      <c r="C526" s="37"/>
      <c r="D526" s="37"/>
      <c r="E526" s="37"/>
      <c r="F526" s="37"/>
      <c r="G526" s="37"/>
      <c r="H526" s="1"/>
      <c r="I526" s="1"/>
    </row>
    <row r="527" ht="15.75" customHeight="1">
      <c r="A527" s="36"/>
      <c r="B527" s="36"/>
      <c r="C527" s="37"/>
      <c r="D527" s="37"/>
      <c r="E527" s="37"/>
      <c r="F527" s="37"/>
      <c r="G527" s="37"/>
      <c r="H527" s="1"/>
      <c r="I527" s="1"/>
    </row>
    <row r="528" ht="15.75" customHeight="1">
      <c r="A528" s="36"/>
      <c r="B528" s="36"/>
      <c r="C528" s="37"/>
      <c r="D528" s="37"/>
      <c r="E528" s="37"/>
      <c r="F528" s="37"/>
      <c r="G528" s="37"/>
      <c r="H528" s="1"/>
      <c r="I528" s="1"/>
    </row>
    <row r="529" ht="15.75" customHeight="1">
      <c r="A529" s="36"/>
      <c r="B529" s="36"/>
      <c r="C529" s="37"/>
      <c r="D529" s="37"/>
      <c r="E529" s="37"/>
      <c r="F529" s="37"/>
      <c r="G529" s="37"/>
      <c r="H529" s="1"/>
      <c r="I529" s="1"/>
    </row>
    <row r="530" ht="15.75" customHeight="1">
      <c r="A530" s="36"/>
      <c r="B530" s="36"/>
      <c r="C530" s="37"/>
      <c r="D530" s="37"/>
      <c r="E530" s="37"/>
      <c r="F530" s="37"/>
      <c r="G530" s="37"/>
      <c r="H530" s="1"/>
      <c r="I530" s="1"/>
    </row>
    <row r="531" ht="15.75" customHeight="1">
      <c r="A531" s="36"/>
      <c r="B531" s="36"/>
      <c r="C531" s="37"/>
      <c r="D531" s="37"/>
      <c r="E531" s="37"/>
      <c r="F531" s="37"/>
      <c r="G531" s="37"/>
      <c r="H531" s="1"/>
      <c r="I531" s="1"/>
    </row>
    <row r="532" ht="15.75" customHeight="1">
      <c r="A532" s="36"/>
      <c r="B532" s="36"/>
      <c r="C532" s="37"/>
      <c r="D532" s="37"/>
      <c r="E532" s="37"/>
      <c r="F532" s="37"/>
      <c r="G532" s="37"/>
      <c r="H532" s="1"/>
      <c r="I532" s="1"/>
    </row>
    <row r="533" ht="15.75" customHeight="1">
      <c r="A533" s="36"/>
      <c r="B533" s="36"/>
      <c r="C533" s="37"/>
      <c r="D533" s="37"/>
      <c r="E533" s="37"/>
      <c r="F533" s="37"/>
      <c r="G533" s="37"/>
      <c r="H533" s="1"/>
      <c r="I533" s="1"/>
    </row>
    <row r="534" ht="15.75" customHeight="1">
      <c r="A534" s="36"/>
      <c r="B534" s="36"/>
      <c r="C534" s="37"/>
      <c r="D534" s="37"/>
      <c r="E534" s="37"/>
      <c r="F534" s="37"/>
      <c r="G534" s="37"/>
      <c r="H534" s="1"/>
      <c r="I534" s="1"/>
    </row>
    <row r="535" ht="15.75" customHeight="1">
      <c r="A535" s="36"/>
      <c r="B535" s="36"/>
      <c r="C535" s="37"/>
      <c r="D535" s="37"/>
      <c r="E535" s="37"/>
      <c r="F535" s="37"/>
      <c r="G535" s="37"/>
      <c r="H535" s="1"/>
      <c r="I535" s="1"/>
    </row>
    <row r="536" ht="15.75" customHeight="1">
      <c r="A536" s="36"/>
      <c r="B536" s="36"/>
      <c r="C536" s="37"/>
      <c r="D536" s="37"/>
      <c r="E536" s="37"/>
      <c r="F536" s="37"/>
      <c r="G536" s="37"/>
      <c r="H536" s="1"/>
      <c r="I536" s="1"/>
    </row>
    <row r="537" ht="15.75" customHeight="1">
      <c r="A537" s="36"/>
      <c r="B537" s="36"/>
      <c r="C537" s="37"/>
      <c r="D537" s="37"/>
      <c r="E537" s="37"/>
      <c r="F537" s="37"/>
      <c r="G537" s="37"/>
      <c r="H537" s="1"/>
      <c r="I537" s="1"/>
    </row>
    <row r="538" ht="15.75" customHeight="1">
      <c r="A538" s="36"/>
      <c r="B538" s="36"/>
      <c r="C538" s="37"/>
      <c r="D538" s="37"/>
      <c r="E538" s="37"/>
      <c r="F538" s="37"/>
      <c r="G538" s="37"/>
      <c r="H538" s="1"/>
      <c r="I538" s="1"/>
    </row>
    <row r="539" ht="15.75" customHeight="1">
      <c r="A539" s="36"/>
      <c r="B539" s="36"/>
      <c r="C539" s="37"/>
      <c r="D539" s="37"/>
      <c r="E539" s="37"/>
      <c r="F539" s="37"/>
      <c r="G539" s="37"/>
      <c r="H539" s="1"/>
      <c r="I539" s="1"/>
    </row>
    <row r="540" ht="15.75" customHeight="1">
      <c r="A540" s="36"/>
      <c r="B540" s="36"/>
      <c r="C540" s="37"/>
      <c r="D540" s="37"/>
      <c r="E540" s="37"/>
      <c r="F540" s="37"/>
      <c r="G540" s="37"/>
      <c r="H540" s="1"/>
      <c r="I540" s="1"/>
    </row>
    <row r="541" ht="15.75" customHeight="1">
      <c r="A541" s="36"/>
      <c r="B541" s="36"/>
      <c r="C541" s="37"/>
      <c r="D541" s="37"/>
      <c r="E541" s="37"/>
      <c r="F541" s="37"/>
      <c r="G541" s="37"/>
      <c r="H541" s="1"/>
      <c r="I541" s="1"/>
    </row>
    <row r="542" ht="15.75" customHeight="1">
      <c r="A542" s="36"/>
      <c r="B542" s="36"/>
      <c r="C542" s="37"/>
      <c r="D542" s="37"/>
      <c r="E542" s="37"/>
      <c r="F542" s="37"/>
      <c r="G542" s="37"/>
      <c r="H542" s="1"/>
      <c r="I542" s="1"/>
    </row>
    <row r="543" ht="15.75" customHeight="1">
      <c r="A543" s="36"/>
      <c r="B543" s="36"/>
      <c r="C543" s="37"/>
      <c r="D543" s="37"/>
      <c r="E543" s="37"/>
      <c r="F543" s="37"/>
      <c r="G543" s="37"/>
      <c r="H543" s="1"/>
      <c r="I543" s="1"/>
    </row>
    <row r="544" ht="15.75" customHeight="1">
      <c r="A544" s="36"/>
      <c r="B544" s="36"/>
      <c r="C544" s="37"/>
      <c r="D544" s="37"/>
      <c r="E544" s="37"/>
      <c r="F544" s="37"/>
      <c r="G544" s="37"/>
      <c r="H544" s="1"/>
      <c r="I544" s="1"/>
    </row>
    <row r="545" ht="15.75" customHeight="1">
      <c r="A545" s="36"/>
      <c r="B545" s="36"/>
      <c r="C545" s="37"/>
      <c r="D545" s="37"/>
      <c r="E545" s="37"/>
      <c r="F545" s="37"/>
      <c r="G545" s="37"/>
      <c r="H545" s="1"/>
      <c r="I545" s="1"/>
    </row>
    <row r="546" ht="15.75" customHeight="1">
      <c r="A546" s="36"/>
      <c r="B546" s="36"/>
      <c r="C546" s="37"/>
      <c r="D546" s="37"/>
      <c r="E546" s="37"/>
      <c r="F546" s="37"/>
      <c r="G546" s="37"/>
      <c r="H546" s="1"/>
      <c r="I546" s="1"/>
    </row>
    <row r="547" ht="15.75" customHeight="1">
      <c r="A547" s="36"/>
      <c r="B547" s="36"/>
      <c r="C547" s="37"/>
      <c r="D547" s="37"/>
      <c r="E547" s="37"/>
      <c r="F547" s="37"/>
      <c r="G547" s="37"/>
      <c r="H547" s="1"/>
      <c r="I547" s="1"/>
    </row>
    <row r="548" ht="15.75" customHeight="1">
      <c r="A548" s="36"/>
      <c r="B548" s="36"/>
      <c r="C548" s="37"/>
      <c r="D548" s="37"/>
      <c r="E548" s="37"/>
      <c r="F548" s="37"/>
      <c r="G548" s="37"/>
      <c r="H548" s="1"/>
      <c r="I548" s="1"/>
    </row>
    <row r="549" ht="15.75" customHeight="1">
      <c r="A549" s="36"/>
      <c r="B549" s="36"/>
      <c r="C549" s="37"/>
      <c r="D549" s="37"/>
      <c r="E549" s="37"/>
      <c r="F549" s="37"/>
      <c r="G549" s="37"/>
      <c r="H549" s="1"/>
      <c r="I549" s="1"/>
    </row>
    <row r="550" ht="15.75" customHeight="1">
      <c r="A550" s="36"/>
      <c r="B550" s="36"/>
      <c r="C550" s="37"/>
      <c r="D550" s="37"/>
      <c r="E550" s="37"/>
      <c r="F550" s="37"/>
      <c r="G550" s="37"/>
      <c r="H550" s="1"/>
      <c r="I550" s="1"/>
    </row>
    <row r="551" ht="15.75" customHeight="1">
      <c r="A551" s="36"/>
      <c r="B551" s="36"/>
      <c r="C551" s="37"/>
      <c r="D551" s="37"/>
      <c r="E551" s="37"/>
      <c r="F551" s="37"/>
      <c r="G551" s="37"/>
      <c r="H551" s="1"/>
      <c r="I551" s="1"/>
    </row>
    <row r="552" ht="15.75" customHeight="1">
      <c r="A552" s="36"/>
      <c r="B552" s="36"/>
      <c r="C552" s="37"/>
      <c r="D552" s="37"/>
      <c r="E552" s="37"/>
      <c r="F552" s="37"/>
      <c r="G552" s="37"/>
      <c r="H552" s="1"/>
      <c r="I552" s="1"/>
    </row>
    <row r="553" ht="15.75" customHeight="1">
      <c r="A553" s="36"/>
      <c r="B553" s="36"/>
      <c r="C553" s="37"/>
      <c r="D553" s="37"/>
      <c r="E553" s="37"/>
      <c r="F553" s="37"/>
      <c r="G553" s="37"/>
      <c r="H553" s="1"/>
      <c r="I553" s="1"/>
    </row>
    <row r="554" ht="15.75" customHeight="1">
      <c r="A554" s="36"/>
      <c r="B554" s="36"/>
      <c r="C554" s="37"/>
      <c r="D554" s="37"/>
      <c r="E554" s="37"/>
      <c r="F554" s="37"/>
      <c r="G554" s="37"/>
      <c r="H554" s="1"/>
      <c r="I554" s="1"/>
    </row>
    <row r="555" ht="15.75" customHeight="1">
      <c r="A555" s="36"/>
      <c r="B555" s="36"/>
      <c r="C555" s="37"/>
      <c r="D555" s="37"/>
      <c r="E555" s="37"/>
      <c r="F555" s="37"/>
      <c r="G555" s="37"/>
      <c r="H555" s="1"/>
      <c r="I555" s="1"/>
    </row>
    <row r="556" ht="15.75" customHeight="1">
      <c r="A556" s="36"/>
      <c r="B556" s="36"/>
      <c r="C556" s="37"/>
      <c r="D556" s="37"/>
      <c r="E556" s="37"/>
      <c r="F556" s="37"/>
      <c r="G556" s="37"/>
      <c r="H556" s="1"/>
      <c r="I556" s="1"/>
    </row>
    <row r="557" ht="15.75" customHeight="1">
      <c r="A557" s="36"/>
      <c r="B557" s="36"/>
      <c r="C557" s="37"/>
      <c r="D557" s="37"/>
      <c r="E557" s="37"/>
      <c r="F557" s="37"/>
      <c r="G557" s="37"/>
      <c r="H557" s="1"/>
      <c r="I557" s="1"/>
    </row>
    <row r="558" ht="15.75" customHeight="1">
      <c r="A558" s="36"/>
      <c r="B558" s="36"/>
      <c r="C558" s="37"/>
      <c r="D558" s="37"/>
      <c r="E558" s="37"/>
      <c r="F558" s="37"/>
      <c r="G558" s="37"/>
      <c r="H558" s="1"/>
      <c r="I558" s="1"/>
    </row>
    <row r="559" ht="15.75" customHeight="1">
      <c r="A559" s="36"/>
      <c r="B559" s="36"/>
      <c r="C559" s="37"/>
      <c r="D559" s="37"/>
      <c r="E559" s="37"/>
      <c r="F559" s="37"/>
      <c r="G559" s="37"/>
      <c r="H559" s="1"/>
      <c r="I559" s="1"/>
    </row>
    <row r="560" ht="15.75" customHeight="1">
      <c r="A560" s="36"/>
      <c r="B560" s="36"/>
      <c r="C560" s="37"/>
      <c r="D560" s="37"/>
      <c r="E560" s="37"/>
      <c r="F560" s="37"/>
      <c r="G560" s="37"/>
      <c r="H560" s="1"/>
      <c r="I560" s="1"/>
    </row>
    <row r="561" ht="15.75" customHeight="1">
      <c r="A561" s="36"/>
      <c r="B561" s="36"/>
      <c r="C561" s="37"/>
      <c r="D561" s="37"/>
      <c r="E561" s="37"/>
      <c r="F561" s="37"/>
      <c r="G561" s="37"/>
      <c r="H561" s="1"/>
      <c r="I561" s="1"/>
    </row>
    <row r="562" ht="15.75" customHeight="1">
      <c r="A562" s="36"/>
      <c r="B562" s="36"/>
      <c r="C562" s="37"/>
      <c r="D562" s="37"/>
      <c r="E562" s="37"/>
      <c r="F562" s="37"/>
      <c r="G562" s="37"/>
      <c r="H562" s="1"/>
      <c r="I562" s="1"/>
    </row>
    <row r="563" ht="15.75" customHeight="1">
      <c r="A563" s="36"/>
      <c r="B563" s="36"/>
      <c r="C563" s="37"/>
      <c r="D563" s="37"/>
      <c r="E563" s="37"/>
      <c r="F563" s="37"/>
      <c r="G563" s="37"/>
      <c r="H563" s="1"/>
      <c r="I563" s="1"/>
    </row>
    <row r="564" ht="15.75" customHeight="1">
      <c r="A564" s="36"/>
      <c r="B564" s="36"/>
      <c r="C564" s="37"/>
      <c r="D564" s="37"/>
      <c r="E564" s="37"/>
      <c r="F564" s="37"/>
      <c r="G564" s="37"/>
      <c r="H564" s="1"/>
      <c r="I564" s="1"/>
    </row>
    <row r="565" ht="15.75" customHeight="1">
      <c r="A565" s="36"/>
      <c r="B565" s="36"/>
      <c r="C565" s="37"/>
      <c r="D565" s="37"/>
      <c r="E565" s="37"/>
      <c r="F565" s="37"/>
      <c r="G565" s="37"/>
      <c r="H565" s="1"/>
      <c r="I565" s="1"/>
    </row>
    <row r="566" ht="15.75" customHeight="1">
      <c r="A566" s="36"/>
      <c r="B566" s="36"/>
      <c r="C566" s="37"/>
      <c r="D566" s="37"/>
      <c r="E566" s="37"/>
      <c r="F566" s="37"/>
      <c r="G566" s="37"/>
      <c r="H566" s="1"/>
      <c r="I566" s="1"/>
    </row>
    <row r="567" ht="15.75" customHeight="1">
      <c r="A567" s="36"/>
      <c r="B567" s="36"/>
      <c r="C567" s="37"/>
      <c r="D567" s="37"/>
      <c r="E567" s="37"/>
      <c r="F567" s="37"/>
      <c r="G567" s="37"/>
      <c r="H567" s="1"/>
      <c r="I567" s="1"/>
    </row>
    <row r="568" ht="15.75" customHeight="1">
      <c r="A568" s="36"/>
      <c r="B568" s="36"/>
      <c r="C568" s="37"/>
      <c r="D568" s="37"/>
      <c r="E568" s="37"/>
      <c r="F568" s="37"/>
      <c r="G568" s="37"/>
      <c r="H568" s="1"/>
      <c r="I568" s="1"/>
    </row>
    <row r="569" ht="15.75" customHeight="1">
      <c r="A569" s="36"/>
      <c r="B569" s="36"/>
      <c r="C569" s="37"/>
      <c r="D569" s="37"/>
      <c r="E569" s="37"/>
      <c r="F569" s="37"/>
      <c r="G569" s="37"/>
      <c r="H569" s="1"/>
      <c r="I569" s="1"/>
    </row>
    <row r="570" ht="15.75" customHeight="1">
      <c r="A570" s="36"/>
      <c r="B570" s="36"/>
      <c r="C570" s="37"/>
      <c r="D570" s="37"/>
      <c r="E570" s="37"/>
      <c r="F570" s="37"/>
      <c r="G570" s="37"/>
      <c r="H570" s="1"/>
      <c r="I570" s="1"/>
    </row>
    <row r="571" ht="15.75" customHeight="1">
      <c r="A571" s="36"/>
      <c r="B571" s="36"/>
      <c r="C571" s="37"/>
      <c r="D571" s="37"/>
      <c r="E571" s="37"/>
      <c r="F571" s="37"/>
      <c r="G571" s="37"/>
      <c r="H571" s="1"/>
      <c r="I571" s="1"/>
    </row>
    <row r="572" ht="15.75" customHeight="1">
      <c r="A572" s="36"/>
      <c r="B572" s="36"/>
      <c r="C572" s="37"/>
      <c r="D572" s="37"/>
      <c r="E572" s="37"/>
      <c r="F572" s="37"/>
      <c r="G572" s="37"/>
      <c r="H572" s="1"/>
      <c r="I572" s="1"/>
    </row>
    <row r="573" ht="15.75" customHeight="1">
      <c r="A573" s="36"/>
      <c r="B573" s="36"/>
      <c r="C573" s="37"/>
      <c r="D573" s="37"/>
      <c r="E573" s="37"/>
      <c r="F573" s="37"/>
      <c r="G573" s="37"/>
      <c r="H573" s="1"/>
      <c r="I573" s="1"/>
    </row>
    <row r="574" ht="15.75" customHeight="1">
      <c r="A574" s="36"/>
      <c r="B574" s="36"/>
      <c r="C574" s="37"/>
      <c r="D574" s="37"/>
      <c r="E574" s="37"/>
      <c r="F574" s="37"/>
      <c r="G574" s="37"/>
      <c r="H574" s="1"/>
      <c r="I574" s="1"/>
    </row>
    <row r="575" ht="15.75" customHeight="1">
      <c r="A575" s="36"/>
      <c r="B575" s="36"/>
      <c r="C575" s="37"/>
      <c r="D575" s="37"/>
      <c r="E575" s="37"/>
      <c r="F575" s="37"/>
      <c r="G575" s="37"/>
      <c r="H575" s="1"/>
      <c r="I575" s="1"/>
    </row>
    <row r="576" ht="15.75" customHeight="1">
      <c r="A576" s="36"/>
      <c r="B576" s="36"/>
      <c r="C576" s="37"/>
      <c r="D576" s="37"/>
      <c r="E576" s="37"/>
      <c r="F576" s="37"/>
      <c r="G576" s="37"/>
      <c r="H576" s="1"/>
      <c r="I576" s="1"/>
    </row>
    <row r="577" ht="15.75" customHeight="1">
      <c r="A577" s="36"/>
      <c r="B577" s="36"/>
      <c r="C577" s="37"/>
      <c r="D577" s="37"/>
      <c r="E577" s="37"/>
      <c r="F577" s="37"/>
      <c r="G577" s="37"/>
      <c r="H577" s="1"/>
      <c r="I577" s="1"/>
    </row>
    <row r="578" ht="15.75" customHeight="1">
      <c r="A578" s="36"/>
      <c r="B578" s="36"/>
      <c r="C578" s="37"/>
      <c r="D578" s="37"/>
      <c r="E578" s="37"/>
      <c r="F578" s="37"/>
      <c r="G578" s="37"/>
      <c r="H578" s="1"/>
      <c r="I578" s="1"/>
    </row>
    <row r="579" ht="15.75" customHeight="1">
      <c r="A579" s="36"/>
      <c r="B579" s="36"/>
      <c r="C579" s="37"/>
      <c r="D579" s="37"/>
      <c r="E579" s="37"/>
      <c r="F579" s="37"/>
      <c r="G579" s="37"/>
      <c r="H579" s="1"/>
      <c r="I579" s="1"/>
    </row>
    <row r="580" ht="15.75" customHeight="1">
      <c r="A580" s="36"/>
      <c r="B580" s="36"/>
      <c r="C580" s="37"/>
      <c r="D580" s="37"/>
      <c r="E580" s="37"/>
      <c r="F580" s="37"/>
      <c r="G580" s="37"/>
      <c r="H580" s="1"/>
      <c r="I580" s="1"/>
    </row>
    <row r="581" ht="15.75" customHeight="1">
      <c r="A581" s="36"/>
      <c r="B581" s="36"/>
      <c r="C581" s="37"/>
      <c r="D581" s="37"/>
      <c r="E581" s="37"/>
      <c r="F581" s="37"/>
      <c r="G581" s="37"/>
      <c r="H581" s="1"/>
      <c r="I581" s="1"/>
    </row>
    <row r="582" ht="15.75" customHeight="1">
      <c r="A582" s="36"/>
      <c r="B582" s="36"/>
      <c r="C582" s="37"/>
      <c r="D582" s="37"/>
      <c r="E582" s="37"/>
      <c r="F582" s="37"/>
      <c r="G582" s="37"/>
      <c r="H582" s="1"/>
      <c r="I582" s="1"/>
    </row>
    <row r="583" ht="15.75" customHeight="1">
      <c r="A583" s="36"/>
      <c r="B583" s="36"/>
      <c r="C583" s="37"/>
      <c r="D583" s="37"/>
      <c r="E583" s="37"/>
      <c r="F583" s="37"/>
      <c r="G583" s="37"/>
      <c r="H583" s="1"/>
      <c r="I583" s="1"/>
    </row>
    <row r="584" ht="15.75" customHeight="1">
      <c r="A584" s="36"/>
      <c r="B584" s="36"/>
      <c r="C584" s="37"/>
      <c r="D584" s="37"/>
      <c r="E584" s="37"/>
      <c r="F584" s="37"/>
      <c r="G584" s="37"/>
      <c r="H584" s="1"/>
      <c r="I584" s="1"/>
    </row>
    <row r="585" ht="15.75" customHeight="1">
      <c r="A585" s="36"/>
      <c r="B585" s="36"/>
      <c r="C585" s="37"/>
      <c r="D585" s="37"/>
      <c r="E585" s="37"/>
      <c r="F585" s="37"/>
      <c r="G585" s="37"/>
      <c r="H585" s="1"/>
      <c r="I585" s="1"/>
    </row>
    <row r="586" ht="15.75" customHeight="1">
      <c r="A586" s="36"/>
      <c r="B586" s="36"/>
      <c r="C586" s="37"/>
      <c r="D586" s="37"/>
      <c r="E586" s="37"/>
      <c r="F586" s="37"/>
      <c r="G586" s="37"/>
      <c r="H586" s="1"/>
      <c r="I586" s="1"/>
    </row>
    <row r="587" ht="15.75" customHeight="1">
      <c r="A587" s="36"/>
      <c r="B587" s="36"/>
      <c r="C587" s="37"/>
      <c r="D587" s="37"/>
      <c r="E587" s="37"/>
      <c r="F587" s="37"/>
      <c r="G587" s="37"/>
      <c r="H587" s="1"/>
      <c r="I587" s="1"/>
    </row>
    <row r="588" ht="15.75" customHeight="1">
      <c r="A588" s="36"/>
      <c r="B588" s="36"/>
      <c r="C588" s="37"/>
      <c r="D588" s="37"/>
      <c r="E588" s="37"/>
      <c r="F588" s="37"/>
      <c r="G588" s="37"/>
      <c r="H588" s="1"/>
      <c r="I588" s="1"/>
    </row>
    <row r="589" ht="15.75" customHeight="1">
      <c r="A589" s="36"/>
      <c r="B589" s="36"/>
      <c r="C589" s="37"/>
      <c r="D589" s="37"/>
      <c r="E589" s="37"/>
      <c r="F589" s="37"/>
      <c r="G589" s="37"/>
      <c r="H589" s="1"/>
      <c r="I589" s="1"/>
    </row>
    <row r="590" ht="15.75" customHeight="1">
      <c r="A590" s="36"/>
      <c r="B590" s="36"/>
      <c r="C590" s="37"/>
      <c r="D590" s="37"/>
      <c r="E590" s="37"/>
      <c r="F590" s="37"/>
      <c r="G590" s="37"/>
      <c r="H590" s="1"/>
      <c r="I590" s="1"/>
    </row>
    <row r="591" ht="15.75" customHeight="1">
      <c r="A591" s="36"/>
      <c r="B591" s="36"/>
      <c r="C591" s="37"/>
      <c r="D591" s="37"/>
      <c r="E591" s="37"/>
      <c r="F591" s="37"/>
      <c r="G591" s="37"/>
      <c r="H591" s="1"/>
      <c r="I591" s="1"/>
    </row>
    <row r="592" ht="15.75" customHeight="1">
      <c r="A592" s="36"/>
      <c r="B592" s="36"/>
      <c r="C592" s="37"/>
      <c r="D592" s="37"/>
      <c r="E592" s="37"/>
      <c r="F592" s="37"/>
      <c r="G592" s="37"/>
      <c r="H592" s="1"/>
      <c r="I592" s="1"/>
    </row>
    <row r="593" ht="15.75" customHeight="1">
      <c r="A593" s="36"/>
      <c r="B593" s="36"/>
      <c r="C593" s="37"/>
      <c r="D593" s="37"/>
      <c r="E593" s="37"/>
      <c r="F593" s="37"/>
      <c r="G593" s="37"/>
      <c r="H593" s="1"/>
      <c r="I593" s="1"/>
    </row>
    <row r="594" ht="15.75" customHeight="1">
      <c r="A594" s="36"/>
      <c r="B594" s="36"/>
      <c r="C594" s="37"/>
      <c r="D594" s="37"/>
      <c r="E594" s="37"/>
      <c r="F594" s="37"/>
      <c r="G594" s="37"/>
      <c r="H594" s="1"/>
      <c r="I594" s="1"/>
    </row>
    <row r="595" ht="15.75" customHeight="1">
      <c r="A595" s="36"/>
      <c r="B595" s="36"/>
      <c r="C595" s="37"/>
      <c r="D595" s="37"/>
      <c r="E595" s="37"/>
      <c r="F595" s="37"/>
      <c r="G595" s="37"/>
      <c r="H595" s="1"/>
      <c r="I595" s="1"/>
    </row>
    <row r="596" ht="15.75" customHeight="1">
      <c r="A596" s="36"/>
      <c r="B596" s="36"/>
      <c r="C596" s="37"/>
      <c r="D596" s="37"/>
      <c r="E596" s="37"/>
      <c r="F596" s="37"/>
      <c r="G596" s="37"/>
      <c r="H596" s="1"/>
      <c r="I596" s="1"/>
    </row>
    <row r="597" ht="15.75" customHeight="1">
      <c r="A597" s="36"/>
      <c r="B597" s="36"/>
      <c r="C597" s="37"/>
      <c r="D597" s="37"/>
      <c r="E597" s="37"/>
      <c r="F597" s="37"/>
      <c r="G597" s="37"/>
      <c r="H597" s="1"/>
      <c r="I597" s="1"/>
    </row>
    <row r="598" ht="15.75" customHeight="1">
      <c r="A598" s="36"/>
      <c r="B598" s="36"/>
      <c r="C598" s="37"/>
      <c r="D598" s="37"/>
      <c r="E598" s="37"/>
      <c r="F598" s="37"/>
      <c r="G598" s="37"/>
      <c r="H598" s="1"/>
      <c r="I598" s="1"/>
    </row>
    <row r="599" ht="15.75" customHeight="1">
      <c r="A599" s="36"/>
      <c r="B599" s="36"/>
      <c r="C599" s="37"/>
      <c r="D599" s="37"/>
      <c r="E599" s="37"/>
      <c r="F599" s="37"/>
      <c r="G599" s="37"/>
      <c r="H599" s="1"/>
      <c r="I599" s="1"/>
    </row>
    <row r="600" ht="15.75" customHeight="1">
      <c r="A600" s="36"/>
      <c r="B600" s="36"/>
      <c r="C600" s="37"/>
      <c r="D600" s="37"/>
      <c r="E600" s="37"/>
      <c r="F600" s="37"/>
      <c r="G600" s="37"/>
      <c r="H600" s="1"/>
      <c r="I600" s="1"/>
    </row>
    <row r="601" ht="15.75" customHeight="1">
      <c r="A601" s="36"/>
      <c r="B601" s="36"/>
      <c r="C601" s="37"/>
      <c r="D601" s="37"/>
      <c r="E601" s="37"/>
      <c r="F601" s="37"/>
      <c r="G601" s="37"/>
      <c r="H601" s="1"/>
      <c r="I601" s="1"/>
    </row>
    <row r="602" ht="15.75" customHeight="1">
      <c r="A602" s="36"/>
      <c r="B602" s="36"/>
      <c r="C602" s="37"/>
      <c r="D602" s="37"/>
      <c r="E602" s="37"/>
      <c r="F602" s="37"/>
      <c r="G602" s="37"/>
      <c r="H602" s="1"/>
      <c r="I602" s="1"/>
    </row>
    <row r="603" ht="15.75" customHeight="1">
      <c r="A603" s="36"/>
      <c r="B603" s="36"/>
      <c r="C603" s="37"/>
      <c r="D603" s="37"/>
      <c r="E603" s="37"/>
      <c r="F603" s="37"/>
      <c r="G603" s="37"/>
      <c r="H603" s="1"/>
      <c r="I603" s="1"/>
    </row>
    <row r="604" ht="15.75" customHeight="1">
      <c r="A604" s="36"/>
      <c r="B604" s="36"/>
      <c r="C604" s="37"/>
      <c r="D604" s="37"/>
      <c r="E604" s="37"/>
      <c r="F604" s="37"/>
      <c r="G604" s="37"/>
      <c r="H604" s="1"/>
      <c r="I604" s="1"/>
    </row>
    <row r="605" ht="15.75" customHeight="1">
      <c r="A605" s="36"/>
      <c r="B605" s="36"/>
      <c r="C605" s="37"/>
      <c r="D605" s="37"/>
      <c r="E605" s="37"/>
      <c r="F605" s="37"/>
      <c r="G605" s="37"/>
      <c r="H605" s="1"/>
      <c r="I605" s="1"/>
    </row>
    <row r="606" ht="15.75" customHeight="1">
      <c r="A606" s="36"/>
      <c r="B606" s="36"/>
      <c r="C606" s="37"/>
      <c r="D606" s="37"/>
      <c r="E606" s="37"/>
      <c r="F606" s="37"/>
      <c r="G606" s="37"/>
      <c r="H606" s="1"/>
      <c r="I606" s="1"/>
    </row>
    <row r="607" ht="15.75" customHeight="1">
      <c r="A607" s="36"/>
      <c r="B607" s="36"/>
      <c r="C607" s="37"/>
      <c r="D607" s="37"/>
      <c r="E607" s="37"/>
      <c r="F607" s="37"/>
      <c r="G607" s="37"/>
      <c r="H607" s="1"/>
      <c r="I607" s="1"/>
    </row>
    <row r="608" ht="15.75" customHeight="1">
      <c r="A608" s="36"/>
      <c r="B608" s="36"/>
      <c r="C608" s="37"/>
      <c r="D608" s="37"/>
      <c r="E608" s="37"/>
      <c r="F608" s="37"/>
      <c r="G608" s="37"/>
      <c r="H608" s="1"/>
      <c r="I608" s="1"/>
    </row>
    <row r="609" ht="15.75" customHeight="1">
      <c r="A609" s="36"/>
      <c r="B609" s="36"/>
      <c r="C609" s="37"/>
      <c r="D609" s="37"/>
      <c r="E609" s="37"/>
      <c r="F609" s="37"/>
      <c r="G609" s="37"/>
      <c r="H609" s="1"/>
      <c r="I609" s="1"/>
    </row>
    <row r="610" ht="15.75" customHeight="1">
      <c r="A610" s="36"/>
      <c r="B610" s="36"/>
      <c r="C610" s="37"/>
      <c r="D610" s="37"/>
      <c r="E610" s="37"/>
      <c r="F610" s="37"/>
      <c r="G610" s="37"/>
      <c r="H610" s="1"/>
      <c r="I610" s="1"/>
    </row>
    <row r="611" ht="15.75" customHeight="1">
      <c r="A611" s="36"/>
      <c r="B611" s="36"/>
      <c r="C611" s="37"/>
      <c r="D611" s="37"/>
      <c r="E611" s="37"/>
      <c r="F611" s="37"/>
      <c r="G611" s="37"/>
      <c r="H611" s="1"/>
      <c r="I611" s="1"/>
    </row>
    <row r="612" ht="15.75" customHeight="1">
      <c r="A612" s="36"/>
      <c r="B612" s="36"/>
      <c r="C612" s="37"/>
      <c r="D612" s="37"/>
      <c r="E612" s="37"/>
      <c r="F612" s="37"/>
      <c r="G612" s="37"/>
      <c r="H612" s="1"/>
      <c r="I612" s="1"/>
    </row>
    <row r="613" ht="15.75" customHeight="1">
      <c r="A613" s="36"/>
      <c r="B613" s="36"/>
      <c r="C613" s="37"/>
      <c r="D613" s="37"/>
      <c r="E613" s="37"/>
      <c r="F613" s="37"/>
      <c r="G613" s="37"/>
      <c r="H613" s="1"/>
      <c r="I613" s="1"/>
    </row>
    <row r="614" ht="15.75" customHeight="1">
      <c r="A614" s="36"/>
      <c r="B614" s="36"/>
      <c r="C614" s="37"/>
      <c r="D614" s="37"/>
      <c r="E614" s="37"/>
      <c r="F614" s="37"/>
      <c r="G614" s="37"/>
      <c r="H614" s="1"/>
      <c r="I614" s="1"/>
    </row>
    <row r="615" ht="15.75" customHeight="1">
      <c r="A615" s="36"/>
      <c r="B615" s="36"/>
      <c r="C615" s="37"/>
      <c r="D615" s="37"/>
      <c r="E615" s="37"/>
      <c r="F615" s="37"/>
      <c r="G615" s="37"/>
      <c r="H615" s="1"/>
      <c r="I615" s="1"/>
    </row>
    <row r="616" ht="15.75" customHeight="1">
      <c r="A616" s="36"/>
      <c r="B616" s="36"/>
      <c r="C616" s="37"/>
      <c r="D616" s="37"/>
      <c r="E616" s="37"/>
      <c r="F616" s="37"/>
      <c r="G616" s="37"/>
      <c r="H616" s="1"/>
      <c r="I616" s="1"/>
    </row>
    <row r="617" ht="15.75" customHeight="1">
      <c r="A617" s="36"/>
      <c r="B617" s="36"/>
      <c r="C617" s="37"/>
      <c r="D617" s="37"/>
      <c r="E617" s="37"/>
      <c r="F617" s="37"/>
      <c r="G617" s="37"/>
      <c r="H617" s="1"/>
      <c r="I617" s="1"/>
    </row>
    <row r="618" ht="15.75" customHeight="1">
      <c r="A618" s="36"/>
      <c r="B618" s="36"/>
      <c r="C618" s="37"/>
      <c r="D618" s="37"/>
      <c r="E618" s="37"/>
      <c r="F618" s="37"/>
      <c r="G618" s="37"/>
      <c r="H618" s="1"/>
      <c r="I618" s="1"/>
    </row>
    <row r="619" ht="15.75" customHeight="1">
      <c r="A619" s="36"/>
      <c r="B619" s="36"/>
      <c r="C619" s="37"/>
      <c r="D619" s="37"/>
      <c r="E619" s="37"/>
      <c r="F619" s="37"/>
      <c r="G619" s="37"/>
      <c r="H619" s="1"/>
      <c r="I619" s="1"/>
    </row>
    <row r="620" ht="15.75" customHeight="1">
      <c r="A620" s="36"/>
      <c r="B620" s="36"/>
      <c r="C620" s="37"/>
      <c r="D620" s="37"/>
      <c r="E620" s="37"/>
      <c r="F620" s="37"/>
      <c r="G620" s="37"/>
      <c r="H620" s="1"/>
      <c r="I620" s="1"/>
    </row>
    <row r="621" ht="15.75" customHeight="1">
      <c r="A621" s="36"/>
      <c r="B621" s="36"/>
      <c r="C621" s="37"/>
      <c r="D621" s="37"/>
      <c r="E621" s="37"/>
      <c r="F621" s="37"/>
      <c r="G621" s="37"/>
      <c r="H621" s="1"/>
      <c r="I621" s="1"/>
    </row>
    <row r="622" ht="15.75" customHeight="1">
      <c r="A622" s="36"/>
      <c r="B622" s="36"/>
      <c r="C622" s="37"/>
      <c r="D622" s="37"/>
      <c r="E622" s="37"/>
      <c r="F622" s="37"/>
      <c r="G622" s="37"/>
      <c r="H622" s="1"/>
      <c r="I622" s="1"/>
    </row>
    <row r="623" ht="15.75" customHeight="1">
      <c r="A623" s="36"/>
      <c r="B623" s="36"/>
      <c r="C623" s="37"/>
      <c r="D623" s="37"/>
      <c r="E623" s="37"/>
      <c r="F623" s="37"/>
      <c r="G623" s="37"/>
      <c r="H623" s="1"/>
      <c r="I623" s="1"/>
    </row>
    <row r="624" ht="15.75" customHeight="1">
      <c r="A624" s="36"/>
      <c r="B624" s="36"/>
      <c r="C624" s="37"/>
      <c r="D624" s="37"/>
      <c r="E624" s="37"/>
      <c r="F624" s="37"/>
      <c r="G624" s="37"/>
      <c r="H624" s="1"/>
      <c r="I624" s="1"/>
    </row>
    <row r="625" ht="15.75" customHeight="1">
      <c r="A625" s="36"/>
      <c r="B625" s="36"/>
      <c r="C625" s="37"/>
      <c r="D625" s="37"/>
      <c r="E625" s="37"/>
      <c r="F625" s="37"/>
      <c r="G625" s="37"/>
      <c r="H625" s="1"/>
      <c r="I625" s="1"/>
    </row>
    <row r="626" ht="15.75" customHeight="1">
      <c r="A626" s="36"/>
      <c r="B626" s="36"/>
      <c r="C626" s="37"/>
      <c r="D626" s="37"/>
      <c r="E626" s="37"/>
      <c r="F626" s="37"/>
      <c r="G626" s="37"/>
      <c r="H626" s="1"/>
      <c r="I626" s="1"/>
    </row>
    <row r="627" ht="15.75" customHeight="1">
      <c r="A627" s="36"/>
      <c r="B627" s="36"/>
      <c r="C627" s="37"/>
      <c r="D627" s="37"/>
      <c r="E627" s="37"/>
      <c r="F627" s="37"/>
      <c r="G627" s="37"/>
      <c r="H627" s="1"/>
      <c r="I627" s="1"/>
    </row>
    <row r="628" ht="15.75" customHeight="1">
      <c r="A628" s="36"/>
      <c r="B628" s="36"/>
      <c r="C628" s="37"/>
      <c r="D628" s="37"/>
      <c r="E628" s="37"/>
      <c r="F628" s="37"/>
      <c r="G628" s="37"/>
      <c r="H628" s="1"/>
      <c r="I628" s="1"/>
    </row>
    <row r="629" ht="15.75" customHeight="1">
      <c r="A629" s="36"/>
      <c r="B629" s="36"/>
      <c r="C629" s="37"/>
      <c r="D629" s="37"/>
      <c r="E629" s="37"/>
      <c r="F629" s="37"/>
      <c r="G629" s="37"/>
      <c r="H629" s="1"/>
      <c r="I629" s="1"/>
    </row>
    <row r="630" ht="15.75" customHeight="1">
      <c r="A630" s="36"/>
      <c r="B630" s="36"/>
      <c r="C630" s="37"/>
      <c r="D630" s="37"/>
      <c r="E630" s="37"/>
      <c r="F630" s="37"/>
      <c r="G630" s="37"/>
      <c r="H630" s="1"/>
      <c r="I630" s="1"/>
    </row>
    <row r="631" ht="15.75" customHeight="1">
      <c r="A631" s="36"/>
      <c r="B631" s="36"/>
      <c r="C631" s="37"/>
      <c r="D631" s="37"/>
      <c r="E631" s="37"/>
      <c r="F631" s="37"/>
      <c r="G631" s="37"/>
      <c r="H631" s="1"/>
      <c r="I631" s="1"/>
    </row>
    <row r="632" ht="15.75" customHeight="1">
      <c r="A632" s="36"/>
      <c r="B632" s="36"/>
      <c r="C632" s="37"/>
      <c r="D632" s="37"/>
      <c r="E632" s="37"/>
      <c r="F632" s="37"/>
      <c r="G632" s="37"/>
      <c r="H632" s="1"/>
      <c r="I632" s="1"/>
    </row>
    <row r="633" ht="15.75" customHeight="1">
      <c r="A633" s="36"/>
      <c r="B633" s="36"/>
      <c r="C633" s="37"/>
      <c r="D633" s="37"/>
      <c r="E633" s="37"/>
      <c r="F633" s="37"/>
      <c r="G633" s="37"/>
      <c r="H633" s="1"/>
      <c r="I633" s="1"/>
    </row>
    <row r="634" ht="15.75" customHeight="1">
      <c r="A634" s="36"/>
      <c r="B634" s="36"/>
      <c r="C634" s="37"/>
      <c r="D634" s="37"/>
      <c r="E634" s="37"/>
      <c r="F634" s="37"/>
      <c r="G634" s="37"/>
      <c r="H634" s="1"/>
      <c r="I634" s="1"/>
    </row>
    <row r="635" ht="15.75" customHeight="1">
      <c r="A635" s="36"/>
      <c r="B635" s="36"/>
      <c r="C635" s="37"/>
      <c r="D635" s="37"/>
      <c r="E635" s="37"/>
      <c r="F635" s="37"/>
      <c r="G635" s="37"/>
      <c r="H635" s="1"/>
      <c r="I635" s="1"/>
    </row>
    <row r="636" ht="15.75" customHeight="1">
      <c r="A636" s="36"/>
      <c r="B636" s="36"/>
      <c r="C636" s="37"/>
      <c r="D636" s="37"/>
      <c r="E636" s="37"/>
      <c r="F636" s="37"/>
      <c r="G636" s="37"/>
      <c r="H636" s="1"/>
      <c r="I636" s="1"/>
    </row>
    <row r="637" ht="15.75" customHeight="1">
      <c r="A637" s="36"/>
      <c r="B637" s="36"/>
      <c r="C637" s="37"/>
      <c r="D637" s="37"/>
      <c r="E637" s="37"/>
      <c r="F637" s="37"/>
      <c r="G637" s="37"/>
      <c r="H637" s="1"/>
      <c r="I637" s="1"/>
    </row>
    <row r="638" ht="15.75" customHeight="1">
      <c r="A638" s="36"/>
      <c r="B638" s="36"/>
      <c r="C638" s="37"/>
      <c r="D638" s="37"/>
      <c r="E638" s="37"/>
      <c r="F638" s="37"/>
      <c r="G638" s="37"/>
      <c r="H638" s="1"/>
      <c r="I638" s="1"/>
    </row>
    <row r="639" ht="15.75" customHeight="1">
      <c r="A639" s="36"/>
      <c r="B639" s="36"/>
      <c r="C639" s="37"/>
      <c r="D639" s="37"/>
      <c r="E639" s="37"/>
      <c r="F639" s="37"/>
      <c r="G639" s="37"/>
      <c r="H639" s="1"/>
      <c r="I639" s="1"/>
    </row>
    <row r="640" ht="15.75" customHeight="1">
      <c r="A640" s="36"/>
      <c r="B640" s="36"/>
      <c r="C640" s="37"/>
      <c r="D640" s="37"/>
      <c r="E640" s="37"/>
      <c r="F640" s="37"/>
      <c r="G640" s="37"/>
      <c r="H640" s="1"/>
      <c r="I640" s="1"/>
    </row>
    <row r="641" ht="15.75" customHeight="1">
      <c r="A641" s="36"/>
      <c r="B641" s="36"/>
      <c r="C641" s="37"/>
      <c r="D641" s="37"/>
      <c r="E641" s="37"/>
      <c r="F641" s="37"/>
      <c r="G641" s="37"/>
      <c r="H641" s="1"/>
      <c r="I641" s="1"/>
    </row>
    <row r="642" ht="15.75" customHeight="1">
      <c r="A642" s="36"/>
      <c r="B642" s="36"/>
      <c r="C642" s="37"/>
      <c r="D642" s="37"/>
      <c r="E642" s="37"/>
      <c r="F642" s="37"/>
      <c r="G642" s="37"/>
      <c r="H642" s="1"/>
      <c r="I642" s="1"/>
    </row>
    <row r="643" ht="15.75" customHeight="1">
      <c r="A643" s="36"/>
      <c r="B643" s="36"/>
      <c r="C643" s="37"/>
      <c r="D643" s="37"/>
      <c r="E643" s="37"/>
      <c r="F643" s="37"/>
      <c r="G643" s="37"/>
      <c r="H643" s="1"/>
      <c r="I643" s="1"/>
    </row>
    <row r="644" ht="15.75" customHeight="1">
      <c r="A644" s="36"/>
      <c r="B644" s="36"/>
      <c r="C644" s="37"/>
      <c r="D644" s="37"/>
      <c r="E644" s="37"/>
      <c r="F644" s="37"/>
      <c r="G644" s="37"/>
      <c r="H644" s="1"/>
      <c r="I644" s="1"/>
    </row>
    <row r="645" ht="15.75" customHeight="1">
      <c r="A645" s="36"/>
      <c r="B645" s="36"/>
      <c r="C645" s="37"/>
      <c r="D645" s="37"/>
      <c r="E645" s="37"/>
      <c r="F645" s="37"/>
      <c r="G645" s="37"/>
      <c r="H645" s="1"/>
      <c r="I645" s="1"/>
    </row>
    <row r="646" ht="15.75" customHeight="1">
      <c r="A646" s="36"/>
      <c r="B646" s="36"/>
      <c r="C646" s="37"/>
      <c r="D646" s="37"/>
      <c r="E646" s="37"/>
      <c r="F646" s="37"/>
      <c r="G646" s="37"/>
      <c r="H646" s="1"/>
      <c r="I646" s="1"/>
    </row>
    <row r="647" ht="15.75" customHeight="1">
      <c r="A647" s="36"/>
      <c r="B647" s="36"/>
      <c r="C647" s="37"/>
      <c r="D647" s="37"/>
      <c r="E647" s="37"/>
      <c r="F647" s="37"/>
      <c r="G647" s="37"/>
      <c r="H647" s="1"/>
      <c r="I647" s="1"/>
    </row>
    <row r="648" ht="15.75" customHeight="1">
      <c r="A648" s="36"/>
      <c r="B648" s="36"/>
      <c r="C648" s="37"/>
      <c r="D648" s="37"/>
      <c r="E648" s="37"/>
      <c r="F648" s="37"/>
      <c r="G648" s="37"/>
      <c r="H648" s="1"/>
      <c r="I648" s="1"/>
    </row>
    <row r="649" ht="15.75" customHeight="1">
      <c r="A649" s="36"/>
      <c r="B649" s="36"/>
      <c r="C649" s="37"/>
      <c r="D649" s="37"/>
      <c r="E649" s="37"/>
      <c r="F649" s="37"/>
      <c r="G649" s="37"/>
      <c r="H649" s="1"/>
      <c r="I649" s="1"/>
    </row>
    <row r="650" ht="15.75" customHeight="1">
      <c r="A650" s="36"/>
      <c r="B650" s="36"/>
      <c r="C650" s="37"/>
      <c r="D650" s="37"/>
      <c r="E650" s="37"/>
      <c r="F650" s="37"/>
      <c r="G650" s="37"/>
      <c r="H650" s="1"/>
      <c r="I650" s="1"/>
    </row>
    <row r="651" ht="15.75" customHeight="1">
      <c r="A651" s="36"/>
      <c r="B651" s="36"/>
      <c r="C651" s="37"/>
      <c r="D651" s="37"/>
      <c r="E651" s="37"/>
      <c r="F651" s="37"/>
      <c r="G651" s="37"/>
      <c r="H651" s="1"/>
      <c r="I651" s="1"/>
    </row>
    <row r="652" ht="15.75" customHeight="1">
      <c r="A652" s="36"/>
      <c r="B652" s="36"/>
      <c r="C652" s="37"/>
      <c r="D652" s="37"/>
      <c r="E652" s="37"/>
      <c r="F652" s="37"/>
      <c r="G652" s="37"/>
      <c r="H652" s="1"/>
      <c r="I652" s="1"/>
    </row>
    <row r="653" ht="15.75" customHeight="1">
      <c r="A653" s="36"/>
      <c r="B653" s="36"/>
      <c r="C653" s="37"/>
      <c r="D653" s="37"/>
      <c r="E653" s="37"/>
      <c r="F653" s="37"/>
      <c r="G653" s="37"/>
      <c r="H653" s="1"/>
      <c r="I653" s="1"/>
    </row>
    <row r="654" ht="15.75" customHeight="1">
      <c r="A654" s="36"/>
      <c r="B654" s="36"/>
      <c r="C654" s="37"/>
      <c r="D654" s="37"/>
      <c r="E654" s="37"/>
      <c r="F654" s="37"/>
      <c r="G654" s="37"/>
      <c r="H654" s="1"/>
      <c r="I654" s="1"/>
    </row>
    <row r="655" ht="15.75" customHeight="1">
      <c r="A655" s="36"/>
      <c r="B655" s="36"/>
      <c r="C655" s="37"/>
      <c r="D655" s="37"/>
      <c r="E655" s="37"/>
      <c r="F655" s="37"/>
      <c r="G655" s="37"/>
      <c r="H655" s="1"/>
      <c r="I655" s="1"/>
    </row>
    <row r="656" ht="15.75" customHeight="1">
      <c r="A656" s="36"/>
      <c r="B656" s="36"/>
      <c r="C656" s="37"/>
      <c r="D656" s="37"/>
      <c r="E656" s="37"/>
      <c r="F656" s="37"/>
      <c r="G656" s="37"/>
      <c r="H656" s="1"/>
      <c r="I656" s="1"/>
    </row>
    <row r="657" ht="15.75" customHeight="1">
      <c r="A657" s="36"/>
      <c r="B657" s="36"/>
      <c r="C657" s="37"/>
      <c r="D657" s="37"/>
      <c r="E657" s="37"/>
      <c r="F657" s="37"/>
      <c r="G657" s="37"/>
      <c r="H657" s="1"/>
      <c r="I657" s="1"/>
    </row>
    <row r="658" ht="15.75" customHeight="1">
      <c r="A658" s="36"/>
      <c r="B658" s="36"/>
      <c r="C658" s="37"/>
      <c r="D658" s="37"/>
      <c r="E658" s="37"/>
      <c r="F658" s="37"/>
      <c r="G658" s="37"/>
      <c r="H658" s="1"/>
      <c r="I658" s="1"/>
    </row>
    <row r="659" ht="15.75" customHeight="1">
      <c r="A659" s="36"/>
      <c r="B659" s="36"/>
      <c r="C659" s="37"/>
      <c r="D659" s="37"/>
      <c r="E659" s="37"/>
      <c r="F659" s="37"/>
      <c r="G659" s="37"/>
      <c r="H659" s="1"/>
      <c r="I659" s="1"/>
    </row>
    <row r="660" ht="15.75" customHeight="1">
      <c r="A660" s="36"/>
      <c r="B660" s="36"/>
      <c r="C660" s="37"/>
      <c r="D660" s="37"/>
      <c r="E660" s="37"/>
      <c r="F660" s="37"/>
      <c r="G660" s="37"/>
      <c r="H660" s="1"/>
      <c r="I660" s="1"/>
    </row>
    <row r="661" ht="15.75" customHeight="1">
      <c r="A661" s="36"/>
      <c r="B661" s="36"/>
      <c r="C661" s="37"/>
      <c r="D661" s="37"/>
      <c r="E661" s="37"/>
      <c r="F661" s="37"/>
      <c r="G661" s="37"/>
      <c r="H661" s="1"/>
      <c r="I661" s="1"/>
    </row>
    <row r="662" ht="15.75" customHeight="1">
      <c r="A662" s="36"/>
      <c r="B662" s="36"/>
      <c r="C662" s="37"/>
      <c r="D662" s="37"/>
      <c r="E662" s="37"/>
      <c r="F662" s="37"/>
      <c r="G662" s="37"/>
      <c r="H662" s="1"/>
      <c r="I662" s="1"/>
    </row>
    <row r="663" ht="15.75" customHeight="1">
      <c r="A663" s="36"/>
      <c r="B663" s="36"/>
      <c r="C663" s="37"/>
      <c r="D663" s="37"/>
      <c r="E663" s="37"/>
      <c r="F663" s="37"/>
      <c r="G663" s="37"/>
      <c r="H663" s="1"/>
      <c r="I663" s="1"/>
    </row>
    <row r="664" ht="15.75" customHeight="1">
      <c r="A664" s="36"/>
      <c r="B664" s="36"/>
      <c r="C664" s="37"/>
      <c r="D664" s="37"/>
      <c r="E664" s="37"/>
      <c r="F664" s="37"/>
      <c r="G664" s="37"/>
      <c r="H664" s="1"/>
      <c r="I664" s="1"/>
    </row>
    <row r="665" ht="15.75" customHeight="1">
      <c r="A665" s="36"/>
      <c r="B665" s="36"/>
      <c r="C665" s="37"/>
      <c r="D665" s="37"/>
      <c r="E665" s="37"/>
      <c r="F665" s="37"/>
      <c r="G665" s="37"/>
      <c r="H665" s="1"/>
      <c r="I665" s="1"/>
    </row>
    <row r="666" ht="15.75" customHeight="1">
      <c r="A666" s="36"/>
      <c r="B666" s="36"/>
      <c r="C666" s="37"/>
      <c r="D666" s="37"/>
      <c r="E666" s="37"/>
      <c r="F666" s="37"/>
      <c r="G666" s="37"/>
      <c r="H666" s="1"/>
      <c r="I666" s="1"/>
    </row>
    <row r="667" ht="15.75" customHeight="1">
      <c r="A667" s="36"/>
      <c r="B667" s="36"/>
      <c r="C667" s="37"/>
      <c r="D667" s="37"/>
      <c r="E667" s="37"/>
      <c r="F667" s="37"/>
      <c r="G667" s="37"/>
      <c r="H667" s="1"/>
      <c r="I667" s="1"/>
    </row>
    <row r="668" ht="15.75" customHeight="1">
      <c r="A668" s="36"/>
      <c r="B668" s="36"/>
      <c r="C668" s="37"/>
      <c r="D668" s="37"/>
      <c r="E668" s="37"/>
      <c r="F668" s="37"/>
      <c r="G668" s="37"/>
      <c r="H668" s="1"/>
      <c r="I668" s="1"/>
    </row>
    <row r="669" ht="15.75" customHeight="1">
      <c r="A669" s="36"/>
      <c r="B669" s="36"/>
      <c r="C669" s="37"/>
      <c r="D669" s="37"/>
      <c r="E669" s="37"/>
      <c r="F669" s="37"/>
      <c r="G669" s="37"/>
      <c r="H669" s="1"/>
      <c r="I669" s="1"/>
    </row>
    <row r="670" ht="15.75" customHeight="1">
      <c r="A670" s="36"/>
      <c r="B670" s="36"/>
      <c r="C670" s="37"/>
      <c r="D670" s="37"/>
      <c r="E670" s="37"/>
      <c r="F670" s="37"/>
      <c r="G670" s="37"/>
      <c r="H670" s="1"/>
      <c r="I670" s="1"/>
    </row>
    <row r="671" ht="15.75" customHeight="1">
      <c r="A671" s="36"/>
      <c r="B671" s="36"/>
      <c r="C671" s="37"/>
      <c r="D671" s="37"/>
      <c r="E671" s="37"/>
      <c r="F671" s="37"/>
      <c r="G671" s="37"/>
      <c r="H671" s="1"/>
      <c r="I671" s="1"/>
    </row>
    <row r="672" ht="15.75" customHeight="1">
      <c r="A672" s="36"/>
      <c r="B672" s="36"/>
      <c r="C672" s="37"/>
      <c r="D672" s="37"/>
      <c r="E672" s="37"/>
      <c r="F672" s="37"/>
      <c r="G672" s="37"/>
      <c r="H672" s="1"/>
      <c r="I672" s="1"/>
    </row>
    <row r="673" ht="15.75" customHeight="1">
      <c r="A673" s="36"/>
      <c r="B673" s="36"/>
      <c r="C673" s="37"/>
      <c r="D673" s="37"/>
      <c r="E673" s="37"/>
      <c r="F673" s="37"/>
      <c r="G673" s="37"/>
      <c r="H673" s="1"/>
      <c r="I673" s="1"/>
    </row>
    <row r="674" ht="15.75" customHeight="1">
      <c r="A674" s="36"/>
      <c r="B674" s="36"/>
      <c r="C674" s="37"/>
      <c r="D674" s="37"/>
      <c r="E674" s="37"/>
      <c r="F674" s="37"/>
      <c r="G674" s="37"/>
      <c r="H674" s="1"/>
      <c r="I674" s="1"/>
    </row>
    <row r="675" ht="15.75" customHeight="1">
      <c r="A675" s="36"/>
      <c r="B675" s="36"/>
      <c r="C675" s="37"/>
      <c r="D675" s="37"/>
      <c r="E675" s="37"/>
      <c r="F675" s="37"/>
      <c r="G675" s="37"/>
      <c r="H675" s="1"/>
      <c r="I675" s="1"/>
    </row>
    <row r="676" ht="15.75" customHeight="1">
      <c r="A676" s="36"/>
      <c r="B676" s="36"/>
      <c r="C676" s="37"/>
      <c r="D676" s="37"/>
      <c r="E676" s="37"/>
      <c r="F676" s="37"/>
      <c r="G676" s="37"/>
      <c r="H676" s="1"/>
      <c r="I676" s="1"/>
    </row>
    <row r="677" ht="15.75" customHeight="1">
      <c r="A677" s="36"/>
      <c r="B677" s="36"/>
      <c r="C677" s="37"/>
      <c r="D677" s="37"/>
      <c r="E677" s="37"/>
      <c r="F677" s="37"/>
      <c r="G677" s="37"/>
      <c r="H677" s="1"/>
      <c r="I677" s="1"/>
    </row>
    <row r="678" ht="15.75" customHeight="1">
      <c r="A678" s="36"/>
      <c r="B678" s="36"/>
      <c r="C678" s="37"/>
      <c r="D678" s="37"/>
      <c r="E678" s="37"/>
      <c r="F678" s="37"/>
      <c r="G678" s="37"/>
      <c r="H678" s="1"/>
      <c r="I678" s="1"/>
    </row>
    <row r="679" ht="15.75" customHeight="1">
      <c r="A679" s="36"/>
      <c r="B679" s="36"/>
      <c r="C679" s="37"/>
      <c r="D679" s="37"/>
      <c r="E679" s="37"/>
      <c r="F679" s="37"/>
      <c r="G679" s="37"/>
      <c r="H679" s="1"/>
      <c r="I679" s="1"/>
    </row>
    <row r="680" ht="15.75" customHeight="1">
      <c r="A680" s="36"/>
      <c r="B680" s="36"/>
      <c r="C680" s="37"/>
      <c r="D680" s="37"/>
      <c r="E680" s="37"/>
      <c r="F680" s="37"/>
      <c r="G680" s="37"/>
      <c r="H680" s="1"/>
      <c r="I680" s="1"/>
    </row>
    <row r="681" ht="15.75" customHeight="1">
      <c r="A681" s="36"/>
      <c r="B681" s="36"/>
      <c r="C681" s="37"/>
      <c r="D681" s="37"/>
      <c r="E681" s="37"/>
      <c r="F681" s="37"/>
      <c r="G681" s="37"/>
      <c r="H681" s="1"/>
      <c r="I681" s="1"/>
    </row>
    <row r="682" ht="15.75" customHeight="1">
      <c r="A682" s="36"/>
      <c r="B682" s="36"/>
      <c r="C682" s="37"/>
      <c r="D682" s="37"/>
      <c r="E682" s="37"/>
      <c r="F682" s="37"/>
      <c r="G682" s="37"/>
      <c r="H682" s="1"/>
      <c r="I682" s="1"/>
    </row>
    <row r="683" ht="15.75" customHeight="1">
      <c r="A683" s="36"/>
      <c r="B683" s="36"/>
      <c r="C683" s="37"/>
      <c r="D683" s="37"/>
      <c r="E683" s="37"/>
      <c r="F683" s="37"/>
      <c r="G683" s="37"/>
      <c r="H683" s="1"/>
      <c r="I683" s="1"/>
    </row>
    <row r="684" ht="15.75" customHeight="1">
      <c r="A684" s="36"/>
      <c r="B684" s="36"/>
      <c r="C684" s="37"/>
      <c r="D684" s="37"/>
      <c r="E684" s="37"/>
      <c r="F684" s="37"/>
      <c r="G684" s="37"/>
      <c r="H684" s="1"/>
      <c r="I684" s="1"/>
    </row>
    <row r="685" ht="15.75" customHeight="1">
      <c r="A685" s="36"/>
      <c r="B685" s="36"/>
      <c r="C685" s="37"/>
      <c r="D685" s="37"/>
      <c r="E685" s="37"/>
      <c r="F685" s="37"/>
      <c r="G685" s="37"/>
      <c r="H685" s="1"/>
      <c r="I685" s="1"/>
    </row>
    <row r="686" ht="15.75" customHeight="1">
      <c r="A686" s="36"/>
      <c r="B686" s="36"/>
      <c r="C686" s="37"/>
      <c r="D686" s="37"/>
      <c r="E686" s="37"/>
      <c r="F686" s="37"/>
      <c r="G686" s="37"/>
      <c r="H686" s="1"/>
      <c r="I686" s="1"/>
    </row>
    <row r="687" ht="15.75" customHeight="1">
      <c r="A687" s="36"/>
      <c r="B687" s="36"/>
      <c r="C687" s="37"/>
      <c r="D687" s="37"/>
      <c r="E687" s="37"/>
      <c r="F687" s="37"/>
      <c r="G687" s="37"/>
      <c r="H687" s="1"/>
      <c r="I687" s="1"/>
    </row>
    <row r="688" ht="15.75" customHeight="1">
      <c r="A688" s="36"/>
      <c r="B688" s="36"/>
      <c r="C688" s="37"/>
      <c r="D688" s="37"/>
      <c r="E688" s="37"/>
      <c r="F688" s="37"/>
      <c r="G688" s="37"/>
      <c r="H688" s="1"/>
      <c r="I688" s="1"/>
    </row>
    <row r="689" ht="15.75" customHeight="1">
      <c r="A689" s="36"/>
      <c r="B689" s="36"/>
      <c r="C689" s="37"/>
      <c r="D689" s="37"/>
      <c r="E689" s="37"/>
      <c r="F689" s="37"/>
      <c r="G689" s="37"/>
      <c r="H689" s="1"/>
      <c r="I689" s="1"/>
    </row>
    <row r="690" ht="15.75" customHeight="1">
      <c r="A690" s="36"/>
      <c r="B690" s="36"/>
      <c r="C690" s="37"/>
      <c r="D690" s="37"/>
      <c r="E690" s="37"/>
      <c r="F690" s="37"/>
      <c r="G690" s="37"/>
      <c r="H690" s="1"/>
      <c r="I690" s="1"/>
    </row>
    <row r="691" ht="15.75" customHeight="1">
      <c r="A691" s="36"/>
      <c r="B691" s="36"/>
      <c r="C691" s="37"/>
      <c r="D691" s="37"/>
      <c r="E691" s="37"/>
      <c r="F691" s="37"/>
      <c r="G691" s="37"/>
      <c r="H691" s="1"/>
      <c r="I691" s="1"/>
    </row>
    <row r="692" ht="15.75" customHeight="1">
      <c r="A692" s="36"/>
      <c r="B692" s="36"/>
      <c r="C692" s="37"/>
      <c r="D692" s="37"/>
      <c r="E692" s="37"/>
      <c r="F692" s="37"/>
      <c r="G692" s="37"/>
      <c r="H692" s="1"/>
      <c r="I692" s="1"/>
    </row>
    <row r="693" ht="15.75" customHeight="1">
      <c r="A693" s="36"/>
      <c r="B693" s="36"/>
      <c r="C693" s="37"/>
      <c r="D693" s="37"/>
      <c r="E693" s="37"/>
      <c r="F693" s="37"/>
      <c r="G693" s="37"/>
      <c r="H693" s="1"/>
      <c r="I693" s="1"/>
    </row>
    <row r="694" ht="15.75" customHeight="1">
      <c r="A694" s="36"/>
      <c r="B694" s="36"/>
      <c r="C694" s="37"/>
      <c r="D694" s="37"/>
      <c r="E694" s="37"/>
      <c r="F694" s="37"/>
      <c r="G694" s="37"/>
      <c r="H694" s="1"/>
      <c r="I694" s="1"/>
    </row>
    <row r="695" ht="15.75" customHeight="1">
      <c r="A695" s="36"/>
      <c r="B695" s="36"/>
      <c r="C695" s="37"/>
      <c r="D695" s="37"/>
      <c r="E695" s="37"/>
      <c r="F695" s="37"/>
      <c r="G695" s="37"/>
      <c r="H695" s="1"/>
      <c r="I695" s="1"/>
    </row>
    <row r="696" ht="15.75" customHeight="1">
      <c r="A696" s="36"/>
      <c r="B696" s="36"/>
      <c r="C696" s="37"/>
      <c r="D696" s="37"/>
      <c r="E696" s="37"/>
      <c r="F696" s="37"/>
      <c r="G696" s="37"/>
      <c r="H696" s="1"/>
      <c r="I696" s="1"/>
    </row>
    <row r="697" ht="15.75" customHeight="1">
      <c r="A697" s="36"/>
      <c r="B697" s="36"/>
      <c r="C697" s="37"/>
      <c r="D697" s="37"/>
      <c r="E697" s="37"/>
      <c r="F697" s="37"/>
      <c r="G697" s="37"/>
      <c r="H697" s="1"/>
      <c r="I697" s="1"/>
    </row>
    <row r="698" ht="15.75" customHeight="1">
      <c r="A698" s="36"/>
      <c r="B698" s="36"/>
      <c r="C698" s="37"/>
      <c r="D698" s="37"/>
      <c r="E698" s="37"/>
      <c r="F698" s="37"/>
      <c r="G698" s="37"/>
      <c r="H698" s="1"/>
      <c r="I698" s="1"/>
    </row>
    <row r="699" ht="15.75" customHeight="1">
      <c r="A699" s="36"/>
      <c r="B699" s="36"/>
      <c r="C699" s="37"/>
      <c r="D699" s="37"/>
      <c r="E699" s="37"/>
      <c r="F699" s="37"/>
      <c r="G699" s="37"/>
      <c r="H699" s="1"/>
      <c r="I699" s="1"/>
    </row>
    <row r="700" ht="15.75" customHeight="1">
      <c r="A700" s="36"/>
      <c r="B700" s="36"/>
      <c r="C700" s="37"/>
      <c r="D700" s="37"/>
      <c r="E700" s="37"/>
      <c r="F700" s="37"/>
      <c r="G700" s="37"/>
      <c r="H700" s="1"/>
      <c r="I700" s="1"/>
    </row>
    <row r="701" ht="15.75" customHeight="1">
      <c r="A701" s="36"/>
      <c r="B701" s="36"/>
      <c r="C701" s="37"/>
      <c r="D701" s="37"/>
      <c r="E701" s="37"/>
      <c r="F701" s="37"/>
      <c r="G701" s="37"/>
      <c r="H701" s="1"/>
      <c r="I701" s="1"/>
    </row>
    <row r="702" ht="15.75" customHeight="1">
      <c r="A702" s="36"/>
      <c r="B702" s="36"/>
      <c r="C702" s="37"/>
      <c r="D702" s="37"/>
      <c r="E702" s="37"/>
      <c r="F702" s="37"/>
      <c r="G702" s="37"/>
      <c r="H702" s="1"/>
      <c r="I702" s="1"/>
    </row>
    <row r="703" ht="15.75" customHeight="1">
      <c r="A703" s="36"/>
      <c r="B703" s="36"/>
      <c r="C703" s="37"/>
      <c r="D703" s="37"/>
      <c r="E703" s="37"/>
      <c r="F703" s="37"/>
      <c r="G703" s="37"/>
      <c r="H703" s="1"/>
      <c r="I703" s="1"/>
    </row>
    <row r="704" ht="15.75" customHeight="1">
      <c r="A704" s="36"/>
      <c r="B704" s="36"/>
      <c r="C704" s="37"/>
      <c r="D704" s="37"/>
      <c r="E704" s="37"/>
      <c r="F704" s="37"/>
      <c r="G704" s="37"/>
      <c r="H704" s="1"/>
      <c r="I704" s="1"/>
    </row>
    <row r="705" ht="15.75" customHeight="1">
      <c r="A705" s="36"/>
      <c r="B705" s="36"/>
      <c r="C705" s="37"/>
      <c r="D705" s="37"/>
      <c r="E705" s="37"/>
      <c r="F705" s="37"/>
      <c r="G705" s="37"/>
      <c r="H705" s="1"/>
      <c r="I705" s="1"/>
    </row>
    <row r="706" ht="15.75" customHeight="1">
      <c r="A706" s="36"/>
      <c r="B706" s="36"/>
      <c r="C706" s="37"/>
      <c r="D706" s="37"/>
      <c r="E706" s="37"/>
      <c r="F706" s="37"/>
      <c r="G706" s="37"/>
      <c r="H706" s="1"/>
      <c r="I706" s="1"/>
    </row>
    <row r="707" ht="15.75" customHeight="1">
      <c r="A707" s="36"/>
      <c r="B707" s="36"/>
      <c r="C707" s="37"/>
      <c r="D707" s="37"/>
      <c r="E707" s="37"/>
      <c r="F707" s="37"/>
      <c r="G707" s="37"/>
      <c r="H707" s="1"/>
      <c r="I707" s="1"/>
    </row>
    <row r="708" ht="15.75" customHeight="1">
      <c r="A708" s="36"/>
      <c r="B708" s="36"/>
      <c r="C708" s="37"/>
      <c r="D708" s="37"/>
      <c r="E708" s="37"/>
      <c r="F708" s="37"/>
      <c r="G708" s="37"/>
      <c r="H708" s="1"/>
      <c r="I708" s="1"/>
    </row>
    <row r="709" ht="15.75" customHeight="1">
      <c r="A709" s="36"/>
      <c r="B709" s="36"/>
      <c r="C709" s="37"/>
      <c r="D709" s="37"/>
      <c r="E709" s="37"/>
      <c r="F709" s="37"/>
      <c r="G709" s="37"/>
      <c r="H709" s="1"/>
      <c r="I709" s="1"/>
    </row>
    <row r="710" ht="15.75" customHeight="1">
      <c r="A710" s="36"/>
      <c r="B710" s="36"/>
      <c r="C710" s="37"/>
      <c r="D710" s="37"/>
      <c r="E710" s="37"/>
      <c r="F710" s="37"/>
      <c r="G710" s="37"/>
      <c r="H710" s="1"/>
      <c r="I710" s="1"/>
    </row>
    <row r="711" ht="15.75" customHeight="1">
      <c r="A711" s="36"/>
      <c r="B711" s="36"/>
      <c r="C711" s="37"/>
      <c r="D711" s="37"/>
      <c r="E711" s="37"/>
      <c r="F711" s="37"/>
      <c r="G711" s="37"/>
      <c r="H711" s="1"/>
      <c r="I711" s="1"/>
    </row>
    <row r="712" ht="15.75" customHeight="1">
      <c r="A712" s="36"/>
      <c r="B712" s="36"/>
      <c r="C712" s="37"/>
      <c r="D712" s="37"/>
      <c r="E712" s="37"/>
      <c r="F712" s="37"/>
      <c r="G712" s="37"/>
      <c r="H712" s="1"/>
      <c r="I712" s="1"/>
    </row>
    <row r="713" ht="15.75" customHeight="1">
      <c r="A713" s="36"/>
      <c r="B713" s="36"/>
      <c r="C713" s="37"/>
      <c r="D713" s="37"/>
      <c r="E713" s="37"/>
      <c r="F713" s="37"/>
      <c r="G713" s="37"/>
      <c r="H713" s="1"/>
      <c r="I713" s="1"/>
    </row>
    <row r="714" ht="15.75" customHeight="1">
      <c r="A714" s="36"/>
      <c r="B714" s="36"/>
      <c r="C714" s="37"/>
      <c r="D714" s="37"/>
      <c r="E714" s="37"/>
      <c r="F714" s="37"/>
      <c r="G714" s="37"/>
      <c r="H714" s="1"/>
      <c r="I714" s="1"/>
    </row>
    <row r="715" ht="15.75" customHeight="1">
      <c r="A715" s="36"/>
      <c r="B715" s="36"/>
      <c r="C715" s="37"/>
      <c r="D715" s="37"/>
      <c r="E715" s="37"/>
      <c r="F715" s="37"/>
      <c r="G715" s="37"/>
      <c r="H715" s="1"/>
      <c r="I715" s="1"/>
    </row>
    <row r="716" ht="15.75" customHeight="1">
      <c r="A716" s="36"/>
      <c r="B716" s="36"/>
      <c r="C716" s="37"/>
      <c r="D716" s="37"/>
      <c r="E716" s="37"/>
      <c r="F716" s="37"/>
      <c r="G716" s="37"/>
      <c r="H716" s="1"/>
      <c r="I716" s="1"/>
    </row>
    <row r="717" ht="15.75" customHeight="1">
      <c r="A717" s="36"/>
      <c r="B717" s="36"/>
      <c r="C717" s="37"/>
      <c r="D717" s="37"/>
      <c r="E717" s="37"/>
      <c r="F717" s="37"/>
      <c r="G717" s="37"/>
      <c r="H717" s="1"/>
      <c r="I717" s="1"/>
    </row>
    <row r="718" ht="15.75" customHeight="1">
      <c r="A718" s="36"/>
      <c r="B718" s="36"/>
      <c r="C718" s="37"/>
      <c r="D718" s="37"/>
      <c r="E718" s="37"/>
      <c r="F718" s="37"/>
      <c r="G718" s="37"/>
      <c r="H718" s="1"/>
      <c r="I718" s="1"/>
    </row>
    <row r="719" ht="15.75" customHeight="1">
      <c r="A719" s="36"/>
      <c r="B719" s="36"/>
      <c r="C719" s="37"/>
      <c r="D719" s="37"/>
      <c r="E719" s="37"/>
      <c r="F719" s="37"/>
      <c r="G719" s="37"/>
      <c r="H719" s="1"/>
      <c r="I719" s="1"/>
    </row>
    <row r="720" ht="15.75" customHeight="1">
      <c r="A720" s="36"/>
      <c r="B720" s="36"/>
      <c r="C720" s="37"/>
      <c r="D720" s="37"/>
      <c r="E720" s="37"/>
      <c r="F720" s="37"/>
      <c r="G720" s="37"/>
      <c r="H720" s="1"/>
      <c r="I720" s="1"/>
    </row>
    <row r="721" ht="15.75" customHeight="1">
      <c r="A721" s="36"/>
      <c r="B721" s="36"/>
      <c r="C721" s="37"/>
      <c r="D721" s="37"/>
      <c r="E721" s="37"/>
      <c r="F721" s="37"/>
      <c r="G721" s="37"/>
      <c r="H721" s="1"/>
      <c r="I721" s="1"/>
    </row>
    <row r="722" ht="15.75" customHeight="1">
      <c r="A722" s="36"/>
      <c r="B722" s="36"/>
      <c r="C722" s="37"/>
      <c r="D722" s="37"/>
      <c r="E722" s="37"/>
      <c r="F722" s="37"/>
      <c r="G722" s="37"/>
      <c r="H722" s="1"/>
      <c r="I722" s="1"/>
    </row>
    <row r="723" ht="15.75" customHeight="1">
      <c r="A723" s="36"/>
      <c r="B723" s="36"/>
      <c r="C723" s="37"/>
      <c r="D723" s="37"/>
      <c r="E723" s="37"/>
      <c r="F723" s="37"/>
      <c r="G723" s="37"/>
      <c r="H723" s="1"/>
      <c r="I723" s="1"/>
    </row>
    <row r="724" ht="15.75" customHeight="1">
      <c r="A724" s="36"/>
      <c r="B724" s="36"/>
      <c r="C724" s="37"/>
      <c r="D724" s="37"/>
      <c r="E724" s="37"/>
      <c r="F724" s="37"/>
      <c r="G724" s="37"/>
      <c r="H724" s="1"/>
      <c r="I724" s="1"/>
    </row>
    <row r="725" ht="15.75" customHeight="1">
      <c r="A725" s="36"/>
      <c r="B725" s="36"/>
      <c r="C725" s="37"/>
      <c r="D725" s="37"/>
      <c r="E725" s="37"/>
      <c r="F725" s="37"/>
      <c r="G725" s="37"/>
      <c r="H725" s="1"/>
      <c r="I725" s="1"/>
    </row>
    <row r="726" ht="15.75" customHeight="1">
      <c r="A726" s="36"/>
      <c r="B726" s="36"/>
      <c r="C726" s="37"/>
      <c r="D726" s="37"/>
      <c r="E726" s="37"/>
      <c r="F726" s="37"/>
      <c r="G726" s="37"/>
      <c r="H726" s="1"/>
      <c r="I726" s="1"/>
    </row>
    <row r="727" ht="15.75" customHeight="1">
      <c r="A727" s="36"/>
      <c r="B727" s="36"/>
      <c r="C727" s="37"/>
      <c r="D727" s="37"/>
      <c r="E727" s="37"/>
      <c r="F727" s="37"/>
      <c r="G727" s="37"/>
      <c r="H727" s="1"/>
      <c r="I727" s="1"/>
    </row>
    <row r="728" ht="15.75" customHeight="1">
      <c r="A728" s="36"/>
      <c r="B728" s="36"/>
      <c r="C728" s="37"/>
      <c r="D728" s="37"/>
      <c r="E728" s="37"/>
      <c r="F728" s="37"/>
      <c r="G728" s="37"/>
      <c r="H728" s="1"/>
      <c r="I728" s="1"/>
    </row>
    <row r="729" ht="15.75" customHeight="1">
      <c r="A729" s="36"/>
      <c r="B729" s="36"/>
      <c r="C729" s="37"/>
      <c r="D729" s="37"/>
      <c r="E729" s="37"/>
      <c r="F729" s="37"/>
      <c r="G729" s="37"/>
      <c r="H729" s="1"/>
      <c r="I729" s="1"/>
    </row>
    <row r="730" ht="15.75" customHeight="1">
      <c r="A730" s="36"/>
      <c r="B730" s="36"/>
      <c r="C730" s="37"/>
      <c r="D730" s="37"/>
      <c r="E730" s="37"/>
      <c r="F730" s="37"/>
      <c r="G730" s="37"/>
      <c r="H730" s="1"/>
      <c r="I730" s="1"/>
    </row>
    <row r="731" ht="15.75" customHeight="1">
      <c r="A731" s="36"/>
      <c r="B731" s="36"/>
      <c r="C731" s="37"/>
      <c r="D731" s="37"/>
      <c r="E731" s="37"/>
      <c r="F731" s="37"/>
      <c r="G731" s="37"/>
      <c r="H731" s="1"/>
      <c r="I731" s="1"/>
    </row>
    <row r="732" ht="15.75" customHeight="1">
      <c r="A732" s="36"/>
      <c r="B732" s="36"/>
      <c r="C732" s="37"/>
      <c r="D732" s="37"/>
      <c r="E732" s="37"/>
      <c r="F732" s="37"/>
      <c r="G732" s="37"/>
      <c r="H732" s="1"/>
      <c r="I732" s="1"/>
    </row>
    <row r="733" ht="15.75" customHeight="1">
      <c r="A733" s="36"/>
      <c r="B733" s="36"/>
      <c r="C733" s="37"/>
      <c r="D733" s="37"/>
      <c r="E733" s="37"/>
      <c r="F733" s="37"/>
      <c r="G733" s="37"/>
      <c r="H733" s="1"/>
      <c r="I733" s="1"/>
    </row>
    <row r="734" ht="15.75" customHeight="1">
      <c r="A734" s="36"/>
      <c r="B734" s="36"/>
      <c r="C734" s="37"/>
      <c r="D734" s="37"/>
      <c r="E734" s="37"/>
      <c r="F734" s="37"/>
      <c r="G734" s="37"/>
      <c r="H734" s="1"/>
      <c r="I734" s="1"/>
    </row>
    <row r="735" ht="15.75" customHeight="1">
      <c r="A735" s="36"/>
      <c r="B735" s="36"/>
      <c r="C735" s="37"/>
      <c r="D735" s="37"/>
      <c r="E735" s="37"/>
      <c r="F735" s="37"/>
      <c r="G735" s="37"/>
      <c r="H735" s="1"/>
      <c r="I735" s="1"/>
    </row>
    <row r="736" ht="15.75" customHeight="1">
      <c r="A736" s="36"/>
      <c r="B736" s="36"/>
      <c r="C736" s="37"/>
      <c r="D736" s="37"/>
      <c r="E736" s="37"/>
      <c r="F736" s="37"/>
      <c r="G736" s="37"/>
      <c r="H736" s="1"/>
      <c r="I736" s="1"/>
    </row>
    <row r="737" ht="15.75" customHeight="1">
      <c r="A737" s="36"/>
      <c r="B737" s="36"/>
      <c r="C737" s="37"/>
      <c r="D737" s="37"/>
      <c r="E737" s="37"/>
      <c r="F737" s="37"/>
      <c r="G737" s="37"/>
      <c r="H737" s="1"/>
      <c r="I737" s="1"/>
    </row>
    <row r="738" ht="15.75" customHeight="1">
      <c r="A738" s="36"/>
      <c r="B738" s="36"/>
      <c r="C738" s="37"/>
      <c r="D738" s="37"/>
      <c r="E738" s="37"/>
      <c r="F738" s="37"/>
      <c r="G738" s="37"/>
      <c r="H738" s="1"/>
      <c r="I738" s="1"/>
    </row>
    <row r="739" ht="15.75" customHeight="1">
      <c r="A739" s="36"/>
      <c r="B739" s="36"/>
      <c r="C739" s="37"/>
      <c r="D739" s="37"/>
      <c r="E739" s="37"/>
      <c r="F739" s="37"/>
      <c r="G739" s="37"/>
      <c r="H739" s="1"/>
      <c r="I739" s="1"/>
    </row>
    <row r="740" ht="15.75" customHeight="1">
      <c r="A740" s="36"/>
      <c r="B740" s="36"/>
      <c r="C740" s="37"/>
      <c r="D740" s="37"/>
      <c r="E740" s="37"/>
      <c r="F740" s="37"/>
      <c r="G740" s="37"/>
      <c r="H740" s="1"/>
      <c r="I740" s="1"/>
    </row>
    <row r="741" ht="15.75" customHeight="1">
      <c r="A741" s="36"/>
      <c r="B741" s="36"/>
      <c r="C741" s="37"/>
      <c r="D741" s="37"/>
      <c r="E741" s="37"/>
      <c r="F741" s="37"/>
      <c r="G741" s="37"/>
      <c r="H741" s="1"/>
      <c r="I741" s="1"/>
    </row>
    <row r="742" ht="15.75" customHeight="1">
      <c r="A742" s="36"/>
      <c r="B742" s="36"/>
      <c r="C742" s="37"/>
      <c r="D742" s="37"/>
      <c r="E742" s="37"/>
      <c r="F742" s="37"/>
      <c r="G742" s="37"/>
      <c r="H742" s="1"/>
      <c r="I742" s="1"/>
    </row>
    <row r="743" ht="15.75" customHeight="1">
      <c r="A743" s="36"/>
      <c r="B743" s="36"/>
      <c r="C743" s="37"/>
      <c r="D743" s="37"/>
      <c r="E743" s="37"/>
      <c r="F743" s="37"/>
      <c r="G743" s="37"/>
      <c r="H743" s="1"/>
      <c r="I743" s="1"/>
    </row>
    <row r="744" ht="15.75" customHeight="1">
      <c r="A744" s="36"/>
      <c r="B744" s="36"/>
      <c r="C744" s="37"/>
      <c r="D744" s="37"/>
      <c r="E744" s="37"/>
      <c r="F744" s="37"/>
      <c r="G744" s="37"/>
      <c r="H744" s="1"/>
      <c r="I744" s="1"/>
    </row>
    <row r="745" ht="15.75" customHeight="1">
      <c r="A745" s="36"/>
      <c r="B745" s="36"/>
      <c r="C745" s="37"/>
      <c r="D745" s="37"/>
      <c r="E745" s="37"/>
      <c r="F745" s="37"/>
      <c r="G745" s="37"/>
      <c r="H745" s="1"/>
      <c r="I745" s="1"/>
    </row>
    <row r="746" ht="15.75" customHeight="1">
      <c r="A746" s="36"/>
      <c r="B746" s="36"/>
      <c r="C746" s="37"/>
      <c r="D746" s="37"/>
      <c r="E746" s="37"/>
      <c r="F746" s="37"/>
      <c r="G746" s="37"/>
      <c r="H746" s="1"/>
      <c r="I746" s="1"/>
    </row>
    <row r="747" ht="15.75" customHeight="1">
      <c r="A747" s="36"/>
      <c r="B747" s="36"/>
      <c r="C747" s="37"/>
      <c r="D747" s="37"/>
      <c r="E747" s="37"/>
      <c r="F747" s="37"/>
      <c r="G747" s="37"/>
      <c r="H747" s="1"/>
      <c r="I747" s="1"/>
    </row>
    <row r="748" ht="15.75" customHeight="1">
      <c r="A748" s="36"/>
      <c r="B748" s="36"/>
      <c r="C748" s="37"/>
      <c r="D748" s="37"/>
      <c r="E748" s="37"/>
      <c r="F748" s="37"/>
      <c r="G748" s="37"/>
      <c r="H748" s="1"/>
      <c r="I748" s="1"/>
    </row>
    <row r="749" ht="15.75" customHeight="1">
      <c r="A749" s="36"/>
      <c r="B749" s="36"/>
      <c r="C749" s="37"/>
      <c r="D749" s="37"/>
      <c r="E749" s="37"/>
      <c r="F749" s="37"/>
      <c r="G749" s="37"/>
      <c r="H749" s="1"/>
      <c r="I749" s="1"/>
    </row>
    <row r="750" ht="15.75" customHeight="1">
      <c r="A750" s="36"/>
      <c r="B750" s="36"/>
      <c r="C750" s="37"/>
      <c r="D750" s="37"/>
      <c r="E750" s="37"/>
      <c r="F750" s="37"/>
      <c r="G750" s="37"/>
      <c r="H750" s="1"/>
      <c r="I750" s="1"/>
    </row>
    <row r="751" ht="15.75" customHeight="1">
      <c r="A751" s="36"/>
      <c r="B751" s="36"/>
      <c r="C751" s="37"/>
      <c r="D751" s="37"/>
      <c r="E751" s="37"/>
      <c r="F751" s="37"/>
      <c r="G751" s="37"/>
      <c r="H751" s="1"/>
      <c r="I751" s="1"/>
    </row>
    <row r="752" ht="15.75" customHeight="1">
      <c r="A752" s="36"/>
      <c r="B752" s="36"/>
      <c r="C752" s="37"/>
      <c r="D752" s="37"/>
      <c r="E752" s="37"/>
      <c r="F752" s="37"/>
      <c r="G752" s="37"/>
      <c r="H752" s="1"/>
      <c r="I752" s="1"/>
    </row>
    <row r="753" ht="15.75" customHeight="1">
      <c r="A753" s="36"/>
      <c r="B753" s="36"/>
      <c r="C753" s="37"/>
      <c r="D753" s="37"/>
      <c r="E753" s="37"/>
      <c r="F753" s="37"/>
      <c r="G753" s="37"/>
      <c r="H753" s="1"/>
      <c r="I753" s="1"/>
    </row>
    <row r="754" ht="15.75" customHeight="1">
      <c r="A754" s="36"/>
      <c r="B754" s="36"/>
      <c r="C754" s="37"/>
      <c r="D754" s="37"/>
      <c r="E754" s="37"/>
      <c r="F754" s="37"/>
      <c r="G754" s="37"/>
      <c r="H754" s="1"/>
      <c r="I754" s="1"/>
    </row>
    <row r="755" ht="15.75" customHeight="1">
      <c r="A755" s="36"/>
      <c r="B755" s="36"/>
      <c r="C755" s="37"/>
      <c r="D755" s="37"/>
      <c r="E755" s="37"/>
      <c r="F755" s="37"/>
      <c r="G755" s="37"/>
      <c r="H755" s="1"/>
      <c r="I755" s="1"/>
    </row>
    <row r="756" ht="15.75" customHeight="1">
      <c r="A756" s="36"/>
      <c r="B756" s="36"/>
      <c r="C756" s="37"/>
      <c r="D756" s="37"/>
      <c r="E756" s="37"/>
      <c r="F756" s="37"/>
      <c r="G756" s="37"/>
      <c r="H756" s="1"/>
      <c r="I756" s="1"/>
    </row>
    <row r="757" ht="15.75" customHeight="1">
      <c r="A757" s="36"/>
      <c r="B757" s="36"/>
      <c r="C757" s="37"/>
      <c r="D757" s="37"/>
      <c r="E757" s="37"/>
      <c r="F757" s="37"/>
      <c r="G757" s="37"/>
      <c r="H757" s="1"/>
      <c r="I757" s="1"/>
    </row>
    <row r="758" ht="15.75" customHeight="1">
      <c r="A758" s="36"/>
      <c r="B758" s="36"/>
      <c r="C758" s="37"/>
      <c r="D758" s="37"/>
      <c r="E758" s="37"/>
      <c r="F758" s="37"/>
      <c r="G758" s="37"/>
      <c r="H758" s="1"/>
      <c r="I758" s="1"/>
    </row>
    <row r="759" ht="15.75" customHeight="1">
      <c r="A759" s="36"/>
      <c r="B759" s="36"/>
      <c r="C759" s="37"/>
      <c r="D759" s="37"/>
      <c r="E759" s="37"/>
      <c r="F759" s="37"/>
      <c r="G759" s="37"/>
      <c r="H759" s="1"/>
      <c r="I759" s="1"/>
    </row>
    <row r="760" ht="15.75" customHeight="1">
      <c r="A760" s="36"/>
      <c r="B760" s="36"/>
      <c r="C760" s="37"/>
      <c r="D760" s="37"/>
      <c r="E760" s="37"/>
      <c r="F760" s="37"/>
      <c r="G760" s="37"/>
      <c r="H760" s="1"/>
      <c r="I760" s="1"/>
    </row>
    <row r="761" ht="15.75" customHeight="1">
      <c r="A761" s="36"/>
      <c r="B761" s="36"/>
      <c r="C761" s="37"/>
      <c r="D761" s="37"/>
      <c r="E761" s="37"/>
      <c r="F761" s="37"/>
      <c r="G761" s="37"/>
      <c r="H761" s="1"/>
      <c r="I761" s="1"/>
    </row>
    <row r="762" ht="15.75" customHeight="1">
      <c r="A762" s="36"/>
      <c r="B762" s="36"/>
      <c r="C762" s="37"/>
      <c r="D762" s="37"/>
      <c r="E762" s="37"/>
      <c r="F762" s="37"/>
      <c r="G762" s="37"/>
      <c r="H762" s="1"/>
      <c r="I762" s="1"/>
    </row>
    <row r="763" ht="15.75" customHeight="1">
      <c r="A763" s="36"/>
      <c r="B763" s="36"/>
      <c r="C763" s="37"/>
      <c r="D763" s="37"/>
      <c r="E763" s="37"/>
      <c r="F763" s="37"/>
      <c r="G763" s="37"/>
      <c r="H763" s="1"/>
      <c r="I763" s="1"/>
    </row>
    <row r="764" ht="15.75" customHeight="1">
      <c r="A764" s="36"/>
      <c r="B764" s="36"/>
      <c r="C764" s="37"/>
      <c r="D764" s="37"/>
      <c r="E764" s="37"/>
      <c r="F764" s="37"/>
      <c r="G764" s="37"/>
      <c r="H764" s="1"/>
      <c r="I764" s="1"/>
    </row>
    <row r="765" ht="15.75" customHeight="1">
      <c r="A765" s="36"/>
      <c r="B765" s="36"/>
      <c r="C765" s="37"/>
      <c r="D765" s="37"/>
      <c r="E765" s="37"/>
      <c r="F765" s="37"/>
      <c r="G765" s="37"/>
      <c r="H765" s="1"/>
      <c r="I765" s="1"/>
    </row>
    <row r="766" ht="15.75" customHeight="1">
      <c r="A766" s="36"/>
      <c r="B766" s="36"/>
      <c r="C766" s="37"/>
      <c r="D766" s="37"/>
      <c r="E766" s="37"/>
      <c r="F766" s="37"/>
      <c r="G766" s="37"/>
      <c r="H766" s="1"/>
      <c r="I766" s="1"/>
    </row>
    <row r="767" ht="15.75" customHeight="1">
      <c r="A767" s="36"/>
      <c r="B767" s="36"/>
      <c r="C767" s="37"/>
      <c r="D767" s="37"/>
      <c r="E767" s="37"/>
      <c r="F767" s="37"/>
      <c r="G767" s="37"/>
      <c r="H767" s="1"/>
      <c r="I767" s="1"/>
    </row>
    <row r="768" ht="15.75" customHeight="1">
      <c r="A768" s="36"/>
      <c r="B768" s="36"/>
      <c r="C768" s="37"/>
      <c r="D768" s="37"/>
      <c r="E768" s="37"/>
      <c r="F768" s="37"/>
      <c r="G768" s="37"/>
      <c r="H768" s="1"/>
      <c r="I768" s="1"/>
    </row>
    <row r="769" ht="15.75" customHeight="1">
      <c r="A769" s="36"/>
      <c r="B769" s="36"/>
      <c r="C769" s="37"/>
      <c r="D769" s="37"/>
      <c r="E769" s="37"/>
      <c r="F769" s="37"/>
      <c r="G769" s="37"/>
      <c r="H769" s="1"/>
      <c r="I769" s="1"/>
    </row>
    <row r="770" ht="15.75" customHeight="1">
      <c r="A770" s="36"/>
      <c r="B770" s="36"/>
      <c r="C770" s="37"/>
      <c r="D770" s="37"/>
      <c r="E770" s="37"/>
      <c r="F770" s="37"/>
      <c r="G770" s="37"/>
      <c r="H770" s="1"/>
      <c r="I770" s="1"/>
    </row>
    <row r="771" ht="15.75" customHeight="1">
      <c r="A771" s="36"/>
      <c r="B771" s="36"/>
      <c r="C771" s="37"/>
      <c r="D771" s="37"/>
      <c r="E771" s="37"/>
      <c r="F771" s="37"/>
      <c r="G771" s="37"/>
      <c r="H771" s="1"/>
      <c r="I771" s="1"/>
    </row>
    <row r="772" ht="15.75" customHeight="1">
      <c r="A772" s="36"/>
      <c r="B772" s="36"/>
      <c r="C772" s="37"/>
      <c r="D772" s="37"/>
      <c r="E772" s="37"/>
      <c r="F772" s="37"/>
      <c r="G772" s="37"/>
      <c r="H772" s="1"/>
      <c r="I772" s="1"/>
    </row>
    <row r="773" ht="15.75" customHeight="1">
      <c r="A773" s="36"/>
      <c r="B773" s="36"/>
      <c r="C773" s="37"/>
      <c r="D773" s="37"/>
      <c r="E773" s="37"/>
      <c r="F773" s="37"/>
      <c r="G773" s="37"/>
      <c r="H773" s="1"/>
      <c r="I773" s="1"/>
    </row>
    <row r="774" ht="15.75" customHeight="1">
      <c r="A774" s="36"/>
      <c r="B774" s="36"/>
      <c r="C774" s="37"/>
      <c r="D774" s="37"/>
      <c r="E774" s="37"/>
      <c r="F774" s="37"/>
      <c r="G774" s="37"/>
      <c r="H774" s="1"/>
      <c r="I774" s="1"/>
    </row>
    <row r="775" ht="15.75" customHeight="1">
      <c r="A775" s="36"/>
      <c r="B775" s="36"/>
      <c r="C775" s="37"/>
      <c r="D775" s="37"/>
      <c r="E775" s="37"/>
      <c r="F775" s="37"/>
      <c r="G775" s="37"/>
      <c r="H775" s="1"/>
      <c r="I775" s="1"/>
    </row>
    <row r="776" ht="15.75" customHeight="1">
      <c r="A776" s="36"/>
      <c r="B776" s="36"/>
      <c r="C776" s="37"/>
      <c r="D776" s="37"/>
      <c r="E776" s="37"/>
      <c r="F776" s="37"/>
      <c r="G776" s="37"/>
      <c r="H776" s="1"/>
      <c r="I776" s="1"/>
    </row>
    <row r="777" ht="15.75" customHeight="1">
      <c r="A777" s="36"/>
      <c r="B777" s="36"/>
      <c r="C777" s="37"/>
      <c r="D777" s="37"/>
      <c r="E777" s="37"/>
      <c r="F777" s="37"/>
      <c r="G777" s="37"/>
      <c r="H777" s="1"/>
      <c r="I777" s="1"/>
    </row>
    <row r="778" ht="15.75" customHeight="1">
      <c r="A778" s="36"/>
      <c r="B778" s="36"/>
      <c r="C778" s="37"/>
      <c r="D778" s="37"/>
      <c r="E778" s="37"/>
      <c r="F778" s="37"/>
      <c r="G778" s="37"/>
      <c r="H778" s="1"/>
      <c r="I778" s="1"/>
    </row>
    <row r="779" ht="15.75" customHeight="1">
      <c r="A779" s="36"/>
      <c r="B779" s="36"/>
      <c r="C779" s="37"/>
      <c r="D779" s="37"/>
      <c r="E779" s="37"/>
      <c r="F779" s="37"/>
      <c r="G779" s="37"/>
      <c r="H779" s="1"/>
      <c r="I779" s="1"/>
    </row>
    <row r="780" ht="15.75" customHeight="1">
      <c r="A780" s="36"/>
      <c r="B780" s="36"/>
      <c r="C780" s="37"/>
      <c r="D780" s="37"/>
      <c r="E780" s="37"/>
      <c r="F780" s="37"/>
      <c r="G780" s="37"/>
      <c r="H780" s="1"/>
      <c r="I780" s="1"/>
    </row>
    <row r="781" ht="15.75" customHeight="1">
      <c r="A781" s="36"/>
      <c r="B781" s="36"/>
      <c r="C781" s="37"/>
      <c r="D781" s="37"/>
      <c r="E781" s="37"/>
      <c r="F781" s="37"/>
      <c r="G781" s="37"/>
      <c r="H781" s="1"/>
      <c r="I781" s="1"/>
    </row>
    <row r="782" ht="15.75" customHeight="1">
      <c r="A782" s="36"/>
      <c r="B782" s="36"/>
      <c r="C782" s="37"/>
      <c r="D782" s="37"/>
      <c r="E782" s="37"/>
      <c r="F782" s="37"/>
      <c r="G782" s="37"/>
      <c r="H782" s="1"/>
      <c r="I782" s="1"/>
    </row>
    <row r="783" ht="15.75" customHeight="1">
      <c r="A783" s="36"/>
      <c r="B783" s="36"/>
      <c r="C783" s="37"/>
      <c r="D783" s="37"/>
      <c r="E783" s="37"/>
      <c r="F783" s="37"/>
      <c r="G783" s="37"/>
      <c r="H783" s="1"/>
      <c r="I783" s="1"/>
    </row>
    <row r="784" ht="15.75" customHeight="1">
      <c r="A784" s="36"/>
      <c r="B784" s="36"/>
      <c r="C784" s="37"/>
      <c r="D784" s="37"/>
      <c r="E784" s="37"/>
      <c r="F784" s="37"/>
      <c r="G784" s="37"/>
      <c r="H784" s="1"/>
      <c r="I784" s="1"/>
    </row>
    <row r="785" ht="15.75" customHeight="1">
      <c r="A785" s="36"/>
      <c r="B785" s="36"/>
      <c r="C785" s="37"/>
      <c r="D785" s="37"/>
      <c r="E785" s="37"/>
      <c r="F785" s="37"/>
      <c r="G785" s="37"/>
      <c r="H785" s="1"/>
      <c r="I785" s="1"/>
    </row>
    <row r="786" ht="15.75" customHeight="1">
      <c r="A786" s="36"/>
      <c r="B786" s="36"/>
      <c r="C786" s="37"/>
      <c r="D786" s="37"/>
      <c r="E786" s="37"/>
      <c r="F786" s="37"/>
      <c r="G786" s="37"/>
      <c r="H786" s="1"/>
      <c r="I786" s="1"/>
    </row>
    <row r="787" ht="15.75" customHeight="1">
      <c r="A787" s="36"/>
      <c r="B787" s="36"/>
      <c r="C787" s="37"/>
      <c r="D787" s="37"/>
      <c r="E787" s="37"/>
      <c r="F787" s="37"/>
      <c r="G787" s="37"/>
      <c r="H787" s="1"/>
      <c r="I787" s="1"/>
    </row>
    <row r="788" ht="15.75" customHeight="1">
      <c r="A788" s="36"/>
      <c r="B788" s="36"/>
      <c r="C788" s="37"/>
      <c r="D788" s="37"/>
      <c r="E788" s="37"/>
      <c r="F788" s="37"/>
      <c r="G788" s="37"/>
      <c r="H788" s="1"/>
      <c r="I788" s="1"/>
    </row>
    <row r="789" ht="15.75" customHeight="1">
      <c r="A789" s="36"/>
      <c r="B789" s="36"/>
      <c r="C789" s="37"/>
      <c r="D789" s="37"/>
      <c r="E789" s="37"/>
      <c r="F789" s="37"/>
      <c r="G789" s="37"/>
      <c r="H789" s="1"/>
      <c r="I789" s="1"/>
    </row>
    <row r="790" ht="15.75" customHeight="1">
      <c r="A790" s="36"/>
      <c r="B790" s="36"/>
      <c r="C790" s="37"/>
      <c r="D790" s="37"/>
      <c r="E790" s="37"/>
      <c r="F790" s="37"/>
      <c r="G790" s="37"/>
      <c r="H790" s="1"/>
      <c r="I790" s="1"/>
    </row>
    <row r="791" ht="15.75" customHeight="1">
      <c r="A791" s="36"/>
      <c r="B791" s="36"/>
      <c r="C791" s="37"/>
      <c r="D791" s="37"/>
      <c r="E791" s="37"/>
      <c r="F791" s="37"/>
      <c r="G791" s="37"/>
      <c r="H791" s="1"/>
      <c r="I791" s="1"/>
    </row>
    <row r="792" ht="15.75" customHeight="1">
      <c r="A792" s="36"/>
      <c r="B792" s="36"/>
      <c r="C792" s="37"/>
      <c r="D792" s="37"/>
      <c r="E792" s="37"/>
      <c r="F792" s="37"/>
      <c r="G792" s="37"/>
      <c r="H792" s="1"/>
      <c r="I792" s="1"/>
    </row>
    <row r="793" ht="15.75" customHeight="1">
      <c r="A793" s="36"/>
      <c r="B793" s="36"/>
      <c r="C793" s="37"/>
      <c r="D793" s="37"/>
      <c r="E793" s="37"/>
      <c r="F793" s="37"/>
      <c r="G793" s="37"/>
      <c r="H793" s="1"/>
      <c r="I793" s="1"/>
    </row>
    <row r="794" ht="15.75" customHeight="1">
      <c r="A794" s="36"/>
      <c r="B794" s="36"/>
      <c r="C794" s="37"/>
      <c r="D794" s="37"/>
      <c r="E794" s="37"/>
      <c r="F794" s="37"/>
      <c r="G794" s="37"/>
      <c r="H794" s="1"/>
      <c r="I794" s="1"/>
    </row>
    <row r="795" ht="15.75" customHeight="1">
      <c r="A795" s="36"/>
      <c r="B795" s="36"/>
      <c r="C795" s="37"/>
      <c r="D795" s="37"/>
      <c r="E795" s="37"/>
      <c r="F795" s="37"/>
      <c r="G795" s="37"/>
      <c r="H795" s="1"/>
      <c r="I795" s="1"/>
    </row>
    <row r="796" ht="15.75" customHeight="1">
      <c r="A796" s="36"/>
      <c r="B796" s="36"/>
      <c r="C796" s="37"/>
      <c r="D796" s="37"/>
      <c r="E796" s="37"/>
      <c r="F796" s="37"/>
      <c r="G796" s="37"/>
      <c r="H796" s="1"/>
      <c r="I796" s="1"/>
    </row>
    <row r="797" ht="15.75" customHeight="1">
      <c r="A797" s="36"/>
      <c r="B797" s="36"/>
      <c r="C797" s="37"/>
      <c r="D797" s="37"/>
      <c r="E797" s="37"/>
      <c r="F797" s="37"/>
      <c r="G797" s="37"/>
      <c r="H797" s="1"/>
      <c r="I797" s="1"/>
    </row>
    <row r="798" ht="15.75" customHeight="1">
      <c r="A798" s="36"/>
      <c r="B798" s="36"/>
      <c r="C798" s="37"/>
      <c r="D798" s="37"/>
      <c r="E798" s="37"/>
      <c r="F798" s="37"/>
      <c r="G798" s="37"/>
      <c r="H798" s="1"/>
      <c r="I798" s="1"/>
    </row>
    <row r="799" ht="15.75" customHeight="1">
      <c r="A799" s="36"/>
      <c r="B799" s="36"/>
      <c r="C799" s="37"/>
      <c r="D799" s="37"/>
      <c r="E799" s="37"/>
      <c r="F799" s="37"/>
      <c r="G799" s="37"/>
      <c r="H799" s="1"/>
      <c r="I799" s="1"/>
    </row>
    <row r="800" ht="15.75" customHeight="1">
      <c r="A800" s="36"/>
      <c r="B800" s="36"/>
      <c r="C800" s="37"/>
      <c r="D800" s="37"/>
      <c r="E800" s="37"/>
      <c r="F800" s="37"/>
      <c r="G800" s="37"/>
      <c r="H800" s="1"/>
      <c r="I800" s="1"/>
    </row>
    <row r="801" ht="15.75" customHeight="1">
      <c r="A801" s="36"/>
      <c r="B801" s="36"/>
      <c r="C801" s="37"/>
      <c r="D801" s="37"/>
      <c r="E801" s="37"/>
      <c r="F801" s="37"/>
      <c r="G801" s="37"/>
      <c r="H801" s="1"/>
      <c r="I801" s="1"/>
    </row>
    <row r="802" ht="15.75" customHeight="1">
      <c r="A802" s="36"/>
      <c r="B802" s="36"/>
      <c r="C802" s="37"/>
      <c r="D802" s="37"/>
      <c r="E802" s="37"/>
      <c r="F802" s="37"/>
      <c r="G802" s="37"/>
      <c r="H802" s="1"/>
      <c r="I802" s="1"/>
    </row>
    <row r="803" ht="15.75" customHeight="1">
      <c r="A803" s="36"/>
      <c r="B803" s="36"/>
      <c r="C803" s="37"/>
      <c r="D803" s="37"/>
      <c r="E803" s="37"/>
      <c r="F803" s="37"/>
      <c r="G803" s="37"/>
      <c r="H803" s="1"/>
      <c r="I803" s="1"/>
    </row>
    <row r="804" ht="15.75" customHeight="1">
      <c r="A804" s="36"/>
      <c r="B804" s="36"/>
      <c r="C804" s="37"/>
      <c r="D804" s="37"/>
      <c r="E804" s="37"/>
      <c r="F804" s="37"/>
      <c r="G804" s="37"/>
      <c r="H804" s="1"/>
      <c r="I804" s="1"/>
    </row>
    <row r="805" ht="15.75" customHeight="1">
      <c r="A805" s="36"/>
      <c r="B805" s="36"/>
      <c r="C805" s="37"/>
      <c r="D805" s="37"/>
      <c r="E805" s="37"/>
      <c r="F805" s="37"/>
      <c r="G805" s="37"/>
      <c r="H805" s="1"/>
      <c r="I805" s="1"/>
    </row>
    <row r="806" ht="15.75" customHeight="1">
      <c r="A806" s="36"/>
      <c r="B806" s="36"/>
      <c r="C806" s="37"/>
      <c r="D806" s="37"/>
      <c r="E806" s="37"/>
      <c r="F806" s="37"/>
      <c r="G806" s="37"/>
      <c r="H806" s="1"/>
      <c r="I806" s="1"/>
    </row>
    <row r="807" ht="15.75" customHeight="1">
      <c r="A807" s="36"/>
      <c r="B807" s="36"/>
      <c r="C807" s="37"/>
      <c r="D807" s="37"/>
      <c r="E807" s="37"/>
      <c r="F807" s="37"/>
      <c r="G807" s="37"/>
      <c r="H807" s="1"/>
      <c r="I807" s="1"/>
    </row>
    <row r="808" ht="15.75" customHeight="1">
      <c r="A808" s="36"/>
      <c r="B808" s="36"/>
      <c r="C808" s="37"/>
      <c r="D808" s="37"/>
      <c r="E808" s="37"/>
      <c r="F808" s="37"/>
      <c r="G808" s="37"/>
      <c r="H808" s="1"/>
      <c r="I808" s="1"/>
    </row>
    <row r="809" ht="15.75" customHeight="1">
      <c r="A809" s="36"/>
      <c r="B809" s="36"/>
      <c r="C809" s="37"/>
      <c r="D809" s="37"/>
      <c r="E809" s="37"/>
      <c r="F809" s="37"/>
      <c r="G809" s="37"/>
      <c r="H809" s="1"/>
      <c r="I809" s="1"/>
    </row>
    <row r="810" ht="15.75" customHeight="1">
      <c r="A810" s="36"/>
      <c r="B810" s="36"/>
      <c r="C810" s="37"/>
      <c r="D810" s="37"/>
      <c r="E810" s="37"/>
      <c r="F810" s="37"/>
      <c r="G810" s="37"/>
      <c r="H810" s="1"/>
      <c r="I810" s="1"/>
    </row>
    <row r="811" ht="15.75" customHeight="1">
      <c r="A811" s="36"/>
      <c r="B811" s="36"/>
      <c r="C811" s="37"/>
      <c r="D811" s="37"/>
      <c r="E811" s="37"/>
      <c r="F811" s="37"/>
      <c r="G811" s="37"/>
      <c r="H811" s="1"/>
      <c r="I811" s="1"/>
    </row>
    <row r="812" ht="15.75" customHeight="1">
      <c r="A812" s="36"/>
      <c r="B812" s="36"/>
      <c r="C812" s="37"/>
      <c r="D812" s="37"/>
      <c r="E812" s="37"/>
      <c r="F812" s="37"/>
      <c r="G812" s="37"/>
      <c r="H812" s="1"/>
      <c r="I812" s="1"/>
    </row>
    <row r="813" ht="15.75" customHeight="1">
      <c r="A813" s="36"/>
      <c r="B813" s="36"/>
      <c r="C813" s="37"/>
      <c r="D813" s="37"/>
      <c r="E813" s="37"/>
      <c r="F813" s="37"/>
      <c r="G813" s="37"/>
      <c r="H813" s="1"/>
      <c r="I813" s="1"/>
    </row>
    <row r="814" ht="15.75" customHeight="1">
      <c r="A814" s="36"/>
      <c r="B814" s="36"/>
      <c r="C814" s="37"/>
      <c r="D814" s="37"/>
      <c r="E814" s="37"/>
      <c r="F814" s="37"/>
      <c r="G814" s="37"/>
      <c r="H814" s="1"/>
      <c r="I814" s="1"/>
    </row>
    <row r="815" ht="15.75" customHeight="1">
      <c r="A815" s="36"/>
      <c r="B815" s="36"/>
      <c r="C815" s="37"/>
      <c r="D815" s="37"/>
      <c r="E815" s="37"/>
      <c r="F815" s="37"/>
      <c r="G815" s="37"/>
      <c r="H815" s="1"/>
      <c r="I815" s="1"/>
    </row>
    <row r="816" ht="15.75" customHeight="1">
      <c r="A816" s="36"/>
      <c r="B816" s="36"/>
      <c r="C816" s="37"/>
      <c r="D816" s="37"/>
      <c r="E816" s="37"/>
      <c r="F816" s="37"/>
      <c r="G816" s="37"/>
      <c r="H816" s="1"/>
      <c r="I816" s="1"/>
    </row>
    <row r="817" ht="15.75" customHeight="1">
      <c r="A817" s="36"/>
      <c r="B817" s="36"/>
      <c r="C817" s="37"/>
      <c r="D817" s="37"/>
      <c r="E817" s="37"/>
      <c r="F817" s="37"/>
      <c r="G817" s="37"/>
      <c r="H817" s="1"/>
      <c r="I817" s="1"/>
    </row>
    <row r="818" ht="15.75" customHeight="1">
      <c r="A818" s="36"/>
      <c r="B818" s="36"/>
      <c r="C818" s="37"/>
      <c r="D818" s="37"/>
      <c r="E818" s="37"/>
      <c r="F818" s="37"/>
      <c r="G818" s="37"/>
      <c r="H818" s="1"/>
      <c r="I818" s="1"/>
    </row>
    <row r="819" ht="15.75" customHeight="1">
      <c r="A819" s="36"/>
      <c r="B819" s="36"/>
      <c r="C819" s="37"/>
      <c r="D819" s="37"/>
      <c r="E819" s="37"/>
      <c r="F819" s="37"/>
      <c r="G819" s="37"/>
      <c r="H819" s="1"/>
      <c r="I819" s="1"/>
    </row>
    <row r="820" ht="15.75" customHeight="1">
      <c r="A820" s="36"/>
      <c r="B820" s="36"/>
      <c r="C820" s="37"/>
      <c r="D820" s="37"/>
      <c r="E820" s="37"/>
      <c r="F820" s="37"/>
      <c r="G820" s="37"/>
      <c r="H820" s="1"/>
      <c r="I820" s="1"/>
    </row>
    <row r="821" ht="15.75" customHeight="1">
      <c r="A821" s="36"/>
      <c r="B821" s="36"/>
      <c r="C821" s="37"/>
      <c r="D821" s="37"/>
      <c r="E821" s="37"/>
      <c r="F821" s="37"/>
      <c r="G821" s="37"/>
      <c r="H821" s="1"/>
      <c r="I821" s="1"/>
    </row>
    <row r="822" ht="15.75" customHeight="1">
      <c r="A822" s="36"/>
      <c r="B822" s="36"/>
      <c r="C822" s="37"/>
      <c r="D822" s="37"/>
      <c r="E822" s="37"/>
      <c r="F822" s="37"/>
      <c r="G822" s="37"/>
      <c r="H822" s="1"/>
      <c r="I822" s="1"/>
    </row>
    <row r="823" ht="15.75" customHeight="1">
      <c r="A823" s="36"/>
      <c r="B823" s="36"/>
      <c r="C823" s="37"/>
      <c r="D823" s="37"/>
      <c r="E823" s="37"/>
      <c r="F823" s="37"/>
      <c r="G823" s="37"/>
      <c r="H823" s="1"/>
      <c r="I823" s="1"/>
    </row>
    <row r="824" ht="15.75" customHeight="1">
      <c r="A824" s="36"/>
      <c r="B824" s="36"/>
      <c r="C824" s="37"/>
      <c r="D824" s="37"/>
      <c r="E824" s="37"/>
      <c r="F824" s="37"/>
      <c r="G824" s="37"/>
      <c r="H824" s="1"/>
      <c r="I824" s="1"/>
    </row>
    <row r="825" ht="15.75" customHeight="1">
      <c r="A825" s="36"/>
      <c r="B825" s="36"/>
      <c r="C825" s="37"/>
      <c r="D825" s="37"/>
      <c r="E825" s="37"/>
      <c r="F825" s="37"/>
      <c r="G825" s="37"/>
      <c r="H825" s="1"/>
      <c r="I825" s="1"/>
    </row>
    <row r="826" ht="15.75" customHeight="1">
      <c r="A826" s="36"/>
      <c r="B826" s="36"/>
      <c r="C826" s="37"/>
      <c r="D826" s="37"/>
      <c r="E826" s="37"/>
      <c r="F826" s="37"/>
      <c r="G826" s="37"/>
      <c r="H826" s="1"/>
      <c r="I826" s="1"/>
    </row>
    <row r="827" ht="15.75" customHeight="1">
      <c r="A827" s="36"/>
      <c r="B827" s="36"/>
      <c r="C827" s="37"/>
      <c r="D827" s="37"/>
      <c r="E827" s="37"/>
      <c r="F827" s="37"/>
      <c r="G827" s="37"/>
      <c r="H827" s="1"/>
      <c r="I827" s="1"/>
    </row>
    <row r="828" ht="15.75" customHeight="1">
      <c r="A828" s="36"/>
      <c r="B828" s="36"/>
      <c r="C828" s="37"/>
      <c r="D828" s="37"/>
      <c r="E828" s="37"/>
      <c r="F828" s="37"/>
      <c r="G828" s="37"/>
      <c r="H828" s="1"/>
      <c r="I828" s="1"/>
    </row>
    <row r="829" ht="15.75" customHeight="1">
      <c r="A829" s="36"/>
      <c r="B829" s="36"/>
      <c r="C829" s="37"/>
      <c r="D829" s="37"/>
      <c r="E829" s="37"/>
      <c r="F829" s="37"/>
      <c r="G829" s="37"/>
      <c r="H829" s="1"/>
      <c r="I829" s="1"/>
    </row>
    <row r="830" ht="15.75" customHeight="1">
      <c r="A830" s="36"/>
      <c r="B830" s="36"/>
      <c r="C830" s="37"/>
      <c r="D830" s="37"/>
      <c r="E830" s="37"/>
      <c r="F830" s="37"/>
      <c r="G830" s="37"/>
      <c r="H830" s="1"/>
      <c r="I830" s="1"/>
    </row>
    <row r="831" ht="15.75" customHeight="1">
      <c r="A831" s="36"/>
      <c r="B831" s="36"/>
      <c r="C831" s="37"/>
      <c r="D831" s="37"/>
      <c r="E831" s="37"/>
      <c r="F831" s="37"/>
      <c r="G831" s="37"/>
      <c r="H831" s="1"/>
      <c r="I831" s="1"/>
    </row>
    <row r="832" ht="15.75" customHeight="1">
      <c r="A832" s="36"/>
      <c r="B832" s="36"/>
      <c r="C832" s="37"/>
      <c r="D832" s="37"/>
      <c r="E832" s="37"/>
      <c r="F832" s="37"/>
      <c r="G832" s="37"/>
      <c r="H832" s="1"/>
      <c r="I832" s="1"/>
    </row>
    <row r="833" ht="15.75" customHeight="1">
      <c r="A833" s="36"/>
      <c r="B833" s="36"/>
      <c r="C833" s="37"/>
      <c r="D833" s="37"/>
      <c r="E833" s="37"/>
      <c r="F833" s="37"/>
      <c r="G833" s="37"/>
      <c r="H833" s="1"/>
      <c r="I833" s="1"/>
    </row>
    <row r="834" ht="15.75" customHeight="1">
      <c r="A834" s="36"/>
      <c r="B834" s="36"/>
      <c r="C834" s="37"/>
      <c r="D834" s="37"/>
      <c r="E834" s="37"/>
      <c r="F834" s="37"/>
      <c r="G834" s="37"/>
      <c r="H834" s="1"/>
      <c r="I834" s="1"/>
    </row>
    <row r="835" ht="15.75" customHeight="1">
      <c r="A835" s="36"/>
      <c r="B835" s="36"/>
      <c r="C835" s="37"/>
      <c r="D835" s="37"/>
      <c r="E835" s="37"/>
      <c r="F835" s="37"/>
      <c r="G835" s="37"/>
      <c r="H835" s="1"/>
      <c r="I835" s="1"/>
    </row>
    <row r="836" ht="15.75" customHeight="1">
      <c r="A836" s="36"/>
      <c r="B836" s="36"/>
      <c r="C836" s="37"/>
      <c r="D836" s="37"/>
      <c r="E836" s="37"/>
      <c r="F836" s="37"/>
      <c r="G836" s="37"/>
      <c r="H836" s="1"/>
      <c r="I836" s="1"/>
    </row>
    <row r="837" ht="15.75" customHeight="1">
      <c r="A837" s="36"/>
      <c r="B837" s="36"/>
      <c r="C837" s="37"/>
      <c r="D837" s="37"/>
      <c r="E837" s="37"/>
      <c r="F837" s="37"/>
      <c r="G837" s="37"/>
      <c r="H837" s="1"/>
      <c r="I837" s="1"/>
    </row>
    <row r="838" ht="15.75" customHeight="1">
      <c r="A838" s="36"/>
      <c r="B838" s="36"/>
      <c r="C838" s="37"/>
      <c r="D838" s="37"/>
      <c r="E838" s="37"/>
      <c r="F838" s="37"/>
      <c r="G838" s="37"/>
      <c r="H838" s="1"/>
      <c r="I838" s="1"/>
    </row>
    <row r="839" ht="15.75" customHeight="1">
      <c r="A839" s="36"/>
      <c r="B839" s="36"/>
      <c r="C839" s="37"/>
      <c r="D839" s="37"/>
      <c r="E839" s="37"/>
      <c r="F839" s="37"/>
      <c r="G839" s="37"/>
      <c r="H839" s="1"/>
      <c r="I839" s="1"/>
    </row>
    <row r="840" ht="15.75" customHeight="1">
      <c r="A840" s="36"/>
      <c r="B840" s="36"/>
      <c r="C840" s="37"/>
      <c r="D840" s="37"/>
      <c r="E840" s="37"/>
      <c r="F840" s="37"/>
      <c r="G840" s="37"/>
      <c r="H840" s="1"/>
      <c r="I840" s="1"/>
    </row>
    <row r="841" ht="15.75" customHeight="1">
      <c r="A841" s="36"/>
      <c r="B841" s="36"/>
      <c r="C841" s="37"/>
      <c r="D841" s="37"/>
      <c r="E841" s="37"/>
      <c r="F841" s="37"/>
      <c r="G841" s="37"/>
      <c r="H841" s="1"/>
      <c r="I841" s="1"/>
    </row>
    <row r="842" ht="15.75" customHeight="1">
      <c r="A842" s="36"/>
      <c r="B842" s="36"/>
      <c r="C842" s="37"/>
      <c r="D842" s="37"/>
      <c r="E842" s="37"/>
      <c r="F842" s="37"/>
      <c r="G842" s="37"/>
      <c r="H842" s="1"/>
      <c r="I842" s="1"/>
    </row>
    <row r="843" ht="15.75" customHeight="1">
      <c r="A843" s="36"/>
      <c r="B843" s="36"/>
      <c r="C843" s="37"/>
      <c r="D843" s="37"/>
      <c r="E843" s="37"/>
      <c r="F843" s="37"/>
      <c r="G843" s="37"/>
      <c r="H843" s="1"/>
      <c r="I843" s="1"/>
    </row>
    <row r="844" ht="15.75" customHeight="1">
      <c r="A844" s="36"/>
      <c r="B844" s="36"/>
      <c r="C844" s="37"/>
      <c r="D844" s="37"/>
      <c r="E844" s="37"/>
      <c r="F844" s="37"/>
      <c r="G844" s="37"/>
      <c r="H844" s="1"/>
      <c r="I844" s="1"/>
    </row>
    <row r="845" ht="15.75" customHeight="1">
      <c r="A845" s="36"/>
      <c r="B845" s="36"/>
      <c r="C845" s="37"/>
      <c r="D845" s="37"/>
      <c r="E845" s="37"/>
      <c r="F845" s="37"/>
      <c r="G845" s="37"/>
      <c r="H845" s="1"/>
      <c r="I845" s="1"/>
    </row>
    <row r="846" ht="15.75" customHeight="1">
      <c r="A846" s="36"/>
      <c r="B846" s="36"/>
      <c r="C846" s="37"/>
      <c r="D846" s="37"/>
      <c r="E846" s="37"/>
      <c r="F846" s="37"/>
      <c r="G846" s="37"/>
      <c r="H846" s="1"/>
      <c r="I846" s="1"/>
    </row>
    <row r="847" ht="15.75" customHeight="1">
      <c r="A847" s="36"/>
      <c r="B847" s="36"/>
      <c r="C847" s="37"/>
      <c r="D847" s="37"/>
      <c r="E847" s="37"/>
      <c r="F847" s="37"/>
      <c r="G847" s="37"/>
      <c r="H847" s="1"/>
      <c r="I847" s="1"/>
    </row>
    <row r="848" ht="15.75" customHeight="1">
      <c r="A848" s="36"/>
      <c r="B848" s="36"/>
      <c r="C848" s="37"/>
      <c r="D848" s="37"/>
      <c r="E848" s="37"/>
      <c r="F848" s="37"/>
      <c r="G848" s="37"/>
      <c r="H848" s="1"/>
      <c r="I848" s="1"/>
    </row>
    <row r="849" ht="15.75" customHeight="1">
      <c r="A849" s="36"/>
      <c r="B849" s="36"/>
      <c r="C849" s="37"/>
      <c r="D849" s="37"/>
      <c r="E849" s="37"/>
      <c r="F849" s="37"/>
      <c r="G849" s="37"/>
      <c r="H849" s="1"/>
      <c r="I849" s="1"/>
    </row>
    <row r="850" ht="15.75" customHeight="1">
      <c r="A850" s="36"/>
      <c r="B850" s="36"/>
      <c r="C850" s="37"/>
      <c r="D850" s="37"/>
      <c r="E850" s="37"/>
      <c r="F850" s="37"/>
      <c r="G850" s="37"/>
      <c r="H850" s="1"/>
      <c r="I850" s="1"/>
    </row>
    <row r="851" ht="15.75" customHeight="1">
      <c r="A851" s="36"/>
      <c r="B851" s="36"/>
      <c r="C851" s="37"/>
      <c r="D851" s="37"/>
      <c r="E851" s="37"/>
      <c r="F851" s="37"/>
      <c r="G851" s="37"/>
      <c r="H851" s="1"/>
      <c r="I851" s="1"/>
    </row>
    <row r="852" ht="15.75" customHeight="1">
      <c r="A852" s="36"/>
      <c r="B852" s="36"/>
      <c r="C852" s="37"/>
      <c r="D852" s="37"/>
      <c r="E852" s="37"/>
      <c r="F852" s="37"/>
      <c r="G852" s="37"/>
      <c r="H852" s="1"/>
      <c r="I852" s="1"/>
    </row>
    <row r="853" ht="15.75" customHeight="1">
      <c r="A853" s="36"/>
      <c r="B853" s="36"/>
      <c r="C853" s="37"/>
      <c r="D853" s="37"/>
      <c r="E853" s="37"/>
      <c r="F853" s="37"/>
      <c r="G853" s="37"/>
      <c r="H853" s="1"/>
      <c r="I853" s="1"/>
    </row>
    <row r="854" ht="15.75" customHeight="1">
      <c r="A854" s="36"/>
      <c r="B854" s="36"/>
      <c r="C854" s="37"/>
      <c r="D854" s="37"/>
      <c r="E854" s="37"/>
      <c r="F854" s="37"/>
      <c r="G854" s="37"/>
      <c r="H854" s="1"/>
      <c r="I854" s="1"/>
    </row>
    <row r="855" ht="15.75" customHeight="1">
      <c r="A855" s="36"/>
      <c r="B855" s="36"/>
      <c r="C855" s="37"/>
      <c r="D855" s="37"/>
      <c r="E855" s="37"/>
      <c r="F855" s="37"/>
      <c r="G855" s="37"/>
      <c r="H855" s="1"/>
      <c r="I855" s="1"/>
    </row>
    <row r="856" ht="15.75" customHeight="1">
      <c r="A856" s="36"/>
      <c r="B856" s="36"/>
      <c r="C856" s="37"/>
      <c r="D856" s="37"/>
      <c r="E856" s="37"/>
      <c r="F856" s="37"/>
      <c r="G856" s="37"/>
      <c r="H856" s="1"/>
      <c r="I856" s="1"/>
    </row>
    <row r="857" ht="15.75" customHeight="1">
      <c r="A857" s="36"/>
      <c r="B857" s="36"/>
      <c r="C857" s="37"/>
      <c r="D857" s="37"/>
      <c r="E857" s="37"/>
      <c r="F857" s="37"/>
      <c r="G857" s="37"/>
      <c r="H857" s="1"/>
      <c r="I857" s="1"/>
    </row>
    <row r="858" ht="15.75" customHeight="1">
      <c r="A858" s="36"/>
      <c r="B858" s="36"/>
      <c r="C858" s="37"/>
      <c r="D858" s="37"/>
      <c r="E858" s="37"/>
      <c r="F858" s="37"/>
      <c r="G858" s="37"/>
      <c r="H858" s="1"/>
      <c r="I858" s="1"/>
    </row>
    <row r="859" ht="15.75" customHeight="1">
      <c r="A859" s="36"/>
      <c r="B859" s="36"/>
      <c r="C859" s="37"/>
      <c r="D859" s="37"/>
      <c r="E859" s="37"/>
      <c r="F859" s="37"/>
      <c r="G859" s="37"/>
      <c r="H859" s="1"/>
      <c r="I859" s="1"/>
    </row>
    <row r="860" ht="15.75" customHeight="1">
      <c r="A860" s="36"/>
      <c r="B860" s="36"/>
      <c r="C860" s="37"/>
      <c r="D860" s="37"/>
      <c r="E860" s="37"/>
      <c r="F860" s="37"/>
      <c r="G860" s="37"/>
      <c r="H860" s="1"/>
      <c r="I860" s="1"/>
    </row>
    <row r="861" ht="15.75" customHeight="1">
      <c r="A861" s="36"/>
      <c r="B861" s="36"/>
      <c r="C861" s="37"/>
      <c r="D861" s="37"/>
      <c r="E861" s="37"/>
      <c r="F861" s="37"/>
      <c r="G861" s="37"/>
      <c r="H861" s="1"/>
      <c r="I861" s="1"/>
    </row>
    <row r="862" ht="15.75" customHeight="1">
      <c r="A862" s="36"/>
      <c r="B862" s="36"/>
      <c r="C862" s="37"/>
      <c r="D862" s="37"/>
      <c r="E862" s="37"/>
      <c r="F862" s="37"/>
      <c r="G862" s="37"/>
      <c r="H862" s="1"/>
      <c r="I862" s="1"/>
    </row>
    <row r="863" ht="15.75" customHeight="1">
      <c r="A863" s="36"/>
      <c r="B863" s="36"/>
      <c r="C863" s="37"/>
      <c r="D863" s="37"/>
      <c r="E863" s="37"/>
      <c r="F863" s="37"/>
      <c r="G863" s="37"/>
      <c r="H863" s="1"/>
      <c r="I863" s="1"/>
    </row>
    <row r="864" ht="15.75" customHeight="1">
      <c r="A864" s="36"/>
      <c r="B864" s="36"/>
      <c r="C864" s="37"/>
      <c r="D864" s="37"/>
      <c r="E864" s="37"/>
      <c r="F864" s="37"/>
      <c r="G864" s="37"/>
      <c r="H864" s="1"/>
      <c r="I864" s="1"/>
    </row>
    <row r="865" ht="15.75" customHeight="1">
      <c r="A865" s="36"/>
      <c r="B865" s="36"/>
      <c r="C865" s="37"/>
      <c r="D865" s="37"/>
      <c r="E865" s="37"/>
      <c r="F865" s="37"/>
      <c r="G865" s="37"/>
      <c r="H865" s="1"/>
      <c r="I865" s="1"/>
    </row>
    <row r="866" ht="15.75" customHeight="1">
      <c r="A866" s="36"/>
      <c r="B866" s="36"/>
      <c r="C866" s="37"/>
      <c r="D866" s="37"/>
      <c r="E866" s="37"/>
      <c r="F866" s="37"/>
      <c r="G866" s="37"/>
      <c r="H866" s="1"/>
      <c r="I866" s="1"/>
    </row>
    <row r="867" ht="15.75" customHeight="1">
      <c r="A867" s="36"/>
      <c r="B867" s="36"/>
      <c r="C867" s="37"/>
      <c r="D867" s="37"/>
      <c r="E867" s="37"/>
      <c r="F867" s="37"/>
      <c r="G867" s="37"/>
      <c r="H867" s="1"/>
      <c r="I867" s="1"/>
    </row>
    <row r="868" ht="15.75" customHeight="1">
      <c r="A868" s="36"/>
      <c r="B868" s="36"/>
      <c r="C868" s="37"/>
      <c r="D868" s="37"/>
      <c r="E868" s="37"/>
      <c r="F868" s="37"/>
      <c r="G868" s="37"/>
      <c r="H868" s="1"/>
      <c r="I868" s="1"/>
    </row>
    <row r="869" ht="15.75" customHeight="1">
      <c r="A869" s="36"/>
      <c r="B869" s="36"/>
      <c r="C869" s="37"/>
      <c r="D869" s="37"/>
      <c r="E869" s="37"/>
      <c r="F869" s="37"/>
      <c r="G869" s="37"/>
      <c r="H869" s="1"/>
      <c r="I869" s="1"/>
    </row>
    <row r="870" ht="15.75" customHeight="1">
      <c r="A870" s="36"/>
      <c r="B870" s="36"/>
      <c r="C870" s="37"/>
      <c r="D870" s="37"/>
      <c r="E870" s="37"/>
      <c r="F870" s="37"/>
      <c r="G870" s="37"/>
      <c r="H870" s="1"/>
      <c r="I870" s="1"/>
    </row>
    <row r="871" ht="15.75" customHeight="1">
      <c r="A871" s="36"/>
      <c r="B871" s="36"/>
      <c r="C871" s="37"/>
      <c r="D871" s="37"/>
      <c r="E871" s="37"/>
      <c r="F871" s="37"/>
      <c r="G871" s="37"/>
      <c r="H871" s="1"/>
      <c r="I871" s="1"/>
    </row>
    <row r="872" ht="15.75" customHeight="1">
      <c r="A872" s="36"/>
      <c r="B872" s="36"/>
      <c r="C872" s="37"/>
      <c r="D872" s="37"/>
      <c r="E872" s="37"/>
      <c r="F872" s="37"/>
      <c r="G872" s="37"/>
      <c r="H872" s="1"/>
      <c r="I872" s="1"/>
    </row>
    <row r="873" ht="15.75" customHeight="1">
      <c r="A873" s="36"/>
      <c r="B873" s="36"/>
      <c r="C873" s="37"/>
      <c r="D873" s="37"/>
      <c r="E873" s="37"/>
      <c r="F873" s="37"/>
      <c r="G873" s="37"/>
      <c r="H873" s="1"/>
      <c r="I873" s="1"/>
    </row>
    <row r="874" ht="15.75" customHeight="1">
      <c r="A874" s="36"/>
      <c r="B874" s="36"/>
      <c r="C874" s="37"/>
      <c r="D874" s="37"/>
      <c r="E874" s="37"/>
      <c r="F874" s="37"/>
      <c r="G874" s="37"/>
      <c r="H874" s="1"/>
      <c r="I874" s="1"/>
    </row>
    <row r="875" ht="15.75" customHeight="1">
      <c r="A875" s="36"/>
      <c r="B875" s="36"/>
      <c r="C875" s="37"/>
      <c r="D875" s="37"/>
      <c r="E875" s="37"/>
      <c r="F875" s="37"/>
      <c r="G875" s="37"/>
      <c r="H875" s="1"/>
      <c r="I875" s="1"/>
    </row>
    <row r="876" ht="15.75" customHeight="1">
      <c r="A876" s="36"/>
      <c r="B876" s="36"/>
      <c r="C876" s="37"/>
      <c r="D876" s="37"/>
      <c r="E876" s="37"/>
      <c r="F876" s="37"/>
      <c r="G876" s="37"/>
      <c r="H876" s="1"/>
      <c r="I876" s="1"/>
    </row>
    <row r="877" ht="15.75" customHeight="1">
      <c r="A877" s="36"/>
      <c r="B877" s="36"/>
      <c r="C877" s="37"/>
      <c r="D877" s="37"/>
      <c r="E877" s="37"/>
      <c r="F877" s="37"/>
      <c r="G877" s="37"/>
      <c r="H877" s="1"/>
      <c r="I877" s="1"/>
    </row>
    <row r="878" ht="15.75" customHeight="1">
      <c r="A878" s="36"/>
      <c r="B878" s="36"/>
      <c r="C878" s="37"/>
      <c r="D878" s="37"/>
      <c r="E878" s="37"/>
      <c r="F878" s="37"/>
      <c r="G878" s="37"/>
      <c r="H878" s="1"/>
      <c r="I878" s="1"/>
    </row>
    <row r="879" ht="15.75" customHeight="1">
      <c r="A879" s="36"/>
      <c r="B879" s="36"/>
      <c r="C879" s="37"/>
      <c r="D879" s="37"/>
      <c r="E879" s="37"/>
      <c r="F879" s="37"/>
      <c r="G879" s="37"/>
      <c r="H879" s="1"/>
      <c r="I879" s="1"/>
    </row>
    <row r="880" ht="15.75" customHeight="1">
      <c r="A880" s="36"/>
      <c r="B880" s="36"/>
      <c r="C880" s="37"/>
      <c r="D880" s="37"/>
      <c r="E880" s="37"/>
      <c r="F880" s="37"/>
      <c r="G880" s="37"/>
      <c r="H880" s="1"/>
      <c r="I880" s="1"/>
    </row>
    <row r="881" ht="15.75" customHeight="1">
      <c r="A881" s="36"/>
      <c r="B881" s="36"/>
      <c r="C881" s="37"/>
      <c r="D881" s="37"/>
      <c r="E881" s="37"/>
      <c r="F881" s="37"/>
      <c r="G881" s="37"/>
      <c r="H881" s="1"/>
      <c r="I881" s="1"/>
    </row>
    <row r="882" ht="15.75" customHeight="1">
      <c r="A882" s="36"/>
      <c r="B882" s="36"/>
      <c r="C882" s="37"/>
      <c r="D882" s="37"/>
      <c r="E882" s="37"/>
      <c r="F882" s="37"/>
      <c r="G882" s="37"/>
      <c r="H882" s="1"/>
      <c r="I882" s="1"/>
    </row>
    <row r="883" ht="15.75" customHeight="1">
      <c r="A883" s="36"/>
      <c r="B883" s="36"/>
      <c r="C883" s="37"/>
      <c r="D883" s="37"/>
      <c r="E883" s="37"/>
      <c r="F883" s="37"/>
      <c r="G883" s="37"/>
      <c r="H883" s="1"/>
      <c r="I883" s="1"/>
    </row>
    <row r="884" ht="15.75" customHeight="1">
      <c r="A884" s="36"/>
      <c r="B884" s="36"/>
      <c r="C884" s="37"/>
      <c r="D884" s="37"/>
      <c r="E884" s="37"/>
      <c r="F884" s="37"/>
      <c r="G884" s="37"/>
      <c r="H884" s="1"/>
      <c r="I884" s="1"/>
    </row>
    <row r="885" ht="15.75" customHeight="1">
      <c r="A885" s="36"/>
      <c r="B885" s="36"/>
      <c r="C885" s="37"/>
      <c r="D885" s="37"/>
      <c r="E885" s="37"/>
      <c r="F885" s="37"/>
      <c r="G885" s="37"/>
      <c r="H885" s="1"/>
      <c r="I885" s="1"/>
    </row>
    <row r="886" ht="15.75" customHeight="1">
      <c r="A886" s="36"/>
      <c r="B886" s="36"/>
      <c r="C886" s="37"/>
      <c r="D886" s="37"/>
      <c r="E886" s="37"/>
      <c r="F886" s="37"/>
      <c r="G886" s="37"/>
      <c r="H886" s="1"/>
      <c r="I886" s="1"/>
    </row>
    <row r="887" ht="15.75" customHeight="1">
      <c r="A887" s="36"/>
      <c r="B887" s="36"/>
      <c r="C887" s="37"/>
      <c r="D887" s="37"/>
      <c r="E887" s="37"/>
      <c r="F887" s="37"/>
      <c r="G887" s="37"/>
      <c r="H887" s="1"/>
      <c r="I887" s="1"/>
    </row>
    <row r="888" ht="15.75" customHeight="1">
      <c r="A888" s="36"/>
      <c r="B888" s="36"/>
      <c r="C888" s="37"/>
      <c r="D888" s="37"/>
      <c r="E888" s="37"/>
      <c r="F888" s="37"/>
      <c r="G888" s="37"/>
      <c r="H888" s="1"/>
      <c r="I888" s="1"/>
    </row>
    <row r="889" ht="15.75" customHeight="1">
      <c r="A889" s="36"/>
      <c r="B889" s="36"/>
      <c r="C889" s="37"/>
      <c r="D889" s="37"/>
      <c r="E889" s="37"/>
      <c r="F889" s="37"/>
      <c r="G889" s="37"/>
      <c r="H889" s="1"/>
      <c r="I889" s="1"/>
    </row>
    <row r="890" ht="15.75" customHeight="1">
      <c r="A890" s="36"/>
      <c r="B890" s="36"/>
      <c r="C890" s="37"/>
      <c r="D890" s="37"/>
      <c r="E890" s="37"/>
      <c r="F890" s="37"/>
      <c r="G890" s="37"/>
      <c r="H890" s="1"/>
      <c r="I890" s="1"/>
    </row>
    <row r="891" ht="15.75" customHeight="1">
      <c r="A891" s="36"/>
      <c r="B891" s="36"/>
      <c r="C891" s="37"/>
      <c r="D891" s="37"/>
      <c r="E891" s="37"/>
      <c r="F891" s="37"/>
      <c r="G891" s="37"/>
      <c r="H891" s="1"/>
      <c r="I891" s="1"/>
    </row>
    <row r="892" ht="15.75" customHeight="1">
      <c r="A892" s="36"/>
      <c r="B892" s="36"/>
      <c r="C892" s="37"/>
      <c r="D892" s="37"/>
      <c r="E892" s="37"/>
      <c r="F892" s="37"/>
      <c r="G892" s="37"/>
      <c r="H892" s="1"/>
      <c r="I892" s="1"/>
    </row>
    <row r="893" ht="15.75" customHeight="1">
      <c r="A893" s="36"/>
      <c r="B893" s="36"/>
      <c r="C893" s="37"/>
      <c r="D893" s="37"/>
      <c r="E893" s="37"/>
      <c r="F893" s="37"/>
      <c r="G893" s="37"/>
      <c r="H893" s="1"/>
      <c r="I893" s="1"/>
    </row>
    <row r="894" ht="15.75" customHeight="1">
      <c r="A894" s="36"/>
      <c r="B894" s="36"/>
      <c r="C894" s="37"/>
      <c r="D894" s="37"/>
      <c r="E894" s="37"/>
      <c r="F894" s="37"/>
      <c r="G894" s="37"/>
      <c r="H894" s="1"/>
      <c r="I894" s="1"/>
    </row>
    <row r="895" ht="15.75" customHeight="1">
      <c r="A895" s="36"/>
      <c r="B895" s="36"/>
      <c r="C895" s="37"/>
      <c r="D895" s="37"/>
      <c r="E895" s="37"/>
      <c r="F895" s="37"/>
      <c r="G895" s="37"/>
      <c r="H895" s="1"/>
      <c r="I895" s="1"/>
    </row>
    <row r="896" ht="15.75" customHeight="1">
      <c r="A896" s="36"/>
      <c r="B896" s="36"/>
      <c r="C896" s="37"/>
      <c r="D896" s="37"/>
      <c r="E896" s="37"/>
      <c r="F896" s="37"/>
      <c r="G896" s="37"/>
      <c r="H896" s="1"/>
      <c r="I896" s="1"/>
    </row>
    <row r="897" ht="15.75" customHeight="1">
      <c r="A897" s="36"/>
      <c r="B897" s="36"/>
      <c r="C897" s="37"/>
      <c r="D897" s="37"/>
      <c r="E897" s="37"/>
      <c r="F897" s="37"/>
      <c r="G897" s="37"/>
      <c r="H897" s="1"/>
      <c r="I897" s="1"/>
    </row>
    <row r="898" ht="15.75" customHeight="1">
      <c r="A898" s="36"/>
      <c r="B898" s="36"/>
      <c r="C898" s="37"/>
      <c r="D898" s="37"/>
      <c r="E898" s="37"/>
      <c r="F898" s="37"/>
      <c r="G898" s="37"/>
      <c r="H898" s="1"/>
      <c r="I898" s="1"/>
    </row>
    <row r="899" ht="15.75" customHeight="1">
      <c r="A899" s="36"/>
      <c r="B899" s="36"/>
      <c r="C899" s="37"/>
      <c r="D899" s="37"/>
      <c r="E899" s="37"/>
      <c r="F899" s="37"/>
      <c r="G899" s="37"/>
      <c r="H899" s="1"/>
      <c r="I899" s="1"/>
    </row>
    <row r="900" ht="15.75" customHeight="1">
      <c r="A900" s="36"/>
      <c r="B900" s="36"/>
      <c r="C900" s="37"/>
      <c r="D900" s="37"/>
      <c r="E900" s="37"/>
      <c r="F900" s="37"/>
      <c r="G900" s="37"/>
      <c r="H900" s="1"/>
      <c r="I900" s="1"/>
    </row>
    <row r="901" ht="15.75" customHeight="1">
      <c r="A901" s="36"/>
      <c r="B901" s="36"/>
      <c r="C901" s="37"/>
      <c r="D901" s="37"/>
      <c r="E901" s="37"/>
      <c r="F901" s="37"/>
      <c r="G901" s="37"/>
      <c r="H901" s="1"/>
      <c r="I901" s="1"/>
    </row>
    <row r="902" ht="15.75" customHeight="1">
      <c r="A902" s="36"/>
      <c r="B902" s="36"/>
      <c r="C902" s="37"/>
      <c r="D902" s="37"/>
      <c r="E902" s="37"/>
      <c r="F902" s="37"/>
      <c r="G902" s="37"/>
      <c r="H902" s="1"/>
      <c r="I902" s="1"/>
    </row>
    <row r="903" ht="15.75" customHeight="1">
      <c r="A903" s="36"/>
      <c r="B903" s="36"/>
      <c r="C903" s="37"/>
      <c r="D903" s="37"/>
      <c r="E903" s="37"/>
      <c r="F903" s="37"/>
      <c r="G903" s="37"/>
      <c r="H903" s="1"/>
      <c r="I903" s="1"/>
    </row>
    <row r="904" ht="15.75" customHeight="1">
      <c r="A904" s="36"/>
      <c r="B904" s="36"/>
      <c r="C904" s="37"/>
      <c r="D904" s="37"/>
      <c r="E904" s="37"/>
      <c r="F904" s="37"/>
      <c r="G904" s="37"/>
      <c r="H904" s="1"/>
      <c r="I904" s="1"/>
    </row>
    <row r="905" ht="15.75" customHeight="1">
      <c r="A905" s="36"/>
      <c r="B905" s="36"/>
      <c r="C905" s="37"/>
      <c r="D905" s="37"/>
      <c r="E905" s="37"/>
      <c r="F905" s="37"/>
      <c r="G905" s="37"/>
      <c r="H905" s="1"/>
      <c r="I905" s="1"/>
    </row>
    <row r="906" ht="15.75" customHeight="1">
      <c r="A906" s="36"/>
      <c r="B906" s="36"/>
      <c r="C906" s="37"/>
      <c r="D906" s="37"/>
      <c r="E906" s="37"/>
      <c r="F906" s="37"/>
      <c r="G906" s="37"/>
      <c r="H906" s="1"/>
      <c r="I906" s="1"/>
    </row>
    <row r="907" ht="15.75" customHeight="1">
      <c r="A907" s="36"/>
      <c r="B907" s="36"/>
      <c r="C907" s="37"/>
      <c r="D907" s="37"/>
      <c r="E907" s="37"/>
      <c r="F907" s="37"/>
      <c r="G907" s="37"/>
      <c r="H907" s="1"/>
      <c r="I907" s="1"/>
    </row>
    <row r="908" ht="15.75" customHeight="1">
      <c r="A908" s="36"/>
      <c r="B908" s="36"/>
      <c r="C908" s="37"/>
      <c r="D908" s="37"/>
      <c r="E908" s="37"/>
      <c r="F908" s="37"/>
      <c r="G908" s="37"/>
      <c r="H908" s="1"/>
      <c r="I908" s="1"/>
    </row>
    <row r="909" ht="15.75" customHeight="1">
      <c r="A909" s="36"/>
      <c r="B909" s="36"/>
      <c r="C909" s="37"/>
      <c r="D909" s="37"/>
      <c r="E909" s="37"/>
      <c r="F909" s="37"/>
      <c r="G909" s="37"/>
      <c r="H909" s="1"/>
      <c r="I909" s="1"/>
    </row>
    <row r="910" ht="15.75" customHeight="1">
      <c r="A910" s="36"/>
      <c r="B910" s="36"/>
      <c r="C910" s="37"/>
      <c r="D910" s="37"/>
      <c r="E910" s="37"/>
      <c r="F910" s="37"/>
      <c r="G910" s="37"/>
      <c r="H910" s="1"/>
      <c r="I910" s="1"/>
    </row>
    <row r="911" ht="15.75" customHeight="1">
      <c r="A911" s="36"/>
      <c r="B911" s="36"/>
      <c r="C911" s="37"/>
      <c r="D911" s="37"/>
      <c r="E911" s="37"/>
      <c r="F911" s="37"/>
      <c r="G911" s="37"/>
      <c r="H911" s="1"/>
      <c r="I911" s="1"/>
    </row>
    <row r="912" ht="15.75" customHeight="1">
      <c r="A912" s="36"/>
      <c r="B912" s="36"/>
      <c r="C912" s="37"/>
      <c r="D912" s="37"/>
      <c r="E912" s="37"/>
      <c r="F912" s="37"/>
      <c r="G912" s="37"/>
      <c r="H912" s="1"/>
      <c r="I912" s="1"/>
    </row>
    <row r="913" ht="15.75" customHeight="1">
      <c r="A913" s="36"/>
      <c r="B913" s="36"/>
      <c r="C913" s="37"/>
      <c r="D913" s="37"/>
      <c r="E913" s="37"/>
      <c r="F913" s="37"/>
      <c r="G913" s="37"/>
      <c r="H913" s="1"/>
      <c r="I913" s="1"/>
    </row>
    <row r="914" ht="15.75" customHeight="1">
      <c r="A914" s="36"/>
      <c r="B914" s="36"/>
      <c r="C914" s="37"/>
      <c r="D914" s="37"/>
      <c r="E914" s="37"/>
      <c r="F914" s="37"/>
      <c r="G914" s="37"/>
      <c r="H914" s="1"/>
      <c r="I914" s="1"/>
    </row>
    <row r="915" ht="15.75" customHeight="1">
      <c r="A915" s="36"/>
      <c r="B915" s="36"/>
      <c r="C915" s="37"/>
      <c r="D915" s="37"/>
      <c r="E915" s="37"/>
      <c r="F915" s="37"/>
      <c r="G915" s="37"/>
      <c r="H915" s="1"/>
      <c r="I915" s="1"/>
    </row>
    <row r="916" ht="15.75" customHeight="1">
      <c r="A916" s="36"/>
      <c r="B916" s="36"/>
      <c r="C916" s="37"/>
      <c r="D916" s="37"/>
      <c r="E916" s="37"/>
      <c r="F916" s="37"/>
      <c r="G916" s="37"/>
      <c r="H916" s="1"/>
      <c r="I916" s="1"/>
    </row>
    <row r="917" ht="15.75" customHeight="1">
      <c r="A917" s="36"/>
      <c r="B917" s="36"/>
      <c r="C917" s="37"/>
      <c r="D917" s="37"/>
      <c r="E917" s="37"/>
      <c r="F917" s="37"/>
      <c r="G917" s="37"/>
      <c r="H917" s="1"/>
      <c r="I917" s="1"/>
    </row>
    <row r="918" ht="15.75" customHeight="1">
      <c r="A918" s="36"/>
      <c r="B918" s="36"/>
      <c r="C918" s="37"/>
      <c r="D918" s="37"/>
      <c r="E918" s="37"/>
      <c r="F918" s="37"/>
      <c r="G918" s="37"/>
      <c r="H918" s="1"/>
      <c r="I918" s="1"/>
    </row>
    <row r="919" ht="15.75" customHeight="1">
      <c r="A919" s="36"/>
      <c r="B919" s="36"/>
      <c r="C919" s="37"/>
      <c r="D919" s="37"/>
      <c r="E919" s="37"/>
      <c r="F919" s="37"/>
      <c r="G919" s="37"/>
      <c r="H919" s="1"/>
      <c r="I919" s="1"/>
    </row>
    <row r="920" ht="15.75" customHeight="1">
      <c r="A920" s="36"/>
      <c r="B920" s="36"/>
      <c r="C920" s="37"/>
      <c r="D920" s="37"/>
      <c r="E920" s="37"/>
      <c r="F920" s="37"/>
      <c r="G920" s="37"/>
      <c r="H920" s="1"/>
      <c r="I920" s="1"/>
    </row>
    <row r="921" ht="15.75" customHeight="1">
      <c r="A921" s="36"/>
      <c r="B921" s="36"/>
      <c r="C921" s="37"/>
      <c r="D921" s="37"/>
      <c r="E921" s="37"/>
      <c r="F921" s="37"/>
      <c r="G921" s="37"/>
      <c r="H921" s="1"/>
      <c r="I921" s="1"/>
    </row>
    <row r="922" ht="15.75" customHeight="1">
      <c r="A922" s="36"/>
      <c r="B922" s="36"/>
      <c r="C922" s="37"/>
      <c r="D922" s="37"/>
      <c r="E922" s="37"/>
      <c r="F922" s="37"/>
      <c r="G922" s="37"/>
      <c r="H922" s="1"/>
      <c r="I922" s="1"/>
    </row>
    <row r="923" ht="15.75" customHeight="1">
      <c r="A923" s="36"/>
      <c r="B923" s="36"/>
      <c r="C923" s="37"/>
      <c r="D923" s="37"/>
      <c r="E923" s="37"/>
      <c r="F923" s="37"/>
      <c r="G923" s="37"/>
      <c r="H923" s="1"/>
      <c r="I923" s="1"/>
    </row>
    <row r="924" ht="15.75" customHeight="1">
      <c r="A924" s="36"/>
      <c r="B924" s="36"/>
      <c r="C924" s="37"/>
      <c r="D924" s="37"/>
      <c r="E924" s="37"/>
      <c r="F924" s="37"/>
      <c r="G924" s="37"/>
      <c r="H924" s="1"/>
      <c r="I924" s="1"/>
    </row>
    <row r="925" ht="15.75" customHeight="1">
      <c r="A925" s="36"/>
      <c r="B925" s="36"/>
      <c r="C925" s="37"/>
      <c r="D925" s="37"/>
      <c r="E925" s="37"/>
      <c r="F925" s="37"/>
      <c r="G925" s="37"/>
      <c r="H925" s="1"/>
      <c r="I925" s="1"/>
    </row>
    <row r="926" ht="15.75" customHeight="1">
      <c r="A926" s="36"/>
      <c r="B926" s="36"/>
      <c r="C926" s="37"/>
      <c r="D926" s="37"/>
      <c r="E926" s="37"/>
      <c r="F926" s="37"/>
      <c r="G926" s="37"/>
      <c r="H926" s="1"/>
      <c r="I926" s="1"/>
    </row>
    <row r="927" ht="15.75" customHeight="1">
      <c r="A927" s="36"/>
      <c r="B927" s="36"/>
      <c r="C927" s="37"/>
      <c r="D927" s="37"/>
      <c r="E927" s="37"/>
      <c r="F927" s="37"/>
      <c r="G927" s="37"/>
      <c r="H927" s="1"/>
      <c r="I927" s="1"/>
    </row>
    <row r="928" ht="15.75" customHeight="1">
      <c r="A928" s="36"/>
      <c r="B928" s="36"/>
      <c r="C928" s="37"/>
      <c r="D928" s="37"/>
      <c r="E928" s="37"/>
      <c r="F928" s="37"/>
      <c r="G928" s="37"/>
      <c r="H928" s="1"/>
      <c r="I928" s="1"/>
    </row>
    <row r="929" ht="15.75" customHeight="1">
      <c r="A929" s="36"/>
      <c r="B929" s="36"/>
      <c r="C929" s="37"/>
      <c r="D929" s="37"/>
      <c r="E929" s="37"/>
      <c r="F929" s="37"/>
      <c r="G929" s="37"/>
      <c r="H929" s="1"/>
      <c r="I929" s="1"/>
    </row>
    <row r="930" ht="15.75" customHeight="1">
      <c r="A930" s="36"/>
      <c r="B930" s="36"/>
      <c r="C930" s="37"/>
      <c r="D930" s="37"/>
      <c r="E930" s="37"/>
      <c r="F930" s="37"/>
      <c r="G930" s="37"/>
      <c r="H930" s="1"/>
      <c r="I930" s="1"/>
    </row>
    <row r="931" ht="15.75" customHeight="1">
      <c r="A931" s="36"/>
      <c r="B931" s="36"/>
      <c r="C931" s="37"/>
      <c r="D931" s="37"/>
      <c r="E931" s="37"/>
      <c r="F931" s="37"/>
      <c r="G931" s="37"/>
      <c r="H931" s="1"/>
      <c r="I931" s="1"/>
    </row>
    <row r="932" ht="15.75" customHeight="1">
      <c r="A932" s="36"/>
      <c r="B932" s="36"/>
      <c r="C932" s="37"/>
      <c r="D932" s="37"/>
      <c r="E932" s="37"/>
      <c r="F932" s="37"/>
      <c r="G932" s="37"/>
      <c r="H932" s="1"/>
      <c r="I932" s="1"/>
    </row>
    <row r="933" ht="15.75" customHeight="1">
      <c r="A933" s="36"/>
      <c r="B933" s="36"/>
      <c r="C933" s="37"/>
      <c r="D933" s="37"/>
      <c r="E933" s="37"/>
      <c r="F933" s="37"/>
      <c r="G933" s="37"/>
      <c r="H933" s="1"/>
      <c r="I933" s="1"/>
    </row>
    <row r="934" ht="15.75" customHeight="1">
      <c r="A934" s="36"/>
      <c r="B934" s="36"/>
      <c r="C934" s="37"/>
      <c r="D934" s="37"/>
      <c r="E934" s="37"/>
      <c r="F934" s="37"/>
      <c r="G934" s="37"/>
      <c r="H934" s="1"/>
      <c r="I934" s="1"/>
    </row>
    <row r="935" ht="15.75" customHeight="1">
      <c r="A935" s="36"/>
      <c r="B935" s="36"/>
      <c r="C935" s="37"/>
      <c r="D935" s="37"/>
      <c r="E935" s="37"/>
      <c r="F935" s="37"/>
      <c r="G935" s="37"/>
      <c r="H935" s="1"/>
      <c r="I935" s="1"/>
    </row>
    <row r="936" ht="15.75" customHeight="1">
      <c r="A936" s="36"/>
      <c r="B936" s="36"/>
      <c r="C936" s="37"/>
      <c r="D936" s="37"/>
      <c r="E936" s="37"/>
      <c r="F936" s="37"/>
      <c r="G936" s="37"/>
      <c r="H936" s="1"/>
      <c r="I936" s="1"/>
    </row>
    <row r="937" ht="15.75" customHeight="1">
      <c r="A937" s="36"/>
      <c r="B937" s="36"/>
      <c r="C937" s="37"/>
      <c r="D937" s="37"/>
      <c r="E937" s="37"/>
      <c r="F937" s="37"/>
      <c r="G937" s="37"/>
      <c r="H937" s="1"/>
      <c r="I937" s="1"/>
    </row>
    <row r="938" ht="15.75" customHeight="1">
      <c r="A938" s="36"/>
      <c r="B938" s="36"/>
      <c r="C938" s="37"/>
      <c r="D938" s="37"/>
      <c r="E938" s="37"/>
      <c r="F938" s="37"/>
      <c r="G938" s="37"/>
      <c r="H938" s="1"/>
      <c r="I938" s="1"/>
    </row>
    <row r="939" ht="15.75" customHeight="1">
      <c r="A939" s="36"/>
      <c r="B939" s="36"/>
      <c r="C939" s="37"/>
      <c r="D939" s="37"/>
      <c r="E939" s="37"/>
      <c r="F939" s="37"/>
      <c r="G939" s="37"/>
      <c r="H939" s="1"/>
      <c r="I939" s="1"/>
    </row>
    <row r="940" ht="15.75" customHeight="1">
      <c r="A940" s="36"/>
      <c r="B940" s="36"/>
      <c r="C940" s="37"/>
      <c r="D940" s="37"/>
      <c r="E940" s="37"/>
      <c r="F940" s="37"/>
      <c r="G940" s="37"/>
      <c r="H940" s="1"/>
      <c r="I940" s="1"/>
    </row>
    <row r="941" ht="15.75" customHeight="1">
      <c r="A941" s="36"/>
      <c r="B941" s="36"/>
      <c r="C941" s="37"/>
      <c r="D941" s="37"/>
      <c r="E941" s="37"/>
      <c r="F941" s="37"/>
      <c r="G941" s="37"/>
      <c r="H941" s="1"/>
      <c r="I941" s="1"/>
    </row>
    <row r="942" ht="15.75" customHeight="1">
      <c r="A942" s="36"/>
      <c r="B942" s="36"/>
      <c r="C942" s="37"/>
      <c r="D942" s="37"/>
      <c r="E942" s="37"/>
      <c r="F942" s="37"/>
      <c r="G942" s="37"/>
      <c r="H942" s="1"/>
      <c r="I942" s="1"/>
    </row>
    <row r="943" ht="15.75" customHeight="1">
      <c r="A943" s="36"/>
      <c r="B943" s="36"/>
      <c r="C943" s="37"/>
      <c r="D943" s="37"/>
      <c r="E943" s="37"/>
      <c r="F943" s="37"/>
      <c r="G943" s="37"/>
      <c r="H943" s="1"/>
      <c r="I943" s="1"/>
    </row>
    <row r="944" ht="15.75" customHeight="1">
      <c r="A944" s="36"/>
      <c r="B944" s="36"/>
      <c r="C944" s="37"/>
      <c r="D944" s="37"/>
      <c r="E944" s="37"/>
      <c r="F944" s="37"/>
      <c r="G944" s="37"/>
      <c r="H944" s="1"/>
      <c r="I944" s="1"/>
    </row>
    <row r="945" ht="15.75" customHeight="1">
      <c r="A945" s="36"/>
      <c r="B945" s="36"/>
      <c r="C945" s="37"/>
      <c r="D945" s="37"/>
      <c r="E945" s="37"/>
      <c r="F945" s="37"/>
      <c r="G945" s="37"/>
      <c r="H945" s="1"/>
      <c r="I945" s="1"/>
    </row>
    <row r="946" ht="15.75" customHeight="1">
      <c r="A946" s="36"/>
      <c r="B946" s="36"/>
      <c r="C946" s="37"/>
      <c r="D946" s="37"/>
      <c r="E946" s="37"/>
      <c r="F946" s="37"/>
      <c r="G946" s="37"/>
      <c r="H946" s="1"/>
      <c r="I946" s="1"/>
    </row>
    <row r="947" ht="15.75" customHeight="1">
      <c r="A947" s="36"/>
      <c r="B947" s="36"/>
      <c r="C947" s="37"/>
      <c r="D947" s="37"/>
      <c r="E947" s="37"/>
      <c r="F947" s="37"/>
      <c r="G947" s="37"/>
      <c r="H947" s="1"/>
      <c r="I947" s="1"/>
    </row>
    <row r="948" ht="15.75" customHeight="1">
      <c r="A948" s="36"/>
      <c r="B948" s="36"/>
      <c r="C948" s="37"/>
      <c r="D948" s="37"/>
      <c r="E948" s="37"/>
      <c r="F948" s="37"/>
      <c r="G948" s="37"/>
      <c r="H948" s="1"/>
      <c r="I948" s="1"/>
    </row>
    <row r="949" ht="15.75" customHeight="1">
      <c r="A949" s="36"/>
      <c r="B949" s="36"/>
      <c r="C949" s="37"/>
      <c r="D949" s="37"/>
      <c r="E949" s="37"/>
      <c r="F949" s="37"/>
      <c r="G949" s="37"/>
      <c r="H949" s="1"/>
      <c r="I949" s="1"/>
    </row>
    <row r="950" ht="15.75" customHeight="1">
      <c r="A950" s="36"/>
      <c r="B950" s="36"/>
      <c r="C950" s="37"/>
      <c r="D950" s="37"/>
      <c r="E950" s="37"/>
      <c r="F950" s="37"/>
      <c r="G950" s="37"/>
      <c r="H950" s="1"/>
      <c r="I950" s="1"/>
    </row>
    <row r="951" ht="15.75" customHeight="1">
      <c r="A951" s="36"/>
      <c r="B951" s="36"/>
      <c r="C951" s="37"/>
      <c r="D951" s="37"/>
      <c r="E951" s="37"/>
      <c r="F951" s="37"/>
      <c r="G951" s="37"/>
      <c r="H951" s="1"/>
      <c r="I951" s="1"/>
    </row>
    <row r="952" ht="15.75" customHeight="1">
      <c r="A952" s="36"/>
      <c r="B952" s="36"/>
      <c r="C952" s="37"/>
      <c r="D952" s="37"/>
      <c r="E952" s="37"/>
      <c r="F952" s="37"/>
      <c r="G952" s="37"/>
      <c r="H952" s="1"/>
      <c r="I952" s="1"/>
    </row>
    <row r="953" ht="15.75" customHeight="1">
      <c r="A953" s="36"/>
      <c r="B953" s="36"/>
      <c r="C953" s="37"/>
      <c r="D953" s="37"/>
      <c r="E953" s="37"/>
      <c r="F953" s="37"/>
      <c r="G953" s="37"/>
      <c r="H953" s="1"/>
      <c r="I953" s="1"/>
    </row>
    <row r="954" ht="15.75" customHeight="1">
      <c r="A954" s="36"/>
      <c r="B954" s="36"/>
      <c r="C954" s="37"/>
      <c r="D954" s="37"/>
      <c r="E954" s="37"/>
      <c r="F954" s="37"/>
      <c r="G954" s="37"/>
      <c r="H954" s="1"/>
      <c r="I954" s="1"/>
    </row>
    <row r="955" ht="15.75" customHeight="1">
      <c r="A955" s="36"/>
      <c r="B955" s="36"/>
      <c r="C955" s="37"/>
      <c r="D955" s="37"/>
      <c r="E955" s="37"/>
      <c r="F955" s="37"/>
      <c r="G955" s="37"/>
      <c r="H955" s="1"/>
      <c r="I955" s="1"/>
    </row>
    <row r="956" ht="15.75" customHeight="1">
      <c r="A956" s="36"/>
      <c r="B956" s="36"/>
      <c r="C956" s="37"/>
      <c r="D956" s="37"/>
      <c r="E956" s="37"/>
      <c r="F956" s="37"/>
      <c r="G956" s="37"/>
      <c r="H956" s="1"/>
      <c r="I956" s="1"/>
    </row>
    <row r="957" ht="15.75" customHeight="1">
      <c r="A957" s="36"/>
      <c r="B957" s="36"/>
      <c r="C957" s="37"/>
      <c r="D957" s="37"/>
      <c r="E957" s="37"/>
      <c r="F957" s="37"/>
      <c r="G957" s="37"/>
      <c r="H957" s="1"/>
      <c r="I957" s="1"/>
    </row>
    <row r="958" ht="15.75" customHeight="1">
      <c r="A958" s="36"/>
      <c r="B958" s="36"/>
      <c r="C958" s="37"/>
      <c r="D958" s="37"/>
      <c r="E958" s="37"/>
      <c r="F958" s="37"/>
      <c r="G958" s="37"/>
      <c r="H958" s="1"/>
      <c r="I958" s="1"/>
    </row>
    <row r="959" ht="15.75" customHeight="1">
      <c r="A959" s="36"/>
      <c r="B959" s="36"/>
      <c r="C959" s="37"/>
      <c r="D959" s="37"/>
      <c r="E959" s="37"/>
      <c r="F959" s="37"/>
      <c r="G959" s="37"/>
      <c r="H959" s="1"/>
      <c r="I959" s="1"/>
    </row>
    <row r="960" ht="15.75" customHeight="1">
      <c r="A960" s="36"/>
      <c r="B960" s="36"/>
      <c r="C960" s="37"/>
      <c r="D960" s="37"/>
      <c r="E960" s="37"/>
      <c r="F960" s="37"/>
      <c r="G960" s="37"/>
      <c r="H960" s="1"/>
      <c r="I960" s="1"/>
    </row>
    <row r="961" ht="15.75" customHeight="1">
      <c r="A961" s="36"/>
      <c r="B961" s="36"/>
      <c r="C961" s="37"/>
      <c r="D961" s="37"/>
      <c r="E961" s="37"/>
      <c r="F961" s="37"/>
      <c r="G961" s="37"/>
      <c r="H961" s="1"/>
      <c r="I961" s="1"/>
    </row>
    <row r="962" ht="15.75" customHeight="1">
      <c r="A962" s="36"/>
      <c r="B962" s="36"/>
      <c r="C962" s="37"/>
      <c r="D962" s="37"/>
      <c r="E962" s="37"/>
      <c r="F962" s="37"/>
      <c r="G962" s="37"/>
      <c r="H962" s="1"/>
      <c r="I962" s="1"/>
    </row>
    <row r="963" ht="15.75" customHeight="1">
      <c r="A963" s="36"/>
      <c r="B963" s="36"/>
      <c r="C963" s="37"/>
      <c r="D963" s="37"/>
      <c r="E963" s="37"/>
      <c r="F963" s="37"/>
      <c r="G963" s="37"/>
      <c r="H963" s="1"/>
      <c r="I963" s="1"/>
    </row>
    <row r="964" ht="15.75" customHeight="1">
      <c r="A964" s="36"/>
      <c r="B964" s="36"/>
      <c r="C964" s="37"/>
      <c r="D964" s="37"/>
      <c r="E964" s="37"/>
      <c r="F964" s="37"/>
      <c r="G964" s="37"/>
      <c r="H964" s="1"/>
      <c r="I964" s="1"/>
    </row>
    <row r="965" ht="15.75" customHeight="1">
      <c r="A965" s="36"/>
      <c r="B965" s="36"/>
      <c r="C965" s="37"/>
      <c r="D965" s="37"/>
      <c r="E965" s="37"/>
      <c r="F965" s="37"/>
      <c r="G965" s="37"/>
      <c r="H965" s="1"/>
      <c r="I965" s="1"/>
    </row>
    <row r="966" ht="15.75" customHeight="1">
      <c r="A966" s="36"/>
      <c r="B966" s="36"/>
      <c r="C966" s="37"/>
      <c r="D966" s="37"/>
      <c r="E966" s="37"/>
      <c r="F966" s="37"/>
      <c r="G966" s="37"/>
      <c r="H966" s="1"/>
      <c r="I966" s="1"/>
    </row>
    <row r="967" ht="15.75" customHeight="1">
      <c r="A967" s="36"/>
      <c r="B967" s="36"/>
      <c r="C967" s="37"/>
      <c r="D967" s="37"/>
      <c r="E967" s="37"/>
      <c r="F967" s="37"/>
      <c r="G967" s="37"/>
      <c r="H967" s="1"/>
      <c r="I967" s="1"/>
    </row>
    <row r="968" ht="15.75" customHeight="1">
      <c r="A968" s="36"/>
      <c r="B968" s="36"/>
      <c r="C968" s="37"/>
      <c r="D968" s="37"/>
      <c r="E968" s="37"/>
      <c r="F968" s="37"/>
      <c r="G968" s="37"/>
      <c r="H968" s="1"/>
      <c r="I968" s="1"/>
    </row>
    <row r="969" ht="15.75" customHeight="1">
      <c r="A969" s="36"/>
      <c r="B969" s="36"/>
      <c r="C969" s="37"/>
      <c r="D969" s="37"/>
      <c r="E969" s="37"/>
      <c r="F969" s="37"/>
      <c r="G969" s="37"/>
      <c r="H969" s="1"/>
      <c r="I969" s="1"/>
    </row>
    <row r="970" ht="15.75" customHeight="1">
      <c r="A970" s="36"/>
      <c r="B970" s="36"/>
      <c r="C970" s="37"/>
      <c r="D970" s="37"/>
      <c r="E970" s="37"/>
      <c r="F970" s="37"/>
      <c r="G970" s="37"/>
      <c r="H970" s="1"/>
      <c r="I970" s="1"/>
    </row>
    <row r="971" ht="15.75" customHeight="1">
      <c r="A971" s="36"/>
      <c r="B971" s="36"/>
      <c r="C971" s="37"/>
      <c r="D971" s="37"/>
      <c r="E971" s="37"/>
      <c r="F971" s="37"/>
      <c r="G971" s="37"/>
      <c r="H971" s="1"/>
      <c r="I971" s="1"/>
    </row>
    <row r="972" ht="15.75" customHeight="1">
      <c r="A972" s="36"/>
      <c r="B972" s="36"/>
      <c r="C972" s="37"/>
      <c r="D972" s="37"/>
      <c r="E972" s="37"/>
      <c r="F972" s="37"/>
      <c r="G972" s="37"/>
      <c r="H972" s="1"/>
      <c r="I972" s="1"/>
    </row>
    <row r="973" ht="15.75" customHeight="1">
      <c r="A973" s="36"/>
      <c r="B973" s="36"/>
      <c r="C973" s="37"/>
      <c r="D973" s="37"/>
      <c r="E973" s="37"/>
      <c r="F973" s="37"/>
      <c r="G973" s="37"/>
      <c r="H973" s="1"/>
      <c r="I973" s="1"/>
    </row>
    <row r="974" ht="15.75" customHeight="1">
      <c r="A974" s="36"/>
      <c r="B974" s="36"/>
      <c r="C974" s="37"/>
      <c r="D974" s="37"/>
      <c r="E974" s="37"/>
      <c r="F974" s="37"/>
      <c r="G974" s="37"/>
      <c r="H974" s="1"/>
      <c r="I974" s="1"/>
    </row>
    <row r="975" ht="15.75" customHeight="1">
      <c r="A975" s="36"/>
      <c r="B975" s="36"/>
      <c r="C975" s="37"/>
      <c r="D975" s="37"/>
      <c r="E975" s="37"/>
      <c r="F975" s="37"/>
      <c r="G975" s="37"/>
      <c r="H975" s="1"/>
      <c r="I975" s="1"/>
    </row>
    <row r="976" ht="15.75" customHeight="1">
      <c r="A976" s="36"/>
      <c r="B976" s="36"/>
      <c r="C976" s="37"/>
      <c r="D976" s="37"/>
      <c r="E976" s="37"/>
      <c r="F976" s="37"/>
      <c r="G976" s="37"/>
      <c r="H976" s="1"/>
      <c r="I976" s="1"/>
    </row>
    <row r="977" ht="15.75" customHeight="1">
      <c r="A977" s="36"/>
      <c r="B977" s="36"/>
      <c r="C977" s="37"/>
      <c r="D977" s="37"/>
      <c r="E977" s="37"/>
      <c r="F977" s="37"/>
      <c r="G977" s="37"/>
      <c r="H977" s="1"/>
      <c r="I977" s="1"/>
    </row>
    <row r="978" ht="15.75" customHeight="1">
      <c r="A978" s="36"/>
      <c r="B978" s="36"/>
      <c r="C978" s="37"/>
      <c r="D978" s="37"/>
      <c r="E978" s="37"/>
      <c r="F978" s="37"/>
      <c r="G978" s="37"/>
      <c r="H978" s="1"/>
      <c r="I978" s="1"/>
    </row>
    <row r="979" ht="15.75" customHeight="1">
      <c r="A979" s="36"/>
      <c r="B979" s="36"/>
      <c r="C979" s="37"/>
      <c r="D979" s="37"/>
      <c r="E979" s="37"/>
      <c r="F979" s="37"/>
      <c r="G979" s="37"/>
      <c r="H979" s="1"/>
      <c r="I979" s="1"/>
    </row>
    <row r="980" ht="15.75" customHeight="1">
      <c r="A980" s="36"/>
      <c r="B980" s="36"/>
      <c r="C980" s="37"/>
      <c r="D980" s="37"/>
      <c r="E980" s="37"/>
      <c r="F980" s="37"/>
      <c r="G980" s="37"/>
      <c r="H980" s="1"/>
      <c r="I980" s="1"/>
    </row>
    <row r="981" ht="15.75" customHeight="1">
      <c r="A981" s="36"/>
      <c r="B981" s="36"/>
      <c r="C981" s="37"/>
      <c r="D981" s="37"/>
      <c r="E981" s="37"/>
      <c r="F981" s="37"/>
      <c r="G981" s="37"/>
      <c r="H981" s="1"/>
      <c r="I981" s="1"/>
    </row>
    <row r="982" ht="15.75" customHeight="1">
      <c r="A982" s="36"/>
      <c r="B982" s="36"/>
      <c r="C982" s="37"/>
      <c r="D982" s="37"/>
      <c r="E982" s="37"/>
      <c r="F982" s="37"/>
      <c r="G982" s="37"/>
      <c r="H982" s="1"/>
      <c r="I982" s="1"/>
    </row>
    <row r="983" ht="15.75" customHeight="1">
      <c r="A983" s="36"/>
      <c r="B983" s="36"/>
      <c r="C983" s="37"/>
      <c r="D983" s="37"/>
      <c r="E983" s="37"/>
      <c r="F983" s="37"/>
      <c r="G983" s="37"/>
      <c r="H983" s="1"/>
      <c r="I983" s="1"/>
    </row>
    <row r="984" ht="15.75" customHeight="1">
      <c r="A984" s="36"/>
      <c r="B984" s="36"/>
      <c r="C984" s="37"/>
      <c r="D984" s="37"/>
      <c r="E984" s="37"/>
      <c r="F984" s="37"/>
      <c r="G984" s="37"/>
      <c r="H984" s="1"/>
      <c r="I984" s="1"/>
    </row>
    <row r="985" ht="15.75" customHeight="1">
      <c r="A985" s="36"/>
      <c r="B985" s="36"/>
      <c r="C985" s="37"/>
      <c r="D985" s="37"/>
      <c r="E985" s="37"/>
      <c r="F985" s="37"/>
      <c r="G985" s="37"/>
      <c r="H985" s="1"/>
      <c r="I985" s="1"/>
    </row>
    <row r="986" ht="15.75" customHeight="1">
      <c r="A986" s="36"/>
      <c r="B986" s="36"/>
      <c r="C986" s="37"/>
      <c r="D986" s="37"/>
      <c r="E986" s="37"/>
      <c r="F986" s="37"/>
      <c r="G986" s="37"/>
      <c r="H986" s="1"/>
      <c r="I986" s="1"/>
    </row>
    <row r="987" ht="15.75" customHeight="1">
      <c r="A987" s="36"/>
      <c r="B987" s="36"/>
      <c r="C987" s="37"/>
      <c r="D987" s="37"/>
      <c r="E987" s="37"/>
      <c r="F987" s="37"/>
      <c r="G987" s="37"/>
      <c r="H987" s="1"/>
      <c r="I987" s="1"/>
    </row>
    <row r="988" ht="15.75" customHeight="1">
      <c r="A988" s="36"/>
      <c r="B988" s="36"/>
      <c r="C988" s="37"/>
      <c r="D988" s="37"/>
      <c r="E988" s="37"/>
      <c r="F988" s="37"/>
      <c r="G988" s="37"/>
      <c r="H988" s="1"/>
      <c r="I988" s="1"/>
    </row>
    <row r="989" ht="15.75" customHeight="1">
      <c r="A989" s="36"/>
      <c r="B989" s="36"/>
      <c r="C989" s="37"/>
      <c r="D989" s="37"/>
      <c r="E989" s="37"/>
      <c r="F989" s="37"/>
      <c r="G989" s="37"/>
      <c r="H989" s="1"/>
      <c r="I989" s="1"/>
    </row>
    <row r="990" ht="15.75" customHeight="1">
      <c r="A990" s="36"/>
      <c r="B990" s="36"/>
      <c r="C990" s="37"/>
      <c r="D990" s="37"/>
      <c r="E990" s="37"/>
      <c r="F990" s="37"/>
      <c r="G990" s="37"/>
      <c r="H990" s="1"/>
      <c r="I990" s="1"/>
    </row>
    <row r="991" ht="15.75" customHeight="1">
      <c r="A991" s="36"/>
      <c r="B991" s="36"/>
      <c r="C991" s="37"/>
      <c r="D991" s="37"/>
      <c r="E991" s="37"/>
      <c r="F991" s="37"/>
      <c r="G991" s="37"/>
      <c r="H991" s="1"/>
      <c r="I991" s="1"/>
    </row>
    <row r="992" ht="15.75" customHeight="1">
      <c r="A992" s="36"/>
      <c r="B992" s="36"/>
      <c r="C992" s="37"/>
      <c r="D992" s="37"/>
      <c r="E992" s="37"/>
      <c r="F992" s="37"/>
      <c r="G992" s="37"/>
      <c r="H992" s="1"/>
      <c r="I992" s="1"/>
    </row>
    <row r="993" ht="15.75" customHeight="1">
      <c r="A993" s="36"/>
      <c r="B993" s="36"/>
      <c r="C993" s="37"/>
      <c r="D993" s="37"/>
      <c r="E993" s="37"/>
      <c r="F993" s="37"/>
      <c r="G993" s="37"/>
      <c r="H993" s="1"/>
      <c r="I993" s="1"/>
    </row>
    <row r="994" ht="15.75" customHeight="1">
      <c r="A994" s="36"/>
      <c r="B994" s="36"/>
      <c r="C994" s="37"/>
      <c r="D994" s="37"/>
      <c r="E994" s="37"/>
      <c r="F994" s="37"/>
      <c r="G994" s="37"/>
      <c r="H994" s="1"/>
      <c r="I994" s="1"/>
    </row>
    <row r="995" ht="15.75" customHeight="1">
      <c r="A995" s="36"/>
      <c r="B995" s="36"/>
      <c r="C995" s="37"/>
      <c r="D995" s="37"/>
      <c r="E995" s="37"/>
      <c r="F995" s="37"/>
      <c r="G995" s="37"/>
      <c r="H995" s="1"/>
      <c r="I995" s="1"/>
    </row>
    <row r="996" ht="15.75" customHeight="1">
      <c r="A996" s="36"/>
      <c r="B996" s="36"/>
      <c r="C996" s="37"/>
      <c r="D996" s="37"/>
      <c r="E996" s="37"/>
      <c r="F996" s="37"/>
      <c r="G996" s="37"/>
      <c r="H996" s="1"/>
      <c r="I996" s="1"/>
    </row>
    <row r="997" ht="15.75" customHeight="1">
      <c r="A997" s="36"/>
      <c r="B997" s="36"/>
      <c r="C997" s="37"/>
      <c r="D997" s="37"/>
      <c r="E997" s="37"/>
      <c r="F997" s="37"/>
      <c r="G997" s="37"/>
      <c r="H997" s="1"/>
      <c r="I997" s="1"/>
    </row>
    <row r="998" ht="15.75" customHeight="1">
      <c r="A998" s="36"/>
      <c r="B998" s="36"/>
      <c r="C998" s="37"/>
      <c r="D998" s="37"/>
      <c r="E998" s="37"/>
      <c r="F998" s="37"/>
      <c r="G998" s="37"/>
      <c r="H998" s="1"/>
      <c r="I998" s="1"/>
    </row>
    <row r="999" ht="15.75" customHeight="1">
      <c r="A999" s="36"/>
      <c r="B999" s="36"/>
      <c r="C999" s="37"/>
      <c r="D999" s="37"/>
      <c r="E999" s="37"/>
      <c r="F999" s="37"/>
      <c r="G999" s="37"/>
      <c r="H999" s="1"/>
      <c r="I999" s="1"/>
    </row>
    <row r="1000" ht="15.75" customHeight="1">
      <c r="A1000" s="36"/>
      <c r="B1000" s="36"/>
      <c r="C1000" s="37"/>
      <c r="D1000" s="37"/>
      <c r="E1000" s="37"/>
      <c r="F1000" s="37"/>
      <c r="G1000" s="37"/>
      <c r="H1000" s="1"/>
      <c r="I1000" s="1"/>
    </row>
  </sheetData>
  <mergeCells count="3">
    <mergeCell ref="A2:K2"/>
    <mergeCell ref="A4:K4"/>
    <mergeCell ref="A60:K60"/>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20.14"/>
    <col customWidth="1" min="3" max="3" width="15.0"/>
    <col customWidth="1" min="4" max="4" width="28.71"/>
    <col customWidth="1" min="5" max="5" width="16.14"/>
    <col customWidth="1" min="6" max="7" width="12.14"/>
    <col customWidth="1" min="8" max="8" width="10.0"/>
    <col customWidth="1" min="9" max="9" width="21.14"/>
    <col customWidth="1" min="10" max="10" width="9.14"/>
    <col customWidth="1" min="11" max="26" width="8.0"/>
  </cols>
  <sheetData>
    <row r="1">
      <c r="A1" s="36"/>
      <c r="B1" s="36"/>
      <c r="C1" s="37"/>
      <c r="D1" s="37"/>
      <c r="E1" s="37"/>
      <c r="F1" s="37"/>
      <c r="G1" s="37"/>
      <c r="H1" s="1"/>
      <c r="I1" s="1"/>
      <c r="J1" s="1"/>
    </row>
    <row r="2">
      <c r="A2" s="38" t="s">
        <v>2542</v>
      </c>
      <c r="B2" s="39"/>
      <c r="C2" s="39"/>
      <c r="D2" s="39"/>
      <c r="E2" s="39"/>
      <c r="F2" s="39"/>
      <c r="G2" s="39"/>
      <c r="H2" s="40"/>
      <c r="I2" s="1"/>
      <c r="J2" s="1"/>
    </row>
    <row r="3">
      <c r="A3" s="186"/>
      <c r="B3" s="186"/>
      <c r="C3" s="186"/>
      <c r="D3" s="186"/>
      <c r="E3" s="186"/>
      <c r="F3" s="186"/>
      <c r="G3" s="186"/>
      <c r="H3" s="186"/>
      <c r="I3" s="1"/>
      <c r="J3" s="1"/>
    </row>
    <row r="4" ht="97.5" customHeight="1">
      <c r="A4" s="44" t="s">
        <v>2543</v>
      </c>
      <c r="B4" s="39"/>
      <c r="C4" s="39"/>
      <c r="D4" s="39"/>
      <c r="E4" s="39"/>
      <c r="F4" s="39"/>
      <c r="G4" s="39"/>
      <c r="H4" s="40"/>
      <c r="I4" s="1"/>
      <c r="J4" s="1"/>
    </row>
    <row r="5">
      <c r="A5" s="45"/>
      <c r="B5" s="45"/>
      <c r="C5" s="46"/>
      <c r="D5" s="46"/>
      <c r="E5" s="46"/>
      <c r="F5" s="46"/>
      <c r="G5" s="46"/>
      <c r="H5" s="45"/>
      <c r="I5" s="1"/>
      <c r="J5" s="1"/>
    </row>
    <row r="6">
      <c r="A6" s="45"/>
      <c r="B6" s="45"/>
      <c r="C6" s="46"/>
      <c r="D6" s="46"/>
      <c r="E6" s="46"/>
      <c r="F6" s="46"/>
      <c r="G6" s="45"/>
      <c r="H6" s="1"/>
      <c r="I6" s="1"/>
      <c r="J6" s="1"/>
    </row>
    <row r="7" ht="38.25" customHeight="1">
      <c r="A7" s="228" t="s">
        <v>2544</v>
      </c>
      <c r="B7" s="47" t="s">
        <v>2545</v>
      </c>
      <c r="C7" s="109" t="s">
        <v>9</v>
      </c>
      <c r="D7" s="270" t="s">
        <v>2546</v>
      </c>
      <c r="E7" s="48" t="s">
        <v>2547</v>
      </c>
      <c r="F7" s="228" t="s">
        <v>2548</v>
      </c>
      <c r="G7" s="47" t="s">
        <v>116</v>
      </c>
      <c r="H7" s="228" t="s">
        <v>117</v>
      </c>
      <c r="I7" s="49" t="s">
        <v>118</v>
      </c>
      <c r="J7" s="1"/>
    </row>
    <row r="8" ht="89.25" customHeight="1">
      <c r="A8" s="52" t="s">
        <v>2549</v>
      </c>
      <c r="B8" s="54" t="s">
        <v>2550</v>
      </c>
      <c r="C8" s="54" t="s">
        <v>38</v>
      </c>
      <c r="D8" s="199" t="s">
        <v>2551</v>
      </c>
      <c r="E8" s="52" t="s">
        <v>2552</v>
      </c>
      <c r="F8" s="542">
        <v>44176.0</v>
      </c>
      <c r="G8" s="202">
        <v>20.0</v>
      </c>
      <c r="H8" s="52">
        <v>10.0</v>
      </c>
      <c r="I8" s="62" t="s">
        <v>194</v>
      </c>
      <c r="J8" s="1"/>
    </row>
    <row r="9" ht="38.25" customHeight="1">
      <c r="A9" s="52" t="s">
        <v>2553</v>
      </c>
      <c r="B9" s="54" t="s">
        <v>637</v>
      </c>
      <c r="C9" s="148" t="s">
        <v>38</v>
      </c>
      <c r="D9" s="53" t="s">
        <v>2554</v>
      </c>
      <c r="E9" s="52" t="s">
        <v>2555</v>
      </c>
      <c r="F9" s="69">
        <v>44162.0</v>
      </c>
      <c r="G9" s="543">
        <v>20.0</v>
      </c>
      <c r="H9" s="62">
        <v>20.0</v>
      </c>
      <c r="I9" s="62" t="s">
        <v>194</v>
      </c>
      <c r="J9" s="1"/>
    </row>
    <row r="10" ht="76.5" customHeight="1">
      <c r="A10" s="52" t="s">
        <v>2556</v>
      </c>
      <c r="B10" s="54" t="s">
        <v>2557</v>
      </c>
      <c r="C10" s="54" t="s">
        <v>755</v>
      </c>
      <c r="D10" s="199" t="s">
        <v>2558</v>
      </c>
      <c r="E10" s="70" t="s">
        <v>2559</v>
      </c>
      <c r="F10" s="60" t="s">
        <v>2560</v>
      </c>
      <c r="G10" s="202">
        <v>20.0</v>
      </c>
      <c r="H10" s="52">
        <v>20.0</v>
      </c>
      <c r="I10" s="62" t="s">
        <v>278</v>
      </c>
      <c r="J10" s="1"/>
    </row>
    <row r="11" ht="135.0" customHeight="1">
      <c r="A11" s="54" t="s">
        <v>2561</v>
      </c>
      <c r="B11" s="54" t="s">
        <v>278</v>
      </c>
      <c r="C11" s="148" t="s">
        <v>755</v>
      </c>
      <c r="D11" s="53" t="s">
        <v>2562</v>
      </c>
      <c r="E11" s="70" t="s">
        <v>2563</v>
      </c>
      <c r="F11" s="60" t="s">
        <v>2564</v>
      </c>
      <c r="G11" s="543">
        <v>20.0</v>
      </c>
      <c r="H11" s="62">
        <v>20.0</v>
      </c>
      <c r="I11" s="62" t="s">
        <v>278</v>
      </c>
      <c r="J11" s="1"/>
    </row>
    <row r="12" ht="90.0" customHeight="1">
      <c r="A12" s="544" t="s">
        <v>2553</v>
      </c>
      <c r="B12" s="97" t="s">
        <v>2565</v>
      </c>
      <c r="C12" s="97" t="s">
        <v>38</v>
      </c>
      <c r="D12" s="199" t="s">
        <v>2566</v>
      </c>
      <c r="E12" s="70" t="s">
        <v>2567</v>
      </c>
      <c r="F12" s="545" t="s">
        <v>2560</v>
      </c>
      <c r="G12" s="202">
        <v>20.0</v>
      </c>
      <c r="H12" s="52">
        <v>20.0</v>
      </c>
      <c r="I12" s="62" t="s">
        <v>790</v>
      </c>
      <c r="J12" s="1"/>
    </row>
    <row r="13" ht="63.75" customHeight="1">
      <c r="A13" s="52" t="s">
        <v>2556</v>
      </c>
      <c r="B13" s="54" t="s">
        <v>2568</v>
      </c>
      <c r="C13" s="54" t="s">
        <v>38</v>
      </c>
      <c r="D13" s="199" t="s">
        <v>2569</v>
      </c>
      <c r="E13" s="70" t="s">
        <v>2555</v>
      </c>
      <c r="F13" s="546">
        <v>44162.0</v>
      </c>
      <c r="G13" s="202">
        <v>20.0</v>
      </c>
      <c r="H13" s="52">
        <v>20.0</v>
      </c>
      <c r="I13" s="62" t="s">
        <v>290</v>
      </c>
      <c r="J13" s="1"/>
    </row>
    <row r="14">
      <c r="A14" s="121" t="s">
        <v>2570</v>
      </c>
      <c r="B14" s="120" t="s">
        <v>641</v>
      </c>
      <c r="C14" s="120" t="s">
        <v>38</v>
      </c>
      <c r="D14" s="121" t="s">
        <v>2571</v>
      </c>
      <c r="E14" s="547" t="s">
        <v>2559</v>
      </c>
      <c r="F14" s="548">
        <v>43796.0</v>
      </c>
      <c r="G14" s="549">
        <v>20.0</v>
      </c>
      <c r="H14" s="121">
        <v>20.0</v>
      </c>
      <c r="I14" s="62" t="s">
        <v>470</v>
      </c>
      <c r="J14" s="1"/>
    </row>
    <row r="15" ht="63.75" customHeight="1">
      <c r="A15" s="52" t="s">
        <v>2556</v>
      </c>
      <c r="B15" s="54" t="s">
        <v>2568</v>
      </c>
      <c r="C15" s="54" t="s">
        <v>38</v>
      </c>
      <c r="D15" s="199" t="s">
        <v>2569</v>
      </c>
      <c r="E15" s="70" t="s">
        <v>2555</v>
      </c>
      <c r="F15" s="546">
        <v>44162.0</v>
      </c>
      <c r="G15" s="202">
        <v>20.0</v>
      </c>
      <c r="H15" s="52">
        <v>20.0</v>
      </c>
      <c r="I15" s="62" t="s">
        <v>307</v>
      </c>
      <c r="J15" s="1"/>
    </row>
    <row r="16" ht="25.5" customHeight="1">
      <c r="A16" s="52" t="s">
        <v>2572</v>
      </c>
      <c r="B16" s="54" t="s">
        <v>650</v>
      </c>
      <c r="C16" s="54" t="s">
        <v>38</v>
      </c>
      <c r="D16" s="199" t="s">
        <v>2554</v>
      </c>
      <c r="E16" s="330" t="s">
        <v>2555</v>
      </c>
      <c r="F16" s="546">
        <v>44162.0</v>
      </c>
      <c r="G16" s="202">
        <v>20.0</v>
      </c>
      <c r="H16" s="52">
        <v>20.0</v>
      </c>
      <c r="I16" s="62" t="s">
        <v>654</v>
      </c>
      <c r="J16" s="1"/>
    </row>
    <row r="17" ht="60.0" customHeight="1">
      <c r="A17" s="366" t="s">
        <v>2573</v>
      </c>
      <c r="B17" s="78" t="s">
        <v>1010</v>
      </c>
      <c r="C17" s="54" t="s">
        <v>38</v>
      </c>
      <c r="D17" s="199" t="s">
        <v>2574</v>
      </c>
      <c r="E17" s="70" t="s">
        <v>2555</v>
      </c>
      <c r="F17" s="52" t="s">
        <v>2575</v>
      </c>
      <c r="G17" s="202">
        <v>20.0</v>
      </c>
      <c r="H17" s="52">
        <v>20.0</v>
      </c>
      <c r="I17" s="62" t="s">
        <v>1010</v>
      </c>
      <c r="J17" s="1"/>
    </row>
    <row r="18" ht="38.25" customHeight="1">
      <c r="A18" s="54" t="s">
        <v>2576</v>
      </c>
      <c r="B18" s="78" t="s">
        <v>1010</v>
      </c>
      <c r="C18" s="148" t="s">
        <v>38</v>
      </c>
      <c r="D18" s="53" t="s">
        <v>2571</v>
      </c>
      <c r="E18" s="52" t="s">
        <v>2555</v>
      </c>
      <c r="F18" s="60" t="s">
        <v>2577</v>
      </c>
      <c r="G18" s="543">
        <v>20.0</v>
      </c>
      <c r="H18" s="62">
        <v>20.0</v>
      </c>
      <c r="I18" s="62" t="s">
        <v>1010</v>
      </c>
      <c r="J18" s="1"/>
    </row>
    <row r="19" ht="45.0" customHeight="1">
      <c r="A19" s="199" t="s">
        <v>2578</v>
      </c>
      <c r="B19" s="54" t="s">
        <v>2579</v>
      </c>
      <c r="C19" s="54" t="s">
        <v>38</v>
      </c>
      <c r="D19" s="199" t="s">
        <v>2580</v>
      </c>
      <c r="E19" s="70" t="s">
        <v>2559</v>
      </c>
      <c r="F19" s="490">
        <v>44162.0</v>
      </c>
      <c r="G19" s="202">
        <v>20.0</v>
      </c>
      <c r="H19" s="62">
        <v>20.0</v>
      </c>
      <c r="I19" s="62" t="s">
        <v>2581</v>
      </c>
      <c r="J19" s="1"/>
    </row>
    <row r="20" ht="76.5" customHeight="1">
      <c r="A20" s="52" t="s">
        <v>2582</v>
      </c>
      <c r="B20" s="54" t="s">
        <v>2583</v>
      </c>
      <c r="C20" s="384" t="s">
        <v>530</v>
      </c>
      <c r="D20" s="135" t="s">
        <v>2584</v>
      </c>
      <c r="E20" s="70" t="s">
        <v>2585</v>
      </c>
      <c r="F20" s="60" t="s">
        <v>2586</v>
      </c>
      <c r="G20" s="543">
        <v>40.0</v>
      </c>
      <c r="H20" s="62">
        <v>8.0</v>
      </c>
      <c r="I20" s="62" t="s">
        <v>128</v>
      </c>
      <c r="J20" s="1"/>
    </row>
    <row r="21" ht="45.0" customHeight="1">
      <c r="A21" s="52" t="s">
        <v>2587</v>
      </c>
      <c r="B21" s="52" t="s">
        <v>2588</v>
      </c>
      <c r="C21" s="384" t="s">
        <v>530</v>
      </c>
      <c r="D21" s="135" t="s">
        <v>2584</v>
      </c>
      <c r="E21" s="70" t="s">
        <v>2585</v>
      </c>
      <c r="F21" s="60" t="s">
        <v>2586</v>
      </c>
      <c r="G21" s="543">
        <v>40.0</v>
      </c>
      <c r="H21" s="62">
        <v>20.0</v>
      </c>
      <c r="I21" s="62" t="s">
        <v>128</v>
      </c>
      <c r="J21" s="1"/>
    </row>
    <row r="22" ht="45.0" customHeight="1">
      <c r="A22" s="199" t="s">
        <v>2589</v>
      </c>
      <c r="B22" s="52" t="s">
        <v>2590</v>
      </c>
      <c r="C22" s="60" t="s">
        <v>530</v>
      </c>
      <c r="D22" s="60" t="s">
        <v>2591</v>
      </c>
      <c r="E22" s="239" t="s">
        <v>2592</v>
      </c>
      <c r="F22" s="60" t="s">
        <v>2593</v>
      </c>
      <c r="G22" s="210">
        <v>40.0</v>
      </c>
      <c r="H22" s="62">
        <v>20.0</v>
      </c>
      <c r="I22" s="62" t="s">
        <v>128</v>
      </c>
      <c r="J22" s="1"/>
    </row>
    <row r="23" ht="60.0" customHeight="1">
      <c r="A23" s="52" t="s">
        <v>2594</v>
      </c>
      <c r="B23" s="54" t="s">
        <v>2595</v>
      </c>
      <c r="C23" s="54" t="s">
        <v>38</v>
      </c>
      <c r="D23" s="199" t="s">
        <v>2596</v>
      </c>
      <c r="E23" s="70" t="s">
        <v>2555</v>
      </c>
      <c r="F23" s="52" t="s">
        <v>2575</v>
      </c>
      <c r="G23" s="202">
        <v>20.0</v>
      </c>
      <c r="H23" s="52">
        <v>0.0</v>
      </c>
      <c r="I23" s="62" t="s">
        <v>222</v>
      </c>
      <c r="J23" s="1"/>
    </row>
    <row r="24" ht="60.0" customHeight="1">
      <c r="A24" s="54" t="s">
        <v>2597</v>
      </c>
      <c r="B24" s="54" t="s">
        <v>2598</v>
      </c>
      <c r="C24" s="148" t="s">
        <v>38</v>
      </c>
      <c r="D24" s="199" t="s">
        <v>2596</v>
      </c>
      <c r="E24" s="70" t="s">
        <v>2555</v>
      </c>
      <c r="F24" s="60" t="s">
        <v>2575</v>
      </c>
      <c r="G24" s="543">
        <v>20.0</v>
      </c>
      <c r="H24" s="62">
        <v>20.0</v>
      </c>
      <c r="I24" s="62" t="s">
        <v>222</v>
      </c>
      <c r="J24" s="1"/>
    </row>
    <row r="25" ht="60.0" customHeight="1">
      <c r="A25" s="52" t="s">
        <v>2594</v>
      </c>
      <c r="B25" s="54" t="s">
        <v>2595</v>
      </c>
      <c r="C25" s="54" t="s">
        <v>38</v>
      </c>
      <c r="D25" s="199" t="s">
        <v>2596</v>
      </c>
      <c r="E25" s="70" t="s">
        <v>2555</v>
      </c>
      <c r="F25" s="52" t="s">
        <v>2575</v>
      </c>
      <c r="G25" s="202">
        <v>20.0</v>
      </c>
      <c r="H25" s="52">
        <v>0.0</v>
      </c>
      <c r="I25" s="62" t="s">
        <v>223</v>
      </c>
      <c r="J25" s="1"/>
    </row>
    <row r="26" ht="60.0" customHeight="1">
      <c r="A26" s="54" t="s">
        <v>2597</v>
      </c>
      <c r="B26" s="54" t="s">
        <v>2598</v>
      </c>
      <c r="C26" s="148" t="s">
        <v>38</v>
      </c>
      <c r="D26" s="199" t="s">
        <v>2596</v>
      </c>
      <c r="E26" s="70" t="s">
        <v>2555</v>
      </c>
      <c r="F26" s="60" t="s">
        <v>2575</v>
      </c>
      <c r="G26" s="543">
        <v>20.0</v>
      </c>
      <c r="H26" s="62">
        <v>20.0</v>
      </c>
      <c r="I26" s="62" t="s">
        <v>223</v>
      </c>
      <c r="J26" s="1"/>
    </row>
    <row r="27" ht="60.0" customHeight="1">
      <c r="A27" s="52" t="s">
        <v>2599</v>
      </c>
      <c r="B27" s="54" t="s">
        <v>348</v>
      </c>
      <c r="C27" s="54" t="s">
        <v>38</v>
      </c>
      <c r="D27" s="53" t="s">
        <v>2571</v>
      </c>
      <c r="E27" s="70" t="s">
        <v>2555</v>
      </c>
      <c r="F27" s="490">
        <v>44162.0</v>
      </c>
      <c r="G27" s="543">
        <v>20.0</v>
      </c>
      <c r="H27" s="62">
        <v>20.0</v>
      </c>
      <c r="I27" s="62" t="s">
        <v>355</v>
      </c>
      <c r="J27" s="1"/>
    </row>
    <row r="28" ht="38.25" customHeight="1">
      <c r="A28" s="52" t="s">
        <v>2600</v>
      </c>
      <c r="B28" s="54" t="s">
        <v>2601</v>
      </c>
      <c r="C28" s="54" t="s">
        <v>2602</v>
      </c>
      <c r="D28" s="199" t="s">
        <v>2603</v>
      </c>
      <c r="E28" s="52" t="s">
        <v>2604</v>
      </c>
      <c r="F28" s="52" t="s">
        <v>2605</v>
      </c>
      <c r="G28" s="202">
        <v>20.0</v>
      </c>
      <c r="H28" s="52">
        <f>G28/2</f>
        <v>10</v>
      </c>
      <c r="I28" s="62" t="s">
        <v>1384</v>
      </c>
      <c r="J28" s="1"/>
    </row>
    <row r="29" ht="75.0" customHeight="1">
      <c r="A29" s="150" t="s">
        <v>2606</v>
      </c>
      <c r="B29" s="95" t="s">
        <v>2607</v>
      </c>
      <c r="C29" s="54" t="s">
        <v>38</v>
      </c>
      <c r="D29" s="245" t="s">
        <v>2608</v>
      </c>
      <c r="E29" s="52" t="s">
        <v>2609</v>
      </c>
      <c r="F29" s="491">
        <v>44105.0</v>
      </c>
      <c r="G29" s="550">
        <v>20.0</v>
      </c>
      <c r="H29" s="52">
        <v>20.0</v>
      </c>
      <c r="I29" s="62" t="s">
        <v>364</v>
      </c>
      <c r="J29" s="1"/>
    </row>
    <row r="30" ht="38.25" customHeight="1">
      <c r="A30" s="54" t="s">
        <v>2576</v>
      </c>
      <c r="B30" s="54" t="s">
        <v>364</v>
      </c>
      <c r="C30" s="148" t="s">
        <v>38</v>
      </c>
      <c r="D30" s="53" t="s">
        <v>2571</v>
      </c>
      <c r="E30" s="52" t="s">
        <v>2555</v>
      </c>
      <c r="F30" s="60" t="s">
        <v>2577</v>
      </c>
      <c r="G30" s="543">
        <v>20.0</v>
      </c>
      <c r="H30" s="62">
        <v>20.0</v>
      </c>
      <c r="I30" s="62" t="s">
        <v>364</v>
      </c>
      <c r="J30" s="1"/>
    </row>
    <row r="31" ht="76.5" customHeight="1">
      <c r="A31" s="52" t="s">
        <v>2582</v>
      </c>
      <c r="B31" s="54" t="s">
        <v>2610</v>
      </c>
      <c r="C31" s="384" t="s">
        <v>530</v>
      </c>
      <c r="D31" s="135" t="s">
        <v>2584</v>
      </c>
      <c r="E31" s="70" t="s">
        <v>2585</v>
      </c>
      <c r="F31" s="60" t="s">
        <v>2586</v>
      </c>
      <c r="G31" s="543">
        <v>40.0</v>
      </c>
      <c r="H31" s="62">
        <v>8.0</v>
      </c>
      <c r="I31" s="62" t="s">
        <v>532</v>
      </c>
      <c r="J31" s="1"/>
    </row>
    <row r="32" ht="63.75" customHeight="1">
      <c r="A32" s="37" t="s">
        <v>2611</v>
      </c>
      <c r="B32" s="199" t="s">
        <v>2612</v>
      </c>
      <c r="C32" s="384" t="s">
        <v>530</v>
      </c>
      <c r="D32" s="135" t="s">
        <v>2584</v>
      </c>
      <c r="E32" s="70" t="s">
        <v>2585</v>
      </c>
      <c r="F32" s="60" t="s">
        <v>2586</v>
      </c>
      <c r="G32" s="543">
        <v>40.0</v>
      </c>
      <c r="H32" s="62">
        <v>10.0</v>
      </c>
      <c r="I32" s="62" t="s">
        <v>532</v>
      </c>
      <c r="J32" s="1"/>
    </row>
    <row r="33" ht="45.0" customHeight="1">
      <c r="A33" s="52" t="s">
        <v>2587</v>
      </c>
      <c r="B33" s="199" t="s">
        <v>2613</v>
      </c>
      <c r="C33" s="384" t="s">
        <v>530</v>
      </c>
      <c r="D33" s="135" t="s">
        <v>2584</v>
      </c>
      <c r="E33" s="70" t="s">
        <v>2585</v>
      </c>
      <c r="F33" s="60" t="s">
        <v>2586</v>
      </c>
      <c r="G33" s="543">
        <v>40.0</v>
      </c>
      <c r="H33" s="62">
        <v>20.0</v>
      </c>
      <c r="I33" s="62" t="s">
        <v>532</v>
      </c>
      <c r="J33" s="1"/>
    </row>
    <row r="34" ht="45.0" customHeight="1">
      <c r="A34" s="199" t="s">
        <v>2589</v>
      </c>
      <c r="B34" s="199" t="s">
        <v>2614</v>
      </c>
      <c r="C34" s="60" t="s">
        <v>530</v>
      </c>
      <c r="D34" s="60" t="s">
        <v>2591</v>
      </c>
      <c r="E34" s="239" t="s">
        <v>2592</v>
      </c>
      <c r="F34" s="60" t="s">
        <v>2593</v>
      </c>
      <c r="G34" s="210">
        <v>40.0</v>
      </c>
      <c r="H34" s="62">
        <v>20.0</v>
      </c>
      <c r="I34" s="62" t="s">
        <v>532</v>
      </c>
      <c r="J34" s="1"/>
    </row>
    <row r="35" ht="140.25" customHeight="1">
      <c r="A35" s="386" t="s">
        <v>2553</v>
      </c>
      <c r="B35" s="394" t="s">
        <v>2615</v>
      </c>
      <c r="C35" s="551" t="s">
        <v>284</v>
      </c>
      <c r="D35" s="353" t="s">
        <v>2596</v>
      </c>
      <c r="E35" s="352" t="s">
        <v>2559</v>
      </c>
      <c r="F35" s="352" t="s">
        <v>2616</v>
      </c>
      <c r="G35" s="514">
        <v>20.0</v>
      </c>
      <c r="H35" s="352">
        <v>20.0</v>
      </c>
      <c r="I35" s="62" t="s">
        <v>366</v>
      </c>
      <c r="J35" s="1"/>
    </row>
    <row r="36" ht="76.5" customHeight="1">
      <c r="A36" s="386" t="s">
        <v>2617</v>
      </c>
      <c r="B36" s="551" t="s">
        <v>366</v>
      </c>
      <c r="C36" s="551" t="s">
        <v>284</v>
      </c>
      <c r="D36" s="122" t="s">
        <v>2618</v>
      </c>
      <c r="E36" s="552" t="s">
        <v>2469</v>
      </c>
      <c r="F36" s="352" t="s">
        <v>2471</v>
      </c>
      <c r="G36" s="553">
        <v>20.0</v>
      </c>
      <c r="H36" s="358">
        <v>20.0</v>
      </c>
      <c r="I36" s="62" t="s">
        <v>366</v>
      </c>
      <c r="J36" s="1"/>
    </row>
    <row r="37" ht="140.25" customHeight="1">
      <c r="A37" s="386" t="s">
        <v>2553</v>
      </c>
      <c r="B37" s="394" t="s">
        <v>2619</v>
      </c>
      <c r="C37" s="551" t="s">
        <v>284</v>
      </c>
      <c r="D37" s="353" t="s">
        <v>2596</v>
      </c>
      <c r="E37" s="352" t="s">
        <v>2559</v>
      </c>
      <c r="F37" s="352" t="s">
        <v>2616</v>
      </c>
      <c r="G37" s="514">
        <v>20.0</v>
      </c>
      <c r="H37" s="352">
        <v>20.0</v>
      </c>
      <c r="I37" s="62" t="s">
        <v>376</v>
      </c>
      <c r="J37" s="1"/>
    </row>
    <row r="38" ht="127.5" customHeight="1">
      <c r="A38" s="554" t="s">
        <v>2620</v>
      </c>
      <c r="B38" s="54" t="s">
        <v>2479</v>
      </c>
      <c r="C38" s="551" t="s">
        <v>284</v>
      </c>
      <c r="D38" s="555" t="s">
        <v>2618</v>
      </c>
      <c r="E38" s="556" t="s">
        <v>2469</v>
      </c>
      <c r="F38" s="52" t="s">
        <v>2471</v>
      </c>
      <c r="G38" s="543">
        <v>20.0</v>
      </c>
      <c r="H38" s="62">
        <v>20.0</v>
      </c>
      <c r="I38" s="62" t="s">
        <v>376</v>
      </c>
      <c r="J38" s="1"/>
    </row>
    <row r="39" ht="60.0" customHeight="1">
      <c r="A39" s="52" t="s">
        <v>2621</v>
      </c>
      <c r="B39" s="54" t="s">
        <v>2622</v>
      </c>
      <c r="C39" s="54" t="s">
        <v>38</v>
      </c>
      <c r="D39" s="199" t="s">
        <v>2571</v>
      </c>
      <c r="E39" s="70" t="s">
        <v>2555</v>
      </c>
      <c r="F39" s="52" t="s">
        <v>2616</v>
      </c>
      <c r="G39" s="202">
        <v>20.0</v>
      </c>
      <c r="H39" s="62">
        <v>20.0</v>
      </c>
      <c r="I39" s="62" t="s">
        <v>1844</v>
      </c>
      <c r="J39" s="1"/>
    </row>
    <row r="40" ht="63.75" customHeight="1">
      <c r="A40" s="54" t="s">
        <v>2623</v>
      </c>
      <c r="B40" s="54" t="s">
        <v>2622</v>
      </c>
      <c r="C40" s="54" t="s">
        <v>38</v>
      </c>
      <c r="D40" s="53" t="s">
        <v>2624</v>
      </c>
      <c r="E40" s="149" t="s">
        <v>2625</v>
      </c>
      <c r="F40" s="60" t="s">
        <v>2626</v>
      </c>
      <c r="G40" s="543">
        <v>40.0</v>
      </c>
      <c r="H40" s="62">
        <v>20.0</v>
      </c>
      <c r="I40" s="62" t="s">
        <v>1844</v>
      </c>
      <c r="J40" s="1"/>
    </row>
    <row r="41" ht="60.0" customHeight="1">
      <c r="A41" s="52" t="s">
        <v>2621</v>
      </c>
      <c r="B41" s="54" t="s">
        <v>2622</v>
      </c>
      <c r="C41" s="54" t="s">
        <v>38</v>
      </c>
      <c r="D41" s="199" t="s">
        <v>2571</v>
      </c>
      <c r="E41" s="70" t="s">
        <v>2555</v>
      </c>
      <c r="F41" s="52" t="s">
        <v>2616</v>
      </c>
      <c r="G41" s="202">
        <v>20.0</v>
      </c>
      <c r="H41" s="62">
        <v>20.0</v>
      </c>
      <c r="I41" s="62" t="s">
        <v>1877</v>
      </c>
      <c r="J41" s="1"/>
    </row>
    <row r="42" ht="63.75" customHeight="1">
      <c r="A42" s="54" t="s">
        <v>2623</v>
      </c>
      <c r="B42" s="54" t="s">
        <v>2622</v>
      </c>
      <c r="C42" s="54" t="s">
        <v>38</v>
      </c>
      <c r="D42" s="53" t="s">
        <v>2624</v>
      </c>
      <c r="E42" s="149" t="s">
        <v>2625</v>
      </c>
      <c r="F42" s="60" t="s">
        <v>2626</v>
      </c>
      <c r="G42" s="543">
        <v>40.0</v>
      </c>
      <c r="H42" s="62">
        <v>20.0</v>
      </c>
      <c r="I42" s="62" t="s">
        <v>1877</v>
      </c>
      <c r="J42" s="1"/>
    </row>
    <row r="43" ht="60.75" customHeight="1">
      <c r="A43" s="557" t="s">
        <v>2597</v>
      </c>
      <c r="B43" s="558" t="s">
        <v>2598</v>
      </c>
      <c r="C43" s="559" t="s">
        <v>38</v>
      </c>
      <c r="D43" s="560" t="s">
        <v>2627</v>
      </c>
      <c r="E43" s="561" t="s">
        <v>2555</v>
      </c>
      <c r="F43" s="562" t="s">
        <v>2575</v>
      </c>
      <c r="G43" s="563">
        <v>20.0</v>
      </c>
      <c r="H43" s="564">
        <v>20.0</v>
      </c>
      <c r="I43" s="62" t="s">
        <v>2628</v>
      </c>
      <c r="J43" s="1"/>
    </row>
    <row r="44" ht="60.75" customHeight="1">
      <c r="A44" s="565" t="s">
        <v>2570</v>
      </c>
      <c r="B44" s="436" t="s">
        <v>2629</v>
      </c>
      <c r="C44" s="559" t="s">
        <v>1885</v>
      </c>
      <c r="D44" s="560" t="s">
        <v>2627</v>
      </c>
      <c r="E44" s="561" t="s">
        <v>2555</v>
      </c>
      <c r="F44" s="562" t="s">
        <v>2630</v>
      </c>
      <c r="G44" s="563">
        <v>20.0</v>
      </c>
      <c r="H44" s="564">
        <v>0.0</v>
      </c>
      <c r="I44" s="62" t="s">
        <v>2628</v>
      </c>
      <c r="J44" s="1"/>
    </row>
    <row r="45" ht="15.75" customHeight="1">
      <c r="A45" s="121" t="s">
        <v>2570</v>
      </c>
      <c r="B45" s="120" t="s">
        <v>2631</v>
      </c>
      <c r="C45" s="120" t="s">
        <v>38</v>
      </c>
      <c r="D45" s="121" t="s">
        <v>2571</v>
      </c>
      <c r="E45" s="547" t="s">
        <v>2559</v>
      </c>
      <c r="F45" s="548">
        <v>43796.0</v>
      </c>
      <c r="G45" s="549">
        <v>20.0</v>
      </c>
      <c r="H45" s="52">
        <v>20.0</v>
      </c>
      <c r="I45" s="62" t="s">
        <v>1899</v>
      </c>
      <c r="J45" s="1"/>
    </row>
    <row r="46" ht="47.25" customHeight="1">
      <c r="A46" s="446" t="s">
        <v>2632</v>
      </c>
      <c r="B46" s="54" t="s">
        <v>2633</v>
      </c>
      <c r="C46" s="54" t="s">
        <v>38</v>
      </c>
      <c r="D46" s="199" t="s">
        <v>2574</v>
      </c>
      <c r="E46" s="70" t="s">
        <v>2559</v>
      </c>
      <c r="F46" s="566">
        <v>44162.0</v>
      </c>
      <c r="G46" s="202">
        <v>20.0</v>
      </c>
      <c r="H46" s="436">
        <v>20.0</v>
      </c>
      <c r="I46" s="62" t="s">
        <v>542</v>
      </c>
      <c r="J46" s="1"/>
    </row>
    <row r="47" ht="45.0" customHeight="1">
      <c r="A47" s="567" t="s">
        <v>2634</v>
      </c>
      <c r="B47" s="54" t="s">
        <v>2635</v>
      </c>
      <c r="C47" s="54" t="s">
        <v>38</v>
      </c>
      <c r="D47" s="53" t="s">
        <v>2636</v>
      </c>
      <c r="E47" s="70" t="s">
        <v>2559</v>
      </c>
      <c r="F47" s="566">
        <v>44162.0</v>
      </c>
      <c r="G47" s="543">
        <v>20.0</v>
      </c>
      <c r="H47" s="62">
        <v>0.0</v>
      </c>
      <c r="I47" s="62" t="s">
        <v>542</v>
      </c>
      <c r="J47" s="1"/>
    </row>
    <row r="48" ht="89.25" customHeight="1">
      <c r="A48" s="52" t="s">
        <v>2549</v>
      </c>
      <c r="B48" s="54" t="s">
        <v>2550</v>
      </c>
      <c r="C48" s="54" t="s">
        <v>38</v>
      </c>
      <c r="D48" s="199" t="s">
        <v>2551</v>
      </c>
      <c r="E48" s="52" t="s">
        <v>2552</v>
      </c>
      <c r="F48" s="542">
        <v>44176.0</v>
      </c>
      <c r="G48" s="202">
        <v>20.0</v>
      </c>
      <c r="H48" s="52">
        <v>10.0</v>
      </c>
      <c r="I48" s="62" t="s">
        <v>425</v>
      </c>
      <c r="J48" s="1"/>
    </row>
    <row r="49" ht="38.25" customHeight="1">
      <c r="A49" s="52" t="s">
        <v>2553</v>
      </c>
      <c r="B49" s="54" t="s">
        <v>2336</v>
      </c>
      <c r="C49" s="148" t="s">
        <v>38</v>
      </c>
      <c r="D49" s="53" t="s">
        <v>2554</v>
      </c>
      <c r="E49" s="52" t="s">
        <v>2555</v>
      </c>
      <c r="F49" s="69">
        <v>44162.0</v>
      </c>
      <c r="G49" s="543">
        <v>20.0</v>
      </c>
      <c r="H49" s="62">
        <v>20.0</v>
      </c>
      <c r="I49" s="62" t="s">
        <v>425</v>
      </c>
      <c r="J49" s="1"/>
    </row>
    <row r="50" ht="15.75" customHeight="1">
      <c r="A50" s="121" t="s">
        <v>2570</v>
      </c>
      <c r="B50" s="120" t="s">
        <v>2631</v>
      </c>
      <c r="C50" s="120" t="s">
        <v>38</v>
      </c>
      <c r="D50" s="121" t="s">
        <v>2571</v>
      </c>
      <c r="E50" s="547" t="s">
        <v>2559</v>
      </c>
      <c r="F50" s="548">
        <v>43796.0</v>
      </c>
      <c r="G50" s="549">
        <v>20.0</v>
      </c>
      <c r="H50" s="52">
        <v>20.0</v>
      </c>
      <c r="I50" s="62" t="s">
        <v>2637</v>
      </c>
      <c r="J50" s="1"/>
    </row>
    <row r="51" ht="157.5" customHeight="1">
      <c r="A51" s="171" t="s">
        <v>2638</v>
      </c>
      <c r="B51" s="171" t="s">
        <v>2639</v>
      </c>
      <c r="C51" s="148" t="s">
        <v>530</v>
      </c>
      <c r="D51" s="568" t="s">
        <v>2640</v>
      </c>
      <c r="E51" s="178" t="s">
        <v>2641</v>
      </c>
      <c r="F51" s="490" t="s">
        <v>2642</v>
      </c>
      <c r="G51" s="569">
        <v>40.0</v>
      </c>
      <c r="H51" s="118">
        <v>40.0</v>
      </c>
      <c r="I51" s="62" t="s">
        <v>167</v>
      </c>
      <c r="J51" s="1"/>
    </row>
    <row r="52" ht="283.5" customHeight="1">
      <c r="A52" s="171" t="s">
        <v>2643</v>
      </c>
      <c r="B52" s="171" t="s">
        <v>2644</v>
      </c>
      <c r="C52" s="54" t="s">
        <v>530</v>
      </c>
      <c r="D52" s="171" t="s">
        <v>2645</v>
      </c>
      <c r="E52" s="52"/>
      <c r="F52" s="60" t="s">
        <v>2646</v>
      </c>
      <c r="G52" s="543">
        <v>40.0</v>
      </c>
      <c r="H52" s="62">
        <v>20.0</v>
      </c>
      <c r="I52" s="62" t="s">
        <v>167</v>
      </c>
      <c r="J52" s="1"/>
    </row>
    <row r="53" ht="242.25" customHeight="1">
      <c r="A53" s="366" t="s">
        <v>2647</v>
      </c>
      <c r="B53" s="54" t="s">
        <v>2648</v>
      </c>
      <c r="C53" s="53" t="s">
        <v>38</v>
      </c>
      <c r="D53" s="184" t="s">
        <v>2649</v>
      </c>
      <c r="E53" s="52" t="s">
        <v>2650</v>
      </c>
      <c r="F53" s="570" t="s">
        <v>2651</v>
      </c>
      <c r="G53" s="202">
        <v>40.0</v>
      </c>
      <c r="H53" s="271">
        <v>13.33</v>
      </c>
      <c r="I53" s="62" t="s">
        <v>173</v>
      </c>
      <c r="J53" s="1"/>
      <c r="K53" s="247"/>
      <c r="L53" s="247"/>
      <c r="M53" s="247"/>
      <c r="N53" s="247"/>
      <c r="O53" s="247"/>
      <c r="P53" s="247"/>
      <c r="Q53" s="247"/>
      <c r="R53" s="247"/>
      <c r="S53" s="247"/>
      <c r="T53" s="247"/>
      <c r="U53" s="247"/>
      <c r="V53" s="247"/>
      <c r="W53" s="247"/>
      <c r="X53" s="247"/>
      <c r="Y53" s="247"/>
      <c r="Z53" s="247"/>
    </row>
    <row r="54" ht="204.0" customHeight="1">
      <c r="A54" s="436" t="s">
        <v>2652</v>
      </c>
      <c r="B54" s="54" t="s">
        <v>2653</v>
      </c>
      <c r="C54" s="53" t="s">
        <v>38</v>
      </c>
      <c r="D54" s="184" t="s">
        <v>2649</v>
      </c>
      <c r="E54" s="52" t="s">
        <v>2650</v>
      </c>
      <c r="F54" s="570" t="s">
        <v>2651</v>
      </c>
      <c r="G54" s="543">
        <v>40.0</v>
      </c>
      <c r="H54" s="62">
        <v>13.33</v>
      </c>
      <c r="I54" s="62" t="s">
        <v>173</v>
      </c>
      <c r="J54" s="1"/>
      <c r="K54" s="247"/>
      <c r="L54" s="247"/>
      <c r="M54" s="247"/>
      <c r="N54" s="247"/>
      <c r="O54" s="247"/>
      <c r="P54" s="247"/>
      <c r="Q54" s="247"/>
      <c r="R54" s="247"/>
      <c r="S54" s="247"/>
      <c r="T54" s="247"/>
      <c r="U54" s="247"/>
      <c r="V54" s="247"/>
      <c r="W54" s="247"/>
      <c r="X54" s="247"/>
      <c r="Y54" s="247"/>
      <c r="Z54" s="247"/>
    </row>
    <row r="55" ht="280.5" customHeight="1">
      <c r="A55" s="436" t="s">
        <v>2654</v>
      </c>
      <c r="B55" s="54" t="s">
        <v>2655</v>
      </c>
      <c r="C55" s="53" t="s">
        <v>38</v>
      </c>
      <c r="D55" s="184" t="s">
        <v>2649</v>
      </c>
      <c r="E55" s="52" t="s">
        <v>2650</v>
      </c>
      <c r="F55" s="570" t="s">
        <v>2651</v>
      </c>
      <c r="G55" s="543">
        <v>40.0</v>
      </c>
      <c r="H55" s="62">
        <v>10.0</v>
      </c>
      <c r="I55" s="62" t="s">
        <v>173</v>
      </c>
      <c r="J55" s="1"/>
      <c r="K55" s="247"/>
      <c r="L55" s="247"/>
      <c r="M55" s="247"/>
      <c r="N55" s="247"/>
      <c r="O55" s="247"/>
      <c r="P55" s="247"/>
      <c r="Q55" s="247"/>
      <c r="R55" s="247"/>
      <c r="S55" s="247"/>
      <c r="T55" s="247"/>
      <c r="U55" s="247"/>
      <c r="V55" s="247"/>
      <c r="W55" s="247"/>
      <c r="X55" s="247"/>
      <c r="Y55" s="247"/>
      <c r="Z55" s="247"/>
    </row>
    <row r="56" ht="114.75" customHeight="1">
      <c r="A56" s="52" t="s">
        <v>2553</v>
      </c>
      <c r="B56" s="54" t="s">
        <v>2656</v>
      </c>
      <c r="C56" s="54" t="s">
        <v>38</v>
      </c>
      <c r="D56" s="199" t="s">
        <v>2657</v>
      </c>
      <c r="E56" s="52" t="s">
        <v>2555</v>
      </c>
      <c r="F56" s="52" t="s">
        <v>2616</v>
      </c>
      <c r="G56" s="202">
        <v>20.0</v>
      </c>
      <c r="H56" s="52">
        <v>20.0</v>
      </c>
      <c r="I56" s="62" t="s">
        <v>2658</v>
      </c>
      <c r="J56" s="1"/>
      <c r="K56" s="247"/>
      <c r="L56" s="247"/>
      <c r="M56" s="247"/>
      <c r="N56" s="247"/>
      <c r="O56" s="247"/>
      <c r="P56" s="247"/>
      <c r="Q56" s="247"/>
      <c r="R56" s="247"/>
      <c r="S56" s="247"/>
      <c r="T56" s="247"/>
      <c r="U56" s="247"/>
      <c r="V56" s="247"/>
      <c r="W56" s="247"/>
      <c r="X56" s="247"/>
      <c r="Y56" s="247"/>
      <c r="Z56" s="247"/>
    </row>
    <row r="57" ht="76.5" customHeight="1">
      <c r="A57" s="135" t="s">
        <v>2659</v>
      </c>
      <c r="B57" s="52" t="s">
        <v>2405</v>
      </c>
      <c r="C57" s="384" t="s">
        <v>38</v>
      </c>
      <c r="D57" s="135" t="s">
        <v>2571</v>
      </c>
      <c r="E57" s="498" t="s">
        <v>2660</v>
      </c>
      <c r="F57" s="60" t="s">
        <v>2560</v>
      </c>
      <c r="G57" s="543">
        <v>20.0</v>
      </c>
      <c r="H57" s="62">
        <v>20.0</v>
      </c>
      <c r="I57" s="62" t="s">
        <v>618</v>
      </c>
      <c r="J57" s="1"/>
      <c r="K57" s="247"/>
      <c r="L57" s="247"/>
      <c r="M57" s="247"/>
      <c r="N57" s="247"/>
      <c r="O57" s="247"/>
      <c r="P57" s="247"/>
      <c r="Q57" s="247"/>
      <c r="R57" s="247"/>
      <c r="S57" s="247"/>
      <c r="T57" s="247"/>
      <c r="U57" s="247"/>
      <c r="V57" s="247"/>
      <c r="W57" s="247"/>
      <c r="X57" s="247"/>
      <c r="Y57" s="247"/>
      <c r="Z57" s="247"/>
    </row>
    <row r="58" ht="39.0" customHeight="1">
      <c r="A58" s="280" t="s">
        <v>2661</v>
      </c>
      <c r="B58" s="205" t="s">
        <v>625</v>
      </c>
      <c r="C58" s="205" t="s">
        <v>2662</v>
      </c>
      <c r="D58" s="571" t="s">
        <v>2663</v>
      </c>
      <c r="E58" s="572" t="s">
        <v>2664</v>
      </c>
      <c r="F58" s="384" t="s">
        <v>2665</v>
      </c>
      <c r="G58" s="573">
        <v>20.0</v>
      </c>
      <c r="H58" s="244">
        <v>10.0</v>
      </c>
      <c r="I58" s="62" t="s">
        <v>485</v>
      </c>
      <c r="J58" s="1"/>
    </row>
    <row r="59" ht="39.0" customHeight="1">
      <c r="A59" s="52" t="s">
        <v>2666</v>
      </c>
      <c r="B59" s="54" t="s">
        <v>625</v>
      </c>
      <c r="C59" s="54" t="s">
        <v>2662</v>
      </c>
      <c r="D59" s="346" t="s">
        <v>2663</v>
      </c>
      <c r="E59" s="574" t="s">
        <v>2664</v>
      </c>
      <c r="F59" s="60" t="s">
        <v>2665</v>
      </c>
      <c r="G59" s="543">
        <v>20.0</v>
      </c>
      <c r="H59" s="62">
        <v>10.0</v>
      </c>
      <c r="I59" s="62" t="s">
        <v>485</v>
      </c>
      <c r="J59" s="1"/>
    </row>
    <row r="60" ht="15.75" customHeight="1">
      <c r="A60" s="52"/>
      <c r="B60" s="54"/>
      <c r="C60" s="205"/>
      <c r="D60" s="199"/>
      <c r="E60" s="52"/>
      <c r="F60" s="52"/>
      <c r="G60" s="202"/>
      <c r="H60" s="209"/>
      <c r="I60" s="62"/>
      <c r="J60" s="1"/>
    </row>
    <row r="61" ht="15.75" customHeight="1">
      <c r="A61" s="52"/>
      <c r="B61" s="54"/>
      <c r="C61" s="205"/>
      <c r="D61" s="199"/>
      <c r="E61" s="52"/>
      <c r="F61" s="52"/>
      <c r="G61" s="202"/>
      <c r="H61" s="209"/>
      <c r="I61" s="62"/>
      <c r="J61" s="1"/>
    </row>
    <row r="62" ht="15.75" customHeight="1">
      <c r="A62" s="52"/>
      <c r="B62" s="52"/>
      <c r="C62" s="52"/>
      <c r="D62" s="60"/>
      <c r="E62" s="52"/>
      <c r="F62" s="60"/>
      <c r="G62" s="210"/>
      <c r="H62" s="209"/>
      <c r="I62" s="62"/>
      <c r="J62" s="1"/>
    </row>
    <row r="63" ht="15.75" customHeight="1">
      <c r="A63" s="88" t="s">
        <v>88</v>
      </c>
      <c r="B63" s="37"/>
      <c r="C63" s="37"/>
      <c r="D63" s="1"/>
      <c r="E63" s="1"/>
      <c r="F63" s="1"/>
      <c r="G63" s="41"/>
      <c r="H63" s="211">
        <f>SUM(H8:H62)</f>
        <v>872.66</v>
      </c>
      <c r="I63" s="1"/>
      <c r="J63" s="1"/>
    </row>
    <row r="64" ht="15.75" customHeight="1">
      <c r="A64" s="36"/>
      <c r="B64" s="36"/>
      <c r="C64" s="37"/>
      <c r="D64" s="37"/>
      <c r="E64" s="37"/>
      <c r="F64" s="37"/>
      <c r="G64" s="37"/>
      <c r="H64" s="1"/>
      <c r="I64" s="1"/>
      <c r="J64" s="1"/>
    </row>
    <row r="65" ht="15.75" customHeight="1">
      <c r="A65" s="36"/>
      <c r="B65" s="37"/>
      <c r="C65" s="37"/>
      <c r="D65" s="37"/>
      <c r="E65" s="37"/>
      <c r="F65" s="37"/>
      <c r="G65" s="1"/>
    </row>
    <row r="66" ht="15.75" customHeight="1">
      <c r="A66" s="473" t="s">
        <v>178</v>
      </c>
      <c r="B66" s="91"/>
      <c r="C66" s="91"/>
      <c r="D66" s="91"/>
      <c r="E66" s="91"/>
      <c r="F66" s="91"/>
      <c r="G66" s="91"/>
      <c r="H66" s="92"/>
    </row>
    <row r="67" ht="15.75" customHeight="1">
      <c r="A67" s="36"/>
      <c r="B67" s="36"/>
      <c r="C67" s="37"/>
      <c r="D67" s="37"/>
      <c r="E67" s="37"/>
      <c r="F67" s="37"/>
      <c r="G67" s="37"/>
      <c r="H67" s="1"/>
      <c r="I67" s="1"/>
      <c r="J67" s="1"/>
    </row>
    <row r="68" ht="15.75" customHeight="1">
      <c r="A68" s="36"/>
      <c r="B68" s="36"/>
      <c r="C68" s="37"/>
      <c r="D68" s="37"/>
      <c r="E68" s="37"/>
      <c r="F68" s="37"/>
      <c r="G68" s="37"/>
      <c r="H68" s="1"/>
      <c r="I68" s="1"/>
      <c r="J68" s="1"/>
    </row>
    <row r="69" ht="15.75" customHeight="1">
      <c r="A69" s="36"/>
      <c r="B69" s="36"/>
      <c r="C69" s="37"/>
      <c r="D69" s="37"/>
      <c r="E69" s="37"/>
      <c r="F69" s="37"/>
      <c r="G69" s="37"/>
      <c r="H69" s="1"/>
      <c r="I69" s="1"/>
      <c r="J69" s="1"/>
    </row>
    <row r="70" ht="15.75" customHeight="1">
      <c r="A70" s="36"/>
      <c r="B70" s="36"/>
      <c r="C70" s="37"/>
      <c r="D70" s="37"/>
      <c r="E70" s="37"/>
      <c r="F70" s="37"/>
      <c r="G70" s="37"/>
      <c r="H70" s="1"/>
      <c r="I70" s="1"/>
      <c r="J70" s="1"/>
    </row>
    <row r="71" ht="15.75" customHeight="1">
      <c r="A71" s="36"/>
      <c r="B71" s="36"/>
      <c r="C71" s="37"/>
      <c r="D71" s="37"/>
      <c r="E71" s="37"/>
      <c r="F71" s="37"/>
      <c r="G71" s="37"/>
      <c r="H71" s="1"/>
      <c r="I71" s="1"/>
      <c r="J71" s="1"/>
    </row>
    <row r="72" ht="15.75" customHeight="1">
      <c r="A72" s="36"/>
      <c r="B72" s="36"/>
      <c r="C72" s="37"/>
      <c r="D72" s="37"/>
      <c r="E72" s="37"/>
      <c r="F72" s="37"/>
      <c r="G72" s="37"/>
      <c r="H72" s="1"/>
      <c r="I72" s="1"/>
      <c r="J72" s="1"/>
    </row>
    <row r="73" ht="15.75" customHeight="1">
      <c r="A73" s="36"/>
      <c r="B73" s="36"/>
      <c r="C73" s="37"/>
      <c r="D73" s="37"/>
      <c r="E73" s="37"/>
      <c r="F73" s="37"/>
      <c r="G73" s="37"/>
      <c r="H73" s="1"/>
      <c r="I73" s="1"/>
      <c r="J73" s="1"/>
    </row>
    <row r="74" ht="15.75" customHeight="1">
      <c r="A74" s="36"/>
      <c r="B74" s="36"/>
      <c r="C74" s="37"/>
      <c r="D74" s="37"/>
      <c r="E74" s="37"/>
      <c r="F74" s="37"/>
      <c r="G74" s="37"/>
      <c r="H74" s="1"/>
      <c r="I74" s="1"/>
      <c r="J74" s="1"/>
    </row>
    <row r="75" ht="15.75" customHeight="1">
      <c r="A75" s="36"/>
      <c r="B75" s="36"/>
      <c r="C75" s="37"/>
      <c r="D75" s="37"/>
      <c r="E75" s="37"/>
      <c r="F75" s="37"/>
      <c r="G75" s="37"/>
      <c r="H75" s="1"/>
      <c r="I75" s="1"/>
      <c r="J75" s="1"/>
    </row>
    <row r="76" ht="15.75" customHeight="1">
      <c r="A76" s="36"/>
      <c r="B76" s="36"/>
      <c r="C76" s="37"/>
      <c r="D76" s="37"/>
      <c r="E76" s="37"/>
      <c r="F76" s="37"/>
      <c r="G76" s="37"/>
      <c r="H76" s="1"/>
      <c r="I76" s="1"/>
      <c r="J76" s="1"/>
    </row>
    <row r="77" ht="15.75" customHeight="1">
      <c r="A77" s="36"/>
      <c r="B77" s="36"/>
      <c r="C77" s="37"/>
      <c r="D77" s="37"/>
      <c r="E77" s="37"/>
      <c r="F77" s="37"/>
      <c r="G77" s="37"/>
      <c r="H77" s="1"/>
      <c r="I77" s="1"/>
      <c r="J77" s="1"/>
    </row>
    <row r="78" ht="15.75" customHeight="1">
      <c r="A78" s="36"/>
      <c r="B78" s="36"/>
      <c r="C78" s="37"/>
      <c r="D78" s="37"/>
      <c r="E78" s="37"/>
      <c r="F78" s="37"/>
      <c r="G78" s="37"/>
      <c r="H78" s="1"/>
      <c r="I78" s="1"/>
      <c r="J78" s="1"/>
    </row>
    <row r="79" ht="15.75" customHeight="1">
      <c r="A79" s="36"/>
      <c r="B79" s="36"/>
      <c r="C79" s="37"/>
      <c r="D79" s="37"/>
      <c r="E79" s="37"/>
      <c r="F79" s="37"/>
      <c r="G79" s="37"/>
      <c r="H79" s="1"/>
      <c r="I79" s="1"/>
      <c r="J79" s="1"/>
    </row>
    <row r="80" ht="15.75" customHeight="1">
      <c r="A80" s="36"/>
      <c r="B80" s="36"/>
      <c r="C80" s="37"/>
      <c r="D80" s="37"/>
      <c r="E80" s="37"/>
      <c r="F80" s="37"/>
      <c r="G80" s="37"/>
      <c r="H80" s="1"/>
      <c r="I80" s="1"/>
      <c r="J80" s="1"/>
    </row>
    <row r="81" ht="15.75" customHeight="1">
      <c r="A81" s="36"/>
      <c r="B81" s="36"/>
      <c r="C81" s="37"/>
      <c r="D81" s="37"/>
      <c r="E81" s="37"/>
      <c r="F81" s="37"/>
      <c r="G81" s="37"/>
      <c r="H81" s="1"/>
      <c r="I81" s="1"/>
      <c r="J81" s="1"/>
    </row>
    <row r="82" ht="15.75" customHeight="1">
      <c r="A82" s="36"/>
      <c r="B82" s="36"/>
      <c r="C82" s="37"/>
      <c r="D82" s="37"/>
      <c r="E82" s="37"/>
      <c r="F82" s="37"/>
      <c r="G82" s="37"/>
      <c r="H82" s="1"/>
      <c r="I82" s="1"/>
      <c r="J82" s="1"/>
    </row>
    <row r="83" ht="15.75" customHeight="1">
      <c r="A83" s="36"/>
      <c r="B83" s="36"/>
      <c r="C83" s="37"/>
      <c r="D83" s="37"/>
      <c r="E83" s="37"/>
      <c r="F83" s="37"/>
      <c r="G83" s="37"/>
      <c r="H83" s="1"/>
      <c r="I83" s="1"/>
      <c r="J83" s="1"/>
    </row>
    <row r="84" ht="15.75" customHeight="1">
      <c r="A84" s="36"/>
      <c r="B84" s="36"/>
      <c r="C84" s="37"/>
      <c r="D84" s="37"/>
      <c r="E84" s="37"/>
      <c r="F84" s="37"/>
      <c r="G84" s="37"/>
      <c r="H84" s="1"/>
      <c r="I84" s="1"/>
      <c r="J84" s="1"/>
    </row>
    <row r="85" ht="15.75" customHeight="1">
      <c r="A85" s="36"/>
      <c r="B85" s="36"/>
      <c r="C85" s="37"/>
      <c r="D85" s="37"/>
      <c r="E85" s="37"/>
      <c r="F85" s="37"/>
      <c r="G85" s="37"/>
      <c r="H85" s="1"/>
      <c r="I85" s="1"/>
      <c r="J85" s="1"/>
    </row>
    <row r="86" ht="15.75" customHeight="1">
      <c r="A86" s="36"/>
      <c r="B86" s="36"/>
      <c r="C86" s="37"/>
      <c r="D86" s="37"/>
      <c r="E86" s="37"/>
      <c r="F86" s="37"/>
      <c r="G86" s="37"/>
      <c r="H86" s="1"/>
      <c r="I86" s="1"/>
      <c r="J86" s="1"/>
    </row>
    <row r="87" ht="15.75" customHeight="1">
      <c r="A87" s="36"/>
      <c r="B87" s="36"/>
      <c r="C87" s="37"/>
      <c r="D87" s="37"/>
      <c r="E87" s="37"/>
      <c r="F87" s="37"/>
      <c r="G87" s="37"/>
      <c r="H87" s="1"/>
      <c r="I87" s="1"/>
      <c r="J87" s="1"/>
    </row>
    <row r="88" ht="15.75" customHeight="1">
      <c r="A88" s="36"/>
      <c r="B88" s="36"/>
      <c r="C88" s="37"/>
      <c r="D88" s="37"/>
      <c r="E88" s="37"/>
      <c r="F88" s="37"/>
      <c r="G88" s="37"/>
      <c r="H88" s="1"/>
      <c r="I88" s="1"/>
      <c r="J88" s="1"/>
    </row>
    <row r="89" ht="15.75" customHeight="1">
      <c r="A89" s="36"/>
      <c r="B89" s="36"/>
      <c r="C89" s="37"/>
      <c r="D89" s="37"/>
      <c r="E89" s="37"/>
      <c r="F89" s="37"/>
      <c r="G89" s="37"/>
      <c r="H89" s="1"/>
      <c r="I89" s="1"/>
      <c r="J89" s="1"/>
    </row>
    <row r="90" ht="15.75" customHeight="1">
      <c r="A90" s="36"/>
      <c r="B90" s="36"/>
      <c r="C90" s="37"/>
      <c r="D90" s="37"/>
      <c r="E90" s="37"/>
      <c r="F90" s="37"/>
      <c r="G90" s="37"/>
      <c r="H90" s="1"/>
      <c r="I90" s="1"/>
      <c r="J90" s="1"/>
    </row>
    <row r="91" ht="15.75" customHeight="1">
      <c r="A91" s="36"/>
      <c r="B91" s="36"/>
      <c r="C91" s="37"/>
      <c r="D91" s="37"/>
      <c r="E91" s="37"/>
      <c r="F91" s="37"/>
      <c r="G91" s="37"/>
      <c r="H91" s="1"/>
      <c r="I91" s="1"/>
      <c r="J91" s="1"/>
    </row>
    <row r="92" ht="15.75" customHeight="1">
      <c r="A92" s="36"/>
      <c r="B92" s="36"/>
      <c r="C92" s="37"/>
      <c r="D92" s="37"/>
      <c r="E92" s="37"/>
      <c r="F92" s="37"/>
      <c r="G92" s="37"/>
      <c r="H92" s="1"/>
      <c r="I92" s="1"/>
      <c r="J92" s="1"/>
    </row>
    <row r="93" ht="15.75" customHeight="1">
      <c r="A93" s="36"/>
      <c r="B93" s="36"/>
      <c r="C93" s="37"/>
      <c r="D93" s="37"/>
      <c r="E93" s="37"/>
      <c r="F93" s="37"/>
      <c r="G93" s="37"/>
      <c r="H93" s="1"/>
      <c r="I93" s="1"/>
      <c r="J93" s="1"/>
    </row>
    <row r="94" ht="15.75" customHeight="1">
      <c r="A94" s="36"/>
      <c r="B94" s="36"/>
      <c r="C94" s="37"/>
      <c r="D94" s="37"/>
      <c r="E94" s="37"/>
      <c r="F94" s="37"/>
      <c r="G94" s="37"/>
      <c r="H94" s="1"/>
      <c r="I94" s="1"/>
      <c r="J94" s="1"/>
    </row>
    <row r="95" ht="15.75" customHeight="1">
      <c r="A95" s="36"/>
      <c r="B95" s="36"/>
      <c r="C95" s="37"/>
      <c r="D95" s="37"/>
      <c r="E95" s="37"/>
      <c r="F95" s="37"/>
      <c r="G95" s="37"/>
      <c r="H95" s="1"/>
      <c r="I95" s="1"/>
      <c r="J95" s="1"/>
    </row>
    <row r="96" ht="15.75" customHeight="1">
      <c r="A96" s="36"/>
      <c r="B96" s="36"/>
      <c r="C96" s="37"/>
      <c r="D96" s="37"/>
      <c r="E96" s="37"/>
      <c r="F96" s="37"/>
      <c r="G96" s="37"/>
      <c r="H96" s="1"/>
      <c r="I96" s="1"/>
      <c r="J96" s="1"/>
    </row>
    <row r="97" ht="15.75" customHeight="1">
      <c r="A97" s="36"/>
      <c r="B97" s="36"/>
      <c r="C97" s="37"/>
      <c r="D97" s="37"/>
      <c r="E97" s="37"/>
      <c r="F97" s="37"/>
      <c r="G97" s="37"/>
      <c r="H97" s="1"/>
      <c r="I97" s="1"/>
      <c r="J97" s="1"/>
    </row>
    <row r="98" ht="15.75" customHeight="1">
      <c r="A98" s="36"/>
      <c r="B98" s="36"/>
      <c r="C98" s="37"/>
      <c r="D98" s="37"/>
      <c r="E98" s="37"/>
      <c r="F98" s="37"/>
      <c r="G98" s="37"/>
      <c r="H98" s="1"/>
      <c r="I98" s="1"/>
      <c r="J98" s="1"/>
    </row>
    <row r="99" ht="15.75" customHeight="1">
      <c r="A99" s="36"/>
      <c r="B99" s="36"/>
      <c r="C99" s="37"/>
      <c r="D99" s="37"/>
      <c r="E99" s="37"/>
      <c r="F99" s="37"/>
      <c r="G99" s="37"/>
      <c r="H99" s="1"/>
      <c r="I99" s="1"/>
      <c r="J99" s="1"/>
    </row>
    <row r="100" ht="15.75" customHeight="1">
      <c r="A100" s="36"/>
      <c r="B100" s="36"/>
      <c r="C100" s="37"/>
      <c r="D100" s="37"/>
      <c r="E100" s="37"/>
      <c r="F100" s="37"/>
      <c r="G100" s="37"/>
      <c r="H100" s="1"/>
      <c r="I100" s="1"/>
      <c r="J100" s="1"/>
    </row>
    <row r="101" ht="15.75" customHeight="1">
      <c r="A101" s="36"/>
      <c r="B101" s="36"/>
      <c r="C101" s="37"/>
      <c r="D101" s="37"/>
      <c r="E101" s="37"/>
      <c r="F101" s="37"/>
      <c r="G101" s="37"/>
      <c r="H101" s="1"/>
      <c r="I101" s="1"/>
      <c r="J101" s="1"/>
    </row>
    <row r="102" ht="15.75" customHeight="1">
      <c r="A102" s="36"/>
      <c r="B102" s="36"/>
      <c r="C102" s="37"/>
      <c r="D102" s="37"/>
      <c r="E102" s="37"/>
      <c r="F102" s="37"/>
      <c r="G102" s="37"/>
      <c r="H102" s="1"/>
      <c r="I102" s="1"/>
      <c r="J102" s="1"/>
    </row>
    <row r="103" ht="15.75" customHeight="1">
      <c r="A103" s="36"/>
      <c r="B103" s="36"/>
      <c r="C103" s="37"/>
      <c r="D103" s="37"/>
      <c r="E103" s="37"/>
      <c r="F103" s="37"/>
      <c r="G103" s="37"/>
      <c r="H103" s="1"/>
      <c r="I103" s="1"/>
      <c r="J103" s="1"/>
    </row>
    <row r="104" ht="15.75" customHeight="1">
      <c r="A104" s="36"/>
      <c r="B104" s="36"/>
      <c r="C104" s="37"/>
      <c r="D104" s="37"/>
      <c r="E104" s="37"/>
      <c r="F104" s="37"/>
      <c r="G104" s="37"/>
      <c r="H104" s="1"/>
      <c r="I104" s="1"/>
      <c r="J104" s="1"/>
    </row>
    <row r="105" ht="15.75" customHeight="1">
      <c r="A105" s="36"/>
      <c r="B105" s="36"/>
      <c r="C105" s="37"/>
      <c r="D105" s="37"/>
      <c r="E105" s="37"/>
      <c r="F105" s="37"/>
      <c r="G105" s="37"/>
      <c r="H105" s="1"/>
      <c r="I105" s="1"/>
      <c r="J105" s="1"/>
    </row>
    <row r="106" ht="15.75" customHeight="1">
      <c r="A106" s="36"/>
      <c r="B106" s="36"/>
      <c r="C106" s="37"/>
      <c r="D106" s="37"/>
      <c r="E106" s="37"/>
      <c r="F106" s="37"/>
      <c r="G106" s="37"/>
      <c r="H106" s="1"/>
      <c r="I106" s="1"/>
      <c r="J106" s="1"/>
    </row>
    <row r="107" ht="15.75" customHeight="1">
      <c r="A107" s="36"/>
      <c r="B107" s="36"/>
      <c r="C107" s="37"/>
      <c r="D107" s="37"/>
      <c r="E107" s="37"/>
      <c r="F107" s="37"/>
      <c r="G107" s="37"/>
      <c r="H107" s="1"/>
      <c r="I107" s="1"/>
      <c r="J107" s="1"/>
    </row>
    <row r="108" ht="15.75" customHeight="1">
      <c r="A108" s="36"/>
      <c r="B108" s="36"/>
      <c r="C108" s="37"/>
      <c r="D108" s="37"/>
      <c r="E108" s="37"/>
      <c r="F108" s="37"/>
      <c r="G108" s="37"/>
      <c r="H108" s="1"/>
      <c r="I108" s="1"/>
      <c r="J108" s="1"/>
    </row>
    <row r="109" ht="15.75" customHeight="1">
      <c r="A109" s="36"/>
      <c r="B109" s="36"/>
      <c r="C109" s="37"/>
      <c r="D109" s="37"/>
      <c r="E109" s="37"/>
      <c r="F109" s="37"/>
      <c r="G109" s="37"/>
      <c r="H109" s="1"/>
      <c r="I109" s="1"/>
      <c r="J109" s="1"/>
    </row>
    <row r="110" ht="15.75" customHeight="1">
      <c r="A110" s="36"/>
      <c r="B110" s="36"/>
      <c r="C110" s="37"/>
      <c r="D110" s="37"/>
      <c r="E110" s="37"/>
      <c r="F110" s="37"/>
      <c r="G110" s="37"/>
      <c r="H110" s="1"/>
      <c r="I110" s="1"/>
      <c r="J110" s="1"/>
    </row>
    <row r="111" ht="15.75" customHeight="1">
      <c r="A111" s="36"/>
      <c r="B111" s="36"/>
      <c r="C111" s="37"/>
      <c r="D111" s="37"/>
      <c r="E111" s="37"/>
      <c r="F111" s="37"/>
      <c r="G111" s="37"/>
      <c r="H111" s="1"/>
      <c r="I111" s="1"/>
      <c r="J111" s="1"/>
    </row>
    <row r="112" ht="15.75" customHeight="1">
      <c r="A112" s="36"/>
      <c r="B112" s="36"/>
      <c r="C112" s="37"/>
      <c r="D112" s="37"/>
      <c r="E112" s="37"/>
      <c r="F112" s="37"/>
      <c r="G112" s="37"/>
      <c r="H112" s="1"/>
      <c r="I112" s="1"/>
      <c r="J112" s="1"/>
    </row>
    <row r="113" ht="15.75" customHeight="1">
      <c r="A113" s="36"/>
      <c r="B113" s="36"/>
      <c r="C113" s="37"/>
      <c r="D113" s="37"/>
      <c r="E113" s="37"/>
      <c r="F113" s="37"/>
      <c r="G113" s="37"/>
      <c r="H113" s="1"/>
      <c r="I113" s="1"/>
      <c r="J113" s="1"/>
    </row>
    <row r="114" ht="15.75" customHeight="1">
      <c r="A114" s="36"/>
      <c r="B114" s="36"/>
      <c r="C114" s="37"/>
      <c r="D114" s="37"/>
      <c r="E114" s="37"/>
      <c r="F114" s="37"/>
      <c r="G114" s="37"/>
      <c r="H114" s="1"/>
      <c r="I114" s="1"/>
      <c r="J114" s="1"/>
    </row>
    <row r="115" ht="15.75" customHeight="1">
      <c r="A115" s="36"/>
      <c r="B115" s="36"/>
      <c r="C115" s="37"/>
      <c r="D115" s="37"/>
      <c r="E115" s="37"/>
      <c r="F115" s="37"/>
      <c r="G115" s="37"/>
      <c r="H115" s="1"/>
      <c r="I115" s="1"/>
      <c r="J115" s="1"/>
    </row>
    <row r="116" ht="15.75" customHeight="1">
      <c r="A116" s="36"/>
      <c r="B116" s="36"/>
      <c r="C116" s="37"/>
      <c r="D116" s="37"/>
      <c r="E116" s="37"/>
      <c r="F116" s="37"/>
      <c r="G116" s="37"/>
      <c r="H116" s="1"/>
      <c r="I116" s="1"/>
      <c r="J116" s="1"/>
    </row>
    <row r="117" ht="15.75" customHeight="1">
      <c r="A117" s="36"/>
      <c r="B117" s="36"/>
      <c r="C117" s="37"/>
      <c r="D117" s="37"/>
      <c r="E117" s="37"/>
      <c r="F117" s="37"/>
      <c r="G117" s="37"/>
      <c r="H117" s="1"/>
      <c r="I117" s="1"/>
      <c r="J117" s="1"/>
    </row>
    <row r="118" ht="15.75" customHeight="1">
      <c r="A118" s="36"/>
      <c r="B118" s="36"/>
      <c r="C118" s="37"/>
      <c r="D118" s="37"/>
      <c r="E118" s="37"/>
      <c r="F118" s="37"/>
      <c r="G118" s="37"/>
      <c r="H118" s="1"/>
      <c r="I118" s="1"/>
      <c r="J118" s="1"/>
    </row>
    <row r="119" ht="15.75" customHeight="1">
      <c r="A119" s="36"/>
      <c r="B119" s="36"/>
      <c r="C119" s="37"/>
      <c r="D119" s="37"/>
      <c r="E119" s="37"/>
      <c r="F119" s="37"/>
      <c r="G119" s="37"/>
      <c r="H119" s="1"/>
      <c r="I119" s="1"/>
      <c r="J119" s="1"/>
    </row>
    <row r="120" ht="15.75" customHeight="1">
      <c r="A120" s="36"/>
      <c r="B120" s="36"/>
      <c r="C120" s="37"/>
      <c r="D120" s="37"/>
      <c r="E120" s="37"/>
      <c r="F120" s="37"/>
      <c r="G120" s="37"/>
      <c r="H120" s="1"/>
      <c r="I120" s="1"/>
      <c r="J120" s="1"/>
    </row>
    <row r="121" ht="15.75" customHeight="1">
      <c r="A121" s="36"/>
      <c r="B121" s="36"/>
      <c r="C121" s="37"/>
      <c r="D121" s="37"/>
      <c r="E121" s="37"/>
      <c r="F121" s="37"/>
      <c r="G121" s="37"/>
      <c r="H121" s="1"/>
      <c r="I121" s="1"/>
      <c r="J121" s="1"/>
    </row>
    <row r="122" ht="15.75" customHeight="1">
      <c r="A122" s="36"/>
      <c r="B122" s="36"/>
      <c r="C122" s="37"/>
      <c r="D122" s="37"/>
      <c r="E122" s="37"/>
      <c r="F122" s="37"/>
      <c r="G122" s="37"/>
      <c r="H122" s="1"/>
      <c r="I122" s="1"/>
      <c r="J122" s="1"/>
    </row>
    <row r="123" ht="15.75" customHeight="1">
      <c r="A123" s="36"/>
      <c r="B123" s="36"/>
      <c r="C123" s="37"/>
      <c r="D123" s="37"/>
      <c r="E123" s="37"/>
      <c r="F123" s="37"/>
      <c r="G123" s="37"/>
      <c r="H123" s="1"/>
      <c r="I123" s="1"/>
      <c r="J123" s="1"/>
    </row>
    <row r="124" ht="15.75" customHeight="1">
      <c r="A124" s="36"/>
      <c r="B124" s="36"/>
      <c r="C124" s="37"/>
      <c r="D124" s="37"/>
      <c r="E124" s="37"/>
      <c r="F124" s="37"/>
      <c r="G124" s="37"/>
      <c r="H124" s="1"/>
      <c r="I124" s="1"/>
      <c r="J124" s="1"/>
    </row>
    <row r="125" ht="15.75" customHeight="1">
      <c r="A125" s="36"/>
      <c r="B125" s="36"/>
      <c r="C125" s="37"/>
      <c r="D125" s="37"/>
      <c r="E125" s="37"/>
      <c r="F125" s="37"/>
      <c r="G125" s="37"/>
      <c r="H125" s="1"/>
      <c r="I125" s="1"/>
      <c r="J125" s="1"/>
    </row>
    <row r="126" ht="15.75" customHeight="1">
      <c r="A126" s="36"/>
      <c r="B126" s="36"/>
      <c r="C126" s="37"/>
      <c r="D126" s="37"/>
      <c r="E126" s="37"/>
      <c r="F126" s="37"/>
      <c r="G126" s="37"/>
      <c r="H126" s="1"/>
      <c r="I126" s="1"/>
      <c r="J126" s="1"/>
    </row>
    <row r="127" ht="15.75" customHeight="1">
      <c r="A127" s="36"/>
      <c r="B127" s="36"/>
      <c r="C127" s="37"/>
      <c r="D127" s="37"/>
      <c r="E127" s="37"/>
      <c r="F127" s="37"/>
      <c r="G127" s="37"/>
      <c r="H127" s="1"/>
      <c r="I127" s="1"/>
      <c r="J127" s="1"/>
    </row>
    <row r="128" ht="15.75" customHeight="1">
      <c r="A128" s="36"/>
      <c r="B128" s="36"/>
      <c r="C128" s="37"/>
      <c r="D128" s="37"/>
      <c r="E128" s="37"/>
      <c r="F128" s="37"/>
      <c r="G128" s="37"/>
      <c r="H128" s="1"/>
      <c r="I128" s="1"/>
      <c r="J128" s="1"/>
    </row>
    <row r="129" ht="15.75" customHeight="1">
      <c r="A129" s="36"/>
      <c r="B129" s="36"/>
      <c r="C129" s="37"/>
      <c r="D129" s="37"/>
      <c r="E129" s="37"/>
      <c r="F129" s="37"/>
      <c r="G129" s="37"/>
      <c r="H129" s="1"/>
      <c r="I129" s="1"/>
      <c r="J129" s="1"/>
    </row>
    <row r="130" ht="15.75" customHeight="1">
      <c r="A130" s="36"/>
      <c r="B130" s="36"/>
      <c r="C130" s="37"/>
      <c r="D130" s="37"/>
      <c r="E130" s="37"/>
      <c r="F130" s="37"/>
      <c r="G130" s="37"/>
      <c r="H130" s="1"/>
      <c r="I130" s="1"/>
      <c r="J130" s="1"/>
    </row>
    <row r="131" ht="15.75" customHeight="1">
      <c r="A131" s="36"/>
      <c r="B131" s="36"/>
      <c r="C131" s="37"/>
      <c r="D131" s="37"/>
      <c r="E131" s="37"/>
      <c r="F131" s="37"/>
      <c r="G131" s="37"/>
      <c r="H131" s="1"/>
      <c r="I131" s="1"/>
      <c r="J131" s="1"/>
    </row>
    <row r="132" ht="15.75" customHeight="1">
      <c r="A132" s="36"/>
      <c r="B132" s="36"/>
      <c r="C132" s="37"/>
      <c r="D132" s="37"/>
      <c r="E132" s="37"/>
      <c r="F132" s="37"/>
      <c r="G132" s="37"/>
      <c r="H132" s="1"/>
      <c r="I132" s="1"/>
      <c r="J132" s="1"/>
    </row>
    <row r="133" ht="15.75" customHeight="1">
      <c r="A133" s="36"/>
      <c r="B133" s="36"/>
      <c r="C133" s="37"/>
      <c r="D133" s="37"/>
      <c r="E133" s="37"/>
      <c r="F133" s="37"/>
      <c r="G133" s="37"/>
      <c r="H133" s="1"/>
      <c r="I133" s="1"/>
      <c r="J133" s="1"/>
    </row>
    <row r="134" ht="15.75" customHeight="1">
      <c r="A134" s="36"/>
      <c r="B134" s="36"/>
      <c r="C134" s="37"/>
      <c r="D134" s="37"/>
      <c r="E134" s="37"/>
      <c r="F134" s="37"/>
      <c r="G134" s="37"/>
      <c r="H134" s="1"/>
      <c r="I134" s="1"/>
      <c r="J134" s="1"/>
    </row>
    <row r="135" ht="15.75" customHeight="1">
      <c r="A135" s="36"/>
      <c r="B135" s="36"/>
      <c r="C135" s="37"/>
      <c r="D135" s="37"/>
      <c r="E135" s="37"/>
      <c r="F135" s="37"/>
      <c r="G135" s="37"/>
      <c r="H135" s="1"/>
      <c r="I135" s="1"/>
      <c r="J135" s="1"/>
    </row>
    <row r="136" ht="15.75" customHeight="1">
      <c r="A136" s="36"/>
      <c r="B136" s="36"/>
      <c r="C136" s="37"/>
      <c r="D136" s="37"/>
      <c r="E136" s="37"/>
      <c r="F136" s="37"/>
      <c r="G136" s="37"/>
      <c r="H136" s="1"/>
      <c r="I136" s="1"/>
      <c r="J136" s="1"/>
    </row>
    <row r="137" ht="15.75" customHeight="1">
      <c r="A137" s="36"/>
      <c r="B137" s="36"/>
      <c r="C137" s="37"/>
      <c r="D137" s="37"/>
      <c r="E137" s="37"/>
      <c r="F137" s="37"/>
      <c r="G137" s="37"/>
      <c r="H137" s="1"/>
      <c r="I137" s="1"/>
      <c r="J137" s="1"/>
    </row>
    <row r="138" ht="15.75" customHeight="1">
      <c r="A138" s="36"/>
      <c r="B138" s="36"/>
      <c r="C138" s="37"/>
      <c r="D138" s="37"/>
      <c r="E138" s="37"/>
      <c r="F138" s="37"/>
      <c r="G138" s="37"/>
      <c r="H138" s="1"/>
      <c r="I138" s="1"/>
      <c r="J138" s="1"/>
    </row>
    <row r="139" ht="15.75" customHeight="1">
      <c r="A139" s="36"/>
      <c r="B139" s="36"/>
      <c r="C139" s="37"/>
      <c r="D139" s="37"/>
      <c r="E139" s="37"/>
      <c r="F139" s="37"/>
      <c r="G139" s="37"/>
      <c r="H139" s="1"/>
      <c r="I139" s="1"/>
      <c r="J139" s="1"/>
    </row>
    <row r="140" ht="15.75" customHeight="1">
      <c r="A140" s="36"/>
      <c r="B140" s="36"/>
      <c r="C140" s="37"/>
      <c r="D140" s="37"/>
      <c r="E140" s="37"/>
      <c r="F140" s="37"/>
      <c r="G140" s="37"/>
      <c r="H140" s="1"/>
      <c r="I140" s="1"/>
      <c r="J140" s="1"/>
    </row>
    <row r="141" ht="15.75" customHeight="1">
      <c r="A141" s="36"/>
      <c r="B141" s="36"/>
      <c r="C141" s="37"/>
      <c r="D141" s="37"/>
      <c r="E141" s="37"/>
      <c r="F141" s="37"/>
      <c r="G141" s="37"/>
      <c r="H141" s="1"/>
      <c r="I141" s="1"/>
      <c r="J141" s="1"/>
    </row>
    <row r="142" ht="15.75" customHeight="1">
      <c r="A142" s="36"/>
      <c r="B142" s="36"/>
      <c r="C142" s="37"/>
      <c r="D142" s="37"/>
      <c r="E142" s="37"/>
      <c r="F142" s="37"/>
      <c r="G142" s="37"/>
      <c r="H142" s="1"/>
      <c r="I142" s="1"/>
      <c r="J142" s="1"/>
    </row>
    <row r="143" ht="15.75" customHeight="1">
      <c r="A143" s="36"/>
      <c r="B143" s="36"/>
      <c r="C143" s="37"/>
      <c r="D143" s="37"/>
      <c r="E143" s="37"/>
      <c r="F143" s="37"/>
      <c r="G143" s="37"/>
      <c r="H143" s="1"/>
      <c r="I143" s="1"/>
      <c r="J143" s="1"/>
    </row>
    <row r="144" ht="15.75" customHeight="1">
      <c r="A144" s="36"/>
      <c r="B144" s="36"/>
      <c r="C144" s="37"/>
      <c r="D144" s="37"/>
      <c r="E144" s="37"/>
      <c r="F144" s="37"/>
      <c r="G144" s="37"/>
      <c r="H144" s="1"/>
      <c r="I144" s="1"/>
      <c r="J144" s="1"/>
    </row>
    <row r="145" ht="15.75" customHeight="1">
      <c r="A145" s="36"/>
      <c r="B145" s="36"/>
      <c r="C145" s="37"/>
      <c r="D145" s="37"/>
      <c r="E145" s="37"/>
      <c r="F145" s="37"/>
      <c r="G145" s="37"/>
      <c r="H145" s="1"/>
      <c r="I145" s="1"/>
      <c r="J145" s="1"/>
    </row>
    <row r="146" ht="15.75" customHeight="1">
      <c r="A146" s="36"/>
      <c r="B146" s="36"/>
      <c r="C146" s="37"/>
      <c r="D146" s="37"/>
      <c r="E146" s="37"/>
      <c r="F146" s="37"/>
      <c r="G146" s="37"/>
      <c r="H146" s="1"/>
      <c r="I146" s="1"/>
      <c r="J146" s="1"/>
    </row>
    <row r="147" ht="15.75" customHeight="1">
      <c r="A147" s="36"/>
      <c r="B147" s="36"/>
      <c r="C147" s="37"/>
      <c r="D147" s="37"/>
      <c r="E147" s="37"/>
      <c r="F147" s="37"/>
      <c r="G147" s="37"/>
      <c r="H147" s="1"/>
      <c r="I147" s="1"/>
      <c r="J147" s="1"/>
    </row>
    <row r="148" ht="15.75" customHeight="1">
      <c r="A148" s="36"/>
      <c r="B148" s="36"/>
      <c r="C148" s="37"/>
      <c r="D148" s="37"/>
      <c r="E148" s="37"/>
      <c r="F148" s="37"/>
      <c r="G148" s="37"/>
      <c r="H148" s="1"/>
      <c r="I148" s="1"/>
      <c r="J148" s="1"/>
    </row>
    <row r="149" ht="15.75" customHeight="1">
      <c r="A149" s="36"/>
      <c r="B149" s="36"/>
      <c r="C149" s="37"/>
      <c r="D149" s="37"/>
      <c r="E149" s="37"/>
      <c r="F149" s="37"/>
      <c r="G149" s="37"/>
      <c r="H149" s="1"/>
      <c r="I149" s="1"/>
      <c r="J149" s="1"/>
    </row>
    <row r="150" ht="15.75" customHeight="1">
      <c r="A150" s="36"/>
      <c r="B150" s="36"/>
      <c r="C150" s="37"/>
      <c r="D150" s="37"/>
      <c r="E150" s="37"/>
      <c r="F150" s="37"/>
      <c r="G150" s="37"/>
      <c r="H150" s="1"/>
      <c r="I150" s="1"/>
      <c r="J150" s="1"/>
    </row>
    <row r="151" ht="15.75" customHeight="1">
      <c r="A151" s="36"/>
      <c r="B151" s="36"/>
      <c r="C151" s="37"/>
      <c r="D151" s="37"/>
      <c r="E151" s="37"/>
      <c r="F151" s="37"/>
      <c r="G151" s="37"/>
      <c r="H151" s="1"/>
      <c r="I151" s="1"/>
      <c r="J151" s="1"/>
    </row>
    <row r="152" ht="15.75" customHeight="1">
      <c r="A152" s="36"/>
      <c r="B152" s="36"/>
      <c r="C152" s="37"/>
      <c r="D152" s="37"/>
      <c r="E152" s="37"/>
      <c r="F152" s="37"/>
      <c r="G152" s="37"/>
      <c r="H152" s="1"/>
      <c r="I152" s="1"/>
      <c r="J152" s="1"/>
    </row>
    <row r="153" ht="15.75" customHeight="1">
      <c r="A153" s="36"/>
      <c r="B153" s="36"/>
      <c r="C153" s="37"/>
      <c r="D153" s="37"/>
      <c r="E153" s="37"/>
      <c r="F153" s="37"/>
      <c r="G153" s="37"/>
      <c r="H153" s="1"/>
      <c r="I153" s="1"/>
      <c r="J153" s="1"/>
    </row>
    <row r="154" ht="15.75" customHeight="1">
      <c r="A154" s="36"/>
      <c r="B154" s="36"/>
      <c r="C154" s="37"/>
      <c r="D154" s="37"/>
      <c r="E154" s="37"/>
      <c r="F154" s="37"/>
      <c r="G154" s="37"/>
      <c r="H154" s="1"/>
      <c r="I154" s="1"/>
      <c r="J154" s="1"/>
    </row>
    <row r="155" ht="15.75" customHeight="1">
      <c r="A155" s="36"/>
      <c r="B155" s="36"/>
      <c r="C155" s="37"/>
      <c r="D155" s="37"/>
      <c r="E155" s="37"/>
      <c r="F155" s="37"/>
      <c r="G155" s="37"/>
      <c r="H155" s="1"/>
      <c r="I155" s="1"/>
      <c r="J155" s="1"/>
    </row>
    <row r="156" ht="15.75" customHeight="1">
      <c r="A156" s="36"/>
      <c r="B156" s="36"/>
      <c r="C156" s="37"/>
      <c r="D156" s="37"/>
      <c r="E156" s="37"/>
      <c r="F156" s="37"/>
      <c r="G156" s="37"/>
      <c r="H156" s="1"/>
      <c r="I156" s="1"/>
      <c r="J156" s="1"/>
    </row>
    <row r="157" ht="15.75" customHeight="1">
      <c r="A157" s="36"/>
      <c r="B157" s="36"/>
      <c r="C157" s="37"/>
      <c r="D157" s="37"/>
      <c r="E157" s="37"/>
      <c r="F157" s="37"/>
      <c r="G157" s="37"/>
      <c r="H157" s="1"/>
      <c r="I157" s="1"/>
      <c r="J157" s="1"/>
    </row>
    <row r="158" ht="15.75" customHeight="1">
      <c r="A158" s="36"/>
      <c r="B158" s="36"/>
      <c r="C158" s="37"/>
      <c r="D158" s="37"/>
      <c r="E158" s="37"/>
      <c r="F158" s="37"/>
      <c r="G158" s="37"/>
      <c r="H158" s="1"/>
      <c r="I158" s="1"/>
      <c r="J158" s="1"/>
    </row>
    <row r="159" ht="15.75" customHeight="1">
      <c r="A159" s="36"/>
      <c r="B159" s="36"/>
      <c r="C159" s="37"/>
      <c r="D159" s="37"/>
      <c r="E159" s="37"/>
      <c r="F159" s="37"/>
      <c r="G159" s="37"/>
      <c r="H159" s="1"/>
      <c r="I159" s="1"/>
      <c r="J159" s="1"/>
    </row>
    <row r="160" ht="15.75" customHeight="1">
      <c r="A160" s="36"/>
      <c r="B160" s="36"/>
      <c r="C160" s="37"/>
      <c r="D160" s="37"/>
      <c r="E160" s="37"/>
      <c r="F160" s="37"/>
      <c r="G160" s="37"/>
      <c r="H160" s="1"/>
      <c r="I160" s="1"/>
      <c r="J160" s="1"/>
    </row>
    <row r="161" ht="15.75" customHeight="1">
      <c r="A161" s="36"/>
      <c r="B161" s="36"/>
      <c r="C161" s="37"/>
      <c r="D161" s="37"/>
      <c r="E161" s="37"/>
      <c r="F161" s="37"/>
      <c r="G161" s="37"/>
      <c r="H161" s="1"/>
      <c r="I161" s="1"/>
      <c r="J161" s="1"/>
    </row>
    <row r="162" ht="15.75" customHeight="1">
      <c r="A162" s="36"/>
      <c r="B162" s="36"/>
      <c r="C162" s="37"/>
      <c r="D162" s="37"/>
      <c r="E162" s="37"/>
      <c r="F162" s="37"/>
      <c r="G162" s="37"/>
      <c r="H162" s="1"/>
      <c r="I162" s="1"/>
      <c r="J162" s="1"/>
    </row>
    <row r="163" ht="15.75" customHeight="1">
      <c r="A163" s="36"/>
      <c r="B163" s="36"/>
      <c r="C163" s="37"/>
      <c r="D163" s="37"/>
      <c r="E163" s="37"/>
      <c r="F163" s="37"/>
      <c r="G163" s="37"/>
      <c r="H163" s="1"/>
      <c r="I163" s="1"/>
      <c r="J163" s="1"/>
    </row>
    <row r="164" ht="15.75" customHeight="1">
      <c r="A164" s="36"/>
      <c r="B164" s="36"/>
      <c r="C164" s="37"/>
      <c r="D164" s="37"/>
      <c r="E164" s="37"/>
      <c r="F164" s="37"/>
      <c r="G164" s="37"/>
      <c r="H164" s="1"/>
      <c r="I164" s="1"/>
      <c r="J164" s="1"/>
    </row>
    <row r="165" ht="15.75" customHeight="1">
      <c r="A165" s="36"/>
      <c r="B165" s="36"/>
      <c r="C165" s="37"/>
      <c r="D165" s="37"/>
      <c r="E165" s="37"/>
      <c r="F165" s="37"/>
      <c r="G165" s="37"/>
      <c r="H165" s="1"/>
      <c r="I165" s="1"/>
      <c r="J165" s="1"/>
    </row>
    <row r="166" ht="15.75" customHeight="1">
      <c r="A166" s="36"/>
      <c r="B166" s="36"/>
      <c r="C166" s="37"/>
      <c r="D166" s="37"/>
      <c r="E166" s="37"/>
      <c r="F166" s="37"/>
      <c r="G166" s="37"/>
      <c r="H166" s="1"/>
      <c r="I166" s="1"/>
      <c r="J166" s="1"/>
    </row>
    <row r="167" ht="15.75" customHeight="1">
      <c r="A167" s="36"/>
      <c r="B167" s="36"/>
      <c r="C167" s="37"/>
      <c r="D167" s="37"/>
      <c r="E167" s="37"/>
      <c r="F167" s="37"/>
      <c r="G167" s="37"/>
      <c r="H167" s="1"/>
      <c r="I167" s="1"/>
      <c r="J167" s="1"/>
    </row>
    <row r="168" ht="15.75" customHeight="1">
      <c r="A168" s="36"/>
      <c r="B168" s="36"/>
      <c r="C168" s="37"/>
      <c r="D168" s="37"/>
      <c r="E168" s="37"/>
      <c r="F168" s="37"/>
      <c r="G168" s="37"/>
      <c r="H168" s="1"/>
      <c r="I168" s="1"/>
      <c r="J168" s="1"/>
    </row>
    <row r="169" ht="15.75" customHeight="1">
      <c r="A169" s="36"/>
      <c r="B169" s="36"/>
      <c r="C169" s="37"/>
      <c r="D169" s="37"/>
      <c r="E169" s="37"/>
      <c r="F169" s="37"/>
      <c r="G169" s="37"/>
      <c r="H169" s="1"/>
      <c r="I169" s="1"/>
      <c r="J169" s="1"/>
    </row>
    <row r="170" ht="15.75" customHeight="1">
      <c r="A170" s="36"/>
      <c r="B170" s="36"/>
      <c r="C170" s="37"/>
      <c r="D170" s="37"/>
      <c r="E170" s="37"/>
      <c r="F170" s="37"/>
      <c r="G170" s="37"/>
      <c r="H170" s="1"/>
      <c r="I170" s="1"/>
      <c r="J170" s="1"/>
    </row>
    <row r="171" ht="15.75" customHeight="1">
      <c r="A171" s="36"/>
      <c r="B171" s="36"/>
      <c r="C171" s="37"/>
      <c r="D171" s="37"/>
      <c r="E171" s="37"/>
      <c r="F171" s="37"/>
      <c r="G171" s="37"/>
      <c r="H171" s="1"/>
      <c r="I171" s="1"/>
      <c r="J171" s="1"/>
    </row>
    <row r="172" ht="15.75" customHeight="1">
      <c r="A172" s="36"/>
      <c r="B172" s="36"/>
      <c r="C172" s="37"/>
      <c r="D172" s="37"/>
      <c r="E172" s="37"/>
      <c r="F172" s="37"/>
      <c r="G172" s="37"/>
      <c r="H172" s="1"/>
      <c r="I172" s="1"/>
      <c r="J172" s="1"/>
    </row>
    <row r="173" ht="15.75" customHeight="1">
      <c r="A173" s="36"/>
      <c r="B173" s="36"/>
      <c r="C173" s="37"/>
      <c r="D173" s="37"/>
      <c r="E173" s="37"/>
      <c r="F173" s="37"/>
      <c r="G173" s="37"/>
      <c r="H173" s="1"/>
      <c r="I173" s="1"/>
      <c r="J173" s="1"/>
    </row>
    <row r="174" ht="15.75" customHeight="1">
      <c r="A174" s="36"/>
      <c r="B174" s="36"/>
      <c r="C174" s="37"/>
      <c r="D174" s="37"/>
      <c r="E174" s="37"/>
      <c r="F174" s="37"/>
      <c r="G174" s="37"/>
      <c r="H174" s="1"/>
      <c r="I174" s="1"/>
      <c r="J174" s="1"/>
    </row>
    <row r="175" ht="15.75" customHeight="1">
      <c r="A175" s="36"/>
      <c r="B175" s="36"/>
      <c r="C175" s="37"/>
      <c r="D175" s="37"/>
      <c r="E175" s="37"/>
      <c r="F175" s="37"/>
      <c r="G175" s="37"/>
      <c r="H175" s="1"/>
      <c r="I175" s="1"/>
      <c r="J175" s="1"/>
    </row>
    <row r="176" ht="15.75" customHeight="1">
      <c r="A176" s="36"/>
      <c r="B176" s="36"/>
      <c r="C176" s="37"/>
      <c r="D176" s="37"/>
      <c r="E176" s="37"/>
      <c r="F176" s="37"/>
      <c r="G176" s="37"/>
      <c r="H176" s="1"/>
      <c r="I176" s="1"/>
      <c r="J176" s="1"/>
    </row>
    <row r="177" ht="15.75" customHeight="1">
      <c r="A177" s="36"/>
      <c r="B177" s="36"/>
      <c r="C177" s="37"/>
      <c r="D177" s="37"/>
      <c r="E177" s="37"/>
      <c r="F177" s="37"/>
      <c r="G177" s="37"/>
      <c r="H177" s="1"/>
      <c r="I177" s="1"/>
      <c r="J177" s="1"/>
    </row>
    <row r="178" ht="15.75" customHeight="1">
      <c r="A178" s="36"/>
      <c r="B178" s="36"/>
      <c r="C178" s="37"/>
      <c r="D178" s="37"/>
      <c r="E178" s="37"/>
      <c r="F178" s="37"/>
      <c r="G178" s="37"/>
      <c r="H178" s="1"/>
      <c r="I178" s="1"/>
      <c r="J178" s="1"/>
    </row>
    <row r="179" ht="15.75" customHeight="1">
      <c r="A179" s="36"/>
      <c r="B179" s="36"/>
      <c r="C179" s="37"/>
      <c r="D179" s="37"/>
      <c r="E179" s="37"/>
      <c r="F179" s="37"/>
      <c r="G179" s="37"/>
      <c r="H179" s="1"/>
      <c r="I179" s="1"/>
      <c r="J179" s="1"/>
    </row>
    <row r="180" ht="15.75" customHeight="1">
      <c r="A180" s="36"/>
      <c r="B180" s="36"/>
      <c r="C180" s="37"/>
      <c r="D180" s="37"/>
      <c r="E180" s="37"/>
      <c r="F180" s="37"/>
      <c r="G180" s="37"/>
      <c r="H180" s="1"/>
      <c r="I180" s="1"/>
      <c r="J180" s="1"/>
    </row>
    <row r="181" ht="15.75" customHeight="1">
      <c r="A181" s="36"/>
      <c r="B181" s="36"/>
      <c r="C181" s="37"/>
      <c r="D181" s="37"/>
      <c r="E181" s="37"/>
      <c r="F181" s="37"/>
      <c r="G181" s="37"/>
      <c r="H181" s="1"/>
      <c r="I181" s="1"/>
      <c r="J181" s="1"/>
    </row>
    <row r="182" ht="15.75" customHeight="1">
      <c r="A182" s="36"/>
      <c r="B182" s="36"/>
      <c r="C182" s="37"/>
      <c r="D182" s="37"/>
      <c r="E182" s="37"/>
      <c r="F182" s="37"/>
      <c r="G182" s="37"/>
      <c r="H182" s="1"/>
      <c r="I182" s="1"/>
      <c r="J182" s="1"/>
    </row>
    <row r="183" ht="15.75" customHeight="1">
      <c r="A183" s="36"/>
      <c r="B183" s="36"/>
      <c r="C183" s="37"/>
      <c r="D183" s="37"/>
      <c r="E183" s="37"/>
      <c r="F183" s="37"/>
      <c r="G183" s="37"/>
      <c r="H183" s="1"/>
      <c r="I183" s="1"/>
      <c r="J183" s="1"/>
    </row>
    <row r="184" ht="15.75" customHeight="1">
      <c r="A184" s="36"/>
      <c r="B184" s="36"/>
      <c r="C184" s="37"/>
      <c r="D184" s="37"/>
      <c r="E184" s="37"/>
      <c r="F184" s="37"/>
      <c r="G184" s="37"/>
      <c r="H184" s="1"/>
      <c r="I184" s="1"/>
      <c r="J184" s="1"/>
    </row>
    <row r="185" ht="15.75" customHeight="1">
      <c r="A185" s="36"/>
      <c r="B185" s="36"/>
      <c r="C185" s="37"/>
      <c r="D185" s="37"/>
      <c r="E185" s="37"/>
      <c r="F185" s="37"/>
      <c r="G185" s="37"/>
      <c r="H185" s="1"/>
      <c r="I185" s="1"/>
      <c r="J185" s="1"/>
    </row>
    <row r="186" ht="15.75" customHeight="1">
      <c r="A186" s="36"/>
      <c r="B186" s="36"/>
      <c r="C186" s="37"/>
      <c r="D186" s="37"/>
      <c r="E186" s="37"/>
      <c r="F186" s="37"/>
      <c r="G186" s="37"/>
      <c r="H186" s="1"/>
      <c r="I186" s="1"/>
      <c r="J186" s="1"/>
    </row>
    <row r="187" ht="15.75" customHeight="1">
      <c r="A187" s="36"/>
      <c r="B187" s="36"/>
      <c r="C187" s="37"/>
      <c r="D187" s="37"/>
      <c r="E187" s="37"/>
      <c r="F187" s="37"/>
      <c r="G187" s="37"/>
      <c r="H187" s="1"/>
      <c r="I187" s="1"/>
      <c r="J187" s="1"/>
    </row>
    <row r="188" ht="15.75" customHeight="1">
      <c r="A188" s="36"/>
      <c r="B188" s="36"/>
      <c r="C188" s="37"/>
      <c r="D188" s="37"/>
      <c r="E188" s="37"/>
      <c r="F188" s="37"/>
      <c r="G188" s="37"/>
      <c r="H188" s="1"/>
      <c r="I188" s="1"/>
      <c r="J188" s="1"/>
    </row>
    <row r="189" ht="15.75" customHeight="1">
      <c r="A189" s="36"/>
      <c r="B189" s="36"/>
      <c r="C189" s="37"/>
      <c r="D189" s="37"/>
      <c r="E189" s="37"/>
      <c r="F189" s="37"/>
      <c r="G189" s="37"/>
      <c r="H189" s="1"/>
      <c r="I189" s="1"/>
      <c r="J189" s="1"/>
    </row>
    <row r="190" ht="15.75" customHeight="1">
      <c r="A190" s="36"/>
      <c r="B190" s="36"/>
      <c r="C190" s="37"/>
      <c r="D190" s="37"/>
      <c r="E190" s="37"/>
      <c r="F190" s="37"/>
      <c r="G190" s="37"/>
      <c r="H190" s="1"/>
      <c r="I190" s="1"/>
      <c r="J190" s="1"/>
    </row>
    <row r="191" ht="15.75" customHeight="1">
      <c r="A191" s="36"/>
      <c r="B191" s="36"/>
      <c r="C191" s="37"/>
      <c r="D191" s="37"/>
      <c r="E191" s="37"/>
      <c r="F191" s="37"/>
      <c r="G191" s="37"/>
      <c r="H191" s="1"/>
      <c r="I191" s="1"/>
      <c r="J191" s="1"/>
    </row>
    <row r="192" ht="15.75" customHeight="1">
      <c r="A192" s="36"/>
      <c r="B192" s="36"/>
      <c r="C192" s="37"/>
      <c r="D192" s="37"/>
      <c r="E192" s="37"/>
      <c r="F192" s="37"/>
      <c r="G192" s="37"/>
      <c r="H192" s="1"/>
      <c r="I192" s="1"/>
      <c r="J192" s="1"/>
    </row>
    <row r="193" ht="15.75" customHeight="1">
      <c r="A193" s="36"/>
      <c r="B193" s="36"/>
      <c r="C193" s="37"/>
      <c r="D193" s="37"/>
      <c r="E193" s="37"/>
      <c r="F193" s="37"/>
      <c r="G193" s="37"/>
      <c r="H193" s="1"/>
      <c r="I193" s="1"/>
      <c r="J193" s="1"/>
    </row>
    <row r="194" ht="15.75" customHeight="1">
      <c r="A194" s="36"/>
      <c r="B194" s="36"/>
      <c r="C194" s="37"/>
      <c r="D194" s="37"/>
      <c r="E194" s="37"/>
      <c r="F194" s="37"/>
      <c r="G194" s="37"/>
      <c r="H194" s="1"/>
      <c r="I194" s="1"/>
      <c r="J194" s="1"/>
    </row>
    <row r="195" ht="15.75" customHeight="1">
      <c r="A195" s="36"/>
      <c r="B195" s="36"/>
      <c r="C195" s="37"/>
      <c r="D195" s="37"/>
      <c r="E195" s="37"/>
      <c r="F195" s="37"/>
      <c r="G195" s="37"/>
      <c r="H195" s="1"/>
      <c r="I195" s="1"/>
      <c r="J195" s="1"/>
    </row>
    <row r="196" ht="15.75" customHeight="1">
      <c r="A196" s="36"/>
      <c r="B196" s="36"/>
      <c r="C196" s="37"/>
      <c r="D196" s="37"/>
      <c r="E196" s="37"/>
      <c r="F196" s="37"/>
      <c r="G196" s="37"/>
      <c r="H196" s="1"/>
      <c r="I196" s="1"/>
      <c r="J196" s="1"/>
    </row>
    <row r="197" ht="15.75" customHeight="1">
      <c r="A197" s="36"/>
      <c r="B197" s="36"/>
      <c r="C197" s="37"/>
      <c r="D197" s="37"/>
      <c r="E197" s="37"/>
      <c r="F197" s="37"/>
      <c r="G197" s="37"/>
      <c r="H197" s="1"/>
      <c r="I197" s="1"/>
      <c r="J197" s="1"/>
    </row>
    <row r="198" ht="15.75" customHeight="1">
      <c r="A198" s="36"/>
      <c r="B198" s="36"/>
      <c r="C198" s="37"/>
      <c r="D198" s="37"/>
      <c r="E198" s="37"/>
      <c r="F198" s="37"/>
      <c r="G198" s="37"/>
      <c r="H198" s="1"/>
      <c r="I198" s="1"/>
      <c r="J198" s="1"/>
    </row>
    <row r="199" ht="15.75" customHeight="1">
      <c r="A199" s="36"/>
      <c r="B199" s="36"/>
      <c r="C199" s="37"/>
      <c r="D199" s="37"/>
      <c r="E199" s="37"/>
      <c r="F199" s="37"/>
      <c r="G199" s="37"/>
      <c r="H199" s="1"/>
      <c r="I199" s="1"/>
      <c r="J199" s="1"/>
    </row>
    <row r="200" ht="15.75" customHeight="1">
      <c r="A200" s="36"/>
      <c r="B200" s="36"/>
      <c r="C200" s="37"/>
      <c r="D200" s="37"/>
      <c r="E200" s="37"/>
      <c r="F200" s="37"/>
      <c r="G200" s="37"/>
      <c r="H200" s="1"/>
      <c r="I200" s="1"/>
      <c r="J200" s="1"/>
    </row>
    <row r="201" ht="15.75" customHeight="1">
      <c r="A201" s="36"/>
      <c r="B201" s="36"/>
      <c r="C201" s="37"/>
      <c r="D201" s="37"/>
      <c r="E201" s="37"/>
      <c r="F201" s="37"/>
      <c r="G201" s="37"/>
      <c r="H201" s="1"/>
      <c r="I201" s="1"/>
      <c r="J201" s="1"/>
    </row>
    <row r="202" ht="15.75" customHeight="1">
      <c r="A202" s="36"/>
      <c r="B202" s="36"/>
      <c r="C202" s="37"/>
      <c r="D202" s="37"/>
      <c r="E202" s="37"/>
      <c r="F202" s="37"/>
      <c r="G202" s="37"/>
      <c r="H202" s="1"/>
      <c r="I202" s="1"/>
      <c r="J202" s="1"/>
    </row>
    <row r="203" ht="15.75" customHeight="1">
      <c r="A203" s="36"/>
      <c r="B203" s="36"/>
      <c r="C203" s="37"/>
      <c r="D203" s="37"/>
      <c r="E203" s="37"/>
      <c r="F203" s="37"/>
      <c r="G203" s="37"/>
      <c r="H203" s="1"/>
      <c r="I203" s="1"/>
      <c r="J203" s="1"/>
    </row>
    <row r="204" ht="15.75" customHeight="1">
      <c r="A204" s="36"/>
      <c r="B204" s="36"/>
      <c r="C204" s="37"/>
      <c r="D204" s="37"/>
      <c r="E204" s="37"/>
      <c r="F204" s="37"/>
      <c r="G204" s="37"/>
      <c r="H204" s="1"/>
      <c r="I204" s="1"/>
      <c r="J204" s="1"/>
    </row>
    <row r="205" ht="15.75" customHeight="1">
      <c r="A205" s="36"/>
      <c r="B205" s="36"/>
      <c r="C205" s="37"/>
      <c r="D205" s="37"/>
      <c r="E205" s="37"/>
      <c r="F205" s="37"/>
      <c r="G205" s="37"/>
      <c r="H205" s="1"/>
      <c r="I205" s="1"/>
      <c r="J205" s="1"/>
    </row>
    <row r="206" ht="15.75" customHeight="1">
      <c r="A206" s="36"/>
      <c r="B206" s="36"/>
      <c r="C206" s="37"/>
      <c r="D206" s="37"/>
      <c r="E206" s="37"/>
      <c r="F206" s="37"/>
      <c r="G206" s="37"/>
      <c r="H206" s="1"/>
      <c r="I206" s="1"/>
      <c r="J206" s="1"/>
    </row>
    <row r="207" ht="15.75" customHeight="1">
      <c r="A207" s="36"/>
      <c r="B207" s="36"/>
      <c r="C207" s="37"/>
      <c r="D207" s="37"/>
      <c r="E207" s="37"/>
      <c r="F207" s="37"/>
      <c r="G207" s="37"/>
      <c r="H207" s="1"/>
      <c r="I207" s="1"/>
      <c r="J207" s="1"/>
    </row>
    <row r="208" ht="15.75" customHeight="1">
      <c r="A208" s="36"/>
      <c r="B208" s="36"/>
      <c r="C208" s="37"/>
      <c r="D208" s="37"/>
      <c r="E208" s="37"/>
      <c r="F208" s="37"/>
      <c r="G208" s="37"/>
      <c r="H208" s="1"/>
      <c r="I208" s="1"/>
      <c r="J208" s="1"/>
    </row>
    <row r="209" ht="15.75" customHeight="1">
      <c r="A209" s="36"/>
      <c r="B209" s="36"/>
      <c r="C209" s="37"/>
      <c r="D209" s="37"/>
      <c r="E209" s="37"/>
      <c r="F209" s="37"/>
      <c r="G209" s="37"/>
      <c r="H209" s="1"/>
      <c r="I209" s="1"/>
      <c r="J209" s="1"/>
    </row>
    <row r="210" ht="15.75" customHeight="1">
      <c r="A210" s="36"/>
      <c r="B210" s="36"/>
      <c r="C210" s="37"/>
      <c r="D210" s="37"/>
      <c r="E210" s="37"/>
      <c r="F210" s="37"/>
      <c r="G210" s="37"/>
      <c r="H210" s="1"/>
      <c r="I210" s="1"/>
      <c r="J210" s="1"/>
    </row>
    <row r="211" ht="15.75" customHeight="1">
      <c r="A211" s="36"/>
      <c r="B211" s="36"/>
      <c r="C211" s="37"/>
      <c r="D211" s="37"/>
      <c r="E211" s="37"/>
      <c r="F211" s="37"/>
      <c r="G211" s="37"/>
      <c r="H211" s="1"/>
      <c r="I211" s="1"/>
      <c r="J211" s="1"/>
    </row>
    <row r="212" ht="15.75" customHeight="1">
      <c r="A212" s="36"/>
      <c r="B212" s="36"/>
      <c r="C212" s="37"/>
      <c r="D212" s="37"/>
      <c r="E212" s="37"/>
      <c r="F212" s="37"/>
      <c r="G212" s="37"/>
      <c r="H212" s="1"/>
      <c r="I212" s="1"/>
      <c r="J212" s="1"/>
    </row>
    <row r="213" ht="15.75" customHeight="1">
      <c r="A213" s="36"/>
      <c r="B213" s="36"/>
      <c r="C213" s="37"/>
      <c r="D213" s="37"/>
      <c r="E213" s="37"/>
      <c r="F213" s="37"/>
      <c r="G213" s="37"/>
      <c r="H213" s="1"/>
      <c r="I213" s="1"/>
      <c r="J213" s="1"/>
    </row>
    <row r="214" ht="15.75" customHeight="1">
      <c r="A214" s="36"/>
      <c r="B214" s="36"/>
      <c r="C214" s="37"/>
      <c r="D214" s="37"/>
      <c r="E214" s="37"/>
      <c r="F214" s="37"/>
      <c r="G214" s="37"/>
      <c r="H214" s="1"/>
      <c r="I214" s="1"/>
      <c r="J214" s="1"/>
    </row>
    <row r="215" ht="15.75" customHeight="1">
      <c r="A215" s="36"/>
      <c r="B215" s="36"/>
      <c r="C215" s="37"/>
      <c r="D215" s="37"/>
      <c r="E215" s="37"/>
      <c r="F215" s="37"/>
      <c r="G215" s="37"/>
      <c r="H215" s="1"/>
      <c r="I215" s="1"/>
      <c r="J215" s="1"/>
    </row>
    <row r="216" ht="15.75" customHeight="1">
      <c r="A216" s="36"/>
      <c r="B216" s="36"/>
      <c r="C216" s="37"/>
      <c r="D216" s="37"/>
      <c r="E216" s="37"/>
      <c r="F216" s="37"/>
      <c r="G216" s="37"/>
      <c r="H216" s="1"/>
      <c r="I216" s="1"/>
      <c r="J216" s="1"/>
    </row>
    <row r="217" ht="15.75" customHeight="1">
      <c r="A217" s="36"/>
      <c r="B217" s="36"/>
      <c r="C217" s="37"/>
      <c r="D217" s="37"/>
      <c r="E217" s="37"/>
      <c r="F217" s="37"/>
      <c r="G217" s="37"/>
      <c r="H217" s="1"/>
      <c r="I217" s="1"/>
      <c r="J217" s="1"/>
    </row>
    <row r="218" ht="15.75" customHeight="1">
      <c r="A218" s="36"/>
      <c r="B218" s="36"/>
      <c r="C218" s="37"/>
      <c r="D218" s="37"/>
      <c r="E218" s="37"/>
      <c r="F218" s="37"/>
      <c r="G218" s="37"/>
      <c r="H218" s="1"/>
      <c r="I218" s="1"/>
      <c r="J218" s="1"/>
    </row>
    <row r="219" ht="15.75" customHeight="1">
      <c r="A219" s="36"/>
      <c r="B219" s="36"/>
      <c r="C219" s="37"/>
      <c r="D219" s="37"/>
      <c r="E219" s="37"/>
      <c r="F219" s="37"/>
      <c r="G219" s="37"/>
      <c r="H219" s="1"/>
      <c r="I219" s="1"/>
      <c r="J219" s="1"/>
    </row>
    <row r="220" ht="15.75" customHeight="1">
      <c r="A220" s="36"/>
      <c r="B220" s="36"/>
      <c r="C220" s="37"/>
      <c r="D220" s="37"/>
      <c r="E220" s="37"/>
      <c r="F220" s="37"/>
      <c r="G220" s="37"/>
      <c r="H220" s="1"/>
      <c r="I220" s="1"/>
      <c r="J220" s="1"/>
    </row>
    <row r="221" ht="15.75" customHeight="1">
      <c r="A221" s="36"/>
      <c r="B221" s="36"/>
      <c r="C221" s="37"/>
      <c r="D221" s="37"/>
      <c r="E221" s="37"/>
      <c r="F221" s="37"/>
      <c r="G221" s="37"/>
      <c r="H221" s="1"/>
      <c r="I221" s="1"/>
      <c r="J221" s="1"/>
    </row>
    <row r="222" ht="15.75" customHeight="1">
      <c r="A222" s="36"/>
      <c r="B222" s="36"/>
      <c r="C222" s="37"/>
      <c r="D222" s="37"/>
      <c r="E222" s="37"/>
      <c r="F222" s="37"/>
      <c r="G222" s="37"/>
      <c r="H222" s="1"/>
      <c r="I222" s="1"/>
      <c r="J222" s="1"/>
    </row>
    <row r="223" ht="15.75" customHeight="1">
      <c r="A223" s="36"/>
      <c r="B223" s="36"/>
      <c r="C223" s="37"/>
      <c r="D223" s="37"/>
      <c r="E223" s="37"/>
      <c r="F223" s="37"/>
      <c r="G223" s="37"/>
      <c r="H223" s="1"/>
      <c r="I223" s="1"/>
      <c r="J223" s="1"/>
    </row>
    <row r="224" ht="15.75" customHeight="1">
      <c r="A224" s="36"/>
      <c r="B224" s="36"/>
      <c r="C224" s="37"/>
      <c r="D224" s="37"/>
      <c r="E224" s="37"/>
      <c r="F224" s="37"/>
      <c r="G224" s="37"/>
      <c r="H224" s="1"/>
      <c r="I224" s="1"/>
      <c r="J224" s="1"/>
    </row>
    <row r="225" ht="15.75" customHeight="1">
      <c r="A225" s="36"/>
      <c r="B225" s="36"/>
      <c r="C225" s="37"/>
      <c r="D225" s="37"/>
      <c r="E225" s="37"/>
      <c r="F225" s="37"/>
      <c r="G225" s="37"/>
      <c r="H225" s="1"/>
      <c r="I225" s="1"/>
      <c r="J225" s="1"/>
    </row>
    <row r="226" ht="15.75" customHeight="1">
      <c r="A226" s="36"/>
      <c r="B226" s="36"/>
      <c r="C226" s="37"/>
      <c r="D226" s="37"/>
      <c r="E226" s="37"/>
      <c r="F226" s="37"/>
      <c r="G226" s="37"/>
      <c r="H226" s="1"/>
      <c r="I226" s="1"/>
      <c r="J226" s="1"/>
    </row>
    <row r="227" ht="15.75" customHeight="1">
      <c r="A227" s="36"/>
      <c r="B227" s="36"/>
      <c r="C227" s="37"/>
      <c r="D227" s="37"/>
      <c r="E227" s="37"/>
      <c r="F227" s="37"/>
      <c r="G227" s="37"/>
      <c r="H227" s="1"/>
      <c r="I227" s="1"/>
      <c r="J227" s="1"/>
    </row>
    <row r="228" ht="15.75" customHeight="1">
      <c r="A228" s="36"/>
      <c r="B228" s="36"/>
      <c r="C228" s="37"/>
      <c r="D228" s="37"/>
      <c r="E228" s="37"/>
      <c r="F228" s="37"/>
      <c r="G228" s="37"/>
      <c r="H228" s="1"/>
      <c r="I228" s="1"/>
      <c r="J228" s="1"/>
    </row>
    <row r="229" ht="15.75" customHeight="1">
      <c r="A229" s="36"/>
      <c r="B229" s="36"/>
      <c r="C229" s="37"/>
      <c r="D229" s="37"/>
      <c r="E229" s="37"/>
      <c r="F229" s="37"/>
      <c r="G229" s="37"/>
      <c r="H229" s="1"/>
      <c r="I229" s="1"/>
      <c r="J229" s="1"/>
    </row>
    <row r="230" ht="15.75" customHeight="1">
      <c r="A230" s="36"/>
      <c r="B230" s="36"/>
      <c r="C230" s="37"/>
      <c r="D230" s="37"/>
      <c r="E230" s="37"/>
      <c r="F230" s="37"/>
      <c r="G230" s="37"/>
      <c r="H230" s="1"/>
      <c r="I230" s="1"/>
      <c r="J230" s="1"/>
    </row>
    <row r="231" ht="15.75" customHeight="1">
      <c r="A231" s="36"/>
      <c r="B231" s="36"/>
      <c r="C231" s="37"/>
      <c r="D231" s="37"/>
      <c r="E231" s="37"/>
      <c r="F231" s="37"/>
      <c r="G231" s="37"/>
      <c r="H231" s="1"/>
      <c r="I231" s="1"/>
      <c r="J231" s="1"/>
    </row>
    <row r="232" ht="15.75" customHeight="1">
      <c r="A232" s="36"/>
      <c r="B232" s="36"/>
      <c r="C232" s="37"/>
      <c r="D232" s="37"/>
      <c r="E232" s="37"/>
      <c r="F232" s="37"/>
      <c r="G232" s="37"/>
      <c r="H232" s="1"/>
      <c r="I232" s="1"/>
      <c r="J232" s="1"/>
    </row>
    <row r="233" ht="15.75" customHeight="1">
      <c r="A233" s="36"/>
      <c r="B233" s="36"/>
      <c r="C233" s="37"/>
      <c r="D233" s="37"/>
      <c r="E233" s="37"/>
      <c r="F233" s="37"/>
      <c r="G233" s="37"/>
      <c r="H233" s="1"/>
      <c r="I233" s="1"/>
      <c r="J233" s="1"/>
    </row>
    <row r="234" ht="15.75" customHeight="1">
      <c r="A234" s="36"/>
      <c r="B234" s="36"/>
      <c r="C234" s="37"/>
      <c r="D234" s="37"/>
      <c r="E234" s="37"/>
      <c r="F234" s="37"/>
      <c r="G234" s="37"/>
      <c r="H234" s="1"/>
      <c r="I234" s="1"/>
      <c r="J234" s="1"/>
    </row>
    <row r="235" ht="15.75" customHeight="1">
      <c r="A235" s="36"/>
      <c r="B235" s="36"/>
      <c r="C235" s="37"/>
      <c r="D235" s="37"/>
      <c r="E235" s="37"/>
      <c r="F235" s="37"/>
      <c r="G235" s="37"/>
      <c r="H235" s="1"/>
      <c r="I235" s="1"/>
      <c r="J235" s="1"/>
    </row>
    <row r="236" ht="15.75" customHeight="1">
      <c r="A236" s="36"/>
      <c r="B236" s="36"/>
      <c r="C236" s="37"/>
      <c r="D236" s="37"/>
      <c r="E236" s="37"/>
      <c r="F236" s="37"/>
      <c r="G236" s="37"/>
      <c r="H236" s="1"/>
      <c r="I236" s="1"/>
      <c r="J236" s="1"/>
    </row>
    <row r="237" ht="15.75" customHeight="1">
      <c r="A237" s="36"/>
      <c r="B237" s="36"/>
      <c r="C237" s="37"/>
      <c r="D237" s="37"/>
      <c r="E237" s="37"/>
      <c r="F237" s="37"/>
      <c r="G237" s="37"/>
      <c r="H237" s="1"/>
      <c r="I237" s="1"/>
      <c r="J237" s="1"/>
    </row>
    <row r="238" ht="15.75" customHeight="1">
      <c r="A238" s="36"/>
      <c r="B238" s="36"/>
      <c r="C238" s="37"/>
      <c r="D238" s="37"/>
      <c r="E238" s="37"/>
      <c r="F238" s="37"/>
      <c r="G238" s="37"/>
      <c r="H238" s="1"/>
      <c r="I238" s="1"/>
      <c r="J238" s="1"/>
    </row>
    <row r="239" ht="15.75" customHeight="1">
      <c r="A239" s="36"/>
      <c r="B239" s="36"/>
      <c r="C239" s="37"/>
      <c r="D239" s="37"/>
      <c r="E239" s="37"/>
      <c r="F239" s="37"/>
      <c r="G239" s="37"/>
      <c r="H239" s="1"/>
      <c r="I239" s="1"/>
      <c r="J239" s="1"/>
    </row>
    <row r="240" ht="15.75" customHeight="1">
      <c r="A240" s="36"/>
      <c r="B240" s="36"/>
      <c r="C240" s="37"/>
      <c r="D240" s="37"/>
      <c r="E240" s="37"/>
      <c r="F240" s="37"/>
      <c r="G240" s="37"/>
      <c r="H240" s="1"/>
      <c r="I240" s="1"/>
      <c r="J240" s="1"/>
    </row>
    <row r="241" ht="15.75" customHeight="1">
      <c r="A241" s="36"/>
      <c r="B241" s="36"/>
      <c r="C241" s="37"/>
      <c r="D241" s="37"/>
      <c r="E241" s="37"/>
      <c r="F241" s="37"/>
      <c r="G241" s="37"/>
      <c r="H241" s="1"/>
      <c r="I241" s="1"/>
      <c r="J241" s="1"/>
    </row>
    <row r="242" ht="15.75" customHeight="1">
      <c r="A242" s="36"/>
      <c r="B242" s="36"/>
      <c r="C242" s="37"/>
      <c r="D242" s="37"/>
      <c r="E242" s="37"/>
      <c r="F242" s="37"/>
      <c r="G242" s="37"/>
      <c r="H242" s="1"/>
      <c r="I242" s="1"/>
      <c r="J242" s="1"/>
    </row>
    <row r="243" ht="15.75" customHeight="1">
      <c r="A243" s="36"/>
      <c r="B243" s="36"/>
      <c r="C243" s="37"/>
      <c r="D243" s="37"/>
      <c r="E243" s="37"/>
      <c r="F243" s="37"/>
      <c r="G243" s="37"/>
      <c r="H243" s="1"/>
      <c r="I243" s="1"/>
      <c r="J243" s="1"/>
    </row>
    <row r="244" ht="15.75" customHeight="1">
      <c r="A244" s="36"/>
      <c r="B244" s="36"/>
      <c r="C244" s="37"/>
      <c r="D244" s="37"/>
      <c r="E244" s="37"/>
      <c r="F244" s="37"/>
      <c r="G244" s="37"/>
      <c r="H244" s="1"/>
      <c r="I244" s="1"/>
      <c r="J244" s="1"/>
    </row>
    <row r="245" ht="15.75" customHeight="1">
      <c r="A245" s="36"/>
      <c r="B245" s="36"/>
      <c r="C245" s="37"/>
      <c r="D245" s="37"/>
      <c r="E245" s="37"/>
      <c r="F245" s="37"/>
      <c r="G245" s="37"/>
      <c r="H245" s="1"/>
      <c r="I245" s="1"/>
      <c r="J245" s="1"/>
    </row>
    <row r="246" ht="15.75" customHeight="1">
      <c r="A246" s="36"/>
      <c r="B246" s="36"/>
      <c r="C246" s="37"/>
      <c r="D246" s="37"/>
      <c r="E246" s="37"/>
      <c r="F246" s="37"/>
      <c r="G246" s="37"/>
      <c r="H246" s="1"/>
      <c r="I246" s="1"/>
      <c r="J246" s="1"/>
    </row>
    <row r="247" ht="15.75" customHeight="1">
      <c r="A247" s="36"/>
      <c r="B247" s="36"/>
      <c r="C247" s="37"/>
      <c r="D247" s="37"/>
      <c r="E247" s="37"/>
      <c r="F247" s="37"/>
      <c r="G247" s="37"/>
      <c r="H247" s="1"/>
      <c r="I247" s="1"/>
      <c r="J247" s="1"/>
    </row>
    <row r="248" ht="15.75" customHeight="1">
      <c r="A248" s="36"/>
      <c r="B248" s="36"/>
      <c r="C248" s="37"/>
      <c r="D248" s="37"/>
      <c r="E248" s="37"/>
      <c r="F248" s="37"/>
      <c r="G248" s="37"/>
      <c r="H248" s="1"/>
      <c r="I248" s="1"/>
      <c r="J248" s="1"/>
    </row>
    <row r="249" ht="15.75" customHeight="1">
      <c r="A249" s="36"/>
      <c r="B249" s="36"/>
      <c r="C249" s="37"/>
      <c r="D249" s="37"/>
      <c r="E249" s="37"/>
      <c r="F249" s="37"/>
      <c r="G249" s="37"/>
      <c r="H249" s="1"/>
      <c r="I249" s="1"/>
      <c r="J249" s="1"/>
    </row>
    <row r="250" ht="15.75" customHeight="1">
      <c r="A250" s="36"/>
      <c r="B250" s="36"/>
      <c r="C250" s="37"/>
      <c r="D250" s="37"/>
      <c r="E250" s="37"/>
      <c r="F250" s="37"/>
      <c r="G250" s="37"/>
      <c r="H250" s="1"/>
      <c r="I250" s="1"/>
      <c r="J250" s="1"/>
    </row>
    <row r="251" ht="15.75" customHeight="1">
      <c r="A251" s="36"/>
      <c r="B251" s="36"/>
      <c r="C251" s="37"/>
      <c r="D251" s="37"/>
      <c r="E251" s="37"/>
      <c r="F251" s="37"/>
      <c r="G251" s="37"/>
      <c r="H251" s="1"/>
      <c r="I251" s="1"/>
      <c r="J251" s="1"/>
    </row>
    <row r="252" ht="15.75" customHeight="1">
      <c r="A252" s="36"/>
      <c r="B252" s="36"/>
      <c r="C252" s="37"/>
      <c r="D252" s="37"/>
      <c r="E252" s="37"/>
      <c r="F252" s="37"/>
      <c r="G252" s="37"/>
      <c r="H252" s="1"/>
      <c r="I252" s="1"/>
      <c r="J252" s="1"/>
    </row>
    <row r="253" ht="15.75" customHeight="1">
      <c r="A253" s="36"/>
      <c r="B253" s="36"/>
      <c r="C253" s="37"/>
      <c r="D253" s="37"/>
      <c r="E253" s="37"/>
      <c r="F253" s="37"/>
      <c r="G253" s="37"/>
      <c r="H253" s="1"/>
      <c r="I253" s="1"/>
      <c r="J253" s="1"/>
    </row>
    <row r="254" ht="15.75" customHeight="1">
      <c r="A254" s="36"/>
      <c r="B254" s="36"/>
      <c r="C254" s="37"/>
      <c r="D254" s="37"/>
      <c r="E254" s="37"/>
      <c r="F254" s="37"/>
      <c r="G254" s="37"/>
      <c r="H254" s="1"/>
      <c r="I254" s="1"/>
      <c r="J254" s="1"/>
    </row>
    <row r="255" ht="15.75" customHeight="1">
      <c r="A255" s="36"/>
      <c r="B255" s="36"/>
      <c r="C255" s="37"/>
      <c r="D255" s="37"/>
      <c r="E255" s="37"/>
      <c r="F255" s="37"/>
      <c r="G255" s="37"/>
      <c r="H255" s="1"/>
      <c r="I255" s="1"/>
      <c r="J255" s="1"/>
    </row>
    <row r="256" ht="15.75" customHeight="1">
      <c r="A256" s="36"/>
      <c r="B256" s="36"/>
      <c r="C256" s="37"/>
      <c r="D256" s="37"/>
      <c r="E256" s="37"/>
      <c r="F256" s="37"/>
      <c r="G256" s="37"/>
      <c r="H256" s="1"/>
      <c r="I256" s="1"/>
      <c r="J256" s="1"/>
    </row>
    <row r="257" ht="15.75" customHeight="1">
      <c r="A257" s="36"/>
      <c r="B257" s="36"/>
      <c r="C257" s="37"/>
      <c r="D257" s="37"/>
      <c r="E257" s="37"/>
      <c r="F257" s="37"/>
      <c r="G257" s="37"/>
      <c r="H257" s="1"/>
      <c r="I257" s="1"/>
      <c r="J257" s="1"/>
    </row>
    <row r="258" ht="15.75" customHeight="1">
      <c r="A258" s="36"/>
      <c r="B258" s="36"/>
      <c r="C258" s="37"/>
      <c r="D258" s="37"/>
      <c r="E258" s="37"/>
      <c r="F258" s="37"/>
      <c r="G258" s="37"/>
      <c r="H258" s="1"/>
      <c r="I258" s="1"/>
      <c r="J258" s="1"/>
    </row>
    <row r="259" ht="15.75" customHeight="1">
      <c r="A259" s="36"/>
      <c r="B259" s="36"/>
      <c r="C259" s="37"/>
      <c r="D259" s="37"/>
      <c r="E259" s="37"/>
      <c r="F259" s="37"/>
      <c r="G259" s="37"/>
      <c r="H259" s="1"/>
      <c r="I259" s="1"/>
      <c r="J259" s="1"/>
    </row>
    <row r="260" ht="15.75" customHeight="1">
      <c r="A260" s="36"/>
      <c r="B260" s="36"/>
      <c r="C260" s="37"/>
      <c r="D260" s="37"/>
      <c r="E260" s="37"/>
      <c r="F260" s="37"/>
      <c r="G260" s="37"/>
      <c r="H260" s="1"/>
      <c r="I260" s="1"/>
      <c r="J260" s="1"/>
    </row>
    <row r="261" ht="15.75" customHeight="1">
      <c r="A261" s="36"/>
      <c r="B261" s="36"/>
      <c r="C261" s="37"/>
      <c r="D261" s="37"/>
      <c r="E261" s="37"/>
      <c r="F261" s="37"/>
      <c r="G261" s="37"/>
      <c r="H261" s="1"/>
      <c r="I261" s="1"/>
      <c r="J261" s="1"/>
    </row>
    <row r="262" ht="15.75" customHeight="1">
      <c r="A262" s="36"/>
      <c r="B262" s="36"/>
      <c r="C262" s="37"/>
      <c r="D262" s="37"/>
      <c r="E262" s="37"/>
      <c r="F262" s="37"/>
      <c r="G262" s="37"/>
      <c r="H262" s="1"/>
      <c r="I262" s="1"/>
      <c r="J262" s="1"/>
    </row>
    <row r="263" ht="15.75" customHeight="1">
      <c r="A263" s="36"/>
      <c r="B263" s="36"/>
      <c r="C263" s="37"/>
      <c r="D263" s="37"/>
      <c r="E263" s="37"/>
      <c r="F263" s="37"/>
      <c r="G263" s="37"/>
      <c r="H263" s="1"/>
      <c r="I263" s="1"/>
      <c r="J263" s="1"/>
    </row>
    <row r="264" ht="15.75" customHeight="1">
      <c r="A264" s="36"/>
      <c r="B264" s="36"/>
      <c r="C264" s="37"/>
      <c r="D264" s="37"/>
      <c r="E264" s="37"/>
      <c r="F264" s="37"/>
      <c r="G264" s="37"/>
      <c r="H264" s="1"/>
      <c r="I264" s="1"/>
      <c r="J264" s="1"/>
    </row>
    <row r="265" ht="15.75" customHeight="1">
      <c r="A265" s="36"/>
      <c r="B265" s="36"/>
      <c r="C265" s="37"/>
      <c r="D265" s="37"/>
      <c r="E265" s="37"/>
      <c r="F265" s="37"/>
      <c r="G265" s="37"/>
      <c r="H265" s="1"/>
      <c r="I265" s="1"/>
      <c r="J265" s="1"/>
    </row>
    <row r="266" ht="15.75" customHeight="1">
      <c r="A266" s="36"/>
      <c r="B266" s="36"/>
      <c r="C266" s="37"/>
      <c r="D266" s="37"/>
      <c r="E266" s="37"/>
      <c r="F266" s="37"/>
      <c r="G266" s="37"/>
      <c r="H266" s="1"/>
      <c r="I266" s="1"/>
      <c r="J266" s="1"/>
    </row>
    <row r="267" ht="15.75" customHeight="1">
      <c r="A267" s="36"/>
      <c r="B267" s="36"/>
      <c r="C267" s="37"/>
      <c r="D267" s="37"/>
      <c r="E267" s="37"/>
      <c r="F267" s="37"/>
      <c r="G267" s="37"/>
      <c r="H267" s="1"/>
      <c r="I267" s="1"/>
      <c r="J267" s="1"/>
    </row>
    <row r="268" ht="15.75" customHeight="1">
      <c r="A268" s="36"/>
      <c r="B268" s="36"/>
      <c r="C268" s="37"/>
      <c r="D268" s="37"/>
      <c r="E268" s="37"/>
      <c r="F268" s="37"/>
      <c r="G268" s="37"/>
      <c r="H268" s="1"/>
      <c r="I268" s="1"/>
      <c r="J268" s="1"/>
    </row>
    <row r="269" ht="15.75" customHeight="1">
      <c r="A269" s="36"/>
      <c r="B269" s="36"/>
      <c r="C269" s="37"/>
      <c r="D269" s="37"/>
      <c r="E269" s="37"/>
      <c r="F269" s="37"/>
      <c r="G269" s="37"/>
      <c r="H269" s="1"/>
      <c r="I269" s="1"/>
      <c r="J269" s="1"/>
    </row>
    <row r="270" ht="15.75" customHeight="1">
      <c r="A270" s="36"/>
      <c r="B270" s="36"/>
      <c r="C270" s="37"/>
      <c r="D270" s="37"/>
      <c r="E270" s="37"/>
      <c r="F270" s="37"/>
      <c r="G270" s="37"/>
      <c r="H270" s="1"/>
      <c r="I270" s="1"/>
      <c r="J270" s="1"/>
    </row>
    <row r="271" ht="15.75" customHeight="1">
      <c r="A271" s="36"/>
      <c r="B271" s="36"/>
      <c r="C271" s="37"/>
      <c r="D271" s="37"/>
      <c r="E271" s="37"/>
      <c r="F271" s="37"/>
      <c r="G271" s="37"/>
      <c r="H271" s="1"/>
      <c r="I271" s="1"/>
      <c r="J271" s="1"/>
    </row>
    <row r="272" ht="15.75" customHeight="1">
      <c r="A272" s="36"/>
      <c r="B272" s="36"/>
      <c r="C272" s="37"/>
      <c r="D272" s="37"/>
      <c r="E272" s="37"/>
      <c r="F272" s="37"/>
      <c r="G272" s="37"/>
      <c r="H272" s="1"/>
      <c r="I272" s="1"/>
      <c r="J272" s="1"/>
    </row>
    <row r="273" ht="15.75" customHeight="1">
      <c r="A273" s="36"/>
      <c r="B273" s="36"/>
      <c r="C273" s="37"/>
      <c r="D273" s="37"/>
      <c r="E273" s="37"/>
      <c r="F273" s="37"/>
      <c r="G273" s="37"/>
      <c r="H273" s="1"/>
      <c r="I273" s="1"/>
      <c r="J273" s="1"/>
    </row>
    <row r="274" ht="15.75" customHeight="1">
      <c r="A274" s="36"/>
      <c r="B274" s="36"/>
      <c r="C274" s="37"/>
      <c r="D274" s="37"/>
      <c r="E274" s="37"/>
      <c r="F274" s="37"/>
      <c r="G274" s="37"/>
      <c r="H274" s="1"/>
      <c r="I274" s="1"/>
      <c r="J274" s="1"/>
    </row>
    <row r="275" ht="15.75" customHeight="1">
      <c r="A275" s="36"/>
      <c r="B275" s="36"/>
      <c r="C275" s="37"/>
      <c r="D275" s="37"/>
      <c r="E275" s="37"/>
      <c r="F275" s="37"/>
      <c r="G275" s="37"/>
      <c r="H275" s="1"/>
      <c r="I275" s="1"/>
      <c r="J275" s="1"/>
    </row>
    <row r="276" ht="15.75" customHeight="1">
      <c r="A276" s="36"/>
      <c r="B276" s="36"/>
      <c r="C276" s="37"/>
      <c r="D276" s="37"/>
      <c r="E276" s="37"/>
      <c r="F276" s="37"/>
      <c r="G276" s="37"/>
      <c r="H276" s="1"/>
      <c r="I276" s="1"/>
      <c r="J276" s="1"/>
    </row>
    <row r="277" ht="15.75" customHeight="1">
      <c r="A277" s="36"/>
      <c r="B277" s="36"/>
      <c r="C277" s="37"/>
      <c r="D277" s="37"/>
      <c r="E277" s="37"/>
      <c r="F277" s="37"/>
      <c r="G277" s="37"/>
      <c r="H277" s="1"/>
      <c r="I277" s="1"/>
      <c r="J277" s="1"/>
    </row>
    <row r="278" ht="15.75" customHeight="1">
      <c r="A278" s="36"/>
      <c r="B278" s="36"/>
      <c r="C278" s="37"/>
      <c r="D278" s="37"/>
      <c r="E278" s="37"/>
      <c r="F278" s="37"/>
      <c r="G278" s="37"/>
      <c r="H278" s="1"/>
      <c r="I278" s="1"/>
      <c r="J278" s="1"/>
    </row>
    <row r="279" ht="15.75" customHeight="1">
      <c r="A279" s="36"/>
      <c r="B279" s="36"/>
      <c r="C279" s="37"/>
      <c r="D279" s="37"/>
      <c r="E279" s="37"/>
      <c r="F279" s="37"/>
      <c r="G279" s="37"/>
      <c r="H279" s="1"/>
      <c r="I279" s="1"/>
      <c r="J279" s="1"/>
    </row>
    <row r="280" ht="15.75" customHeight="1">
      <c r="A280" s="36"/>
      <c r="B280" s="36"/>
      <c r="C280" s="37"/>
      <c r="D280" s="37"/>
      <c r="E280" s="37"/>
      <c r="F280" s="37"/>
      <c r="G280" s="37"/>
      <c r="H280" s="1"/>
      <c r="I280" s="1"/>
      <c r="J280" s="1"/>
    </row>
    <row r="281" ht="15.75" customHeight="1">
      <c r="A281" s="36"/>
      <c r="B281" s="36"/>
      <c r="C281" s="37"/>
      <c r="D281" s="37"/>
      <c r="E281" s="37"/>
      <c r="F281" s="37"/>
      <c r="G281" s="37"/>
      <c r="H281" s="1"/>
      <c r="I281" s="1"/>
      <c r="J281" s="1"/>
    </row>
    <row r="282" ht="15.75" customHeight="1">
      <c r="A282" s="36"/>
      <c r="B282" s="36"/>
      <c r="C282" s="37"/>
      <c r="D282" s="37"/>
      <c r="E282" s="37"/>
      <c r="F282" s="37"/>
      <c r="G282" s="37"/>
      <c r="H282" s="1"/>
      <c r="I282" s="1"/>
      <c r="J282" s="1"/>
    </row>
    <row r="283" ht="15.75" customHeight="1">
      <c r="A283" s="36"/>
      <c r="B283" s="36"/>
      <c r="C283" s="37"/>
      <c r="D283" s="37"/>
      <c r="E283" s="37"/>
      <c r="F283" s="37"/>
      <c r="G283" s="37"/>
      <c r="H283" s="1"/>
      <c r="I283" s="1"/>
      <c r="J283" s="1"/>
    </row>
    <row r="284" ht="15.75" customHeight="1">
      <c r="A284" s="36"/>
      <c r="B284" s="36"/>
      <c r="C284" s="37"/>
      <c r="D284" s="37"/>
      <c r="E284" s="37"/>
      <c r="F284" s="37"/>
      <c r="G284" s="37"/>
      <c r="H284" s="1"/>
      <c r="I284" s="1"/>
      <c r="J284" s="1"/>
    </row>
    <row r="285" ht="15.75" customHeight="1">
      <c r="A285" s="36"/>
      <c r="B285" s="36"/>
      <c r="C285" s="37"/>
      <c r="D285" s="37"/>
      <c r="E285" s="37"/>
      <c r="F285" s="37"/>
      <c r="G285" s="37"/>
      <c r="H285" s="1"/>
      <c r="I285" s="1"/>
      <c r="J285" s="1"/>
    </row>
    <row r="286" ht="15.75" customHeight="1">
      <c r="A286" s="36"/>
      <c r="B286" s="36"/>
      <c r="C286" s="37"/>
      <c r="D286" s="37"/>
      <c r="E286" s="37"/>
      <c r="F286" s="37"/>
      <c r="G286" s="37"/>
      <c r="H286" s="1"/>
      <c r="I286" s="1"/>
      <c r="J286" s="1"/>
    </row>
    <row r="287" ht="15.75" customHeight="1">
      <c r="A287" s="36"/>
      <c r="B287" s="36"/>
      <c r="C287" s="37"/>
      <c r="D287" s="37"/>
      <c r="E287" s="37"/>
      <c r="F287" s="37"/>
      <c r="G287" s="37"/>
      <c r="H287" s="1"/>
      <c r="I287" s="1"/>
      <c r="J287" s="1"/>
    </row>
    <row r="288" ht="15.75" customHeight="1">
      <c r="A288" s="36"/>
      <c r="B288" s="36"/>
      <c r="C288" s="37"/>
      <c r="D288" s="37"/>
      <c r="E288" s="37"/>
      <c r="F288" s="37"/>
      <c r="G288" s="37"/>
      <c r="H288" s="1"/>
      <c r="I288" s="1"/>
      <c r="J288" s="1"/>
    </row>
    <row r="289" ht="15.75" customHeight="1">
      <c r="A289" s="36"/>
      <c r="B289" s="36"/>
      <c r="C289" s="37"/>
      <c r="D289" s="37"/>
      <c r="E289" s="37"/>
      <c r="F289" s="37"/>
      <c r="G289" s="37"/>
      <c r="H289" s="1"/>
      <c r="I289" s="1"/>
      <c r="J289" s="1"/>
    </row>
    <row r="290" ht="15.75" customHeight="1">
      <c r="A290" s="36"/>
      <c r="B290" s="36"/>
      <c r="C290" s="37"/>
      <c r="D290" s="37"/>
      <c r="E290" s="37"/>
      <c r="F290" s="37"/>
      <c r="G290" s="37"/>
      <c r="H290" s="1"/>
      <c r="I290" s="1"/>
      <c r="J290" s="1"/>
    </row>
    <row r="291" ht="15.75" customHeight="1">
      <c r="A291" s="36"/>
      <c r="B291" s="36"/>
      <c r="C291" s="37"/>
      <c r="D291" s="37"/>
      <c r="E291" s="37"/>
      <c r="F291" s="37"/>
      <c r="G291" s="37"/>
      <c r="H291" s="1"/>
      <c r="I291" s="1"/>
      <c r="J291" s="1"/>
    </row>
    <row r="292" ht="15.75" customHeight="1">
      <c r="A292" s="36"/>
      <c r="B292" s="36"/>
      <c r="C292" s="37"/>
      <c r="D292" s="37"/>
      <c r="E292" s="37"/>
      <c r="F292" s="37"/>
      <c r="G292" s="37"/>
      <c r="H292" s="1"/>
      <c r="I292" s="1"/>
      <c r="J292" s="1"/>
    </row>
    <row r="293" ht="15.75" customHeight="1">
      <c r="A293" s="36"/>
      <c r="B293" s="36"/>
      <c r="C293" s="37"/>
      <c r="D293" s="37"/>
      <c r="E293" s="37"/>
      <c r="F293" s="37"/>
      <c r="G293" s="37"/>
      <c r="H293" s="1"/>
      <c r="I293" s="1"/>
      <c r="J293" s="1"/>
    </row>
    <row r="294" ht="15.75" customHeight="1">
      <c r="A294" s="36"/>
      <c r="B294" s="36"/>
      <c r="C294" s="37"/>
      <c r="D294" s="37"/>
      <c r="E294" s="37"/>
      <c r="F294" s="37"/>
      <c r="G294" s="37"/>
      <c r="H294" s="1"/>
      <c r="I294" s="1"/>
      <c r="J294" s="1"/>
    </row>
    <row r="295" ht="15.75" customHeight="1">
      <c r="A295" s="36"/>
      <c r="B295" s="36"/>
      <c r="C295" s="37"/>
      <c r="D295" s="37"/>
      <c r="E295" s="37"/>
      <c r="F295" s="37"/>
      <c r="G295" s="37"/>
      <c r="H295" s="1"/>
      <c r="I295" s="1"/>
      <c r="J295" s="1"/>
    </row>
    <row r="296" ht="15.75" customHeight="1">
      <c r="A296" s="36"/>
      <c r="B296" s="36"/>
      <c r="C296" s="37"/>
      <c r="D296" s="37"/>
      <c r="E296" s="37"/>
      <c r="F296" s="37"/>
      <c r="G296" s="37"/>
      <c r="H296" s="1"/>
      <c r="I296" s="1"/>
      <c r="J296" s="1"/>
    </row>
    <row r="297" ht="15.75" customHeight="1">
      <c r="A297" s="36"/>
      <c r="B297" s="36"/>
      <c r="C297" s="37"/>
      <c r="D297" s="37"/>
      <c r="E297" s="37"/>
      <c r="F297" s="37"/>
      <c r="G297" s="37"/>
      <c r="H297" s="1"/>
      <c r="I297" s="1"/>
      <c r="J297" s="1"/>
    </row>
    <row r="298" ht="15.75" customHeight="1">
      <c r="A298" s="36"/>
      <c r="B298" s="36"/>
      <c r="C298" s="37"/>
      <c r="D298" s="37"/>
      <c r="E298" s="37"/>
      <c r="F298" s="37"/>
      <c r="G298" s="37"/>
      <c r="H298" s="1"/>
      <c r="I298" s="1"/>
      <c r="J298" s="1"/>
    </row>
    <row r="299" ht="15.75" customHeight="1">
      <c r="A299" s="36"/>
      <c r="B299" s="36"/>
      <c r="C299" s="37"/>
      <c r="D299" s="37"/>
      <c r="E299" s="37"/>
      <c r="F299" s="37"/>
      <c r="G299" s="37"/>
      <c r="H299" s="1"/>
      <c r="I299" s="1"/>
      <c r="J299" s="1"/>
    </row>
    <row r="300" ht="15.75" customHeight="1">
      <c r="A300" s="36"/>
      <c r="B300" s="36"/>
      <c r="C300" s="37"/>
      <c r="D300" s="37"/>
      <c r="E300" s="37"/>
      <c r="F300" s="37"/>
      <c r="G300" s="37"/>
      <c r="H300" s="1"/>
      <c r="I300" s="1"/>
      <c r="J300" s="1"/>
    </row>
    <row r="301" ht="15.75" customHeight="1">
      <c r="A301" s="36"/>
      <c r="B301" s="36"/>
      <c r="C301" s="37"/>
      <c r="D301" s="37"/>
      <c r="E301" s="37"/>
      <c r="F301" s="37"/>
      <c r="G301" s="37"/>
      <c r="H301" s="1"/>
      <c r="I301" s="1"/>
      <c r="J301" s="1"/>
    </row>
    <row r="302" ht="15.75" customHeight="1">
      <c r="A302" s="36"/>
      <c r="B302" s="36"/>
      <c r="C302" s="37"/>
      <c r="D302" s="37"/>
      <c r="E302" s="37"/>
      <c r="F302" s="37"/>
      <c r="G302" s="37"/>
      <c r="H302" s="1"/>
      <c r="I302" s="1"/>
      <c r="J302" s="1"/>
    </row>
    <row r="303" ht="15.75" customHeight="1">
      <c r="A303" s="36"/>
      <c r="B303" s="36"/>
      <c r="C303" s="37"/>
      <c r="D303" s="37"/>
      <c r="E303" s="37"/>
      <c r="F303" s="37"/>
      <c r="G303" s="37"/>
      <c r="H303" s="1"/>
      <c r="I303" s="1"/>
      <c r="J303" s="1"/>
    </row>
    <row r="304" ht="15.75" customHeight="1">
      <c r="A304" s="36"/>
      <c r="B304" s="36"/>
      <c r="C304" s="37"/>
      <c r="D304" s="37"/>
      <c r="E304" s="37"/>
      <c r="F304" s="37"/>
      <c r="G304" s="37"/>
      <c r="H304" s="1"/>
      <c r="I304" s="1"/>
      <c r="J304" s="1"/>
    </row>
    <row r="305" ht="15.75" customHeight="1">
      <c r="A305" s="36"/>
      <c r="B305" s="36"/>
      <c r="C305" s="37"/>
      <c r="D305" s="37"/>
      <c r="E305" s="37"/>
      <c r="F305" s="37"/>
      <c r="G305" s="37"/>
      <c r="H305" s="1"/>
      <c r="I305" s="1"/>
      <c r="J305" s="1"/>
    </row>
    <row r="306" ht="15.75" customHeight="1">
      <c r="A306" s="36"/>
      <c r="B306" s="36"/>
      <c r="C306" s="37"/>
      <c r="D306" s="37"/>
      <c r="E306" s="37"/>
      <c r="F306" s="37"/>
      <c r="G306" s="37"/>
      <c r="H306" s="1"/>
      <c r="I306" s="1"/>
      <c r="J306" s="1"/>
    </row>
    <row r="307" ht="15.75" customHeight="1">
      <c r="A307" s="36"/>
      <c r="B307" s="36"/>
      <c r="C307" s="37"/>
      <c r="D307" s="37"/>
      <c r="E307" s="37"/>
      <c r="F307" s="37"/>
      <c r="G307" s="37"/>
      <c r="H307" s="1"/>
      <c r="I307" s="1"/>
      <c r="J307" s="1"/>
    </row>
    <row r="308" ht="15.75" customHeight="1">
      <c r="A308" s="36"/>
      <c r="B308" s="36"/>
      <c r="C308" s="37"/>
      <c r="D308" s="37"/>
      <c r="E308" s="37"/>
      <c r="F308" s="37"/>
      <c r="G308" s="37"/>
      <c r="H308" s="1"/>
      <c r="I308" s="1"/>
      <c r="J308" s="1"/>
    </row>
    <row r="309" ht="15.75" customHeight="1">
      <c r="A309" s="36"/>
      <c r="B309" s="36"/>
      <c r="C309" s="37"/>
      <c r="D309" s="37"/>
      <c r="E309" s="37"/>
      <c r="F309" s="37"/>
      <c r="G309" s="37"/>
      <c r="H309" s="1"/>
      <c r="I309" s="1"/>
      <c r="J309" s="1"/>
    </row>
    <row r="310" ht="15.75" customHeight="1">
      <c r="A310" s="36"/>
      <c r="B310" s="36"/>
      <c r="C310" s="37"/>
      <c r="D310" s="37"/>
      <c r="E310" s="37"/>
      <c r="F310" s="37"/>
      <c r="G310" s="37"/>
      <c r="H310" s="1"/>
      <c r="I310" s="1"/>
      <c r="J310" s="1"/>
    </row>
    <row r="311" ht="15.75" customHeight="1">
      <c r="A311" s="36"/>
      <c r="B311" s="36"/>
      <c r="C311" s="37"/>
      <c r="D311" s="37"/>
      <c r="E311" s="37"/>
      <c r="F311" s="37"/>
      <c r="G311" s="37"/>
      <c r="H311" s="1"/>
      <c r="I311" s="1"/>
      <c r="J311" s="1"/>
    </row>
    <row r="312" ht="15.75" customHeight="1">
      <c r="A312" s="36"/>
      <c r="B312" s="36"/>
      <c r="C312" s="37"/>
      <c r="D312" s="37"/>
      <c r="E312" s="37"/>
      <c r="F312" s="37"/>
      <c r="G312" s="37"/>
      <c r="H312" s="1"/>
      <c r="I312" s="1"/>
      <c r="J312" s="1"/>
    </row>
    <row r="313" ht="15.75" customHeight="1">
      <c r="A313" s="36"/>
      <c r="B313" s="36"/>
      <c r="C313" s="37"/>
      <c r="D313" s="37"/>
      <c r="E313" s="37"/>
      <c r="F313" s="37"/>
      <c r="G313" s="37"/>
      <c r="H313" s="1"/>
      <c r="I313" s="1"/>
      <c r="J313" s="1"/>
    </row>
    <row r="314" ht="15.75" customHeight="1">
      <c r="A314" s="36"/>
      <c r="B314" s="36"/>
      <c r="C314" s="37"/>
      <c r="D314" s="37"/>
      <c r="E314" s="37"/>
      <c r="F314" s="37"/>
      <c r="G314" s="37"/>
      <c r="H314" s="1"/>
      <c r="I314" s="1"/>
      <c r="J314" s="1"/>
    </row>
    <row r="315" ht="15.75" customHeight="1">
      <c r="A315" s="36"/>
      <c r="B315" s="36"/>
      <c r="C315" s="37"/>
      <c r="D315" s="37"/>
      <c r="E315" s="37"/>
      <c r="F315" s="37"/>
      <c r="G315" s="37"/>
      <c r="H315" s="1"/>
      <c r="I315" s="1"/>
      <c r="J315" s="1"/>
    </row>
    <row r="316" ht="15.75" customHeight="1">
      <c r="A316" s="36"/>
      <c r="B316" s="36"/>
      <c r="C316" s="37"/>
      <c r="D316" s="37"/>
      <c r="E316" s="37"/>
      <c r="F316" s="37"/>
      <c r="G316" s="37"/>
      <c r="H316" s="1"/>
      <c r="I316" s="1"/>
      <c r="J316" s="1"/>
    </row>
    <row r="317" ht="15.75" customHeight="1">
      <c r="A317" s="36"/>
      <c r="B317" s="36"/>
      <c r="C317" s="37"/>
      <c r="D317" s="37"/>
      <c r="E317" s="37"/>
      <c r="F317" s="37"/>
      <c r="G317" s="37"/>
      <c r="H317" s="1"/>
      <c r="I317" s="1"/>
      <c r="J317" s="1"/>
    </row>
    <row r="318" ht="15.75" customHeight="1">
      <c r="A318" s="36"/>
      <c r="B318" s="36"/>
      <c r="C318" s="37"/>
      <c r="D318" s="37"/>
      <c r="E318" s="37"/>
      <c r="F318" s="37"/>
      <c r="G318" s="37"/>
      <c r="H318" s="1"/>
      <c r="I318" s="1"/>
      <c r="J318" s="1"/>
    </row>
    <row r="319" ht="15.75" customHeight="1">
      <c r="A319" s="36"/>
      <c r="B319" s="36"/>
      <c r="C319" s="37"/>
      <c r="D319" s="37"/>
      <c r="E319" s="37"/>
      <c r="F319" s="37"/>
      <c r="G319" s="37"/>
      <c r="H319" s="1"/>
      <c r="I319" s="1"/>
      <c r="J319" s="1"/>
    </row>
    <row r="320" ht="15.75" customHeight="1">
      <c r="A320" s="36"/>
      <c r="B320" s="36"/>
      <c r="C320" s="37"/>
      <c r="D320" s="37"/>
      <c r="E320" s="37"/>
      <c r="F320" s="37"/>
      <c r="G320" s="37"/>
      <c r="H320" s="1"/>
      <c r="I320" s="1"/>
      <c r="J320" s="1"/>
    </row>
    <row r="321" ht="15.75" customHeight="1">
      <c r="A321" s="36"/>
      <c r="B321" s="36"/>
      <c r="C321" s="37"/>
      <c r="D321" s="37"/>
      <c r="E321" s="37"/>
      <c r="F321" s="37"/>
      <c r="G321" s="37"/>
      <c r="H321" s="1"/>
      <c r="I321" s="1"/>
      <c r="J321" s="1"/>
    </row>
    <row r="322" ht="15.75" customHeight="1">
      <c r="A322" s="36"/>
      <c r="B322" s="36"/>
      <c r="C322" s="37"/>
      <c r="D322" s="37"/>
      <c r="E322" s="37"/>
      <c r="F322" s="37"/>
      <c r="G322" s="37"/>
      <c r="H322" s="1"/>
      <c r="I322" s="1"/>
      <c r="J322" s="1"/>
    </row>
    <row r="323" ht="15.75" customHeight="1">
      <c r="A323" s="36"/>
      <c r="B323" s="36"/>
      <c r="C323" s="37"/>
      <c r="D323" s="37"/>
      <c r="E323" s="37"/>
      <c r="F323" s="37"/>
      <c r="G323" s="37"/>
      <c r="H323" s="1"/>
      <c r="I323" s="1"/>
      <c r="J323" s="1"/>
    </row>
    <row r="324" ht="15.75" customHeight="1">
      <c r="A324" s="36"/>
      <c r="B324" s="36"/>
      <c r="C324" s="37"/>
      <c r="D324" s="37"/>
      <c r="E324" s="37"/>
      <c r="F324" s="37"/>
      <c r="G324" s="37"/>
      <c r="H324" s="1"/>
      <c r="I324" s="1"/>
      <c r="J324" s="1"/>
    </row>
    <row r="325" ht="15.75" customHeight="1">
      <c r="A325" s="36"/>
      <c r="B325" s="36"/>
      <c r="C325" s="37"/>
      <c r="D325" s="37"/>
      <c r="E325" s="37"/>
      <c r="F325" s="37"/>
      <c r="G325" s="37"/>
      <c r="H325" s="1"/>
      <c r="I325" s="1"/>
      <c r="J325" s="1"/>
    </row>
    <row r="326" ht="15.75" customHeight="1">
      <c r="A326" s="36"/>
      <c r="B326" s="36"/>
      <c r="C326" s="37"/>
      <c r="D326" s="37"/>
      <c r="E326" s="37"/>
      <c r="F326" s="37"/>
      <c r="G326" s="37"/>
      <c r="H326" s="1"/>
      <c r="I326" s="1"/>
      <c r="J326" s="1"/>
    </row>
    <row r="327" ht="15.75" customHeight="1">
      <c r="A327" s="36"/>
      <c r="B327" s="36"/>
      <c r="C327" s="37"/>
      <c r="D327" s="37"/>
      <c r="E327" s="37"/>
      <c r="F327" s="37"/>
      <c r="G327" s="37"/>
      <c r="H327" s="1"/>
      <c r="I327" s="1"/>
      <c r="J327" s="1"/>
    </row>
    <row r="328" ht="15.75" customHeight="1">
      <c r="A328" s="36"/>
      <c r="B328" s="36"/>
      <c r="C328" s="37"/>
      <c r="D328" s="37"/>
      <c r="E328" s="37"/>
      <c r="F328" s="37"/>
      <c r="G328" s="37"/>
      <c r="H328" s="1"/>
      <c r="I328" s="1"/>
      <c r="J328" s="1"/>
    </row>
    <row r="329" ht="15.75" customHeight="1">
      <c r="A329" s="36"/>
      <c r="B329" s="36"/>
      <c r="C329" s="37"/>
      <c r="D329" s="37"/>
      <c r="E329" s="37"/>
      <c r="F329" s="37"/>
      <c r="G329" s="37"/>
      <c r="H329" s="1"/>
      <c r="I329" s="1"/>
      <c r="J329" s="1"/>
    </row>
    <row r="330" ht="15.75" customHeight="1">
      <c r="A330" s="36"/>
      <c r="B330" s="36"/>
      <c r="C330" s="37"/>
      <c r="D330" s="37"/>
      <c r="E330" s="37"/>
      <c r="F330" s="37"/>
      <c r="G330" s="37"/>
      <c r="H330" s="1"/>
      <c r="I330" s="1"/>
      <c r="J330" s="1"/>
    </row>
    <row r="331" ht="15.75" customHeight="1">
      <c r="A331" s="36"/>
      <c r="B331" s="36"/>
      <c r="C331" s="37"/>
      <c r="D331" s="37"/>
      <c r="E331" s="37"/>
      <c r="F331" s="37"/>
      <c r="G331" s="37"/>
      <c r="H331" s="1"/>
      <c r="I331" s="1"/>
      <c r="J331" s="1"/>
    </row>
    <row r="332" ht="15.75" customHeight="1">
      <c r="A332" s="36"/>
      <c r="B332" s="36"/>
      <c r="C332" s="37"/>
      <c r="D332" s="37"/>
      <c r="E332" s="37"/>
      <c r="F332" s="37"/>
      <c r="G332" s="37"/>
      <c r="H332" s="1"/>
      <c r="I332" s="1"/>
      <c r="J332" s="1"/>
    </row>
    <row r="333" ht="15.75" customHeight="1">
      <c r="A333" s="36"/>
      <c r="B333" s="36"/>
      <c r="C333" s="37"/>
      <c r="D333" s="37"/>
      <c r="E333" s="37"/>
      <c r="F333" s="37"/>
      <c r="G333" s="37"/>
      <c r="H333" s="1"/>
      <c r="I333" s="1"/>
      <c r="J333" s="1"/>
    </row>
    <row r="334" ht="15.75" customHeight="1">
      <c r="A334" s="36"/>
      <c r="B334" s="36"/>
      <c r="C334" s="37"/>
      <c r="D334" s="37"/>
      <c r="E334" s="37"/>
      <c r="F334" s="37"/>
      <c r="G334" s="37"/>
      <c r="H334" s="1"/>
      <c r="I334" s="1"/>
      <c r="J334" s="1"/>
    </row>
    <row r="335" ht="15.75" customHeight="1">
      <c r="A335" s="36"/>
      <c r="B335" s="36"/>
      <c r="C335" s="37"/>
      <c r="D335" s="37"/>
      <c r="E335" s="37"/>
      <c r="F335" s="37"/>
      <c r="G335" s="37"/>
      <c r="H335" s="1"/>
      <c r="I335" s="1"/>
      <c r="J335" s="1"/>
    </row>
    <row r="336" ht="15.75" customHeight="1">
      <c r="A336" s="36"/>
      <c r="B336" s="36"/>
      <c r="C336" s="37"/>
      <c r="D336" s="37"/>
      <c r="E336" s="37"/>
      <c r="F336" s="37"/>
      <c r="G336" s="37"/>
      <c r="H336" s="1"/>
      <c r="I336" s="1"/>
      <c r="J336" s="1"/>
    </row>
    <row r="337" ht="15.75" customHeight="1">
      <c r="A337" s="36"/>
      <c r="B337" s="36"/>
      <c r="C337" s="37"/>
      <c r="D337" s="37"/>
      <c r="E337" s="37"/>
      <c r="F337" s="37"/>
      <c r="G337" s="37"/>
      <c r="H337" s="1"/>
      <c r="I337" s="1"/>
      <c r="J337" s="1"/>
    </row>
    <row r="338" ht="15.75" customHeight="1">
      <c r="A338" s="36"/>
      <c r="B338" s="36"/>
      <c r="C338" s="37"/>
      <c r="D338" s="37"/>
      <c r="E338" s="37"/>
      <c r="F338" s="37"/>
      <c r="G338" s="37"/>
      <c r="H338" s="1"/>
      <c r="I338" s="1"/>
      <c r="J338" s="1"/>
    </row>
    <row r="339" ht="15.75" customHeight="1">
      <c r="A339" s="36"/>
      <c r="B339" s="36"/>
      <c r="C339" s="37"/>
      <c r="D339" s="37"/>
      <c r="E339" s="37"/>
      <c r="F339" s="37"/>
      <c r="G339" s="37"/>
      <c r="H339" s="1"/>
      <c r="I339" s="1"/>
      <c r="J339" s="1"/>
    </row>
    <row r="340" ht="15.75" customHeight="1">
      <c r="A340" s="36"/>
      <c r="B340" s="36"/>
      <c r="C340" s="37"/>
      <c r="D340" s="37"/>
      <c r="E340" s="37"/>
      <c r="F340" s="37"/>
      <c r="G340" s="37"/>
      <c r="H340" s="1"/>
      <c r="I340" s="1"/>
      <c r="J340" s="1"/>
    </row>
    <row r="341" ht="15.75" customHeight="1">
      <c r="A341" s="36"/>
      <c r="B341" s="36"/>
      <c r="C341" s="37"/>
      <c r="D341" s="37"/>
      <c r="E341" s="37"/>
      <c r="F341" s="37"/>
      <c r="G341" s="37"/>
      <c r="H341" s="1"/>
      <c r="I341" s="1"/>
      <c r="J341" s="1"/>
    </row>
    <row r="342" ht="15.75" customHeight="1">
      <c r="A342" s="36"/>
      <c r="B342" s="36"/>
      <c r="C342" s="37"/>
      <c r="D342" s="37"/>
      <c r="E342" s="37"/>
      <c r="F342" s="37"/>
      <c r="G342" s="37"/>
      <c r="H342" s="1"/>
      <c r="I342" s="1"/>
      <c r="J342" s="1"/>
    </row>
    <row r="343" ht="15.75" customHeight="1">
      <c r="A343" s="36"/>
      <c r="B343" s="36"/>
      <c r="C343" s="37"/>
      <c r="D343" s="37"/>
      <c r="E343" s="37"/>
      <c r="F343" s="37"/>
      <c r="G343" s="37"/>
      <c r="H343" s="1"/>
      <c r="I343" s="1"/>
      <c r="J343" s="1"/>
    </row>
    <row r="344" ht="15.75" customHeight="1">
      <c r="A344" s="36"/>
      <c r="B344" s="36"/>
      <c r="C344" s="37"/>
      <c r="D344" s="37"/>
      <c r="E344" s="37"/>
      <c r="F344" s="37"/>
      <c r="G344" s="37"/>
      <c r="H344" s="1"/>
      <c r="I344" s="1"/>
      <c r="J344" s="1"/>
    </row>
    <row r="345" ht="15.75" customHeight="1">
      <c r="A345" s="36"/>
      <c r="B345" s="36"/>
      <c r="C345" s="37"/>
      <c r="D345" s="37"/>
      <c r="E345" s="37"/>
      <c r="F345" s="37"/>
      <c r="G345" s="37"/>
      <c r="H345" s="1"/>
      <c r="I345" s="1"/>
      <c r="J345" s="1"/>
    </row>
    <row r="346" ht="15.75" customHeight="1">
      <c r="A346" s="36"/>
      <c r="B346" s="36"/>
      <c r="C346" s="37"/>
      <c r="D346" s="37"/>
      <c r="E346" s="37"/>
      <c r="F346" s="37"/>
      <c r="G346" s="37"/>
      <c r="H346" s="1"/>
      <c r="I346" s="1"/>
      <c r="J346" s="1"/>
    </row>
    <row r="347" ht="15.75" customHeight="1">
      <c r="A347" s="36"/>
      <c r="B347" s="36"/>
      <c r="C347" s="37"/>
      <c r="D347" s="37"/>
      <c r="E347" s="37"/>
      <c r="F347" s="37"/>
      <c r="G347" s="37"/>
      <c r="H347" s="1"/>
      <c r="I347" s="1"/>
      <c r="J347" s="1"/>
    </row>
    <row r="348" ht="15.75" customHeight="1">
      <c r="A348" s="36"/>
      <c r="B348" s="36"/>
      <c r="C348" s="37"/>
      <c r="D348" s="37"/>
      <c r="E348" s="37"/>
      <c r="F348" s="37"/>
      <c r="G348" s="37"/>
      <c r="H348" s="1"/>
      <c r="I348" s="1"/>
      <c r="J348" s="1"/>
    </row>
    <row r="349" ht="15.75" customHeight="1">
      <c r="A349" s="36"/>
      <c r="B349" s="36"/>
      <c r="C349" s="37"/>
      <c r="D349" s="37"/>
      <c r="E349" s="37"/>
      <c r="F349" s="37"/>
      <c r="G349" s="37"/>
      <c r="H349" s="1"/>
      <c r="I349" s="1"/>
      <c r="J349" s="1"/>
    </row>
    <row r="350" ht="15.75" customHeight="1">
      <c r="A350" s="36"/>
      <c r="B350" s="36"/>
      <c r="C350" s="37"/>
      <c r="D350" s="37"/>
      <c r="E350" s="37"/>
      <c r="F350" s="37"/>
      <c r="G350" s="37"/>
      <c r="H350" s="1"/>
      <c r="I350" s="1"/>
      <c r="J350" s="1"/>
    </row>
    <row r="351" ht="15.75" customHeight="1">
      <c r="A351" s="36"/>
      <c r="B351" s="36"/>
      <c r="C351" s="37"/>
      <c r="D351" s="37"/>
      <c r="E351" s="37"/>
      <c r="F351" s="37"/>
      <c r="G351" s="37"/>
      <c r="H351" s="1"/>
      <c r="I351" s="1"/>
      <c r="J351" s="1"/>
    </row>
    <row r="352" ht="15.75" customHeight="1">
      <c r="A352" s="36"/>
      <c r="B352" s="36"/>
      <c r="C352" s="37"/>
      <c r="D352" s="37"/>
      <c r="E352" s="37"/>
      <c r="F352" s="37"/>
      <c r="G352" s="37"/>
      <c r="H352" s="1"/>
      <c r="I352" s="1"/>
      <c r="J352" s="1"/>
    </row>
    <row r="353" ht="15.75" customHeight="1">
      <c r="A353" s="36"/>
      <c r="B353" s="36"/>
      <c r="C353" s="37"/>
      <c r="D353" s="37"/>
      <c r="E353" s="37"/>
      <c r="F353" s="37"/>
      <c r="G353" s="37"/>
      <c r="H353" s="1"/>
      <c r="I353" s="1"/>
      <c r="J353" s="1"/>
    </row>
    <row r="354" ht="15.75" customHeight="1">
      <c r="A354" s="36"/>
      <c r="B354" s="36"/>
      <c r="C354" s="37"/>
      <c r="D354" s="37"/>
      <c r="E354" s="37"/>
      <c r="F354" s="37"/>
      <c r="G354" s="37"/>
      <c r="H354" s="1"/>
      <c r="I354" s="1"/>
      <c r="J354" s="1"/>
    </row>
    <row r="355" ht="15.75" customHeight="1">
      <c r="A355" s="36"/>
      <c r="B355" s="36"/>
      <c r="C355" s="37"/>
      <c r="D355" s="37"/>
      <c r="E355" s="37"/>
      <c r="F355" s="37"/>
      <c r="G355" s="37"/>
      <c r="H355" s="1"/>
      <c r="I355" s="1"/>
      <c r="J355" s="1"/>
    </row>
    <row r="356" ht="15.75" customHeight="1">
      <c r="A356" s="36"/>
      <c r="B356" s="36"/>
      <c r="C356" s="37"/>
      <c r="D356" s="37"/>
      <c r="E356" s="37"/>
      <c r="F356" s="37"/>
      <c r="G356" s="37"/>
      <c r="H356" s="1"/>
      <c r="I356" s="1"/>
      <c r="J356" s="1"/>
    </row>
    <row r="357" ht="15.75" customHeight="1">
      <c r="A357" s="36"/>
      <c r="B357" s="36"/>
      <c r="C357" s="37"/>
      <c r="D357" s="37"/>
      <c r="E357" s="37"/>
      <c r="F357" s="37"/>
      <c r="G357" s="37"/>
      <c r="H357" s="1"/>
      <c r="I357" s="1"/>
      <c r="J357" s="1"/>
    </row>
    <row r="358" ht="15.75" customHeight="1">
      <c r="A358" s="36"/>
      <c r="B358" s="36"/>
      <c r="C358" s="37"/>
      <c r="D358" s="37"/>
      <c r="E358" s="37"/>
      <c r="F358" s="37"/>
      <c r="G358" s="37"/>
      <c r="H358" s="1"/>
      <c r="I358" s="1"/>
      <c r="J358" s="1"/>
    </row>
    <row r="359" ht="15.75" customHeight="1">
      <c r="A359" s="36"/>
      <c r="B359" s="36"/>
      <c r="C359" s="37"/>
      <c r="D359" s="37"/>
      <c r="E359" s="37"/>
      <c r="F359" s="37"/>
      <c r="G359" s="37"/>
      <c r="H359" s="1"/>
      <c r="I359" s="1"/>
      <c r="J359" s="1"/>
    </row>
    <row r="360" ht="15.75" customHeight="1">
      <c r="A360" s="36"/>
      <c r="B360" s="36"/>
      <c r="C360" s="37"/>
      <c r="D360" s="37"/>
      <c r="E360" s="37"/>
      <c r="F360" s="37"/>
      <c r="G360" s="37"/>
      <c r="H360" s="1"/>
      <c r="I360" s="1"/>
      <c r="J360" s="1"/>
    </row>
    <row r="361" ht="15.75" customHeight="1">
      <c r="A361" s="36"/>
      <c r="B361" s="36"/>
      <c r="C361" s="37"/>
      <c r="D361" s="37"/>
      <c r="E361" s="37"/>
      <c r="F361" s="37"/>
      <c r="G361" s="37"/>
      <c r="H361" s="1"/>
      <c r="I361" s="1"/>
      <c r="J361" s="1"/>
    </row>
    <row r="362" ht="15.75" customHeight="1">
      <c r="A362" s="36"/>
      <c r="B362" s="36"/>
      <c r="C362" s="37"/>
      <c r="D362" s="37"/>
      <c r="E362" s="37"/>
      <c r="F362" s="37"/>
      <c r="G362" s="37"/>
      <c r="H362" s="1"/>
      <c r="I362" s="1"/>
      <c r="J362" s="1"/>
    </row>
    <row r="363" ht="15.75" customHeight="1">
      <c r="A363" s="36"/>
      <c r="B363" s="36"/>
      <c r="C363" s="37"/>
      <c r="D363" s="37"/>
      <c r="E363" s="37"/>
      <c r="F363" s="37"/>
      <c r="G363" s="37"/>
      <c r="H363" s="1"/>
      <c r="I363" s="1"/>
      <c r="J363" s="1"/>
    </row>
    <row r="364" ht="15.75" customHeight="1">
      <c r="A364" s="36"/>
      <c r="B364" s="36"/>
      <c r="C364" s="37"/>
      <c r="D364" s="37"/>
      <c r="E364" s="37"/>
      <c r="F364" s="37"/>
      <c r="G364" s="37"/>
      <c r="H364" s="1"/>
      <c r="I364" s="1"/>
      <c r="J364" s="1"/>
    </row>
    <row r="365" ht="15.75" customHeight="1">
      <c r="A365" s="36"/>
      <c r="B365" s="36"/>
      <c r="C365" s="37"/>
      <c r="D365" s="37"/>
      <c r="E365" s="37"/>
      <c r="F365" s="37"/>
      <c r="G365" s="37"/>
      <c r="H365" s="1"/>
      <c r="I365" s="1"/>
      <c r="J365" s="1"/>
    </row>
    <row r="366" ht="15.75" customHeight="1">
      <c r="A366" s="36"/>
      <c r="B366" s="36"/>
      <c r="C366" s="37"/>
      <c r="D366" s="37"/>
      <c r="E366" s="37"/>
      <c r="F366" s="37"/>
      <c r="G366" s="37"/>
      <c r="H366" s="1"/>
      <c r="I366" s="1"/>
      <c r="J366" s="1"/>
    </row>
    <row r="367" ht="15.75" customHeight="1">
      <c r="A367" s="36"/>
      <c r="B367" s="36"/>
      <c r="C367" s="37"/>
      <c r="D367" s="37"/>
      <c r="E367" s="37"/>
      <c r="F367" s="37"/>
      <c r="G367" s="37"/>
      <c r="H367" s="1"/>
      <c r="I367" s="1"/>
      <c r="J367" s="1"/>
    </row>
    <row r="368" ht="15.75" customHeight="1">
      <c r="A368" s="36"/>
      <c r="B368" s="36"/>
      <c r="C368" s="37"/>
      <c r="D368" s="37"/>
      <c r="E368" s="37"/>
      <c r="F368" s="37"/>
      <c r="G368" s="37"/>
      <c r="H368" s="1"/>
      <c r="I368" s="1"/>
      <c r="J368" s="1"/>
    </row>
    <row r="369" ht="15.75" customHeight="1">
      <c r="A369" s="36"/>
      <c r="B369" s="36"/>
      <c r="C369" s="37"/>
      <c r="D369" s="37"/>
      <c r="E369" s="37"/>
      <c r="F369" s="37"/>
      <c r="G369" s="37"/>
      <c r="H369" s="1"/>
      <c r="I369" s="1"/>
      <c r="J369" s="1"/>
    </row>
    <row r="370" ht="15.75" customHeight="1">
      <c r="A370" s="36"/>
      <c r="B370" s="36"/>
      <c r="C370" s="37"/>
      <c r="D370" s="37"/>
      <c r="E370" s="37"/>
      <c r="F370" s="37"/>
      <c r="G370" s="37"/>
      <c r="H370" s="1"/>
      <c r="I370" s="1"/>
      <c r="J370" s="1"/>
    </row>
    <row r="371" ht="15.75" customHeight="1">
      <c r="A371" s="36"/>
      <c r="B371" s="36"/>
      <c r="C371" s="37"/>
      <c r="D371" s="37"/>
      <c r="E371" s="37"/>
      <c r="F371" s="37"/>
      <c r="G371" s="37"/>
      <c r="H371" s="1"/>
      <c r="I371" s="1"/>
      <c r="J371" s="1"/>
    </row>
    <row r="372" ht="15.75" customHeight="1">
      <c r="A372" s="36"/>
      <c r="B372" s="36"/>
      <c r="C372" s="37"/>
      <c r="D372" s="37"/>
      <c r="E372" s="37"/>
      <c r="F372" s="37"/>
      <c r="G372" s="37"/>
      <c r="H372" s="1"/>
      <c r="I372" s="1"/>
      <c r="J372" s="1"/>
    </row>
    <row r="373" ht="15.75" customHeight="1">
      <c r="A373" s="36"/>
      <c r="B373" s="36"/>
      <c r="C373" s="37"/>
      <c r="D373" s="37"/>
      <c r="E373" s="37"/>
      <c r="F373" s="37"/>
      <c r="G373" s="37"/>
      <c r="H373" s="1"/>
      <c r="I373" s="1"/>
      <c r="J373" s="1"/>
    </row>
    <row r="374" ht="15.75" customHeight="1">
      <c r="A374" s="36"/>
      <c r="B374" s="36"/>
      <c r="C374" s="37"/>
      <c r="D374" s="37"/>
      <c r="E374" s="37"/>
      <c r="F374" s="37"/>
      <c r="G374" s="37"/>
      <c r="H374" s="1"/>
      <c r="I374" s="1"/>
      <c r="J374" s="1"/>
    </row>
    <row r="375" ht="15.75" customHeight="1">
      <c r="A375" s="36"/>
      <c r="B375" s="36"/>
      <c r="C375" s="37"/>
      <c r="D375" s="37"/>
      <c r="E375" s="37"/>
      <c r="F375" s="37"/>
      <c r="G375" s="37"/>
      <c r="H375" s="1"/>
      <c r="I375" s="1"/>
      <c r="J375" s="1"/>
    </row>
    <row r="376" ht="15.75" customHeight="1">
      <c r="A376" s="36"/>
      <c r="B376" s="36"/>
      <c r="C376" s="37"/>
      <c r="D376" s="37"/>
      <c r="E376" s="37"/>
      <c r="F376" s="37"/>
      <c r="G376" s="37"/>
      <c r="H376" s="1"/>
      <c r="I376" s="1"/>
      <c r="J376" s="1"/>
    </row>
    <row r="377" ht="15.75" customHeight="1">
      <c r="A377" s="36"/>
      <c r="B377" s="36"/>
      <c r="C377" s="37"/>
      <c r="D377" s="37"/>
      <c r="E377" s="37"/>
      <c r="F377" s="37"/>
      <c r="G377" s="37"/>
      <c r="H377" s="1"/>
      <c r="I377" s="1"/>
      <c r="J377" s="1"/>
    </row>
    <row r="378" ht="15.75" customHeight="1">
      <c r="A378" s="36"/>
      <c r="B378" s="36"/>
      <c r="C378" s="37"/>
      <c r="D378" s="37"/>
      <c r="E378" s="37"/>
      <c r="F378" s="37"/>
      <c r="G378" s="37"/>
      <c r="H378" s="1"/>
      <c r="I378" s="1"/>
      <c r="J378" s="1"/>
    </row>
    <row r="379" ht="15.75" customHeight="1">
      <c r="A379" s="36"/>
      <c r="B379" s="36"/>
      <c r="C379" s="37"/>
      <c r="D379" s="37"/>
      <c r="E379" s="37"/>
      <c r="F379" s="37"/>
      <c r="G379" s="37"/>
      <c r="H379" s="1"/>
      <c r="I379" s="1"/>
      <c r="J379" s="1"/>
    </row>
    <row r="380" ht="15.75" customHeight="1">
      <c r="A380" s="36"/>
      <c r="B380" s="36"/>
      <c r="C380" s="37"/>
      <c r="D380" s="37"/>
      <c r="E380" s="37"/>
      <c r="F380" s="37"/>
      <c r="G380" s="37"/>
      <c r="H380" s="1"/>
      <c r="I380" s="1"/>
      <c r="J380" s="1"/>
    </row>
    <row r="381" ht="15.75" customHeight="1">
      <c r="A381" s="36"/>
      <c r="B381" s="36"/>
      <c r="C381" s="37"/>
      <c r="D381" s="37"/>
      <c r="E381" s="37"/>
      <c r="F381" s="37"/>
      <c r="G381" s="37"/>
      <c r="H381" s="1"/>
      <c r="I381" s="1"/>
      <c r="J381" s="1"/>
    </row>
    <row r="382" ht="15.75" customHeight="1">
      <c r="A382" s="36"/>
      <c r="B382" s="36"/>
      <c r="C382" s="37"/>
      <c r="D382" s="37"/>
      <c r="E382" s="37"/>
      <c r="F382" s="37"/>
      <c r="G382" s="37"/>
      <c r="H382" s="1"/>
      <c r="I382" s="1"/>
      <c r="J382" s="1"/>
    </row>
    <row r="383" ht="15.75" customHeight="1">
      <c r="A383" s="36"/>
      <c r="B383" s="36"/>
      <c r="C383" s="37"/>
      <c r="D383" s="37"/>
      <c r="E383" s="37"/>
      <c r="F383" s="37"/>
      <c r="G383" s="37"/>
      <c r="H383" s="1"/>
      <c r="I383" s="1"/>
      <c r="J383" s="1"/>
    </row>
    <row r="384" ht="15.75" customHeight="1">
      <c r="A384" s="36"/>
      <c r="B384" s="36"/>
      <c r="C384" s="37"/>
      <c r="D384" s="37"/>
      <c r="E384" s="37"/>
      <c r="F384" s="37"/>
      <c r="G384" s="37"/>
      <c r="H384" s="1"/>
      <c r="I384" s="1"/>
      <c r="J384" s="1"/>
    </row>
    <row r="385" ht="15.75" customHeight="1">
      <c r="A385" s="36"/>
      <c r="B385" s="36"/>
      <c r="C385" s="37"/>
      <c r="D385" s="37"/>
      <c r="E385" s="37"/>
      <c r="F385" s="37"/>
      <c r="G385" s="37"/>
      <c r="H385" s="1"/>
      <c r="I385" s="1"/>
      <c r="J385" s="1"/>
    </row>
    <row r="386" ht="15.75" customHeight="1">
      <c r="A386" s="36"/>
      <c r="B386" s="36"/>
      <c r="C386" s="37"/>
      <c r="D386" s="37"/>
      <c r="E386" s="37"/>
      <c r="F386" s="37"/>
      <c r="G386" s="37"/>
      <c r="H386" s="1"/>
      <c r="I386" s="1"/>
      <c r="J386" s="1"/>
    </row>
    <row r="387" ht="15.75" customHeight="1">
      <c r="A387" s="36"/>
      <c r="B387" s="36"/>
      <c r="C387" s="37"/>
      <c r="D387" s="37"/>
      <c r="E387" s="37"/>
      <c r="F387" s="37"/>
      <c r="G387" s="37"/>
      <c r="H387" s="1"/>
      <c r="I387" s="1"/>
      <c r="J387" s="1"/>
    </row>
    <row r="388" ht="15.75" customHeight="1">
      <c r="A388" s="36"/>
      <c r="B388" s="36"/>
      <c r="C388" s="37"/>
      <c r="D388" s="37"/>
      <c r="E388" s="37"/>
      <c r="F388" s="37"/>
      <c r="G388" s="37"/>
      <c r="H388" s="1"/>
      <c r="I388" s="1"/>
      <c r="J388" s="1"/>
    </row>
    <row r="389" ht="15.75" customHeight="1">
      <c r="A389" s="36"/>
      <c r="B389" s="36"/>
      <c r="C389" s="37"/>
      <c r="D389" s="37"/>
      <c r="E389" s="37"/>
      <c r="F389" s="37"/>
      <c r="G389" s="37"/>
      <c r="H389" s="1"/>
      <c r="I389" s="1"/>
      <c r="J389" s="1"/>
    </row>
    <row r="390" ht="15.75" customHeight="1">
      <c r="A390" s="36"/>
      <c r="B390" s="36"/>
      <c r="C390" s="37"/>
      <c r="D390" s="37"/>
      <c r="E390" s="37"/>
      <c r="F390" s="37"/>
      <c r="G390" s="37"/>
      <c r="H390" s="1"/>
      <c r="I390" s="1"/>
      <c r="J390" s="1"/>
    </row>
    <row r="391" ht="15.75" customHeight="1">
      <c r="A391" s="36"/>
      <c r="B391" s="36"/>
      <c r="C391" s="37"/>
      <c r="D391" s="37"/>
      <c r="E391" s="37"/>
      <c r="F391" s="37"/>
      <c r="G391" s="37"/>
      <c r="H391" s="1"/>
      <c r="I391" s="1"/>
      <c r="J391" s="1"/>
    </row>
    <row r="392" ht="15.75" customHeight="1">
      <c r="A392" s="36"/>
      <c r="B392" s="36"/>
      <c r="C392" s="37"/>
      <c r="D392" s="37"/>
      <c r="E392" s="37"/>
      <c r="F392" s="37"/>
      <c r="G392" s="37"/>
      <c r="H392" s="1"/>
      <c r="I392" s="1"/>
      <c r="J392" s="1"/>
    </row>
    <row r="393" ht="15.75" customHeight="1">
      <c r="A393" s="36"/>
      <c r="B393" s="36"/>
      <c r="C393" s="37"/>
      <c r="D393" s="37"/>
      <c r="E393" s="37"/>
      <c r="F393" s="37"/>
      <c r="G393" s="37"/>
      <c r="H393" s="1"/>
      <c r="I393" s="1"/>
      <c r="J393" s="1"/>
    </row>
    <row r="394" ht="15.75" customHeight="1">
      <c r="A394" s="36"/>
      <c r="B394" s="36"/>
      <c r="C394" s="37"/>
      <c r="D394" s="37"/>
      <c r="E394" s="37"/>
      <c r="F394" s="37"/>
      <c r="G394" s="37"/>
      <c r="H394" s="1"/>
      <c r="I394" s="1"/>
      <c r="J394" s="1"/>
    </row>
    <row r="395" ht="15.75" customHeight="1">
      <c r="A395" s="36"/>
      <c r="B395" s="36"/>
      <c r="C395" s="37"/>
      <c r="D395" s="37"/>
      <c r="E395" s="37"/>
      <c r="F395" s="37"/>
      <c r="G395" s="37"/>
      <c r="H395" s="1"/>
      <c r="I395" s="1"/>
      <c r="J395" s="1"/>
    </row>
    <row r="396" ht="15.75" customHeight="1">
      <c r="A396" s="36"/>
      <c r="B396" s="36"/>
      <c r="C396" s="37"/>
      <c r="D396" s="37"/>
      <c r="E396" s="37"/>
      <c r="F396" s="37"/>
      <c r="G396" s="37"/>
      <c r="H396" s="1"/>
      <c r="I396" s="1"/>
      <c r="J396" s="1"/>
    </row>
    <row r="397" ht="15.75" customHeight="1">
      <c r="A397" s="36"/>
      <c r="B397" s="36"/>
      <c r="C397" s="37"/>
      <c r="D397" s="37"/>
      <c r="E397" s="37"/>
      <c r="F397" s="37"/>
      <c r="G397" s="37"/>
      <c r="H397" s="1"/>
      <c r="I397" s="1"/>
      <c r="J397" s="1"/>
    </row>
    <row r="398" ht="15.75" customHeight="1">
      <c r="A398" s="36"/>
      <c r="B398" s="36"/>
      <c r="C398" s="37"/>
      <c r="D398" s="37"/>
      <c r="E398" s="37"/>
      <c r="F398" s="37"/>
      <c r="G398" s="37"/>
      <c r="H398" s="1"/>
      <c r="I398" s="1"/>
      <c r="J398" s="1"/>
    </row>
    <row r="399" ht="15.75" customHeight="1">
      <c r="A399" s="36"/>
      <c r="B399" s="36"/>
      <c r="C399" s="37"/>
      <c r="D399" s="37"/>
      <c r="E399" s="37"/>
      <c r="F399" s="37"/>
      <c r="G399" s="37"/>
      <c r="H399" s="1"/>
      <c r="I399" s="1"/>
      <c r="J399" s="1"/>
    </row>
    <row r="400" ht="15.75" customHeight="1">
      <c r="A400" s="36"/>
      <c r="B400" s="36"/>
      <c r="C400" s="37"/>
      <c r="D400" s="37"/>
      <c r="E400" s="37"/>
      <c r="F400" s="37"/>
      <c r="G400" s="37"/>
      <c r="H400" s="1"/>
      <c r="I400" s="1"/>
      <c r="J400" s="1"/>
    </row>
    <row r="401" ht="15.75" customHeight="1">
      <c r="A401" s="36"/>
      <c r="B401" s="36"/>
      <c r="C401" s="37"/>
      <c r="D401" s="37"/>
      <c r="E401" s="37"/>
      <c r="F401" s="37"/>
      <c r="G401" s="37"/>
      <c r="H401" s="1"/>
      <c r="I401" s="1"/>
      <c r="J401" s="1"/>
    </row>
    <row r="402" ht="15.75" customHeight="1">
      <c r="A402" s="36"/>
      <c r="B402" s="36"/>
      <c r="C402" s="37"/>
      <c r="D402" s="37"/>
      <c r="E402" s="37"/>
      <c r="F402" s="37"/>
      <c r="G402" s="37"/>
      <c r="H402" s="1"/>
      <c r="I402" s="1"/>
      <c r="J402" s="1"/>
    </row>
    <row r="403" ht="15.75" customHeight="1">
      <c r="A403" s="36"/>
      <c r="B403" s="36"/>
      <c r="C403" s="37"/>
      <c r="D403" s="37"/>
      <c r="E403" s="37"/>
      <c r="F403" s="37"/>
      <c r="G403" s="37"/>
      <c r="H403" s="1"/>
      <c r="I403" s="1"/>
      <c r="J403" s="1"/>
    </row>
    <row r="404" ht="15.75" customHeight="1">
      <c r="A404" s="36"/>
      <c r="B404" s="36"/>
      <c r="C404" s="37"/>
      <c r="D404" s="37"/>
      <c r="E404" s="37"/>
      <c r="F404" s="37"/>
      <c r="G404" s="37"/>
      <c r="H404" s="1"/>
      <c r="I404" s="1"/>
      <c r="J404" s="1"/>
    </row>
    <row r="405" ht="15.75" customHeight="1">
      <c r="A405" s="36"/>
      <c r="B405" s="36"/>
      <c r="C405" s="37"/>
      <c r="D405" s="37"/>
      <c r="E405" s="37"/>
      <c r="F405" s="37"/>
      <c r="G405" s="37"/>
      <c r="H405" s="1"/>
      <c r="I405" s="1"/>
      <c r="J405" s="1"/>
    </row>
    <row r="406" ht="15.75" customHeight="1">
      <c r="A406" s="36"/>
      <c r="B406" s="36"/>
      <c r="C406" s="37"/>
      <c r="D406" s="37"/>
      <c r="E406" s="37"/>
      <c r="F406" s="37"/>
      <c r="G406" s="37"/>
      <c r="H406" s="1"/>
      <c r="I406" s="1"/>
      <c r="J406" s="1"/>
    </row>
    <row r="407" ht="15.75" customHeight="1">
      <c r="A407" s="36"/>
      <c r="B407" s="36"/>
      <c r="C407" s="37"/>
      <c r="D407" s="37"/>
      <c r="E407" s="37"/>
      <c r="F407" s="37"/>
      <c r="G407" s="37"/>
      <c r="H407" s="1"/>
      <c r="I407" s="1"/>
      <c r="J407" s="1"/>
    </row>
    <row r="408" ht="15.75" customHeight="1">
      <c r="A408" s="36"/>
      <c r="B408" s="36"/>
      <c r="C408" s="37"/>
      <c r="D408" s="37"/>
      <c r="E408" s="37"/>
      <c r="F408" s="37"/>
      <c r="G408" s="37"/>
      <c r="H408" s="1"/>
      <c r="I408" s="1"/>
      <c r="J408" s="1"/>
    </row>
    <row r="409" ht="15.75" customHeight="1">
      <c r="A409" s="36"/>
      <c r="B409" s="36"/>
      <c r="C409" s="37"/>
      <c r="D409" s="37"/>
      <c r="E409" s="37"/>
      <c r="F409" s="37"/>
      <c r="G409" s="37"/>
      <c r="H409" s="1"/>
      <c r="I409" s="1"/>
      <c r="J409" s="1"/>
    </row>
    <row r="410" ht="15.75" customHeight="1">
      <c r="A410" s="36"/>
      <c r="B410" s="36"/>
      <c r="C410" s="37"/>
      <c r="D410" s="37"/>
      <c r="E410" s="37"/>
      <c r="F410" s="37"/>
      <c r="G410" s="37"/>
      <c r="H410" s="1"/>
      <c r="I410" s="1"/>
      <c r="J410" s="1"/>
    </row>
    <row r="411" ht="15.75" customHeight="1">
      <c r="A411" s="36"/>
      <c r="B411" s="36"/>
      <c r="C411" s="37"/>
      <c r="D411" s="37"/>
      <c r="E411" s="37"/>
      <c r="F411" s="37"/>
      <c r="G411" s="37"/>
      <c r="H411" s="1"/>
      <c r="I411" s="1"/>
      <c r="J411" s="1"/>
    </row>
    <row r="412" ht="15.75" customHeight="1">
      <c r="A412" s="36"/>
      <c r="B412" s="36"/>
      <c r="C412" s="37"/>
      <c r="D412" s="37"/>
      <c r="E412" s="37"/>
      <c r="F412" s="37"/>
      <c r="G412" s="37"/>
      <c r="H412" s="1"/>
      <c r="I412" s="1"/>
      <c r="J412" s="1"/>
    </row>
    <row r="413" ht="15.75" customHeight="1">
      <c r="A413" s="36"/>
      <c r="B413" s="36"/>
      <c r="C413" s="37"/>
      <c r="D413" s="37"/>
      <c r="E413" s="37"/>
      <c r="F413" s="37"/>
      <c r="G413" s="37"/>
      <c r="H413" s="1"/>
      <c r="I413" s="1"/>
      <c r="J413" s="1"/>
    </row>
    <row r="414" ht="15.75" customHeight="1">
      <c r="A414" s="36"/>
      <c r="B414" s="36"/>
      <c r="C414" s="37"/>
      <c r="D414" s="37"/>
      <c r="E414" s="37"/>
      <c r="F414" s="37"/>
      <c r="G414" s="37"/>
      <c r="H414" s="1"/>
      <c r="I414" s="1"/>
      <c r="J414" s="1"/>
    </row>
    <row r="415" ht="15.75" customHeight="1">
      <c r="A415" s="36"/>
      <c r="B415" s="36"/>
      <c r="C415" s="37"/>
      <c r="D415" s="37"/>
      <c r="E415" s="37"/>
      <c r="F415" s="37"/>
      <c r="G415" s="37"/>
      <c r="H415" s="1"/>
      <c r="I415" s="1"/>
      <c r="J415" s="1"/>
    </row>
    <row r="416" ht="15.75" customHeight="1">
      <c r="A416" s="36"/>
      <c r="B416" s="36"/>
      <c r="C416" s="37"/>
      <c r="D416" s="37"/>
      <c r="E416" s="37"/>
      <c r="F416" s="37"/>
      <c r="G416" s="37"/>
      <c r="H416" s="1"/>
      <c r="I416" s="1"/>
      <c r="J416" s="1"/>
    </row>
    <row r="417" ht="15.75" customHeight="1">
      <c r="A417" s="36"/>
      <c r="B417" s="36"/>
      <c r="C417" s="37"/>
      <c r="D417" s="37"/>
      <c r="E417" s="37"/>
      <c r="F417" s="37"/>
      <c r="G417" s="37"/>
      <c r="H417" s="1"/>
      <c r="I417" s="1"/>
      <c r="J417" s="1"/>
    </row>
    <row r="418" ht="15.75" customHeight="1">
      <c r="A418" s="36"/>
      <c r="B418" s="36"/>
      <c r="C418" s="37"/>
      <c r="D418" s="37"/>
      <c r="E418" s="37"/>
      <c r="F418" s="37"/>
      <c r="G418" s="37"/>
      <c r="H418" s="1"/>
      <c r="I418" s="1"/>
      <c r="J418" s="1"/>
    </row>
    <row r="419" ht="15.75" customHeight="1">
      <c r="A419" s="36"/>
      <c r="B419" s="36"/>
      <c r="C419" s="37"/>
      <c r="D419" s="37"/>
      <c r="E419" s="37"/>
      <c r="F419" s="37"/>
      <c r="G419" s="37"/>
      <c r="H419" s="1"/>
      <c r="I419" s="1"/>
      <c r="J419" s="1"/>
    </row>
    <row r="420" ht="15.75" customHeight="1">
      <c r="A420" s="36"/>
      <c r="B420" s="36"/>
      <c r="C420" s="37"/>
      <c r="D420" s="37"/>
      <c r="E420" s="37"/>
      <c r="F420" s="37"/>
      <c r="G420" s="37"/>
      <c r="H420" s="1"/>
      <c r="I420" s="1"/>
      <c r="J420" s="1"/>
    </row>
    <row r="421" ht="15.75" customHeight="1">
      <c r="A421" s="36"/>
      <c r="B421" s="36"/>
      <c r="C421" s="37"/>
      <c r="D421" s="37"/>
      <c r="E421" s="37"/>
      <c r="F421" s="37"/>
      <c r="G421" s="37"/>
      <c r="H421" s="1"/>
      <c r="I421" s="1"/>
      <c r="J421" s="1"/>
    </row>
    <row r="422" ht="15.75" customHeight="1">
      <c r="A422" s="36"/>
      <c r="B422" s="36"/>
      <c r="C422" s="37"/>
      <c r="D422" s="37"/>
      <c r="E422" s="37"/>
      <c r="F422" s="37"/>
      <c r="G422" s="37"/>
      <c r="H422" s="1"/>
      <c r="I422" s="1"/>
      <c r="J422" s="1"/>
    </row>
    <row r="423" ht="15.75" customHeight="1">
      <c r="A423" s="36"/>
      <c r="B423" s="36"/>
      <c r="C423" s="37"/>
      <c r="D423" s="37"/>
      <c r="E423" s="37"/>
      <c r="F423" s="37"/>
      <c r="G423" s="37"/>
      <c r="H423" s="1"/>
      <c r="I423" s="1"/>
      <c r="J423" s="1"/>
    </row>
    <row r="424" ht="15.75" customHeight="1">
      <c r="A424" s="36"/>
      <c r="B424" s="36"/>
      <c r="C424" s="37"/>
      <c r="D424" s="37"/>
      <c r="E424" s="37"/>
      <c r="F424" s="37"/>
      <c r="G424" s="37"/>
      <c r="H424" s="1"/>
      <c r="I424" s="1"/>
      <c r="J424" s="1"/>
    </row>
    <row r="425" ht="15.75" customHeight="1">
      <c r="A425" s="36"/>
      <c r="B425" s="36"/>
      <c r="C425" s="37"/>
      <c r="D425" s="37"/>
      <c r="E425" s="37"/>
      <c r="F425" s="37"/>
      <c r="G425" s="37"/>
      <c r="H425" s="1"/>
      <c r="I425" s="1"/>
      <c r="J425" s="1"/>
    </row>
    <row r="426" ht="15.75" customHeight="1">
      <c r="A426" s="36"/>
      <c r="B426" s="36"/>
      <c r="C426" s="37"/>
      <c r="D426" s="37"/>
      <c r="E426" s="37"/>
      <c r="F426" s="37"/>
      <c r="G426" s="37"/>
      <c r="H426" s="1"/>
      <c r="I426" s="1"/>
      <c r="J426" s="1"/>
    </row>
    <row r="427" ht="15.75" customHeight="1">
      <c r="A427" s="36"/>
      <c r="B427" s="36"/>
      <c r="C427" s="37"/>
      <c r="D427" s="37"/>
      <c r="E427" s="37"/>
      <c r="F427" s="37"/>
      <c r="G427" s="37"/>
      <c r="H427" s="1"/>
      <c r="I427" s="1"/>
      <c r="J427" s="1"/>
    </row>
    <row r="428" ht="15.75" customHeight="1">
      <c r="A428" s="36"/>
      <c r="B428" s="36"/>
      <c r="C428" s="37"/>
      <c r="D428" s="37"/>
      <c r="E428" s="37"/>
      <c r="F428" s="37"/>
      <c r="G428" s="37"/>
      <c r="H428" s="1"/>
      <c r="I428" s="1"/>
      <c r="J428" s="1"/>
    </row>
    <row r="429" ht="15.75" customHeight="1">
      <c r="A429" s="36"/>
      <c r="B429" s="36"/>
      <c r="C429" s="37"/>
      <c r="D429" s="37"/>
      <c r="E429" s="37"/>
      <c r="F429" s="37"/>
      <c r="G429" s="37"/>
      <c r="H429" s="1"/>
      <c r="I429" s="1"/>
      <c r="J429" s="1"/>
    </row>
    <row r="430" ht="15.75" customHeight="1">
      <c r="A430" s="36"/>
      <c r="B430" s="36"/>
      <c r="C430" s="37"/>
      <c r="D430" s="37"/>
      <c r="E430" s="37"/>
      <c r="F430" s="37"/>
      <c r="G430" s="37"/>
      <c r="H430" s="1"/>
      <c r="I430" s="1"/>
      <c r="J430" s="1"/>
    </row>
    <row r="431" ht="15.75" customHeight="1">
      <c r="A431" s="36"/>
      <c r="B431" s="36"/>
      <c r="C431" s="37"/>
      <c r="D431" s="37"/>
      <c r="E431" s="37"/>
      <c r="F431" s="37"/>
      <c r="G431" s="37"/>
      <c r="H431" s="1"/>
      <c r="I431" s="1"/>
      <c r="J431" s="1"/>
    </row>
    <row r="432" ht="15.75" customHeight="1">
      <c r="A432" s="36"/>
      <c r="B432" s="36"/>
      <c r="C432" s="37"/>
      <c r="D432" s="37"/>
      <c r="E432" s="37"/>
      <c r="F432" s="37"/>
      <c r="G432" s="37"/>
      <c r="H432" s="1"/>
      <c r="I432" s="1"/>
      <c r="J432" s="1"/>
    </row>
    <row r="433" ht="15.75" customHeight="1">
      <c r="A433" s="36"/>
      <c r="B433" s="36"/>
      <c r="C433" s="37"/>
      <c r="D433" s="37"/>
      <c r="E433" s="37"/>
      <c r="F433" s="37"/>
      <c r="G433" s="37"/>
      <c r="H433" s="1"/>
      <c r="I433" s="1"/>
      <c r="J433" s="1"/>
    </row>
    <row r="434" ht="15.75" customHeight="1">
      <c r="A434" s="36"/>
      <c r="B434" s="36"/>
      <c r="C434" s="37"/>
      <c r="D434" s="37"/>
      <c r="E434" s="37"/>
      <c r="F434" s="37"/>
      <c r="G434" s="37"/>
      <c r="H434" s="1"/>
      <c r="I434" s="1"/>
      <c r="J434" s="1"/>
    </row>
    <row r="435" ht="15.75" customHeight="1">
      <c r="A435" s="36"/>
      <c r="B435" s="36"/>
      <c r="C435" s="37"/>
      <c r="D435" s="37"/>
      <c r="E435" s="37"/>
      <c r="F435" s="37"/>
      <c r="G435" s="37"/>
      <c r="H435" s="1"/>
      <c r="I435" s="1"/>
      <c r="J435" s="1"/>
    </row>
    <row r="436" ht="15.75" customHeight="1">
      <c r="A436" s="36"/>
      <c r="B436" s="36"/>
      <c r="C436" s="37"/>
      <c r="D436" s="37"/>
      <c r="E436" s="37"/>
      <c r="F436" s="37"/>
      <c r="G436" s="37"/>
      <c r="H436" s="1"/>
      <c r="I436" s="1"/>
      <c r="J436" s="1"/>
    </row>
    <row r="437" ht="15.75" customHeight="1">
      <c r="A437" s="36"/>
      <c r="B437" s="36"/>
      <c r="C437" s="37"/>
      <c r="D437" s="37"/>
      <c r="E437" s="37"/>
      <c r="F437" s="37"/>
      <c r="G437" s="37"/>
      <c r="H437" s="1"/>
      <c r="I437" s="1"/>
      <c r="J437" s="1"/>
    </row>
    <row r="438" ht="15.75" customHeight="1">
      <c r="A438" s="36"/>
      <c r="B438" s="36"/>
      <c r="C438" s="37"/>
      <c r="D438" s="37"/>
      <c r="E438" s="37"/>
      <c r="F438" s="37"/>
      <c r="G438" s="37"/>
      <c r="H438" s="1"/>
      <c r="I438" s="1"/>
      <c r="J438" s="1"/>
    </row>
    <row r="439" ht="15.75" customHeight="1">
      <c r="A439" s="36"/>
      <c r="B439" s="36"/>
      <c r="C439" s="37"/>
      <c r="D439" s="37"/>
      <c r="E439" s="37"/>
      <c r="F439" s="37"/>
      <c r="G439" s="37"/>
      <c r="H439" s="1"/>
      <c r="I439" s="1"/>
      <c r="J439" s="1"/>
    </row>
    <row r="440" ht="15.75" customHeight="1">
      <c r="A440" s="36"/>
      <c r="B440" s="36"/>
      <c r="C440" s="37"/>
      <c r="D440" s="37"/>
      <c r="E440" s="37"/>
      <c r="F440" s="37"/>
      <c r="G440" s="37"/>
      <c r="H440" s="1"/>
      <c r="I440" s="1"/>
      <c r="J440" s="1"/>
    </row>
    <row r="441" ht="15.75" customHeight="1">
      <c r="A441" s="36"/>
      <c r="B441" s="36"/>
      <c r="C441" s="37"/>
      <c r="D441" s="37"/>
      <c r="E441" s="37"/>
      <c r="F441" s="37"/>
      <c r="G441" s="37"/>
      <c r="H441" s="1"/>
      <c r="I441" s="1"/>
      <c r="J441" s="1"/>
    </row>
    <row r="442" ht="15.75" customHeight="1">
      <c r="A442" s="36"/>
      <c r="B442" s="36"/>
      <c r="C442" s="37"/>
      <c r="D442" s="37"/>
      <c r="E442" s="37"/>
      <c r="F442" s="37"/>
      <c r="G442" s="37"/>
      <c r="H442" s="1"/>
      <c r="I442" s="1"/>
      <c r="J442" s="1"/>
    </row>
    <row r="443" ht="15.75" customHeight="1">
      <c r="A443" s="36"/>
      <c r="B443" s="36"/>
      <c r="C443" s="37"/>
      <c r="D443" s="37"/>
      <c r="E443" s="37"/>
      <c r="F443" s="37"/>
      <c r="G443" s="37"/>
      <c r="H443" s="1"/>
      <c r="I443" s="1"/>
      <c r="J443" s="1"/>
    </row>
    <row r="444" ht="15.75" customHeight="1">
      <c r="A444" s="36"/>
      <c r="B444" s="36"/>
      <c r="C444" s="37"/>
      <c r="D444" s="37"/>
      <c r="E444" s="37"/>
      <c r="F444" s="37"/>
      <c r="G444" s="37"/>
      <c r="H444" s="1"/>
      <c r="I444" s="1"/>
      <c r="J444" s="1"/>
    </row>
    <row r="445" ht="15.75" customHeight="1">
      <c r="A445" s="36"/>
      <c r="B445" s="36"/>
      <c r="C445" s="37"/>
      <c r="D445" s="37"/>
      <c r="E445" s="37"/>
      <c r="F445" s="37"/>
      <c r="G445" s="37"/>
      <c r="H445" s="1"/>
      <c r="I445" s="1"/>
      <c r="J445" s="1"/>
    </row>
    <row r="446" ht="15.75" customHeight="1">
      <c r="A446" s="36"/>
      <c r="B446" s="36"/>
      <c r="C446" s="37"/>
      <c r="D446" s="37"/>
      <c r="E446" s="37"/>
      <c r="F446" s="37"/>
      <c r="G446" s="37"/>
      <c r="H446" s="1"/>
      <c r="I446" s="1"/>
      <c r="J446" s="1"/>
    </row>
    <row r="447" ht="15.75" customHeight="1">
      <c r="A447" s="36"/>
      <c r="B447" s="36"/>
      <c r="C447" s="37"/>
      <c r="D447" s="37"/>
      <c r="E447" s="37"/>
      <c r="F447" s="37"/>
      <c r="G447" s="37"/>
      <c r="H447" s="1"/>
      <c r="I447" s="1"/>
      <c r="J447" s="1"/>
    </row>
    <row r="448" ht="15.75" customHeight="1">
      <c r="A448" s="36"/>
      <c r="B448" s="36"/>
      <c r="C448" s="37"/>
      <c r="D448" s="37"/>
      <c r="E448" s="37"/>
      <c r="F448" s="37"/>
      <c r="G448" s="37"/>
      <c r="H448" s="1"/>
      <c r="I448" s="1"/>
      <c r="J448" s="1"/>
    </row>
    <row r="449" ht="15.75" customHeight="1">
      <c r="A449" s="36"/>
      <c r="B449" s="36"/>
      <c r="C449" s="37"/>
      <c r="D449" s="37"/>
      <c r="E449" s="37"/>
      <c r="F449" s="37"/>
      <c r="G449" s="37"/>
      <c r="H449" s="1"/>
      <c r="I449" s="1"/>
      <c r="J449" s="1"/>
    </row>
    <row r="450" ht="15.75" customHeight="1">
      <c r="A450" s="36"/>
      <c r="B450" s="36"/>
      <c r="C450" s="37"/>
      <c r="D450" s="37"/>
      <c r="E450" s="37"/>
      <c r="F450" s="37"/>
      <c r="G450" s="37"/>
      <c r="H450" s="1"/>
      <c r="I450" s="1"/>
      <c r="J450" s="1"/>
    </row>
    <row r="451" ht="15.75" customHeight="1">
      <c r="A451" s="36"/>
      <c r="B451" s="36"/>
      <c r="C451" s="37"/>
      <c r="D451" s="37"/>
      <c r="E451" s="37"/>
      <c r="F451" s="37"/>
      <c r="G451" s="37"/>
      <c r="H451" s="1"/>
      <c r="I451" s="1"/>
      <c r="J451" s="1"/>
    </row>
    <row r="452" ht="15.75" customHeight="1">
      <c r="A452" s="36"/>
      <c r="B452" s="36"/>
      <c r="C452" s="37"/>
      <c r="D452" s="37"/>
      <c r="E452" s="37"/>
      <c r="F452" s="37"/>
      <c r="G452" s="37"/>
      <c r="H452" s="1"/>
      <c r="I452" s="1"/>
      <c r="J452" s="1"/>
    </row>
    <row r="453" ht="15.75" customHeight="1">
      <c r="A453" s="36"/>
      <c r="B453" s="36"/>
      <c r="C453" s="37"/>
      <c r="D453" s="37"/>
      <c r="E453" s="37"/>
      <c r="F453" s="37"/>
      <c r="G453" s="37"/>
      <c r="H453" s="1"/>
      <c r="I453" s="1"/>
      <c r="J453" s="1"/>
    </row>
    <row r="454" ht="15.75" customHeight="1">
      <c r="A454" s="36"/>
      <c r="B454" s="36"/>
      <c r="C454" s="37"/>
      <c r="D454" s="37"/>
      <c r="E454" s="37"/>
      <c r="F454" s="37"/>
      <c r="G454" s="37"/>
      <c r="H454" s="1"/>
      <c r="I454" s="1"/>
      <c r="J454" s="1"/>
    </row>
    <row r="455" ht="15.75" customHeight="1">
      <c r="A455" s="36"/>
      <c r="B455" s="36"/>
      <c r="C455" s="37"/>
      <c r="D455" s="37"/>
      <c r="E455" s="37"/>
      <c r="F455" s="37"/>
      <c r="G455" s="37"/>
      <c r="H455" s="1"/>
      <c r="I455" s="1"/>
      <c r="J455" s="1"/>
    </row>
    <row r="456" ht="15.75" customHeight="1">
      <c r="A456" s="36"/>
      <c r="B456" s="36"/>
      <c r="C456" s="37"/>
      <c r="D456" s="37"/>
      <c r="E456" s="37"/>
      <c r="F456" s="37"/>
      <c r="G456" s="37"/>
      <c r="H456" s="1"/>
      <c r="I456" s="1"/>
      <c r="J456" s="1"/>
    </row>
    <row r="457" ht="15.75" customHeight="1">
      <c r="A457" s="36"/>
      <c r="B457" s="36"/>
      <c r="C457" s="37"/>
      <c r="D457" s="37"/>
      <c r="E457" s="37"/>
      <c r="F457" s="37"/>
      <c r="G457" s="37"/>
      <c r="H457" s="1"/>
      <c r="I457" s="1"/>
      <c r="J457" s="1"/>
    </row>
    <row r="458" ht="15.75" customHeight="1">
      <c r="A458" s="36"/>
      <c r="B458" s="36"/>
      <c r="C458" s="37"/>
      <c r="D458" s="37"/>
      <c r="E458" s="37"/>
      <c r="F458" s="37"/>
      <c r="G458" s="37"/>
      <c r="H458" s="1"/>
      <c r="I458" s="1"/>
      <c r="J458" s="1"/>
    </row>
    <row r="459" ht="15.75" customHeight="1">
      <c r="A459" s="36"/>
      <c r="B459" s="36"/>
      <c r="C459" s="37"/>
      <c r="D459" s="37"/>
      <c r="E459" s="37"/>
      <c r="F459" s="37"/>
      <c r="G459" s="37"/>
      <c r="H459" s="1"/>
      <c r="I459" s="1"/>
      <c r="J459" s="1"/>
    </row>
    <row r="460" ht="15.75" customHeight="1">
      <c r="A460" s="36"/>
      <c r="B460" s="36"/>
      <c r="C460" s="37"/>
      <c r="D460" s="37"/>
      <c r="E460" s="37"/>
      <c r="F460" s="37"/>
      <c r="G460" s="37"/>
      <c r="H460" s="1"/>
      <c r="I460" s="1"/>
      <c r="J460" s="1"/>
    </row>
    <row r="461" ht="15.75" customHeight="1">
      <c r="A461" s="36"/>
      <c r="B461" s="36"/>
      <c r="C461" s="37"/>
      <c r="D461" s="37"/>
      <c r="E461" s="37"/>
      <c r="F461" s="37"/>
      <c r="G461" s="37"/>
      <c r="H461" s="1"/>
      <c r="I461" s="1"/>
      <c r="J461" s="1"/>
    </row>
    <row r="462" ht="15.75" customHeight="1">
      <c r="A462" s="36"/>
      <c r="B462" s="36"/>
      <c r="C462" s="37"/>
      <c r="D462" s="37"/>
      <c r="E462" s="37"/>
      <c r="F462" s="37"/>
      <c r="G462" s="37"/>
      <c r="H462" s="1"/>
      <c r="I462" s="1"/>
      <c r="J462" s="1"/>
    </row>
    <row r="463" ht="15.75" customHeight="1">
      <c r="A463" s="36"/>
      <c r="B463" s="36"/>
      <c r="C463" s="37"/>
      <c r="D463" s="37"/>
      <c r="E463" s="37"/>
      <c r="F463" s="37"/>
      <c r="G463" s="37"/>
      <c r="H463" s="1"/>
      <c r="I463" s="1"/>
      <c r="J463" s="1"/>
    </row>
    <row r="464" ht="15.75" customHeight="1">
      <c r="A464" s="36"/>
      <c r="B464" s="36"/>
      <c r="C464" s="37"/>
      <c r="D464" s="37"/>
      <c r="E464" s="37"/>
      <c r="F464" s="37"/>
      <c r="G464" s="37"/>
      <c r="H464" s="1"/>
      <c r="I464" s="1"/>
      <c r="J464" s="1"/>
    </row>
    <row r="465" ht="15.75" customHeight="1">
      <c r="A465" s="36"/>
      <c r="B465" s="36"/>
      <c r="C465" s="37"/>
      <c r="D465" s="37"/>
      <c r="E465" s="37"/>
      <c r="F465" s="37"/>
      <c r="G465" s="37"/>
      <c r="H465" s="1"/>
      <c r="I465" s="1"/>
      <c r="J465" s="1"/>
    </row>
    <row r="466" ht="15.75" customHeight="1">
      <c r="A466" s="36"/>
      <c r="B466" s="36"/>
      <c r="C466" s="37"/>
      <c r="D466" s="37"/>
      <c r="E466" s="37"/>
      <c r="F466" s="37"/>
      <c r="G466" s="37"/>
      <c r="H466" s="1"/>
      <c r="I466" s="1"/>
      <c r="J466" s="1"/>
    </row>
    <row r="467" ht="15.75" customHeight="1">
      <c r="A467" s="36"/>
      <c r="B467" s="36"/>
      <c r="C467" s="37"/>
      <c r="D467" s="37"/>
      <c r="E467" s="37"/>
      <c r="F467" s="37"/>
      <c r="G467" s="37"/>
      <c r="H467" s="1"/>
      <c r="I467" s="1"/>
      <c r="J467" s="1"/>
    </row>
    <row r="468" ht="15.75" customHeight="1">
      <c r="A468" s="36"/>
      <c r="B468" s="36"/>
      <c r="C468" s="37"/>
      <c r="D468" s="37"/>
      <c r="E468" s="37"/>
      <c r="F468" s="37"/>
      <c r="G468" s="37"/>
      <c r="H468" s="1"/>
      <c r="I468" s="1"/>
      <c r="J468" s="1"/>
    </row>
    <row r="469" ht="15.75" customHeight="1">
      <c r="A469" s="36"/>
      <c r="B469" s="36"/>
      <c r="C469" s="37"/>
      <c r="D469" s="37"/>
      <c r="E469" s="37"/>
      <c r="F469" s="37"/>
      <c r="G469" s="37"/>
      <c r="H469" s="1"/>
      <c r="I469" s="1"/>
      <c r="J469" s="1"/>
    </row>
    <row r="470" ht="15.75" customHeight="1">
      <c r="A470" s="36"/>
      <c r="B470" s="36"/>
      <c r="C470" s="37"/>
      <c r="D470" s="37"/>
      <c r="E470" s="37"/>
      <c r="F470" s="37"/>
      <c r="G470" s="37"/>
      <c r="H470" s="1"/>
      <c r="I470" s="1"/>
      <c r="J470" s="1"/>
    </row>
    <row r="471" ht="15.75" customHeight="1">
      <c r="A471" s="36"/>
      <c r="B471" s="36"/>
      <c r="C471" s="37"/>
      <c r="D471" s="37"/>
      <c r="E471" s="37"/>
      <c r="F471" s="37"/>
      <c r="G471" s="37"/>
      <c r="H471" s="1"/>
      <c r="I471" s="1"/>
      <c r="J471" s="1"/>
    </row>
    <row r="472" ht="15.75" customHeight="1">
      <c r="A472" s="36"/>
      <c r="B472" s="36"/>
      <c r="C472" s="37"/>
      <c r="D472" s="37"/>
      <c r="E472" s="37"/>
      <c r="F472" s="37"/>
      <c r="G472" s="37"/>
      <c r="H472" s="1"/>
      <c r="I472" s="1"/>
      <c r="J472" s="1"/>
    </row>
    <row r="473" ht="15.75" customHeight="1">
      <c r="A473" s="36"/>
      <c r="B473" s="36"/>
      <c r="C473" s="37"/>
      <c r="D473" s="37"/>
      <c r="E473" s="37"/>
      <c r="F473" s="37"/>
      <c r="G473" s="37"/>
      <c r="H473" s="1"/>
      <c r="I473" s="1"/>
      <c r="J473" s="1"/>
    </row>
    <row r="474" ht="15.75" customHeight="1">
      <c r="A474" s="36"/>
      <c r="B474" s="36"/>
      <c r="C474" s="37"/>
      <c r="D474" s="37"/>
      <c r="E474" s="37"/>
      <c r="F474" s="37"/>
      <c r="G474" s="37"/>
      <c r="H474" s="1"/>
      <c r="I474" s="1"/>
      <c r="J474" s="1"/>
    </row>
    <row r="475" ht="15.75" customHeight="1">
      <c r="A475" s="36"/>
      <c r="B475" s="36"/>
      <c r="C475" s="37"/>
      <c r="D475" s="37"/>
      <c r="E475" s="37"/>
      <c r="F475" s="37"/>
      <c r="G475" s="37"/>
      <c r="H475" s="1"/>
      <c r="I475" s="1"/>
      <c r="J475" s="1"/>
    </row>
    <row r="476" ht="15.75" customHeight="1">
      <c r="A476" s="36"/>
      <c r="B476" s="36"/>
      <c r="C476" s="37"/>
      <c r="D476" s="37"/>
      <c r="E476" s="37"/>
      <c r="F476" s="37"/>
      <c r="G476" s="37"/>
      <c r="H476" s="1"/>
      <c r="I476" s="1"/>
      <c r="J476" s="1"/>
    </row>
    <row r="477" ht="15.75" customHeight="1">
      <c r="A477" s="36"/>
      <c r="B477" s="36"/>
      <c r="C477" s="37"/>
      <c r="D477" s="37"/>
      <c r="E477" s="37"/>
      <c r="F477" s="37"/>
      <c r="G477" s="37"/>
      <c r="H477" s="1"/>
      <c r="I477" s="1"/>
      <c r="J477" s="1"/>
    </row>
    <row r="478" ht="15.75" customHeight="1">
      <c r="A478" s="36"/>
      <c r="B478" s="36"/>
      <c r="C478" s="37"/>
      <c r="D478" s="37"/>
      <c r="E478" s="37"/>
      <c r="F478" s="37"/>
      <c r="G478" s="37"/>
      <c r="H478" s="1"/>
      <c r="I478" s="1"/>
      <c r="J478" s="1"/>
    </row>
    <row r="479" ht="15.75" customHeight="1">
      <c r="A479" s="36"/>
      <c r="B479" s="36"/>
      <c r="C479" s="37"/>
      <c r="D479" s="37"/>
      <c r="E479" s="37"/>
      <c r="F479" s="37"/>
      <c r="G479" s="37"/>
      <c r="H479" s="1"/>
      <c r="I479" s="1"/>
      <c r="J479" s="1"/>
    </row>
    <row r="480" ht="15.75" customHeight="1">
      <c r="A480" s="36"/>
      <c r="B480" s="36"/>
      <c r="C480" s="37"/>
      <c r="D480" s="37"/>
      <c r="E480" s="37"/>
      <c r="F480" s="37"/>
      <c r="G480" s="37"/>
      <c r="H480" s="1"/>
      <c r="I480" s="1"/>
      <c r="J480" s="1"/>
    </row>
    <row r="481" ht="15.75" customHeight="1">
      <c r="A481" s="36"/>
      <c r="B481" s="36"/>
      <c r="C481" s="37"/>
      <c r="D481" s="37"/>
      <c r="E481" s="37"/>
      <c r="F481" s="37"/>
      <c r="G481" s="37"/>
      <c r="H481" s="1"/>
      <c r="I481" s="1"/>
      <c r="J481" s="1"/>
    </row>
    <row r="482" ht="15.75" customHeight="1">
      <c r="A482" s="36"/>
      <c r="B482" s="36"/>
      <c r="C482" s="37"/>
      <c r="D482" s="37"/>
      <c r="E482" s="37"/>
      <c r="F482" s="37"/>
      <c r="G482" s="37"/>
      <c r="H482" s="1"/>
      <c r="I482" s="1"/>
      <c r="J482" s="1"/>
    </row>
    <row r="483" ht="15.75" customHeight="1">
      <c r="A483" s="36"/>
      <c r="B483" s="36"/>
      <c r="C483" s="37"/>
      <c r="D483" s="37"/>
      <c r="E483" s="37"/>
      <c r="F483" s="37"/>
      <c r="G483" s="37"/>
      <c r="H483" s="1"/>
      <c r="I483" s="1"/>
      <c r="J483" s="1"/>
    </row>
    <row r="484" ht="15.75" customHeight="1">
      <c r="A484" s="36"/>
      <c r="B484" s="36"/>
      <c r="C484" s="37"/>
      <c r="D484" s="37"/>
      <c r="E484" s="37"/>
      <c r="F484" s="37"/>
      <c r="G484" s="37"/>
      <c r="H484" s="1"/>
      <c r="I484" s="1"/>
      <c r="J484" s="1"/>
    </row>
    <row r="485" ht="15.75" customHeight="1">
      <c r="A485" s="36"/>
      <c r="B485" s="36"/>
      <c r="C485" s="37"/>
      <c r="D485" s="37"/>
      <c r="E485" s="37"/>
      <c r="F485" s="37"/>
      <c r="G485" s="37"/>
      <c r="H485" s="1"/>
      <c r="I485" s="1"/>
      <c r="J485" s="1"/>
    </row>
    <row r="486" ht="15.75" customHeight="1">
      <c r="A486" s="36"/>
      <c r="B486" s="36"/>
      <c r="C486" s="37"/>
      <c r="D486" s="37"/>
      <c r="E486" s="37"/>
      <c r="F486" s="37"/>
      <c r="G486" s="37"/>
      <c r="H486" s="1"/>
      <c r="I486" s="1"/>
      <c r="J486" s="1"/>
    </row>
    <row r="487" ht="15.75" customHeight="1">
      <c r="A487" s="36"/>
      <c r="B487" s="36"/>
      <c r="C487" s="37"/>
      <c r="D487" s="37"/>
      <c r="E487" s="37"/>
      <c r="F487" s="37"/>
      <c r="G487" s="37"/>
      <c r="H487" s="1"/>
      <c r="I487" s="1"/>
      <c r="J487" s="1"/>
    </row>
    <row r="488" ht="15.75" customHeight="1">
      <c r="A488" s="36"/>
      <c r="B488" s="36"/>
      <c r="C488" s="37"/>
      <c r="D488" s="37"/>
      <c r="E488" s="37"/>
      <c r="F488" s="37"/>
      <c r="G488" s="37"/>
      <c r="H488" s="1"/>
      <c r="I488" s="1"/>
      <c r="J488" s="1"/>
    </row>
    <row r="489" ht="15.75" customHeight="1">
      <c r="A489" s="36"/>
      <c r="B489" s="36"/>
      <c r="C489" s="37"/>
      <c r="D489" s="37"/>
      <c r="E489" s="37"/>
      <c r="F489" s="37"/>
      <c r="G489" s="37"/>
      <c r="H489" s="1"/>
      <c r="I489" s="1"/>
      <c r="J489" s="1"/>
    </row>
    <row r="490" ht="15.75" customHeight="1">
      <c r="A490" s="36"/>
      <c r="B490" s="36"/>
      <c r="C490" s="37"/>
      <c r="D490" s="37"/>
      <c r="E490" s="37"/>
      <c r="F490" s="37"/>
      <c r="G490" s="37"/>
      <c r="H490" s="1"/>
      <c r="I490" s="1"/>
      <c r="J490" s="1"/>
    </row>
    <row r="491" ht="15.75" customHeight="1">
      <c r="A491" s="36"/>
      <c r="B491" s="36"/>
      <c r="C491" s="37"/>
      <c r="D491" s="37"/>
      <c r="E491" s="37"/>
      <c r="F491" s="37"/>
      <c r="G491" s="37"/>
      <c r="H491" s="1"/>
      <c r="I491" s="1"/>
      <c r="J491" s="1"/>
    </row>
    <row r="492" ht="15.75" customHeight="1">
      <c r="A492" s="36"/>
      <c r="B492" s="36"/>
      <c r="C492" s="37"/>
      <c r="D492" s="37"/>
      <c r="E492" s="37"/>
      <c r="F492" s="37"/>
      <c r="G492" s="37"/>
      <c r="H492" s="1"/>
      <c r="I492" s="1"/>
      <c r="J492" s="1"/>
    </row>
    <row r="493" ht="15.75" customHeight="1">
      <c r="A493" s="36"/>
      <c r="B493" s="36"/>
      <c r="C493" s="37"/>
      <c r="D493" s="37"/>
      <c r="E493" s="37"/>
      <c r="F493" s="37"/>
      <c r="G493" s="37"/>
      <c r="H493" s="1"/>
      <c r="I493" s="1"/>
      <c r="J493" s="1"/>
    </row>
    <row r="494" ht="15.75" customHeight="1">
      <c r="A494" s="36"/>
      <c r="B494" s="36"/>
      <c r="C494" s="37"/>
      <c r="D494" s="37"/>
      <c r="E494" s="37"/>
      <c r="F494" s="37"/>
      <c r="G494" s="37"/>
      <c r="H494" s="1"/>
      <c r="I494" s="1"/>
      <c r="J494" s="1"/>
    </row>
    <row r="495" ht="15.75" customHeight="1">
      <c r="A495" s="36"/>
      <c r="B495" s="36"/>
      <c r="C495" s="37"/>
      <c r="D495" s="37"/>
      <c r="E495" s="37"/>
      <c r="F495" s="37"/>
      <c r="G495" s="37"/>
      <c r="H495" s="1"/>
      <c r="I495" s="1"/>
      <c r="J495" s="1"/>
    </row>
    <row r="496" ht="15.75" customHeight="1">
      <c r="A496" s="36"/>
      <c r="B496" s="36"/>
      <c r="C496" s="37"/>
      <c r="D496" s="37"/>
      <c r="E496" s="37"/>
      <c r="F496" s="37"/>
      <c r="G496" s="37"/>
      <c r="H496" s="1"/>
      <c r="I496" s="1"/>
      <c r="J496" s="1"/>
    </row>
    <row r="497" ht="15.75" customHeight="1">
      <c r="A497" s="36"/>
      <c r="B497" s="36"/>
      <c r="C497" s="37"/>
      <c r="D497" s="37"/>
      <c r="E497" s="37"/>
      <c r="F497" s="37"/>
      <c r="G497" s="37"/>
      <c r="H497" s="1"/>
      <c r="I497" s="1"/>
      <c r="J497" s="1"/>
    </row>
    <row r="498" ht="15.75" customHeight="1">
      <c r="A498" s="36"/>
      <c r="B498" s="36"/>
      <c r="C498" s="37"/>
      <c r="D498" s="37"/>
      <c r="E498" s="37"/>
      <c r="F498" s="37"/>
      <c r="G498" s="37"/>
      <c r="H498" s="1"/>
      <c r="I498" s="1"/>
      <c r="J498" s="1"/>
    </row>
    <row r="499" ht="15.75" customHeight="1">
      <c r="A499" s="36"/>
      <c r="B499" s="36"/>
      <c r="C499" s="37"/>
      <c r="D499" s="37"/>
      <c r="E499" s="37"/>
      <c r="F499" s="37"/>
      <c r="G499" s="37"/>
      <c r="H499" s="1"/>
      <c r="I499" s="1"/>
      <c r="J499" s="1"/>
    </row>
    <row r="500" ht="15.75" customHeight="1">
      <c r="A500" s="36"/>
      <c r="B500" s="36"/>
      <c r="C500" s="37"/>
      <c r="D500" s="37"/>
      <c r="E500" s="37"/>
      <c r="F500" s="37"/>
      <c r="G500" s="37"/>
      <c r="H500" s="1"/>
      <c r="I500" s="1"/>
      <c r="J500" s="1"/>
    </row>
    <row r="501" ht="15.75" customHeight="1">
      <c r="A501" s="36"/>
      <c r="B501" s="36"/>
      <c r="C501" s="37"/>
      <c r="D501" s="37"/>
      <c r="E501" s="37"/>
      <c r="F501" s="37"/>
      <c r="G501" s="37"/>
      <c r="H501" s="1"/>
      <c r="I501" s="1"/>
      <c r="J501" s="1"/>
    </row>
    <row r="502" ht="15.75" customHeight="1">
      <c r="A502" s="36"/>
      <c r="B502" s="36"/>
      <c r="C502" s="37"/>
      <c r="D502" s="37"/>
      <c r="E502" s="37"/>
      <c r="F502" s="37"/>
      <c r="G502" s="37"/>
      <c r="H502" s="1"/>
      <c r="I502" s="1"/>
      <c r="J502" s="1"/>
    </row>
    <row r="503" ht="15.75" customHeight="1">
      <c r="A503" s="36"/>
      <c r="B503" s="36"/>
      <c r="C503" s="37"/>
      <c r="D503" s="37"/>
      <c r="E503" s="37"/>
      <c r="F503" s="37"/>
      <c r="G503" s="37"/>
      <c r="H503" s="1"/>
      <c r="I503" s="1"/>
      <c r="J503" s="1"/>
    </row>
    <row r="504" ht="15.75" customHeight="1">
      <c r="A504" s="36"/>
      <c r="B504" s="36"/>
      <c r="C504" s="37"/>
      <c r="D504" s="37"/>
      <c r="E504" s="37"/>
      <c r="F504" s="37"/>
      <c r="G504" s="37"/>
      <c r="H504" s="1"/>
      <c r="I504" s="1"/>
      <c r="J504" s="1"/>
    </row>
    <row r="505" ht="15.75" customHeight="1">
      <c r="A505" s="36"/>
      <c r="B505" s="36"/>
      <c r="C505" s="37"/>
      <c r="D505" s="37"/>
      <c r="E505" s="37"/>
      <c r="F505" s="37"/>
      <c r="G505" s="37"/>
      <c r="H505" s="1"/>
      <c r="I505" s="1"/>
      <c r="J505" s="1"/>
    </row>
    <row r="506" ht="15.75" customHeight="1">
      <c r="A506" s="36"/>
      <c r="B506" s="36"/>
      <c r="C506" s="37"/>
      <c r="D506" s="37"/>
      <c r="E506" s="37"/>
      <c r="F506" s="37"/>
      <c r="G506" s="37"/>
      <c r="H506" s="1"/>
      <c r="I506" s="1"/>
      <c r="J506" s="1"/>
    </row>
    <row r="507" ht="15.75" customHeight="1">
      <c r="A507" s="36"/>
      <c r="B507" s="36"/>
      <c r="C507" s="37"/>
      <c r="D507" s="37"/>
      <c r="E507" s="37"/>
      <c r="F507" s="37"/>
      <c r="G507" s="37"/>
      <c r="H507" s="1"/>
      <c r="I507" s="1"/>
      <c r="J507" s="1"/>
    </row>
    <row r="508" ht="15.75" customHeight="1">
      <c r="A508" s="36"/>
      <c r="B508" s="36"/>
      <c r="C508" s="37"/>
      <c r="D508" s="37"/>
      <c r="E508" s="37"/>
      <c r="F508" s="37"/>
      <c r="G508" s="37"/>
      <c r="H508" s="1"/>
      <c r="I508" s="1"/>
      <c r="J508" s="1"/>
    </row>
    <row r="509" ht="15.75" customHeight="1">
      <c r="A509" s="36"/>
      <c r="B509" s="36"/>
      <c r="C509" s="37"/>
      <c r="D509" s="37"/>
      <c r="E509" s="37"/>
      <c r="F509" s="37"/>
      <c r="G509" s="37"/>
      <c r="H509" s="1"/>
      <c r="I509" s="1"/>
      <c r="J509" s="1"/>
    </row>
    <row r="510" ht="15.75" customHeight="1">
      <c r="A510" s="36"/>
      <c r="B510" s="36"/>
      <c r="C510" s="37"/>
      <c r="D510" s="37"/>
      <c r="E510" s="37"/>
      <c r="F510" s="37"/>
      <c r="G510" s="37"/>
      <c r="H510" s="1"/>
      <c r="I510" s="1"/>
      <c r="J510" s="1"/>
    </row>
    <row r="511" ht="15.75" customHeight="1">
      <c r="A511" s="36"/>
      <c r="B511" s="36"/>
      <c r="C511" s="37"/>
      <c r="D511" s="37"/>
      <c r="E511" s="37"/>
      <c r="F511" s="37"/>
      <c r="G511" s="37"/>
      <c r="H511" s="1"/>
      <c r="I511" s="1"/>
      <c r="J511" s="1"/>
    </row>
    <row r="512" ht="15.75" customHeight="1">
      <c r="A512" s="36"/>
      <c r="B512" s="36"/>
      <c r="C512" s="37"/>
      <c r="D512" s="37"/>
      <c r="E512" s="37"/>
      <c r="F512" s="37"/>
      <c r="G512" s="37"/>
      <c r="H512" s="1"/>
      <c r="I512" s="1"/>
      <c r="J512" s="1"/>
    </row>
    <row r="513" ht="15.75" customHeight="1">
      <c r="A513" s="36"/>
      <c r="B513" s="36"/>
      <c r="C513" s="37"/>
      <c r="D513" s="37"/>
      <c r="E513" s="37"/>
      <c r="F513" s="37"/>
      <c r="G513" s="37"/>
      <c r="H513" s="1"/>
      <c r="I513" s="1"/>
      <c r="J513" s="1"/>
    </row>
    <row r="514" ht="15.75" customHeight="1">
      <c r="A514" s="36"/>
      <c r="B514" s="36"/>
      <c r="C514" s="37"/>
      <c r="D514" s="37"/>
      <c r="E514" s="37"/>
      <c r="F514" s="37"/>
      <c r="G514" s="37"/>
      <c r="H514" s="1"/>
      <c r="I514" s="1"/>
      <c r="J514" s="1"/>
    </row>
    <row r="515" ht="15.75" customHeight="1">
      <c r="A515" s="36"/>
      <c r="B515" s="36"/>
      <c r="C515" s="37"/>
      <c r="D515" s="37"/>
      <c r="E515" s="37"/>
      <c r="F515" s="37"/>
      <c r="G515" s="37"/>
      <c r="H515" s="1"/>
      <c r="I515" s="1"/>
      <c r="J515" s="1"/>
    </row>
    <row r="516" ht="15.75" customHeight="1">
      <c r="A516" s="36"/>
      <c r="B516" s="36"/>
      <c r="C516" s="37"/>
      <c r="D516" s="37"/>
      <c r="E516" s="37"/>
      <c r="F516" s="37"/>
      <c r="G516" s="37"/>
      <c r="H516" s="1"/>
      <c r="I516" s="1"/>
      <c r="J516" s="1"/>
    </row>
    <row r="517" ht="15.75" customHeight="1">
      <c r="A517" s="36"/>
      <c r="B517" s="36"/>
      <c r="C517" s="37"/>
      <c r="D517" s="37"/>
      <c r="E517" s="37"/>
      <c r="F517" s="37"/>
      <c r="G517" s="37"/>
      <c r="H517" s="1"/>
      <c r="I517" s="1"/>
      <c r="J517" s="1"/>
    </row>
    <row r="518" ht="15.75" customHeight="1">
      <c r="A518" s="36"/>
      <c r="B518" s="36"/>
      <c r="C518" s="37"/>
      <c r="D518" s="37"/>
      <c r="E518" s="37"/>
      <c r="F518" s="37"/>
      <c r="G518" s="37"/>
      <c r="H518" s="1"/>
      <c r="I518" s="1"/>
      <c r="J518" s="1"/>
    </row>
    <row r="519" ht="15.75" customHeight="1">
      <c r="A519" s="36"/>
      <c r="B519" s="36"/>
      <c r="C519" s="37"/>
      <c r="D519" s="37"/>
      <c r="E519" s="37"/>
      <c r="F519" s="37"/>
      <c r="G519" s="37"/>
      <c r="H519" s="1"/>
      <c r="I519" s="1"/>
      <c r="J519" s="1"/>
    </row>
    <row r="520" ht="15.75" customHeight="1">
      <c r="A520" s="36"/>
      <c r="B520" s="36"/>
      <c r="C520" s="37"/>
      <c r="D520" s="37"/>
      <c r="E520" s="37"/>
      <c r="F520" s="37"/>
      <c r="G520" s="37"/>
      <c r="H520" s="1"/>
      <c r="I520" s="1"/>
      <c r="J520" s="1"/>
    </row>
    <row r="521" ht="15.75" customHeight="1">
      <c r="A521" s="36"/>
      <c r="B521" s="36"/>
      <c r="C521" s="37"/>
      <c r="D521" s="37"/>
      <c r="E521" s="37"/>
      <c r="F521" s="37"/>
      <c r="G521" s="37"/>
      <c r="H521" s="1"/>
      <c r="I521" s="1"/>
      <c r="J521" s="1"/>
    </row>
    <row r="522" ht="15.75" customHeight="1">
      <c r="A522" s="36"/>
      <c r="B522" s="36"/>
      <c r="C522" s="37"/>
      <c r="D522" s="37"/>
      <c r="E522" s="37"/>
      <c r="F522" s="37"/>
      <c r="G522" s="37"/>
      <c r="H522" s="1"/>
      <c r="I522" s="1"/>
      <c r="J522" s="1"/>
    </row>
    <row r="523" ht="15.75" customHeight="1">
      <c r="A523" s="36"/>
      <c r="B523" s="36"/>
      <c r="C523" s="37"/>
      <c r="D523" s="37"/>
      <c r="E523" s="37"/>
      <c r="F523" s="37"/>
      <c r="G523" s="37"/>
      <c r="H523" s="1"/>
      <c r="I523" s="1"/>
      <c r="J523" s="1"/>
    </row>
    <row r="524" ht="15.75" customHeight="1">
      <c r="A524" s="36"/>
      <c r="B524" s="36"/>
      <c r="C524" s="37"/>
      <c r="D524" s="37"/>
      <c r="E524" s="37"/>
      <c r="F524" s="37"/>
      <c r="G524" s="37"/>
      <c r="H524" s="1"/>
      <c r="I524" s="1"/>
      <c r="J524" s="1"/>
    </row>
    <row r="525" ht="15.75" customHeight="1">
      <c r="A525" s="36"/>
      <c r="B525" s="36"/>
      <c r="C525" s="37"/>
      <c r="D525" s="37"/>
      <c r="E525" s="37"/>
      <c r="F525" s="37"/>
      <c r="G525" s="37"/>
      <c r="H525" s="1"/>
      <c r="I525" s="1"/>
      <c r="J525" s="1"/>
    </row>
    <row r="526" ht="15.75" customHeight="1">
      <c r="A526" s="36"/>
      <c r="B526" s="36"/>
      <c r="C526" s="37"/>
      <c r="D526" s="37"/>
      <c r="E526" s="37"/>
      <c r="F526" s="37"/>
      <c r="G526" s="37"/>
      <c r="H526" s="1"/>
      <c r="I526" s="1"/>
      <c r="J526" s="1"/>
    </row>
    <row r="527" ht="15.75" customHeight="1">
      <c r="A527" s="36"/>
      <c r="B527" s="36"/>
      <c r="C527" s="37"/>
      <c r="D527" s="37"/>
      <c r="E527" s="37"/>
      <c r="F527" s="37"/>
      <c r="G527" s="37"/>
      <c r="H527" s="1"/>
      <c r="I527" s="1"/>
      <c r="J527" s="1"/>
    </row>
    <row r="528" ht="15.75" customHeight="1">
      <c r="A528" s="36"/>
      <c r="B528" s="36"/>
      <c r="C528" s="37"/>
      <c r="D528" s="37"/>
      <c r="E528" s="37"/>
      <c r="F528" s="37"/>
      <c r="G528" s="37"/>
      <c r="H528" s="1"/>
      <c r="I528" s="1"/>
      <c r="J528" s="1"/>
    </row>
    <row r="529" ht="15.75" customHeight="1">
      <c r="A529" s="36"/>
      <c r="B529" s="36"/>
      <c r="C529" s="37"/>
      <c r="D529" s="37"/>
      <c r="E529" s="37"/>
      <c r="F529" s="37"/>
      <c r="G529" s="37"/>
      <c r="H529" s="1"/>
      <c r="I529" s="1"/>
      <c r="J529" s="1"/>
    </row>
    <row r="530" ht="15.75" customHeight="1">
      <c r="A530" s="36"/>
      <c r="B530" s="36"/>
      <c r="C530" s="37"/>
      <c r="D530" s="37"/>
      <c r="E530" s="37"/>
      <c r="F530" s="37"/>
      <c r="G530" s="37"/>
      <c r="H530" s="1"/>
      <c r="I530" s="1"/>
      <c r="J530" s="1"/>
    </row>
    <row r="531" ht="15.75" customHeight="1">
      <c r="A531" s="36"/>
      <c r="B531" s="36"/>
      <c r="C531" s="37"/>
      <c r="D531" s="37"/>
      <c r="E531" s="37"/>
      <c r="F531" s="37"/>
      <c r="G531" s="37"/>
      <c r="H531" s="1"/>
      <c r="I531" s="1"/>
      <c r="J531" s="1"/>
    </row>
    <row r="532" ht="15.75" customHeight="1">
      <c r="A532" s="36"/>
      <c r="B532" s="36"/>
      <c r="C532" s="37"/>
      <c r="D532" s="37"/>
      <c r="E532" s="37"/>
      <c r="F532" s="37"/>
      <c r="G532" s="37"/>
      <c r="H532" s="1"/>
      <c r="I532" s="1"/>
      <c r="J532" s="1"/>
    </row>
    <row r="533" ht="15.75" customHeight="1">
      <c r="A533" s="36"/>
      <c r="B533" s="36"/>
      <c r="C533" s="37"/>
      <c r="D533" s="37"/>
      <c r="E533" s="37"/>
      <c r="F533" s="37"/>
      <c r="G533" s="37"/>
      <c r="H533" s="1"/>
      <c r="I533" s="1"/>
      <c r="J533" s="1"/>
    </row>
    <row r="534" ht="15.75" customHeight="1">
      <c r="A534" s="36"/>
      <c r="B534" s="36"/>
      <c r="C534" s="37"/>
      <c r="D534" s="37"/>
      <c r="E534" s="37"/>
      <c r="F534" s="37"/>
      <c r="G534" s="37"/>
      <c r="H534" s="1"/>
      <c r="I534" s="1"/>
      <c r="J534" s="1"/>
    </row>
    <row r="535" ht="15.75" customHeight="1">
      <c r="A535" s="36"/>
      <c r="B535" s="36"/>
      <c r="C535" s="37"/>
      <c r="D535" s="37"/>
      <c r="E535" s="37"/>
      <c r="F535" s="37"/>
      <c r="G535" s="37"/>
      <c r="H535" s="1"/>
      <c r="I535" s="1"/>
      <c r="J535" s="1"/>
    </row>
    <row r="536" ht="15.75" customHeight="1">
      <c r="A536" s="36"/>
      <c r="B536" s="36"/>
      <c r="C536" s="37"/>
      <c r="D536" s="37"/>
      <c r="E536" s="37"/>
      <c r="F536" s="37"/>
      <c r="G536" s="37"/>
      <c r="H536" s="1"/>
      <c r="I536" s="1"/>
      <c r="J536" s="1"/>
    </row>
    <row r="537" ht="15.75" customHeight="1">
      <c r="A537" s="36"/>
      <c r="B537" s="36"/>
      <c r="C537" s="37"/>
      <c r="D537" s="37"/>
      <c r="E537" s="37"/>
      <c r="F537" s="37"/>
      <c r="G537" s="37"/>
      <c r="H537" s="1"/>
      <c r="I537" s="1"/>
      <c r="J537" s="1"/>
    </row>
    <row r="538" ht="15.75" customHeight="1">
      <c r="A538" s="36"/>
      <c r="B538" s="36"/>
      <c r="C538" s="37"/>
      <c r="D538" s="37"/>
      <c r="E538" s="37"/>
      <c r="F538" s="37"/>
      <c r="G538" s="37"/>
      <c r="H538" s="1"/>
      <c r="I538" s="1"/>
      <c r="J538" s="1"/>
    </row>
    <row r="539" ht="15.75" customHeight="1">
      <c r="A539" s="36"/>
      <c r="B539" s="36"/>
      <c r="C539" s="37"/>
      <c r="D539" s="37"/>
      <c r="E539" s="37"/>
      <c r="F539" s="37"/>
      <c r="G539" s="37"/>
      <c r="H539" s="1"/>
      <c r="I539" s="1"/>
      <c r="J539" s="1"/>
    </row>
    <row r="540" ht="15.75" customHeight="1">
      <c r="A540" s="36"/>
      <c r="B540" s="36"/>
      <c r="C540" s="37"/>
      <c r="D540" s="37"/>
      <c r="E540" s="37"/>
      <c r="F540" s="37"/>
      <c r="G540" s="37"/>
      <c r="H540" s="1"/>
      <c r="I540" s="1"/>
      <c r="J540" s="1"/>
    </row>
    <row r="541" ht="15.75" customHeight="1">
      <c r="A541" s="36"/>
      <c r="B541" s="36"/>
      <c r="C541" s="37"/>
      <c r="D541" s="37"/>
      <c r="E541" s="37"/>
      <c r="F541" s="37"/>
      <c r="G541" s="37"/>
      <c r="H541" s="1"/>
      <c r="I541" s="1"/>
      <c r="J541" s="1"/>
    </row>
    <row r="542" ht="15.75" customHeight="1">
      <c r="A542" s="36"/>
      <c r="B542" s="36"/>
      <c r="C542" s="37"/>
      <c r="D542" s="37"/>
      <c r="E542" s="37"/>
      <c r="F542" s="37"/>
      <c r="G542" s="37"/>
      <c r="H542" s="1"/>
      <c r="I542" s="1"/>
      <c r="J542" s="1"/>
    </row>
    <row r="543" ht="15.75" customHeight="1">
      <c r="A543" s="36"/>
      <c r="B543" s="36"/>
      <c r="C543" s="37"/>
      <c r="D543" s="37"/>
      <c r="E543" s="37"/>
      <c r="F543" s="37"/>
      <c r="G543" s="37"/>
      <c r="H543" s="1"/>
      <c r="I543" s="1"/>
      <c r="J543" s="1"/>
    </row>
    <row r="544" ht="15.75" customHeight="1">
      <c r="A544" s="36"/>
      <c r="B544" s="36"/>
      <c r="C544" s="37"/>
      <c r="D544" s="37"/>
      <c r="E544" s="37"/>
      <c r="F544" s="37"/>
      <c r="G544" s="37"/>
      <c r="H544" s="1"/>
      <c r="I544" s="1"/>
      <c r="J544" s="1"/>
    </row>
    <row r="545" ht="15.75" customHeight="1">
      <c r="A545" s="36"/>
      <c r="B545" s="36"/>
      <c r="C545" s="37"/>
      <c r="D545" s="37"/>
      <c r="E545" s="37"/>
      <c r="F545" s="37"/>
      <c r="G545" s="37"/>
      <c r="H545" s="1"/>
      <c r="I545" s="1"/>
      <c r="J545" s="1"/>
    </row>
    <row r="546" ht="15.75" customHeight="1">
      <c r="A546" s="36"/>
      <c r="B546" s="36"/>
      <c r="C546" s="37"/>
      <c r="D546" s="37"/>
      <c r="E546" s="37"/>
      <c r="F546" s="37"/>
      <c r="G546" s="37"/>
      <c r="H546" s="1"/>
      <c r="I546" s="1"/>
      <c r="J546" s="1"/>
    </row>
    <row r="547" ht="15.75" customHeight="1">
      <c r="A547" s="36"/>
      <c r="B547" s="36"/>
      <c r="C547" s="37"/>
      <c r="D547" s="37"/>
      <c r="E547" s="37"/>
      <c r="F547" s="37"/>
      <c r="G547" s="37"/>
      <c r="H547" s="1"/>
      <c r="I547" s="1"/>
      <c r="J547" s="1"/>
    </row>
    <row r="548" ht="15.75" customHeight="1">
      <c r="A548" s="36"/>
      <c r="B548" s="36"/>
      <c r="C548" s="37"/>
      <c r="D548" s="37"/>
      <c r="E548" s="37"/>
      <c r="F548" s="37"/>
      <c r="G548" s="37"/>
      <c r="H548" s="1"/>
      <c r="I548" s="1"/>
      <c r="J548" s="1"/>
    </row>
    <row r="549" ht="15.75" customHeight="1">
      <c r="A549" s="36"/>
      <c r="B549" s="36"/>
      <c r="C549" s="37"/>
      <c r="D549" s="37"/>
      <c r="E549" s="37"/>
      <c r="F549" s="37"/>
      <c r="G549" s="37"/>
      <c r="H549" s="1"/>
      <c r="I549" s="1"/>
      <c r="J549" s="1"/>
    </row>
    <row r="550" ht="15.75" customHeight="1">
      <c r="A550" s="36"/>
      <c r="B550" s="36"/>
      <c r="C550" s="37"/>
      <c r="D550" s="37"/>
      <c r="E550" s="37"/>
      <c r="F550" s="37"/>
      <c r="G550" s="37"/>
      <c r="H550" s="1"/>
      <c r="I550" s="1"/>
      <c r="J550" s="1"/>
    </row>
    <row r="551" ht="15.75" customHeight="1">
      <c r="A551" s="36"/>
      <c r="B551" s="36"/>
      <c r="C551" s="37"/>
      <c r="D551" s="37"/>
      <c r="E551" s="37"/>
      <c r="F551" s="37"/>
      <c r="G551" s="37"/>
      <c r="H551" s="1"/>
      <c r="I551" s="1"/>
      <c r="J551" s="1"/>
    </row>
    <row r="552" ht="15.75" customHeight="1">
      <c r="A552" s="36"/>
      <c r="B552" s="36"/>
      <c r="C552" s="37"/>
      <c r="D552" s="37"/>
      <c r="E552" s="37"/>
      <c r="F552" s="37"/>
      <c r="G552" s="37"/>
      <c r="H552" s="1"/>
      <c r="I552" s="1"/>
      <c r="J552" s="1"/>
    </row>
    <row r="553" ht="15.75" customHeight="1">
      <c r="A553" s="36"/>
      <c r="B553" s="36"/>
      <c r="C553" s="37"/>
      <c r="D553" s="37"/>
      <c r="E553" s="37"/>
      <c r="F553" s="37"/>
      <c r="G553" s="37"/>
      <c r="H553" s="1"/>
      <c r="I553" s="1"/>
      <c r="J553" s="1"/>
    </row>
    <row r="554" ht="15.75" customHeight="1">
      <c r="A554" s="36"/>
      <c r="B554" s="36"/>
      <c r="C554" s="37"/>
      <c r="D554" s="37"/>
      <c r="E554" s="37"/>
      <c r="F554" s="37"/>
      <c r="G554" s="37"/>
      <c r="H554" s="1"/>
      <c r="I554" s="1"/>
      <c r="J554" s="1"/>
    </row>
    <row r="555" ht="15.75" customHeight="1">
      <c r="A555" s="36"/>
      <c r="B555" s="36"/>
      <c r="C555" s="37"/>
      <c r="D555" s="37"/>
      <c r="E555" s="37"/>
      <c r="F555" s="37"/>
      <c r="G555" s="37"/>
      <c r="H555" s="1"/>
      <c r="I555" s="1"/>
      <c r="J555" s="1"/>
    </row>
    <row r="556" ht="15.75" customHeight="1">
      <c r="A556" s="36"/>
      <c r="B556" s="36"/>
      <c r="C556" s="37"/>
      <c r="D556" s="37"/>
      <c r="E556" s="37"/>
      <c r="F556" s="37"/>
      <c r="G556" s="37"/>
      <c r="H556" s="1"/>
      <c r="I556" s="1"/>
      <c r="J556" s="1"/>
    </row>
    <row r="557" ht="15.75" customHeight="1">
      <c r="A557" s="36"/>
      <c r="B557" s="36"/>
      <c r="C557" s="37"/>
      <c r="D557" s="37"/>
      <c r="E557" s="37"/>
      <c r="F557" s="37"/>
      <c r="G557" s="37"/>
      <c r="H557" s="1"/>
      <c r="I557" s="1"/>
      <c r="J557" s="1"/>
    </row>
    <row r="558" ht="15.75" customHeight="1">
      <c r="A558" s="36"/>
      <c r="B558" s="36"/>
      <c r="C558" s="37"/>
      <c r="D558" s="37"/>
      <c r="E558" s="37"/>
      <c r="F558" s="37"/>
      <c r="G558" s="37"/>
      <c r="H558" s="1"/>
      <c r="I558" s="1"/>
      <c r="J558" s="1"/>
    </row>
    <row r="559" ht="15.75" customHeight="1">
      <c r="A559" s="36"/>
      <c r="B559" s="36"/>
      <c r="C559" s="37"/>
      <c r="D559" s="37"/>
      <c r="E559" s="37"/>
      <c r="F559" s="37"/>
      <c r="G559" s="37"/>
      <c r="H559" s="1"/>
      <c r="I559" s="1"/>
      <c r="J559" s="1"/>
    </row>
    <row r="560" ht="15.75" customHeight="1">
      <c r="A560" s="36"/>
      <c r="B560" s="36"/>
      <c r="C560" s="37"/>
      <c r="D560" s="37"/>
      <c r="E560" s="37"/>
      <c r="F560" s="37"/>
      <c r="G560" s="37"/>
      <c r="H560" s="1"/>
      <c r="I560" s="1"/>
      <c r="J560" s="1"/>
    </row>
    <row r="561" ht="15.75" customHeight="1">
      <c r="A561" s="36"/>
      <c r="B561" s="36"/>
      <c r="C561" s="37"/>
      <c r="D561" s="37"/>
      <c r="E561" s="37"/>
      <c r="F561" s="37"/>
      <c r="G561" s="37"/>
      <c r="H561" s="1"/>
      <c r="I561" s="1"/>
      <c r="J561" s="1"/>
    </row>
    <row r="562" ht="15.75" customHeight="1">
      <c r="A562" s="36"/>
      <c r="B562" s="36"/>
      <c r="C562" s="37"/>
      <c r="D562" s="37"/>
      <c r="E562" s="37"/>
      <c r="F562" s="37"/>
      <c r="G562" s="37"/>
      <c r="H562" s="1"/>
      <c r="I562" s="1"/>
      <c r="J562" s="1"/>
    </row>
    <row r="563" ht="15.75" customHeight="1">
      <c r="A563" s="36"/>
      <c r="B563" s="36"/>
      <c r="C563" s="37"/>
      <c r="D563" s="37"/>
      <c r="E563" s="37"/>
      <c r="F563" s="37"/>
      <c r="G563" s="37"/>
      <c r="H563" s="1"/>
      <c r="I563" s="1"/>
      <c r="J563" s="1"/>
    </row>
    <row r="564" ht="15.75" customHeight="1">
      <c r="A564" s="36"/>
      <c r="B564" s="36"/>
      <c r="C564" s="37"/>
      <c r="D564" s="37"/>
      <c r="E564" s="37"/>
      <c r="F564" s="37"/>
      <c r="G564" s="37"/>
      <c r="H564" s="1"/>
      <c r="I564" s="1"/>
      <c r="J564" s="1"/>
    </row>
    <row r="565" ht="15.75" customHeight="1">
      <c r="A565" s="36"/>
      <c r="B565" s="36"/>
      <c r="C565" s="37"/>
      <c r="D565" s="37"/>
      <c r="E565" s="37"/>
      <c r="F565" s="37"/>
      <c r="G565" s="37"/>
      <c r="H565" s="1"/>
      <c r="I565" s="1"/>
      <c r="J565" s="1"/>
    </row>
    <row r="566" ht="15.75" customHeight="1">
      <c r="A566" s="36"/>
      <c r="B566" s="36"/>
      <c r="C566" s="37"/>
      <c r="D566" s="37"/>
      <c r="E566" s="37"/>
      <c r="F566" s="37"/>
      <c r="G566" s="37"/>
      <c r="H566" s="1"/>
      <c r="I566" s="1"/>
      <c r="J566" s="1"/>
    </row>
    <row r="567" ht="15.75" customHeight="1">
      <c r="A567" s="36"/>
      <c r="B567" s="36"/>
      <c r="C567" s="37"/>
      <c r="D567" s="37"/>
      <c r="E567" s="37"/>
      <c r="F567" s="37"/>
      <c r="G567" s="37"/>
      <c r="H567" s="1"/>
      <c r="I567" s="1"/>
      <c r="J567" s="1"/>
    </row>
    <row r="568" ht="15.75" customHeight="1">
      <c r="A568" s="36"/>
      <c r="B568" s="36"/>
      <c r="C568" s="37"/>
      <c r="D568" s="37"/>
      <c r="E568" s="37"/>
      <c r="F568" s="37"/>
      <c r="G568" s="37"/>
      <c r="H568" s="1"/>
      <c r="I568" s="1"/>
      <c r="J568" s="1"/>
    </row>
    <row r="569" ht="15.75" customHeight="1">
      <c r="A569" s="36"/>
      <c r="B569" s="36"/>
      <c r="C569" s="37"/>
      <c r="D569" s="37"/>
      <c r="E569" s="37"/>
      <c r="F569" s="37"/>
      <c r="G569" s="37"/>
      <c r="H569" s="1"/>
      <c r="I569" s="1"/>
      <c r="J569" s="1"/>
    </row>
    <row r="570" ht="15.75" customHeight="1">
      <c r="A570" s="36"/>
      <c r="B570" s="36"/>
      <c r="C570" s="37"/>
      <c r="D570" s="37"/>
      <c r="E570" s="37"/>
      <c r="F570" s="37"/>
      <c r="G570" s="37"/>
      <c r="H570" s="1"/>
      <c r="I570" s="1"/>
      <c r="J570" s="1"/>
    </row>
    <row r="571" ht="15.75" customHeight="1">
      <c r="A571" s="36"/>
      <c r="B571" s="36"/>
      <c r="C571" s="37"/>
      <c r="D571" s="37"/>
      <c r="E571" s="37"/>
      <c r="F571" s="37"/>
      <c r="G571" s="37"/>
      <c r="H571" s="1"/>
      <c r="I571" s="1"/>
      <c r="J571" s="1"/>
    </row>
    <row r="572" ht="15.75" customHeight="1">
      <c r="A572" s="36"/>
      <c r="B572" s="36"/>
      <c r="C572" s="37"/>
      <c r="D572" s="37"/>
      <c r="E572" s="37"/>
      <c r="F572" s="37"/>
      <c r="G572" s="37"/>
      <c r="H572" s="1"/>
      <c r="I572" s="1"/>
      <c r="J572" s="1"/>
    </row>
    <row r="573" ht="15.75" customHeight="1">
      <c r="A573" s="36"/>
      <c r="B573" s="36"/>
      <c r="C573" s="37"/>
      <c r="D573" s="37"/>
      <c r="E573" s="37"/>
      <c r="F573" s="37"/>
      <c r="G573" s="37"/>
      <c r="H573" s="1"/>
      <c r="I573" s="1"/>
      <c r="J573" s="1"/>
    </row>
    <row r="574" ht="15.75" customHeight="1">
      <c r="A574" s="36"/>
      <c r="B574" s="36"/>
      <c r="C574" s="37"/>
      <c r="D574" s="37"/>
      <c r="E574" s="37"/>
      <c r="F574" s="37"/>
      <c r="G574" s="37"/>
      <c r="H574" s="1"/>
      <c r="I574" s="1"/>
      <c r="J574" s="1"/>
    </row>
    <row r="575" ht="15.75" customHeight="1">
      <c r="A575" s="36"/>
      <c r="B575" s="36"/>
      <c r="C575" s="37"/>
      <c r="D575" s="37"/>
      <c r="E575" s="37"/>
      <c r="F575" s="37"/>
      <c r="G575" s="37"/>
      <c r="H575" s="1"/>
      <c r="I575" s="1"/>
      <c r="J575" s="1"/>
    </row>
    <row r="576" ht="15.75" customHeight="1">
      <c r="A576" s="36"/>
      <c r="B576" s="36"/>
      <c r="C576" s="37"/>
      <c r="D576" s="37"/>
      <c r="E576" s="37"/>
      <c r="F576" s="37"/>
      <c r="G576" s="37"/>
      <c r="H576" s="1"/>
      <c r="I576" s="1"/>
      <c r="J576" s="1"/>
    </row>
    <row r="577" ht="15.75" customHeight="1">
      <c r="A577" s="36"/>
      <c r="B577" s="36"/>
      <c r="C577" s="37"/>
      <c r="D577" s="37"/>
      <c r="E577" s="37"/>
      <c r="F577" s="37"/>
      <c r="G577" s="37"/>
      <c r="H577" s="1"/>
      <c r="I577" s="1"/>
      <c r="J577" s="1"/>
    </row>
    <row r="578" ht="15.75" customHeight="1">
      <c r="A578" s="36"/>
      <c r="B578" s="36"/>
      <c r="C578" s="37"/>
      <c r="D578" s="37"/>
      <c r="E578" s="37"/>
      <c r="F578" s="37"/>
      <c r="G578" s="37"/>
      <c r="H578" s="1"/>
      <c r="I578" s="1"/>
      <c r="J578" s="1"/>
    </row>
    <row r="579" ht="15.75" customHeight="1">
      <c r="A579" s="36"/>
      <c r="B579" s="36"/>
      <c r="C579" s="37"/>
      <c r="D579" s="37"/>
      <c r="E579" s="37"/>
      <c r="F579" s="37"/>
      <c r="G579" s="37"/>
      <c r="H579" s="1"/>
      <c r="I579" s="1"/>
      <c r="J579" s="1"/>
    </row>
    <row r="580" ht="15.75" customHeight="1">
      <c r="A580" s="36"/>
      <c r="B580" s="36"/>
      <c r="C580" s="37"/>
      <c r="D580" s="37"/>
      <c r="E580" s="37"/>
      <c r="F580" s="37"/>
      <c r="G580" s="37"/>
      <c r="H580" s="1"/>
      <c r="I580" s="1"/>
      <c r="J580" s="1"/>
    </row>
    <row r="581" ht="15.75" customHeight="1">
      <c r="A581" s="36"/>
      <c r="B581" s="36"/>
      <c r="C581" s="37"/>
      <c r="D581" s="37"/>
      <c r="E581" s="37"/>
      <c r="F581" s="37"/>
      <c r="G581" s="37"/>
      <c r="H581" s="1"/>
      <c r="I581" s="1"/>
      <c r="J581" s="1"/>
    </row>
    <row r="582" ht="15.75" customHeight="1">
      <c r="A582" s="36"/>
      <c r="B582" s="36"/>
      <c r="C582" s="37"/>
      <c r="D582" s="37"/>
      <c r="E582" s="37"/>
      <c r="F582" s="37"/>
      <c r="G582" s="37"/>
      <c r="H582" s="1"/>
      <c r="I582" s="1"/>
      <c r="J582" s="1"/>
    </row>
    <row r="583" ht="15.75" customHeight="1">
      <c r="A583" s="36"/>
      <c r="B583" s="36"/>
      <c r="C583" s="37"/>
      <c r="D583" s="37"/>
      <c r="E583" s="37"/>
      <c r="F583" s="37"/>
      <c r="G583" s="37"/>
      <c r="H583" s="1"/>
      <c r="I583" s="1"/>
      <c r="J583" s="1"/>
    </row>
    <row r="584" ht="15.75" customHeight="1">
      <c r="A584" s="36"/>
      <c r="B584" s="36"/>
      <c r="C584" s="37"/>
      <c r="D584" s="37"/>
      <c r="E584" s="37"/>
      <c r="F584" s="37"/>
      <c r="G584" s="37"/>
      <c r="H584" s="1"/>
      <c r="I584" s="1"/>
      <c r="J584" s="1"/>
    </row>
    <row r="585" ht="15.75" customHeight="1">
      <c r="A585" s="36"/>
      <c r="B585" s="36"/>
      <c r="C585" s="37"/>
      <c r="D585" s="37"/>
      <c r="E585" s="37"/>
      <c r="F585" s="37"/>
      <c r="G585" s="37"/>
      <c r="H585" s="1"/>
      <c r="I585" s="1"/>
      <c r="J585" s="1"/>
    </row>
    <row r="586" ht="15.75" customHeight="1">
      <c r="A586" s="36"/>
      <c r="B586" s="36"/>
      <c r="C586" s="37"/>
      <c r="D586" s="37"/>
      <c r="E586" s="37"/>
      <c r="F586" s="37"/>
      <c r="G586" s="37"/>
      <c r="H586" s="1"/>
      <c r="I586" s="1"/>
      <c r="J586" s="1"/>
    </row>
    <row r="587" ht="15.75" customHeight="1">
      <c r="A587" s="36"/>
      <c r="B587" s="36"/>
      <c r="C587" s="37"/>
      <c r="D587" s="37"/>
      <c r="E587" s="37"/>
      <c r="F587" s="37"/>
      <c r="G587" s="37"/>
      <c r="H587" s="1"/>
      <c r="I587" s="1"/>
      <c r="J587" s="1"/>
    </row>
    <row r="588" ht="15.75" customHeight="1">
      <c r="A588" s="36"/>
      <c r="B588" s="36"/>
      <c r="C588" s="37"/>
      <c r="D588" s="37"/>
      <c r="E588" s="37"/>
      <c r="F588" s="37"/>
      <c r="G588" s="37"/>
      <c r="H588" s="1"/>
      <c r="I588" s="1"/>
      <c r="J588" s="1"/>
    </row>
    <row r="589" ht="15.75" customHeight="1">
      <c r="A589" s="36"/>
      <c r="B589" s="36"/>
      <c r="C589" s="37"/>
      <c r="D589" s="37"/>
      <c r="E589" s="37"/>
      <c r="F589" s="37"/>
      <c r="G589" s="37"/>
      <c r="H589" s="1"/>
      <c r="I589" s="1"/>
      <c r="J589" s="1"/>
    </row>
    <row r="590" ht="15.75" customHeight="1">
      <c r="A590" s="36"/>
      <c r="B590" s="36"/>
      <c r="C590" s="37"/>
      <c r="D590" s="37"/>
      <c r="E590" s="37"/>
      <c r="F590" s="37"/>
      <c r="G590" s="37"/>
      <c r="H590" s="1"/>
      <c r="I590" s="1"/>
      <c r="J590" s="1"/>
    </row>
    <row r="591" ht="15.75" customHeight="1">
      <c r="A591" s="36"/>
      <c r="B591" s="36"/>
      <c r="C591" s="37"/>
      <c r="D591" s="37"/>
      <c r="E591" s="37"/>
      <c r="F591" s="37"/>
      <c r="G591" s="37"/>
      <c r="H591" s="1"/>
      <c r="I591" s="1"/>
      <c r="J591" s="1"/>
    </row>
    <row r="592" ht="15.75" customHeight="1">
      <c r="A592" s="36"/>
      <c r="B592" s="36"/>
      <c r="C592" s="37"/>
      <c r="D592" s="37"/>
      <c r="E592" s="37"/>
      <c r="F592" s="37"/>
      <c r="G592" s="37"/>
      <c r="H592" s="1"/>
      <c r="I592" s="1"/>
      <c r="J592" s="1"/>
    </row>
    <row r="593" ht="15.75" customHeight="1">
      <c r="A593" s="36"/>
      <c r="B593" s="36"/>
      <c r="C593" s="37"/>
      <c r="D593" s="37"/>
      <c r="E593" s="37"/>
      <c r="F593" s="37"/>
      <c r="G593" s="37"/>
      <c r="H593" s="1"/>
      <c r="I593" s="1"/>
      <c r="J593" s="1"/>
    </row>
    <row r="594" ht="15.75" customHeight="1">
      <c r="A594" s="36"/>
      <c r="B594" s="36"/>
      <c r="C594" s="37"/>
      <c r="D594" s="37"/>
      <c r="E594" s="37"/>
      <c r="F594" s="37"/>
      <c r="G594" s="37"/>
      <c r="H594" s="1"/>
      <c r="I594" s="1"/>
      <c r="J594" s="1"/>
    </row>
    <row r="595" ht="15.75" customHeight="1">
      <c r="A595" s="36"/>
      <c r="B595" s="36"/>
      <c r="C595" s="37"/>
      <c r="D595" s="37"/>
      <c r="E595" s="37"/>
      <c r="F595" s="37"/>
      <c r="G595" s="37"/>
      <c r="H595" s="1"/>
      <c r="I595" s="1"/>
      <c r="J595" s="1"/>
    </row>
    <row r="596" ht="15.75" customHeight="1">
      <c r="A596" s="36"/>
      <c r="B596" s="36"/>
      <c r="C596" s="37"/>
      <c r="D596" s="37"/>
      <c r="E596" s="37"/>
      <c r="F596" s="37"/>
      <c r="G596" s="37"/>
      <c r="H596" s="1"/>
      <c r="I596" s="1"/>
      <c r="J596" s="1"/>
    </row>
    <row r="597" ht="15.75" customHeight="1">
      <c r="A597" s="36"/>
      <c r="B597" s="36"/>
      <c r="C597" s="37"/>
      <c r="D597" s="37"/>
      <c r="E597" s="37"/>
      <c r="F597" s="37"/>
      <c r="G597" s="37"/>
      <c r="H597" s="1"/>
      <c r="I597" s="1"/>
      <c r="J597" s="1"/>
    </row>
    <row r="598" ht="15.75" customHeight="1">
      <c r="A598" s="36"/>
      <c r="B598" s="36"/>
      <c r="C598" s="37"/>
      <c r="D598" s="37"/>
      <c r="E598" s="37"/>
      <c r="F598" s="37"/>
      <c r="G598" s="37"/>
      <c r="H598" s="1"/>
      <c r="I598" s="1"/>
      <c r="J598" s="1"/>
    </row>
    <row r="599" ht="15.75" customHeight="1">
      <c r="A599" s="36"/>
      <c r="B599" s="36"/>
      <c r="C599" s="37"/>
      <c r="D599" s="37"/>
      <c r="E599" s="37"/>
      <c r="F599" s="37"/>
      <c r="G599" s="37"/>
      <c r="H599" s="1"/>
      <c r="I599" s="1"/>
      <c r="J599" s="1"/>
    </row>
    <row r="600" ht="15.75" customHeight="1">
      <c r="A600" s="36"/>
      <c r="B600" s="36"/>
      <c r="C600" s="37"/>
      <c r="D600" s="37"/>
      <c r="E600" s="37"/>
      <c r="F600" s="37"/>
      <c r="G600" s="37"/>
      <c r="H600" s="1"/>
      <c r="I600" s="1"/>
      <c r="J600" s="1"/>
    </row>
    <row r="601" ht="15.75" customHeight="1">
      <c r="A601" s="36"/>
      <c r="B601" s="36"/>
      <c r="C601" s="37"/>
      <c r="D601" s="37"/>
      <c r="E601" s="37"/>
      <c r="F601" s="37"/>
      <c r="G601" s="37"/>
      <c r="H601" s="1"/>
      <c r="I601" s="1"/>
      <c r="J601" s="1"/>
    </row>
    <row r="602" ht="15.75" customHeight="1">
      <c r="A602" s="36"/>
      <c r="B602" s="36"/>
      <c r="C602" s="37"/>
      <c r="D602" s="37"/>
      <c r="E602" s="37"/>
      <c r="F602" s="37"/>
      <c r="G602" s="37"/>
      <c r="H602" s="1"/>
      <c r="I602" s="1"/>
      <c r="J602" s="1"/>
    </row>
    <row r="603" ht="15.75" customHeight="1">
      <c r="A603" s="36"/>
      <c r="B603" s="36"/>
      <c r="C603" s="37"/>
      <c r="D603" s="37"/>
      <c r="E603" s="37"/>
      <c r="F603" s="37"/>
      <c r="G603" s="37"/>
      <c r="H603" s="1"/>
      <c r="I603" s="1"/>
      <c r="J603" s="1"/>
    </row>
    <row r="604" ht="15.75" customHeight="1">
      <c r="A604" s="36"/>
      <c r="B604" s="36"/>
      <c r="C604" s="37"/>
      <c r="D604" s="37"/>
      <c r="E604" s="37"/>
      <c r="F604" s="37"/>
      <c r="G604" s="37"/>
      <c r="H604" s="1"/>
      <c r="I604" s="1"/>
      <c r="J604" s="1"/>
    </row>
    <row r="605" ht="15.75" customHeight="1">
      <c r="A605" s="36"/>
      <c r="B605" s="36"/>
      <c r="C605" s="37"/>
      <c r="D605" s="37"/>
      <c r="E605" s="37"/>
      <c r="F605" s="37"/>
      <c r="G605" s="37"/>
      <c r="H605" s="1"/>
      <c r="I605" s="1"/>
      <c r="J605" s="1"/>
    </row>
    <row r="606" ht="15.75" customHeight="1">
      <c r="A606" s="36"/>
      <c r="B606" s="36"/>
      <c r="C606" s="37"/>
      <c r="D606" s="37"/>
      <c r="E606" s="37"/>
      <c r="F606" s="37"/>
      <c r="G606" s="37"/>
      <c r="H606" s="1"/>
      <c r="I606" s="1"/>
      <c r="J606" s="1"/>
    </row>
    <row r="607" ht="15.75" customHeight="1">
      <c r="A607" s="36"/>
      <c r="B607" s="36"/>
      <c r="C607" s="37"/>
      <c r="D607" s="37"/>
      <c r="E607" s="37"/>
      <c r="F607" s="37"/>
      <c r="G607" s="37"/>
      <c r="H607" s="1"/>
      <c r="I607" s="1"/>
      <c r="J607" s="1"/>
    </row>
    <row r="608" ht="15.75" customHeight="1">
      <c r="A608" s="36"/>
      <c r="B608" s="36"/>
      <c r="C608" s="37"/>
      <c r="D608" s="37"/>
      <c r="E608" s="37"/>
      <c r="F608" s="37"/>
      <c r="G608" s="37"/>
      <c r="H608" s="1"/>
      <c r="I608" s="1"/>
      <c r="J608" s="1"/>
    </row>
    <row r="609" ht="15.75" customHeight="1">
      <c r="A609" s="36"/>
      <c r="B609" s="36"/>
      <c r="C609" s="37"/>
      <c r="D609" s="37"/>
      <c r="E609" s="37"/>
      <c r="F609" s="37"/>
      <c r="G609" s="37"/>
      <c r="H609" s="1"/>
      <c r="I609" s="1"/>
      <c r="J609" s="1"/>
    </row>
    <row r="610" ht="15.75" customHeight="1">
      <c r="A610" s="36"/>
      <c r="B610" s="36"/>
      <c r="C610" s="37"/>
      <c r="D610" s="37"/>
      <c r="E610" s="37"/>
      <c r="F610" s="37"/>
      <c r="G610" s="37"/>
      <c r="H610" s="1"/>
      <c r="I610" s="1"/>
      <c r="J610" s="1"/>
    </row>
    <row r="611" ht="15.75" customHeight="1">
      <c r="A611" s="36"/>
      <c r="B611" s="36"/>
      <c r="C611" s="37"/>
      <c r="D611" s="37"/>
      <c r="E611" s="37"/>
      <c r="F611" s="37"/>
      <c r="G611" s="37"/>
      <c r="H611" s="1"/>
      <c r="I611" s="1"/>
      <c r="J611" s="1"/>
    </row>
    <row r="612" ht="15.75" customHeight="1">
      <c r="A612" s="36"/>
      <c r="B612" s="36"/>
      <c r="C612" s="37"/>
      <c r="D612" s="37"/>
      <c r="E612" s="37"/>
      <c r="F612" s="37"/>
      <c r="G612" s="37"/>
      <c r="H612" s="1"/>
      <c r="I612" s="1"/>
      <c r="J612" s="1"/>
    </row>
    <row r="613" ht="15.75" customHeight="1">
      <c r="A613" s="36"/>
      <c r="B613" s="36"/>
      <c r="C613" s="37"/>
      <c r="D613" s="37"/>
      <c r="E613" s="37"/>
      <c r="F613" s="37"/>
      <c r="G613" s="37"/>
      <c r="H613" s="1"/>
      <c r="I613" s="1"/>
      <c r="J613" s="1"/>
    </row>
    <row r="614" ht="15.75" customHeight="1">
      <c r="A614" s="36"/>
      <c r="B614" s="36"/>
      <c r="C614" s="37"/>
      <c r="D614" s="37"/>
      <c r="E614" s="37"/>
      <c r="F614" s="37"/>
      <c r="G614" s="37"/>
      <c r="H614" s="1"/>
      <c r="I614" s="1"/>
      <c r="J614" s="1"/>
    </row>
    <row r="615" ht="15.75" customHeight="1">
      <c r="A615" s="36"/>
      <c r="B615" s="36"/>
      <c r="C615" s="37"/>
      <c r="D615" s="37"/>
      <c r="E615" s="37"/>
      <c r="F615" s="37"/>
      <c r="G615" s="37"/>
      <c r="H615" s="1"/>
      <c r="I615" s="1"/>
      <c r="J615" s="1"/>
    </row>
    <row r="616" ht="15.75" customHeight="1">
      <c r="A616" s="36"/>
      <c r="B616" s="36"/>
      <c r="C616" s="37"/>
      <c r="D616" s="37"/>
      <c r="E616" s="37"/>
      <c r="F616" s="37"/>
      <c r="G616" s="37"/>
      <c r="H616" s="1"/>
      <c r="I616" s="1"/>
      <c r="J616" s="1"/>
    </row>
    <row r="617" ht="15.75" customHeight="1">
      <c r="A617" s="36"/>
      <c r="B617" s="36"/>
      <c r="C617" s="37"/>
      <c r="D617" s="37"/>
      <c r="E617" s="37"/>
      <c r="F617" s="37"/>
      <c r="G617" s="37"/>
      <c r="H617" s="1"/>
      <c r="I617" s="1"/>
      <c r="J617" s="1"/>
    </row>
    <row r="618" ht="15.75" customHeight="1">
      <c r="A618" s="36"/>
      <c r="B618" s="36"/>
      <c r="C618" s="37"/>
      <c r="D618" s="37"/>
      <c r="E618" s="37"/>
      <c r="F618" s="37"/>
      <c r="G618" s="37"/>
      <c r="H618" s="1"/>
      <c r="I618" s="1"/>
      <c r="J618" s="1"/>
    </row>
    <row r="619" ht="15.75" customHeight="1">
      <c r="A619" s="36"/>
      <c r="B619" s="36"/>
      <c r="C619" s="37"/>
      <c r="D619" s="37"/>
      <c r="E619" s="37"/>
      <c r="F619" s="37"/>
      <c r="G619" s="37"/>
      <c r="H619" s="1"/>
      <c r="I619" s="1"/>
      <c r="J619" s="1"/>
    </row>
    <row r="620" ht="15.75" customHeight="1">
      <c r="A620" s="36"/>
      <c r="B620" s="36"/>
      <c r="C620" s="37"/>
      <c r="D620" s="37"/>
      <c r="E620" s="37"/>
      <c r="F620" s="37"/>
      <c r="G620" s="37"/>
      <c r="H620" s="1"/>
      <c r="I620" s="1"/>
      <c r="J620" s="1"/>
    </row>
    <row r="621" ht="15.75" customHeight="1">
      <c r="A621" s="36"/>
      <c r="B621" s="36"/>
      <c r="C621" s="37"/>
      <c r="D621" s="37"/>
      <c r="E621" s="37"/>
      <c r="F621" s="37"/>
      <c r="G621" s="37"/>
      <c r="H621" s="1"/>
      <c r="I621" s="1"/>
      <c r="J621" s="1"/>
    </row>
    <row r="622" ht="15.75" customHeight="1">
      <c r="A622" s="36"/>
      <c r="B622" s="36"/>
      <c r="C622" s="37"/>
      <c r="D622" s="37"/>
      <c r="E622" s="37"/>
      <c r="F622" s="37"/>
      <c r="G622" s="37"/>
      <c r="H622" s="1"/>
      <c r="I622" s="1"/>
      <c r="J622" s="1"/>
    </row>
    <row r="623" ht="15.75" customHeight="1">
      <c r="A623" s="36"/>
      <c r="B623" s="36"/>
      <c r="C623" s="37"/>
      <c r="D623" s="37"/>
      <c r="E623" s="37"/>
      <c r="F623" s="37"/>
      <c r="G623" s="37"/>
      <c r="H623" s="1"/>
      <c r="I623" s="1"/>
      <c r="J623" s="1"/>
    </row>
    <row r="624" ht="15.75" customHeight="1">
      <c r="A624" s="36"/>
      <c r="B624" s="36"/>
      <c r="C624" s="37"/>
      <c r="D624" s="37"/>
      <c r="E624" s="37"/>
      <c r="F624" s="37"/>
      <c r="G624" s="37"/>
      <c r="H624" s="1"/>
      <c r="I624" s="1"/>
      <c r="J624" s="1"/>
    </row>
    <row r="625" ht="15.75" customHeight="1">
      <c r="A625" s="36"/>
      <c r="B625" s="36"/>
      <c r="C625" s="37"/>
      <c r="D625" s="37"/>
      <c r="E625" s="37"/>
      <c r="F625" s="37"/>
      <c r="G625" s="37"/>
      <c r="H625" s="1"/>
      <c r="I625" s="1"/>
      <c r="J625" s="1"/>
    </row>
    <row r="626" ht="15.75" customHeight="1">
      <c r="A626" s="36"/>
      <c r="B626" s="36"/>
      <c r="C626" s="37"/>
      <c r="D626" s="37"/>
      <c r="E626" s="37"/>
      <c r="F626" s="37"/>
      <c r="G626" s="37"/>
      <c r="H626" s="1"/>
      <c r="I626" s="1"/>
      <c r="J626" s="1"/>
    </row>
    <row r="627" ht="15.75" customHeight="1">
      <c r="A627" s="36"/>
      <c r="B627" s="36"/>
      <c r="C627" s="37"/>
      <c r="D627" s="37"/>
      <c r="E627" s="37"/>
      <c r="F627" s="37"/>
      <c r="G627" s="37"/>
      <c r="H627" s="1"/>
      <c r="I627" s="1"/>
      <c r="J627" s="1"/>
    </row>
    <row r="628" ht="15.75" customHeight="1">
      <c r="A628" s="36"/>
      <c r="B628" s="36"/>
      <c r="C628" s="37"/>
      <c r="D628" s="37"/>
      <c r="E628" s="37"/>
      <c r="F628" s="37"/>
      <c r="G628" s="37"/>
      <c r="H628" s="1"/>
      <c r="I628" s="1"/>
      <c r="J628" s="1"/>
    </row>
    <row r="629" ht="15.75" customHeight="1">
      <c r="A629" s="36"/>
      <c r="B629" s="36"/>
      <c r="C629" s="37"/>
      <c r="D629" s="37"/>
      <c r="E629" s="37"/>
      <c r="F629" s="37"/>
      <c r="G629" s="37"/>
      <c r="H629" s="1"/>
      <c r="I629" s="1"/>
      <c r="J629" s="1"/>
    </row>
    <row r="630" ht="15.75" customHeight="1">
      <c r="A630" s="36"/>
      <c r="B630" s="36"/>
      <c r="C630" s="37"/>
      <c r="D630" s="37"/>
      <c r="E630" s="37"/>
      <c r="F630" s="37"/>
      <c r="G630" s="37"/>
      <c r="H630" s="1"/>
      <c r="I630" s="1"/>
      <c r="J630" s="1"/>
    </row>
    <row r="631" ht="15.75" customHeight="1">
      <c r="A631" s="36"/>
      <c r="B631" s="36"/>
      <c r="C631" s="37"/>
      <c r="D631" s="37"/>
      <c r="E631" s="37"/>
      <c r="F631" s="37"/>
      <c r="G631" s="37"/>
      <c r="H631" s="1"/>
      <c r="I631" s="1"/>
      <c r="J631" s="1"/>
    </row>
    <row r="632" ht="15.75" customHeight="1">
      <c r="A632" s="36"/>
      <c r="B632" s="36"/>
      <c r="C632" s="37"/>
      <c r="D632" s="37"/>
      <c r="E632" s="37"/>
      <c r="F632" s="37"/>
      <c r="G632" s="37"/>
      <c r="H632" s="1"/>
      <c r="I632" s="1"/>
      <c r="J632" s="1"/>
    </row>
    <row r="633" ht="15.75" customHeight="1">
      <c r="A633" s="36"/>
      <c r="B633" s="36"/>
      <c r="C633" s="37"/>
      <c r="D633" s="37"/>
      <c r="E633" s="37"/>
      <c r="F633" s="37"/>
      <c r="G633" s="37"/>
      <c r="H633" s="1"/>
      <c r="I633" s="1"/>
      <c r="J633" s="1"/>
    </row>
    <row r="634" ht="15.75" customHeight="1">
      <c r="A634" s="36"/>
      <c r="B634" s="36"/>
      <c r="C634" s="37"/>
      <c r="D634" s="37"/>
      <c r="E634" s="37"/>
      <c r="F634" s="37"/>
      <c r="G634" s="37"/>
      <c r="H634" s="1"/>
      <c r="I634" s="1"/>
      <c r="J634" s="1"/>
    </row>
    <row r="635" ht="15.75" customHeight="1">
      <c r="A635" s="36"/>
      <c r="B635" s="36"/>
      <c r="C635" s="37"/>
      <c r="D635" s="37"/>
      <c r="E635" s="37"/>
      <c r="F635" s="37"/>
      <c r="G635" s="37"/>
      <c r="H635" s="1"/>
      <c r="I635" s="1"/>
      <c r="J635" s="1"/>
    </row>
    <row r="636" ht="15.75" customHeight="1">
      <c r="A636" s="36"/>
      <c r="B636" s="36"/>
      <c r="C636" s="37"/>
      <c r="D636" s="37"/>
      <c r="E636" s="37"/>
      <c r="F636" s="37"/>
      <c r="G636" s="37"/>
      <c r="H636" s="1"/>
      <c r="I636" s="1"/>
      <c r="J636" s="1"/>
    </row>
    <row r="637" ht="15.75" customHeight="1">
      <c r="A637" s="36"/>
      <c r="B637" s="36"/>
      <c r="C637" s="37"/>
      <c r="D637" s="37"/>
      <c r="E637" s="37"/>
      <c r="F637" s="37"/>
      <c r="G637" s="37"/>
      <c r="H637" s="1"/>
      <c r="I637" s="1"/>
      <c r="J637" s="1"/>
    </row>
    <row r="638" ht="15.75" customHeight="1">
      <c r="A638" s="36"/>
      <c r="B638" s="36"/>
      <c r="C638" s="37"/>
      <c r="D638" s="37"/>
      <c r="E638" s="37"/>
      <c r="F638" s="37"/>
      <c r="G638" s="37"/>
      <c r="H638" s="1"/>
      <c r="I638" s="1"/>
      <c r="J638" s="1"/>
    </row>
    <row r="639" ht="15.75" customHeight="1">
      <c r="A639" s="36"/>
      <c r="B639" s="36"/>
      <c r="C639" s="37"/>
      <c r="D639" s="37"/>
      <c r="E639" s="37"/>
      <c r="F639" s="37"/>
      <c r="G639" s="37"/>
      <c r="H639" s="1"/>
      <c r="I639" s="1"/>
      <c r="J639" s="1"/>
    </row>
    <row r="640" ht="15.75" customHeight="1">
      <c r="A640" s="36"/>
      <c r="B640" s="36"/>
      <c r="C640" s="37"/>
      <c r="D640" s="37"/>
      <c r="E640" s="37"/>
      <c r="F640" s="37"/>
      <c r="G640" s="37"/>
      <c r="H640" s="1"/>
      <c r="I640" s="1"/>
      <c r="J640" s="1"/>
    </row>
    <row r="641" ht="15.75" customHeight="1">
      <c r="A641" s="36"/>
      <c r="B641" s="36"/>
      <c r="C641" s="37"/>
      <c r="D641" s="37"/>
      <c r="E641" s="37"/>
      <c r="F641" s="37"/>
      <c r="G641" s="37"/>
      <c r="H641" s="1"/>
      <c r="I641" s="1"/>
      <c r="J641" s="1"/>
    </row>
    <row r="642" ht="15.75" customHeight="1">
      <c r="A642" s="36"/>
      <c r="B642" s="36"/>
      <c r="C642" s="37"/>
      <c r="D642" s="37"/>
      <c r="E642" s="37"/>
      <c r="F642" s="37"/>
      <c r="G642" s="37"/>
      <c r="H642" s="1"/>
      <c r="I642" s="1"/>
      <c r="J642" s="1"/>
    </row>
    <row r="643" ht="15.75" customHeight="1">
      <c r="A643" s="36"/>
      <c r="B643" s="36"/>
      <c r="C643" s="37"/>
      <c r="D643" s="37"/>
      <c r="E643" s="37"/>
      <c r="F643" s="37"/>
      <c r="G643" s="37"/>
      <c r="H643" s="1"/>
      <c r="I643" s="1"/>
      <c r="J643" s="1"/>
    </row>
    <row r="644" ht="15.75" customHeight="1">
      <c r="A644" s="36"/>
      <c r="B644" s="36"/>
      <c r="C644" s="37"/>
      <c r="D644" s="37"/>
      <c r="E644" s="37"/>
      <c r="F644" s="37"/>
      <c r="G644" s="37"/>
      <c r="H644" s="1"/>
      <c r="I644" s="1"/>
      <c r="J644" s="1"/>
    </row>
    <row r="645" ht="15.75" customHeight="1">
      <c r="A645" s="36"/>
      <c r="B645" s="36"/>
      <c r="C645" s="37"/>
      <c r="D645" s="37"/>
      <c r="E645" s="37"/>
      <c r="F645" s="37"/>
      <c r="G645" s="37"/>
      <c r="H645" s="1"/>
      <c r="I645" s="1"/>
      <c r="J645" s="1"/>
    </row>
    <row r="646" ht="15.75" customHeight="1">
      <c r="A646" s="36"/>
      <c r="B646" s="36"/>
      <c r="C646" s="37"/>
      <c r="D646" s="37"/>
      <c r="E646" s="37"/>
      <c r="F646" s="37"/>
      <c r="G646" s="37"/>
      <c r="H646" s="1"/>
      <c r="I646" s="1"/>
      <c r="J646" s="1"/>
    </row>
    <row r="647" ht="15.75" customHeight="1">
      <c r="A647" s="36"/>
      <c r="B647" s="36"/>
      <c r="C647" s="37"/>
      <c r="D647" s="37"/>
      <c r="E647" s="37"/>
      <c r="F647" s="37"/>
      <c r="G647" s="37"/>
      <c r="H647" s="1"/>
      <c r="I647" s="1"/>
      <c r="J647" s="1"/>
    </row>
    <row r="648" ht="15.75" customHeight="1">
      <c r="A648" s="36"/>
      <c r="B648" s="36"/>
      <c r="C648" s="37"/>
      <c r="D648" s="37"/>
      <c r="E648" s="37"/>
      <c r="F648" s="37"/>
      <c r="G648" s="37"/>
      <c r="H648" s="1"/>
      <c r="I648" s="1"/>
      <c r="J648" s="1"/>
    </row>
    <row r="649" ht="15.75" customHeight="1">
      <c r="A649" s="36"/>
      <c r="B649" s="36"/>
      <c r="C649" s="37"/>
      <c r="D649" s="37"/>
      <c r="E649" s="37"/>
      <c r="F649" s="37"/>
      <c r="G649" s="37"/>
      <c r="H649" s="1"/>
      <c r="I649" s="1"/>
      <c r="J649" s="1"/>
    </row>
    <row r="650" ht="15.75" customHeight="1">
      <c r="A650" s="36"/>
      <c r="B650" s="36"/>
      <c r="C650" s="37"/>
      <c r="D650" s="37"/>
      <c r="E650" s="37"/>
      <c r="F650" s="37"/>
      <c r="G650" s="37"/>
      <c r="H650" s="1"/>
      <c r="I650" s="1"/>
      <c r="J650" s="1"/>
    </row>
    <row r="651" ht="15.75" customHeight="1">
      <c r="A651" s="36"/>
      <c r="B651" s="36"/>
      <c r="C651" s="37"/>
      <c r="D651" s="37"/>
      <c r="E651" s="37"/>
      <c r="F651" s="37"/>
      <c r="G651" s="37"/>
      <c r="H651" s="1"/>
      <c r="I651" s="1"/>
      <c r="J651" s="1"/>
    </row>
    <row r="652" ht="15.75" customHeight="1">
      <c r="A652" s="36"/>
      <c r="B652" s="36"/>
      <c r="C652" s="37"/>
      <c r="D652" s="37"/>
      <c r="E652" s="37"/>
      <c r="F652" s="37"/>
      <c r="G652" s="37"/>
      <c r="H652" s="1"/>
      <c r="I652" s="1"/>
      <c r="J652" s="1"/>
    </row>
    <row r="653" ht="15.75" customHeight="1">
      <c r="A653" s="36"/>
      <c r="B653" s="36"/>
      <c r="C653" s="37"/>
      <c r="D653" s="37"/>
      <c r="E653" s="37"/>
      <c r="F653" s="37"/>
      <c r="G653" s="37"/>
      <c r="H653" s="1"/>
      <c r="I653" s="1"/>
      <c r="J653" s="1"/>
    </row>
    <row r="654" ht="15.75" customHeight="1">
      <c r="A654" s="36"/>
      <c r="B654" s="36"/>
      <c r="C654" s="37"/>
      <c r="D654" s="37"/>
      <c r="E654" s="37"/>
      <c r="F654" s="37"/>
      <c r="G654" s="37"/>
      <c r="H654" s="1"/>
      <c r="I654" s="1"/>
      <c r="J654" s="1"/>
    </row>
    <row r="655" ht="15.75" customHeight="1">
      <c r="A655" s="36"/>
      <c r="B655" s="36"/>
      <c r="C655" s="37"/>
      <c r="D655" s="37"/>
      <c r="E655" s="37"/>
      <c r="F655" s="37"/>
      <c r="G655" s="37"/>
      <c r="H655" s="1"/>
      <c r="I655" s="1"/>
      <c r="J655" s="1"/>
    </row>
    <row r="656" ht="15.75" customHeight="1">
      <c r="A656" s="36"/>
      <c r="B656" s="36"/>
      <c r="C656" s="37"/>
      <c r="D656" s="37"/>
      <c r="E656" s="37"/>
      <c r="F656" s="37"/>
      <c r="G656" s="37"/>
      <c r="H656" s="1"/>
      <c r="I656" s="1"/>
      <c r="J656" s="1"/>
    </row>
    <row r="657" ht="15.75" customHeight="1">
      <c r="A657" s="36"/>
      <c r="B657" s="36"/>
      <c r="C657" s="37"/>
      <c r="D657" s="37"/>
      <c r="E657" s="37"/>
      <c r="F657" s="37"/>
      <c r="G657" s="37"/>
      <c r="H657" s="1"/>
      <c r="I657" s="1"/>
      <c r="J657" s="1"/>
    </row>
    <row r="658" ht="15.75" customHeight="1">
      <c r="A658" s="36"/>
      <c r="B658" s="36"/>
      <c r="C658" s="37"/>
      <c r="D658" s="37"/>
      <c r="E658" s="37"/>
      <c r="F658" s="37"/>
      <c r="G658" s="37"/>
      <c r="H658" s="1"/>
      <c r="I658" s="1"/>
      <c r="J658" s="1"/>
    </row>
    <row r="659" ht="15.75" customHeight="1">
      <c r="A659" s="36"/>
      <c r="B659" s="36"/>
      <c r="C659" s="37"/>
      <c r="D659" s="37"/>
      <c r="E659" s="37"/>
      <c r="F659" s="37"/>
      <c r="G659" s="37"/>
      <c r="H659" s="1"/>
      <c r="I659" s="1"/>
      <c r="J659" s="1"/>
    </row>
    <row r="660" ht="15.75" customHeight="1">
      <c r="A660" s="36"/>
      <c r="B660" s="36"/>
      <c r="C660" s="37"/>
      <c r="D660" s="37"/>
      <c r="E660" s="37"/>
      <c r="F660" s="37"/>
      <c r="G660" s="37"/>
      <c r="H660" s="1"/>
      <c r="I660" s="1"/>
      <c r="J660" s="1"/>
    </row>
    <row r="661" ht="15.75" customHeight="1">
      <c r="A661" s="36"/>
      <c r="B661" s="36"/>
      <c r="C661" s="37"/>
      <c r="D661" s="37"/>
      <c r="E661" s="37"/>
      <c r="F661" s="37"/>
      <c r="G661" s="37"/>
      <c r="H661" s="1"/>
      <c r="I661" s="1"/>
      <c r="J661" s="1"/>
    </row>
    <row r="662" ht="15.75" customHeight="1">
      <c r="A662" s="36"/>
      <c r="B662" s="36"/>
      <c r="C662" s="37"/>
      <c r="D662" s="37"/>
      <c r="E662" s="37"/>
      <c r="F662" s="37"/>
      <c r="G662" s="37"/>
      <c r="H662" s="1"/>
      <c r="I662" s="1"/>
      <c r="J662" s="1"/>
    </row>
    <row r="663" ht="15.75" customHeight="1">
      <c r="A663" s="36"/>
      <c r="B663" s="36"/>
      <c r="C663" s="37"/>
      <c r="D663" s="37"/>
      <c r="E663" s="37"/>
      <c r="F663" s="37"/>
      <c r="G663" s="37"/>
      <c r="H663" s="1"/>
      <c r="I663" s="1"/>
      <c r="J663" s="1"/>
    </row>
    <row r="664" ht="15.75" customHeight="1">
      <c r="A664" s="36"/>
      <c r="B664" s="36"/>
      <c r="C664" s="37"/>
      <c r="D664" s="37"/>
      <c r="E664" s="37"/>
      <c r="F664" s="37"/>
      <c r="G664" s="37"/>
      <c r="H664" s="1"/>
      <c r="I664" s="1"/>
      <c r="J664" s="1"/>
    </row>
    <row r="665" ht="15.75" customHeight="1">
      <c r="A665" s="36"/>
      <c r="B665" s="36"/>
      <c r="C665" s="37"/>
      <c r="D665" s="37"/>
      <c r="E665" s="37"/>
      <c r="F665" s="37"/>
      <c r="G665" s="37"/>
      <c r="H665" s="1"/>
      <c r="I665" s="1"/>
      <c r="J665" s="1"/>
    </row>
    <row r="666" ht="15.75" customHeight="1">
      <c r="A666" s="36"/>
      <c r="B666" s="36"/>
      <c r="C666" s="37"/>
      <c r="D666" s="37"/>
      <c r="E666" s="37"/>
      <c r="F666" s="37"/>
      <c r="G666" s="37"/>
      <c r="H666" s="1"/>
      <c r="I666" s="1"/>
      <c r="J666" s="1"/>
    </row>
    <row r="667" ht="15.75" customHeight="1">
      <c r="A667" s="36"/>
      <c r="B667" s="36"/>
      <c r="C667" s="37"/>
      <c r="D667" s="37"/>
      <c r="E667" s="37"/>
      <c r="F667" s="37"/>
      <c r="G667" s="37"/>
      <c r="H667" s="1"/>
      <c r="I667" s="1"/>
      <c r="J667" s="1"/>
    </row>
    <row r="668" ht="15.75" customHeight="1">
      <c r="A668" s="36"/>
      <c r="B668" s="36"/>
      <c r="C668" s="37"/>
      <c r="D668" s="37"/>
      <c r="E668" s="37"/>
      <c r="F668" s="37"/>
      <c r="G668" s="37"/>
      <c r="H668" s="1"/>
      <c r="I668" s="1"/>
      <c r="J668" s="1"/>
    </row>
    <row r="669" ht="15.75" customHeight="1">
      <c r="A669" s="36"/>
      <c r="B669" s="36"/>
      <c r="C669" s="37"/>
      <c r="D669" s="37"/>
      <c r="E669" s="37"/>
      <c r="F669" s="37"/>
      <c r="G669" s="37"/>
      <c r="H669" s="1"/>
      <c r="I669" s="1"/>
      <c r="J669" s="1"/>
    </row>
    <row r="670" ht="15.75" customHeight="1">
      <c r="A670" s="36"/>
      <c r="B670" s="36"/>
      <c r="C670" s="37"/>
      <c r="D670" s="37"/>
      <c r="E670" s="37"/>
      <c r="F670" s="37"/>
      <c r="G670" s="37"/>
      <c r="H670" s="1"/>
      <c r="I670" s="1"/>
      <c r="J670" s="1"/>
    </row>
    <row r="671" ht="15.75" customHeight="1">
      <c r="A671" s="36"/>
      <c r="B671" s="36"/>
      <c r="C671" s="37"/>
      <c r="D671" s="37"/>
      <c r="E671" s="37"/>
      <c r="F671" s="37"/>
      <c r="G671" s="37"/>
      <c r="H671" s="1"/>
      <c r="I671" s="1"/>
      <c r="J671" s="1"/>
    </row>
    <row r="672" ht="15.75" customHeight="1">
      <c r="A672" s="36"/>
      <c r="B672" s="36"/>
      <c r="C672" s="37"/>
      <c r="D672" s="37"/>
      <c r="E672" s="37"/>
      <c r="F672" s="37"/>
      <c r="G672" s="37"/>
      <c r="H672" s="1"/>
      <c r="I672" s="1"/>
      <c r="J672" s="1"/>
    </row>
    <row r="673" ht="15.75" customHeight="1">
      <c r="A673" s="36"/>
      <c r="B673" s="36"/>
      <c r="C673" s="37"/>
      <c r="D673" s="37"/>
      <c r="E673" s="37"/>
      <c r="F673" s="37"/>
      <c r="G673" s="37"/>
      <c r="H673" s="1"/>
      <c r="I673" s="1"/>
      <c r="J673" s="1"/>
    </row>
    <row r="674" ht="15.75" customHeight="1">
      <c r="A674" s="36"/>
      <c r="B674" s="36"/>
      <c r="C674" s="37"/>
      <c r="D674" s="37"/>
      <c r="E674" s="37"/>
      <c r="F674" s="37"/>
      <c r="G674" s="37"/>
      <c r="H674" s="1"/>
      <c r="I674" s="1"/>
      <c r="J674" s="1"/>
    </row>
    <row r="675" ht="15.75" customHeight="1">
      <c r="A675" s="36"/>
      <c r="B675" s="36"/>
      <c r="C675" s="37"/>
      <c r="D675" s="37"/>
      <c r="E675" s="37"/>
      <c r="F675" s="37"/>
      <c r="G675" s="37"/>
      <c r="H675" s="1"/>
      <c r="I675" s="1"/>
      <c r="J675" s="1"/>
    </row>
    <row r="676" ht="15.75" customHeight="1">
      <c r="A676" s="36"/>
      <c r="B676" s="36"/>
      <c r="C676" s="37"/>
      <c r="D676" s="37"/>
      <c r="E676" s="37"/>
      <c r="F676" s="37"/>
      <c r="G676" s="37"/>
      <c r="H676" s="1"/>
      <c r="I676" s="1"/>
      <c r="J676" s="1"/>
    </row>
    <row r="677" ht="15.75" customHeight="1">
      <c r="A677" s="36"/>
      <c r="B677" s="36"/>
      <c r="C677" s="37"/>
      <c r="D677" s="37"/>
      <c r="E677" s="37"/>
      <c r="F677" s="37"/>
      <c r="G677" s="37"/>
      <c r="H677" s="1"/>
      <c r="I677" s="1"/>
      <c r="J677" s="1"/>
    </row>
    <row r="678" ht="15.75" customHeight="1">
      <c r="A678" s="36"/>
      <c r="B678" s="36"/>
      <c r="C678" s="37"/>
      <c r="D678" s="37"/>
      <c r="E678" s="37"/>
      <c r="F678" s="37"/>
      <c r="G678" s="37"/>
      <c r="H678" s="1"/>
      <c r="I678" s="1"/>
      <c r="J678" s="1"/>
    </row>
    <row r="679" ht="15.75" customHeight="1">
      <c r="A679" s="36"/>
      <c r="B679" s="36"/>
      <c r="C679" s="37"/>
      <c r="D679" s="37"/>
      <c r="E679" s="37"/>
      <c r="F679" s="37"/>
      <c r="G679" s="37"/>
      <c r="H679" s="1"/>
      <c r="I679" s="1"/>
      <c r="J679" s="1"/>
    </row>
    <row r="680" ht="15.75" customHeight="1">
      <c r="A680" s="36"/>
      <c r="B680" s="36"/>
      <c r="C680" s="37"/>
      <c r="D680" s="37"/>
      <c r="E680" s="37"/>
      <c r="F680" s="37"/>
      <c r="G680" s="37"/>
      <c r="H680" s="1"/>
      <c r="I680" s="1"/>
      <c r="J680" s="1"/>
    </row>
    <row r="681" ht="15.75" customHeight="1">
      <c r="A681" s="36"/>
      <c r="B681" s="36"/>
      <c r="C681" s="37"/>
      <c r="D681" s="37"/>
      <c r="E681" s="37"/>
      <c r="F681" s="37"/>
      <c r="G681" s="37"/>
      <c r="H681" s="1"/>
      <c r="I681" s="1"/>
      <c r="J681" s="1"/>
    </row>
    <row r="682" ht="15.75" customHeight="1">
      <c r="A682" s="36"/>
      <c r="B682" s="36"/>
      <c r="C682" s="37"/>
      <c r="D682" s="37"/>
      <c r="E682" s="37"/>
      <c r="F682" s="37"/>
      <c r="G682" s="37"/>
      <c r="H682" s="1"/>
      <c r="I682" s="1"/>
      <c r="J682" s="1"/>
    </row>
    <row r="683" ht="15.75" customHeight="1">
      <c r="A683" s="36"/>
      <c r="B683" s="36"/>
      <c r="C683" s="37"/>
      <c r="D683" s="37"/>
      <c r="E683" s="37"/>
      <c r="F683" s="37"/>
      <c r="G683" s="37"/>
      <c r="H683" s="1"/>
      <c r="I683" s="1"/>
      <c r="J683" s="1"/>
    </row>
    <row r="684" ht="15.75" customHeight="1">
      <c r="A684" s="36"/>
      <c r="B684" s="36"/>
      <c r="C684" s="37"/>
      <c r="D684" s="37"/>
      <c r="E684" s="37"/>
      <c r="F684" s="37"/>
      <c r="G684" s="37"/>
      <c r="H684" s="1"/>
      <c r="I684" s="1"/>
      <c r="J684" s="1"/>
    </row>
    <row r="685" ht="15.75" customHeight="1">
      <c r="A685" s="36"/>
      <c r="B685" s="36"/>
      <c r="C685" s="37"/>
      <c r="D685" s="37"/>
      <c r="E685" s="37"/>
      <c r="F685" s="37"/>
      <c r="G685" s="37"/>
      <c r="H685" s="1"/>
      <c r="I685" s="1"/>
      <c r="J685" s="1"/>
    </row>
    <row r="686" ht="15.75" customHeight="1">
      <c r="A686" s="36"/>
      <c r="B686" s="36"/>
      <c r="C686" s="37"/>
      <c r="D686" s="37"/>
      <c r="E686" s="37"/>
      <c r="F686" s="37"/>
      <c r="G686" s="37"/>
      <c r="H686" s="1"/>
      <c r="I686" s="1"/>
      <c r="J686" s="1"/>
    </row>
    <row r="687" ht="15.75" customHeight="1">
      <c r="A687" s="36"/>
      <c r="B687" s="36"/>
      <c r="C687" s="37"/>
      <c r="D687" s="37"/>
      <c r="E687" s="37"/>
      <c r="F687" s="37"/>
      <c r="G687" s="37"/>
      <c r="H687" s="1"/>
      <c r="I687" s="1"/>
      <c r="J687" s="1"/>
    </row>
    <row r="688" ht="15.75" customHeight="1">
      <c r="A688" s="36"/>
      <c r="B688" s="36"/>
      <c r="C688" s="37"/>
      <c r="D688" s="37"/>
      <c r="E688" s="37"/>
      <c r="F688" s="37"/>
      <c r="G688" s="37"/>
      <c r="H688" s="1"/>
      <c r="I688" s="1"/>
      <c r="J688" s="1"/>
    </row>
    <row r="689" ht="15.75" customHeight="1">
      <c r="A689" s="36"/>
      <c r="B689" s="36"/>
      <c r="C689" s="37"/>
      <c r="D689" s="37"/>
      <c r="E689" s="37"/>
      <c r="F689" s="37"/>
      <c r="G689" s="37"/>
      <c r="H689" s="1"/>
      <c r="I689" s="1"/>
      <c r="J689" s="1"/>
    </row>
    <row r="690" ht="15.75" customHeight="1">
      <c r="A690" s="36"/>
      <c r="B690" s="36"/>
      <c r="C690" s="37"/>
      <c r="D690" s="37"/>
      <c r="E690" s="37"/>
      <c r="F690" s="37"/>
      <c r="G690" s="37"/>
      <c r="H690" s="1"/>
      <c r="I690" s="1"/>
      <c r="J690" s="1"/>
    </row>
    <row r="691" ht="15.75" customHeight="1">
      <c r="A691" s="36"/>
      <c r="B691" s="36"/>
      <c r="C691" s="37"/>
      <c r="D691" s="37"/>
      <c r="E691" s="37"/>
      <c r="F691" s="37"/>
      <c r="G691" s="37"/>
      <c r="H691" s="1"/>
      <c r="I691" s="1"/>
      <c r="J691" s="1"/>
    </row>
    <row r="692" ht="15.75" customHeight="1">
      <c r="A692" s="36"/>
      <c r="B692" s="36"/>
      <c r="C692" s="37"/>
      <c r="D692" s="37"/>
      <c r="E692" s="37"/>
      <c r="F692" s="37"/>
      <c r="G692" s="37"/>
      <c r="H692" s="1"/>
      <c r="I692" s="1"/>
      <c r="J692" s="1"/>
    </row>
    <row r="693" ht="15.75" customHeight="1">
      <c r="A693" s="36"/>
      <c r="B693" s="36"/>
      <c r="C693" s="37"/>
      <c r="D693" s="37"/>
      <c r="E693" s="37"/>
      <c r="F693" s="37"/>
      <c r="G693" s="37"/>
      <c r="H693" s="1"/>
      <c r="I693" s="1"/>
      <c r="J693" s="1"/>
    </row>
    <row r="694" ht="15.75" customHeight="1">
      <c r="A694" s="36"/>
      <c r="B694" s="36"/>
      <c r="C694" s="37"/>
      <c r="D694" s="37"/>
      <c r="E694" s="37"/>
      <c r="F694" s="37"/>
      <c r="G694" s="37"/>
      <c r="H694" s="1"/>
      <c r="I694" s="1"/>
      <c r="J694" s="1"/>
    </row>
    <row r="695" ht="15.75" customHeight="1">
      <c r="A695" s="36"/>
      <c r="B695" s="36"/>
      <c r="C695" s="37"/>
      <c r="D695" s="37"/>
      <c r="E695" s="37"/>
      <c r="F695" s="37"/>
      <c r="G695" s="37"/>
      <c r="H695" s="1"/>
      <c r="I695" s="1"/>
      <c r="J695" s="1"/>
    </row>
    <row r="696" ht="15.75" customHeight="1">
      <c r="A696" s="36"/>
      <c r="B696" s="36"/>
      <c r="C696" s="37"/>
      <c r="D696" s="37"/>
      <c r="E696" s="37"/>
      <c r="F696" s="37"/>
      <c r="G696" s="37"/>
      <c r="H696" s="1"/>
      <c r="I696" s="1"/>
      <c r="J696" s="1"/>
    </row>
    <row r="697" ht="15.75" customHeight="1">
      <c r="A697" s="36"/>
      <c r="B697" s="36"/>
      <c r="C697" s="37"/>
      <c r="D697" s="37"/>
      <c r="E697" s="37"/>
      <c r="F697" s="37"/>
      <c r="G697" s="37"/>
      <c r="H697" s="1"/>
      <c r="I697" s="1"/>
      <c r="J697" s="1"/>
    </row>
    <row r="698" ht="15.75" customHeight="1">
      <c r="A698" s="36"/>
      <c r="B698" s="36"/>
      <c r="C698" s="37"/>
      <c r="D698" s="37"/>
      <c r="E698" s="37"/>
      <c r="F698" s="37"/>
      <c r="G698" s="37"/>
      <c r="H698" s="1"/>
      <c r="I698" s="1"/>
      <c r="J698" s="1"/>
    </row>
    <row r="699" ht="15.75" customHeight="1">
      <c r="A699" s="36"/>
      <c r="B699" s="36"/>
      <c r="C699" s="37"/>
      <c r="D699" s="37"/>
      <c r="E699" s="37"/>
      <c r="F699" s="37"/>
      <c r="G699" s="37"/>
      <c r="H699" s="1"/>
      <c r="I699" s="1"/>
      <c r="J699" s="1"/>
    </row>
    <row r="700" ht="15.75" customHeight="1">
      <c r="A700" s="36"/>
      <c r="B700" s="36"/>
      <c r="C700" s="37"/>
      <c r="D700" s="37"/>
      <c r="E700" s="37"/>
      <c r="F700" s="37"/>
      <c r="G700" s="37"/>
      <c r="H700" s="1"/>
      <c r="I700" s="1"/>
      <c r="J700" s="1"/>
    </row>
    <row r="701" ht="15.75" customHeight="1">
      <c r="A701" s="36"/>
      <c r="B701" s="36"/>
      <c r="C701" s="37"/>
      <c r="D701" s="37"/>
      <c r="E701" s="37"/>
      <c r="F701" s="37"/>
      <c r="G701" s="37"/>
      <c r="H701" s="1"/>
      <c r="I701" s="1"/>
      <c r="J701" s="1"/>
    </row>
    <row r="702" ht="15.75" customHeight="1">
      <c r="A702" s="36"/>
      <c r="B702" s="36"/>
      <c r="C702" s="37"/>
      <c r="D702" s="37"/>
      <c r="E702" s="37"/>
      <c r="F702" s="37"/>
      <c r="G702" s="37"/>
      <c r="H702" s="1"/>
      <c r="I702" s="1"/>
      <c r="J702" s="1"/>
    </row>
    <row r="703" ht="15.75" customHeight="1">
      <c r="A703" s="36"/>
      <c r="B703" s="36"/>
      <c r="C703" s="37"/>
      <c r="D703" s="37"/>
      <c r="E703" s="37"/>
      <c r="F703" s="37"/>
      <c r="G703" s="37"/>
      <c r="H703" s="1"/>
      <c r="I703" s="1"/>
      <c r="J703" s="1"/>
    </row>
    <row r="704" ht="15.75" customHeight="1">
      <c r="A704" s="36"/>
      <c r="B704" s="36"/>
      <c r="C704" s="37"/>
      <c r="D704" s="37"/>
      <c r="E704" s="37"/>
      <c r="F704" s="37"/>
      <c r="G704" s="37"/>
      <c r="H704" s="1"/>
      <c r="I704" s="1"/>
      <c r="J704" s="1"/>
    </row>
    <row r="705" ht="15.75" customHeight="1">
      <c r="A705" s="36"/>
      <c r="B705" s="36"/>
      <c r="C705" s="37"/>
      <c r="D705" s="37"/>
      <c r="E705" s="37"/>
      <c r="F705" s="37"/>
      <c r="G705" s="37"/>
      <c r="H705" s="1"/>
      <c r="I705" s="1"/>
      <c r="J705" s="1"/>
    </row>
    <row r="706" ht="15.75" customHeight="1">
      <c r="A706" s="36"/>
      <c r="B706" s="36"/>
      <c r="C706" s="37"/>
      <c r="D706" s="37"/>
      <c r="E706" s="37"/>
      <c r="F706" s="37"/>
      <c r="G706" s="37"/>
      <c r="H706" s="1"/>
      <c r="I706" s="1"/>
      <c r="J706" s="1"/>
    </row>
    <row r="707" ht="15.75" customHeight="1">
      <c r="A707" s="36"/>
      <c r="B707" s="36"/>
      <c r="C707" s="37"/>
      <c r="D707" s="37"/>
      <c r="E707" s="37"/>
      <c r="F707" s="37"/>
      <c r="G707" s="37"/>
      <c r="H707" s="1"/>
      <c r="I707" s="1"/>
      <c r="J707" s="1"/>
    </row>
    <row r="708" ht="15.75" customHeight="1">
      <c r="A708" s="36"/>
      <c r="B708" s="36"/>
      <c r="C708" s="37"/>
      <c r="D708" s="37"/>
      <c r="E708" s="37"/>
      <c r="F708" s="37"/>
      <c r="G708" s="37"/>
      <c r="H708" s="1"/>
      <c r="I708" s="1"/>
      <c r="J708" s="1"/>
    </row>
    <row r="709" ht="15.75" customHeight="1">
      <c r="A709" s="36"/>
      <c r="B709" s="36"/>
      <c r="C709" s="37"/>
      <c r="D709" s="37"/>
      <c r="E709" s="37"/>
      <c r="F709" s="37"/>
      <c r="G709" s="37"/>
      <c r="H709" s="1"/>
      <c r="I709" s="1"/>
      <c r="J709" s="1"/>
    </row>
    <row r="710" ht="15.75" customHeight="1">
      <c r="A710" s="36"/>
      <c r="B710" s="36"/>
      <c r="C710" s="37"/>
      <c r="D710" s="37"/>
      <c r="E710" s="37"/>
      <c r="F710" s="37"/>
      <c r="G710" s="37"/>
      <c r="H710" s="1"/>
      <c r="I710" s="1"/>
      <c r="J710" s="1"/>
    </row>
    <row r="711" ht="15.75" customHeight="1">
      <c r="A711" s="36"/>
      <c r="B711" s="36"/>
      <c r="C711" s="37"/>
      <c r="D711" s="37"/>
      <c r="E711" s="37"/>
      <c r="F711" s="37"/>
      <c r="G711" s="37"/>
      <c r="H711" s="1"/>
      <c r="I711" s="1"/>
      <c r="J711" s="1"/>
    </row>
    <row r="712" ht="15.75" customHeight="1">
      <c r="A712" s="36"/>
      <c r="B712" s="36"/>
      <c r="C712" s="37"/>
      <c r="D712" s="37"/>
      <c r="E712" s="37"/>
      <c r="F712" s="37"/>
      <c r="G712" s="37"/>
      <c r="H712" s="1"/>
      <c r="I712" s="1"/>
      <c r="J712" s="1"/>
    </row>
    <row r="713" ht="15.75" customHeight="1">
      <c r="A713" s="36"/>
      <c r="B713" s="36"/>
      <c r="C713" s="37"/>
      <c r="D713" s="37"/>
      <c r="E713" s="37"/>
      <c r="F713" s="37"/>
      <c r="G713" s="37"/>
      <c r="H713" s="1"/>
      <c r="I713" s="1"/>
      <c r="J713" s="1"/>
    </row>
    <row r="714" ht="15.75" customHeight="1">
      <c r="A714" s="36"/>
      <c r="B714" s="36"/>
      <c r="C714" s="37"/>
      <c r="D714" s="37"/>
      <c r="E714" s="37"/>
      <c r="F714" s="37"/>
      <c r="G714" s="37"/>
      <c r="H714" s="1"/>
      <c r="I714" s="1"/>
      <c r="J714" s="1"/>
    </row>
    <row r="715" ht="15.75" customHeight="1">
      <c r="A715" s="36"/>
      <c r="B715" s="36"/>
      <c r="C715" s="37"/>
      <c r="D715" s="37"/>
      <c r="E715" s="37"/>
      <c r="F715" s="37"/>
      <c r="G715" s="37"/>
      <c r="H715" s="1"/>
      <c r="I715" s="1"/>
      <c r="J715" s="1"/>
    </row>
    <row r="716" ht="15.75" customHeight="1">
      <c r="A716" s="36"/>
      <c r="B716" s="36"/>
      <c r="C716" s="37"/>
      <c r="D716" s="37"/>
      <c r="E716" s="37"/>
      <c r="F716" s="37"/>
      <c r="G716" s="37"/>
      <c r="H716" s="1"/>
      <c r="I716" s="1"/>
      <c r="J716" s="1"/>
    </row>
    <row r="717" ht="15.75" customHeight="1">
      <c r="A717" s="36"/>
      <c r="B717" s="36"/>
      <c r="C717" s="37"/>
      <c r="D717" s="37"/>
      <c r="E717" s="37"/>
      <c r="F717" s="37"/>
      <c r="G717" s="37"/>
      <c r="H717" s="1"/>
      <c r="I717" s="1"/>
      <c r="J717" s="1"/>
    </row>
    <row r="718" ht="15.75" customHeight="1">
      <c r="A718" s="36"/>
      <c r="B718" s="36"/>
      <c r="C718" s="37"/>
      <c r="D718" s="37"/>
      <c r="E718" s="37"/>
      <c r="F718" s="37"/>
      <c r="G718" s="37"/>
      <c r="H718" s="1"/>
      <c r="I718" s="1"/>
      <c r="J718" s="1"/>
    </row>
    <row r="719" ht="15.75" customHeight="1">
      <c r="A719" s="36"/>
      <c r="B719" s="36"/>
      <c r="C719" s="37"/>
      <c r="D719" s="37"/>
      <c r="E719" s="37"/>
      <c r="F719" s="37"/>
      <c r="G719" s="37"/>
      <c r="H719" s="1"/>
      <c r="I719" s="1"/>
      <c r="J719" s="1"/>
    </row>
    <row r="720" ht="15.75" customHeight="1">
      <c r="A720" s="36"/>
      <c r="B720" s="36"/>
      <c r="C720" s="37"/>
      <c r="D720" s="37"/>
      <c r="E720" s="37"/>
      <c r="F720" s="37"/>
      <c r="G720" s="37"/>
      <c r="H720" s="1"/>
      <c r="I720" s="1"/>
      <c r="J720" s="1"/>
    </row>
    <row r="721" ht="15.75" customHeight="1">
      <c r="A721" s="36"/>
      <c r="B721" s="36"/>
      <c r="C721" s="37"/>
      <c r="D721" s="37"/>
      <c r="E721" s="37"/>
      <c r="F721" s="37"/>
      <c r="G721" s="37"/>
      <c r="H721" s="1"/>
      <c r="I721" s="1"/>
      <c r="J721" s="1"/>
    </row>
    <row r="722" ht="15.75" customHeight="1">
      <c r="A722" s="36"/>
      <c r="B722" s="36"/>
      <c r="C722" s="37"/>
      <c r="D722" s="37"/>
      <c r="E722" s="37"/>
      <c r="F722" s="37"/>
      <c r="G722" s="37"/>
      <c r="H722" s="1"/>
      <c r="I722" s="1"/>
      <c r="J722" s="1"/>
    </row>
    <row r="723" ht="15.75" customHeight="1">
      <c r="A723" s="36"/>
      <c r="B723" s="36"/>
      <c r="C723" s="37"/>
      <c r="D723" s="37"/>
      <c r="E723" s="37"/>
      <c r="F723" s="37"/>
      <c r="G723" s="37"/>
      <c r="H723" s="1"/>
      <c r="I723" s="1"/>
      <c r="J723" s="1"/>
    </row>
    <row r="724" ht="15.75" customHeight="1">
      <c r="A724" s="36"/>
      <c r="B724" s="36"/>
      <c r="C724" s="37"/>
      <c r="D724" s="37"/>
      <c r="E724" s="37"/>
      <c r="F724" s="37"/>
      <c r="G724" s="37"/>
      <c r="H724" s="1"/>
      <c r="I724" s="1"/>
      <c r="J724" s="1"/>
    </row>
    <row r="725" ht="15.75" customHeight="1">
      <c r="A725" s="36"/>
      <c r="B725" s="36"/>
      <c r="C725" s="37"/>
      <c r="D725" s="37"/>
      <c r="E725" s="37"/>
      <c r="F725" s="37"/>
      <c r="G725" s="37"/>
      <c r="H725" s="1"/>
      <c r="I725" s="1"/>
      <c r="J725" s="1"/>
    </row>
    <row r="726" ht="15.75" customHeight="1">
      <c r="A726" s="36"/>
      <c r="B726" s="36"/>
      <c r="C726" s="37"/>
      <c r="D726" s="37"/>
      <c r="E726" s="37"/>
      <c r="F726" s="37"/>
      <c r="G726" s="37"/>
      <c r="H726" s="1"/>
      <c r="I726" s="1"/>
      <c r="J726" s="1"/>
    </row>
    <row r="727" ht="15.75" customHeight="1">
      <c r="A727" s="36"/>
      <c r="B727" s="36"/>
      <c r="C727" s="37"/>
      <c r="D727" s="37"/>
      <c r="E727" s="37"/>
      <c r="F727" s="37"/>
      <c r="G727" s="37"/>
      <c r="H727" s="1"/>
      <c r="I727" s="1"/>
      <c r="J727" s="1"/>
    </row>
    <row r="728" ht="15.75" customHeight="1">
      <c r="A728" s="36"/>
      <c r="B728" s="36"/>
      <c r="C728" s="37"/>
      <c r="D728" s="37"/>
      <c r="E728" s="37"/>
      <c r="F728" s="37"/>
      <c r="G728" s="37"/>
      <c r="H728" s="1"/>
      <c r="I728" s="1"/>
      <c r="J728" s="1"/>
    </row>
    <row r="729" ht="15.75" customHeight="1">
      <c r="A729" s="36"/>
      <c r="B729" s="36"/>
      <c r="C729" s="37"/>
      <c r="D729" s="37"/>
      <c r="E729" s="37"/>
      <c r="F729" s="37"/>
      <c r="G729" s="37"/>
      <c r="H729" s="1"/>
      <c r="I729" s="1"/>
      <c r="J729" s="1"/>
    </row>
    <row r="730" ht="15.75" customHeight="1">
      <c r="A730" s="36"/>
      <c r="B730" s="36"/>
      <c r="C730" s="37"/>
      <c r="D730" s="37"/>
      <c r="E730" s="37"/>
      <c r="F730" s="37"/>
      <c r="G730" s="37"/>
      <c r="H730" s="1"/>
      <c r="I730" s="1"/>
      <c r="J730" s="1"/>
    </row>
    <row r="731" ht="15.75" customHeight="1">
      <c r="A731" s="36"/>
      <c r="B731" s="36"/>
      <c r="C731" s="37"/>
      <c r="D731" s="37"/>
      <c r="E731" s="37"/>
      <c r="F731" s="37"/>
      <c r="G731" s="37"/>
      <c r="H731" s="1"/>
      <c r="I731" s="1"/>
      <c r="J731" s="1"/>
    </row>
    <row r="732" ht="15.75" customHeight="1">
      <c r="A732" s="36"/>
      <c r="B732" s="36"/>
      <c r="C732" s="37"/>
      <c r="D732" s="37"/>
      <c r="E732" s="37"/>
      <c r="F732" s="37"/>
      <c r="G732" s="37"/>
      <c r="H732" s="1"/>
      <c r="I732" s="1"/>
      <c r="J732" s="1"/>
    </row>
    <row r="733" ht="15.75" customHeight="1">
      <c r="A733" s="36"/>
      <c r="B733" s="36"/>
      <c r="C733" s="37"/>
      <c r="D733" s="37"/>
      <c r="E733" s="37"/>
      <c r="F733" s="37"/>
      <c r="G733" s="37"/>
      <c r="H733" s="1"/>
      <c r="I733" s="1"/>
      <c r="J733" s="1"/>
    </row>
    <row r="734" ht="15.75" customHeight="1">
      <c r="A734" s="36"/>
      <c r="B734" s="36"/>
      <c r="C734" s="37"/>
      <c r="D734" s="37"/>
      <c r="E734" s="37"/>
      <c r="F734" s="37"/>
      <c r="G734" s="37"/>
      <c r="H734" s="1"/>
      <c r="I734" s="1"/>
      <c r="J734" s="1"/>
    </row>
    <row r="735" ht="15.75" customHeight="1">
      <c r="A735" s="36"/>
      <c r="B735" s="36"/>
      <c r="C735" s="37"/>
      <c r="D735" s="37"/>
      <c r="E735" s="37"/>
      <c r="F735" s="37"/>
      <c r="G735" s="37"/>
      <c r="H735" s="1"/>
      <c r="I735" s="1"/>
      <c r="J735" s="1"/>
    </row>
    <row r="736" ht="15.75" customHeight="1">
      <c r="A736" s="36"/>
      <c r="B736" s="36"/>
      <c r="C736" s="37"/>
      <c r="D736" s="37"/>
      <c r="E736" s="37"/>
      <c r="F736" s="37"/>
      <c r="G736" s="37"/>
      <c r="H736" s="1"/>
      <c r="I736" s="1"/>
      <c r="J736" s="1"/>
    </row>
    <row r="737" ht="15.75" customHeight="1">
      <c r="A737" s="36"/>
      <c r="B737" s="36"/>
      <c r="C737" s="37"/>
      <c r="D737" s="37"/>
      <c r="E737" s="37"/>
      <c r="F737" s="37"/>
      <c r="G737" s="37"/>
      <c r="H737" s="1"/>
      <c r="I737" s="1"/>
      <c r="J737" s="1"/>
    </row>
    <row r="738" ht="15.75" customHeight="1">
      <c r="A738" s="36"/>
      <c r="B738" s="36"/>
      <c r="C738" s="37"/>
      <c r="D738" s="37"/>
      <c r="E738" s="37"/>
      <c r="F738" s="37"/>
      <c r="G738" s="37"/>
      <c r="H738" s="1"/>
      <c r="I738" s="1"/>
      <c r="J738" s="1"/>
    </row>
    <row r="739" ht="15.75" customHeight="1">
      <c r="A739" s="36"/>
      <c r="B739" s="36"/>
      <c r="C739" s="37"/>
      <c r="D739" s="37"/>
      <c r="E739" s="37"/>
      <c r="F739" s="37"/>
      <c r="G739" s="37"/>
      <c r="H739" s="1"/>
      <c r="I739" s="1"/>
      <c r="J739" s="1"/>
    </row>
    <row r="740" ht="15.75" customHeight="1">
      <c r="A740" s="36"/>
      <c r="B740" s="36"/>
      <c r="C740" s="37"/>
      <c r="D740" s="37"/>
      <c r="E740" s="37"/>
      <c r="F740" s="37"/>
      <c r="G740" s="37"/>
      <c r="H740" s="1"/>
      <c r="I740" s="1"/>
      <c r="J740" s="1"/>
    </row>
    <row r="741" ht="15.75" customHeight="1">
      <c r="A741" s="36"/>
      <c r="B741" s="36"/>
      <c r="C741" s="37"/>
      <c r="D741" s="37"/>
      <c r="E741" s="37"/>
      <c r="F741" s="37"/>
      <c r="G741" s="37"/>
      <c r="H741" s="1"/>
      <c r="I741" s="1"/>
      <c r="J741" s="1"/>
    </row>
    <row r="742" ht="15.75" customHeight="1">
      <c r="A742" s="36"/>
      <c r="B742" s="36"/>
      <c r="C742" s="37"/>
      <c r="D742" s="37"/>
      <c r="E742" s="37"/>
      <c r="F742" s="37"/>
      <c r="G742" s="37"/>
      <c r="H742" s="1"/>
      <c r="I742" s="1"/>
      <c r="J742" s="1"/>
    </row>
    <row r="743" ht="15.75" customHeight="1">
      <c r="A743" s="36"/>
      <c r="B743" s="36"/>
      <c r="C743" s="37"/>
      <c r="D743" s="37"/>
      <c r="E743" s="37"/>
      <c r="F743" s="37"/>
      <c r="G743" s="37"/>
      <c r="H743" s="1"/>
      <c r="I743" s="1"/>
      <c r="J743" s="1"/>
    </row>
    <row r="744" ht="15.75" customHeight="1">
      <c r="A744" s="36"/>
      <c r="B744" s="36"/>
      <c r="C744" s="37"/>
      <c r="D744" s="37"/>
      <c r="E744" s="37"/>
      <c r="F744" s="37"/>
      <c r="G744" s="37"/>
      <c r="H744" s="1"/>
      <c r="I744" s="1"/>
      <c r="J744" s="1"/>
    </row>
    <row r="745" ht="15.75" customHeight="1">
      <c r="A745" s="36"/>
      <c r="B745" s="36"/>
      <c r="C745" s="37"/>
      <c r="D745" s="37"/>
      <c r="E745" s="37"/>
      <c r="F745" s="37"/>
      <c r="G745" s="37"/>
      <c r="H745" s="1"/>
      <c r="I745" s="1"/>
      <c r="J745" s="1"/>
    </row>
    <row r="746" ht="15.75" customHeight="1">
      <c r="A746" s="36"/>
      <c r="B746" s="36"/>
      <c r="C746" s="37"/>
      <c r="D746" s="37"/>
      <c r="E746" s="37"/>
      <c r="F746" s="37"/>
      <c r="G746" s="37"/>
      <c r="H746" s="1"/>
      <c r="I746" s="1"/>
      <c r="J746" s="1"/>
    </row>
    <row r="747" ht="15.75" customHeight="1">
      <c r="A747" s="36"/>
      <c r="B747" s="36"/>
      <c r="C747" s="37"/>
      <c r="D747" s="37"/>
      <c r="E747" s="37"/>
      <c r="F747" s="37"/>
      <c r="G747" s="37"/>
      <c r="H747" s="1"/>
      <c r="I747" s="1"/>
      <c r="J747" s="1"/>
    </row>
    <row r="748" ht="15.75" customHeight="1">
      <c r="A748" s="36"/>
      <c r="B748" s="36"/>
      <c r="C748" s="37"/>
      <c r="D748" s="37"/>
      <c r="E748" s="37"/>
      <c r="F748" s="37"/>
      <c r="G748" s="37"/>
      <c r="H748" s="1"/>
      <c r="I748" s="1"/>
      <c r="J748" s="1"/>
    </row>
    <row r="749" ht="15.75" customHeight="1">
      <c r="A749" s="36"/>
      <c r="B749" s="36"/>
      <c r="C749" s="37"/>
      <c r="D749" s="37"/>
      <c r="E749" s="37"/>
      <c r="F749" s="37"/>
      <c r="G749" s="37"/>
      <c r="H749" s="1"/>
      <c r="I749" s="1"/>
      <c r="J749" s="1"/>
    </row>
    <row r="750" ht="15.75" customHeight="1">
      <c r="A750" s="36"/>
      <c r="B750" s="36"/>
      <c r="C750" s="37"/>
      <c r="D750" s="37"/>
      <c r="E750" s="37"/>
      <c r="F750" s="37"/>
      <c r="G750" s="37"/>
      <c r="H750" s="1"/>
      <c r="I750" s="1"/>
      <c r="J750" s="1"/>
    </row>
    <row r="751" ht="15.75" customHeight="1">
      <c r="A751" s="36"/>
      <c r="B751" s="36"/>
      <c r="C751" s="37"/>
      <c r="D751" s="37"/>
      <c r="E751" s="37"/>
      <c r="F751" s="37"/>
      <c r="G751" s="37"/>
      <c r="H751" s="1"/>
      <c r="I751" s="1"/>
      <c r="J751" s="1"/>
    </row>
    <row r="752" ht="15.75" customHeight="1">
      <c r="A752" s="36"/>
      <c r="B752" s="36"/>
      <c r="C752" s="37"/>
      <c r="D752" s="37"/>
      <c r="E752" s="37"/>
      <c r="F752" s="37"/>
      <c r="G752" s="37"/>
      <c r="H752" s="1"/>
      <c r="I752" s="1"/>
      <c r="J752" s="1"/>
    </row>
    <row r="753" ht="15.75" customHeight="1">
      <c r="A753" s="36"/>
      <c r="B753" s="36"/>
      <c r="C753" s="37"/>
      <c r="D753" s="37"/>
      <c r="E753" s="37"/>
      <c r="F753" s="37"/>
      <c r="G753" s="37"/>
      <c r="H753" s="1"/>
      <c r="I753" s="1"/>
      <c r="J753" s="1"/>
    </row>
    <row r="754" ht="15.75" customHeight="1">
      <c r="A754" s="36"/>
      <c r="B754" s="36"/>
      <c r="C754" s="37"/>
      <c r="D754" s="37"/>
      <c r="E754" s="37"/>
      <c r="F754" s="37"/>
      <c r="G754" s="37"/>
      <c r="H754" s="1"/>
      <c r="I754" s="1"/>
      <c r="J754" s="1"/>
    </row>
    <row r="755" ht="15.75" customHeight="1">
      <c r="A755" s="36"/>
      <c r="B755" s="36"/>
      <c r="C755" s="37"/>
      <c r="D755" s="37"/>
      <c r="E755" s="37"/>
      <c r="F755" s="37"/>
      <c r="G755" s="37"/>
      <c r="H755" s="1"/>
      <c r="I755" s="1"/>
      <c r="J755" s="1"/>
    </row>
    <row r="756" ht="15.75" customHeight="1">
      <c r="A756" s="36"/>
      <c r="B756" s="36"/>
      <c r="C756" s="37"/>
      <c r="D756" s="37"/>
      <c r="E756" s="37"/>
      <c r="F756" s="37"/>
      <c r="G756" s="37"/>
      <c r="H756" s="1"/>
      <c r="I756" s="1"/>
      <c r="J756" s="1"/>
    </row>
    <row r="757" ht="15.75" customHeight="1">
      <c r="A757" s="36"/>
      <c r="B757" s="36"/>
      <c r="C757" s="37"/>
      <c r="D757" s="37"/>
      <c r="E757" s="37"/>
      <c r="F757" s="37"/>
      <c r="G757" s="37"/>
      <c r="H757" s="1"/>
      <c r="I757" s="1"/>
      <c r="J757" s="1"/>
    </row>
    <row r="758" ht="15.75" customHeight="1">
      <c r="A758" s="36"/>
      <c r="B758" s="36"/>
      <c r="C758" s="37"/>
      <c r="D758" s="37"/>
      <c r="E758" s="37"/>
      <c r="F758" s="37"/>
      <c r="G758" s="37"/>
      <c r="H758" s="1"/>
      <c r="I758" s="1"/>
      <c r="J758" s="1"/>
    </row>
    <row r="759" ht="15.75" customHeight="1">
      <c r="A759" s="36"/>
      <c r="B759" s="36"/>
      <c r="C759" s="37"/>
      <c r="D759" s="37"/>
      <c r="E759" s="37"/>
      <c r="F759" s="37"/>
      <c r="G759" s="37"/>
      <c r="H759" s="1"/>
      <c r="I759" s="1"/>
      <c r="J759" s="1"/>
    </row>
    <row r="760" ht="15.75" customHeight="1">
      <c r="A760" s="36"/>
      <c r="B760" s="36"/>
      <c r="C760" s="37"/>
      <c r="D760" s="37"/>
      <c r="E760" s="37"/>
      <c r="F760" s="37"/>
      <c r="G760" s="37"/>
      <c r="H760" s="1"/>
      <c r="I760" s="1"/>
      <c r="J760" s="1"/>
    </row>
    <row r="761" ht="15.75" customHeight="1">
      <c r="A761" s="36"/>
      <c r="B761" s="36"/>
      <c r="C761" s="37"/>
      <c r="D761" s="37"/>
      <c r="E761" s="37"/>
      <c r="F761" s="37"/>
      <c r="G761" s="37"/>
      <c r="H761" s="1"/>
      <c r="I761" s="1"/>
      <c r="J761" s="1"/>
    </row>
    <row r="762" ht="15.75" customHeight="1">
      <c r="A762" s="36"/>
      <c r="B762" s="36"/>
      <c r="C762" s="37"/>
      <c r="D762" s="37"/>
      <c r="E762" s="37"/>
      <c r="F762" s="37"/>
      <c r="G762" s="37"/>
      <c r="H762" s="1"/>
      <c r="I762" s="1"/>
      <c r="J762" s="1"/>
    </row>
    <row r="763" ht="15.75" customHeight="1">
      <c r="A763" s="36"/>
      <c r="B763" s="36"/>
      <c r="C763" s="37"/>
      <c r="D763" s="37"/>
      <c r="E763" s="37"/>
      <c r="F763" s="37"/>
      <c r="G763" s="37"/>
      <c r="H763" s="1"/>
      <c r="I763" s="1"/>
      <c r="J763" s="1"/>
    </row>
    <row r="764" ht="15.75" customHeight="1">
      <c r="A764" s="36"/>
      <c r="B764" s="36"/>
      <c r="C764" s="37"/>
      <c r="D764" s="37"/>
      <c r="E764" s="37"/>
      <c r="F764" s="37"/>
      <c r="G764" s="37"/>
      <c r="H764" s="1"/>
      <c r="I764" s="1"/>
      <c r="J764" s="1"/>
    </row>
    <row r="765" ht="15.75" customHeight="1">
      <c r="A765" s="36"/>
      <c r="B765" s="36"/>
      <c r="C765" s="37"/>
      <c r="D765" s="37"/>
      <c r="E765" s="37"/>
      <c r="F765" s="37"/>
      <c r="G765" s="37"/>
      <c r="H765" s="1"/>
      <c r="I765" s="1"/>
      <c r="J765" s="1"/>
    </row>
    <row r="766" ht="15.75" customHeight="1">
      <c r="A766" s="36"/>
      <c r="B766" s="36"/>
      <c r="C766" s="37"/>
      <c r="D766" s="37"/>
      <c r="E766" s="37"/>
      <c r="F766" s="37"/>
      <c r="G766" s="37"/>
      <c r="H766" s="1"/>
      <c r="I766" s="1"/>
      <c r="J766" s="1"/>
    </row>
    <row r="767" ht="15.75" customHeight="1">
      <c r="A767" s="36"/>
      <c r="B767" s="36"/>
      <c r="C767" s="37"/>
      <c r="D767" s="37"/>
      <c r="E767" s="37"/>
      <c r="F767" s="37"/>
      <c r="G767" s="37"/>
      <c r="H767" s="1"/>
      <c r="I767" s="1"/>
      <c r="J767" s="1"/>
    </row>
    <row r="768" ht="15.75" customHeight="1">
      <c r="A768" s="36"/>
      <c r="B768" s="36"/>
      <c r="C768" s="37"/>
      <c r="D768" s="37"/>
      <c r="E768" s="37"/>
      <c r="F768" s="37"/>
      <c r="G768" s="37"/>
      <c r="H768" s="1"/>
      <c r="I768" s="1"/>
      <c r="J768" s="1"/>
    </row>
    <row r="769" ht="15.75" customHeight="1">
      <c r="A769" s="36"/>
      <c r="B769" s="36"/>
      <c r="C769" s="37"/>
      <c r="D769" s="37"/>
      <c r="E769" s="37"/>
      <c r="F769" s="37"/>
      <c r="G769" s="37"/>
      <c r="H769" s="1"/>
      <c r="I769" s="1"/>
      <c r="J769" s="1"/>
    </row>
    <row r="770" ht="15.75" customHeight="1">
      <c r="A770" s="36"/>
      <c r="B770" s="36"/>
      <c r="C770" s="37"/>
      <c r="D770" s="37"/>
      <c r="E770" s="37"/>
      <c r="F770" s="37"/>
      <c r="G770" s="37"/>
      <c r="H770" s="1"/>
      <c r="I770" s="1"/>
      <c r="J770" s="1"/>
    </row>
    <row r="771" ht="15.75" customHeight="1">
      <c r="A771" s="36"/>
      <c r="B771" s="36"/>
      <c r="C771" s="37"/>
      <c r="D771" s="37"/>
      <c r="E771" s="37"/>
      <c r="F771" s="37"/>
      <c r="G771" s="37"/>
      <c r="H771" s="1"/>
      <c r="I771" s="1"/>
      <c r="J771" s="1"/>
    </row>
    <row r="772" ht="15.75" customHeight="1">
      <c r="A772" s="36"/>
      <c r="B772" s="36"/>
      <c r="C772" s="37"/>
      <c r="D772" s="37"/>
      <c r="E772" s="37"/>
      <c r="F772" s="37"/>
      <c r="G772" s="37"/>
      <c r="H772" s="1"/>
      <c r="I772" s="1"/>
      <c r="J772" s="1"/>
    </row>
    <row r="773" ht="15.75" customHeight="1">
      <c r="A773" s="36"/>
      <c r="B773" s="36"/>
      <c r="C773" s="37"/>
      <c r="D773" s="37"/>
      <c r="E773" s="37"/>
      <c r="F773" s="37"/>
      <c r="G773" s="37"/>
      <c r="H773" s="1"/>
      <c r="I773" s="1"/>
      <c r="J773" s="1"/>
    </row>
    <row r="774" ht="15.75" customHeight="1">
      <c r="A774" s="36"/>
      <c r="B774" s="36"/>
      <c r="C774" s="37"/>
      <c r="D774" s="37"/>
      <c r="E774" s="37"/>
      <c r="F774" s="37"/>
      <c r="G774" s="37"/>
      <c r="H774" s="1"/>
      <c r="I774" s="1"/>
      <c r="J774" s="1"/>
    </row>
    <row r="775" ht="15.75" customHeight="1">
      <c r="A775" s="36"/>
      <c r="B775" s="36"/>
      <c r="C775" s="37"/>
      <c r="D775" s="37"/>
      <c r="E775" s="37"/>
      <c r="F775" s="37"/>
      <c r="G775" s="37"/>
      <c r="H775" s="1"/>
      <c r="I775" s="1"/>
      <c r="J775" s="1"/>
    </row>
    <row r="776" ht="15.75" customHeight="1">
      <c r="A776" s="36"/>
      <c r="B776" s="36"/>
      <c r="C776" s="37"/>
      <c r="D776" s="37"/>
      <c r="E776" s="37"/>
      <c r="F776" s="37"/>
      <c r="G776" s="37"/>
      <c r="H776" s="1"/>
      <c r="I776" s="1"/>
      <c r="J776" s="1"/>
    </row>
    <row r="777" ht="15.75" customHeight="1">
      <c r="A777" s="36"/>
      <c r="B777" s="36"/>
      <c r="C777" s="37"/>
      <c r="D777" s="37"/>
      <c r="E777" s="37"/>
      <c r="F777" s="37"/>
      <c r="G777" s="37"/>
      <c r="H777" s="1"/>
      <c r="I777" s="1"/>
      <c r="J777" s="1"/>
    </row>
    <row r="778" ht="15.75" customHeight="1">
      <c r="A778" s="36"/>
      <c r="B778" s="36"/>
      <c r="C778" s="37"/>
      <c r="D778" s="37"/>
      <c r="E778" s="37"/>
      <c r="F778" s="37"/>
      <c r="G778" s="37"/>
      <c r="H778" s="1"/>
      <c r="I778" s="1"/>
      <c r="J778" s="1"/>
    </row>
    <row r="779" ht="15.75" customHeight="1">
      <c r="A779" s="36"/>
      <c r="B779" s="36"/>
      <c r="C779" s="37"/>
      <c r="D779" s="37"/>
      <c r="E779" s="37"/>
      <c r="F779" s="37"/>
      <c r="G779" s="37"/>
      <c r="H779" s="1"/>
      <c r="I779" s="1"/>
      <c r="J779" s="1"/>
    </row>
    <row r="780" ht="15.75" customHeight="1">
      <c r="A780" s="36"/>
      <c r="B780" s="36"/>
      <c r="C780" s="37"/>
      <c r="D780" s="37"/>
      <c r="E780" s="37"/>
      <c r="F780" s="37"/>
      <c r="G780" s="37"/>
      <c r="H780" s="1"/>
      <c r="I780" s="1"/>
      <c r="J780" s="1"/>
    </row>
    <row r="781" ht="15.75" customHeight="1">
      <c r="A781" s="36"/>
      <c r="B781" s="36"/>
      <c r="C781" s="37"/>
      <c r="D781" s="37"/>
      <c r="E781" s="37"/>
      <c r="F781" s="37"/>
      <c r="G781" s="37"/>
      <c r="H781" s="1"/>
      <c r="I781" s="1"/>
      <c r="J781" s="1"/>
    </row>
    <row r="782" ht="15.75" customHeight="1">
      <c r="A782" s="36"/>
      <c r="B782" s="36"/>
      <c r="C782" s="37"/>
      <c r="D782" s="37"/>
      <c r="E782" s="37"/>
      <c r="F782" s="37"/>
      <c r="G782" s="37"/>
      <c r="H782" s="1"/>
      <c r="I782" s="1"/>
      <c r="J782" s="1"/>
    </row>
    <row r="783" ht="15.75" customHeight="1">
      <c r="A783" s="36"/>
      <c r="B783" s="36"/>
      <c r="C783" s="37"/>
      <c r="D783" s="37"/>
      <c r="E783" s="37"/>
      <c r="F783" s="37"/>
      <c r="G783" s="37"/>
      <c r="H783" s="1"/>
      <c r="I783" s="1"/>
      <c r="J783" s="1"/>
    </row>
    <row r="784" ht="15.75" customHeight="1">
      <c r="A784" s="36"/>
      <c r="B784" s="36"/>
      <c r="C784" s="37"/>
      <c r="D784" s="37"/>
      <c r="E784" s="37"/>
      <c r="F784" s="37"/>
      <c r="G784" s="37"/>
      <c r="H784" s="1"/>
      <c r="I784" s="1"/>
      <c r="J784" s="1"/>
    </row>
    <row r="785" ht="15.75" customHeight="1">
      <c r="A785" s="36"/>
      <c r="B785" s="36"/>
      <c r="C785" s="37"/>
      <c r="D785" s="37"/>
      <c r="E785" s="37"/>
      <c r="F785" s="37"/>
      <c r="G785" s="37"/>
      <c r="H785" s="1"/>
      <c r="I785" s="1"/>
      <c r="J785" s="1"/>
    </row>
    <row r="786" ht="15.75" customHeight="1">
      <c r="A786" s="36"/>
      <c r="B786" s="36"/>
      <c r="C786" s="37"/>
      <c r="D786" s="37"/>
      <c r="E786" s="37"/>
      <c r="F786" s="37"/>
      <c r="G786" s="37"/>
      <c r="H786" s="1"/>
      <c r="I786" s="1"/>
      <c r="J786" s="1"/>
    </row>
    <row r="787" ht="15.75" customHeight="1">
      <c r="A787" s="36"/>
      <c r="B787" s="36"/>
      <c r="C787" s="37"/>
      <c r="D787" s="37"/>
      <c r="E787" s="37"/>
      <c r="F787" s="37"/>
      <c r="G787" s="37"/>
      <c r="H787" s="1"/>
      <c r="I787" s="1"/>
      <c r="J787" s="1"/>
    </row>
    <row r="788" ht="15.75" customHeight="1">
      <c r="A788" s="36"/>
      <c r="B788" s="36"/>
      <c r="C788" s="37"/>
      <c r="D788" s="37"/>
      <c r="E788" s="37"/>
      <c r="F788" s="37"/>
      <c r="G788" s="37"/>
      <c r="H788" s="1"/>
      <c r="I788" s="1"/>
      <c r="J788" s="1"/>
    </row>
    <row r="789" ht="15.75" customHeight="1">
      <c r="A789" s="36"/>
      <c r="B789" s="36"/>
      <c r="C789" s="37"/>
      <c r="D789" s="37"/>
      <c r="E789" s="37"/>
      <c r="F789" s="37"/>
      <c r="G789" s="37"/>
      <c r="H789" s="1"/>
      <c r="I789" s="1"/>
      <c r="J789" s="1"/>
    </row>
    <row r="790" ht="15.75" customHeight="1">
      <c r="A790" s="36"/>
      <c r="B790" s="36"/>
      <c r="C790" s="37"/>
      <c r="D790" s="37"/>
      <c r="E790" s="37"/>
      <c r="F790" s="37"/>
      <c r="G790" s="37"/>
      <c r="H790" s="1"/>
      <c r="I790" s="1"/>
      <c r="J790" s="1"/>
    </row>
    <row r="791" ht="15.75" customHeight="1">
      <c r="A791" s="36"/>
      <c r="B791" s="36"/>
      <c r="C791" s="37"/>
      <c r="D791" s="37"/>
      <c r="E791" s="37"/>
      <c r="F791" s="37"/>
      <c r="G791" s="37"/>
      <c r="H791" s="1"/>
      <c r="I791" s="1"/>
      <c r="J791" s="1"/>
    </row>
    <row r="792" ht="15.75" customHeight="1">
      <c r="A792" s="36"/>
      <c r="B792" s="36"/>
      <c r="C792" s="37"/>
      <c r="D792" s="37"/>
      <c r="E792" s="37"/>
      <c r="F792" s="37"/>
      <c r="G792" s="37"/>
      <c r="H792" s="1"/>
      <c r="I792" s="1"/>
      <c r="J792" s="1"/>
    </row>
    <row r="793" ht="15.75" customHeight="1">
      <c r="A793" s="36"/>
      <c r="B793" s="36"/>
      <c r="C793" s="37"/>
      <c r="D793" s="37"/>
      <c r="E793" s="37"/>
      <c r="F793" s="37"/>
      <c r="G793" s="37"/>
      <c r="H793" s="1"/>
      <c r="I793" s="1"/>
      <c r="J793" s="1"/>
    </row>
    <row r="794" ht="15.75" customHeight="1">
      <c r="A794" s="36"/>
      <c r="B794" s="36"/>
      <c r="C794" s="37"/>
      <c r="D794" s="37"/>
      <c r="E794" s="37"/>
      <c r="F794" s="37"/>
      <c r="G794" s="37"/>
      <c r="H794" s="1"/>
      <c r="I794" s="1"/>
      <c r="J794" s="1"/>
    </row>
    <row r="795" ht="15.75" customHeight="1">
      <c r="A795" s="36"/>
      <c r="B795" s="36"/>
      <c r="C795" s="37"/>
      <c r="D795" s="37"/>
      <c r="E795" s="37"/>
      <c r="F795" s="37"/>
      <c r="G795" s="37"/>
      <c r="H795" s="1"/>
      <c r="I795" s="1"/>
      <c r="J795" s="1"/>
    </row>
    <row r="796" ht="15.75" customHeight="1">
      <c r="A796" s="36"/>
      <c r="B796" s="36"/>
      <c r="C796" s="37"/>
      <c r="D796" s="37"/>
      <c r="E796" s="37"/>
      <c r="F796" s="37"/>
      <c r="G796" s="37"/>
      <c r="H796" s="1"/>
      <c r="I796" s="1"/>
      <c r="J796" s="1"/>
    </row>
    <row r="797" ht="15.75" customHeight="1">
      <c r="A797" s="36"/>
      <c r="B797" s="36"/>
      <c r="C797" s="37"/>
      <c r="D797" s="37"/>
      <c r="E797" s="37"/>
      <c r="F797" s="37"/>
      <c r="G797" s="37"/>
      <c r="H797" s="1"/>
      <c r="I797" s="1"/>
      <c r="J797" s="1"/>
    </row>
    <row r="798" ht="15.75" customHeight="1">
      <c r="A798" s="36"/>
      <c r="B798" s="36"/>
      <c r="C798" s="37"/>
      <c r="D798" s="37"/>
      <c r="E798" s="37"/>
      <c r="F798" s="37"/>
      <c r="G798" s="37"/>
      <c r="H798" s="1"/>
      <c r="I798" s="1"/>
      <c r="J798" s="1"/>
    </row>
    <row r="799" ht="15.75" customHeight="1">
      <c r="A799" s="36"/>
      <c r="B799" s="36"/>
      <c r="C799" s="37"/>
      <c r="D799" s="37"/>
      <c r="E799" s="37"/>
      <c r="F799" s="37"/>
      <c r="G799" s="37"/>
      <c r="H799" s="1"/>
      <c r="I799" s="1"/>
      <c r="J799" s="1"/>
    </row>
    <row r="800" ht="15.75" customHeight="1">
      <c r="A800" s="36"/>
      <c r="B800" s="36"/>
      <c r="C800" s="37"/>
      <c r="D800" s="37"/>
      <c r="E800" s="37"/>
      <c r="F800" s="37"/>
      <c r="G800" s="37"/>
      <c r="H800" s="1"/>
      <c r="I800" s="1"/>
      <c r="J800" s="1"/>
    </row>
    <row r="801" ht="15.75" customHeight="1">
      <c r="A801" s="36"/>
      <c r="B801" s="36"/>
      <c r="C801" s="37"/>
      <c r="D801" s="37"/>
      <c r="E801" s="37"/>
      <c r="F801" s="37"/>
      <c r="G801" s="37"/>
      <c r="H801" s="1"/>
      <c r="I801" s="1"/>
      <c r="J801" s="1"/>
    </row>
    <row r="802" ht="15.75" customHeight="1">
      <c r="A802" s="36"/>
      <c r="B802" s="36"/>
      <c r="C802" s="37"/>
      <c r="D802" s="37"/>
      <c r="E802" s="37"/>
      <c r="F802" s="37"/>
      <c r="G802" s="37"/>
      <c r="H802" s="1"/>
      <c r="I802" s="1"/>
      <c r="J802" s="1"/>
    </row>
    <row r="803" ht="15.75" customHeight="1">
      <c r="A803" s="36"/>
      <c r="B803" s="36"/>
      <c r="C803" s="37"/>
      <c r="D803" s="37"/>
      <c r="E803" s="37"/>
      <c r="F803" s="37"/>
      <c r="G803" s="37"/>
      <c r="H803" s="1"/>
      <c r="I803" s="1"/>
      <c r="J803" s="1"/>
    </row>
    <row r="804" ht="15.75" customHeight="1">
      <c r="A804" s="36"/>
      <c r="B804" s="36"/>
      <c r="C804" s="37"/>
      <c r="D804" s="37"/>
      <c r="E804" s="37"/>
      <c r="F804" s="37"/>
      <c r="G804" s="37"/>
      <c r="H804" s="1"/>
      <c r="I804" s="1"/>
      <c r="J804" s="1"/>
    </row>
    <row r="805" ht="15.75" customHeight="1">
      <c r="A805" s="36"/>
      <c r="B805" s="36"/>
      <c r="C805" s="37"/>
      <c r="D805" s="37"/>
      <c r="E805" s="37"/>
      <c r="F805" s="37"/>
      <c r="G805" s="37"/>
      <c r="H805" s="1"/>
      <c r="I805" s="1"/>
      <c r="J805" s="1"/>
    </row>
    <row r="806" ht="15.75" customHeight="1">
      <c r="A806" s="36"/>
      <c r="B806" s="36"/>
      <c r="C806" s="37"/>
      <c r="D806" s="37"/>
      <c r="E806" s="37"/>
      <c r="F806" s="37"/>
      <c r="G806" s="37"/>
      <c r="H806" s="1"/>
      <c r="I806" s="1"/>
      <c r="J806" s="1"/>
    </row>
    <row r="807" ht="15.75" customHeight="1">
      <c r="A807" s="36"/>
      <c r="B807" s="36"/>
      <c r="C807" s="37"/>
      <c r="D807" s="37"/>
      <c r="E807" s="37"/>
      <c r="F807" s="37"/>
      <c r="G807" s="37"/>
      <c r="H807" s="1"/>
      <c r="I807" s="1"/>
      <c r="J807" s="1"/>
    </row>
    <row r="808" ht="15.75" customHeight="1">
      <c r="A808" s="36"/>
      <c r="B808" s="36"/>
      <c r="C808" s="37"/>
      <c r="D808" s="37"/>
      <c r="E808" s="37"/>
      <c r="F808" s="37"/>
      <c r="G808" s="37"/>
      <c r="H808" s="1"/>
      <c r="I808" s="1"/>
      <c r="J808" s="1"/>
    </row>
    <row r="809" ht="15.75" customHeight="1">
      <c r="A809" s="36"/>
      <c r="B809" s="36"/>
      <c r="C809" s="37"/>
      <c r="D809" s="37"/>
      <c r="E809" s="37"/>
      <c r="F809" s="37"/>
      <c r="G809" s="37"/>
      <c r="H809" s="1"/>
      <c r="I809" s="1"/>
      <c r="J809" s="1"/>
    </row>
    <row r="810" ht="15.75" customHeight="1">
      <c r="A810" s="36"/>
      <c r="B810" s="36"/>
      <c r="C810" s="37"/>
      <c r="D810" s="37"/>
      <c r="E810" s="37"/>
      <c r="F810" s="37"/>
      <c r="G810" s="37"/>
      <c r="H810" s="1"/>
      <c r="I810" s="1"/>
      <c r="J810" s="1"/>
    </row>
    <row r="811" ht="15.75" customHeight="1">
      <c r="A811" s="36"/>
      <c r="B811" s="36"/>
      <c r="C811" s="37"/>
      <c r="D811" s="37"/>
      <c r="E811" s="37"/>
      <c r="F811" s="37"/>
      <c r="G811" s="37"/>
      <c r="H811" s="1"/>
      <c r="I811" s="1"/>
      <c r="J811" s="1"/>
    </row>
    <row r="812" ht="15.75" customHeight="1">
      <c r="A812" s="36"/>
      <c r="B812" s="36"/>
      <c r="C812" s="37"/>
      <c r="D812" s="37"/>
      <c r="E812" s="37"/>
      <c r="F812" s="37"/>
      <c r="G812" s="37"/>
      <c r="H812" s="1"/>
      <c r="I812" s="1"/>
      <c r="J812" s="1"/>
    </row>
    <row r="813" ht="15.75" customHeight="1">
      <c r="A813" s="36"/>
      <c r="B813" s="36"/>
      <c r="C813" s="37"/>
      <c r="D813" s="37"/>
      <c r="E813" s="37"/>
      <c r="F813" s="37"/>
      <c r="G813" s="37"/>
      <c r="H813" s="1"/>
      <c r="I813" s="1"/>
      <c r="J813" s="1"/>
    </row>
    <row r="814" ht="15.75" customHeight="1">
      <c r="A814" s="36"/>
      <c r="B814" s="36"/>
      <c r="C814" s="37"/>
      <c r="D814" s="37"/>
      <c r="E814" s="37"/>
      <c r="F814" s="37"/>
      <c r="G814" s="37"/>
      <c r="H814" s="1"/>
      <c r="I814" s="1"/>
      <c r="J814" s="1"/>
    </row>
    <row r="815" ht="15.75" customHeight="1">
      <c r="A815" s="36"/>
      <c r="B815" s="36"/>
      <c r="C815" s="37"/>
      <c r="D815" s="37"/>
      <c r="E815" s="37"/>
      <c r="F815" s="37"/>
      <c r="G815" s="37"/>
      <c r="H815" s="1"/>
      <c r="I815" s="1"/>
      <c r="J815" s="1"/>
    </row>
    <row r="816" ht="15.75" customHeight="1">
      <c r="A816" s="36"/>
      <c r="B816" s="36"/>
      <c r="C816" s="37"/>
      <c r="D816" s="37"/>
      <c r="E816" s="37"/>
      <c r="F816" s="37"/>
      <c r="G816" s="37"/>
      <c r="H816" s="1"/>
      <c r="I816" s="1"/>
      <c r="J816" s="1"/>
    </row>
    <row r="817" ht="15.75" customHeight="1">
      <c r="A817" s="36"/>
      <c r="B817" s="36"/>
      <c r="C817" s="37"/>
      <c r="D817" s="37"/>
      <c r="E817" s="37"/>
      <c r="F817" s="37"/>
      <c r="G817" s="37"/>
      <c r="H817" s="1"/>
      <c r="I817" s="1"/>
      <c r="J817" s="1"/>
    </row>
    <row r="818" ht="15.75" customHeight="1">
      <c r="A818" s="36"/>
      <c r="B818" s="36"/>
      <c r="C818" s="37"/>
      <c r="D818" s="37"/>
      <c r="E818" s="37"/>
      <c r="F818" s="37"/>
      <c r="G818" s="37"/>
      <c r="H818" s="1"/>
      <c r="I818" s="1"/>
      <c r="J818" s="1"/>
    </row>
    <row r="819" ht="15.75" customHeight="1">
      <c r="A819" s="36"/>
      <c r="B819" s="36"/>
      <c r="C819" s="37"/>
      <c r="D819" s="37"/>
      <c r="E819" s="37"/>
      <c r="F819" s="37"/>
      <c r="G819" s="37"/>
      <c r="H819" s="1"/>
      <c r="I819" s="1"/>
      <c r="J819" s="1"/>
    </row>
    <row r="820" ht="15.75" customHeight="1">
      <c r="A820" s="36"/>
      <c r="B820" s="36"/>
      <c r="C820" s="37"/>
      <c r="D820" s="37"/>
      <c r="E820" s="37"/>
      <c r="F820" s="37"/>
      <c r="G820" s="37"/>
      <c r="H820" s="1"/>
      <c r="I820" s="1"/>
      <c r="J820" s="1"/>
    </row>
    <row r="821" ht="15.75" customHeight="1">
      <c r="A821" s="36"/>
      <c r="B821" s="36"/>
      <c r="C821" s="37"/>
      <c r="D821" s="37"/>
      <c r="E821" s="37"/>
      <c r="F821" s="37"/>
      <c r="G821" s="37"/>
      <c r="H821" s="1"/>
      <c r="I821" s="1"/>
      <c r="J821" s="1"/>
    </row>
    <row r="822" ht="15.75" customHeight="1">
      <c r="A822" s="36"/>
      <c r="B822" s="36"/>
      <c r="C822" s="37"/>
      <c r="D822" s="37"/>
      <c r="E822" s="37"/>
      <c r="F822" s="37"/>
      <c r="G822" s="37"/>
      <c r="H822" s="1"/>
      <c r="I822" s="1"/>
      <c r="J822" s="1"/>
    </row>
    <row r="823" ht="15.75" customHeight="1">
      <c r="A823" s="36"/>
      <c r="B823" s="36"/>
      <c r="C823" s="37"/>
      <c r="D823" s="37"/>
      <c r="E823" s="37"/>
      <c r="F823" s="37"/>
      <c r="G823" s="37"/>
      <c r="H823" s="1"/>
      <c r="I823" s="1"/>
      <c r="J823" s="1"/>
    </row>
    <row r="824" ht="15.75" customHeight="1">
      <c r="A824" s="36"/>
      <c r="B824" s="36"/>
      <c r="C824" s="37"/>
      <c r="D824" s="37"/>
      <c r="E824" s="37"/>
      <c r="F824" s="37"/>
      <c r="G824" s="37"/>
      <c r="H824" s="1"/>
      <c r="I824" s="1"/>
      <c r="J824" s="1"/>
    </row>
    <row r="825" ht="15.75" customHeight="1">
      <c r="A825" s="36"/>
      <c r="B825" s="36"/>
      <c r="C825" s="37"/>
      <c r="D825" s="37"/>
      <c r="E825" s="37"/>
      <c r="F825" s="37"/>
      <c r="G825" s="37"/>
      <c r="H825" s="1"/>
      <c r="I825" s="1"/>
      <c r="J825" s="1"/>
    </row>
    <row r="826" ht="15.75" customHeight="1">
      <c r="A826" s="36"/>
      <c r="B826" s="36"/>
      <c r="C826" s="37"/>
      <c r="D826" s="37"/>
      <c r="E826" s="37"/>
      <c r="F826" s="37"/>
      <c r="G826" s="37"/>
      <c r="H826" s="1"/>
      <c r="I826" s="1"/>
      <c r="J826" s="1"/>
    </row>
    <row r="827" ht="15.75" customHeight="1">
      <c r="A827" s="36"/>
      <c r="B827" s="36"/>
      <c r="C827" s="37"/>
      <c r="D827" s="37"/>
      <c r="E827" s="37"/>
      <c r="F827" s="37"/>
      <c r="G827" s="37"/>
      <c r="H827" s="1"/>
      <c r="I827" s="1"/>
      <c r="J827" s="1"/>
    </row>
    <row r="828" ht="15.75" customHeight="1">
      <c r="A828" s="36"/>
      <c r="B828" s="36"/>
      <c r="C828" s="37"/>
      <c r="D828" s="37"/>
      <c r="E828" s="37"/>
      <c r="F828" s="37"/>
      <c r="G828" s="37"/>
      <c r="H828" s="1"/>
      <c r="I828" s="1"/>
      <c r="J828" s="1"/>
    </row>
    <row r="829" ht="15.75" customHeight="1">
      <c r="A829" s="36"/>
      <c r="B829" s="36"/>
      <c r="C829" s="37"/>
      <c r="D829" s="37"/>
      <c r="E829" s="37"/>
      <c r="F829" s="37"/>
      <c r="G829" s="37"/>
      <c r="H829" s="1"/>
      <c r="I829" s="1"/>
      <c r="J829" s="1"/>
    </row>
    <row r="830" ht="15.75" customHeight="1">
      <c r="A830" s="36"/>
      <c r="B830" s="36"/>
      <c r="C830" s="37"/>
      <c r="D830" s="37"/>
      <c r="E830" s="37"/>
      <c r="F830" s="37"/>
      <c r="G830" s="37"/>
      <c r="H830" s="1"/>
      <c r="I830" s="1"/>
      <c r="J830" s="1"/>
    </row>
    <row r="831" ht="15.75" customHeight="1">
      <c r="A831" s="36"/>
      <c r="B831" s="36"/>
      <c r="C831" s="37"/>
      <c r="D831" s="37"/>
      <c r="E831" s="37"/>
      <c r="F831" s="37"/>
      <c r="G831" s="37"/>
      <c r="H831" s="1"/>
      <c r="I831" s="1"/>
      <c r="J831" s="1"/>
    </row>
    <row r="832" ht="15.75" customHeight="1">
      <c r="A832" s="36"/>
      <c r="B832" s="36"/>
      <c r="C832" s="37"/>
      <c r="D832" s="37"/>
      <c r="E832" s="37"/>
      <c r="F832" s="37"/>
      <c r="G832" s="37"/>
      <c r="H832" s="1"/>
      <c r="I832" s="1"/>
      <c r="J832" s="1"/>
    </row>
    <row r="833" ht="15.75" customHeight="1">
      <c r="A833" s="36"/>
      <c r="B833" s="36"/>
      <c r="C833" s="37"/>
      <c r="D833" s="37"/>
      <c r="E833" s="37"/>
      <c r="F833" s="37"/>
      <c r="G833" s="37"/>
      <c r="H833" s="1"/>
      <c r="I833" s="1"/>
      <c r="J833" s="1"/>
    </row>
    <row r="834" ht="15.75" customHeight="1">
      <c r="A834" s="36"/>
      <c r="B834" s="36"/>
      <c r="C834" s="37"/>
      <c r="D834" s="37"/>
      <c r="E834" s="37"/>
      <c r="F834" s="37"/>
      <c r="G834" s="37"/>
      <c r="H834" s="1"/>
      <c r="I834" s="1"/>
      <c r="J834" s="1"/>
    </row>
    <row r="835" ht="15.75" customHeight="1">
      <c r="A835" s="36"/>
      <c r="B835" s="36"/>
      <c r="C835" s="37"/>
      <c r="D835" s="37"/>
      <c r="E835" s="37"/>
      <c r="F835" s="37"/>
      <c r="G835" s="37"/>
      <c r="H835" s="1"/>
      <c r="I835" s="1"/>
      <c r="J835" s="1"/>
    </row>
    <row r="836" ht="15.75" customHeight="1">
      <c r="A836" s="36"/>
      <c r="B836" s="36"/>
      <c r="C836" s="37"/>
      <c r="D836" s="37"/>
      <c r="E836" s="37"/>
      <c r="F836" s="37"/>
      <c r="G836" s="37"/>
      <c r="H836" s="1"/>
      <c r="I836" s="1"/>
      <c r="J836" s="1"/>
    </row>
    <row r="837" ht="15.75" customHeight="1">
      <c r="A837" s="36"/>
      <c r="B837" s="36"/>
      <c r="C837" s="37"/>
      <c r="D837" s="37"/>
      <c r="E837" s="37"/>
      <c r="F837" s="37"/>
      <c r="G837" s="37"/>
      <c r="H837" s="1"/>
      <c r="I837" s="1"/>
      <c r="J837" s="1"/>
    </row>
    <row r="838" ht="15.75" customHeight="1">
      <c r="A838" s="36"/>
      <c r="B838" s="36"/>
      <c r="C838" s="37"/>
      <c r="D838" s="37"/>
      <c r="E838" s="37"/>
      <c r="F838" s="37"/>
      <c r="G838" s="37"/>
      <c r="H838" s="1"/>
      <c r="I838" s="1"/>
      <c r="J838" s="1"/>
    </row>
    <row r="839" ht="15.75" customHeight="1">
      <c r="A839" s="36"/>
      <c r="B839" s="36"/>
      <c r="C839" s="37"/>
      <c r="D839" s="37"/>
      <c r="E839" s="37"/>
      <c r="F839" s="37"/>
      <c r="G839" s="37"/>
      <c r="H839" s="1"/>
      <c r="I839" s="1"/>
      <c r="J839" s="1"/>
    </row>
    <row r="840" ht="15.75" customHeight="1">
      <c r="A840" s="36"/>
      <c r="B840" s="36"/>
      <c r="C840" s="37"/>
      <c r="D840" s="37"/>
      <c r="E840" s="37"/>
      <c r="F840" s="37"/>
      <c r="G840" s="37"/>
      <c r="H840" s="1"/>
      <c r="I840" s="1"/>
      <c r="J840" s="1"/>
    </row>
    <row r="841" ht="15.75" customHeight="1">
      <c r="A841" s="36"/>
      <c r="B841" s="36"/>
      <c r="C841" s="37"/>
      <c r="D841" s="37"/>
      <c r="E841" s="37"/>
      <c r="F841" s="37"/>
      <c r="G841" s="37"/>
      <c r="H841" s="1"/>
      <c r="I841" s="1"/>
      <c r="J841" s="1"/>
    </row>
    <row r="842" ht="15.75" customHeight="1">
      <c r="A842" s="36"/>
      <c r="B842" s="36"/>
      <c r="C842" s="37"/>
      <c r="D842" s="37"/>
      <c r="E842" s="37"/>
      <c r="F842" s="37"/>
      <c r="G842" s="37"/>
      <c r="H842" s="1"/>
      <c r="I842" s="1"/>
      <c r="J842" s="1"/>
    </row>
    <row r="843" ht="15.75" customHeight="1">
      <c r="A843" s="36"/>
      <c r="B843" s="36"/>
      <c r="C843" s="37"/>
      <c r="D843" s="37"/>
      <c r="E843" s="37"/>
      <c r="F843" s="37"/>
      <c r="G843" s="37"/>
      <c r="H843" s="1"/>
      <c r="I843" s="1"/>
      <c r="J843" s="1"/>
    </row>
    <row r="844" ht="15.75" customHeight="1">
      <c r="A844" s="36"/>
      <c r="B844" s="36"/>
      <c r="C844" s="37"/>
      <c r="D844" s="37"/>
      <c r="E844" s="37"/>
      <c r="F844" s="37"/>
      <c r="G844" s="37"/>
      <c r="H844" s="1"/>
      <c r="I844" s="1"/>
      <c r="J844" s="1"/>
    </row>
    <row r="845" ht="15.75" customHeight="1">
      <c r="A845" s="36"/>
      <c r="B845" s="36"/>
      <c r="C845" s="37"/>
      <c r="D845" s="37"/>
      <c r="E845" s="37"/>
      <c r="F845" s="37"/>
      <c r="G845" s="37"/>
      <c r="H845" s="1"/>
      <c r="I845" s="1"/>
      <c r="J845" s="1"/>
    </row>
    <row r="846" ht="15.75" customHeight="1">
      <c r="A846" s="36"/>
      <c r="B846" s="36"/>
      <c r="C846" s="37"/>
      <c r="D846" s="37"/>
      <c r="E846" s="37"/>
      <c r="F846" s="37"/>
      <c r="G846" s="37"/>
      <c r="H846" s="1"/>
      <c r="I846" s="1"/>
      <c r="J846" s="1"/>
    </row>
    <row r="847" ht="15.75" customHeight="1">
      <c r="A847" s="36"/>
      <c r="B847" s="36"/>
      <c r="C847" s="37"/>
      <c r="D847" s="37"/>
      <c r="E847" s="37"/>
      <c r="F847" s="37"/>
      <c r="G847" s="37"/>
      <c r="H847" s="1"/>
      <c r="I847" s="1"/>
      <c r="J847" s="1"/>
    </row>
    <row r="848" ht="15.75" customHeight="1">
      <c r="A848" s="36"/>
      <c r="B848" s="36"/>
      <c r="C848" s="37"/>
      <c r="D848" s="37"/>
      <c r="E848" s="37"/>
      <c r="F848" s="37"/>
      <c r="G848" s="37"/>
      <c r="H848" s="1"/>
      <c r="I848" s="1"/>
      <c r="J848" s="1"/>
    </row>
    <row r="849" ht="15.75" customHeight="1">
      <c r="A849" s="36"/>
      <c r="B849" s="36"/>
      <c r="C849" s="37"/>
      <c r="D849" s="37"/>
      <c r="E849" s="37"/>
      <c r="F849" s="37"/>
      <c r="G849" s="37"/>
      <c r="H849" s="1"/>
      <c r="I849" s="1"/>
      <c r="J849" s="1"/>
    </row>
    <row r="850" ht="15.75" customHeight="1">
      <c r="A850" s="36"/>
      <c r="B850" s="36"/>
      <c r="C850" s="37"/>
      <c r="D850" s="37"/>
      <c r="E850" s="37"/>
      <c r="F850" s="37"/>
      <c r="G850" s="37"/>
      <c r="H850" s="1"/>
      <c r="I850" s="1"/>
      <c r="J850" s="1"/>
    </row>
    <row r="851" ht="15.75" customHeight="1">
      <c r="A851" s="36"/>
      <c r="B851" s="36"/>
      <c r="C851" s="37"/>
      <c r="D851" s="37"/>
      <c r="E851" s="37"/>
      <c r="F851" s="37"/>
      <c r="G851" s="37"/>
      <c r="H851" s="1"/>
      <c r="I851" s="1"/>
      <c r="J851" s="1"/>
    </row>
    <row r="852" ht="15.75" customHeight="1">
      <c r="A852" s="36"/>
      <c r="B852" s="36"/>
      <c r="C852" s="37"/>
      <c r="D852" s="37"/>
      <c r="E852" s="37"/>
      <c r="F852" s="37"/>
      <c r="G852" s="37"/>
      <c r="H852" s="1"/>
      <c r="I852" s="1"/>
      <c r="J852" s="1"/>
    </row>
    <row r="853" ht="15.75" customHeight="1">
      <c r="A853" s="36"/>
      <c r="B853" s="36"/>
      <c r="C853" s="37"/>
      <c r="D853" s="37"/>
      <c r="E853" s="37"/>
      <c r="F853" s="37"/>
      <c r="G853" s="37"/>
      <c r="H853" s="1"/>
      <c r="I853" s="1"/>
      <c r="J853" s="1"/>
    </row>
    <row r="854" ht="15.75" customHeight="1">
      <c r="A854" s="36"/>
      <c r="B854" s="36"/>
      <c r="C854" s="37"/>
      <c r="D854" s="37"/>
      <c r="E854" s="37"/>
      <c r="F854" s="37"/>
      <c r="G854" s="37"/>
      <c r="H854" s="1"/>
      <c r="I854" s="1"/>
      <c r="J854" s="1"/>
    </row>
    <row r="855" ht="15.75" customHeight="1">
      <c r="A855" s="36"/>
      <c r="B855" s="36"/>
      <c r="C855" s="37"/>
      <c r="D855" s="37"/>
      <c r="E855" s="37"/>
      <c r="F855" s="37"/>
      <c r="G855" s="37"/>
      <c r="H855" s="1"/>
      <c r="I855" s="1"/>
      <c r="J855" s="1"/>
    </row>
    <row r="856" ht="15.75" customHeight="1">
      <c r="A856" s="36"/>
      <c r="B856" s="36"/>
      <c r="C856" s="37"/>
      <c r="D856" s="37"/>
      <c r="E856" s="37"/>
      <c r="F856" s="37"/>
      <c r="G856" s="37"/>
      <c r="H856" s="1"/>
      <c r="I856" s="1"/>
      <c r="J856" s="1"/>
    </row>
    <row r="857" ht="15.75" customHeight="1">
      <c r="A857" s="36"/>
      <c r="B857" s="36"/>
      <c r="C857" s="37"/>
      <c r="D857" s="37"/>
      <c r="E857" s="37"/>
      <c r="F857" s="37"/>
      <c r="G857" s="37"/>
      <c r="H857" s="1"/>
      <c r="I857" s="1"/>
      <c r="J857" s="1"/>
    </row>
    <row r="858" ht="15.75" customHeight="1">
      <c r="A858" s="36"/>
      <c r="B858" s="36"/>
      <c r="C858" s="37"/>
      <c r="D858" s="37"/>
      <c r="E858" s="37"/>
      <c r="F858" s="37"/>
      <c r="G858" s="37"/>
      <c r="H858" s="1"/>
      <c r="I858" s="1"/>
      <c r="J858" s="1"/>
    </row>
    <row r="859" ht="15.75" customHeight="1">
      <c r="A859" s="36"/>
      <c r="B859" s="36"/>
      <c r="C859" s="37"/>
      <c r="D859" s="37"/>
      <c r="E859" s="37"/>
      <c r="F859" s="37"/>
      <c r="G859" s="37"/>
      <c r="H859" s="1"/>
      <c r="I859" s="1"/>
      <c r="J859" s="1"/>
    </row>
    <row r="860" ht="15.75" customHeight="1">
      <c r="A860" s="36"/>
      <c r="B860" s="36"/>
      <c r="C860" s="37"/>
      <c r="D860" s="37"/>
      <c r="E860" s="37"/>
      <c r="F860" s="37"/>
      <c r="G860" s="37"/>
      <c r="H860" s="1"/>
      <c r="I860" s="1"/>
      <c r="J860" s="1"/>
    </row>
    <row r="861" ht="15.75" customHeight="1">
      <c r="A861" s="36"/>
      <c r="B861" s="36"/>
      <c r="C861" s="37"/>
      <c r="D861" s="37"/>
      <c r="E861" s="37"/>
      <c r="F861" s="37"/>
      <c r="G861" s="37"/>
      <c r="H861" s="1"/>
      <c r="I861" s="1"/>
      <c r="J861" s="1"/>
    </row>
    <row r="862" ht="15.75" customHeight="1">
      <c r="A862" s="36"/>
      <c r="B862" s="36"/>
      <c r="C862" s="37"/>
      <c r="D862" s="37"/>
      <c r="E862" s="37"/>
      <c r="F862" s="37"/>
      <c r="G862" s="37"/>
      <c r="H862" s="1"/>
      <c r="I862" s="1"/>
      <c r="J862" s="1"/>
    </row>
    <row r="863" ht="15.75" customHeight="1">
      <c r="A863" s="36"/>
      <c r="B863" s="36"/>
      <c r="C863" s="37"/>
      <c r="D863" s="37"/>
      <c r="E863" s="37"/>
      <c r="F863" s="37"/>
      <c r="G863" s="37"/>
      <c r="H863" s="1"/>
      <c r="I863" s="1"/>
      <c r="J863" s="1"/>
    </row>
    <row r="864" ht="15.75" customHeight="1">
      <c r="A864" s="36"/>
      <c r="B864" s="36"/>
      <c r="C864" s="37"/>
      <c r="D864" s="37"/>
      <c r="E864" s="37"/>
      <c r="F864" s="37"/>
      <c r="G864" s="37"/>
      <c r="H864" s="1"/>
      <c r="I864" s="1"/>
      <c r="J864" s="1"/>
    </row>
    <row r="865" ht="15.75" customHeight="1">
      <c r="A865" s="36"/>
      <c r="B865" s="36"/>
      <c r="C865" s="37"/>
      <c r="D865" s="37"/>
      <c r="E865" s="37"/>
      <c r="F865" s="37"/>
      <c r="G865" s="37"/>
      <c r="H865" s="1"/>
      <c r="I865" s="1"/>
      <c r="J865" s="1"/>
    </row>
    <row r="866" ht="15.75" customHeight="1">
      <c r="A866" s="36"/>
      <c r="B866" s="36"/>
      <c r="C866" s="37"/>
      <c r="D866" s="37"/>
      <c r="E866" s="37"/>
      <c r="F866" s="37"/>
      <c r="G866" s="37"/>
      <c r="H866" s="1"/>
      <c r="I866" s="1"/>
      <c r="J866" s="1"/>
    </row>
    <row r="867" ht="15.75" customHeight="1">
      <c r="A867" s="36"/>
      <c r="B867" s="36"/>
      <c r="C867" s="37"/>
      <c r="D867" s="37"/>
      <c r="E867" s="37"/>
      <c r="F867" s="37"/>
      <c r="G867" s="37"/>
      <c r="H867" s="1"/>
      <c r="I867" s="1"/>
      <c r="J867" s="1"/>
    </row>
    <row r="868" ht="15.75" customHeight="1">
      <c r="A868" s="36"/>
      <c r="B868" s="36"/>
      <c r="C868" s="37"/>
      <c r="D868" s="37"/>
      <c r="E868" s="37"/>
      <c r="F868" s="37"/>
      <c r="G868" s="37"/>
      <c r="H868" s="1"/>
      <c r="I868" s="1"/>
      <c r="J868" s="1"/>
    </row>
    <row r="869" ht="15.75" customHeight="1">
      <c r="A869" s="36"/>
      <c r="B869" s="36"/>
      <c r="C869" s="37"/>
      <c r="D869" s="37"/>
      <c r="E869" s="37"/>
      <c r="F869" s="37"/>
      <c r="G869" s="37"/>
      <c r="H869" s="1"/>
      <c r="I869" s="1"/>
      <c r="J869" s="1"/>
    </row>
    <row r="870" ht="15.75" customHeight="1">
      <c r="A870" s="36"/>
      <c r="B870" s="36"/>
      <c r="C870" s="37"/>
      <c r="D870" s="37"/>
      <c r="E870" s="37"/>
      <c r="F870" s="37"/>
      <c r="G870" s="37"/>
      <c r="H870" s="1"/>
      <c r="I870" s="1"/>
      <c r="J870" s="1"/>
    </row>
    <row r="871" ht="15.75" customHeight="1">
      <c r="A871" s="36"/>
      <c r="B871" s="36"/>
      <c r="C871" s="37"/>
      <c r="D871" s="37"/>
      <c r="E871" s="37"/>
      <c r="F871" s="37"/>
      <c r="G871" s="37"/>
      <c r="H871" s="1"/>
      <c r="I871" s="1"/>
      <c r="J871" s="1"/>
    </row>
    <row r="872" ht="15.75" customHeight="1">
      <c r="A872" s="36"/>
      <c r="B872" s="36"/>
      <c r="C872" s="37"/>
      <c r="D872" s="37"/>
      <c r="E872" s="37"/>
      <c r="F872" s="37"/>
      <c r="G872" s="37"/>
      <c r="H872" s="1"/>
      <c r="I872" s="1"/>
      <c r="J872" s="1"/>
    </row>
    <row r="873" ht="15.75" customHeight="1">
      <c r="A873" s="36"/>
      <c r="B873" s="36"/>
      <c r="C873" s="37"/>
      <c r="D873" s="37"/>
      <c r="E873" s="37"/>
      <c r="F873" s="37"/>
      <c r="G873" s="37"/>
      <c r="H873" s="1"/>
      <c r="I873" s="1"/>
      <c r="J873" s="1"/>
    </row>
    <row r="874" ht="15.75" customHeight="1">
      <c r="A874" s="36"/>
      <c r="B874" s="36"/>
      <c r="C874" s="37"/>
      <c r="D874" s="37"/>
      <c r="E874" s="37"/>
      <c r="F874" s="37"/>
      <c r="G874" s="37"/>
      <c r="H874" s="1"/>
      <c r="I874" s="1"/>
      <c r="J874" s="1"/>
    </row>
    <row r="875" ht="15.75" customHeight="1">
      <c r="A875" s="36"/>
      <c r="B875" s="36"/>
      <c r="C875" s="37"/>
      <c r="D875" s="37"/>
      <c r="E875" s="37"/>
      <c r="F875" s="37"/>
      <c r="G875" s="37"/>
      <c r="H875" s="1"/>
      <c r="I875" s="1"/>
      <c r="J875" s="1"/>
    </row>
    <row r="876" ht="15.75" customHeight="1">
      <c r="A876" s="36"/>
      <c r="B876" s="36"/>
      <c r="C876" s="37"/>
      <c r="D876" s="37"/>
      <c r="E876" s="37"/>
      <c r="F876" s="37"/>
      <c r="G876" s="37"/>
      <c r="H876" s="1"/>
      <c r="I876" s="1"/>
      <c r="J876" s="1"/>
    </row>
    <row r="877" ht="15.75" customHeight="1">
      <c r="A877" s="36"/>
      <c r="B877" s="36"/>
      <c r="C877" s="37"/>
      <c r="D877" s="37"/>
      <c r="E877" s="37"/>
      <c r="F877" s="37"/>
      <c r="G877" s="37"/>
      <c r="H877" s="1"/>
      <c r="I877" s="1"/>
      <c r="J877" s="1"/>
    </row>
    <row r="878" ht="15.75" customHeight="1">
      <c r="A878" s="36"/>
      <c r="B878" s="36"/>
      <c r="C878" s="37"/>
      <c r="D878" s="37"/>
      <c r="E878" s="37"/>
      <c r="F878" s="37"/>
      <c r="G878" s="37"/>
      <c r="H878" s="1"/>
      <c r="I878" s="1"/>
      <c r="J878" s="1"/>
    </row>
    <row r="879" ht="15.75" customHeight="1">
      <c r="A879" s="36"/>
      <c r="B879" s="36"/>
      <c r="C879" s="37"/>
      <c r="D879" s="37"/>
      <c r="E879" s="37"/>
      <c r="F879" s="37"/>
      <c r="G879" s="37"/>
      <c r="H879" s="1"/>
      <c r="I879" s="1"/>
      <c r="J879" s="1"/>
    </row>
    <row r="880" ht="15.75" customHeight="1">
      <c r="A880" s="36"/>
      <c r="B880" s="36"/>
      <c r="C880" s="37"/>
      <c r="D880" s="37"/>
      <c r="E880" s="37"/>
      <c r="F880" s="37"/>
      <c r="G880" s="37"/>
      <c r="H880" s="1"/>
      <c r="I880" s="1"/>
      <c r="J880" s="1"/>
    </row>
    <row r="881" ht="15.75" customHeight="1">
      <c r="A881" s="36"/>
      <c r="B881" s="36"/>
      <c r="C881" s="37"/>
      <c r="D881" s="37"/>
      <c r="E881" s="37"/>
      <c r="F881" s="37"/>
      <c r="G881" s="37"/>
      <c r="H881" s="1"/>
      <c r="I881" s="1"/>
      <c r="J881" s="1"/>
    </row>
    <row r="882" ht="15.75" customHeight="1">
      <c r="A882" s="36"/>
      <c r="B882" s="36"/>
      <c r="C882" s="37"/>
      <c r="D882" s="37"/>
      <c r="E882" s="37"/>
      <c r="F882" s="37"/>
      <c r="G882" s="37"/>
      <c r="H882" s="1"/>
      <c r="I882" s="1"/>
      <c r="J882" s="1"/>
    </row>
    <row r="883" ht="15.75" customHeight="1">
      <c r="A883" s="36"/>
      <c r="B883" s="36"/>
      <c r="C883" s="37"/>
      <c r="D883" s="37"/>
      <c r="E883" s="37"/>
      <c r="F883" s="37"/>
      <c r="G883" s="37"/>
      <c r="H883" s="1"/>
      <c r="I883" s="1"/>
      <c r="J883" s="1"/>
    </row>
    <row r="884" ht="15.75" customHeight="1">
      <c r="A884" s="36"/>
      <c r="B884" s="36"/>
      <c r="C884" s="37"/>
      <c r="D884" s="37"/>
      <c r="E884" s="37"/>
      <c r="F884" s="37"/>
      <c r="G884" s="37"/>
      <c r="H884" s="1"/>
      <c r="I884" s="1"/>
      <c r="J884" s="1"/>
    </row>
    <row r="885" ht="15.75" customHeight="1">
      <c r="A885" s="36"/>
      <c r="B885" s="36"/>
      <c r="C885" s="37"/>
      <c r="D885" s="37"/>
      <c r="E885" s="37"/>
      <c r="F885" s="37"/>
      <c r="G885" s="37"/>
      <c r="H885" s="1"/>
      <c r="I885" s="1"/>
      <c r="J885" s="1"/>
    </row>
    <row r="886" ht="15.75" customHeight="1">
      <c r="A886" s="36"/>
      <c r="B886" s="36"/>
      <c r="C886" s="37"/>
      <c r="D886" s="37"/>
      <c r="E886" s="37"/>
      <c r="F886" s="37"/>
      <c r="G886" s="37"/>
      <c r="H886" s="1"/>
      <c r="I886" s="1"/>
      <c r="J886" s="1"/>
    </row>
    <row r="887" ht="15.75" customHeight="1">
      <c r="A887" s="36"/>
      <c r="B887" s="36"/>
      <c r="C887" s="37"/>
      <c r="D887" s="37"/>
      <c r="E887" s="37"/>
      <c r="F887" s="37"/>
      <c r="G887" s="37"/>
      <c r="H887" s="1"/>
      <c r="I887" s="1"/>
      <c r="J887" s="1"/>
    </row>
    <row r="888" ht="15.75" customHeight="1">
      <c r="A888" s="36"/>
      <c r="B888" s="36"/>
      <c r="C888" s="37"/>
      <c r="D888" s="37"/>
      <c r="E888" s="37"/>
      <c r="F888" s="37"/>
      <c r="G888" s="37"/>
      <c r="H888" s="1"/>
      <c r="I888" s="1"/>
      <c r="J888" s="1"/>
    </row>
    <row r="889" ht="15.75" customHeight="1">
      <c r="A889" s="36"/>
      <c r="B889" s="36"/>
      <c r="C889" s="37"/>
      <c r="D889" s="37"/>
      <c r="E889" s="37"/>
      <c r="F889" s="37"/>
      <c r="G889" s="37"/>
      <c r="H889" s="1"/>
      <c r="I889" s="1"/>
      <c r="J889" s="1"/>
    </row>
    <row r="890" ht="15.75" customHeight="1">
      <c r="A890" s="36"/>
      <c r="B890" s="36"/>
      <c r="C890" s="37"/>
      <c r="D890" s="37"/>
      <c r="E890" s="37"/>
      <c r="F890" s="37"/>
      <c r="G890" s="37"/>
      <c r="H890" s="1"/>
      <c r="I890" s="1"/>
      <c r="J890" s="1"/>
    </row>
    <row r="891" ht="15.75" customHeight="1">
      <c r="A891" s="36"/>
      <c r="B891" s="36"/>
      <c r="C891" s="37"/>
      <c r="D891" s="37"/>
      <c r="E891" s="37"/>
      <c r="F891" s="37"/>
      <c r="G891" s="37"/>
      <c r="H891" s="1"/>
      <c r="I891" s="1"/>
      <c r="J891" s="1"/>
    </row>
    <row r="892" ht="15.75" customHeight="1">
      <c r="A892" s="36"/>
      <c r="B892" s="36"/>
      <c r="C892" s="37"/>
      <c r="D892" s="37"/>
      <c r="E892" s="37"/>
      <c r="F892" s="37"/>
      <c r="G892" s="37"/>
      <c r="H892" s="1"/>
      <c r="I892" s="1"/>
      <c r="J892" s="1"/>
    </row>
    <row r="893" ht="15.75" customHeight="1">
      <c r="A893" s="36"/>
      <c r="B893" s="36"/>
      <c r="C893" s="37"/>
      <c r="D893" s="37"/>
      <c r="E893" s="37"/>
      <c r="F893" s="37"/>
      <c r="G893" s="37"/>
      <c r="H893" s="1"/>
      <c r="I893" s="1"/>
      <c r="J893" s="1"/>
    </row>
    <row r="894" ht="15.75" customHeight="1">
      <c r="A894" s="36"/>
      <c r="B894" s="36"/>
      <c r="C894" s="37"/>
      <c r="D894" s="37"/>
      <c r="E894" s="37"/>
      <c r="F894" s="37"/>
      <c r="G894" s="37"/>
      <c r="H894" s="1"/>
      <c r="I894" s="1"/>
      <c r="J894" s="1"/>
    </row>
    <row r="895" ht="15.75" customHeight="1">
      <c r="A895" s="36"/>
      <c r="B895" s="36"/>
      <c r="C895" s="37"/>
      <c r="D895" s="37"/>
      <c r="E895" s="37"/>
      <c r="F895" s="37"/>
      <c r="G895" s="37"/>
      <c r="H895" s="1"/>
      <c r="I895" s="1"/>
      <c r="J895" s="1"/>
    </row>
    <row r="896" ht="15.75" customHeight="1">
      <c r="A896" s="36"/>
      <c r="B896" s="36"/>
      <c r="C896" s="37"/>
      <c r="D896" s="37"/>
      <c r="E896" s="37"/>
      <c r="F896" s="37"/>
      <c r="G896" s="37"/>
      <c r="H896" s="1"/>
      <c r="I896" s="1"/>
      <c r="J896" s="1"/>
    </row>
    <row r="897" ht="15.75" customHeight="1">
      <c r="A897" s="36"/>
      <c r="B897" s="36"/>
      <c r="C897" s="37"/>
      <c r="D897" s="37"/>
      <c r="E897" s="37"/>
      <c r="F897" s="37"/>
      <c r="G897" s="37"/>
      <c r="H897" s="1"/>
      <c r="I897" s="1"/>
      <c r="J897" s="1"/>
    </row>
    <row r="898" ht="15.75" customHeight="1">
      <c r="A898" s="36"/>
      <c r="B898" s="36"/>
      <c r="C898" s="37"/>
      <c r="D898" s="37"/>
      <c r="E898" s="37"/>
      <c r="F898" s="37"/>
      <c r="G898" s="37"/>
      <c r="H898" s="1"/>
      <c r="I898" s="1"/>
      <c r="J898" s="1"/>
    </row>
    <row r="899" ht="15.75" customHeight="1">
      <c r="A899" s="36"/>
      <c r="B899" s="36"/>
      <c r="C899" s="37"/>
      <c r="D899" s="37"/>
      <c r="E899" s="37"/>
      <c r="F899" s="37"/>
      <c r="G899" s="37"/>
      <c r="H899" s="1"/>
      <c r="I899" s="1"/>
      <c r="J899" s="1"/>
    </row>
    <row r="900" ht="15.75" customHeight="1">
      <c r="A900" s="36"/>
      <c r="B900" s="36"/>
      <c r="C900" s="37"/>
      <c r="D900" s="37"/>
      <c r="E900" s="37"/>
      <c r="F900" s="37"/>
      <c r="G900" s="37"/>
      <c r="H900" s="1"/>
      <c r="I900" s="1"/>
      <c r="J900" s="1"/>
    </row>
    <row r="901" ht="15.75" customHeight="1">
      <c r="A901" s="36"/>
      <c r="B901" s="36"/>
      <c r="C901" s="37"/>
      <c r="D901" s="37"/>
      <c r="E901" s="37"/>
      <c r="F901" s="37"/>
      <c r="G901" s="37"/>
      <c r="H901" s="1"/>
      <c r="I901" s="1"/>
      <c r="J901" s="1"/>
    </row>
    <row r="902" ht="15.75" customHeight="1">
      <c r="A902" s="36"/>
      <c r="B902" s="36"/>
      <c r="C902" s="37"/>
      <c r="D902" s="37"/>
      <c r="E902" s="37"/>
      <c r="F902" s="37"/>
      <c r="G902" s="37"/>
      <c r="H902" s="1"/>
      <c r="I902" s="1"/>
      <c r="J902" s="1"/>
    </row>
    <row r="903" ht="15.75" customHeight="1">
      <c r="A903" s="36"/>
      <c r="B903" s="36"/>
      <c r="C903" s="37"/>
      <c r="D903" s="37"/>
      <c r="E903" s="37"/>
      <c r="F903" s="37"/>
      <c r="G903" s="37"/>
      <c r="H903" s="1"/>
      <c r="I903" s="1"/>
      <c r="J903" s="1"/>
    </row>
    <row r="904" ht="15.75" customHeight="1">
      <c r="A904" s="36"/>
      <c r="B904" s="36"/>
      <c r="C904" s="37"/>
      <c r="D904" s="37"/>
      <c r="E904" s="37"/>
      <c r="F904" s="37"/>
      <c r="G904" s="37"/>
      <c r="H904" s="1"/>
      <c r="I904" s="1"/>
      <c r="J904" s="1"/>
    </row>
    <row r="905" ht="15.75" customHeight="1">
      <c r="A905" s="36"/>
      <c r="B905" s="36"/>
      <c r="C905" s="37"/>
      <c r="D905" s="37"/>
      <c r="E905" s="37"/>
      <c r="F905" s="37"/>
      <c r="G905" s="37"/>
      <c r="H905" s="1"/>
      <c r="I905" s="1"/>
      <c r="J905" s="1"/>
    </row>
    <row r="906" ht="15.75" customHeight="1">
      <c r="A906" s="36"/>
      <c r="B906" s="36"/>
      <c r="C906" s="37"/>
      <c r="D906" s="37"/>
      <c r="E906" s="37"/>
      <c r="F906" s="37"/>
      <c r="G906" s="37"/>
      <c r="H906" s="1"/>
      <c r="I906" s="1"/>
      <c r="J906" s="1"/>
    </row>
    <row r="907" ht="15.75" customHeight="1">
      <c r="A907" s="36"/>
      <c r="B907" s="36"/>
      <c r="C907" s="37"/>
      <c r="D907" s="37"/>
      <c r="E907" s="37"/>
      <c r="F907" s="37"/>
      <c r="G907" s="37"/>
      <c r="H907" s="1"/>
      <c r="I907" s="1"/>
      <c r="J907" s="1"/>
    </row>
    <row r="908" ht="15.75" customHeight="1">
      <c r="A908" s="36"/>
      <c r="B908" s="36"/>
      <c r="C908" s="37"/>
      <c r="D908" s="37"/>
      <c r="E908" s="37"/>
      <c r="F908" s="37"/>
      <c r="G908" s="37"/>
      <c r="H908" s="1"/>
      <c r="I908" s="1"/>
      <c r="J908" s="1"/>
    </row>
    <row r="909" ht="15.75" customHeight="1">
      <c r="A909" s="36"/>
      <c r="B909" s="36"/>
      <c r="C909" s="37"/>
      <c r="D909" s="37"/>
      <c r="E909" s="37"/>
      <c r="F909" s="37"/>
      <c r="G909" s="37"/>
      <c r="H909" s="1"/>
      <c r="I909" s="1"/>
      <c r="J909" s="1"/>
    </row>
    <row r="910" ht="15.75" customHeight="1">
      <c r="A910" s="36"/>
      <c r="B910" s="36"/>
      <c r="C910" s="37"/>
      <c r="D910" s="37"/>
      <c r="E910" s="37"/>
      <c r="F910" s="37"/>
      <c r="G910" s="37"/>
      <c r="H910" s="1"/>
      <c r="I910" s="1"/>
      <c r="J910" s="1"/>
    </row>
    <row r="911" ht="15.75" customHeight="1">
      <c r="A911" s="36"/>
      <c r="B911" s="36"/>
      <c r="C911" s="37"/>
      <c r="D911" s="37"/>
      <c r="E911" s="37"/>
      <c r="F911" s="37"/>
      <c r="G911" s="37"/>
      <c r="H911" s="1"/>
      <c r="I911" s="1"/>
      <c r="J911" s="1"/>
    </row>
    <row r="912" ht="15.75" customHeight="1">
      <c r="A912" s="36"/>
      <c r="B912" s="36"/>
      <c r="C912" s="37"/>
      <c r="D912" s="37"/>
      <c r="E912" s="37"/>
      <c r="F912" s="37"/>
      <c r="G912" s="37"/>
      <c r="H912" s="1"/>
      <c r="I912" s="1"/>
      <c r="J912" s="1"/>
    </row>
    <row r="913" ht="15.75" customHeight="1">
      <c r="A913" s="36"/>
      <c r="B913" s="36"/>
      <c r="C913" s="37"/>
      <c r="D913" s="37"/>
      <c r="E913" s="37"/>
      <c r="F913" s="37"/>
      <c r="G913" s="37"/>
      <c r="H913" s="1"/>
      <c r="I913" s="1"/>
      <c r="J913" s="1"/>
    </row>
    <row r="914" ht="15.75" customHeight="1">
      <c r="A914" s="36"/>
      <c r="B914" s="36"/>
      <c r="C914" s="37"/>
      <c r="D914" s="37"/>
      <c r="E914" s="37"/>
      <c r="F914" s="37"/>
      <c r="G914" s="37"/>
      <c r="H914" s="1"/>
      <c r="I914" s="1"/>
      <c r="J914" s="1"/>
    </row>
    <row r="915" ht="15.75" customHeight="1">
      <c r="A915" s="36"/>
      <c r="B915" s="36"/>
      <c r="C915" s="37"/>
      <c r="D915" s="37"/>
      <c r="E915" s="37"/>
      <c r="F915" s="37"/>
      <c r="G915" s="37"/>
      <c r="H915" s="1"/>
      <c r="I915" s="1"/>
      <c r="J915" s="1"/>
    </row>
    <row r="916" ht="15.75" customHeight="1">
      <c r="A916" s="36"/>
      <c r="B916" s="36"/>
      <c r="C916" s="37"/>
      <c r="D916" s="37"/>
      <c r="E916" s="37"/>
      <c r="F916" s="37"/>
      <c r="G916" s="37"/>
      <c r="H916" s="1"/>
      <c r="I916" s="1"/>
      <c r="J916" s="1"/>
    </row>
    <row r="917" ht="15.75" customHeight="1">
      <c r="A917" s="36"/>
      <c r="B917" s="36"/>
      <c r="C917" s="37"/>
      <c r="D917" s="37"/>
      <c r="E917" s="37"/>
      <c r="F917" s="37"/>
      <c r="G917" s="37"/>
      <c r="H917" s="1"/>
      <c r="I917" s="1"/>
      <c r="J917" s="1"/>
    </row>
    <row r="918" ht="15.75" customHeight="1">
      <c r="A918" s="36"/>
      <c r="B918" s="36"/>
      <c r="C918" s="37"/>
      <c r="D918" s="37"/>
      <c r="E918" s="37"/>
      <c r="F918" s="37"/>
      <c r="G918" s="37"/>
      <c r="H918" s="1"/>
      <c r="I918" s="1"/>
      <c r="J918" s="1"/>
    </row>
    <row r="919" ht="15.75" customHeight="1">
      <c r="A919" s="36"/>
      <c r="B919" s="36"/>
      <c r="C919" s="37"/>
      <c r="D919" s="37"/>
      <c r="E919" s="37"/>
      <c r="F919" s="37"/>
      <c r="G919" s="37"/>
      <c r="H919" s="1"/>
      <c r="I919" s="1"/>
      <c r="J919" s="1"/>
    </row>
    <row r="920" ht="15.75" customHeight="1">
      <c r="A920" s="36"/>
      <c r="B920" s="36"/>
      <c r="C920" s="37"/>
      <c r="D920" s="37"/>
      <c r="E920" s="37"/>
      <c r="F920" s="37"/>
      <c r="G920" s="37"/>
      <c r="H920" s="1"/>
      <c r="I920" s="1"/>
      <c r="J920" s="1"/>
    </row>
    <row r="921" ht="15.75" customHeight="1">
      <c r="A921" s="36"/>
      <c r="B921" s="36"/>
      <c r="C921" s="37"/>
      <c r="D921" s="37"/>
      <c r="E921" s="37"/>
      <c r="F921" s="37"/>
      <c r="G921" s="37"/>
      <c r="H921" s="1"/>
      <c r="I921" s="1"/>
      <c r="J921" s="1"/>
    </row>
    <row r="922" ht="15.75" customHeight="1">
      <c r="A922" s="36"/>
      <c r="B922" s="36"/>
      <c r="C922" s="37"/>
      <c r="D922" s="37"/>
      <c r="E922" s="37"/>
      <c r="F922" s="37"/>
      <c r="G922" s="37"/>
      <c r="H922" s="1"/>
      <c r="I922" s="1"/>
      <c r="J922" s="1"/>
    </row>
    <row r="923" ht="15.75" customHeight="1">
      <c r="A923" s="36"/>
      <c r="B923" s="36"/>
      <c r="C923" s="37"/>
      <c r="D923" s="37"/>
      <c r="E923" s="37"/>
      <c r="F923" s="37"/>
      <c r="G923" s="37"/>
      <c r="H923" s="1"/>
      <c r="I923" s="1"/>
      <c r="J923" s="1"/>
    </row>
    <row r="924" ht="15.75" customHeight="1">
      <c r="A924" s="36"/>
      <c r="B924" s="36"/>
      <c r="C924" s="37"/>
      <c r="D924" s="37"/>
      <c r="E924" s="37"/>
      <c r="F924" s="37"/>
      <c r="G924" s="37"/>
      <c r="H924" s="1"/>
      <c r="I924" s="1"/>
      <c r="J924" s="1"/>
    </row>
    <row r="925" ht="15.75" customHeight="1">
      <c r="A925" s="36"/>
      <c r="B925" s="36"/>
      <c r="C925" s="37"/>
      <c r="D925" s="37"/>
      <c r="E925" s="37"/>
      <c r="F925" s="37"/>
      <c r="G925" s="37"/>
      <c r="H925" s="1"/>
      <c r="I925" s="1"/>
      <c r="J925" s="1"/>
    </row>
    <row r="926" ht="15.75" customHeight="1">
      <c r="A926" s="36"/>
      <c r="B926" s="36"/>
      <c r="C926" s="37"/>
      <c r="D926" s="37"/>
      <c r="E926" s="37"/>
      <c r="F926" s="37"/>
      <c r="G926" s="37"/>
      <c r="H926" s="1"/>
      <c r="I926" s="1"/>
      <c r="J926" s="1"/>
    </row>
    <row r="927" ht="15.75" customHeight="1">
      <c r="A927" s="36"/>
      <c r="B927" s="36"/>
      <c r="C927" s="37"/>
      <c r="D927" s="37"/>
      <c r="E927" s="37"/>
      <c r="F927" s="37"/>
      <c r="G927" s="37"/>
      <c r="H927" s="1"/>
      <c r="I927" s="1"/>
      <c r="J927" s="1"/>
    </row>
    <row r="928" ht="15.75" customHeight="1">
      <c r="A928" s="36"/>
      <c r="B928" s="36"/>
      <c r="C928" s="37"/>
      <c r="D928" s="37"/>
      <c r="E928" s="37"/>
      <c r="F928" s="37"/>
      <c r="G928" s="37"/>
      <c r="H928" s="1"/>
      <c r="I928" s="1"/>
      <c r="J928" s="1"/>
    </row>
    <row r="929" ht="15.75" customHeight="1">
      <c r="A929" s="36"/>
      <c r="B929" s="36"/>
      <c r="C929" s="37"/>
      <c r="D929" s="37"/>
      <c r="E929" s="37"/>
      <c r="F929" s="37"/>
      <c r="G929" s="37"/>
      <c r="H929" s="1"/>
      <c r="I929" s="1"/>
      <c r="J929" s="1"/>
    </row>
    <row r="930" ht="15.75" customHeight="1">
      <c r="A930" s="36"/>
      <c r="B930" s="36"/>
      <c r="C930" s="37"/>
      <c r="D930" s="37"/>
      <c r="E930" s="37"/>
      <c r="F930" s="37"/>
      <c r="G930" s="37"/>
      <c r="H930" s="1"/>
      <c r="I930" s="1"/>
      <c r="J930" s="1"/>
    </row>
    <row r="931" ht="15.75" customHeight="1">
      <c r="A931" s="36"/>
      <c r="B931" s="36"/>
      <c r="C931" s="37"/>
      <c r="D931" s="37"/>
      <c r="E931" s="37"/>
      <c r="F931" s="37"/>
      <c r="G931" s="37"/>
      <c r="H931" s="1"/>
      <c r="I931" s="1"/>
      <c r="J931" s="1"/>
    </row>
    <row r="932" ht="15.75" customHeight="1">
      <c r="A932" s="36"/>
      <c r="B932" s="36"/>
      <c r="C932" s="37"/>
      <c r="D932" s="37"/>
      <c r="E932" s="37"/>
      <c r="F932" s="37"/>
      <c r="G932" s="37"/>
      <c r="H932" s="1"/>
      <c r="I932" s="1"/>
      <c r="J932" s="1"/>
    </row>
    <row r="933" ht="15.75" customHeight="1">
      <c r="A933" s="36"/>
      <c r="B933" s="36"/>
      <c r="C933" s="37"/>
      <c r="D933" s="37"/>
      <c r="E933" s="37"/>
      <c r="F933" s="37"/>
      <c r="G933" s="37"/>
      <c r="H933" s="1"/>
      <c r="I933" s="1"/>
      <c r="J933" s="1"/>
    </row>
    <row r="934" ht="15.75" customHeight="1">
      <c r="A934" s="36"/>
      <c r="B934" s="36"/>
      <c r="C934" s="37"/>
      <c r="D934" s="37"/>
      <c r="E934" s="37"/>
      <c r="F934" s="37"/>
      <c r="G934" s="37"/>
      <c r="H934" s="1"/>
      <c r="I934" s="1"/>
      <c r="J934" s="1"/>
    </row>
    <row r="935" ht="15.75" customHeight="1">
      <c r="A935" s="36"/>
      <c r="B935" s="36"/>
      <c r="C935" s="37"/>
      <c r="D935" s="37"/>
      <c r="E935" s="37"/>
      <c r="F935" s="37"/>
      <c r="G935" s="37"/>
      <c r="H935" s="1"/>
      <c r="I935" s="1"/>
      <c r="J935" s="1"/>
    </row>
    <row r="936" ht="15.75" customHeight="1">
      <c r="A936" s="36"/>
      <c r="B936" s="36"/>
      <c r="C936" s="37"/>
      <c r="D936" s="37"/>
      <c r="E936" s="37"/>
      <c r="F936" s="37"/>
      <c r="G936" s="37"/>
      <c r="H936" s="1"/>
      <c r="I936" s="1"/>
      <c r="J936" s="1"/>
    </row>
    <row r="937" ht="15.75" customHeight="1">
      <c r="A937" s="36"/>
      <c r="B937" s="36"/>
      <c r="C937" s="37"/>
      <c r="D937" s="37"/>
      <c r="E937" s="37"/>
      <c r="F937" s="37"/>
      <c r="G937" s="37"/>
      <c r="H937" s="1"/>
      <c r="I937" s="1"/>
      <c r="J937" s="1"/>
    </row>
    <row r="938" ht="15.75" customHeight="1">
      <c r="A938" s="36"/>
      <c r="B938" s="36"/>
      <c r="C938" s="37"/>
      <c r="D938" s="37"/>
      <c r="E938" s="37"/>
      <c r="F938" s="37"/>
      <c r="G938" s="37"/>
      <c r="H938" s="1"/>
      <c r="I938" s="1"/>
      <c r="J938" s="1"/>
    </row>
    <row r="939" ht="15.75" customHeight="1">
      <c r="A939" s="36"/>
      <c r="B939" s="36"/>
      <c r="C939" s="37"/>
      <c r="D939" s="37"/>
      <c r="E939" s="37"/>
      <c r="F939" s="37"/>
      <c r="G939" s="37"/>
      <c r="H939" s="1"/>
      <c r="I939" s="1"/>
      <c r="J939" s="1"/>
    </row>
    <row r="940" ht="15.75" customHeight="1">
      <c r="A940" s="36"/>
      <c r="B940" s="36"/>
      <c r="C940" s="37"/>
      <c r="D940" s="37"/>
      <c r="E940" s="37"/>
      <c r="F940" s="37"/>
      <c r="G940" s="37"/>
      <c r="H940" s="1"/>
      <c r="I940" s="1"/>
      <c r="J940" s="1"/>
    </row>
    <row r="941" ht="15.75" customHeight="1">
      <c r="A941" s="36"/>
      <c r="B941" s="36"/>
      <c r="C941" s="37"/>
      <c r="D941" s="37"/>
      <c r="E941" s="37"/>
      <c r="F941" s="37"/>
      <c r="G941" s="37"/>
      <c r="H941" s="1"/>
      <c r="I941" s="1"/>
      <c r="J941" s="1"/>
    </row>
    <row r="942" ht="15.75" customHeight="1">
      <c r="A942" s="36"/>
      <c r="B942" s="36"/>
      <c r="C942" s="37"/>
      <c r="D942" s="37"/>
      <c r="E942" s="37"/>
      <c r="F942" s="37"/>
      <c r="G942" s="37"/>
      <c r="H942" s="1"/>
      <c r="I942" s="1"/>
      <c r="J942" s="1"/>
    </row>
    <row r="943" ht="15.75" customHeight="1">
      <c r="A943" s="36"/>
      <c r="B943" s="36"/>
      <c r="C943" s="37"/>
      <c r="D943" s="37"/>
      <c r="E943" s="37"/>
      <c r="F943" s="37"/>
      <c r="G943" s="37"/>
      <c r="H943" s="1"/>
      <c r="I943" s="1"/>
      <c r="J943" s="1"/>
    </row>
    <row r="944" ht="15.75" customHeight="1">
      <c r="A944" s="36"/>
      <c r="B944" s="36"/>
      <c r="C944" s="37"/>
      <c r="D944" s="37"/>
      <c r="E944" s="37"/>
      <c r="F944" s="37"/>
      <c r="G944" s="37"/>
      <c r="H944" s="1"/>
      <c r="I944" s="1"/>
      <c r="J944" s="1"/>
    </row>
    <row r="945" ht="15.75" customHeight="1">
      <c r="A945" s="36"/>
      <c r="B945" s="36"/>
      <c r="C945" s="37"/>
      <c r="D945" s="37"/>
      <c r="E945" s="37"/>
      <c r="F945" s="37"/>
      <c r="G945" s="37"/>
      <c r="H945" s="1"/>
      <c r="I945" s="1"/>
      <c r="J945" s="1"/>
    </row>
    <row r="946" ht="15.75" customHeight="1">
      <c r="A946" s="36"/>
      <c r="B946" s="36"/>
      <c r="C946" s="37"/>
      <c r="D946" s="37"/>
      <c r="E946" s="37"/>
      <c r="F946" s="37"/>
      <c r="G946" s="37"/>
      <c r="H946" s="1"/>
      <c r="I946" s="1"/>
      <c r="J946" s="1"/>
    </row>
    <row r="947" ht="15.75" customHeight="1">
      <c r="A947" s="36"/>
      <c r="B947" s="36"/>
      <c r="C947" s="37"/>
      <c r="D947" s="37"/>
      <c r="E947" s="37"/>
      <c r="F947" s="37"/>
      <c r="G947" s="37"/>
      <c r="H947" s="1"/>
      <c r="I947" s="1"/>
      <c r="J947" s="1"/>
    </row>
    <row r="948" ht="15.75" customHeight="1">
      <c r="A948" s="36"/>
      <c r="B948" s="36"/>
      <c r="C948" s="37"/>
      <c r="D948" s="37"/>
      <c r="E948" s="37"/>
      <c r="F948" s="37"/>
      <c r="G948" s="37"/>
      <c r="H948" s="1"/>
      <c r="I948" s="1"/>
      <c r="J948" s="1"/>
    </row>
    <row r="949" ht="15.75" customHeight="1">
      <c r="A949" s="36"/>
      <c r="B949" s="36"/>
      <c r="C949" s="37"/>
      <c r="D949" s="37"/>
      <c r="E949" s="37"/>
      <c r="F949" s="37"/>
      <c r="G949" s="37"/>
      <c r="H949" s="1"/>
      <c r="I949" s="1"/>
      <c r="J949" s="1"/>
    </row>
    <row r="950" ht="15.75" customHeight="1">
      <c r="A950" s="36"/>
      <c r="B950" s="36"/>
      <c r="C950" s="37"/>
      <c r="D950" s="37"/>
      <c r="E950" s="37"/>
      <c r="F950" s="37"/>
      <c r="G950" s="37"/>
      <c r="H950" s="1"/>
      <c r="I950" s="1"/>
      <c r="J950" s="1"/>
    </row>
    <row r="951" ht="15.75" customHeight="1">
      <c r="A951" s="36"/>
      <c r="B951" s="36"/>
      <c r="C951" s="37"/>
      <c r="D951" s="37"/>
      <c r="E951" s="37"/>
      <c r="F951" s="37"/>
      <c r="G951" s="37"/>
      <c r="H951" s="1"/>
      <c r="I951" s="1"/>
      <c r="J951" s="1"/>
    </row>
    <row r="952" ht="15.75" customHeight="1">
      <c r="A952" s="36"/>
      <c r="B952" s="36"/>
      <c r="C952" s="37"/>
      <c r="D952" s="37"/>
      <c r="E952" s="37"/>
      <c r="F952" s="37"/>
      <c r="G952" s="37"/>
      <c r="H952" s="1"/>
      <c r="I952" s="1"/>
      <c r="J952" s="1"/>
    </row>
    <row r="953" ht="15.75" customHeight="1">
      <c r="A953" s="36"/>
      <c r="B953" s="36"/>
      <c r="C953" s="37"/>
      <c r="D953" s="37"/>
      <c r="E953" s="37"/>
      <c r="F953" s="37"/>
      <c r="G953" s="37"/>
      <c r="H953" s="1"/>
      <c r="I953" s="1"/>
      <c r="J953" s="1"/>
    </row>
    <row r="954" ht="15.75" customHeight="1">
      <c r="A954" s="36"/>
      <c r="B954" s="36"/>
      <c r="C954" s="37"/>
      <c r="D954" s="37"/>
      <c r="E954" s="37"/>
      <c r="F954" s="37"/>
      <c r="G954" s="37"/>
      <c r="H954" s="1"/>
      <c r="I954" s="1"/>
      <c r="J954" s="1"/>
    </row>
    <row r="955" ht="15.75" customHeight="1">
      <c r="A955" s="36"/>
      <c r="B955" s="36"/>
      <c r="C955" s="37"/>
      <c r="D955" s="37"/>
      <c r="E955" s="37"/>
      <c r="F955" s="37"/>
      <c r="G955" s="37"/>
      <c r="H955" s="1"/>
      <c r="I955" s="1"/>
      <c r="J955" s="1"/>
    </row>
    <row r="956" ht="15.75" customHeight="1">
      <c r="A956" s="36"/>
      <c r="B956" s="36"/>
      <c r="C956" s="37"/>
      <c r="D956" s="37"/>
      <c r="E956" s="37"/>
      <c r="F956" s="37"/>
      <c r="G956" s="37"/>
      <c r="H956" s="1"/>
      <c r="I956" s="1"/>
      <c r="J956" s="1"/>
    </row>
    <row r="957" ht="15.75" customHeight="1">
      <c r="A957" s="36"/>
      <c r="B957" s="36"/>
      <c r="C957" s="37"/>
      <c r="D957" s="37"/>
      <c r="E957" s="37"/>
      <c r="F957" s="37"/>
      <c r="G957" s="37"/>
      <c r="H957" s="1"/>
      <c r="I957" s="1"/>
      <c r="J957" s="1"/>
    </row>
    <row r="958" ht="15.75" customHeight="1">
      <c r="A958" s="36"/>
      <c r="B958" s="36"/>
      <c r="C958" s="37"/>
      <c r="D958" s="37"/>
      <c r="E958" s="37"/>
      <c r="F958" s="37"/>
      <c r="G958" s="37"/>
      <c r="H958" s="1"/>
      <c r="I958" s="1"/>
      <c r="J958" s="1"/>
    </row>
    <row r="959" ht="15.75" customHeight="1">
      <c r="A959" s="36"/>
      <c r="B959" s="36"/>
      <c r="C959" s="37"/>
      <c r="D959" s="37"/>
      <c r="E959" s="37"/>
      <c r="F959" s="37"/>
      <c r="G959" s="37"/>
      <c r="H959" s="1"/>
      <c r="I959" s="1"/>
      <c r="J959" s="1"/>
    </row>
    <row r="960" ht="15.75" customHeight="1">
      <c r="A960" s="36"/>
      <c r="B960" s="36"/>
      <c r="C960" s="37"/>
      <c r="D960" s="37"/>
      <c r="E960" s="37"/>
      <c r="F960" s="37"/>
      <c r="G960" s="37"/>
      <c r="H960" s="1"/>
      <c r="I960" s="1"/>
      <c r="J960" s="1"/>
    </row>
    <row r="961" ht="15.75" customHeight="1">
      <c r="A961" s="36"/>
      <c r="B961" s="36"/>
      <c r="C961" s="37"/>
      <c r="D961" s="37"/>
      <c r="E961" s="37"/>
      <c r="F961" s="37"/>
      <c r="G961" s="37"/>
      <c r="H961" s="1"/>
      <c r="I961" s="1"/>
      <c r="J961" s="1"/>
    </row>
    <row r="962" ht="15.75" customHeight="1">
      <c r="A962" s="36"/>
      <c r="B962" s="36"/>
      <c r="C962" s="37"/>
      <c r="D962" s="37"/>
      <c r="E962" s="37"/>
      <c r="F962" s="37"/>
      <c r="G962" s="37"/>
      <c r="H962" s="1"/>
      <c r="I962" s="1"/>
      <c r="J962" s="1"/>
    </row>
    <row r="963" ht="15.75" customHeight="1">
      <c r="A963" s="36"/>
      <c r="B963" s="36"/>
      <c r="C963" s="37"/>
      <c r="D963" s="37"/>
      <c r="E963" s="37"/>
      <c r="F963" s="37"/>
      <c r="G963" s="37"/>
      <c r="H963" s="1"/>
      <c r="I963" s="1"/>
      <c r="J963" s="1"/>
    </row>
    <row r="964" ht="15.75" customHeight="1">
      <c r="A964" s="36"/>
      <c r="B964" s="36"/>
      <c r="C964" s="37"/>
      <c r="D964" s="37"/>
      <c r="E964" s="37"/>
      <c r="F964" s="37"/>
      <c r="G964" s="37"/>
      <c r="H964" s="1"/>
      <c r="I964" s="1"/>
      <c r="J964" s="1"/>
    </row>
    <row r="965" ht="15.75" customHeight="1">
      <c r="A965" s="36"/>
      <c r="B965" s="36"/>
      <c r="C965" s="37"/>
      <c r="D965" s="37"/>
      <c r="E965" s="37"/>
      <c r="F965" s="37"/>
      <c r="G965" s="37"/>
      <c r="H965" s="1"/>
      <c r="I965" s="1"/>
      <c r="J965" s="1"/>
    </row>
    <row r="966" ht="15.75" customHeight="1">
      <c r="A966" s="36"/>
      <c r="B966" s="36"/>
      <c r="C966" s="37"/>
      <c r="D966" s="37"/>
      <c r="E966" s="37"/>
      <c r="F966" s="37"/>
      <c r="G966" s="37"/>
      <c r="H966" s="1"/>
      <c r="I966" s="1"/>
      <c r="J966" s="1"/>
    </row>
    <row r="967" ht="15.75" customHeight="1">
      <c r="A967" s="36"/>
      <c r="B967" s="36"/>
      <c r="C967" s="37"/>
      <c r="D967" s="37"/>
      <c r="E967" s="37"/>
      <c r="F967" s="37"/>
      <c r="G967" s="37"/>
      <c r="H967" s="1"/>
      <c r="I967" s="1"/>
      <c r="J967" s="1"/>
    </row>
    <row r="968" ht="15.75" customHeight="1">
      <c r="A968" s="36"/>
      <c r="B968" s="36"/>
      <c r="C968" s="37"/>
      <c r="D968" s="37"/>
      <c r="E968" s="37"/>
      <c r="F968" s="37"/>
      <c r="G968" s="37"/>
      <c r="H968" s="1"/>
      <c r="I968" s="1"/>
      <c r="J968" s="1"/>
    </row>
    <row r="969" ht="15.75" customHeight="1">
      <c r="A969" s="36"/>
      <c r="B969" s="36"/>
      <c r="C969" s="37"/>
      <c r="D969" s="37"/>
      <c r="E969" s="37"/>
      <c r="F969" s="37"/>
      <c r="G969" s="37"/>
      <c r="H969" s="1"/>
      <c r="I969" s="1"/>
      <c r="J969" s="1"/>
    </row>
    <row r="970" ht="15.75" customHeight="1">
      <c r="A970" s="36"/>
      <c r="B970" s="36"/>
      <c r="C970" s="37"/>
      <c r="D970" s="37"/>
      <c r="E970" s="37"/>
      <c r="F970" s="37"/>
      <c r="G970" s="37"/>
      <c r="H970" s="1"/>
      <c r="I970" s="1"/>
      <c r="J970" s="1"/>
    </row>
    <row r="971" ht="15.75" customHeight="1">
      <c r="A971" s="36"/>
      <c r="B971" s="36"/>
      <c r="C971" s="37"/>
      <c r="D971" s="37"/>
      <c r="E971" s="37"/>
      <c r="F971" s="37"/>
      <c r="G971" s="37"/>
      <c r="H971" s="1"/>
      <c r="I971" s="1"/>
      <c r="J971" s="1"/>
    </row>
    <row r="972" ht="15.75" customHeight="1">
      <c r="A972" s="36"/>
      <c r="B972" s="36"/>
      <c r="C972" s="37"/>
      <c r="D972" s="37"/>
      <c r="E972" s="37"/>
      <c r="F972" s="37"/>
      <c r="G972" s="37"/>
      <c r="H972" s="1"/>
      <c r="I972" s="1"/>
      <c r="J972" s="1"/>
    </row>
    <row r="973" ht="15.75" customHeight="1">
      <c r="A973" s="36"/>
      <c r="B973" s="36"/>
      <c r="C973" s="37"/>
      <c r="D973" s="37"/>
      <c r="E973" s="37"/>
      <c r="F973" s="37"/>
      <c r="G973" s="37"/>
      <c r="H973" s="1"/>
      <c r="I973" s="1"/>
      <c r="J973" s="1"/>
    </row>
    <row r="974" ht="15.75" customHeight="1">
      <c r="A974" s="36"/>
      <c r="B974" s="36"/>
      <c r="C974" s="37"/>
      <c r="D974" s="37"/>
      <c r="E974" s="37"/>
      <c r="F974" s="37"/>
      <c r="G974" s="37"/>
      <c r="H974" s="1"/>
      <c r="I974" s="1"/>
      <c r="J974" s="1"/>
    </row>
    <row r="975" ht="15.75" customHeight="1">
      <c r="A975" s="36"/>
      <c r="B975" s="36"/>
      <c r="C975" s="37"/>
      <c r="D975" s="37"/>
      <c r="E975" s="37"/>
      <c r="F975" s="37"/>
      <c r="G975" s="37"/>
      <c r="H975" s="1"/>
      <c r="I975" s="1"/>
      <c r="J975" s="1"/>
    </row>
    <row r="976" ht="15.75" customHeight="1">
      <c r="A976" s="36"/>
      <c r="B976" s="36"/>
      <c r="C976" s="37"/>
      <c r="D976" s="37"/>
      <c r="E976" s="37"/>
      <c r="F976" s="37"/>
      <c r="G976" s="37"/>
      <c r="H976" s="1"/>
      <c r="I976" s="1"/>
      <c r="J976" s="1"/>
    </row>
    <row r="977" ht="15.75" customHeight="1">
      <c r="A977" s="36"/>
      <c r="B977" s="36"/>
      <c r="C977" s="37"/>
      <c r="D977" s="37"/>
      <c r="E977" s="37"/>
      <c r="F977" s="37"/>
      <c r="G977" s="37"/>
      <c r="H977" s="1"/>
      <c r="I977" s="1"/>
      <c r="J977" s="1"/>
    </row>
    <row r="978" ht="15.75" customHeight="1">
      <c r="A978" s="36"/>
      <c r="B978" s="36"/>
      <c r="C978" s="37"/>
      <c r="D978" s="37"/>
      <c r="E978" s="37"/>
      <c r="F978" s="37"/>
      <c r="G978" s="37"/>
      <c r="H978" s="1"/>
      <c r="I978" s="1"/>
      <c r="J978" s="1"/>
    </row>
    <row r="979" ht="15.75" customHeight="1">
      <c r="A979" s="36"/>
      <c r="B979" s="36"/>
      <c r="C979" s="37"/>
      <c r="D979" s="37"/>
      <c r="E979" s="37"/>
      <c r="F979" s="37"/>
      <c r="G979" s="37"/>
      <c r="H979" s="1"/>
      <c r="I979" s="1"/>
      <c r="J979" s="1"/>
    </row>
    <row r="980" ht="15.75" customHeight="1">
      <c r="A980" s="36"/>
      <c r="B980" s="36"/>
      <c r="C980" s="37"/>
      <c r="D980" s="37"/>
      <c r="E980" s="37"/>
      <c r="F980" s="37"/>
      <c r="G980" s="37"/>
      <c r="H980" s="1"/>
      <c r="I980" s="1"/>
      <c r="J980" s="1"/>
    </row>
    <row r="981" ht="15.75" customHeight="1">
      <c r="A981" s="36"/>
      <c r="B981" s="36"/>
      <c r="C981" s="37"/>
      <c r="D981" s="37"/>
      <c r="E981" s="37"/>
      <c r="F981" s="37"/>
      <c r="G981" s="37"/>
      <c r="H981" s="1"/>
      <c r="I981" s="1"/>
      <c r="J981" s="1"/>
    </row>
    <row r="982" ht="15.75" customHeight="1">
      <c r="A982" s="36"/>
      <c r="B982" s="36"/>
      <c r="C982" s="37"/>
      <c r="D982" s="37"/>
      <c r="E982" s="37"/>
      <c r="F982" s="37"/>
      <c r="G982" s="37"/>
      <c r="H982" s="1"/>
      <c r="I982" s="1"/>
      <c r="J982" s="1"/>
    </row>
    <row r="983" ht="15.75" customHeight="1">
      <c r="A983" s="36"/>
      <c r="B983" s="36"/>
      <c r="C983" s="37"/>
      <c r="D983" s="37"/>
      <c r="E983" s="37"/>
      <c r="F983" s="37"/>
      <c r="G983" s="37"/>
      <c r="H983" s="1"/>
      <c r="I983" s="1"/>
      <c r="J983" s="1"/>
    </row>
    <row r="984" ht="15.75" customHeight="1">
      <c r="A984" s="36"/>
      <c r="B984" s="36"/>
      <c r="C984" s="37"/>
      <c r="D984" s="37"/>
      <c r="E984" s="37"/>
      <c r="F984" s="37"/>
      <c r="G984" s="37"/>
      <c r="H984" s="1"/>
      <c r="I984" s="1"/>
      <c r="J984" s="1"/>
    </row>
    <row r="985" ht="15.75" customHeight="1">
      <c r="A985" s="36"/>
      <c r="B985" s="36"/>
      <c r="C985" s="37"/>
      <c r="D985" s="37"/>
      <c r="E985" s="37"/>
      <c r="F985" s="37"/>
      <c r="G985" s="37"/>
      <c r="H985" s="1"/>
      <c r="I985" s="1"/>
      <c r="J985" s="1"/>
    </row>
    <row r="986" ht="15.75" customHeight="1">
      <c r="A986" s="36"/>
      <c r="B986" s="36"/>
      <c r="C986" s="37"/>
      <c r="D986" s="37"/>
      <c r="E986" s="37"/>
      <c r="F986" s="37"/>
      <c r="G986" s="37"/>
      <c r="H986" s="1"/>
      <c r="I986" s="1"/>
      <c r="J986" s="1"/>
    </row>
    <row r="987" ht="15.75" customHeight="1">
      <c r="A987" s="36"/>
      <c r="B987" s="36"/>
      <c r="C987" s="37"/>
      <c r="D987" s="37"/>
      <c r="E987" s="37"/>
      <c r="F987" s="37"/>
      <c r="G987" s="37"/>
      <c r="H987" s="1"/>
      <c r="I987" s="1"/>
      <c r="J987" s="1"/>
    </row>
    <row r="988" ht="15.75" customHeight="1">
      <c r="A988" s="36"/>
      <c r="B988" s="36"/>
      <c r="C988" s="37"/>
      <c r="D988" s="37"/>
      <c r="E988" s="37"/>
      <c r="F988" s="37"/>
      <c r="G988" s="37"/>
      <c r="H988" s="1"/>
      <c r="I988" s="1"/>
      <c r="J988" s="1"/>
    </row>
    <row r="989" ht="15.75" customHeight="1">
      <c r="A989" s="36"/>
      <c r="B989" s="36"/>
      <c r="C989" s="37"/>
      <c r="D989" s="37"/>
      <c r="E989" s="37"/>
      <c r="F989" s="37"/>
      <c r="G989" s="37"/>
      <c r="H989" s="1"/>
      <c r="I989" s="1"/>
      <c r="J989" s="1"/>
    </row>
    <row r="990" ht="15.75" customHeight="1">
      <c r="A990" s="36"/>
      <c r="B990" s="36"/>
      <c r="C990" s="37"/>
      <c r="D990" s="37"/>
      <c r="E990" s="37"/>
      <c r="F990" s="37"/>
      <c r="G990" s="37"/>
      <c r="H990" s="1"/>
      <c r="I990" s="1"/>
      <c r="J990" s="1"/>
    </row>
    <row r="991" ht="15.75" customHeight="1">
      <c r="A991" s="36"/>
      <c r="B991" s="36"/>
      <c r="C991" s="37"/>
      <c r="D991" s="37"/>
      <c r="E991" s="37"/>
      <c r="F991" s="37"/>
      <c r="G991" s="37"/>
      <c r="H991" s="1"/>
      <c r="I991" s="1"/>
      <c r="J991" s="1"/>
    </row>
    <row r="992" ht="15.75" customHeight="1">
      <c r="A992" s="36"/>
      <c r="B992" s="36"/>
      <c r="C992" s="37"/>
      <c r="D992" s="37"/>
      <c r="E992" s="37"/>
      <c r="F992" s="37"/>
      <c r="G992" s="37"/>
      <c r="H992" s="1"/>
      <c r="I992" s="1"/>
      <c r="J992" s="1"/>
    </row>
    <row r="993" ht="15.75" customHeight="1">
      <c r="A993" s="36"/>
      <c r="B993" s="36"/>
      <c r="C993" s="37"/>
      <c r="D993" s="37"/>
      <c r="E993" s="37"/>
      <c r="F993" s="37"/>
      <c r="G993" s="37"/>
      <c r="H993" s="1"/>
      <c r="I993" s="1"/>
      <c r="J993" s="1"/>
    </row>
    <row r="994" ht="15.75" customHeight="1">
      <c r="A994" s="36"/>
      <c r="B994" s="36"/>
      <c r="C994" s="37"/>
      <c r="D994" s="37"/>
      <c r="E994" s="37"/>
      <c r="F994" s="37"/>
      <c r="G994" s="37"/>
      <c r="H994" s="1"/>
      <c r="I994" s="1"/>
      <c r="J994" s="1"/>
    </row>
    <row r="995" ht="15.75" customHeight="1">
      <c r="A995" s="36"/>
      <c r="B995" s="36"/>
      <c r="C995" s="37"/>
      <c r="D995" s="37"/>
      <c r="E995" s="37"/>
      <c r="F995" s="37"/>
      <c r="G995" s="37"/>
      <c r="H995" s="1"/>
      <c r="I995" s="1"/>
      <c r="J995" s="1"/>
    </row>
    <row r="996" ht="15.75" customHeight="1">
      <c r="A996" s="36"/>
      <c r="B996" s="36"/>
      <c r="C996" s="37"/>
      <c r="D996" s="37"/>
      <c r="E996" s="37"/>
      <c r="F996" s="37"/>
      <c r="G996" s="37"/>
      <c r="H996" s="1"/>
      <c r="I996" s="1"/>
      <c r="J996" s="1"/>
    </row>
    <row r="997" ht="15.75" customHeight="1">
      <c r="A997" s="36"/>
      <c r="B997" s="36"/>
      <c r="C997" s="37"/>
      <c r="D997" s="37"/>
      <c r="E997" s="37"/>
      <c r="F997" s="37"/>
      <c r="G997" s="37"/>
      <c r="H997" s="1"/>
      <c r="I997" s="1"/>
      <c r="J997" s="1"/>
    </row>
    <row r="998" ht="15.75" customHeight="1">
      <c r="A998" s="36"/>
      <c r="B998" s="36"/>
      <c r="C998" s="37"/>
      <c r="D998" s="37"/>
      <c r="E998" s="37"/>
      <c r="F998" s="37"/>
      <c r="G998" s="37"/>
      <c r="H998" s="1"/>
      <c r="I998" s="1"/>
      <c r="J998" s="1"/>
    </row>
    <row r="999" ht="15.75" customHeight="1">
      <c r="A999" s="36"/>
      <c r="B999" s="36"/>
      <c r="C999" s="37"/>
      <c r="D999" s="37"/>
      <c r="E999" s="37"/>
      <c r="F999" s="37"/>
      <c r="G999" s="37"/>
      <c r="H999" s="1"/>
      <c r="I999" s="1"/>
      <c r="J999" s="1"/>
    </row>
    <row r="1000" ht="15.75" customHeight="1">
      <c r="A1000" s="36"/>
      <c r="B1000" s="36"/>
      <c r="C1000" s="37"/>
      <c r="D1000" s="37"/>
      <c r="E1000" s="37"/>
      <c r="F1000" s="37"/>
      <c r="G1000" s="37"/>
      <c r="H1000" s="1"/>
      <c r="I1000" s="1"/>
      <c r="J1000" s="1"/>
    </row>
  </sheetData>
  <mergeCells count="3">
    <mergeCell ref="A2:H2"/>
    <mergeCell ref="A4:H4"/>
    <mergeCell ref="A66:H66"/>
  </mergeCells>
  <hyperlinks>
    <hyperlink r:id="rId1" ref="E10"/>
    <hyperlink r:id="rId2" ref="E11"/>
    <hyperlink r:id="rId3" ref="A12"/>
    <hyperlink r:id="rId4" ref="E12"/>
    <hyperlink r:id="rId5" ref="E13"/>
    <hyperlink r:id="rId6" ref="E14"/>
    <hyperlink r:id="rId7" ref="E15"/>
    <hyperlink r:id="rId8" ref="E16"/>
    <hyperlink r:id="rId9" ref="E17"/>
    <hyperlink r:id="rId10" ref="E19"/>
    <hyperlink r:id="rId11" ref="E22"/>
    <hyperlink r:id="rId12" ref="E23"/>
    <hyperlink r:id="rId13" ref="E24"/>
    <hyperlink r:id="rId14" ref="E25"/>
    <hyperlink r:id="rId15" ref="E26"/>
    <hyperlink r:id="rId16" ref="E27"/>
    <hyperlink r:id="rId17" ref="E34"/>
    <hyperlink r:id="rId18" ref="E36"/>
    <hyperlink r:id="rId19" ref="E38"/>
    <hyperlink r:id="rId20" ref="E39"/>
    <hyperlink r:id="rId21" ref="E40"/>
    <hyperlink r:id="rId22" ref="E41"/>
    <hyperlink r:id="rId23" ref="E42"/>
    <hyperlink r:id="rId24" ref="E43"/>
    <hyperlink r:id="rId25" ref="E44"/>
    <hyperlink r:id="rId26" ref="E45"/>
    <hyperlink r:id="rId27" ref="E46"/>
    <hyperlink r:id="rId28" ref="E50"/>
    <hyperlink r:id="rId29" ref="E51"/>
    <hyperlink r:id="rId30" ref="E57"/>
    <hyperlink r:id="rId31" ref="E58"/>
    <hyperlink r:id="rId32" ref="E59"/>
  </hyperlinks>
  <printOptions/>
  <pageMargins bottom="0.75" footer="0.0" header="0.0" left="0.7" right="0.7" top="0.75"/>
  <pageSetup orientation="landscape"/>
  <drawing r:id="rId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

<file path=docProps/custom.xml><?xml version="1.0" encoding="utf-8"?>
<Properties xmlns="http://schemas.openxmlformats.org/officeDocument/2006/custom-properties" xmlns:vt="http://schemas.openxmlformats.org/officeDocument/2006/docPropsVTypes"/>
</file>